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valida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accec022d0a483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grendenecombr.sharepoint.com/sites/Teste410/Documentos Compartilhados/05_MOI_MOA_MODs/Estudo - Regulador de Telas Serigrafia/Planilha de Setup - Carga pendente/Fabrica 07/"/>
    </mc:Choice>
  </mc:AlternateContent>
  <xr:revisionPtr revIDLastSave="269388" documentId="8_{A42EB2D7-4E99-4132-A127-C007CFF9A369}" xr6:coauthVersionLast="47" xr6:coauthVersionMax="47" xr10:uidLastSave="{0C7D9C69-D5AC-40E7-A99C-54ADCF74CABA}"/>
  <bookViews>
    <workbookView xWindow="-28920" yWindow="-1260" windowWidth="29040" windowHeight="15720" tabRatio="893" firstSheet="3" activeTab="3" xr2:uid="{6B20662E-DE15-4986-9611-EA27504B58AF}"/>
  </bookViews>
  <sheets>
    <sheet name="Registrada" sheetId="1" state="hidden" r:id="rId1"/>
    <sheet name="Pesquisa" sheetId="4" state="hidden" r:id="rId2"/>
    <sheet name="Pendente" sheetId="3" r:id="rId3"/>
    <sheet name="Base_Custos_Mesa_Ser" sheetId="9" r:id="rId4"/>
    <sheet name="Resumo_Trocas" sheetId="10" r:id="rId5"/>
    <sheet name="Qnt. Setup de Telas" sheetId="12" state="hidden" r:id="rId6"/>
    <sheet name="Dados" sheetId="22" r:id="rId7"/>
    <sheet name="Grafico" sheetId="23" r:id="rId8"/>
    <sheet name="Serigrafia - Reguladores" sheetId="13" r:id="rId9"/>
    <sheet name="Montagem - Reguladores" sheetId="15" r:id="rId10"/>
    <sheet name="Pintura - Reguladores" sheetId="16" r:id="rId11"/>
    <sheet name="Geral - Reguladores" sheetId="17" r:id="rId12"/>
    <sheet name="Serigrafia -  Trocad. de Tintas" sheetId="19" r:id="rId13"/>
    <sheet name="Montagem -  Trocad. de Tintas" sheetId="20" r:id="rId14"/>
    <sheet name="Pintura  -  Trocad. de Tintas" sheetId="21" r:id="rId15"/>
    <sheet name="Geral -  Trocadores de Tintas" sheetId="18" r:id="rId16"/>
    <sheet name="Plano de Ação" sheetId="24" r:id="rId17"/>
    <sheet name="Planilha2" sheetId="14" state="hidden" r:id="rId18"/>
  </sheets>
  <functionGroups builtInGroupCount="19"/>
  <definedNames>
    <definedName name="_">#REF!</definedName>
    <definedName name="__">#REF!</definedName>
    <definedName name="____Fem1">#REF!</definedName>
    <definedName name="____Fem2">#REF!</definedName>
    <definedName name="____Fem3">#REF!</definedName>
    <definedName name="____Inf1">#REF!</definedName>
    <definedName name="____Inf2">#REF!</definedName>
    <definedName name="____Inf3">#REF!</definedName>
    <definedName name="____Mas1">#REF!</definedName>
    <definedName name="____Mas2">#REF!</definedName>
    <definedName name="____Mas3">#REF!</definedName>
    <definedName name="___Fem1">#REF!</definedName>
    <definedName name="___Fem2">#REF!</definedName>
    <definedName name="___Fem3">#REF!</definedName>
    <definedName name="___Inf1">#REF!</definedName>
    <definedName name="___Inf2">#REF!</definedName>
    <definedName name="___Inf3">#REF!</definedName>
    <definedName name="___Mas1">#REF!</definedName>
    <definedName name="___Mas2">#REF!</definedName>
    <definedName name="___Mas3">#REF!</definedName>
    <definedName name="___SAC2">#REF!</definedName>
    <definedName name="__Fem1">#REF!</definedName>
    <definedName name="__Fem2">#REF!</definedName>
    <definedName name="__Fem3">#REF!</definedName>
    <definedName name="__Inf1">#REF!</definedName>
    <definedName name="__Inf2">#REF!</definedName>
    <definedName name="__Inf3">#REF!</definedName>
    <definedName name="__Mas1">#REF!</definedName>
    <definedName name="__Mas2">#REF!</definedName>
    <definedName name="__Mas3">#REF!</definedName>
    <definedName name="__SAC2">#REF!</definedName>
    <definedName name="_01_">#REF!</definedName>
    <definedName name="_01_03_2014_11_09">#REF!</definedName>
    <definedName name="_24Horas">#REF!</definedName>
    <definedName name="_Abr1">#REF!</definedName>
    <definedName name="_Ago1">#REF!</definedName>
    <definedName name="_Brz1">#REF!</definedName>
    <definedName name="_Brz2">#REF!</definedName>
    <definedName name="_CIF2">#REF!</definedName>
    <definedName name="_Dez1">#REF!</definedName>
    <definedName name="_Fem1">#REF!</definedName>
    <definedName name="_Fem2">#REF!</definedName>
    <definedName name="_Fem3">#REF!</definedName>
    <definedName name="_Fev1">#REF!</definedName>
    <definedName name="_Filtr" hidden="1">#REF!</definedName>
    <definedName name="_xlnm._FilterDatabase" localSheetId="2" hidden="1">Pendente!$A$1:$AH$1</definedName>
    <definedName name="_xlnm._FilterDatabase" localSheetId="1" hidden="1">Pesquisa!$A$2:$R$2545</definedName>
    <definedName name="_xlnm._FilterDatabase" localSheetId="0" hidden="1">Registrada!$A$1:$J$6668</definedName>
    <definedName name="_xlnm._FilterDatabase" localSheetId="4" hidden="1">Resumo_Trocas!$A$1:$G$1991</definedName>
    <definedName name="_xlnm._FilterDatabase" hidden="1">#REF!</definedName>
    <definedName name="_FiltrarBD" hidden="1">#REF!</definedName>
    <definedName name="_Inf1">#REF!</definedName>
    <definedName name="_Inf2">#REF!</definedName>
    <definedName name="_Inf3">#REF!</definedName>
    <definedName name="_Jan1">#REF!</definedName>
    <definedName name="_Jul1">#REF!</definedName>
    <definedName name="_Jun1">#REF!</definedName>
    <definedName name="_Mai1">#REF!</definedName>
    <definedName name="_Mar1">#REF!</definedName>
    <definedName name="_Mas1">#REF!</definedName>
    <definedName name="_Mas2">#REF!</definedName>
    <definedName name="_Mas3">#REF!</definedName>
    <definedName name="_Nov1">#REF!</definedName>
    <definedName name="_Out1">#REF!</definedName>
    <definedName name="_SAC2">#REF!</definedName>
    <definedName name="_Set1">#REF!</definedName>
    <definedName name="_xleta.IF" hidden="1" xlm="1">#NAME?</definedName>
    <definedName name="_xleta.IFERROR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a">#REF!</definedName>
    <definedName name="aa">#REF!</definedName>
    <definedName name="aaa" hidden="1">#REF!</definedName>
    <definedName name="Abr">#REF!</definedName>
    <definedName name="Acum08">#REF!</definedName>
    <definedName name="acum09">#REF!</definedName>
    <definedName name="ad">#REF!</definedName>
    <definedName name="ADPR">#REF!</definedName>
    <definedName name="Ago">#REF!</definedName>
    <definedName name="ai">#REF!</definedName>
    <definedName name="AKROPMAI">#REF!</definedName>
    <definedName name="AKROPS">#REF!</definedName>
    <definedName name="AKROPSMAI">#REF!</definedName>
    <definedName name="al">#REF!</definedName>
    <definedName name="al_13">#REF!</definedName>
    <definedName name="Alta_Freq.Plan_01">#REF!</definedName>
    <definedName name="altern">#REF!</definedName>
    <definedName name="alunos">#REF!</definedName>
    <definedName name="analiseincremental">#REF!</definedName>
    <definedName name="ANO">#REF!</definedName>
    <definedName name="APAGAR">#REF!,#REF!,#REF!</definedName>
    <definedName name="Ar_Price">#REF!</definedName>
    <definedName name="Ar_price2" localSheetId="3">_L10C2:_L90C3</definedName>
    <definedName name="Ar_price2" localSheetId="15">_L10C2:_L90C3</definedName>
    <definedName name="Ar_price2" localSheetId="13">_L10C2:_L90C3</definedName>
    <definedName name="Ar_price2" localSheetId="9">_L10C2:_L90C3</definedName>
    <definedName name="Ar_price2" localSheetId="14">_L10C2:_L90C3</definedName>
    <definedName name="Ar_price2" localSheetId="10">_L10C2:_L90C3</definedName>
    <definedName name="Ar_price2" localSheetId="5">_L10C2:_L90C3</definedName>
    <definedName name="Ar_price2" localSheetId="4">_L10C2:_L90C3</definedName>
    <definedName name="Ar_price2" localSheetId="12">_L10C2:_L90C3</definedName>
    <definedName name="Ar_price2" localSheetId="8">_L10C2:_L90C3</definedName>
    <definedName name="Ar_price2">_L10C2:_L90C3</definedName>
    <definedName name="Ar_SAC">#REF!</definedName>
    <definedName name="_xlnm.Print_Area" localSheetId="7">Grafico!$A$1:$Z$158</definedName>
    <definedName name="_xlnm.Print_Area">#REF!</definedName>
    <definedName name="Área_impressão_IM">#REF!</definedName>
    <definedName name="Area_Price">#REF!</definedName>
    <definedName name="Area_t_desigais">#REF!</definedName>
    <definedName name="Arq_Nome">#REF!</definedName>
    <definedName name="as">#REF!</definedName>
    <definedName name="atual">#REF!</definedName>
    <definedName name="atualiza">#REF!</definedName>
    <definedName name="Autor">#REF!</definedName>
    <definedName name="B">#REF!</definedName>
    <definedName name="Baby">#REF!</definedName>
    <definedName name="balanco_patrimonial">#REF!</definedName>
    <definedName name="BANCO">#REF!</definedName>
    <definedName name="BancoDados">#REF!</definedName>
    <definedName name="BASE">#REF!</definedName>
    <definedName name="bb">#REF!</definedName>
    <definedName name="Bordado.Plan_01">#REF!</definedName>
    <definedName name="Bota">#REF!</definedName>
    <definedName name="BP">#REF!</definedName>
    <definedName name="BS">#REF!</definedName>
    <definedName name="C_Univ">#N/A</definedName>
    <definedName name="Cabedal">#REF!</definedName>
    <definedName name="calcfin">#REF!</definedName>
    <definedName name="CalendárioAno1">#REF!</definedName>
    <definedName name="CalendárioAno10">#REF!</definedName>
    <definedName name="CalendárioAno11">#REF!</definedName>
    <definedName name="CalendárioAno12">#REF!</definedName>
    <definedName name="CalendárioAno2">#REF!</definedName>
    <definedName name="CalendárioAno3">#REF!</definedName>
    <definedName name="CalendárioAno4">#REF!</definedName>
    <definedName name="CalendárioAno5">#REF!</definedName>
    <definedName name="CalendárioAno6">#REF!</definedName>
    <definedName name="CalendárioAno7">#REF!</definedName>
    <definedName name="CalendárioAno8">#REF!</definedName>
    <definedName name="CalendárioAno9">#REF!</definedName>
    <definedName name="CaléndárioMês1">#REF!</definedName>
    <definedName name="CaléndárioMês10">#REF!</definedName>
    <definedName name="CaléndárioMês10Opção" localSheetId="3">MATCH(CaléndárioMês10,Base_Custos_Mesa_Ser!Meses,0)</definedName>
    <definedName name="CaléndárioMês10Opção" localSheetId="13">MATCH([0]!CaléndárioMês10,'Montagem -  Trocad. de Tintas'!Meses,0)</definedName>
    <definedName name="CaléndárioMês10Opção" localSheetId="9">MATCH([0]!CaléndárioMês10,'Montagem - Reguladores'!Meses,0)</definedName>
    <definedName name="CaléndárioMês10Opção" localSheetId="14">MATCH([0]!CaléndárioMês10,'Pintura  -  Trocad. de Tintas'!Meses,0)</definedName>
    <definedName name="CaléndárioMês10Opção" localSheetId="10">MATCH([0]!CaléndárioMês10,'Pintura - Reguladores'!Meses,0)</definedName>
    <definedName name="CaléndárioMês10Opção" localSheetId="5">MATCH(CaléndárioMês10,'Qnt. Setup de Telas'!Meses,0)</definedName>
    <definedName name="CaléndárioMês10Opção" localSheetId="4">MATCH(CaléndárioMês10,Resumo_Trocas!Meses,0)</definedName>
    <definedName name="CaléndárioMês10Opção" localSheetId="12">MATCH([0]!CaléndárioMês10,'Serigrafia -  Trocad. de Tintas'!Meses,0)</definedName>
    <definedName name="CaléndárioMês10Opção" localSheetId="8">MATCH([0]!CaléndárioMês10,'Serigrafia - Reguladores'!Meses,0)</definedName>
    <definedName name="CaléndárioMês10Opção">MATCH(CaléndárioMês10,Meses,0)</definedName>
    <definedName name="CaléndárioMês11">#REF!</definedName>
    <definedName name="CaléndárioMês11Opção" localSheetId="3">MATCH(CaléndárioMês11,Base_Custos_Mesa_Ser!Meses,0)</definedName>
    <definedName name="CaléndárioMês11Opção" localSheetId="13">MATCH([0]!CaléndárioMês11,'Montagem -  Trocad. de Tintas'!Meses,0)</definedName>
    <definedName name="CaléndárioMês11Opção" localSheetId="9">MATCH([0]!CaléndárioMês11,'Montagem - Reguladores'!Meses,0)</definedName>
    <definedName name="CaléndárioMês11Opção" localSheetId="14">MATCH([0]!CaléndárioMês11,'Pintura  -  Trocad. de Tintas'!Meses,0)</definedName>
    <definedName name="CaléndárioMês11Opção" localSheetId="10">MATCH([0]!CaléndárioMês11,'Pintura - Reguladores'!Meses,0)</definedName>
    <definedName name="CaléndárioMês11Opção" localSheetId="5">MATCH(CaléndárioMês11,'Qnt. Setup de Telas'!Meses,0)</definedName>
    <definedName name="CaléndárioMês11Opção" localSheetId="4">MATCH(CaléndárioMês11,Resumo_Trocas!Meses,0)</definedName>
    <definedName name="CaléndárioMês11Opção" localSheetId="12">MATCH([0]!CaléndárioMês11,'Serigrafia -  Trocad. de Tintas'!Meses,0)</definedName>
    <definedName name="CaléndárioMês11Opção" localSheetId="8">MATCH([0]!CaléndárioMês11,'Serigrafia - Reguladores'!Meses,0)</definedName>
    <definedName name="CaléndárioMês11Opção">MATCH(CaléndárioMês11,Meses,0)</definedName>
    <definedName name="CaléndárioMês12">#REF!</definedName>
    <definedName name="CaléndárioMês12Opção" localSheetId="3">MATCH(CaléndárioMês12,Base_Custos_Mesa_Ser!Meses,0)</definedName>
    <definedName name="CaléndárioMês12Opção" localSheetId="13">MATCH([0]!CaléndárioMês12,'Montagem -  Trocad. de Tintas'!Meses,0)</definedName>
    <definedName name="CaléndárioMês12Opção" localSheetId="9">MATCH([0]!CaléndárioMês12,'Montagem - Reguladores'!Meses,0)</definedName>
    <definedName name="CaléndárioMês12Opção" localSheetId="14">MATCH([0]!CaléndárioMês12,'Pintura  -  Trocad. de Tintas'!Meses,0)</definedName>
    <definedName name="CaléndárioMês12Opção" localSheetId="10">MATCH([0]!CaléndárioMês12,'Pintura - Reguladores'!Meses,0)</definedName>
    <definedName name="CaléndárioMês12Opção" localSheetId="5">MATCH(CaléndárioMês12,'Qnt. Setup de Telas'!Meses,0)</definedName>
    <definedName name="CaléndárioMês12Opção" localSheetId="4">MATCH(CaléndárioMês12,Resumo_Trocas!Meses,0)</definedName>
    <definedName name="CaléndárioMês12Opção" localSheetId="12">MATCH([0]!CaléndárioMês12,'Serigrafia -  Trocad. de Tintas'!Meses,0)</definedName>
    <definedName name="CaléndárioMês12Opção" localSheetId="8">MATCH([0]!CaléndárioMês12,'Serigrafia - Reguladores'!Meses,0)</definedName>
    <definedName name="CaléndárioMês12Opção">MATCH(CaléndárioMês12,Meses,0)</definedName>
    <definedName name="CaléndárioMês1Opção" localSheetId="3">MATCH(CaléndárioMês1,Base_Custos_Mesa_Ser!Meses,0)</definedName>
    <definedName name="CaléndárioMês1Opção" localSheetId="13">MATCH([0]!CaléndárioMês1,'Montagem -  Trocad. de Tintas'!Meses,0)</definedName>
    <definedName name="CaléndárioMês1Opção" localSheetId="9">MATCH([0]!CaléndárioMês1,'Montagem - Reguladores'!Meses,0)</definedName>
    <definedName name="CaléndárioMês1Opção" localSheetId="14">MATCH([0]!CaléndárioMês1,'Pintura  -  Trocad. de Tintas'!Meses,0)</definedName>
    <definedName name="CaléndárioMês1Opção" localSheetId="10">MATCH([0]!CaléndárioMês1,'Pintura - Reguladores'!Meses,0)</definedName>
    <definedName name="CaléndárioMês1Opção" localSheetId="5">MATCH(CaléndárioMês1,'Qnt. Setup de Telas'!Meses,0)</definedName>
    <definedName name="CaléndárioMês1Opção" localSheetId="4">MATCH(CaléndárioMês1,Resumo_Trocas!Meses,0)</definedName>
    <definedName name="CaléndárioMês1Opção" localSheetId="12">MATCH([0]!CaléndárioMês1,'Serigrafia -  Trocad. de Tintas'!Meses,0)</definedName>
    <definedName name="CaléndárioMês1Opção" localSheetId="8">MATCH([0]!CaléndárioMês1,'Serigrafia - Reguladores'!Meses,0)</definedName>
    <definedName name="CaléndárioMês1Opção">MATCH(CaléndárioMês1,Meses,0)</definedName>
    <definedName name="CaléndárioMês2">#REF!</definedName>
    <definedName name="CaléndárioMês2Opção" localSheetId="3">MATCH(CaléndárioMês2,Base_Custos_Mesa_Ser!Meses,0)</definedName>
    <definedName name="CaléndárioMês2Opção" localSheetId="13">MATCH([0]!CaléndárioMês2,'Montagem -  Trocad. de Tintas'!Meses,0)</definedName>
    <definedName name="CaléndárioMês2Opção" localSheetId="9">MATCH([0]!CaléndárioMês2,'Montagem - Reguladores'!Meses,0)</definedName>
    <definedName name="CaléndárioMês2Opção" localSheetId="14">MATCH([0]!CaléndárioMês2,'Pintura  -  Trocad. de Tintas'!Meses,0)</definedName>
    <definedName name="CaléndárioMês2Opção" localSheetId="10">MATCH([0]!CaléndárioMês2,'Pintura - Reguladores'!Meses,0)</definedName>
    <definedName name="CaléndárioMês2Opção" localSheetId="5">MATCH(CaléndárioMês2,'Qnt. Setup de Telas'!Meses,0)</definedName>
    <definedName name="CaléndárioMês2Opção" localSheetId="4">MATCH(CaléndárioMês2,Resumo_Trocas!Meses,0)</definedName>
    <definedName name="CaléndárioMês2Opção" localSheetId="12">MATCH([0]!CaléndárioMês2,'Serigrafia -  Trocad. de Tintas'!Meses,0)</definedName>
    <definedName name="CaléndárioMês2Opção" localSheetId="8">MATCH([0]!CaléndárioMês2,'Serigrafia - Reguladores'!Meses,0)</definedName>
    <definedName name="CaléndárioMês2Opção">MATCH(CaléndárioMês2,Meses,0)</definedName>
    <definedName name="CaléndárioMês3">#REF!</definedName>
    <definedName name="CaléndárioMês3Opção" localSheetId="3">MATCH(CaléndárioMês3,Base_Custos_Mesa_Ser!Meses,0)</definedName>
    <definedName name="CaléndárioMês3Opção" localSheetId="13">MATCH([0]!CaléndárioMês3,'Montagem -  Trocad. de Tintas'!Meses,0)</definedName>
    <definedName name="CaléndárioMês3Opção" localSheetId="9">MATCH([0]!CaléndárioMês3,'Montagem - Reguladores'!Meses,0)</definedName>
    <definedName name="CaléndárioMês3Opção" localSheetId="14">MATCH([0]!CaléndárioMês3,'Pintura  -  Trocad. de Tintas'!Meses,0)</definedName>
    <definedName name="CaléndárioMês3Opção" localSheetId="10">MATCH([0]!CaléndárioMês3,'Pintura - Reguladores'!Meses,0)</definedName>
    <definedName name="CaléndárioMês3Opção" localSheetId="5">MATCH(CaléndárioMês3,'Qnt. Setup de Telas'!Meses,0)</definedName>
    <definedName name="CaléndárioMês3Opção" localSheetId="4">MATCH(CaléndárioMês3,Resumo_Trocas!Meses,0)</definedName>
    <definedName name="CaléndárioMês3Opção" localSheetId="12">MATCH([0]!CaléndárioMês3,'Serigrafia -  Trocad. de Tintas'!Meses,0)</definedName>
    <definedName name="CaléndárioMês3Opção" localSheetId="8">MATCH([0]!CaléndárioMês3,'Serigrafia - Reguladores'!Meses,0)</definedName>
    <definedName name="CaléndárioMês3Opção">MATCH(CaléndárioMês3,Meses,0)</definedName>
    <definedName name="CaléndárioMês4">#REF!</definedName>
    <definedName name="CaléndárioMês4Opção" localSheetId="3">MATCH(CaléndárioMês4,Base_Custos_Mesa_Ser!Meses,0)</definedName>
    <definedName name="CaléndárioMês4Opção" localSheetId="13">MATCH([0]!CaléndárioMês4,'Montagem -  Trocad. de Tintas'!Meses,0)</definedName>
    <definedName name="CaléndárioMês4Opção" localSheetId="9">MATCH([0]!CaléndárioMês4,'Montagem - Reguladores'!Meses,0)</definedName>
    <definedName name="CaléndárioMês4Opção" localSheetId="14">MATCH([0]!CaléndárioMês4,'Pintura  -  Trocad. de Tintas'!Meses,0)</definedName>
    <definedName name="CaléndárioMês4Opção" localSheetId="10">MATCH([0]!CaléndárioMês4,'Pintura - Reguladores'!Meses,0)</definedName>
    <definedName name="CaléndárioMês4Opção" localSheetId="5">MATCH(CaléndárioMês4,'Qnt. Setup de Telas'!Meses,0)</definedName>
    <definedName name="CaléndárioMês4Opção" localSheetId="4">MATCH(CaléndárioMês4,Resumo_Trocas!Meses,0)</definedName>
    <definedName name="CaléndárioMês4Opção" localSheetId="12">MATCH([0]!CaléndárioMês4,'Serigrafia -  Trocad. de Tintas'!Meses,0)</definedName>
    <definedName name="CaléndárioMês4Opção" localSheetId="8">MATCH([0]!CaléndárioMês4,'Serigrafia - Reguladores'!Meses,0)</definedName>
    <definedName name="CaléndárioMês4Opção">MATCH(CaléndárioMês4,Meses,0)</definedName>
    <definedName name="CaléndárioMês5">#REF!</definedName>
    <definedName name="CaléndárioMês5Opção" localSheetId="3">MATCH(CaléndárioMês5,Base_Custos_Mesa_Ser!Meses,0)</definedName>
    <definedName name="CaléndárioMês5Opção" localSheetId="13">MATCH([0]!CaléndárioMês5,'Montagem -  Trocad. de Tintas'!Meses,0)</definedName>
    <definedName name="CaléndárioMês5Opção" localSheetId="9">MATCH([0]!CaléndárioMês5,'Montagem - Reguladores'!Meses,0)</definedName>
    <definedName name="CaléndárioMês5Opção" localSheetId="14">MATCH([0]!CaléndárioMês5,'Pintura  -  Trocad. de Tintas'!Meses,0)</definedName>
    <definedName name="CaléndárioMês5Opção" localSheetId="10">MATCH([0]!CaléndárioMês5,'Pintura - Reguladores'!Meses,0)</definedName>
    <definedName name="CaléndárioMês5Opção" localSheetId="5">MATCH(CaléndárioMês5,'Qnt. Setup de Telas'!Meses,0)</definedName>
    <definedName name="CaléndárioMês5Opção" localSheetId="4">MATCH(CaléndárioMês5,Resumo_Trocas!Meses,0)</definedName>
    <definedName name="CaléndárioMês5Opção" localSheetId="12">MATCH([0]!CaléndárioMês5,'Serigrafia -  Trocad. de Tintas'!Meses,0)</definedName>
    <definedName name="CaléndárioMês5Opção" localSheetId="8">MATCH([0]!CaléndárioMês5,'Serigrafia - Reguladores'!Meses,0)</definedName>
    <definedName name="CaléndárioMês5Opção">MATCH(CaléndárioMês5,Meses,0)</definedName>
    <definedName name="CaléndárioMês6">#REF!</definedName>
    <definedName name="CaléndárioMês6Opção" localSheetId="3">MATCH(CaléndárioMês6,Base_Custos_Mesa_Ser!Meses,0)</definedName>
    <definedName name="CaléndárioMês6Opção" localSheetId="13">MATCH([0]!CaléndárioMês6,'Montagem -  Trocad. de Tintas'!Meses,0)</definedName>
    <definedName name="CaléndárioMês6Opção" localSheetId="9">MATCH([0]!CaléndárioMês6,'Montagem - Reguladores'!Meses,0)</definedName>
    <definedName name="CaléndárioMês6Opção" localSheetId="14">MATCH([0]!CaléndárioMês6,'Pintura  -  Trocad. de Tintas'!Meses,0)</definedName>
    <definedName name="CaléndárioMês6Opção" localSheetId="10">MATCH([0]!CaléndárioMês6,'Pintura - Reguladores'!Meses,0)</definedName>
    <definedName name="CaléndárioMês6Opção" localSheetId="5">MATCH(CaléndárioMês6,'Qnt. Setup de Telas'!Meses,0)</definedName>
    <definedName name="CaléndárioMês6Opção" localSheetId="4">MATCH(CaléndárioMês6,Resumo_Trocas!Meses,0)</definedName>
    <definedName name="CaléndárioMês6Opção" localSheetId="12">MATCH([0]!CaléndárioMês6,'Serigrafia -  Trocad. de Tintas'!Meses,0)</definedName>
    <definedName name="CaléndárioMês6Opção" localSheetId="8">MATCH([0]!CaléndárioMês6,'Serigrafia - Reguladores'!Meses,0)</definedName>
    <definedName name="CaléndárioMês6Opção">MATCH(CaléndárioMês6,Meses,0)</definedName>
    <definedName name="CaléndárioMês7">#REF!</definedName>
    <definedName name="CaléndárioMês7Opção" localSheetId="3">MATCH(CaléndárioMês7,Base_Custos_Mesa_Ser!Meses,0)</definedName>
    <definedName name="CaléndárioMês7Opção" localSheetId="13">MATCH([0]!CaléndárioMês7,'Montagem -  Trocad. de Tintas'!Meses,0)</definedName>
    <definedName name="CaléndárioMês7Opção" localSheetId="9">MATCH([0]!CaléndárioMês7,'Montagem - Reguladores'!Meses,0)</definedName>
    <definedName name="CaléndárioMês7Opção" localSheetId="14">MATCH([0]!CaléndárioMês7,'Pintura  -  Trocad. de Tintas'!Meses,0)</definedName>
    <definedName name="CaléndárioMês7Opção" localSheetId="10">MATCH([0]!CaléndárioMês7,'Pintura - Reguladores'!Meses,0)</definedName>
    <definedName name="CaléndárioMês7Opção" localSheetId="5">MATCH(CaléndárioMês7,'Qnt. Setup de Telas'!Meses,0)</definedName>
    <definedName name="CaléndárioMês7Opção" localSheetId="4">MATCH(CaléndárioMês7,Resumo_Trocas!Meses,0)</definedName>
    <definedName name="CaléndárioMês7Opção" localSheetId="12">MATCH([0]!CaléndárioMês7,'Serigrafia -  Trocad. de Tintas'!Meses,0)</definedName>
    <definedName name="CaléndárioMês7Opção" localSheetId="8">MATCH([0]!CaléndárioMês7,'Serigrafia - Reguladores'!Meses,0)</definedName>
    <definedName name="CaléndárioMês7Opção">MATCH(CaléndárioMês7,Meses,0)</definedName>
    <definedName name="CaléndárioMês8">#REF!</definedName>
    <definedName name="CaléndárioMês8Opção" localSheetId="3">MATCH(CaléndárioMês8,Base_Custos_Mesa_Ser!Meses,0)</definedName>
    <definedName name="CaléndárioMês8Opção" localSheetId="13">MATCH([0]!CaléndárioMês8,'Montagem -  Trocad. de Tintas'!Meses,0)</definedName>
    <definedName name="CaléndárioMês8Opção" localSheetId="9">MATCH([0]!CaléndárioMês8,'Montagem - Reguladores'!Meses,0)</definedName>
    <definedName name="CaléndárioMês8Opção" localSheetId="14">MATCH([0]!CaléndárioMês8,'Pintura  -  Trocad. de Tintas'!Meses,0)</definedName>
    <definedName name="CaléndárioMês8Opção" localSheetId="10">MATCH([0]!CaléndárioMês8,'Pintura - Reguladores'!Meses,0)</definedName>
    <definedName name="CaléndárioMês8Opção" localSheetId="5">MATCH(CaléndárioMês8,'Qnt. Setup de Telas'!Meses,0)</definedName>
    <definedName name="CaléndárioMês8Opção" localSheetId="4">MATCH(CaléndárioMês8,Resumo_Trocas!Meses,0)</definedName>
    <definedName name="CaléndárioMês8Opção" localSheetId="12">MATCH([0]!CaléndárioMês8,'Serigrafia -  Trocad. de Tintas'!Meses,0)</definedName>
    <definedName name="CaléndárioMês8Opção" localSheetId="8">MATCH([0]!CaléndárioMês8,'Serigrafia - Reguladores'!Meses,0)</definedName>
    <definedName name="CaléndárioMês8Opção">MATCH(CaléndárioMês8,Meses,0)</definedName>
    <definedName name="CaléndárioMês9">#REF!</definedName>
    <definedName name="CaléndárioMês9Opção" localSheetId="3">MATCH(CaléndárioMês9,Base_Custos_Mesa_Ser!Meses,0)</definedName>
    <definedName name="CaléndárioMês9Opção" localSheetId="13">MATCH([0]!CaléndárioMês9,'Montagem -  Trocad. de Tintas'!Meses,0)</definedName>
    <definedName name="CaléndárioMês9Opção" localSheetId="9">MATCH([0]!CaléndárioMês9,'Montagem - Reguladores'!Meses,0)</definedName>
    <definedName name="CaléndárioMês9Opção" localSheetId="14">MATCH([0]!CaléndárioMês9,'Pintura  -  Trocad. de Tintas'!Meses,0)</definedName>
    <definedName name="CaléndárioMês9Opção" localSheetId="10">MATCH([0]!CaléndárioMês9,'Pintura - Reguladores'!Meses,0)</definedName>
    <definedName name="CaléndárioMês9Opção" localSheetId="5">MATCH(CaléndárioMês9,'Qnt. Setup de Telas'!Meses,0)</definedName>
    <definedName name="CaléndárioMês9Opção" localSheetId="4">MATCH(CaléndárioMês9,Resumo_Trocas!Meses,0)</definedName>
    <definedName name="CaléndárioMês9Opção" localSheetId="12">MATCH([0]!CaléndárioMês9,'Serigrafia -  Trocad. de Tintas'!Meses,0)</definedName>
    <definedName name="CaléndárioMês9Opção" localSheetId="8">MATCH([0]!CaléndárioMês9,'Serigrafia - Reguladores'!Meses,0)</definedName>
    <definedName name="CaléndárioMês9Opção">MATCH(CaléndárioMês9,Meses,0)</definedName>
    <definedName name="CalFinBas">#REF!</definedName>
    <definedName name="cc">#REF!</definedName>
    <definedName name="cdnoperacao">#REF!</definedName>
    <definedName name="ch">#REF!</definedName>
    <definedName name="chtx">OFFSET(#REF!,#REF!,0,#REF!)</definedName>
    <definedName name="chty">OFFSET(#REF!,#REF!,#REF!,#REF!,1)</definedName>
    <definedName name="CIF">#REF!</definedName>
    <definedName name="codferram">#REF!</definedName>
    <definedName name="CODIGOS">#REF!</definedName>
    <definedName name="codprodut">#REF!</definedName>
    <definedName name="Col.Gásp.Plan_01">#REF!</definedName>
    <definedName name="Col.Palm.Plan_01">#REF!</definedName>
    <definedName name="Col.Plast.Plan_01">#REF!</definedName>
    <definedName name="componente">#REF!</definedName>
    <definedName name="comprados">#REF!</definedName>
    <definedName name="contas09">#REF!</definedName>
    <definedName name="contas10">#REF!</definedName>
    <definedName name="contas11">#REF!</definedName>
    <definedName name="contdias">#REF!</definedName>
    <definedName name="contribuintes">#REF!</definedName>
    <definedName name="Controle">#REF!</definedName>
    <definedName name="Controlenovo">#REF!</definedName>
    <definedName name="COR">#REF!</definedName>
    <definedName name="Costura.Plan_01">#REF!</definedName>
    <definedName name="Cratoplas">#REF!</definedName>
    <definedName name="credito">#REF!</definedName>
    <definedName name="cron">#REF!</definedName>
    <definedName name="cstatus">#REF!</definedName>
    <definedName name="CusPadrao">#REF!</definedName>
    <definedName name="CUSVOLLUC">#REF!</definedName>
    <definedName name="cxcontr">#REF!</definedName>
    <definedName name="d">#REF!</definedName>
    <definedName name="dado">#REF!</definedName>
    <definedName name="dados_mont">#REF!</definedName>
    <definedName name="DadosExternos_1" localSheetId="3" hidden="1">Base_Custos_Mesa_Ser!$A$1:$E$5034</definedName>
    <definedName name="data_i">#REF!</definedName>
    <definedName name="datas_01">#REF!</definedName>
    <definedName name="datas_02">#REF!</definedName>
    <definedName name="DBI">#REF!</definedName>
    <definedName name="DBN">#REF!</definedName>
    <definedName name="DBVF">#REF!</definedName>
    <definedName name="DBVP">#REF!</definedName>
    <definedName name="ddd">#REF!</definedName>
    <definedName name="desferram">#REF!</definedName>
    <definedName name="dessucinta">#REF!</definedName>
    <definedName name="Dez">#REF!</definedName>
    <definedName name="Dia_de_início">#REF!</definedName>
    <definedName name="DiaDaSemanaOpção" localSheetId="3">MATCH(InícioDaSemana,Base_Custos_Mesa_Ser!DiasDaSemana,0)+10</definedName>
    <definedName name="DiaDaSemanaOpção" localSheetId="13">MATCH([0]!InícioDaSemana,'Montagem -  Trocad. de Tintas'!DiasDaSemana,0)+10</definedName>
    <definedName name="DiaDaSemanaOpção" localSheetId="9">MATCH([0]!InícioDaSemana,'Montagem - Reguladores'!DiasDaSemana,0)+10</definedName>
    <definedName name="DiaDaSemanaOpção" localSheetId="14">MATCH([0]!InícioDaSemana,'Pintura  -  Trocad. de Tintas'!DiasDaSemana,0)+10</definedName>
    <definedName name="DiaDaSemanaOpção" localSheetId="10">MATCH([0]!InícioDaSemana,'Pintura - Reguladores'!DiasDaSemana,0)+10</definedName>
    <definedName name="DiaDaSemanaOpção" localSheetId="5">MATCH(InícioDaSemana,'Qnt. Setup de Telas'!DiasDaSemana,0)+10</definedName>
    <definedName name="DiaDaSemanaOpção" localSheetId="4">MATCH(InícioDaSemana,Resumo_Trocas!DiasDaSemana,0)+10</definedName>
    <definedName name="DiaDaSemanaOpção" localSheetId="12">MATCH([0]!InícioDaSemana,'Serigrafia -  Trocad. de Tintas'!DiasDaSemana,0)+10</definedName>
    <definedName name="DiaDaSemanaOpção" localSheetId="8">MATCH([0]!InícioDaSemana,'Serigrafia - Reguladores'!DiasDaSemana,0)+10</definedName>
    <definedName name="DiaDaSemanaOpção">MATCH(InícioDaSemana,DiasDaSemana,0)+10</definedName>
    <definedName name="diagramas">#REF!</definedName>
    <definedName name="Diario">#REF!</definedName>
    <definedName name="Dias" localSheetId="3">{0,1,2,3,4,5,6}</definedName>
    <definedName name="Dias" localSheetId="13">{0,1,2,3,4,5,6}</definedName>
    <definedName name="Dias" localSheetId="9">{0,1,2,3,4,5,6}</definedName>
    <definedName name="Dias" localSheetId="14">{0,1,2,3,4,5,6}</definedName>
    <definedName name="Dias" localSheetId="10">{0,1,2,3,4,5,6}</definedName>
    <definedName name="Dias" localSheetId="5">{0,1,2,3,4,5,6}</definedName>
    <definedName name="Dias" localSheetId="4">{0,1,2,3,4,5,6}</definedName>
    <definedName name="Dias" localSheetId="12">{0,1,2,3,4,5,6}</definedName>
    <definedName name="Dias" localSheetId="8">{0,1,2,3,4,5,6}</definedName>
    <definedName name="Dias">{0,1,2,3,4,5,6}</definedName>
    <definedName name="DiasDaSemana" localSheetId="3">{"SEGUNDA-FEIRA","TERÇA-FEIRA","QUARTA-FEIRA","QUINTA-FEIRA","SEXTA-FEIRA","SÁBADO","DOMINGO"}</definedName>
    <definedName name="DiasDaSemana" localSheetId="13">{"SEGUNDA-FEIRA","TERÇA-FEIRA","QUARTA-FEIRA","QUINTA-FEIRA","SEXTA-FEIRA","SÁBADO","DOMINGO"}</definedName>
    <definedName name="DiasDaSemana" localSheetId="9">{"SEGUNDA-FEIRA","TERÇA-FEIRA","QUARTA-FEIRA","QUINTA-FEIRA","SEXTA-FEIRA","SÁBADO","DOMINGO"}</definedName>
    <definedName name="DiasDaSemana" localSheetId="14">{"SEGUNDA-FEIRA","TERÇA-FEIRA","QUARTA-FEIRA","QUINTA-FEIRA","SEXTA-FEIRA","SÁBADO","DOMINGO"}</definedName>
    <definedName name="DiasDaSemana" localSheetId="10">{"SEGUNDA-FEIRA","TERÇA-FEIRA","QUARTA-FEIRA","QUINTA-FEIRA","SEXTA-FEIRA","SÁBADO","DOMINGO"}</definedName>
    <definedName name="DiasDaSemana" localSheetId="5">{"SEGUNDA-FEIRA","TERÇA-FEIRA","QUARTA-FEIRA","QUINTA-FEIRA","SEXTA-FEIRA","SÁBADO","DOMINGO"}</definedName>
    <definedName name="DiasDaSemana" localSheetId="4">{"SEGUNDA-FEIRA","TERÇA-FEIRA","QUARTA-FEIRA","QUINTA-FEIRA","SEXTA-FEIRA","SÁBADO","DOMINGO"}</definedName>
    <definedName name="DiasDaSemana" localSheetId="12">{"SEGUNDA-FEIRA","TERÇA-FEIRA","QUARTA-FEIRA","QUINTA-FEIRA","SEXTA-FEIRA","SÁBADO","DOMINGO"}</definedName>
    <definedName name="DiasDaSemana" localSheetId="8">{"SEGUNDA-FEIRA","TERÇA-FEIRA","QUARTA-FEIRA","QUINTA-FEIRA","SEXTA-FEIRA","SÁBADO","DOMINGO"}</definedName>
    <definedName name="DiasDaSemana">{"SEGUNDA-FEIRA","TERÇA-FEIRA","QUARTA-FEIRA","QUINTA-FEIRA","SEXTA-FEIRA","SÁBADO","DOMINGO"}</definedName>
    <definedName name="DIAUTEIS">#REF!</definedName>
    <definedName name="Div1Exp">#REF!</definedName>
    <definedName name="Div398Exp">#REF!</definedName>
    <definedName name="Div398Full">#REF!</definedName>
    <definedName name="Div399Exp">#REF!</definedName>
    <definedName name="Div399Full">#REF!</definedName>
    <definedName name="Div399Sapatilhas">#REF!</definedName>
    <definedName name="Div570Full">#REF!</definedName>
    <definedName name="Div700Full">#REF!</definedName>
    <definedName name="Dom_Carna">#N/A</definedName>
    <definedName name="Dom_Páscoa">#N/A</definedName>
    <definedName name="DRE">#REF!</definedName>
    <definedName name="dtprev">#REF!</definedName>
    <definedName name="Dublagem.Plan_01">#REF!</definedName>
    <definedName name="e">#REF!</definedName>
    <definedName name="edc">#REF!</definedName>
    <definedName name="edwe2">#REF!</definedName>
    <definedName name="Eletromecanica">"40.01.03.02.??"</definedName>
    <definedName name="Encragos">#REF!</definedName>
    <definedName name="EQUIPAMENTO">#REF!</definedName>
    <definedName name="EquiTaxas">#REF!</definedName>
    <definedName name="equival">#REF!</definedName>
    <definedName name="equivalencia">#REF!</definedName>
    <definedName name="erty">#REF!</definedName>
    <definedName name="estoques">#REF!</definedName>
    <definedName name="EtiqPlast">#REF!</definedName>
    <definedName name="eu" hidden="1">#REF!</definedName>
    <definedName name="EVEREST">#REF!</definedName>
    <definedName name="exc" hidden="1">#REF!</definedName>
    <definedName name="exccodferram">#REF!</definedName>
    <definedName name="exccodprodut">#REF!</definedName>
    <definedName name="excdessucinta">#REF!</definedName>
    <definedName name="Excel_BuiltIn__FilterDatabase_8">#REF!</definedName>
    <definedName name="excqtdferram">#REF!</definedName>
    <definedName name="Exibir_Dat_Com">#REF!</definedName>
    <definedName name="Exibir_Fer_EUA">#REF!</definedName>
    <definedName name="Exibir_Fer_Nac">#REF!</definedName>
    <definedName name="Exp">#REF!</definedName>
    <definedName name="Expardido">#REF!</definedName>
    <definedName name="F">#REF!</definedName>
    <definedName name="Fáb.Palmilh.Plan_01">#REF!</definedName>
    <definedName name="Fab05plas">#REF!</definedName>
    <definedName name="Fab06plas">#REF!</definedName>
    <definedName name="Fab07plas">#REF!</definedName>
    <definedName name="FAMILIAS">#REF!</definedName>
    <definedName name="fcs_desenho">#REF!</definedName>
    <definedName name="fcs_ter2">#REF!</definedName>
    <definedName name="FemD">#REF!</definedName>
    <definedName name="feri">#REF!</definedName>
    <definedName name="FERIADO">#REF!</definedName>
    <definedName name="feriados">#REF!</definedName>
    <definedName name="Fev">#REF!</definedName>
    <definedName name="ff" hidden="1">#REF!</definedName>
    <definedName name="ffff">#REF!</definedName>
    <definedName name="ffffff">#REF!</definedName>
    <definedName name="FiltrarBancoDados2" hidden="1">#REF!</definedName>
    <definedName name="Flávio">#REF!</definedName>
    <definedName name="fluxos">#REF!</definedName>
    <definedName name="formula">#REF!</definedName>
    <definedName name="Forraç.Palm.Plan_01">#REF!</definedName>
    <definedName name="Fortplas">#REF!</definedName>
    <definedName name="fraude">#REF!</definedName>
    <definedName name="freio">#REF!</definedName>
    <definedName name="FullPlastic">"40.01.05.12.0?"</definedName>
    <definedName name="funcao_mf">#REF!</definedName>
    <definedName name="g">#REF!</definedName>
    <definedName name="Geral">#REF!</definedName>
    <definedName name="GERALPLAS">#REF!</definedName>
    <definedName name="Gerentes">INDIRECT("Graficos!BC1:BC"&amp;COUNTIF(INDIRECT("Graficos!BC1:BC25"),"&lt;&gt;0"))</definedName>
    <definedName name="gg">#REF!</definedName>
    <definedName name="Gra_price">#REF!</definedName>
    <definedName name="Gra_Sac">#REF!</definedName>
    <definedName name="grafico_vpl">#REF!</definedName>
    <definedName name="grafpe">#REF!</definedName>
    <definedName name="GrafPrice">#REF!</definedName>
    <definedName name="Grendha">#REF!</definedName>
    <definedName name="Grupo">#REF!</definedName>
    <definedName name="h">#REF!</definedName>
    <definedName name="hdg" hidden="1">#REF!</definedName>
    <definedName name="HORÁCIO">#REF!</definedName>
    <definedName name="HotstamppLAS">#REF!</definedName>
    <definedName name="hur">#REF!</definedName>
    <definedName name="Impregnação">"40.01.05.15.??"</definedName>
    <definedName name="inc">#REF!</definedName>
    <definedName name="incert">#REF!</definedName>
    <definedName name="ind">#REF!</definedName>
    <definedName name="ìnd_list">#REF!</definedName>
    <definedName name="indicadores">#REF!</definedName>
    <definedName name="indicadores2">#REF!</definedName>
    <definedName name="InfD">#REF!</definedName>
    <definedName name="Inicial">#REF!</definedName>
    <definedName name="InícioDaSemana">#REF!</definedName>
    <definedName name="INJEÇÃO">#REF!</definedName>
    <definedName name="input">#REF!</definedName>
    <definedName name="Interno">#REF!</definedName>
    <definedName name="io">#REF!</definedName>
    <definedName name="iopq">#REF!</definedName>
    <definedName name="Ipanema">#REF!</definedName>
    <definedName name="iuy">#REF!</definedName>
    <definedName name="Jan">#REF!</definedName>
    <definedName name="JCI">#REF!</definedName>
    <definedName name="JCN">#REF!</definedName>
    <definedName name="JCVF">#REF!</definedName>
    <definedName name="JCVP">#REF!</definedName>
    <definedName name="JSI">#REF!</definedName>
    <definedName name="JSN">#REF!</definedName>
    <definedName name="JSVF">#REF!</definedName>
    <definedName name="JSVP">#REF!</definedName>
    <definedName name="Jul">#REF!</definedName>
    <definedName name="Jun">#REF!</definedName>
    <definedName name="k">#REF!</definedName>
    <definedName name="k_area">#REF!</definedName>
    <definedName name="k_desgual">#REF!</definedName>
    <definedName name="k_vpl">#REF!</definedName>
    <definedName name="kjldfjkdf">#REF!</definedName>
    <definedName name="kkk" hidden="1">#REF!</definedName>
    <definedName name="kl" hidden="1">#REF!</definedName>
    <definedName name="Laboratorio">"40.01.11.04.??"</definedName>
    <definedName name="layout">#REF!</definedName>
    <definedName name="legenda">#REF!</definedName>
    <definedName name="limpa_totunit">#REF!,#REF!,#REF!,#REF!,#REF!,#REF!,#REF!,#REF!,#REF!,#REF!,#REF!,#REF!,#REF!,#REF!</definedName>
    <definedName name="limpeza">#REF!</definedName>
    <definedName name="lista">#REF!</definedName>
    <definedName name="lo">#REF!</definedName>
    <definedName name="local_ter1">#REF!</definedName>
    <definedName name="LSmvc2001">#REF!</definedName>
    <definedName name="m">#REF!</definedName>
    <definedName name="Macro">#REF!</definedName>
    <definedName name="Macro1">#REF!</definedName>
    <definedName name="Macro3">#REF!</definedName>
    <definedName name="Mai">#REF!</definedName>
    <definedName name="Manual">#REF!</definedName>
    <definedName name="Manutencao2">"40.01.01.02.??"</definedName>
    <definedName name="Manutencao3">"40.01.03.05.??"</definedName>
    <definedName name="Mar">#REF!</definedName>
    <definedName name="MARÇO">#REF!</definedName>
    <definedName name="MasD">#REF!</definedName>
    <definedName name="MatFin">#REF!</definedName>
    <definedName name="MatFinanceira">#REF!</definedName>
    <definedName name="Matrizaria">"40.01.03.06.??"</definedName>
    <definedName name="MD" localSheetId="3">_L1C2</definedName>
    <definedName name="MD" localSheetId="15">_L1C2</definedName>
    <definedName name="MD" localSheetId="13">_L1C2</definedName>
    <definedName name="MD" localSheetId="9">_L1C2</definedName>
    <definedName name="MD" localSheetId="14">_L1C2</definedName>
    <definedName name="MD" localSheetId="10">_L1C2</definedName>
    <definedName name="MD" localSheetId="5">_L1C2</definedName>
    <definedName name="MD" localSheetId="4">_L1C2</definedName>
    <definedName name="MD" localSheetId="12">_L1C2</definedName>
    <definedName name="MD" localSheetId="8">_L1C2</definedName>
    <definedName name="MD">_L1C2</definedName>
    <definedName name="MDs" localSheetId="3">_L2C1</definedName>
    <definedName name="MDs" localSheetId="15">_L2C1</definedName>
    <definedName name="MDs" localSheetId="13">_L2C1</definedName>
    <definedName name="MDs" localSheetId="9">_L2C1</definedName>
    <definedName name="MDs" localSheetId="14">_L2C1</definedName>
    <definedName name="MDs" localSheetId="10">_L2C1</definedName>
    <definedName name="MDs" localSheetId="5">_L2C1</definedName>
    <definedName name="MDs" localSheetId="4">_L2C1</definedName>
    <definedName name="MDs" localSheetId="12">_L2C1</definedName>
    <definedName name="MDs" localSheetId="8">_L2C1</definedName>
    <definedName name="MDs">_L2C1</definedName>
    <definedName name="MELENA">#REF!</definedName>
    <definedName name="Melissa">#REF!</definedName>
    <definedName name="Menu1">#REF!</definedName>
    <definedName name="Menu2">#REF!</definedName>
    <definedName name="menuinicial">#REF!</definedName>
    <definedName name="MesCalc">#REF!</definedName>
    <definedName name="Meses" localSheetId="3">{"janeiro","fevereiro","março","abril","maio","junho","julho","agosto","setembro","outubro","novembro","dezembro"}</definedName>
    <definedName name="Meses" localSheetId="13">{"janeiro","fevereiro","março","abril","maio","junho","julho","agosto","setembro","outubro","novembro","dezembro"}</definedName>
    <definedName name="Meses" localSheetId="9">{"janeiro","fevereiro","março","abril","maio","junho","julho","agosto","setembro","outubro","novembro","dezembro"}</definedName>
    <definedName name="Meses" localSheetId="14">{"janeiro","fevereiro","março","abril","maio","junho","julho","agosto","setembro","outubro","novembro","dezembro"}</definedName>
    <definedName name="Meses" localSheetId="10">{"janeiro","fevereiro","março","abril","maio","junho","julho","agosto","setembro","outubro","novembro","dezembro"}</definedName>
    <definedName name="Meses" localSheetId="5">{"janeiro","fevereiro","março","abril","maio","junho","julho","agosto","setembro","outubro","novembro","dezembro"}</definedName>
    <definedName name="Meses" localSheetId="4">{"janeiro","fevereiro","março","abril","maio","junho","julho","agosto","setembro","outubro","novembro","dezembro"}</definedName>
    <definedName name="Meses" localSheetId="12">{"janeiro","fevereiro","março","abril","maio","junho","julho","agosto","setembro","outubro","novembro","dezembro"}</definedName>
    <definedName name="Meses" localSheetId="8">{"janeiro","fevereiro","março","abril","maio","junho","julho","agosto","setembro","outubro","novembro","dezembro"}</definedName>
    <definedName name="Meses">{"janeiro","fevereiro","março","abril","maio","junho","julho","agosto","setembro","outubro","novembro","dezembro"}</definedName>
    <definedName name="MesNegociado">#REF!</definedName>
    <definedName name="Meta">#REF!</definedName>
    <definedName name="Mis">#REF!</definedName>
    <definedName name="Mistura">"40.01.02.03.??"</definedName>
    <definedName name="mnbvcxz">#REF!</definedName>
    <definedName name="MOD">#REF!</definedName>
    <definedName name="modelo">#REF!</definedName>
    <definedName name="ModeloGeral">#REF!</definedName>
    <definedName name="ModeloGeralDatas">#REF!</definedName>
    <definedName name="ModeloGeralDias">#REF!</definedName>
    <definedName name="ModeloGeralFeriados">#REF!</definedName>
    <definedName name="ModeloGeralTaxas">#REF!</definedName>
    <definedName name="Modelos">#REF!</definedName>
    <definedName name="moeda">#REF!</definedName>
    <definedName name="Moinho">"40.01.05.18.??"</definedName>
    <definedName name="moncar">#REF!</definedName>
    <definedName name="Mont">#REF!</definedName>
    <definedName name="MONTAGEM">#REF!</definedName>
    <definedName name="Montagem.Plan_01">#REF!</definedName>
    <definedName name="MontagemA">"40.01.05.01.11"</definedName>
    <definedName name="MontagemB">"40.01.05.01.32"</definedName>
    <definedName name="MontagemGrades">"40.01.01.06.??"</definedName>
    <definedName name="montecarlo">#REF!</definedName>
    <definedName name="Montplas">#REF!</definedName>
    <definedName name="MP">#REF!</definedName>
    <definedName name="MultiplicadorSalario">#REF!</definedName>
    <definedName name="MY">#REF!</definedName>
    <definedName name="n" hidden="1">#REF!</definedName>
    <definedName name="não">#REF!</definedName>
    <definedName name="Nao_Uniforme">#REF!,#REF!</definedName>
    <definedName name="NOBUCK">#REF!</definedName>
    <definedName name="notafiscal">#REF!</definedName>
    <definedName name="Nov">#REF!</definedName>
    <definedName name="nova" hidden="1">#REF!</definedName>
    <definedName name="nper">#REF!</definedName>
    <definedName name="nsimu">#REF!</definedName>
    <definedName name="numprioridade">#REF!</definedName>
    <definedName name="obr_3">#REF!</definedName>
    <definedName name="obr_4">#REF!</definedName>
    <definedName name="oiu">#REF!</definedName>
    <definedName name="ol">#REF!</definedName>
    <definedName name="OOOO">#REF!</definedName>
    <definedName name="op_datas">#REF!</definedName>
    <definedName name="op_taxas">#REF!</definedName>
    <definedName name="opcoes">#REF!</definedName>
    <definedName name="opcoesreais">#REF!</definedName>
    <definedName name="Operações">#REF!</definedName>
    <definedName name="Out">#REF!</definedName>
    <definedName name="outrasf">#REF!</definedName>
    <definedName name="P">#REF!</definedName>
    <definedName name="Padrões">#REF!</definedName>
    <definedName name="Painel_1ªFatia">#REF!</definedName>
    <definedName name="parametros">#REF!</definedName>
    <definedName name="PBD">#REF!</definedName>
    <definedName name="pçl">#REF!</definedName>
    <definedName name="per">#REF!</definedName>
    <definedName name="periodo_selecionado">#REF!</definedName>
    <definedName name="PeriodoInPlanejado">#REF!=MEDIAN(#REF!,#REF!,#REF!+#REF!-1)</definedName>
    <definedName name="PeriodoInReal">#REF!=MEDIAN(#REF!,#REF!,#REF!+#REF!-1)</definedName>
    <definedName name="pgto">#REF!</definedName>
    <definedName name="pi">#REF!</definedName>
    <definedName name="PINTURA">#REF!</definedName>
    <definedName name="Pintura.Plan_01">#REF!</definedName>
    <definedName name="pl">#REF!</definedName>
    <definedName name="plan_cont">#REF!</definedName>
    <definedName name="Planificada">"40.01.05.10.??"</definedName>
    <definedName name="Plano" localSheetId="3">PeriodoInPlanejado*(#REF!&gt;0)</definedName>
    <definedName name="Plano" localSheetId="13">[0]!PeriodoInPlanejado*(#REF!&gt;0)</definedName>
    <definedName name="Plano" localSheetId="9">[0]!PeriodoInPlanejado*(#REF!&gt;0)</definedName>
    <definedName name="Plano" localSheetId="14">[0]!PeriodoInPlanejado*(#REF!&gt;0)</definedName>
    <definedName name="Plano" localSheetId="10">[0]!PeriodoInPlanejado*(#REF!&gt;0)</definedName>
    <definedName name="Plano" localSheetId="5">PeriodoInPlanejado*(#REF!&gt;0)</definedName>
    <definedName name="Plano" localSheetId="4">PeriodoInPlanejado*(#REF!&gt;0)</definedName>
    <definedName name="Plano" localSheetId="12">[0]!PeriodoInPlanejado*(#REF!&gt;0)</definedName>
    <definedName name="Plano" localSheetId="8">[0]!PeriodoInPlanejado*(#REF!&gt;0)</definedName>
    <definedName name="Plano">PeriodoInPlanejado*(#REF!&gt;0)</definedName>
    <definedName name="plano_de_contas">#REF!</definedName>
    <definedName name="PLASTISOL">#REF!</definedName>
    <definedName name="PLASTISOL_11">#REF!</definedName>
    <definedName name="PLASTISOL_12">#REF!</definedName>
    <definedName name="PLASTISOL_13">#REF!</definedName>
    <definedName name="po">#REF!</definedName>
    <definedName name="poi">#REF!</definedName>
    <definedName name="Ponte.Plan_01">#REF!</definedName>
    <definedName name="PorcentagemConcluída" localSheetId="3">PorcentagemConcluídaPosterior*PeriodoInPlanejado</definedName>
    <definedName name="PorcentagemConcluída" localSheetId="13">[0]!PorcentagemConcluídaPosterior*[0]!PeriodoInPlanejado</definedName>
    <definedName name="PorcentagemConcluída" localSheetId="9">[0]!PorcentagemConcluídaPosterior*[0]!PeriodoInPlanejado</definedName>
    <definedName name="PorcentagemConcluída" localSheetId="14">[0]!PorcentagemConcluídaPosterior*[0]!PeriodoInPlanejado</definedName>
    <definedName name="PorcentagemConcluída" localSheetId="10">[0]!PorcentagemConcluídaPosterior*[0]!PeriodoInPlanejado</definedName>
    <definedName name="PorcentagemConcluída" localSheetId="5">PorcentagemConcluídaPosterior*PeriodoInPlanejado</definedName>
    <definedName name="PorcentagemConcluída" localSheetId="4">PorcentagemConcluídaPosterior*PeriodoInPlanejado</definedName>
    <definedName name="PorcentagemConcluída" localSheetId="12">[0]!PorcentagemConcluídaPosterior*[0]!PeriodoInPlanejado</definedName>
    <definedName name="PorcentagemConcluída" localSheetId="8">[0]!PorcentagemConcluídaPosterior*[0]!PeriodoInPlanejado</definedName>
    <definedName name="PorcentagemConcluída">PorcentagemConcluídaPosterior*PeriodoInPlanejado</definedName>
    <definedName name="PorcentagemConcluídaPosterior">(#REF!=MEDIAN(#REF!,#REF!,#REF!+#REF!)*(#REF!&gt;0))*((#REF!&lt;(INT(#REF!+#REF!*#REF!)))+(#REF!=#REF!))*(#REF!&gt;0)</definedName>
    <definedName name="pqp">#REF!</definedName>
    <definedName name="PQPS">#REF!</definedName>
    <definedName name="Pré_MontagemA">"40.01.05.01.31"</definedName>
    <definedName name="Pré_MontagemB">"40.01.05.01.52"</definedName>
    <definedName name="Preparação_de_materiais">"40.01.05.11.??"</definedName>
    <definedName name="Previsao">#REF!</definedName>
    <definedName name="Price">#REF!</definedName>
    <definedName name="price2">#REF!</definedName>
    <definedName name="Print_Area_MI">#REF!</definedName>
    <definedName name="Prod.Plan_01">#REF!</definedName>
    <definedName name="proxquest">#REF!</definedName>
    <definedName name="pu">#REF!</definedName>
    <definedName name="py">#REF!</definedName>
    <definedName name="q">#REF!</definedName>
    <definedName name="qaz">#REF!</definedName>
    <definedName name="qq" hidden="1">#REF!</definedName>
    <definedName name="qqqq">#REF!</definedName>
    <definedName name="qtdferram">#REF!</definedName>
    <definedName name="qtdferramentas">#REF!</definedName>
    <definedName name="qtdmanut">#REF!</definedName>
    <definedName name="quadro">#REF!</definedName>
    <definedName name="QuadroRH">#REF!</definedName>
    <definedName name="qw">#REF!</definedName>
    <definedName name="qwa">#REF!</definedName>
    <definedName name="qwasde">#REF!</definedName>
    <definedName name="qwe">#REF!</definedName>
    <definedName name="qwedsa">#REF!</definedName>
    <definedName name="qwer">#REF!</definedName>
    <definedName name="qwerf">#REF!</definedName>
    <definedName name="qwert">#REF!</definedName>
    <definedName name="qwerty">#REF!</definedName>
    <definedName name="qwertyu">#REF!</definedName>
    <definedName name="rdd">#REF!</definedName>
    <definedName name="re">#REF!,#REF!,#REF!,#REF!,#REF!</definedName>
    <definedName name="Real" localSheetId="3">(PeriodoInReal*(#REF!&gt;0))*PeriodoInPlanejado</definedName>
    <definedName name="Real" localSheetId="13">([0]!PeriodoInReal*(#REF!&gt;0))*[0]!PeriodoInPlanejado</definedName>
    <definedName name="Real" localSheetId="9">([0]!PeriodoInReal*(#REF!&gt;0))*[0]!PeriodoInPlanejado</definedName>
    <definedName name="Real" localSheetId="14">([0]!PeriodoInReal*(#REF!&gt;0))*[0]!PeriodoInPlanejado</definedName>
    <definedName name="Real" localSheetId="10">([0]!PeriodoInReal*(#REF!&gt;0))*[0]!PeriodoInPlanejado</definedName>
    <definedName name="Real" localSheetId="5">(PeriodoInReal*(#REF!&gt;0))*PeriodoInPlanejado</definedName>
    <definedName name="Real" localSheetId="4">(PeriodoInReal*(#REF!&gt;0))*PeriodoInPlanejado</definedName>
    <definedName name="Real" localSheetId="12">([0]!PeriodoInReal*(#REF!&gt;0))*[0]!PeriodoInPlanejado</definedName>
    <definedName name="Real" localSheetId="8">([0]!PeriodoInReal*(#REF!&gt;0))*[0]!PeriodoInPlanejado</definedName>
    <definedName name="Real">(PeriodoInReal*(#REF!&gt;0))*PeriodoInPlanejado</definedName>
    <definedName name="RealPosterior" localSheetId="3">PeriodoInReal*(#REF!&gt;0)</definedName>
    <definedName name="RealPosterior" localSheetId="13">[0]!PeriodoInReal*(#REF!&gt;0)</definedName>
    <definedName name="RealPosterior" localSheetId="9">[0]!PeriodoInReal*(#REF!&gt;0)</definedName>
    <definedName name="RealPosterior" localSheetId="14">[0]!PeriodoInReal*(#REF!&gt;0)</definedName>
    <definedName name="RealPosterior" localSheetId="10">[0]!PeriodoInReal*(#REF!&gt;0)</definedName>
    <definedName name="RealPosterior" localSheetId="5">PeriodoInReal*(#REF!&gt;0)</definedName>
    <definedName name="RealPosterior" localSheetId="4">PeriodoInReal*(#REF!&gt;0)</definedName>
    <definedName name="RealPosterior" localSheetId="12">[0]!PeriodoInReal*(#REF!&gt;0)</definedName>
    <definedName name="RealPosterior" localSheetId="8">[0]!PeriodoInReal*(#REF!&gt;0)</definedName>
    <definedName name="RealPosterior">PeriodoInReal*(#REF!&gt;0)</definedName>
    <definedName name="Recorte.Plan_01">#REF!</definedName>
    <definedName name="Reduzidos" hidden="1">#REF!</definedName>
    <definedName name="RegiãoTítuloColuna1..H12.1">#REF!</definedName>
    <definedName name="RegiãoTítuloColuna10..H54.1">#REF!</definedName>
    <definedName name="RegiãoTítuloColuna11..C56.1">#REF!</definedName>
    <definedName name="RegiãoTítuloColuna12..D56.1">#REF!</definedName>
    <definedName name="RegiãoTítuloColuna13..H68.1">#REF!</definedName>
    <definedName name="RegiãoTítuloColuna14..C70.1">#REF!</definedName>
    <definedName name="RegiãoTítuloColuna15..D70.1">#REF!</definedName>
    <definedName name="RegiãoTítuloColuna16..H82.1">#REF!</definedName>
    <definedName name="RegiãoTítuloColuna17..C84.1">#REF!</definedName>
    <definedName name="RegiãoTítuloColuna18..D84.1">#REF!</definedName>
    <definedName name="RegiãoTítuloColuna19..H96.1">#REF!</definedName>
    <definedName name="RegiãoTítuloColuna2..C14.1">#REF!</definedName>
    <definedName name="RegiãoTítuloColuna20..C98.1">#REF!</definedName>
    <definedName name="RegiãoTítuloColuna21..D98.1">#REF!</definedName>
    <definedName name="RegiãoTítuloColuna22..H110.1">#REF!</definedName>
    <definedName name="RegiãoTítuloColuna23..C112.1">#REF!</definedName>
    <definedName name="RegiãoTítuloColuna24..D112.1">#REF!</definedName>
    <definedName name="RegiãoTítuloColuna25..H124.1">#REF!</definedName>
    <definedName name="RegiãoTítuloColuna26..C126.1">#REF!</definedName>
    <definedName name="RegiãoTítuloColuna27..D126.1">#REF!</definedName>
    <definedName name="RegiãoTítuloColuna28..H138.1">#REF!</definedName>
    <definedName name="RegiãoTítuloColuna29..C140.1">#REF!</definedName>
    <definedName name="RegiãoTítuloColuna3..D14.1">#REF!</definedName>
    <definedName name="RegiãoTítuloColuna30..D140.1">#REF!</definedName>
    <definedName name="RegiãoTítuloColuna31..H152.1">#REF!</definedName>
    <definedName name="RegiãoTítuloColuna32..C154.1">#REF!</definedName>
    <definedName name="RegiãoTítuloColuna33..D154.1">#REF!</definedName>
    <definedName name="RegiãoTítuloColuna34..H166.1">#REF!</definedName>
    <definedName name="RegiãoTítuloColuna35..C168.1">#REF!</definedName>
    <definedName name="RegiãoTítuloColuna36..D168.1">#REF!</definedName>
    <definedName name="RegiãoTítuloColuna4..H26.1">#REF!</definedName>
    <definedName name="RegiãoTítuloColuna5..C28.1">#REF!</definedName>
    <definedName name="RegiãoTítuloColuna6..D28.1">#REF!</definedName>
    <definedName name="RegiãoTítuloColuna7..H40.1">#REF!</definedName>
    <definedName name="RegiãoTítuloColuna8..C42.1">#REF!</definedName>
    <definedName name="RegiãoTítuloColuna9..D42.1">#REF!</definedName>
    <definedName name="REGIMES">#REF!</definedName>
    <definedName name="resp">#REF!</definedName>
    <definedName name="resumo">#REF!</definedName>
    <definedName name="rew">#REF!</definedName>
    <definedName name="rfv">#REF!</definedName>
    <definedName name="RIVER">#REF!</definedName>
    <definedName name="Rolar3">#REF!</definedName>
    <definedName name="rrrr" hidden="1">#REF!</definedName>
    <definedName name="rt">#REF!</definedName>
    <definedName name="rtf">#REF!</definedName>
    <definedName name="rtyu">#REF!</definedName>
    <definedName name="S_N_U">#REF!</definedName>
    <definedName name="SAC">#REF!</definedName>
    <definedName name="saldo" localSheetId="3">_L208C4</definedName>
    <definedName name="saldo" localSheetId="15">_L208C4</definedName>
    <definedName name="saldo" localSheetId="13">_L208C4</definedName>
    <definedName name="saldo" localSheetId="9">_L208C4</definedName>
    <definedName name="saldo" localSheetId="14">_L208C4</definedName>
    <definedName name="saldo" localSheetId="10">_L208C4</definedName>
    <definedName name="saldo" localSheetId="5">_L208C4</definedName>
    <definedName name="saldo" localSheetId="4">_L208C4</definedName>
    <definedName name="saldo" localSheetId="12">_L208C4</definedName>
    <definedName name="saldo" localSheetId="8">_L208C4</definedName>
    <definedName name="saldo">_L208C4</definedName>
    <definedName name="ScrollVal">#REF!</definedName>
    <definedName name="ScrollVal2">#REF!</definedName>
    <definedName name="Seg_Carna" localSheetId="3">Dom_Páscoa-48</definedName>
    <definedName name="Seg_Carna" localSheetId="13">[0]!Dom_Páscoa-48</definedName>
    <definedName name="Seg_Carna" localSheetId="9">[0]!Dom_Páscoa-48</definedName>
    <definedName name="Seg_Carna" localSheetId="14">[0]!Dom_Páscoa-48</definedName>
    <definedName name="Seg_Carna" localSheetId="10">[0]!Dom_Páscoa-48</definedName>
    <definedName name="Seg_Carna" localSheetId="5">Dom_Páscoa-48</definedName>
    <definedName name="Seg_Carna" localSheetId="4">Dom_Páscoa-48</definedName>
    <definedName name="Seg_Carna" localSheetId="12">[0]!Dom_Páscoa-48</definedName>
    <definedName name="Seg_Carna" localSheetId="8">[0]!Dom_Páscoa-48</definedName>
    <definedName name="Seg_Carna">Dom_Páscoa-48</definedName>
    <definedName name="SemanalInjeção">#REF!</definedName>
    <definedName name="SemanalMontagem">#REF!</definedName>
    <definedName name="SemanalPintura">#REF!</definedName>
    <definedName name="SemanalPlastisol">#REF!</definedName>
    <definedName name="seq_periodo">#REF!</definedName>
    <definedName name="SEQUENCIA">#REF!</definedName>
    <definedName name="Serig.Plan_01">#REF!</definedName>
    <definedName name="Set">#REF!</definedName>
    <definedName name="setor">#REF!</definedName>
    <definedName name="SFIN">#REF!</definedName>
    <definedName name="SI">#REF!</definedName>
    <definedName name="sis">#REF!</definedName>
    <definedName name="sistemas">#REF!</definedName>
    <definedName name="sistemas2">#REF!</definedName>
    <definedName name="SN">#REF!</definedName>
    <definedName name="SNUTD">#REF!</definedName>
    <definedName name="SNUTI">#REF!</definedName>
    <definedName name="Sola.Plan_01">#REF!</definedName>
    <definedName name="SolucaoBD">#REF!</definedName>
    <definedName name="solver">#REF!</definedName>
    <definedName name="SPMT">#REF!</definedName>
    <definedName name="SS" hidden="1">#REF!</definedName>
    <definedName name="step">#REF!</definedName>
    <definedName name="Sup_CorteP2" comment="Corte T2-&gt; 40.01.06.06.02">"40.01.06.06.02"</definedName>
    <definedName name="Sup_Costura">"40.01.06.04.??"</definedName>
    <definedName name="Sup_Expandido">"40.01.06.27.0?"</definedName>
    <definedName name="Sup_FullPlastic">"40.01.06.11.??"</definedName>
    <definedName name="Sup_Mistura">"40.01.06.17.??"</definedName>
    <definedName name="Sup_montagem">"40.01.06.01.??"</definedName>
    <definedName name="sup_Montagem2">"40.01.06.22"</definedName>
    <definedName name="Sup_Montagem3" comment="Lotação de filipi Dalenogare">"40.01.06.22"</definedName>
    <definedName name="Sup_MontagemGrades">"40.01.06.28.??"</definedName>
    <definedName name="Sup_Planificada">"40.01.06.26.??"</definedName>
    <definedName name="Sup_Pré_Montagem">"40.01.06.22.??"</definedName>
    <definedName name="Sup_Pré_Montagem2">"40.01.05.01.52"</definedName>
    <definedName name="Sup_Rachadeira">"40.01.06.21.??"</definedName>
    <definedName name="Sup_Recorte">"40.01.06.25.??"</definedName>
    <definedName name="Sup_Serigrafia">"40.01.06.07.??"</definedName>
    <definedName name="Sup_TratamentoSuperficie">"40.01.18.01.??"</definedName>
    <definedName name="Sup_Vulcanizacao">"40.01.06.18.??"</definedName>
    <definedName name="SVF">#REF!</definedName>
    <definedName name="SVP">#REF!</definedName>
    <definedName name="t_desiguais">#REF!</definedName>
    <definedName name="tabeladinan">#REF!</definedName>
    <definedName name="taxa">#REF!</definedName>
    <definedName name="taxas">#REF!</definedName>
    <definedName name="taxas_01">#REF!</definedName>
    <definedName name="taxas_02">#REF!</definedName>
    <definedName name="Ter_Carna" localSheetId="3">Dom_Páscoa-47</definedName>
    <definedName name="Ter_Carna" localSheetId="13">[0]!Dom_Páscoa-47</definedName>
    <definedName name="Ter_Carna" localSheetId="9">[0]!Dom_Páscoa-47</definedName>
    <definedName name="Ter_Carna" localSheetId="14">[0]!Dom_Páscoa-47</definedName>
    <definedName name="Ter_Carna" localSheetId="10">[0]!Dom_Páscoa-47</definedName>
    <definedName name="Ter_Carna" localSheetId="5">Dom_Páscoa-47</definedName>
    <definedName name="Ter_Carna" localSheetId="4">Dom_Páscoa-47</definedName>
    <definedName name="Ter_Carna" localSheetId="12">[0]!Dom_Páscoa-47</definedName>
    <definedName name="Ter_Carna" localSheetId="8">[0]!Dom_Páscoa-47</definedName>
    <definedName name="Ter_Carna">Dom_Páscoa-47</definedName>
    <definedName name="test">"Edit Box 198"</definedName>
    <definedName name="Teste" hidden="1">#REF!</definedName>
    <definedName name="tgb">#REF!</definedName>
    <definedName name="tipo">#REF!</definedName>
    <definedName name="tipo2">#REF!</definedName>
    <definedName name="tipo3">#REF!</definedName>
    <definedName name="TIPOS">#REF!</definedName>
    <definedName name="Tiras.Plan_01">#REF!</definedName>
    <definedName name="todos">#REF!,#REF!,#REF!,#REF!,#REF!</definedName>
    <definedName name="TOKIOMAI">#REF!</definedName>
    <definedName name="tornad">#REF!</definedName>
    <definedName name="tornado">#REF!</definedName>
    <definedName name="total_Cost">#REF!</definedName>
    <definedName name="total_Cost_4">#REF!</definedName>
    <definedName name="Tráfego">#REF!</definedName>
    <definedName name="tre">#REF!</definedName>
    <definedName name="TT">#REF!</definedName>
    <definedName name="twq">#REF!</definedName>
    <definedName name="ui">#REF!</definedName>
    <definedName name="ujm">#REF!</definedName>
    <definedName name="UMVC_2001">#REF!</definedName>
    <definedName name="Upvc_2001">#REF!</definedName>
    <definedName name="UPVC_99">#REF!</definedName>
    <definedName name="USA">#REF!</definedName>
    <definedName name="ut">#REF!</definedName>
    <definedName name="uuuuuu">#REF!</definedName>
    <definedName name="uyt">#REF!</definedName>
    <definedName name="V">#REF!</definedName>
    <definedName name="ValorDoInícioDaSemana" localSheetId="3">IF(InícioDaSemana="SEGUNDA-FEIRA",2,1)</definedName>
    <definedName name="ValorDoInícioDaSemana" localSheetId="13">IF([0]!InícioDaSemana="SEGUNDA-FEIRA",2,1)</definedName>
    <definedName name="ValorDoInícioDaSemana" localSheetId="9">IF([0]!InícioDaSemana="SEGUNDA-FEIRA",2,1)</definedName>
    <definedName name="ValorDoInícioDaSemana" localSheetId="14">IF([0]!InícioDaSemana="SEGUNDA-FEIRA",2,1)</definedName>
    <definedName name="ValorDoInícioDaSemana" localSheetId="10">IF([0]!InícioDaSemana="SEGUNDA-FEIRA",2,1)</definedName>
    <definedName name="ValorDoInícioDaSemana" localSheetId="5">IF(InícioDaSemana="SEGUNDA-FEIRA",2,1)</definedName>
    <definedName name="ValorDoInícioDaSemana" localSheetId="4">IF(InícioDaSemana="SEGUNDA-FEIRA",2,1)</definedName>
    <definedName name="ValorDoInícioDaSemana" localSheetId="12">IF([0]!InícioDaSemana="SEGUNDA-FEIRA",2,1)</definedName>
    <definedName name="ValorDoInícioDaSemana" localSheetId="8">IF([0]!InícioDaSemana="SEGUNDA-FEIRA",2,1)</definedName>
    <definedName name="ValorDoInícioDaSemana">IF(InícioDaSemana="SEGUNDA-FEIRA",2,1)</definedName>
    <definedName name="valores">#REF!</definedName>
    <definedName name="vendas">#REF!</definedName>
    <definedName name="vendas_ano">#REF!</definedName>
    <definedName name="vendas_mes">#REF!</definedName>
    <definedName name="vf">#REF!</definedName>
    <definedName name="voltaind">#REF!</definedName>
    <definedName name="vp">#REF!</definedName>
    <definedName name="VPL">#REF!</definedName>
    <definedName name="vpl_area">#REF!</definedName>
    <definedName name="WARLOCK">#REF!</definedName>
    <definedName name="wert">#REF!</definedName>
    <definedName name="WINNER">#REF!</definedName>
    <definedName name="wsaq">#REF!</definedName>
    <definedName name="wsx">#REF!</definedName>
    <definedName name="ww">#REF!</definedName>
    <definedName name="Y">#REF!</definedName>
    <definedName name="yhn">#REF!</definedName>
    <definedName name="yuio">#REF!</definedName>
    <definedName name="YUMEI">#REF!</definedName>
    <definedName name="Z_00E655F9_7F5C_4D6D_B351_CECD158D1271_.wvu.FilterData" hidden="1">#REF!</definedName>
    <definedName name="Z_07F24D8C_E939_11DC_A60F_000103D55E81_.wvu.Cols" hidden="1">#REF!</definedName>
    <definedName name="Z_07F24D8C_E939_11DC_A60F_000103D55E81_.wvu.Rows" hidden="1">#REF!</definedName>
    <definedName name="Z_07F24D8E_E939_11DC_A60F_000103D55E81_.wvu.Cols" hidden="1">#REF!</definedName>
    <definedName name="Z_07F24D8E_E939_11DC_A60F_000103D55E81_.wvu.Rows" hidden="1">#REF!</definedName>
    <definedName name="Z_085F93A0_E1E1_48E0_8F70_6EDEF9EF2331_.wvu.Cols" hidden="1">#REF!</definedName>
    <definedName name="Z_085F93A0_E1E1_48E0_8F70_6EDEF9EF2331_.wvu.FilterData" hidden="1">#REF!</definedName>
    <definedName name="Z_0C025AEE_82D8_11DC_96CA_00E07D9CDB02_.wvu.FilterData" hidden="1">#REF!</definedName>
    <definedName name="Z_0E921A5B_9D16_41CA_AC8B_881AEC01BFAF_.wvu.FilterData" hidden="1">#REF!</definedName>
    <definedName name="Z_1AB724B9_4BFA_11DD_96CB_000C6E1CC180_.wvu.FilterData" hidden="1">#REF!</definedName>
    <definedName name="Z_1AB724B9_4BFA_11DD_96CB_000C6E1CC180_.wvu.PrintTitles" hidden="1">#REF!</definedName>
    <definedName name="Z_3925EAFB_30A4_4DC9_AF78_1A699EA66007_.wvu.FilterData" hidden="1">#REF!</definedName>
    <definedName name="Z_46E7A9AA_E4EB_42ED_892B_34EDCA30E509_.wvu.Cols" hidden="1">#REF!</definedName>
    <definedName name="Z_46E7A9AA_E4EB_42ED_892B_34EDCA30E509_.wvu.FilterData" hidden="1">#REF!</definedName>
    <definedName name="Z_4D56095E_6B52_4A26_B4AA_693F5EFF1DD2_.wvu.Cols" hidden="1">#REF!</definedName>
    <definedName name="Z_4D56095E_6B52_4A26_B4AA_693F5EFF1DD2_.wvu.FilterData" hidden="1">#REF!</definedName>
    <definedName name="Z_4F034DDF_5BF6_4759_B1B9_5CA60B3ED859_.wvu.PrintTitles" hidden="1">#REF!</definedName>
    <definedName name="Z_53516D74_EB5E_45A8_AEA0_14CE7B5D9485_.wvu.Cols" hidden="1">#REF!</definedName>
    <definedName name="Z_53516D74_EB5E_45A8_AEA0_14CE7B5D9485_.wvu.FilterData" hidden="1">#REF!</definedName>
    <definedName name="Z_547591B9_0DAD_4DBA_A773_C77C68BB0EDB_.wvu.FilterData" hidden="1">#REF!</definedName>
    <definedName name="Z_6BB755ED_31D9_4503_BEC1_BCB94B42D473_.wvu.FilterData" hidden="1">#REF!</definedName>
    <definedName name="Z_7E1E1E4C_CC09_410B_9FA8_2C3E97AE24EB_.wvu.FilterData" hidden="1">#REF!</definedName>
    <definedName name="Z_823D3360_D401_4581_A8E8_A2063608D7B1_.wvu.FilterData" hidden="1">#REF!</definedName>
    <definedName name="Z_94F0BF20_8212_11DC_96CB_0020ED786DAD_.wvu.Cols" hidden="1">#REF!</definedName>
    <definedName name="Z_94F0BF20_8212_11DC_96CB_0020ED786DAD_.wvu.FilterData" hidden="1">#REF!</definedName>
    <definedName name="Z_977FD170_E450_4EC5_9972_DFD4E67FC56E_.wvu.FilterData" hidden="1">#REF!</definedName>
    <definedName name="Z_9E508B80_85F6_11DC_AA40_0020ED786C12_.wvu.FilterData" hidden="1">#REF!</definedName>
    <definedName name="Z_9E508B81_85F6_11DC_AA40_0020ED786C12_.wvu.FilterData" hidden="1">#REF!</definedName>
    <definedName name="Z_A2C92209_5DC0_4E4C_AE85_B04AE30105C0_.wvu.FilterData" hidden="1">#REF!</definedName>
    <definedName name="Z_A2C92209_5DC0_4E4C_AE85_B04AE30105C0_.wvu.PrintTitles" hidden="1">#REF!</definedName>
    <definedName name="Z_A32AF960_806F_11DC_AA40_0020ED786C12_.wvu.Cols" hidden="1">#REF!</definedName>
    <definedName name="Z_A32AF960_806F_11DC_AA40_0020ED786C12_.wvu.FilterData" hidden="1">#REF!</definedName>
    <definedName name="Z_A4FC794E_0F8B_46D6_A1D6_68870399ACE6_.wvu.Cols" hidden="1">#REF!</definedName>
    <definedName name="Z_A4FC794E_0F8B_46D6_A1D6_68870399ACE6_.wvu.Rows" hidden="1">#REF!</definedName>
    <definedName name="Z_B64E8441_539A_458E_B4FA_8BB7B3F3228A_.wvu.Cols" hidden="1">#REF!</definedName>
    <definedName name="Z_B64E8441_539A_458E_B4FA_8BB7B3F3228A_.wvu.FilterData" hidden="1">#REF!</definedName>
    <definedName name="Z_B92336FE_9266_43E7_AD36_EC29041FA573_.wvu.PrintTitles" hidden="1">#REF!</definedName>
    <definedName name="Z_BC7EB469_EEBE_11DD_96CB_000C6E1CC180_.wvu.FilterData" hidden="1">#REF!</definedName>
    <definedName name="Z_BC7EB48F_EEBE_11DD_96CB_000C6E1CC180_.wvu.FilterData" hidden="1">#REF!</definedName>
    <definedName name="Z_C25AB578_1175_49EB_983C_E7E20D3778F8_.wvu.FilterData" hidden="1">#REF!</definedName>
    <definedName name="Z_C506F732_818D_42F9_A1D3_2396F4A35619_.wvu.FilterData" hidden="1">#REF!</definedName>
    <definedName name="Z_D5003804_BBD7_4F14_A4B7_6C6C5BBC2F30_.wvu.FilterData" hidden="1">#REF!</definedName>
    <definedName name="Z_EB34AC33_A44C_4A65_943D_E8C6ACC0925D_.wvu.FilterData" hidden="1">#REF!</definedName>
    <definedName name="Z_F7322755_83CA_46FA_9D7B_66CC04D6D661_.wvu.Cols" hidden="1">#REF!</definedName>
    <definedName name="Z_F7322755_83CA_46FA_9D7B_66CC04D6D661_.wvu.FilterData" hidden="1">#REF!</definedName>
    <definedName name="Z_F8F9E339_0856_47D4_BD02_CF598013F22C_.wvu.FilterData" hidden="1">#REF!</definedName>
    <definedName name="Z_FD18E000_7C86_11DC_96C9_00E07D9CDB02_.wvu.Cols" hidden="1">#REF!</definedName>
    <definedName name="Z_FD18E000_7C86_11DC_96C9_00E07D9CDB02_.wvu.FilterData" hidden="1">#REF!</definedName>
    <definedName name="Zoom3">#REF!</definedName>
    <definedName name="ZoomVal">#REF!</definedName>
    <definedName name="ZoomVal2">#REF!</definedName>
    <definedName name="zx">#REF!</definedName>
    <definedName name="zzz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0" l="1"/>
  <c r="AB3" i="22"/>
  <c r="R3" i="22"/>
  <c r="H3" i="22"/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H1013" i="10"/>
  <c r="H1014" i="10"/>
  <c r="H1015" i="10"/>
  <c r="H1016" i="10"/>
  <c r="H1017" i="10"/>
  <c r="H1018" i="10"/>
  <c r="H1019" i="10"/>
  <c r="H1020" i="10"/>
  <c r="H1021" i="10"/>
  <c r="H1022" i="10"/>
  <c r="H1023" i="10"/>
  <c r="H1024" i="10"/>
  <c r="H1025" i="10"/>
  <c r="H1026" i="10"/>
  <c r="H1027" i="10"/>
  <c r="H1028" i="10"/>
  <c r="H1029" i="10"/>
  <c r="H1030" i="10"/>
  <c r="H1031" i="10"/>
  <c r="H1032" i="10"/>
  <c r="H1033" i="10"/>
  <c r="H1034" i="10"/>
  <c r="H1035" i="10"/>
  <c r="H1036" i="10"/>
  <c r="H1037" i="10"/>
  <c r="H1038" i="10"/>
  <c r="H1039" i="10"/>
  <c r="H1040" i="10"/>
  <c r="H1041" i="10"/>
  <c r="H1042" i="10"/>
  <c r="H1043" i="10"/>
  <c r="H1044" i="10"/>
  <c r="H1045" i="10"/>
  <c r="H1046" i="10"/>
  <c r="H1047" i="10"/>
  <c r="H1048" i="10"/>
  <c r="H1049" i="10"/>
  <c r="H1050" i="10"/>
  <c r="H1051" i="10"/>
  <c r="H1052" i="10"/>
  <c r="H1053" i="10"/>
  <c r="H1054" i="10"/>
  <c r="H1055" i="10"/>
  <c r="H1056" i="10"/>
  <c r="H1057" i="10"/>
  <c r="H1058" i="10"/>
  <c r="H1059" i="10"/>
  <c r="H1060" i="10"/>
  <c r="H1061" i="10"/>
  <c r="H1062" i="10"/>
  <c r="H1063" i="10"/>
  <c r="H1064" i="10"/>
  <c r="H1065" i="10"/>
  <c r="H1066" i="10"/>
  <c r="H1067" i="10"/>
  <c r="H1068" i="10"/>
  <c r="H1069" i="10"/>
  <c r="H1070" i="10"/>
  <c r="H1071" i="10"/>
  <c r="H1072" i="10"/>
  <c r="H1073" i="10"/>
  <c r="H1074" i="10"/>
  <c r="H1075" i="10"/>
  <c r="H1076" i="10"/>
  <c r="H1077" i="10"/>
  <c r="H1078" i="10"/>
  <c r="H1079" i="10"/>
  <c r="H1080" i="10"/>
  <c r="H1081" i="10"/>
  <c r="H1082" i="10"/>
  <c r="H1083" i="10"/>
  <c r="H1084" i="10"/>
  <c r="H1085" i="10"/>
  <c r="H1086" i="10"/>
  <c r="H1087" i="10"/>
  <c r="H1088" i="10"/>
  <c r="H1089" i="10"/>
  <c r="H1090" i="10"/>
  <c r="H1091" i="10"/>
  <c r="H1092" i="10"/>
  <c r="H1093" i="10"/>
  <c r="H1094" i="10"/>
  <c r="H1095" i="10"/>
  <c r="H1096" i="10"/>
  <c r="H1097" i="10"/>
  <c r="H1098" i="10"/>
  <c r="H1099" i="10"/>
  <c r="H1100" i="10"/>
  <c r="H1101" i="10"/>
  <c r="H1102" i="10"/>
  <c r="H1103" i="10"/>
  <c r="H1104" i="10"/>
  <c r="H1105" i="10"/>
  <c r="H1106" i="10"/>
  <c r="H1107" i="10"/>
  <c r="H1108" i="10"/>
  <c r="H1109" i="10"/>
  <c r="H1110" i="10"/>
  <c r="H1111" i="10"/>
  <c r="H1112" i="10"/>
  <c r="H1113" i="10"/>
  <c r="H1114" i="10"/>
  <c r="H1115" i="10"/>
  <c r="H1116" i="10"/>
  <c r="H1117" i="10"/>
  <c r="H1118" i="10"/>
  <c r="H1119" i="10"/>
  <c r="H1120" i="10"/>
  <c r="H1121" i="10"/>
  <c r="H1122" i="10"/>
  <c r="H1123" i="10"/>
  <c r="H1124" i="10"/>
  <c r="H1125" i="10"/>
  <c r="H1126" i="10"/>
  <c r="H1127" i="10"/>
  <c r="H1128" i="10"/>
  <c r="H1129" i="10"/>
  <c r="H1130" i="10"/>
  <c r="H1131" i="10"/>
  <c r="H1132" i="10"/>
  <c r="H1133" i="10"/>
  <c r="H1134" i="10"/>
  <c r="H1135" i="10"/>
  <c r="H1136" i="10"/>
  <c r="H1137" i="10"/>
  <c r="H1138" i="10"/>
  <c r="H1139" i="10"/>
  <c r="H1140" i="10"/>
  <c r="H1141" i="10"/>
  <c r="H1142" i="10"/>
  <c r="H1143" i="10"/>
  <c r="H1144" i="10"/>
  <c r="H1145" i="10"/>
  <c r="H1146" i="10"/>
  <c r="H1147" i="10"/>
  <c r="H1148" i="10"/>
  <c r="H1149" i="10"/>
  <c r="H1150" i="10"/>
  <c r="H1151" i="10"/>
  <c r="H1152" i="10"/>
  <c r="H1153" i="10"/>
  <c r="H1154" i="10"/>
  <c r="H1155" i="10"/>
  <c r="H1156" i="10"/>
  <c r="H1157" i="10"/>
  <c r="H1158" i="10"/>
  <c r="H1159" i="10"/>
  <c r="H1160" i="10"/>
  <c r="H1161" i="10"/>
  <c r="H1162" i="10"/>
  <c r="H1163" i="10"/>
  <c r="H1164" i="10"/>
  <c r="H1165" i="10"/>
  <c r="H1166" i="10"/>
  <c r="H1167" i="10"/>
  <c r="H1168" i="10"/>
  <c r="H1169" i="10"/>
  <c r="H1170" i="10"/>
  <c r="H1171" i="10"/>
  <c r="H1172" i="10"/>
  <c r="H1173" i="10"/>
  <c r="H1174" i="10"/>
  <c r="H1175" i="10"/>
  <c r="H1176" i="10"/>
  <c r="H1177" i="10"/>
  <c r="H1178" i="10"/>
  <c r="H1179" i="10"/>
  <c r="H1180" i="10"/>
  <c r="H1181" i="10"/>
  <c r="H1182" i="10"/>
  <c r="H1183" i="10"/>
  <c r="H1184" i="10"/>
  <c r="H1185" i="10"/>
  <c r="H1186" i="10"/>
  <c r="H1187" i="10"/>
  <c r="H1188" i="10"/>
  <c r="H1189" i="10"/>
  <c r="H1190" i="10"/>
  <c r="H1191" i="10"/>
  <c r="H1192" i="10"/>
  <c r="H1193" i="10"/>
  <c r="H1194" i="10"/>
  <c r="H1195" i="10"/>
  <c r="H1196" i="10"/>
  <c r="H1197" i="10"/>
  <c r="H1198" i="10"/>
  <c r="H1199" i="10"/>
  <c r="H1200" i="10"/>
  <c r="H1201" i="10"/>
  <c r="H1202" i="10"/>
  <c r="H1203" i="10"/>
  <c r="H1204" i="10"/>
  <c r="H1205" i="10"/>
  <c r="H1206" i="10"/>
  <c r="H1207" i="10"/>
  <c r="H1208" i="10"/>
  <c r="H1209" i="10"/>
  <c r="H1210" i="10"/>
  <c r="H1211" i="10"/>
  <c r="H1212" i="10"/>
  <c r="H1213" i="10"/>
  <c r="H1214" i="10"/>
  <c r="H1215" i="10"/>
  <c r="H1216" i="10"/>
  <c r="H1217" i="10"/>
  <c r="H1218" i="10"/>
  <c r="H1219" i="10"/>
  <c r="H1220" i="10"/>
  <c r="H1221" i="10"/>
  <c r="H1222" i="10"/>
  <c r="H1223" i="10"/>
  <c r="H1224" i="10"/>
  <c r="H1225" i="10"/>
  <c r="H1226" i="10"/>
  <c r="H1227" i="10"/>
  <c r="H1228" i="10"/>
  <c r="H1229" i="10"/>
  <c r="H1230" i="10"/>
  <c r="H1231" i="10"/>
  <c r="H1232" i="10"/>
  <c r="H1233" i="10"/>
  <c r="H1234" i="10"/>
  <c r="H1235" i="10"/>
  <c r="H1236" i="10"/>
  <c r="H1237" i="10"/>
  <c r="H1238" i="10"/>
  <c r="H1239" i="10"/>
  <c r="H1240" i="10"/>
  <c r="H1241" i="10"/>
  <c r="H1242" i="10"/>
  <c r="H1243" i="10"/>
  <c r="H1244" i="10"/>
  <c r="H1245" i="10"/>
  <c r="H1246" i="10"/>
  <c r="H1247" i="10"/>
  <c r="H1248" i="10"/>
  <c r="H1249" i="10"/>
  <c r="H1250" i="10"/>
  <c r="H1251" i="10"/>
  <c r="H1252" i="10"/>
  <c r="H1253" i="10"/>
  <c r="H1254" i="10"/>
  <c r="H1255" i="10"/>
  <c r="H1256" i="10"/>
  <c r="H1257" i="10"/>
  <c r="H1258" i="10"/>
  <c r="H1259" i="10"/>
  <c r="H1260" i="10"/>
  <c r="H1261" i="10"/>
  <c r="H1262" i="10"/>
  <c r="H1263" i="10"/>
  <c r="H1264" i="10"/>
  <c r="H1265" i="10"/>
  <c r="H1266" i="10"/>
  <c r="H1267" i="10"/>
  <c r="H1268" i="10"/>
  <c r="H1269" i="10"/>
  <c r="H1270" i="10"/>
  <c r="H1271" i="10"/>
  <c r="H1272" i="10"/>
  <c r="H1273" i="10"/>
  <c r="H1274" i="10"/>
  <c r="H1275" i="10"/>
  <c r="H1276" i="10"/>
  <c r="H1277" i="10"/>
  <c r="H1278" i="10"/>
  <c r="H1279" i="10"/>
  <c r="H1280" i="10"/>
  <c r="H1281" i="10"/>
  <c r="H1282" i="10"/>
  <c r="H1283" i="10"/>
  <c r="H1284" i="10"/>
  <c r="H1285" i="10"/>
  <c r="H1286" i="10"/>
  <c r="H1287" i="10"/>
  <c r="H1288" i="10"/>
  <c r="H1289" i="10"/>
  <c r="H1290" i="10"/>
  <c r="H1291" i="10"/>
  <c r="H1292" i="10"/>
  <c r="H1293" i="10"/>
  <c r="H1294" i="10"/>
  <c r="H1295" i="10"/>
  <c r="H1296" i="10"/>
  <c r="H1297" i="10"/>
  <c r="H1298" i="10"/>
  <c r="H1299" i="10"/>
  <c r="H1300" i="10"/>
  <c r="H1301" i="10"/>
  <c r="H1302" i="10"/>
  <c r="H1303" i="10"/>
  <c r="H1304" i="10"/>
  <c r="H1305" i="10"/>
  <c r="H1306" i="10"/>
  <c r="H1307" i="10"/>
  <c r="H1308" i="10"/>
  <c r="H1309" i="10"/>
  <c r="H1310" i="10"/>
  <c r="H1311" i="10"/>
  <c r="H1312" i="10"/>
  <c r="H1313" i="10"/>
  <c r="H1314" i="10"/>
  <c r="H1315" i="10"/>
  <c r="H1316" i="10"/>
  <c r="H1317" i="10"/>
  <c r="H1318" i="10"/>
  <c r="H1319" i="10"/>
  <c r="H1320" i="10"/>
  <c r="H1321" i="10"/>
  <c r="H1322" i="10"/>
  <c r="H1323" i="10"/>
  <c r="H1324" i="10"/>
  <c r="H1325" i="10"/>
  <c r="H1326" i="10"/>
  <c r="H1327" i="10"/>
  <c r="H1328" i="10"/>
  <c r="H1329" i="10"/>
  <c r="H1330" i="10"/>
  <c r="H1331" i="10"/>
  <c r="H1332" i="10"/>
  <c r="H1333" i="10"/>
  <c r="H1334" i="10"/>
  <c r="H1335" i="10"/>
  <c r="H1336" i="10"/>
  <c r="H1337" i="10"/>
  <c r="H1338" i="10"/>
  <c r="H1339" i="10"/>
  <c r="H1340" i="10"/>
  <c r="H1341" i="10"/>
  <c r="H1342" i="10"/>
  <c r="H1343" i="10"/>
  <c r="H1344" i="10"/>
  <c r="H1345" i="10"/>
  <c r="H1346" i="10"/>
  <c r="H1347" i="10"/>
  <c r="H1348" i="10"/>
  <c r="H1349" i="10"/>
  <c r="H1350" i="10"/>
  <c r="H1351" i="10"/>
  <c r="H1352" i="10"/>
  <c r="H1353" i="10"/>
  <c r="H1354" i="10"/>
  <c r="H1355" i="10"/>
  <c r="H1356" i="10"/>
  <c r="H1357" i="10"/>
  <c r="H1358" i="10"/>
  <c r="H1359" i="10"/>
  <c r="H1360" i="10"/>
  <c r="H1361" i="10"/>
  <c r="H1362" i="10"/>
  <c r="H1363" i="10"/>
  <c r="H1364" i="10"/>
  <c r="H1365" i="10"/>
  <c r="H1366" i="10"/>
  <c r="H1367" i="10"/>
  <c r="H1368" i="10"/>
  <c r="H1369" i="10"/>
  <c r="H1370" i="10"/>
  <c r="H1371" i="10"/>
  <c r="H1372" i="10"/>
  <c r="H1373" i="10"/>
  <c r="H1374" i="10"/>
  <c r="H1375" i="10"/>
  <c r="H1376" i="10"/>
  <c r="H1377" i="10"/>
  <c r="H1378" i="10"/>
  <c r="H1379" i="10"/>
  <c r="H1380" i="10"/>
  <c r="H1381" i="10"/>
  <c r="H1382" i="10"/>
  <c r="H1383" i="10"/>
  <c r="H1384" i="10"/>
  <c r="H1385" i="10"/>
  <c r="H1386" i="10"/>
  <c r="H1387" i="10"/>
  <c r="H1388" i="10"/>
  <c r="H1389" i="10"/>
  <c r="H1390" i="10"/>
  <c r="H1391" i="10"/>
  <c r="H1392" i="10"/>
  <c r="H1393" i="10"/>
  <c r="H1394" i="10"/>
  <c r="H1395" i="10"/>
  <c r="H1396" i="10"/>
  <c r="H1397" i="10"/>
  <c r="H1398" i="10"/>
  <c r="H1399" i="10"/>
  <c r="H1400" i="10"/>
  <c r="H1401" i="10"/>
  <c r="H1402" i="10"/>
  <c r="H1403" i="10"/>
  <c r="H1404" i="10"/>
  <c r="H1405" i="10"/>
  <c r="H1406" i="10"/>
  <c r="H1407" i="10"/>
  <c r="H1408" i="10"/>
  <c r="H1409" i="10"/>
  <c r="H1410" i="10"/>
  <c r="H1411" i="10"/>
  <c r="H1412" i="10"/>
  <c r="H1413" i="10"/>
  <c r="H1414" i="10"/>
  <c r="H1415" i="10"/>
  <c r="H1416" i="10"/>
  <c r="H1417" i="10"/>
  <c r="H1418" i="10"/>
  <c r="H1419" i="10"/>
  <c r="H1420" i="10"/>
  <c r="H1421" i="10"/>
  <c r="H1422" i="10"/>
  <c r="H1423" i="10"/>
  <c r="H1424" i="10"/>
  <c r="H1425" i="10"/>
  <c r="H1426" i="10"/>
  <c r="H1427" i="10"/>
  <c r="H1428" i="10"/>
  <c r="H1429" i="10"/>
  <c r="H1430" i="10"/>
  <c r="H1431" i="10"/>
  <c r="H1432" i="10"/>
  <c r="H1433" i="10"/>
  <c r="H1434" i="10"/>
  <c r="H1435" i="10"/>
  <c r="H1436" i="10"/>
  <c r="H1437" i="10"/>
  <c r="H1438" i="10"/>
  <c r="H1439" i="10"/>
  <c r="H1440" i="10"/>
  <c r="H1441" i="10"/>
  <c r="H1442" i="10"/>
  <c r="H1443" i="10"/>
  <c r="H1444" i="10"/>
  <c r="H1445" i="10"/>
  <c r="H1446" i="10"/>
  <c r="H1447" i="10"/>
  <c r="H1448" i="10"/>
  <c r="H1449" i="10"/>
  <c r="H1450" i="10"/>
  <c r="H1451" i="10"/>
  <c r="H1452" i="10"/>
  <c r="H1453" i="10"/>
  <c r="H1454" i="10"/>
  <c r="H1455" i="10"/>
  <c r="H1456" i="10"/>
  <c r="H1457" i="10"/>
  <c r="H1458" i="10"/>
  <c r="H1459" i="10"/>
  <c r="H1460" i="10"/>
  <c r="H1461" i="10"/>
  <c r="H1462" i="10"/>
  <c r="H1463" i="10"/>
  <c r="H1464" i="10"/>
  <c r="H1465" i="10"/>
  <c r="H1466" i="10"/>
  <c r="H1467" i="10"/>
  <c r="H1468" i="10"/>
  <c r="H1469" i="10"/>
  <c r="H1470" i="10"/>
  <c r="H1471" i="10"/>
  <c r="H1472" i="10"/>
  <c r="H1473" i="10"/>
  <c r="H1474" i="10"/>
  <c r="H1475" i="10"/>
  <c r="H1476" i="10"/>
  <c r="H1477" i="10"/>
  <c r="H1478" i="10"/>
  <c r="H1479" i="10"/>
  <c r="H1480" i="10"/>
  <c r="H1481" i="10"/>
  <c r="H1482" i="10"/>
  <c r="H1483" i="10"/>
  <c r="H1484" i="10"/>
  <c r="H1485" i="10"/>
  <c r="H1486" i="10"/>
  <c r="H1487" i="10"/>
  <c r="H1488" i="10"/>
  <c r="H1489" i="10"/>
  <c r="H1490" i="10"/>
  <c r="H1491" i="10"/>
  <c r="H1492" i="10"/>
  <c r="H1493" i="10"/>
  <c r="H1494" i="10"/>
  <c r="H1495" i="10"/>
  <c r="H1496" i="10"/>
  <c r="H1497" i="10"/>
  <c r="H1498" i="10"/>
  <c r="H1499" i="10"/>
  <c r="H1500" i="10"/>
  <c r="H1501" i="10"/>
  <c r="H1502" i="10"/>
  <c r="H1503" i="10"/>
  <c r="H1504" i="10"/>
  <c r="H1505" i="10"/>
  <c r="H1506" i="10"/>
  <c r="H1507" i="10"/>
  <c r="H1508" i="10"/>
  <c r="H1509" i="10"/>
  <c r="H1510" i="10"/>
  <c r="H1511" i="10"/>
  <c r="H1512" i="10"/>
  <c r="H1513" i="10"/>
  <c r="H1514" i="10"/>
  <c r="H1515" i="10"/>
  <c r="H1516" i="10"/>
  <c r="H1517" i="10"/>
  <c r="H1518" i="10"/>
  <c r="H1519" i="10"/>
  <c r="H1520" i="10"/>
  <c r="H1521" i="10"/>
  <c r="H1522" i="10"/>
  <c r="H1523" i="10"/>
  <c r="H1524" i="10"/>
  <c r="H1525" i="10"/>
  <c r="H1526" i="10"/>
  <c r="H1527" i="10"/>
  <c r="H1528" i="10"/>
  <c r="H1529" i="10"/>
  <c r="H1530" i="10"/>
  <c r="H1531" i="10"/>
  <c r="H1532" i="10"/>
  <c r="H1533" i="10"/>
  <c r="H1534" i="10"/>
  <c r="H1535" i="10"/>
  <c r="H1536" i="10"/>
  <c r="H1537" i="10"/>
  <c r="H1538" i="10"/>
  <c r="H1539" i="10"/>
  <c r="H1540" i="10"/>
  <c r="H1541" i="10"/>
  <c r="H1542" i="10"/>
  <c r="H1543" i="10"/>
  <c r="H1544" i="10"/>
  <c r="H1545" i="10"/>
  <c r="H1546" i="10"/>
  <c r="H1547" i="10"/>
  <c r="H1548" i="10"/>
  <c r="H1549" i="10"/>
  <c r="H1550" i="10"/>
  <c r="H1551" i="10"/>
  <c r="H1552" i="10"/>
  <c r="H1553" i="10"/>
  <c r="H1554" i="10"/>
  <c r="H1555" i="10"/>
  <c r="H1556" i="10"/>
  <c r="H1557" i="10"/>
  <c r="H1558" i="10"/>
  <c r="H1559" i="10"/>
  <c r="H1560" i="10"/>
  <c r="H1561" i="10"/>
  <c r="H1562" i="10"/>
  <c r="H1563" i="10"/>
  <c r="H1564" i="10"/>
  <c r="H1565" i="10"/>
  <c r="H1566" i="10"/>
  <c r="H1567" i="10"/>
  <c r="H1568" i="10"/>
  <c r="H1569" i="10"/>
  <c r="H1570" i="10"/>
  <c r="H1571" i="10"/>
  <c r="H1572" i="10"/>
  <c r="H1573" i="10"/>
  <c r="H1574" i="10"/>
  <c r="H1575" i="10"/>
  <c r="H1576" i="10"/>
  <c r="H1577" i="10"/>
  <c r="H1578" i="10"/>
  <c r="H1579" i="10"/>
  <c r="H1580" i="10"/>
  <c r="H1581" i="10"/>
  <c r="H1582" i="10"/>
  <c r="H1583" i="10"/>
  <c r="H1584" i="10"/>
  <c r="H1585" i="10"/>
  <c r="H1586" i="10"/>
  <c r="H1587" i="10"/>
  <c r="H1588" i="10"/>
  <c r="H1589" i="10"/>
  <c r="H1590" i="10"/>
  <c r="H1591" i="10"/>
  <c r="H1592" i="10"/>
  <c r="H1593" i="10"/>
  <c r="H1594" i="10"/>
  <c r="H1595" i="10"/>
  <c r="H1596" i="10"/>
  <c r="H1597" i="10"/>
  <c r="H1598" i="10"/>
  <c r="H1599" i="10"/>
  <c r="H1600" i="10"/>
  <c r="H1601" i="10"/>
  <c r="H1602" i="10"/>
  <c r="H1603" i="10"/>
  <c r="H1604" i="10"/>
  <c r="H1605" i="10"/>
  <c r="H1606" i="10"/>
  <c r="H1607" i="10"/>
  <c r="H1608" i="10"/>
  <c r="H1609" i="10"/>
  <c r="H1610" i="10"/>
  <c r="H1611" i="10"/>
  <c r="H1612" i="10"/>
  <c r="H1613" i="10"/>
  <c r="H1614" i="10"/>
  <c r="H1615" i="10"/>
  <c r="H1616" i="10"/>
  <c r="H1617" i="10"/>
  <c r="H1618" i="10"/>
  <c r="H1619" i="10"/>
  <c r="H1620" i="10"/>
  <c r="H1621" i="10"/>
  <c r="H1622" i="10"/>
  <c r="H1623" i="10"/>
  <c r="H1624" i="10"/>
  <c r="H1625" i="10"/>
  <c r="H1626" i="10"/>
  <c r="H1627" i="10"/>
  <c r="H1628" i="10"/>
  <c r="H1629" i="10"/>
  <c r="H1630" i="10"/>
  <c r="H1631" i="10"/>
  <c r="H1632" i="10"/>
  <c r="H1633" i="10"/>
  <c r="H1634" i="10"/>
  <c r="H1635" i="10"/>
  <c r="H1636" i="10"/>
  <c r="H1637" i="10"/>
  <c r="H1638" i="10"/>
  <c r="H1639" i="10"/>
  <c r="H1640" i="10"/>
  <c r="H1641" i="10"/>
  <c r="H1642" i="10"/>
  <c r="H1643" i="10"/>
  <c r="H1644" i="10"/>
  <c r="H1645" i="10"/>
  <c r="H1646" i="10"/>
  <c r="H1647" i="10"/>
  <c r="H1648" i="10"/>
  <c r="H1649" i="10"/>
  <c r="H1650" i="10"/>
  <c r="H1651" i="10"/>
  <c r="H1652" i="10"/>
  <c r="H1653" i="10"/>
  <c r="H1654" i="10"/>
  <c r="H1655" i="10"/>
  <c r="H1656" i="10"/>
  <c r="H1657" i="10"/>
  <c r="H1658" i="10"/>
  <c r="H1659" i="10"/>
  <c r="H1660" i="10"/>
  <c r="H1661" i="10"/>
  <c r="H1662" i="10"/>
  <c r="H1663" i="10"/>
  <c r="H1664" i="10"/>
  <c r="H1665" i="10"/>
  <c r="H1666" i="10"/>
  <c r="H1667" i="10"/>
  <c r="H1668" i="10"/>
  <c r="H1669" i="10"/>
  <c r="H1670" i="10"/>
  <c r="H1671" i="10"/>
  <c r="H1672" i="10"/>
  <c r="H1673" i="10"/>
  <c r="H1674" i="10"/>
  <c r="H1675" i="10"/>
  <c r="H1676" i="10"/>
  <c r="H1677" i="10"/>
  <c r="H1678" i="10"/>
  <c r="H1679" i="10"/>
  <c r="H1680" i="10"/>
  <c r="H1681" i="10"/>
  <c r="H1682" i="10"/>
  <c r="H1683" i="10"/>
  <c r="H1684" i="10"/>
  <c r="H1685" i="10"/>
  <c r="H1686" i="10"/>
  <c r="H1687" i="10"/>
  <c r="H1688" i="10"/>
  <c r="H1689" i="10"/>
  <c r="H1690" i="10"/>
  <c r="H1691" i="10"/>
  <c r="H1692" i="10"/>
  <c r="H1693" i="10"/>
  <c r="H1694" i="10"/>
  <c r="H1695" i="10"/>
  <c r="H1696" i="10"/>
  <c r="H1697" i="10"/>
  <c r="H1698" i="10"/>
  <c r="H1699" i="10"/>
  <c r="H1700" i="10"/>
  <c r="H1701" i="10"/>
  <c r="H1702" i="10"/>
  <c r="H1703" i="10"/>
  <c r="H1704" i="10"/>
  <c r="H1705" i="10"/>
  <c r="H1706" i="10"/>
  <c r="H1707" i="10"/>
  <c r="H1708" i="10"/>
  <c r="H1709" i="10"/>
  <c r="H1710" i="10"/>
  <c r="H1711" i="10"/>
  <c r="H1712" i="10"/>
  <c r="H1713" i="10"/>
  <c r="H1714" i="10"/>
  <c r="H1715" i="10"/>
  <c r="H1716" i="10"/>
  <c r="H1717" i="10"/>
  <c r="H1718" i="10"/>
  <c r="H1719" i="10"/>
  <c r="H1720" i="10"/>
  <c r="H1721" i="10"/>
  <c r="H1722" i="10"/>
  <c r="H1723" i="10"/>
  <c r="H1724" i="10"/>
  <c r="H1725" i="10"/>
  <c r="H1726" i="10"/>
  <c r="H1727" i="10"/>
  <c r="H1728" i="10"/>
  <c r="H1729" i="10"/>
  <c r="H1730" i="10"/>
  <c r="H1731" i="10"/>
  <c r="H1732" i="10"/>
  <c r="H1733" i="10"/>
  <c r="H1734" i="10"/>
  <c r="H1735" i="10"/>
  <c r="H1736" i="10"/>
  <c r="H1737" i="10"/>
  <c r="H1738" i="10"/>
  <c r="H1739" i="10"/>
  <c r="H1740" i="10"/>
  <c r="H1741" i="10"/>
  <c r="H1742" i="10"/>
  <c r="H1743" i="10"/>
  <c r="H1744" i="10"/>
  <c r="H1745" i="10"/>
  <c r="H1746" i="10"/>
  <c r="H1747" i="10"/>
  <c r="H1748" i="10"/>
  <c r="H1749" i="10"/>
  <c r="H1750" i="10"/>
  <c r="H1751" i="10"/>
  <c r="H1752" i="10"/>
  <c r="H1753" i="10"/>
  <c r="H1754" i="10"/>
  <c r="H1755" i="10"/>
  <c r="H1756" i="10"/>
  <c r="H1757" i="10"/>
  <c r="H1758" i="10"/>
  <c r="H1759" i="10"/>
  <c r="H1760" i="10"/>
  <c r="H1761" i="10"/>
  <c r="H1762" i="10"/>
  <c r="H1763" i="10"/>
  <c r="H1764" i="10"/>
  <c r="H1765" i="10"/>
  <c r="H1766" i="10"/>
  <c r="H1767" i="10"/>
  <c r="H1768" i="10"/>
  <c r="H1769" i="10"/>
  <c r="H1770" i="10"/>
  <c r="H1771" i="10"/>
  <c r="H1772" i="10"/>
  <c r="H1773" i="10"/>
  <c r="H1774" i="10"/>
  <c r="H1775" i="10"/>
  <c r="H1776" i="10"/>
  <c r="H1777" i="10"/>
  <c r="H1778" i="10"/>
  <c r="H1779" i="10"/>
  <c r="H1780" i="10"/>
  <c r="H1781" i="10"/>
  <c r="H1782" i="10"/>
  <c r="H1783" i="10"/>
  <c r="H1784" i="10"/>
  <c r="H1785" i="10"/>
  <c r="H1786" i="10"/>
  <c r="H1787" i="10"/>
  <c r="H1788" i="10"/>
  <c r="H1789" i="10"/>
  <c r="H1790" i="10"/>
  <c r="H1791" i="10"/>
  <c r="H1792" i="10"/>
  <c r="H1793" i="10"/>
  <c r="H1794" i="10"/>
  <c r="H1795" i="10"/>
  <c r="H1796" i="10"/>
  <c r="H1797" i="10"/>
  <c r="H1798" i="10"/>
  <c r="H1799" i="10"/>
  <c r="H1800" i="10"/>
  <c r="H1801" i="10"/>
  <c r="H1802" i="10"/>
  <c r="H1803" i="10"/>
  <c r="H1804" i="10"/>
  <c r="H1805" i="10"/>
  <c r="H1806" i="10"/>
  <c r="H1807" i="10"/>
  <c r="H1808" i="10"/>
  <c r="H1809" i="10"/>
  <c r="H1810" i="10"/>
  <c r="H1811" i="10"/>
  <c r="H1812" i="10"/>
  <c r="H1813" i="10"/>
  <c r="H1814" i="10"/>
  <c r="H1815" i="10"/>
  <c r="H1816" i="10"/>
  <c r="H1817" i="10"/>
  <c r="H1818" i="10"/>
  <c r="H1819" i="10"/>
  <c r="H1820" i="10"/>
  <c r="H1821" i="10"/>
  <c r="H1822" i="10"/>
  <c r="H1823" i="10"/>
  <c r="H1824" i="10"/>
  <c r="H1825" i="10"/>
  <c r="H1826" i="10"/>
  <c r="H1827" i="10"/>
  <c r="H1828" i="10"/>
  <c r="H1829" i="10"/>
  <c r="H1830" i="10"/>
  <c r="H1831" i="10"/>
  <c r="H1832" i="10"/>
  <c r="H1833" i="10"/>
  <c r="H1834" i="10"/>
  <c r="H1835" i="10"/>
  <c r="H1836" i="10"/>
  <c r="H1837" i="10"/>
  <c r="H1838" i="10"/>
  <c r="H1839" i="10"/>
  <c r="H1840" i="10"/>
  <c r="H1841" i="10"/>
  <c r="H1842" i="10"/>
  <c r="H1843" i="10"/>
  <c r="H1844" i="10"/>
  <c r="H1845" i="10"/>
  <c r="H1846" i="10"/>
  <c r="H1847" i="10"/>
  <c r="H1848" i="10"/>
  <c r="H1849" i="10"/>
  <c r="H1850" i="10"/>
  <c r="H1851" i="10"/>
  <c r="H1852" i="10"/>
  <c r="H1853" i="10"/>
  <c r="H1854" i="10"/>
  <c r="H1855" i="10"/>
  <c r="H1856" i="10"/>
  <c r="H1857" i="10"/>
  <c r="H1858" i="10"/>
  <c r="H1859" i="10"/>
  <c r="H1860" i="10"/>
  <c r="H1861" i="10"/>
  <c r="H1862" i="10"/>
  <c r="H1863" i="10"/>
  <c r="H1864" i="10"/>
  <c r="H1865" i="10"/>
  <c r="H1866" i="10"/>
  <c r="H1867" i="10"/>
  <c r="H1868" i="10"/>
  <c r="H1869" i="10"/>
  <c r="H1870" i="10"/>
  <c r="H1871" i="10"/>
  <c r="H1872" i="10"/>
  <c r="H1873" i="10"/>
  <c r="H1874" i="10"/>
  <c r="H1875" i="10"/>
  <c r="H1876" i="10"/>
  <c r="H1877" i="10"/>
  <c r="H1878" i="10"/>
  <c r="H1879" i="10"/>
  <c r="H1880" i="10"/>
  <c r="H1881" i="10"/>
  <c r="H1882" i="10"/>
  <c r="H1883" i="10"/>
  <c r="H1884" i="10"/>
  <c r="H1885" i="10"/>
  <c r="H1886" i="10"/>
  <c r="H1887" i="10"/>
  <c r="H1888" i="10"/>
  <c r="H1889" i="10"/>
  <c r="H1890" i="10"/>
  <c r="H1891" i="10"/>
  <c r="H1892" i="10"/>
  <c r="H1893" i="10"/>
  <c r="H1894" i="10"/>
  <c r="H1895" i="10"/>
  <c r="H1896" i="10"/>
  <c r="H1897" i="10"/>
  <c r="H1898" i="10"/>
  <c r="H1899" i="10"/>
  <c r="H1900" i="10"/>
  <c r="H1901" i="10"/>
  <c r="H1902" i="10"/>
  <c r="H1903" i="10"/>
  <c r="H1904" i="10"/>
  <c r="H1905" i="10"/>
  <c r="H1906" i="10"/>
  <c r="H1907" i="10"/>
  <c r="H1908" i="10"/>
  <c r="H1909" i="10"/>
  <c r="H1910" i="10"/>
  <c r="H1911" i="10"/>
  <c r="H1912" i="10"/>
  <c r="H1913" i="10"/>
  <c r="H1914" i="10"/>
  <c r="H1915" i="10"/>
  <c r="H1916" i="10"/>
  <c r="H1917" i="10"/>
  <c r="H1918" i="10"/>
  <c r="H1919" i="10"/>
  <c r="H1920" i="10"/>
  <c r="H1921" i="10"/>
  <c r="H1922" i="10"/>
  <c r="H1923" i="10"/>
  <c r="H1924" i="10"/>
  <c r="H1925" i="10"/>
  <c r="H1926" i="10"/>
  <c r="H1927" i="10"/>
  <c r="H1928" i="10"/>
  <c r="H1929" i="10"/>
  <c r="H1930" i="10"/>
  <c r="H1931" i="10"/>
  <c r="H1932" i="10"/>
  <c r="H1933" i="10"/>
  <c r="H1934" i="10"/>
  <c r="H1935" i="10"/>
  <c r="H1936" i="10"/>
  <c r="H1937" i="10"/>
  <c r="H1938" i="10"/>
  <c r="H1939" i="10"/>
  <c r="H1940" i="10"/>
  <c r="H1941" i="10"/>
  <c r="H1942" i="10"/>
  <c r="H1943" i="10"/>
  <c r="H1944" i="10"/>
  <c r="H1945" i="10"/>
  <c r="H1946" i="10"/>
  <c r="H1947" i="10"/>
  <c r="H1948" i="10"/>
  <c r="H1949" i="10"/>
  <c r="H1950" i="10"/>
  <c r="H1951" i="10"/>
  <c r="H1952" i="10"/>
  <c r="H1953" i="10"/>
  <c r="H1954" i="10"/>
  <c r="H1955" i="10"/>
  <c r="H1956" i="10"/>
  <c r="H1957" i="10"/>
  <c r="H1958" i="10"/>
  <c r="H1959" i="10"/>
  <c r="H1960" i="10"/>
  <c r="H1961" i="10"/>
  <c r="H1962" i="10"/>
  <c r="H1963" i="10"/>
  <c r="H1964" i="10"/>
  <c r="H1965" i="10"/>
  <c r="H1966" i="10"/>
  <c r="H1967" i="10"/>
  <c r="H1968" i="10"/>
  <c r="H1969" i="10"/>
  <c r="H1970" i="10"/>
  <c r="H1971" i="10"/>
  <c r="H1972" i="10"/>
  <c r="H1973" i="10"/>
  <c r="H1974" i="10"/>
  <c r="H1975" i="10"/>
  <c r="H1976" i="10"/>
  <c r="H1977" i="10"/>
  <c r="H1978" i="10"/>
  <c r="H1979" i="10"/>
  <c r="H1980" i="10"/>
  <c r="H1981" i="10"/>
  <c r="H1982" i="10"/>
  <c r="H1983" i="10"/>
  <c r="H1984" i="10"/>
  <c r="H1985" i="10"/>
  <c r="H1986" i="10"/>
  <c r="H1987" i="10"/>
  <c r="H1988" i="10"/>
  <c r="H1989" i="10"/>
  <c r="H1990" i="10"/>
  <c r="H1991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2" i="10"/>
  <c r="V21" i="13"/>
  <c r="AO66" i="21"/>
  <c r="AN66" i="21"/>
  <c r="AO65" i="21"/>
  <c r="AN65" i="21"/>
  <c r="AO64" i="21"/>
  <c r="AN64" i="21"/>
  <c r="AO63" i="21"/>
  <c r="AN63" i="21"/>
  <c r="AO62" i="21"/>
  <c r="AN62" i="21"/>
  <c r="AO61" i="21"/>
  <c r="AN61" i="21"/>
  <c r="AO60" i="21"/>
  <c r="AN60" i="21"/>
  <c r="AO59" i="21"/>
  <c r="AN59" i="21"/>
  <c r="AO58" i="21"/>
  <c r="AN58" i="21"/>
  <c r="AO57" i="21"/>
  <c r="AN57" i="21"/>
  <c r="AO56" i="21"/>
  <c r="AN56" i="21"/>
  <c r="AO55" i="21"/>
  <c r="AN55" i="21"/>
  <c r="AO54" i="21"/>
  <c r="AN54" i="21"/>
  <c r="AO53" i="21"/>
  <c r="AN53" i="21"/>
  <c r="AO52" i="21"/>
  <c r="AN52" i="21"/>
  <c r="AO51" i="21"/>
  <c r="AN51" i="21"/>
  <c r="AO50" i="21"/>
  <c r="AN50" i="21"/>
  <c r="AO49" i="21"/>
  <c r="AN49" i="21"/>
  <c r="AO48" i="21"/>
  <c r="AN48" i="21"/>
  <c r="AO47" i="21"/>
  <c r="AN47" i="21"/>
  <c r="AM66" i="21"/>
  <c r="AL66" i="21"/>
  <c r="AM65" i="21"/>
  <c r="AL65" i="21"/>
  <c r="AM64" i="21"/>
  <c r="AL64" i="21"/>
  <c r="AM63" i="21"/>
  <c r="AL63" i="21"/>
  <c r="AM62" i="21"/>
  <c r="AL62" i="21"/>
  <c r="AM61" i="21"/>
  <c r="AL61" i="21"/>
  <c r="AM60" i="21"/>
  <c r="AL60" i="21"/>
  <c r="AM59" i="21"/>
  <c r="AL59" i="21"/>
  <c r="AM58" i="21"/>
  <c r="AL58" i="21"/>
  <c r="AM57" i="21"/>
  <c r="AL57" i="21"/>
  <c r="AM56" i="21"/>
  <c r="AL56" i="21"/>
  <c r="AM55" i="21"/>
  <c r="AL55" i="21"/>
  <c r="AM54" i="21"/>
  <c r="AL54" i="21"/>
  <c r="AM53" i="21"/>
  <c r="AL53" i="21"/>
  <c r="AM52" i="21"/>
  <c r="AL52" i="21"/>
  <c r="AM51" i="21"/>
  <c r="AL51" i="21"/>
  <c r="AM50" i="21"/>
  <c r="AL50" i="21"/>
  <c r="AM49" i="21"/>
  <c r="AL49" i="21"/>
  <c r="AM48" i="21"/>
  <c r="AL48" i="21"/>
  <c r="AM47" i="21"/>
  <c r="AL47" i="21"/>
  <c r="AK66" i="21"/>
  <c r="AJ66" i="21"/>
  <c r="AK65" i="21"/>
  <c r="AJ65" i="21"/>
  <c r="AK64" i="21"/>
  <c r="AJ64" i="21"/>
  <c r="AK63" i="21"/>
  <c r="AJ63" i="21"/>
  <c r="AK62" i="21"/>
  <c r="AJ62" i="21"/>
  <c r="AK61" i="21"/>
  <c r="AJ61" i="21"/>
  <c r="AK60" i="21"/>
  <c r="AJ60" i="21"/>
  <c r="AK59" i="21"/>
  <c r="AJ59" i="21"/>
  <c r="AK58" i="21"/>
  <c r="AJ58" i="21"/>
  <c r="AK57" i="21"/>
  <c r="AJ57" i="21"/>
  <c r="AK56" i="21"/>
  <c r="AJ56" i="21"/>
  <c r="AK55" i="21"/>
  <c r="AJ55" i="21"/>
  <c r="AK54" i="21"/>
  <c r="AJ54" i="21"/>
  <c r="AK53" i="21"/>
  <c r="AJ53" i="21"/>
  <c r="AK52" i="21"/>
  <c r="AJ52" i="21"/>
  <c r="AK51" i="21"/>
  <c r="AJ51" i="21"/>
  <c r="AK50" i="21"/>
  <c r="AJ50" i="21"/>
  <c r="AK49" i="21"/>
  <c r="AJ49" i="21"/>
  <c r="AK48" i="21"/>
  <c r="AJ48" i="21"/>
  <c r="AK47" i="21"/>
  <c r="AJ47" i="21"/>
  <c r="AI66" i="21"/>
  <c r="AH66" i="21"/>
  <c r="AI65" i="21"/>
  <c r="AH65" i="21"/>
  <c r="AI64" i="21"/>
  <c r="AH64" i="21"/>
  <c r="AI63" i="21"/>
  <c r="AH63" i="21"/>
  <c r="AI62" i="21"/>
  <c r="AH62" i="21"/>
  <c r="AI61" i="21"/>
  <c r="AH61" i="21"/>
  <c r="AI60" i="21"/>
  <c r="AH60" i="21"/>
  <c r="AI59" i="21"/>
  <c r="AH59" i="21"/>
  <c r="AI58" i="21"/>
  <c r="AH58" i="21"/>
  <c r="AI57" i="21"/>
  <c r="AH57" i="21"/>
  <c r="AI56" i="21"/>
  <c r="AH56" i="21"/>
  <c r="AI55" i="21"/>
  <c r="AH55" i="21"/>
  <c r="AI54" i="21"/>
  <c r="AH54" i="21"/>
  <c r="AI53" i="21"/>
  <c r="AH53" i="21"/>
  <c r="AI52" i="21"/>
  <c r="AH52" i="21"/>
  <c r="AI51" i="21"/>
  <c r="AH51" i="21"/>
  <c r="AI50" i="21"/>
  <c r="AH50" i="21"/>
  <c r="AI49" i="21"/>
  <c r="AH49" i="21"/>
  <c r="AI48" i="21"/>
  <c r="AH48" i="21"/>
  <c r="AI47" i="21"/>
  <c r="AH47" i="21"/>
  <c r="AG66" i="21"/>
  <c r="AF66" i="21"/>
  <c r="AG65" i="21"/>
  <c r="AF65" i="21"/>
  <c r="AG64" i="21"/>
  <c r="AF64" i="21"/>
  <c r="AG63" i="21"/>
  <c r="AF63" i="21"/>
  <c r="AG62" i="21"/>
  <c r="AF62" i="21"/>
  <c r="AG61" i="21"/>
  <c r="AF61" i="21"/>
  <c r="AG60" i="21"/>
  <c r="AF60" i="21"/>
  <c r="AG59" i="21"/>
  <c r="AF59" i="21"/>
  <c r="AG58" i="21"/>
  <c r="AF58" i="21"/>
  <c r="AG57" i="21"/>
  <c r="AF57" i="21"/>
  <c r="AG56" i="21"/>
  <c r="AF56" i="21"/>
  <c r="AG55" i="21"/>
  <c r="AF55" i="21"/>
  <c r="AG54" i="21"/>
  <c r="AF54" i="21"/>
  <c r="AG53" i="21"/>
  <c r="AF53" i="21"/>
  <c r="AG52" i="21"/>
  <c r="AF52" i="21"/>
  <c r="AG51" i="21"/>
  <c r="AF51" i="21"/>
  <c r="AG50" i="21"/>
  <c r="AF50" i="21"/>
  <c r="AG49" i="21"/>
  <c r="AF49" i="21"/>
  <c r="AG48" i="21"/>
  <c r="AF48" i="21"/>
  <c r="AG47" i="21"/>
  <c r="AF47" i="21"/>
  <c r="AE66" i="21"/>
  <c r="AD66" i="21"/>
  <c r="AE65" i="21"/>
  <c r="AD65" i="21"/>
  <c r="AE64" i="21"/>
  <c r="AD64" i="21"/>
  <c r="AE63" i="21"/>
  <c r="AD63" i="2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C66" i="21"/>
  <c r="AB66" i="21"/>
  <c r="AC65" i="21"/>
  <c r="AB65" i="21"/>
  <c r="AC64" i="21"/>
  <c r="AB64" i="21"/>
  <c r="AC63" i="21"/>
  <c r="AB63" i="21"/>
  <c r="AC62" i="21"/>
  <c r="AB62" i="21"/>
  <c r="AC61" i="21"/>
  <c r="AB61" i="21"/>
  <c r="AC60" i="21"/>
  <c r="AB60" i="21"/>
  <c r="AC59" i="21"/>
  <c r="AB59" i="21"/>
  <c r="AC58" i="21"/>
  <c r="AB58" i="21"/>
  <c r="AC57" i="21"/>
  <c r="AB57" i="21"/>
  <c r="AC56" i="21"/>
  <c r="AB56" i="21"/>
  <c r="AC55" i="21"/>
  <c r="AB55" i="21"/>
  <c r="AC54" i="21"/>
  <c r="AB54" i="21"/>
  <c r="AC53" i="21"/>
  <c r="AB53" i="21"/>
  <c r="AC52" i="21"/>
  <c r="AB52" i="21"/>
  <c r="AC51" i="21"/>
  <c r="AB51" i="21"/>
  <c r="AC50" i="21"/>
  <c r="AB50" i="21"/>
  <c r="AC49" i="21"/>
  <c r="AB49" i="21"/>
  <c r="AC48" i="21"/>
  <c r="AB48" i="21"/>
  <c r="AC47" i="21"/>
  <c r="AB47" i="21"/>
  <c r="AA66" i="21"/>
  <c r="Z66" i="21"/>
  <c r="AA65" i="21"/>
  <c r="Z65" i="21"/>
  <c r="AA64" i="21"/>
  <c r="Z64" i="21"/>
  <c r="AA63" i="21"/>
  <c r="Z63" i="21"/>
  <c r="AA62" i="21"/>
  <c r="Z62" i="21"/>
  <c r="AA61" i="21"/>
  <c r="Z61" i="21"/>
  <c r="AA60" i="21"/>
  <c r="Z60" i="21"/>
  <c r="AA59" i="21"/>
  <c r="Z59" i="21"/>
  <c r="AA58" i="21"/>
  <c r="Z58" i="21"/>
  <c r="AA57" i="21"/>
  <c r="Z57" i="21"/>
  <c r="AA56" i="21"/>
  <c r="Z56" i="21"/>
  <c r="AA55" i="21"/>
  <c r="Z55" i="21"/>
  <c r="AA54" i="21"/>
  <c r="Z54" i="21"/>
  <c r="AA53" i="21"/>
  <c r="Z53" i="21"/>
  <c r="AA52" i="21"/>
  <c r="Z52" i="21"/>
  <c r="AA51" i="21"/>
  <c r="Z51" i="21"/>
  <c r="AA50" i="21"/>
  <c r="Z50" i="21"/>
  <c r="AA49" i="21"/>
  <c r="Z49" i="21"/>
  <c r="AA48" i="21"/>
  <c r="Z48" i="21"/>
  <c r="AA47" i="21"/>
  <c r="Z47" i="21"/>
  <c r="Y66" i="21"/>
  <c r="X66" i="21"/>
  <c r="Y65" i="21"/>
  <c r="X65" i="21"/>
  <c r="Y64" i="21"/>
  <c r="X64" i="21"/>
  <c r="Y63" i="21"/>
  <c r="X63" i="21"/>
  <c r="Y62" i="21"/>
  <c r="X62" i="21"/>
  <c r="Y61" i="21"/>
  <c r="X61" i="21"/>
  <c r="Y60" i="21"/>
  <c r="X60" i="21"/>
  <c r="Y59" i="21"/>
  <c r="X59" i="21"/>
  <c r="Y58" i="21"/>
  <c r="X58" i="21"/>
  <c r="Y57" i="21"/>
  <c r="X57" i="21"/>
  <c r="Y56" i="21"/>
  <c r="X56" i="21"/>
  <c r="Y55" i="21"/>
  <c r="X55" i="21"/>
  <c r="Y54" i="21"/>
  <c r="X54" i="21"/>
  <c r="Y53" i="21"/>
  <c r="X53" i="21"/>
  <c r="Y52" i="21"/>
  <c r="X52" i="21"/>
  <c r="Y51" i="21"/>
  <c r="X51" i="21"/>
  <c r="Y50" i="21"/>
  <c r="X50" i="21"/>
  <c r="Y49" i="21"/>
  <c r="X49" i="21"/>
  <c r="Y48" i="21"/>
  <c r="X48" i="21"/>
  <c r="Y47" i="21"/>
  <c r="X47" i="21"/>
  <c r="W66" i="21"/>
  <c r="V66" i="21"/>
  <c r="W65" i="21"/>
  <c r="V65" i="21"/>
  <c r="W64" i="21"/>
  <c r="V64" i="21"/>
  <c r="W63" i="21"/>
  <c r="V63" i="21"/>
  <c r="W62" i="21"/>
  <c r="V62" i="21"/>
  <c r="W61" i="21"/>
  <c r="V61" i="21"/>
  <c r="W60" i="21"/>
  <c r="V60" i="21"/>
  <c r="W59" i="21"/>
  <c r="V59" i="21"/>
  <c r="W58" i="21"/>
  <c r="V58" i="21"/>
  <c r="W57" i="21"/>
  <c r="V57" i="21"/>
  <c r="W56" i="21"/>
  <c r="V56" i="21"/>
  <c r="W55" i="21"/>
  <c r="V55" i="21"/>
  <c r="W54" i="21"/>
  <c r="V54" i="21"/>
  <c r="W53" i="21"/>
  <c r="V53" i="21"/>
  <c r="W52" i="21"/>
  <c r="V52" i="21"/>
  <c r="W51" i="21"/>
  <c r="V51" i="21"/>
  <c r="W50" i="21"/>
  <c r="V50" i="21"/>
  <c r="W49" i="21"/>
  <c r="V49" i="21"/>
  <c r="W48" i="21"/>
  <c r="V48" i="21"/>
  <c r="W47" i="21"/>
  <c r="V47" i="21"/>
  <c r="U66" i="21"/>
  <c r="T66" i="21"/>
  <c r="U65" i="21"/>
  <c r="T65" i="21"/>
  <c r="U64" i="21"/>
  <c r="T64" i="21"/>
  <c r="U63" i="21"/>
  <c r="T63" i="21"/>
  <c r="U62" i="21"/>
  <c r="T62" i="21"/>
  <c r="U61" i="21"/>
  <c r="T61" i="21"/>
  <c r="U60" i="21"/>
  <c r="T60" i="21"/>
  <c r="U59" i="21"/>
  <c r="T59" i="21"/>
  <c r="U58" i="21"/>
  <c r="T58" i="21"/>
  <c r="U57" i="21"/>
  <c r="T57" i="21"/>
  <c r="U56" i="21"/>
  <c r="T56" i="21"/>
  <c r="U55" i="21"/>
  <c r="T55" i="21"/>
  <c r="U54" i="21"/>
  <c r="T54" i="21"/>
  <c r="U53" i="21"/>
  <c r="T53" i="21"/>
  <c r="U52" i="21"/>
  <c r="T52" i="21"/>
  <c r="U51" i="21"/>
  <c r="T51" i="21"/>
  <c r="U50" i="21"/>
  <c r="T50" i="21"/>
  <c r="U49" i="21"/>
  <c r="T49" i="21"/>
  <c r="U48" i="21"/>
  <c r="T48" i="21"/>
  <c r="U47" i="21"/>
  <c r="T47" i="21"/>
  <c r="S66" i="21"/>
  <c r="R66" i="21"/>
  <c r="S65" i="21"/>
  <c r="R65" i="21"/>
  <c r="S64" i="21"/>
  <c r="R64" i="21"/>
  <c r="S63" i="21"/>
  <c r="R63" i="21"/>
  <c r="S62" i="21"/>
  <c r="R62" i="21"/>
  <c r="S61" i="21"/>
  <c r="R61" i="21"/>
  <c r="S60" i="21"/>
  <c r="R60" i="21"/>
  <c r="S59" i="21"/>
  <c r="R59" i="21"/>
  <c r="S58" i="21"/>
  <c r="R58" i="21"/>
  <c r="S57" i="21"/>
  <c r="R57" i="21"/>
  <c r="S56" i="21"/>
  <c r="R56" i="21"/>
  <c r="S55" i="21"/>
  <c r="R55" i="21"/>
  <c r="S54" i="21"/>
  <c r="R54" i="21"/>
  <c r="S53" i="21"/>
  <c r="R53" i="21"/>
  <c r="S52" i="21"/>
  <c r="R52" i="21"/>
  <c r="S51" i="21"/>
  <c r="R51" i="21"/>
  <c r="S50" i="21"/>
  <c r="R50" i="21"/>
  <c r="S49" i="21"/>
  <c r="R49" i="21"/>
  <c r="S48" i="21"/>
  <c r="R48" i="21"/>
  <c r="S47" i="21"/>
  <c r="R47" i="21"/>
  <c r="Q66" i="21"/>
  <c r="P66" i="21"/>
  <c r="Q65" i="21"/>
  <c r="P65" i="21"/>
  <c r="Q64" i="21"/>
  <c r="P64" i="21"/>
  <c r="Q63" i="21"/>
  <c r="P63" i="21"/>
  <c r="Q62" i="21"/>
  <c r="P62" i="21"/>
  <c r="Q61" i="21"/>
  <c r="P61" i="21"/>
  <c r="Q60" i="21"/>
  <c r="P60" i="21"/>
  <c r="Q59" i="21"/>
  <c r="P59" i="21"/>
  <c r="Q58" i="21"/>
  <c r="P58" i="21"/>
  <c r="Q57" i="21"/>
  <c r="P57" i="21"/>
  <c r="Q56" i="21"/>
  <c r="P56" i="21"/>
  <c r="Q55" i="21"/>
  <c r="P55" i="21"/>
  <c r="Q54" i="21"/>
  <c r="P54" i="21"/>
  <c r="Q53" i="21"/>
  <c r="P53" i="21"/>
  <c r="Q52" i="21"/>
  <c r="P52" i="21"/>
  <c r="Q51" i="21"/>
  <c r="P51" i="21"/>
  <c r="Q50" i="21"/>
  <c r="P50" i="21"/>
  <c r="Q49" i="21"/>
  <c r="P49" i="21"/>
  <c r="Q48" i="21"/>
  <c r="P48" i="21"/>
  <c r="Q47" i="21"/>
  <c r="P47" i="21"/>
  <c r="O66" i="21"/>
  <c r="N66" i="21"/>
  <c r="O65" i="21"/>
  <c r="N65" i="21"/>
  <c r="O64" i="21"/>
  <c r="N64" i="21"/>
  <c r="O63" i="21"/>
  <c r="N63" i="21"/>
  <c r="O62" i="21"/>
  <c r="N62" i="21"/>
  <c r="O61" i="21"/>
  <c r="N61" i="21"/>
  <c r="O60" i="21"/>
  <c r="N60" i="21"/>
  <c r="O59" i="21"/>
  <c r="N59" i="21"/>
  <c r="O58" i="21"/>
  <c r="N58" i="21"/>
  <c r="O57" i="21"/>
  <c r="N57" i="21"/>
  <c r="O56" i="21"/>
  <c r="N56" i="21"/>
  <c r="O55" i="21"/>
  <c r="N55" i="21"/>
  <c r="O54" i="21"/>
  <c r="N54" i="21"/>
  <c r="O53" i="21"/>
  <c r="N53" i="21"/>
  <c r="O52" i="21"/>
  <c r="N52" i="21"/>
  <c r="O51" i="21"/>
  <c r="N51" i="21"/>
  <c r="O50" i="21"/>
  <c r="N50" i="21"/>
  <c r="O49" i="21"/>
  <c r="N49" i="21"/>
  <c r="O48" i="21"/>
  <c r="N48" i="21"/>
  <c r="O47" i="21"/>
  <c r="N47" i="21"/>
  <c r="M66" i="21"/>
  <c r="L66" i="21"/>
  <c r="M65" i="21"/>
  <c r="L65" i="21"/>
  <c r="M64" i="21"/>
  <c r="L64" i="21"/>
  <c r="M63" i="21"/>
  <c r="L63" i="21"/>
  <c r="M62" i="21"/>
  <c r="L62" i="21"/>
  <c r="M61" i="21"/>
  <c r="L61" i="21"/>
  <c r="M60" i="21"/>
  <c r="L60" i="21"/>
  <c r="M59" i="21"/>
  <c r="L59" i="21"/>
  <c r="M58" i="21"/>
  <c r="L58" i="21"/>
  <c r="M57" i="21"/>
  <c r="L57" i="21"/>
  <c r="M56" i="21"/>
  <c r="L56" i="21"/>
  <c r="M55" i="21"/>
  <c r="L55" i="21"/>
  <c r="M54" i="21"/>
  <c r="L54" i="21"/>
  <c r="M53" i="21"/>
  <c r="L53" i="21"/>
  <c r="M52" i="21"/>
  <c r="L52" i="21"/>
  <c r="M51" i="21"/>
  <c r="L51" i="21"/>
  <c r="M50" i="21"/>
  <c r="L50" i="21"/>
  <c r="M49" i="21"/>
  <c r="L49" i="21"/>
  <c r="M48" i="21"/>
  <c r="L48" i="21"/>
  <c r="M47" i="21"/>
  <c r="L47" i="21"/>
  <c r="K66" i="21"/>
  <c r="J66" i="21"/>
  <c r="K65" i="21"/>
  <c r="J65" i="21"/>
  <c r="K64" i="21"/>
  <c r="J64" i="21"/>
  <c r="K63" i="21"/>
  <c r="J63" i="21"/>
  <c r="K62" i="21"/>
  <c r="J62" i="21"/>
  <c r="K61" i="21"/>
  <c r="J61" i="21"/>
  <c r="K60" i="21"/>
  <c r="J60" i="21"/>
  <c r="K59" i="21"/>
  <c r="J59" i="21"/>
  <c r="K58" i="21"/>
  <c r="J58" i="21"/>
  <c r="K57" i="21"/>
  <c r="J57" i="21"/>
  <c r="K56" i="21"/>
  <c r="J56" i="21"/>
  <c r="K55" i="21"/>
  <c r="J55" i="21"/>
  <c r="K54" i="21"/>
  <c r="J54" i="21"/>
  <c r="K53" i="21"/>
  <c r="J53" i="21"/>
  <c r="K52" i="21"/>
  <c r="J52" i="21"/>
  <c r="K51" i="21"/>
  <c r="J51" i="21"/>
  <c r="K50" i="21"/>
  <c r="J50" i="21"/>
  <c r="K49" i="21"/>
  <c r="J49" i="21"/>
  <c r="K48" i="21"/>
  <c r="J48" i="21"/>
  <c r="K47" i="21"/>
  <c r="J47" i="21"/>
  <c r="I66" i="21"/>
  <c r="H66" i="21"/>
  <c r="I65" i="21"/>
  <c r="H65" i="21"/>
  <c r="I64" i="21"/>
  <c r="H64" i="21"/>
  <c r="I63" i="21"/>
  <c r="H63" i="21"/>
  <c r="I62" i="21"/>
  <c r="H62" i="21"/>
  <c r="I61" i="21"/>
  <c r="H61" i="21"/>
  <c r="I60" i="21"/>
  <c r="H60" i="21"/>
  <c r="I59" i="21"/>
  <c r="H59" i="21"/>
  <c r="I58" i="21"/>
  <c r="H58" i="21"/>
  <c r="I57" i="21"/>
  <c r="H57" i="21"/>
  <c r="I56" i="21"/>
  <c r="H56" i="21"/>
  <c r="I55" i="21"/>
  <c r="H55" i="21"/>
  <c r="I54" i="21"/>
  <c r="H54" i="21"/>
  <c r="I53" i="21"/>
  <c r="H53" i="21"/>
  <c r="I52" i="21"/>
  <c r="H52" i="21"/>
  <c r="I51" i="21"/>
  <c r="H51" i="21"/>
  <c r="I50" i="21"/>
  <c r="H50" i="21"/>
  <c r="I49" i="21"/>
  <c r="H49" i="21"/>
  <c r="I48" i="21"/>
  <c r="H48" i="21"/>
  <c r="I47" i="21"/>
  <c r="H47" i="21"/>
  <c r="G66" i="21"/>
  <c r="F66" i="21"/>
  <c r="G65" i="21"/>
  <c r="F65" i="21"/>
  <c r="G64" i="21"/>
  <c r="F64" i="21"/>
  <c r="G63" i="21"/>
  <c r="F63" i="21"/>
  <c r="G62" i="21"/>
  <c r="F62" i="21"/>
  <c r="G61" i="21"/>
  <c r="F61" i="21"/>
  <c r="G60" i="21"/>
  <c r="F60" i="21"/>
  <c r="G59" i="21"/>
  <c r="F59" i="21"/>
  <c r="G58" i="21"/>
  <c r="F58" i="21"/>
  <c r="G57" i="21"/>
  <c r="F57" i="21"/>
  <c r="G56" i="21"/>
  <c r="F56" i="21"/>
  <c r="G55" i="21"/>
  <c r="F55" i="21"/>
  <c r="G54" i="21"/>
  <c r="F54" i="21"/>
  <c r="G53" i="21"/>
  <c r="F53" i="21"/>
  <c r="G52" i="21"/>
  <c r="F52" i="21"/>
  <c r="G51" i="21"/>
  <c r="F51" i="21"/>
  <c r="G50" i="21"/>
  <c r="F50" i="21"/>
  <c r="G49" i="21"/>
  <c r="F49" i="21"/>
  <c r="G48" i="21"/>
  <c r="F48" i="21"/>
  <c r="G47" i="21"/>
  <c r="F4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D47" i="21"/>
  <c r="AO42" i="21"/>
  <c r="AN42" i="21"/>
  <c r="AO41" i="21"/>
  <c r="AN41" i="21"/>
  <c r="AO40" i="21"/>
  <c r="AN40" i="21"/>
  <c r="AO39" i="21"/>
  <c r="AN39" i="21"/>
  <c r="AO38" i="21"/>
  <c r="AN38" i="21"/>
  <c r="AO37" i="21"/>
  <c r="AN37" i="21"/>
  <c r="AO36" i="21"/>
  <c r="AN36" i="21"/>
  <c r="AO35" i="21"/>
  <c r="AN35" i="21"/>
  <c r="AO34" i="21"/>
  <c r="AN34" i="21"/>
  <c r="AO33" i="21"/>
  <c r="AN33" i="21"/>
  <c r="AO32" i="21"/>
  <c r="AN32" i="21"/>
  <c r="AO31" i="21"/>
  <c r="AN31" i="21"/>
  <c r="AO30" i="21"/>
  <c r="AN30" i="21"/>
  <c r="AO29" i="21"/>
  <c r="AN29" i="21"/>
  <c r="AO28" i="21"/>
  <c r="AN28" i="21"/>
  <c r="AO27" i="21"/>
  <c r="AN27" i="21"/>
  <c r="AO26" i="21"/>
  <c r="AN26" i="21"/>
  <c r="AO25" i="21"/>
  <c r="AN25" i="21"/>
  <c r="AO24" i="21"/>
  <c r="AN24" i="21"/>
  <c r="AO23" i="21"/>
  <c r="AN23" i="21"/>
  <c r="AO22" i="21"/>
  <c r="AN22" i="21"/>
  <c r="AO21" i="21"/>
  <c r="AN21" i="21"/>
  <c r="AM42" i="21"/>
  <c r="AL42" i="21"/>
  <c r="AM41" i="21"/>
  <c r="AL41" i="21"/>
  <c r="AM40" i="21"/>
  <c r="AL40" i="21"/>
  <c r="AM39" i="21"/>
  <c r="AL39" i="21"/>
  <c r="AM38" i="21"/>
  <c r="AL38" i="21"/>
  <c r="AM37" i="21"/>
  <c r="AL37" i="21"/>
  <c r="AM36" i="21"/>
  <c r="AL36" i="21"/>
  <c r="AM35" i="21"/>
  <c r="AL35" i="21"/>
  <c r="AM34" i="21"/>
  <c r="AL34" i="21"/>
  <c r="AM33" i="21"/>
  <c r="AL33" i="21"/>
  <c r="AM32" i="21"/>
  <c r="AL32" i="21"/>
  <c r="AM31" i="21"/>
  <c r="AL31" i="21"/>
  <c r="AM30" i="21"/>
  <c r="AL30" i="21"/>
  <c r="AM29" i="21"/>
  <c r="AL29" i="21"/>
  <c r="AM28" i="21"/>
  <c r="AL28" i="21"/>
  <c r="AM27" i="21"/>
  <c r="AL27" i="21"/>
  <c r="AM26" i="21"/>
  <c r="AL26" i="21"/>
  <c r="AM25" i="21"/>
  <c r="AL25" i="21"/>
  <c r="AM24" i="21"/>
  <c r="AL24" i="21"/>
  <c r="AM23" i="21"/>
  <c r="AL23" i="21"/>
  <c r="AM22" i="21"/>
  <c r="AL22" i="21"/>
  <c r="AM21" i="21"/>
  <c r="AL21" i="21"/>
  <c r="AK42" i="21"/>
  <c r="AJ42" i="21"/>
  <c r="AK41" i="21"/>
  <c r="AJ41" i="21"/>
  <c r="AK40" i="21"/>
  <c r="AJ40" i="21"/>
  <c r="AK39" i="21"/>
  <c r="AJ39" i="21"/>
  <c r="AK38" i="21"/>
  <c r="AJ38" i="21"/>
  <c r="AK37" i="21"/>
  <c r="AJ37" i="21"/>
  <c r="AK36" i="21"/>
  <c r="AJ36" i="21"/>
  <c r="AK35" i="21"/>
  <c r="AJ35" i="21"/>
  <c r="AK34" i="21"/>
  <c r="AJ34" i="21"/>
  <c r="AK33" i="21"/>
  <c r="AJ33" i="21"/>
  <c r="AK32" i="21"/>
  <c r="AJ32" i="21"/>
  <c r="AK31" i="21"/>
  <c r="AJ31" i="21"/>
  <c r="AK30" i="21"/>
  <c r="AJ30" i="21"/>
  <c r="AK29" i="21"/>
  <c r="AJ29" i="21"/>
  <c r="AK28" i="21"/>
  <c r="AJ28" i="21"/>
  <c r="AK27" i="21"/>
  <c r="AJ27" i="21"/>
  <c r="AK26" i="21"/>
  <c r="AJ26" i="21"/>
  <c r="AK25" i="21"/>
  <c r="AJ25" i="21"/>
  <c r="AK24" i="21"/>
  <c r="AJ24" i="21"/>
  <c r="AK23" i="21"/>
  <c r="AJ23" i="21"/>
  <c r="AK22" i="21"/>
  <c r="AJ22" i="21"/>
  <c r="AK21" i="21"/>
  <c r="AJ21" i="21"/>
  <c r="AI42" i="21"/>
  <c r="AH42" i="21"/>
  <c r="AI41" i="21"/>
  <c r="AH41" i="21"/>
  <c r="AI40" i="21"/>
  <c r="AH40" i="21"/>
  <c r="AI39" i="21"/>
  <c r="AH39" i="21"/>
  <c r="AI38" i="21"/>
  <c r="AH38" i="21"/>
  <c r="AI37" i="21"/>
  <c r="AH37" i="21"/>
  <c r="AI36" i="21"/>
  <c r="AH36" i="21"/>
  <c r="AI35" i="21"/>
  <c r="AH35" i="21"/>
  <c r="AI34" i="21"/>
  <c r="AH34" i="21"/>
  <c r="AI33" i="21"/>
  <c r="AH33" i="21"/>
  <c r="AI32" i="21"/>
  <c r="AH32" i="21"/>
  <c r="AI31" i="21"/>
  <c r="AH31" i="21"/>
  <c r="AI30" i="21"/>
  <c r="AH30" i="21"/>
  <c r="AI29" i="21"/>
  <c r="AH29" i="21"/>
  <c r="AI28" i="21"/>
  <c r="AH28" i="21"/>
  <c r="AI27" i="21"/>
  <c r="AH27" i="21"/>
  <c r="AI26" i="21"/>
  <c r="AH26" i="21"/>
  <c r="AI25" i="21"/>
  <c r="AH25" i="21"/>
  <c r="AI24" i="21"/>
  <c r="AH24" i="21"/>
  <c r="AI23" i="21"/>
  <c r="AH23" i="21"/>
  <c r="AI22" i="21"/>
  <c r="AH22" i="21"/>
  <c r="AI21" i="21"/>
  <c r="AH21" i="21"/>
  <c r="AG42" i="21"/>
  <c r="AF42" i="21"/>
  <c r="AG41" i="21"/>
  <c r="AF41" i="21"/>
  <c r="AG40" i="21"/>
  <c r="AF40" i="21"/>
  <c r="AG39" i="21"/>
  <c r="AF39" i="21"/>
  <c r="AG38" i="21"/>
  <c r="AF38" i="21"/>
  <c r="AG37" i="21"/>
  <c r="AF37" i="21"/>
  <c r="AG36" i="21"/>
  <c r="AF36" i="21"/>
  <c r="AG35" i="21"/>
  <c r="AF35" i="21"/>
  <c r="AG34" i="21"/>
  <c r="AF34" i="21"/>
  <c r="AG33" i="21"/>
  <c r="AF33" i="21"/>
  <c r="AG32" i="21"/>
  <c r="AF32" i="21"/>
  <c r="AG31" i="21"/>
  <c r="AF31" i="21"/>
  <c r="AG30" i="21"/>
  <c r="AF30" i="21"/>
  <c r="AG29" i="21"/>
  <c r="AF29" i="21"/>
  <c r="AG28" i="21"/>
  <c r="AF28" i="21"/>
  <c r="AG27" i="21"/>
  <c r="AF27" i="21"/>
  <c r="AG26" i="21"/>
  <c r="AF26" i="21"/>
  <c r="AG25" i="21"/>
  <c r="AF25" i="21"/>
  <c r="AG24" i="21"/>
  <c r="AF24" i="21"/>
  <c r="AG23" i="21"/>
  <c r="AF23" i="21"/>
  <c r="AG22" i="21"/>
  <c r="AF22" i="21"/>
  <c r="AG21" i="21"/>
  <c r="AF21" i="21"/>
  <c r="AE42" i="21"/>
  <c r="AD42" i="21"/>
  <c r="AE41" i="21"/>
  <c r="AD41" i="21"/>
  <c r="AE40" i="21"/>
  <c r="AD40" i="21"/>
  <c r="AE39" i="21"/>
  <c r="AD39" i="2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E22" i="21"/>
  <c r="AD22" i="21"/>
  <c r="AE21" i="21"/>
  <c r="AD21" i="21"/>
  <c r="AC42" i="21"/>
  <c r="AB42" i="21"/>
  <c r="AC41" i="21"/>
  <c r="AB41" i="21"/>
  <c r="AC40" i="21"/>
  <c r="AB40" i="21"/>
  <c r="AC39" i="21"/>
  <c r="AB39" i="21"/>
  <c r="AC38" i="21"/>
  <c r="AB38" i="21"/>
  <c r="AC37" i="21"/>
  <c r="AB37" i="21"/>
  <c r="AC36" i="21"/>
  <c r="AB36" i="21"/>
  <c r="AC35" i="21"/>
  <c r="AB35" i="21"/>
  <c r="AC34" i="21"/>
  <c r="AB34" i="21"/>
  <c r="AC33" i="21"/>
  <c r="AB33" i="21"/>
  <c r="AC32" i="21"/>
  <c r="AB32" i="21"/>
  <c r="AC31" i="21"/>
  <c r="AB31" i="21"/>
  <c r="AC30" i="21"/>
  <c r="AB30" i="21"/>
  <c r="AC29" i="21"/>
  <c r="AB29" i="21"/>
  <c r="AC28" i="21"/>
  <c r="AB28" i="21"/>
  <c r="AC27" i="21"/>
  <c r="AB27" i="21"/>
  <c r="AC26" i="21"/>
  <c r="AB26" i="21"/>
  <c r="AC25" i="21"/>
  <c r="AB25" i="21"/>
  <c r="AC24" i="21"/>
  <c r="AB24" i="21"/>
  <c r="AC23" i="21"/>
  <c r="AB23" i="21"/>
  <c r="AC22" i="21"/>
  <c r="AB22" i="21"/>
  <c r="AC21" i="21"/>
  <c r="AB21" i="21"/>
  <c r="AA42" i="21"/>
  <c r="Z42" i="21"/>
  <c r="AA41" i="21"/>
  <c r="Z41" i="21"/>
  <c r="AA40" i="21"/>
  <c r="Z40" i="21"/>
  <c r="AA39" i="21"/>
  <c r="Z39" i="21"/>
  <c r="AA38" i="21"/>
  <c r="Z38" i="21"/>
  <c r="AA37" i="21"/>
  <c r="Z37" i="21"/>
  <c r="AA36" i="21"/>
  <c r="Z36" i="21"/>
  <c r="AA35" i="21"/>
  <c r="Z35" i="21"/>
  <c r="AA34" i="21"/>
  <c r="Z34" i="21"/>
  <c r="AA33" i="21"/>
  <c r="Z33" i="21"/>
  <c r="AA32" i="21"/>
  <c r="Z32" i="21"/>
  <c r="AA31" i="21"/>
  <c r="Z31" i="21"/>
  <c r="AA30" i="21"/>
  <c r="Z30" i="21"/>
  <c r="AA29" i="21"/>
  <c r="Z29" i="21"/>
  <c r="AA28" i="21"/>
  <c r="Z28" i="21"/>
  <c r="AA27" i="21"/>
  <c r="Z27" i="21"/>
  <c r="AA26" i="21"/>
  <c r="Z26" i="21"/>
  <c r="AA25" i="21"/>
  <c r="Z25" i="21"/>
  <c r="AA24" i="21"/>
  <c r="Z24" i="21"/>
  <c r="AA23" i="21"/>
  <c r="Z23" i="21"/>
  <c r="AA22" i="21"/>
  <c r="Z22" i="21"/>
  <c r="AA21" i="21"/>
  <c r="Z21" i="21"/>
  <c r="Y42" i="21"/>
  <c r="X42" i="21"/>
  <c r="Y41" i="21"/>
  <c r="X41" i="21"/>
  <c r="Y40" i="21"/>
  <c r="X40" i="21"/>
  <c r="Y39" i="21"/>
  <c r="X39" i="21"/>
  <c r="Y38" i="21"/>
  <c r="X38" i="21"/>
  <c r="Y37" i="21"/>
  <c r="X37" i="21"/>
  <c r="Y36" i="21"/>
  <c r="X36" i="21"/>
  <c r="Y35" i="21"/>
  <c r="X35" i="21"/>
  <c r="Y34" i="21"/>
  <c r="X34" i="21"/>
  <c r="Y33" i="21"/>
  <c r="X33" i="21"/>
  <c r="Y32" i="21"/>
  <c r="X32" i="21"/>
  <c r="Y31" i="21"/>
  <c r="X31" i="21"/>
  <c r="Y30" i="21"/>
  <c r="X30" i="21"/>
  <c r="Y29" i="21"/>
  <c r="X29" i="21"/>
  <c r="Y28" i="21"/>
  <c r="X28" i="21"/>
  <c r="Y27" i="21"/>
  <c r="X27" i="21"/>
  <c r="Y26" i="21"/>
  <c r="X26" i="21"/>
  <c r="Y25" i="21"/>
  <c r="X25" i="21"/>
  <c r="Y24" i="21"/>
  <c r="X24" i="21"/>
  <c r="Y23" i="21"/>
  <c r="X23" i="21"/>
  <c r="Y22" i="21"/>
  <c r="X22" i="21"/>
  <c r="Y21" i="21"/>
  <c r="X21" i="21"/>
  <c r="W42" i="21"/>
  <c r="V42" i="21"/>
  <c r="W41" i="21"/>
  <c r="V41" i="21"/>
  <c r="W40" i="21"/>
  <c r="V40" i="21"/>
  <c r="W39" i="21"/>
  <c r="V39" i="21"/>
  <c r="W38" i="21"/>
  <c r="V38" i="21"/>
  <c r="W37" i="21"/>
  <c r="V37" i="21"/>
  <c r="W36" i="21"/>
  <c r="V36" i="21"/>
  <c r="W35" i="21"/>
  <c r="V35" i="21"/>
  <c r="W34" i="21"/>
  <c r="V34" i="21"/>
  <c r="W33" i="21"/>
  <c r="V33" i="21"/>
  <c r="W32" i="21"/>
  <c r="V32" i="21"/>
  <c r="W31" i="21"/>
  <c r="V31" i="21"/>
  <c r="W30" i="21"/>
  <c r="V30" i="21"/>
  <c r="W29" i="21"/>
  <c r="V29" i="21"/>
  <c r="W28" i="21"/>
  <c r="V28" i="21"/>
  <c r="W27" i="21"/>
  <c r="V27" i="21"/>
  <c r="W26" i="21"/>
  <c r="V26" i="21"/>
  <c r="W25" i="21"/>
  <c r="V25" i="21"/>
  <c r="W24" i="21"/>
  <c r="V24" i="21"/>
  <c r="W23" i="21"/>
  <c r="V23" i="21"/>
  <c r="W22" i="21"/>
  <c r="V22" i="21"/>
  <c r="W21" i="21"/>
  <c r="V21" i="21"/>
  <c r="U42" i="21"/>
  <c r="T42" i="21"/>
  <c r="U41" i="21"/>
  <c r="T41" i="21"/>
  <c r="U40" i="21"/>
  <c r="T40" i="21"/>
  <c r="U39" i="21"/>
  <c r="T39" i="21"/>
  <c r="U38" i="21"/>
  <c r="T38" i="21"/>
  <c r="U37" i="21"/>
  <c r="T37" i="21"/>
  <c r="U36" i="21"/>
  <c r="T36" i="21"/>
  <c r="U35" i="21"/>
  <c r="T35" i="21"/>
  <c r="U34" i="21"/>
  <c r="T34" i="21"/>
  <c r="U33" i="21"/>
  <c r="T33" i="21"/>
  <c r="U32" i="21"/>
  <c r="T32" i="21"/>
  <c r="U31" i="21"/>
  <c r="T31" i="21"/>
  <c r="U30" i="21"/>
  <c r="T30" i="21"/>
  <c r="U29" i="21"/>
  <c r="T29" i="21"/>
  <c r="U28" i="21"/>
  <c r="T28" i="21"/>
  <c r="U27" i="21"/>
  <c r="T27" i="21"/>
  <c r="U26" i="21"/>
  <c r="T26" i="21"/>
  <c r="U25" i="21"/>
  <c r="T25" i="21"/>
  <c r="U24" i="21"/>
  <c r="T24" i="21"/>
  <c r="U23" i="21"/>
  <c r="T23" i="21"/>
  <c r="U22" i="21"/>
  <c r="T22" i="21"/>
  <c r="U21" i="21"/>
  <c r="T21" i="21"/>
  <c r="S42" i="21"/>
  <c r="R42" i="21"/>
  <c r="S41" i="21"/>
  <c r="R41" i="21"/>
  <c r="S40" i="21"/>
  <c r="R40" i="21"/>
  <c r="S39" i="21"/>
  <c r="R39" i="21"/>
  <c r="S38" i="21"/>
  <c r="R38" i="21"/>
  <c r="S37" i="21"/>
  <c r="R37" i="21"/>
  <c r="S36" i="21"/>
  <c r="R36" i="21"/>
  <c r="S35" i="21"/>
  <c r="R35" i="21"/>
  <c r="S34" i="21"/>
  <c r="R34" i="21"/>
  <c r="S33" i="21"/>
  <c r="R33" i="21"/>
  <c r="S32" i="21"/>
  <c r="R32" i="21"/>
  <c r="S31" i="21"/>
  <c r="R31" i="21"/>
  <c r="S30" i="21"/>
  <c r="R30" i="21"/>
  <c r="S29" i="21"/>
  <c r="R29" i="21"/>
  <c r="S28" i="21"/>
  <c r="R28" i="21"/>
  <c r="S27" i="21"/>
  <c r="R27" i="21"/>
  <c r="S26" i="21"/>
  <c r="R26" i="21"/>
  <c r="S25" i="21"/>
  <c r="R25" i="21"/>
  <c r="S24" i="21"/>
  <c r="R24" i="21"/>
  <c r="S23" i="21"/>
  <c r="R23" i="21"/>
  <c r="S22" i="21"/>
  <c r="R22" i="21"/>
  <c r="S21" i="21"/>
  <c r="R21" i="21"/>
  <c r="Q42" i="21"/>
  <c r="P42" i="21"/>
  <c r="Q41" i="21"/>
  <c r="P41" i="21"/>
  <c r="Q40" i="21"/>
  <c r="P40" i="21"/>
  <c r="Q39" i="21"/>
  <c r="P39" i="21"/>
  <c r="Q38" i="21"/>
  <c r="P38" i="21"/>
  <c r="Q37" i="21"/>
  <c r="P37" i="21"/>
  <c r="Q36" i="21"/>
  <c r="P36" i="21"/>
  <c r="Q35" i="21"/>
  <c r="P35" i="21"/>
  <c r="Q34" i="21"/>
  <c r="P34" i="21"/>
  <c r="Q33" i="21"/>
  <c r="P33" i="21"/>
  <c r="Q32" i="21"/>
  <c r="P32" i="21"/>
  <c r="Q31" i="21"/>
  <c r="P31" i="21"/>
  <c r="Q30" i="21"/>
  <c r="P30" i="21"/>
  <c r="Q29" i="21"/>
  <c r="P29" i="21"/>
  <c r="Q28" i="21"/>
  <c r="P28" i="21"/>
  <c r="Q27" i="21"/>
  <c r="P27" i="21"/>
  <c r="Q26" i="21"/>
  <c r="P26" i="21"/>
  <c r="Q25" i="21"/>
  <c r="P25" i="21"/>
  <c r="Q24" i="21"/>
  <c r="P24" i="21"/>
  <c r="Q23" i="21"/>
  <c r="P23" i="21"/>
  <c r="Q22" i="21"/>
  <c r="P22" i="21"/>
  <c r="Q21" i="21"/>
  <c r="P21" i="21"/>
  <c r="O42" i="21"/>
  <c r="N42" i="21"/>
  <c r="O41" i="21"/>
  <c r="N41" i="21"/>
  <c r="O40" i="21"/>
  <c r="N40" i="21"/>
  <c r="O39" i="21"/>
  <c r="N39" i="21"/>
  <c r="O38" i="21"/>
  <c r="N38" i="21"/>
  <c r="O37" i="21"/>
  <c r="N37" i="21"/>
  <c r="O36" i="21"/>
  <c r="N36" i="21"/>
  <c r="O35" i="21"/>
  <c r="N35" i="21"/>
  <c r="O34" i="21"/>
  <c r="N34" i="21"/>
  <c r="O33" i="21"/>
  <c r="N33" i="21"/>
  <c r="O32" i="21"/>
  <c r="N32" i="21"/>
  <c r="O31" i="21"/>
  <c r="N31" i="21"/>
  <c r="O30" i="21"/>
  <c r="N30" i="21"/>
  <c r="O29" i="21"/>
  <c r="N29" i="21"/>
  <c r="O28" i="21"/>
  <c r="N28" i="21"/>
  <c r="O27" i="21"/>
  <c r="N27" i="21"/>
  <c r="O26" i="21"/>
  <c r="N26" i="21"/>
  <c r="O25" i="21"/>
  <c r="N25" i="21"/>
  <c r="O24" i="21"/>
  <c r="N24" i="21"/>
  <c r="O23" i="21"/>
  <c r="N23" i="21"/>
  <c r="O22" i="21"/>
  <c r="N22" i="21"/>
  <c r="O21" i="21"/>
  <c r="N21" i="21"/>
  <c r="M42" i="21"/>
  <c r="L42" i="21"/>
  <c r="M41" i="21"/>
  <c r="L41" i="21"/>
  <c r="M40" i="21"/>
  <c r="L40" i="21"/>
  <c r="M39" i="21"/>
  <c r="L39" i="21"/>
  <c r="M38" i="21"/>
  <c r="L38" i="21"/>
  <c r="M37" i="21"/>
  <c r="L37" i="21"/>
  <c r="M36" i="21"/>
  <c r="L36" i="21"/>
  <c r="M35" i="21"/>
  <c r="L35" i="21"/>
  <c r="M34" i="21"/>
  <c r="L34" i="21"/>
  <c r="M33" i="21"/>
  <c r="L33" i="21"/>
  <c r="M32" i="21"/>
  <c r="L32" i="21"/>
  <c r="M31" i="21"/>
  <c r="L31" i="21"/>
  <c r="M30" i="21"/>
  <c r="L30" i="21"/>
  <c r="M29" i="21"/>
  <c r="L29" i="21"/>
  <c r="M28" i="21"/>
  <c r="L28" i="21"/>
  <c r="M27" i="21"/>
  <c r="L27" i="21"/>
  <c r="M26" i="21"/>
  <c r="L26" i="21"/>
  <c r="M25" i="21"/>
  <c r="L25" i="21"/>
  <c r="M24" i="21"/>
  <c r="L24" i="21"/>
  <c r="M23" i="21"/>
  <c r="L23" i="21"/>
  <c r="M22" i="21"/>
  <c r="L22" i="21"/>
  <c r="M21" i="21"/>
  <c r="L21" i="21"/>
  <c r="K42" i="21"/>
  <c r="J42" i="21"/>
  <c r="K41" i="21"/>
  <c r="J41" i="21"/>
  <c r="K40" i="21"/>
  <c r="J40" i="21"/>
  <c r="K39" i="21"/>
  <c r="J39" i="21"/>
  <c r="K38" i="21"/>
  <c r="J38" i="21"/>
  <c r="K37" i="21"/>
  <c r="J37" i="21"/>
  <c r="K36" i="21"/>
  <c r="J36" i="21"/>
  <c r="K35" i="21"/>
  <c r="J35" i="21"/>
  <c r="K34" i="21"/>
  <c r="J34" i="21"/>
  <c r="K33" i="21"/>
  <c r="J33" i="21"/>
  <c r="K32" i="21"/>
  <c r="J32" i="21"/>
  <c r="K31" i="21"/>
  <c r="J31" i="21"/>
  <c r="K30" i="21"/>
  <c r="J30" i="21"/>
  <c r="K29" i="21"/>
  <c r="J29" i="21"/>
  <c r="K28" i="21"/>
  <c r="J28" i="21"/>
  <c r="K27" i="21"/>
  <c r="J27" i="21"/>
  <c r="K26" i="21"/>
  <c r="J26" i="21"/>
  <c r="K25" i="21"/>
  <c r="J25" i="21"/>
  <c r="K24" i="21"/>
  <c r="J24" i="21"/>
  <c r="K23" i="21"/>
  <c r="J23" i="21"/>
  <c r="K22" i="21"/>
  <c r="J22" i="21"/>
  <c r="K21" i="21"/>
  <c r="J21" i="21"/>
  <c r="I42" i="21"/>
  <c r="H42" i="21"/>
  <c r="I41" i="21"/>
  <c r="H41" i="21"/>
  <c r="I40" i="21"/>
  <c r="H40" i="21"/>
  <c r="I39" i="21"/>
  <c r="H39" i="21"/>
  <c r="I38" i="21"/>
  <c r="H38" i="21"/>
  <c r="I37" i="21"/>
  <c r="H37" i="21"/>
  <c r="I36" i="21"/>
  <c r="H36" i="21"/>
  <c r="I35" i="21"/>
  <c r="H35" i="21"/>
  <c r="I34" i="21"/>
  <c r="H34" i="21"/>
  <c r="I33" i="21"/>
  <c r="H33" i="21"/>
  <c r="I32" i="21"/>
  <c r="H32" i="21"/>
  <c r="I31" i="21"/>
  <c r="H31" i="21"/>
  <c r="I30" i="21"/>
  <c r="H30" i="21"/>
  <c r="I29" i="21"/>
  <c r="H29" i="21"/>
  <c r="I28" i="21"/>
  <c r="H28" i="21"/>
  <c r="I27" i="21"/>
  <c r="H27" i="21"/>
  <c r="I26" i="21"/>
  <c r="H26" i="21"/>
  <c r="I25" i="21"/>
  <c r="H25" i="21"/>
  <c r="I24" i="21"/>
  <c r="H24" i="21"/>
  <c r="I23" i="21"/>
  <c r="H23" i="21"/>
  <c r="I22" i="21"/>
  <c r="H22" i="21"/>
  <c r="I21" i="21"/>
  <c r="H21" i="21"/>
  <c r="G42" i="21"/>
  <c r="F42" i="21"/>
  <c r="G41" i="21"/>
  <c r="F41" i="21"/>
  <c r="G40" i="21"/>
  <c r="F40" i="21"/>
  <c r="G39" i="21"/>
  <c r="F39" i="21"/>
  <c r="G38" i="21"/>
  <c r="F38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5" i="21"/>
  <c r="F25" i="21"/>
  <c r="G24" i="21"/>
  <c r="F24" i="21"/>
  <c r="G23" i="21"/>
  <c r="F23" i="21"/>
  <c r="G22" i="21"/>
  <c r="F22" i="21"/>
  <c r="G21" i="21"/>
  <c r="F21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42" i="21"/>
  <c r="E22" i="21"/>
  <c r="E21" i="21"/>
  <c r="E21" i="20"/>
  <c r="D66" i="21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B13" i="21"/>
  <c r="B12" i="21"/>
  <c r="AO51" i="20"/>
  <c r="AN51" i="20"/>
  <c r="AO50" i="20"/>
  <c r="AN50" i="20"/>
  <c r="AO49" i="20"/>
  <c r="AN49" i="20"/>
  <c r="AO48" i="20"/>
  <c r="AN48" i="20"/>
  <c r="AO47" i="20"/>
  <c r="AN47" i="20"/>
  <c r="AO46" i="20"/>
  <c r="AN46" i="20"/>
  <c r="AO45" i="20"/>
  <c r="AN45" i="20"/>
  <c r="AO44" i="20"/>
  <c r="AN44" i="20"/>
  <c r="AO43" i="20"/>
  <c r="AN43" i="20"/>
  <c r="AO42" i="20"/>
  <c r="AN42" i="20"/>
  <c r="AO41" i="20"/>
  <c r="AN41" i="20"/>
  <c r="AO40" i="20"/>
  <c r="AN40" i="20"/>
  <c r="AO39" i="20"/>
  <c r="AN39" i="20"/>
  <c r="AM51" i="20"/>
  <c r="AL51" i="20"/>
  <c r="AM50" i="20"/>
  <c r="AL50" i="20"/>
  <c r="AM49" i="20"/>
  <c r="AL49" i="20"/>
  <c r="AM48" i="20"/>
  <c r="AL48" i="20"/>
  <c r="AM47" i="20"/>
  <c r="AL47" i="20"/>
  <c r="AM46" i="20"/>
  <c r="AL46" i="20"/>
  <c r="AM45" i="20"/>
  <c r="AL45" i="20"/>
  <c r="AM44" i="20"/>
  <c r="AL44" i="20"/>
  <c r="AM43" i="20"/>
  <c r="AL43" i="20"/>
  <c r="AM42" i="20"/>
  <c r="AL42" i="20"/>
  <c r="AM41" i="20"/>
  <c r="AL41" i="20"/>
  <c r="AM40" i="20"/>
  <c r="AL40" i="20"/>
  <c r="AM39" i="20"/>
  <c r="AL39" i="20"/>
  <c r="AK51" i="20"/>
  <c r="AJ51" i="20"/>
  <c r="AK50" i="20"/>
  <c r="AJ50" i="20"/>
  <c r="AK49" i="20"/>
  <c r="AJ49" i="20"/>
  <c r="AK48" i="20"/>
  <c r="AJ48" i="20"/>
  <c r="AK47" i="20"/>
  <c r="AJ47" i="20"/>
  <c r="AK46" i="20"/>
  <c r="AJ46" i="20"/>
  <c r="AK45" i="20"/>
  <c r="AJ45" i="20"/>
  <c r="AK44" i="20"/>
  <c r="AJ44" i="20"/>
  <c r="AK43" i="20"/>
  <c r="AJ43" i="20"/>
  <c r="AK42" i="20"/>
  <c r="AJ42" i="20"/>
  <c r="AK41" i="20"/>
  <c r="AJ41" i="20"/>
  <c r="AK40" i="20"/>
  <c r="AJ40" i="20"/>
  <c r="AK39" i="20"/>
  <c r="AJ39" i="20"/>
  <c r="AI51" i="20"/>
  <c r="AH51" i="20"/>
  <c r="AI50" i="20"/>
  <c r="AH50" i="20"/>
  <c r="AI49" i="20"/>
  <c r="AH49" i="20"/>
  <c r="AI48" i="20"/>
  <c r="AH48" i="20"/>
  <c r="AI47" i="20"/>
  <c r="AH47" i="20"/>
  <c r="AI46" i="20"/>
  <c r="AH46" i="20"/>
  <c r="AI45" i="20"/>
  <c r="AH45" i="20"/>
  <c r="AI44" i="20"/>
  <c r="AH44" i="20"/>
  <c r="AI43" i="20"/>
  <c r="AH43" i="20"/>
  <c r="AI42" i="20"/>
  <c r="AH42" i="20"/>
  <c r="AI41" i="20"/>
  <c r="AH41" i="20"/>
  <c r="AI40" i="20"/>
  <c r="AH40" i="20"/>
  <c r="AI39" i="20"/>
  <c r="AH39" i="20"/>
  <c r="AG51" i="20"/>
  <c r="AF51" i="20"/>
  <c r="AG50" i="20"/>
  <c r="AF50" i="20"/>
  <c r="AG49" i="20"/>
  <c r="AF49" i="20"/>
  <c r="AG48" i="20"/>
  <c r="AF48" i="20"/>
  <c r="AG47" i="20"/>
  <c r="AF47" i="20"/>
  <c r="AG46" i="20"/>
  <c r="AF46" i="20"/>
  <c r="AG45" i="20"/>
  <c r="AF45" i="20"/>
  <c r="AG44" i="20"/>
  <c r="AF44" i="20"/>
  <c r="AG43" i="20"/>
  <c r="AF43" i="20"/>
  <c r="AG42" i="20"/>
  <c r="AF42" i="20"/>
  <c r="AG41" i="20"/>
  <c r="AF41" i="20"/>
  <c r="AG40" i="20"/>
  <c r="AF40" i="20"/>
  <c r="AG39" i="20"/>
  <c r="AF39" i="20"/>
  <c r="AE51" i="20"/>
  <c r="AD51" i="20"/>
  <c r="AE50" i="20"/>
  <c r="AD50" i="20"/>
  <c r="AE49" i="20"/>
  <c r="AD49" i="20"/>
  <c r="AE48" i="20"/>
  <c r="AD48" i="20"/>
  <c r="AE47" i="20"/>
  <c r="AD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C51" i="20"/>
  <c r="AB51" i="20"/>
  <c r="AC50" i="20"/>
  <c r="AB50" i="20"/>
  <c r="AC49" i="20"/>
  <c r="AB49" i="20"/>
  <c r="AC48" i="20"/>
  <c r="AB48" i="20"/>
  <c r="AC47" i="20"/>
  <c r="AB47" i="20"/>
  <c r="AC46" i="20"/>
  <c r="AB46" i="20"/>
  <c r="AC45" i="20"/>
  <c r="AB45" i="20"/>
  <c r="AC44" i="20"/>
  <c r="AB44" i="20"/>
  <c r="AC43" i="20"/>
  <c r="AB43" i="20"/>
  <c r="AC42" i="20"/>
  <c r="AB42" i="20"/>
  <c r="AC41" i="20"/>
  <c r="AB41" i="20"/>
  <c r="AC40" i="20"/>
  <c r="AB40" i="20"/>
  <c r="AC39" i="20"/>
  <c r="AB39" i="20"/>
  <c r="AA51" i="20"/>
  <c r="Z51" i="20"/>
  <c r="AA50" i="20"/>
  <c r="Z50" i="20"/>
  <c r="AA49" i="20"/>
  <c r="Z49" i="20"/>
  <c r="AA48" i="20"/>
  <c r="Z48" i="20"/>
  <c r="AA47" i="20"/>
  <c r="Z47" i="20"/>
  <c r="AA46" i="20"/>
  <c r="Z46" i="20"/>
  <c r="AA45" i="20"/>
  <c r="Z45" i="20"/>
  <c r="AA44" i="20"/>
  <c r="Z44" i="20"/>
  <c r="AA43" i="20"/>
  <c r="Z43" i="20"/>
  <c r="AA42" i="20"/>
  <c r="Z42" i="20"/>
  <c r="AA41" i="20"/>
  <c r="Z41" i="20"/>
  <c r="AA40" i="20"/>
  <c r="Z40" i="20"/>
  <c r="AA39" i="20"/>
  <c r="Z39" i="20"/>
  <c r="Y51" i="20"/>
  <c r="X51" i="20"/>
  <c r="Y50" i="20"/>
  <c r="X50" i="20"/>
  <c r="Y49" i="20"/>
  <c r="X49" i="20"/>
  <c r="Y48" i="20"/>
  <c r="X48" i="20"/>
  <c r="Y47" i="20"/>
  <c r="X47" i="20"/>
  <c r="Y46" i="20"/>
  <c r="X46" i="20"/>
  <c r="Y45" i="20"/>
  <c r="X45" i="20"/>
  <c r="Y44" i="20"/>
  <c r="X44" i="20"/>
  <c r="Y43" i="20"/>
  <c r="X43" i="20"/>
  <c r="Y42" i="20"/>
  <c r="X42" i="20"/>
  <c r="Y41" i="20"/>
  <c r="X41" i="20"/>
  <c r="Y40" i="20"/>
  <c r="X40" i="20"/>
  <c r="Y39" i="20"/>
  <c r="X39" i="20"/>
  <c r="W51" i="20"/>
  <c r="V51" i="20"/>
  <c r="W50" i="20"/>
  <c r="V50" i="20"/>
  <c r="W49" i="20"/>
  <c r="V49" i="20"/>
  <c r="W48" i="20"/>
  <c r="V48" i="20"/>
  <c r="W47" i="20"/>
  <c r="V47" i="20"/>
  <c r="W46" i="20"/>
  <c r="V46" i="20"/>
  <c r="W45" i="20"/>
  <c r="V45" i="20"/>
  <c r="W44" i="20"/>
  <c r="V44" i="20"/>
  <c r="W43" i="20"/>
  <c r="V43" i="20"/>
  <c r="W42" i="20"/>
  <c r="V42" i="20"/>
  <c r="W41" i="20"/>
  <c r="V41" i="20"/>
  <c r="W40" i="20"/>
  <c r="V40" i="20"/>
  <c r="W39" i="20"/>
  <c r="V39" i="20"/>
  <c r="U51" i="20"/>
  <c r="T51" i="20"/>
  <c r="U50" i="20"/>
  <c r="T50" i="20"/>
  <c r="U49" i="20"/>
  <c r="T49" i="20"/>
  <c r="U48" i="20"/>
  <c r="T48" i="20"/>
  <c r="U47" i="20"/>
  <c r="T47" i="20"/>
  <c r="U46" i="20"/>
  <c r="T46" i="20"/>
  <c r="U45" i="20"/>
  <c r="T45" i="20"/>
  <c r="U44" i="20"/>
  <c r="T44" i="20"/>
  <c r="U43" i="20"/>
  <c r="T43" i="20"/>
  <c r="U42" i="20"/>
  <c r="T42" i="20"/>
  <c r="U41" i="20"/>
  <c r="T41" i="20"/>
  <c r="U40" i="20"/>
  <c r="T40" i="20"/>
  <c r="U39" i="20"/>
  <c r="T39" i="20"/>
  <c r="S51" i="20"/>
  <c r="R51" i="20"/>
  <c r="S50" i="20"/>
  <c r="R50" i="20"/>
  <c r="S49" i="20"/>
  <c r="R49" i="20"/>
  <c r="S48" i="20"/>
  <c r="R48" i="20"/>
  <c r="S47" i="20"/>
  <c r="R47" i="20"/>
  <c r="S46" i="20"/>
  <c r="R46" i="20"/>
  <c r="S45" i="20"/>
  <c r="R45" i="20"/>
  <c r="S44" i="20"/>
  <c r="R44" i="20"/>
  <c r="S43" i="20"/>
  <c r="R43" i="20"/>
  <c r="S42" i="20"/>
  <c r="R42" i="20"/>
  <c r="S41" i="20"/>
  <c r="R41" i="20"/>
  <c r="S40" i="20"/>
  <c r="R40" i="20"/>
  <c r="S39" i="20"/>
  <c r="R39" i="20"/>
  <c r="Q51" i="20"/>
  <c r="P51" i="20"/>
  <c r="Q50" i="20"/>
  <c r="P50" i="20"/>
  <c r="Q49" i="20"/>
  <c r="P49" i="20"/>
  <c r="Q48" i="20"/>
  <c r="P48" i="20"/>
  <c r="Q47" i="20"/>
  <c r="P47" i="20"/>
  <c r="Q46" i="20"/>
  <c r="P46" i="20"/>
  <c r="Q45" i="20"/>
  <c r="P45" i="20"/>
  <c r="Q44" i="20"/>
  <c r="P44" i="20"/>
  <c r="Q43" i="20"/>
  <c r="P43" i="20"/>
  <c r="Q42" i="20"/>
  <c r="P42" i="20"/>
  <c r="Q41" i="20"/>
  <c r="P41" i="20"/>
  <c r="Q40" i="20"/>
  <c r="P40" i="20"/>
  <c r="Q39" i="20"/>
  <c r="P39" i="20"/>
  <c r="O51" i="20"/>
  <c r="N51" i="20"/>
  <c r="O50" i="20"/>
  <c r="N50" i="20"/>
  <c r="O49" i="20"/>
  <c r="N49" i="20"/>
  <c r="O48" i="20"/>
  <c r="N48" i="20"/>
  <c r="O47" i="20"/>
  <c r="N47" i="20"/>
  <c r="O46" i="20"/>
  <c r="N46" i="20"/>
  <c r="O45" i="20"/>
  <c r="N45" i="20"/>
  <c r="O44" i="20"/>
  <c r="N44" i="20"/>
  <c r="O43" i="20"/>
  <c r="N43" i="20"/>
  <c r="O42" i="20"/>
  <c r="N42" i="20"/>
  <c r="O41" i="20"/>
  <c r="N41" i="20"/>
  <c r="O40" i="20"/>
  <c r="N40" i="20"/>
  <c r="O39" i="20"/>
  <c r="N39" i="20"/>
  <c r="M51" i="20"/>
  <c r="L51" i="20"/>
  <c r="M50" i="20"/>
  <c r="L50" i="20"/>
  <c r="M49" i="20"/>
  <c r="L49" i="20"/>
  <c r="M48" i="20"/>
  <c r="L48" i="20"/>
  <c r="M47" i="20"/>
  <c r="L47" i="20"/>
  <c r="M46" i="20"/>
  <c r="L46" i="20"/>
  <c r="M45" i="20"/>
  <c r="L45" i="20"/>
  <c r="M44" i="20"/>
  <c r="L44" i="20"/>
  <c r="M43" i="20"/>
  <c r="L43" i="20"/>
  <c r="M42" i="20"/>
  <c r="L42" i="20"/>
  <c r="M41" i="20"/>
  <c r="L41" i="20"/>
  <c r="M40" i="20"/>
  <c r="L40" i="20"/>
  <c r="M39" i="20"/>
  <c r="L39" i="20"/>
  <c r="K51" i="20"/>
  <c r="J51" i="20"/>
  <c r="K50" i="20"/>
  <c r="J50" i="20"/>
  <c r="K49" i="20"/>
  <c r="J49" i="20"/>
  <c r="K48" i="20"/>
  <c r="J48" i="20"/>
  <c r="K47" i="20"/>
  <c r="J47" i="20"/>
  <c r="K46" i="20"/>
  <c r="J46" i="20"/>
  <c r="K45" i="20"/>
  <c r="J45" i="20"/>
  <c r="K44" i="20"/>
  <c r="J44" i="20"/>
  <c r="K43" i="20"/>
  <c r="J43" i="20"/>
  <c r="K42" i="20"/>
  <c r="J42" i="20"/>
  <c r="K41" i="20"/>
  <c r="J41" i="20"/>
  <c r="K40" i="20"/>
  <c r="J40" i="20"/>
  <c r="K39" i="20"/>
  <c r="J39" i="20"/>
  <c r="I51" i="20"/>
  <c r="H51" i="20"/>
  <c r="I50" i="20"/>
  <c r="H50" i="20"/>
  <c r="I49" i="20"/>
  <c r="H49" i="20"/>
  <c r="I48" i="20"/>
  <c r="H48" i="20"/>
  <c r="I47" i="20"/>
  <c r="H47" i="20"/>
  <c r="I46" i="20"/>
  <c r="H46" i="20"/>
  <c r="I45" i="20"/>
  <c r="H45" i="20"/>
  <c r="I44" i="20"/>
  <c r="H44" i="20"/>
  <c r="I43" i="20"/>
  <c r="H43" i="20"/>
  <c r="I42" i="20"/>
  <c r="H42" i="20"/>
  <c r="I41" i="20"/>
  <c r="H41" i="20"/>
  <c r="I40" i="20"/>
  <c r="H40" i="20"/>
  <c r="I39" i="20"/>
  <c r="H39" i="20"/>
  <c r="G51" i="20"/>
  <c r="F51" i="20"/>
  <c r="G50" i="20"/>
  <c r="F50" i="20"/>
  <c r="G49" i="20"/>
  <c r="F49" i="20"/>
  <c r="G48" i="20"/>
  <c r="F48" i="20"/>
  <c r="G47" i="20"/>
  <c r="F47" i="20"/>
  <c r="G46" i="20"/>
  <c r="F46" i="20"/>
  <c r="G45" i="20"/>
  <c r="F45" i="20"/>
  <c r="G44" i="20"/>
  <c r="F44" i="20"/>
  <c r="G43" i="20"/>
  <c r="F43" i="20"/>
  <c r="G42" i="20"/>
  <c r="F42" i="20"/>
  <c r="G41" i="20"/>
  <c r="F41" i="20"/>
  <c r="G40" i="20"/>
  <c r="F40" i="20"/>
  <c r="G39" i="20"/>
  <c r="F39" i="20"/>
  <c r="E51" i="20"/>
  <c r="D51" i="20"/>
  <c r="E50" i="20"/>
  <c r="D50" i="20"/>
  <c r="E49" i="20"/>
  <c r="D49" i="20"/>
  <c r="E48" i="20"/>
  <c r="D48" i="20"/>
  <c r="E47" i="20"/>
  <c r="D47" i="20"/>
  <c r="E46" i="20"/>
  <c r="D46" i="20"/>
  <c r="E45" i="20"/>
  <c r="D45" i="20"/>
  <c r="E44" i="20"/>
  <c r="D44" i="20"/>
  <c r="E43" i="20"/>
  <c r="D43" i="20"/>
  <c r="E42" i="20"/>
  <c r="D42" i="20"/>
  <c r="E41" i="20"/>
  <c r="D41" i="20"/>
  <c r="E40" i="20"/>
  <c r="D40" i="20"/>
  <c r="E39" i="20"/>
  <c r="D39" i="20"/>
  <c r="AO34" i="20"/>
  <c r="AN34" i="20"/>
  <c r="AO33" i="20"/>
  <c r="AN33" i="20"/>
  <c r="AO32" i="20"/>
  <c r="AN32" i="20"/>
  <c r="AO31" i="20"/>
  <c r="AN31" i="20"/>
  <c r="AO30" i="20"/>
  <c r="AN30" i="20"/>
  <c r="AO29" i="20"/>
  <c r="AN29" i="20"/>
  <c r="AO28" i="20"/>
  <c r="AN28" i="20"/>
  <c r="AO27" i="20"/>
  <c r="AN27" i="20"/>
  <c r="AO26" i="20"/>
  <c r="AN26" i="20"/>
  <c r="AO25" i="20"/>
  <c r="AN25" i="20"/>
  <c r="AO24" i="20"/>
  <c r="AN24" i="20"/>
  <c r="AO23" i="20"/>
  <c r="AN23" i="20"/>
  <c r="AO22" i="20"/>
  <c r="AN22" i="20"/>
  <c r="AO21" i="20"/>
  <c r="AN21" i="20"/>
  <c r="AM34" i="20"/>
  <c r="AL34" i="20"/>
  <c r="AM33" i="20"/>
  <c r="AL33" i="20"/>
  <c r="AM32" i="20"/>
  <c r="AL32" i="20"/>
  <c r="AM31" i="20"/>
  <c r="AL31" i="20"/>
  <c r="AM30" i="20"/>
  <c r="AL30" i="20"/>
  <c r="AM29" i="20"/>
  <c r="AL29" i="20"/>
  <c r="AM28" i="20"/>
  <c r="AL28" i="20"/>
  <c r="AM27" i="20"/>
  <c r="AL27" i="20"/>
  <c r="AM26" i="20"/>
  <c r="AL26" i="20"/>
  <c r="AM25" i="20"/>
  <c r="AL25" i="20"/>
  <c r="AM24" i="20"/>
  <c r="AL24" i="20"/>
  <c r="AM23" i="20"/>
  <c r="AL23" i="20"/>
  <c r="AM22" i="20"/>
  <c r="AL22" i="20"/>
  <c r="AM21" i="20"/>
  <c r="AL21" i="20"/>
  <c r="AK34" i="20"/>
  <c r="AJ34" i="20"/>
  <c r="AK33" i="20"/>
  <c r="AJ33" i="20"/>
  <c r="AK32" i="20"/>
  <c r="AJ32" i="20"/>
  <c r="AK31" i="20"/>
  <c r="AJ31" i="20"/>
  <c r="AK30" i="20"/>
  <c r="AJ30" i="20"/>
  <c r="AK29" i="20"/>
  <c r="AJ29" i="20"/>
  <c r="AK28" i="20"/>
  <c r="AJ28" i="20"/>
  <c r="AK27" i="20"/>
  <c r="AJ27" i="20"/>
  <c r="AK26" i="20"/>
  <c r="AJ26" i="20"/>
  <c r="AK25" i="20"/>
  <c r="AJ25" i="20"/>
  <c r="AK24" i="20"/>
  <c r="AJ24" i="20"/>
  <c r="AK23" i="20"/>
  <c r="AJ23" i="20"/>
  <c r="AK22" i="20"/>
  <c r="AJ22" i="20"/>
  <c r="AK21" i="20"/>
  <c r="AJ21" i="20"/>
  <c r="AI34" i="20"/>
  <c r="AH34" i="20"/>
  <c r="AI33" i="20"/>
  <c r="AH33" i="20"/>
  <c r="AI32" i="20"/>
  <c r="AH32" i="20"/>
  <c r="AI31" i="20"/>
  <c r="AH31" i="20"/>
  <c r="AI30" i="20"/>
  <c r="AH30" i="20"/>
  <c r="AI29" i="20"/>
  <c r="AH29" i="20"/>
  <c r="AI28" i="20"/>
  <c r="AH28" i="20"/>
  <c r="AI27" i="20"/>
  <c r="AH27" i="20"/>
  <c r="AI26" i="20"/>
  <c r="AH26" i="20"/>
  <c r="AI25" i="20"/>
  <c r="AH25" i="20"/>
  <c r="AI24" i="20"/>
  <c r="AH24" i="20"/>
  <c r="AI23" i="20"/>
  <c r="AH23" i="20"/>
  <c r="AI22" i="20"/>
  <c r="AH22" i="20"/>
  <c r="AI21" i="20"/>
  <c r="AH21" i="20"/>
  <c r="AG34" i="20"/>
  <c r="AF34" i="20"/>
  <c r="AG33" i="20"/>
  <c r="AF33" i="20"/>
  <c r="AG32" i="20"/>
  <c r="AF32" i="20"/>
  <c r="AG31" i="20"/>
  <c r="AF31" i="20"/>
  <c r="AG30" i="20"/>
  <c r="AF30" i="20"/>
  <c r="AG29" i="20"/>
  <c r="AF29" i="20"/>
  <c r="AG28" i="20"/>
  <c r="AF28" i="20"/>
  <c r="AG27" i="20"/>
  <c r="AF27" i="20"/>
  <c r="AG26" i="20"/>
  <c r="AF26" i="20"/>
  <c r="AG25" i="20"/>
  <c r="AF25" i="20"/>
  <c r="AG24" i="20"/>
  <c r="AF24" i="20"/>
  <c r="AG23" i="20"/>
  <c r="AF23" i="20"/>
  <c r="AG22" i="20"/>
  <c r="AF22" i="20"/>
  <c r="AG21" i="20"/>
  <c r="AF21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C34" i="20"/>
  <c r="AB34" i="20"/>
  <c r="AC33" i="20"/>
  <c r="AB33" i="20"/>
  <c r="AC32" i="20"/>
  <c r="AB32" i="20"/>
  <c r="AC31" i="20"/>
  <c r="AB31" i="20"/>
  <c r="AC30" i="20"/>
  <c r="AB30" i="20"/>
  <c r="AC29" i="20"/>
  <c r="AB29" i="20"/>
  <c r="AC28" i="20"/>
  <c r="AB28" i="20"/>
  <c r="AC27" i="20"/>
  <c r="AB27" i="20"/>
  <c r="AC26" i="20"/>
  <c r="AB26" i="20"/>
  <c r="AC25" i="20"/>
  <c r="AB25" i="20"/>
  <c r="AC24" i="20"/>
  <c r="AB24" i="20"/>
  <c r="AC23" i="20"/>
  <c r="AB23" i="20"/>
  <c r="AC22" i="20"/>
  <c r="AB22" i="20"/>
  <c r="AC21" i="20"/>
  <c r="AB21" i="20"/>
  <c r="AA34" i="20"/>
  <c r="Z34" i="20"/>
  <c r="AA33" i="20"/>
  <c r="Z33" i="20"/>
  <c r="AA32" i="20"/>
  <c r="Z32" i="20"/>
  <c r="AA31" i="20"/>
  <c r="Z31" i="20"/>
  <c r="AA30" i="20"/>
  <c r="Z30" i="20"/>
  <c r="AA29" i="20"/>
  <c r="Z29" i="20"/>
  <c r="AA28" i="20"/>
  <c r="Z28" i="20"/>
  <c r="AA27" i="20"/>
  <c r="Z27" i="20"/>
  <c r="AA26" i="20"/>
  <c r="Z26" i="20"/>
  <c r="AA25" i="20"/>
  <c r="Z25" i="20"/>
  <c r="AA24" i="20"/>
  <c r="Z24" i="20"/>
  <c r="AA23" i="20"/>
  <c r="Z23" i="20"/>
  <c r="AA22" i="20"/>
  <c r="Z22" i="20"/>
  <c r="AA21" i="20"/>
  <c r="Z21" i="20"/>
  <c r="Y34" i="20"/>
  <c r="X34" i="20"/>
  <c r="Y33" i="20"/>
  <c r="X33" i="20"/>
  <c r="Y32" i="20"/>
  <c r="X32" i="20"/>
  <c r="Y31" i="20"/>
  <c r="X31" i="20"/>
  <c r="Y30" i="20"/>
  <c r="X30" i="20"/>
  <c r="Y29" i="20"/>
  <c r="X29" i="20"/>
  <c r="Y28" i="20"/>
  <c r="X28" i="20"/>
  <c r="Y27" i="20"/>
  <c r="X27" i="20"/>
  <c r="Y26" i="20"/>
  <c r="X26" i="20"/>
  <c r="Y25" i="20"/>
  <c r="X25" i="20"/>
  <c r="Y24" i="20"/>
  <c r="X24" i="20"/>
  <c r="Y23" i="20"/>
  <c r="X23" i="20"/>
  <c r="Y22" i="20"/>
  <c r="X22" i="20"/>
  <c r="Y21" i="20"/>
  <c r="X21" i="20"/>
  <c r="W34" i="20"/>
  <c r="V34" i="20"/>
  <c r="W33" i="20"/>
  <c r="V33" i="20"/>
  <c r="W32" i="20"/>
  <c r="V32" i="20"/>
  <c r="W31" i="20"/>
  <c r="V31" i="20"/>
  <c r="W30" i="20"/>
  <c r="V30" i="20"/>
  <c r="W29" i="20"/>
  <c r="V29" i="20"/>
  <c r="W28" i="20"/>
  <c r="V28" i="20"/>
  <c r="W27" i="20"/>
  <c r="V27" i="20"/>
  <c r="W26" i="20"/>
  <c r="V26" i="20"/>
  <c r="W25" i="20"/>
  <c r="V25" i="20"/>
  <c r="W24" i="20"/>
  <c r="V24" i="20"/>
  <c r="W23" i="20"/>
  <c r="V23" i="20"/>
  <c r="W22" i="20"/>
  <c r="V22" i="20"/>
  <c r="W21" i="20"/>
  <c r="V21" i="20"/>
  <c r="U34" i="20"/>
  <c r="T34" i="20"/>
  <c r="U33" i="20"/>
  <c r="T33" i="20"/>
  <c r="U32" i="20"/>
  <c r="T32" i="20"/>
  <c r="U31" i="20"/>
  <c r="T31" i="20"/>
  <c r="U30" i="20"/>
  <c r="T30" i="20"/>
  <c r="U29" i="20"/>
  <c r="T29" i="20"/>
  <c r="U28" i="20"/>
  <c r="T28" i="20"/>
  <c r="U27" i="20"/>
  <c r="T27" i="20"/>
  <c r="U26" i="20"/>
  <c r="T26" i="20"/>
  <c r="U25" i="20"/>
  <c r="T25" i="20"/>
  <c r="U24" i="20"/>
  <c r="T24" i="20"/>
  <c r="U23" i="20"/>
  <c r="T23" i="20"/>
  <c r="U22" i="20"/>
  <c r="T22" i="20"/>
  <c r="U21" i="20"/>
  <c r="T21" i="20"/>
  <c r="S34" i="20"/>
  <c r="R34" i="20"/>
  <c r="S33" i="20"/>
  <c r="R33" i="20"/>
  <c r="S32" i="20"/>
  <c r="R32" i="20"/>
  <c r="S31" i="20"/>
  <c r="R31" i="20"/>
  <c r="S30" i="20"/>
  <c r="R30" i="20"/>
  <c r="S29" i="20"/>
  <c r="R29" i="20"/>
  <c r="S28" i="20"/>
  <c r="R28" i="20"/>
  <c r="S27" i="20"/>
  <c r="R27" i="20"/>
  <c r="S26" i="20"/>
  <c r="R26" i="20"/>
  <c r="S25" i="20"/>
  <c r="R25" i="20"/>
  <c r="S24" i="20"/>
  <c r="R24" i="20"/>
  <c r="S23" i="20"/>
  <c r="R23" i="20"/>
  <c r="S22" i="20"/>
  <c r="R22" i="20"/>
  <c r="S21" i="20"/>
  <c r="R21" i="20"/>
  <c r="Q34" i="20"/>
  <c r="P34" i="20"/>
  <c r="Q33" i="20"/>
  <c r="P33" i="20"/>
  <c r="Q32" i="20"/>
  <c r="P32" i="20"/>
  <c r="Q31" i="20"/>
  <c r="P31" i="20"/>
  <c r="Q30" i="20"/>
  <c r="P30" i="20"/>
  <c r="Q29" i="20"/>
  <c r="P29" i="20"/>
  <c r="Q28" i="20"/>
  <c r="P28" i="20"/>
  <c r="Q27" i="20"/>
  <c r="P27" i="20"/>
  <c r="Q26" i="20"/>
  <c r="P26" i="20"/>
  <c r="Q25" i="20"/>
  <c r="P25" i="20"/>
  <c r="Q24" i="20"/>
  <c r="P24" i="20"/>
  <c r="Q23" i="20"/>
  <c r="P23" i="20"/>
  <c r="Q22" i="20"/>
  <c r="P22" i="20"/>
  <c r="Q21" i="20"/>
  <c r="P21" i="20"/>
  <c r="O34" i="20"/>
  <c r="N34" i="20"/>
  <c r="O33" i="20"/>
  <c r="N33" i="20"/>
  <c r="O32" i="20"/>
  <c r="N32" i="20"/>
  <c r="O31" i="20"/>
  <c r="N31" i="20"/>
  <c r="O30" i="20"/>
  <c r="N30" i="20"/>
  <c r="O29" i="20"/>
  <c r="N29" i="20"/>
  <c r="O28" i="20"/>
  <c r="N28" i="20"/>
  <c r="O27" i="20"/>
  <c r="N27" i="20"/>
  <c r="O26" i="20"/>
  <c r="N26" i="20"/>
  <c r="O25" i="20"/>
  <c r="N25" i="20"/>
  <c r="O24" i="20"/>
  <c r="N24" i="20"/>
  <c r="O23" i="20"/>
  <c r="N23" i="20"/>
  <c r="O22" i="20"/>
  <c r="N22" i="20"/>
  <c r="O21" i="20"/>
  <c r="N21" i="20"/>
  <c r="M34" i="20"/>
  <c r="L34" i="20"/>
  <c r="M33" i="20"/>
  <c r="L33" i="20"/>
  <c r="M32" i="20"/>
  <c r="L32" i="20"/>
  <c r="M31" i="20"/>
  <c r="L31" i="20"/>
  <c r="M30" i="20"/>
  <c r="L30" i="20"/>
  <c r="M29" i="20"/>
  <c r="L29" i="20"/>
  <c r="M28" i="20"/>
  <c r="L28" i="20"/>
  <c r="M27" i="20"/>
  <c r="L27" i="20"/>
  <c r="M26" i="20"/>
  <c r="L26" i="20"/>
  <c r="M25" i="20"/>
  <c r="L25" i="20"/>
  <c r="M24" i="20"/>
  <c r="L24" i="20"/>
  <c r="M23" i="20"/>
  <c r="L23" i="20"/>
  <c r="M22" i="20"/>
  <c r="L22" i="20"/>
  <c r="M21" i="20"/>
  <c r="L21" i="20"/>
  <c r="K34" i="20"/>
  <c r="J34" i="20"/>
  <c r="K33" i="20"/>
  <c r="J33" i="20"/>
  <c r="K32" i="20"/>
  <c r="J32" i="20"/>
  <c r="K31" i="20"/>
  <c r="J31" i="20"/>
  <c r="K30" i="20"/>
  <c r="J30" i="20"/>
  <c r="K29" i="20"/>
  <c r="J29" i="20"/>
  <c r="K28" i="20"/>
  <c r="J28" i="20"/>
  <c r="K27" i="20"/>
  <c r="J27" i="20"/>
  <c r="K26" i="20"/>
  <c r="J26" i="20"/>
  <c r="K25" i="20"/>
  <c r="J25" i="20"/>
  <c r="K24" i="20"/>
  <c r="J24" i="20"/>
  <c r="K23" i="20"/>
  <c r="J23" i="20"/>
  <c r="K22" i="20"/>
  <c r="J22" i="20"/>
  <c r="K21" i="20"/>
  <c r="J21" i="20"/>
  <c r="I34" i="20"/>
  <c r="H34" i="20"/>
  <c r="I33" i="20"/>
  <c r="H33" i="20"/>
  <c r="I32" i="20"/>
  <c r="H32" i="20"/>
  <c r="I31" i="20"/>
  <c r="H31" i="20"/>
  <c r="I30" i="20"/>
  <c r="H30" i="20"/>
  <c r="I29" i="20"/>
  <c r="H29" i="20"/>
  <c r="I28" i="20"/>
  <c r="H28" i="20"/>
  <c r="I27" i="20"/>
  <c r="H27" i="20"/>
  <c r="I26" i="20"/>
  <c r="H26" i="20"/>
  <c r="I25" i="20"/>
  <c r="H25" i="20"/>
  <c r="I24" i="20"/>
  <c r="H24" i="20"/>
  <c r="I23" i="20"/>
  <c r="H23" i="20"/>
  <c r="I22" i="20"/>
  <c r="H22" i="20"/>
  <c r="I21" i="20"/>
  <c r="H21" i="20"/>
  <c r="G34" i="20"/>
  <c r="F34" i="20"/>
  <c r="G33" i="20"/>
  <c r="F33" i="20"/>
  <c r="G32" i="20"/>
  <c r="F32" i="20"/>
  <c r="G31" i="20"/>
  <c r="F31" i="20"/>
  <c r="G30" i="20"/>
  <c r="F30" i="20"/>
  <c r="G29" i="20"/>
  <c r="F29" i="20"/>
  <c r="G28" i="20"/>
  <c r="F28" i="20"/>
  <c r="G27" i="20"/>
  <c r="F27" i="20"/>
  <c r="G26" i="20"/>
  <c r="F26" i="20"/>
  <c r="G25" i="20"/>
  <c r="F25" i="20"/>
  <c r="G24" i="20"/>
  <c r="F24" i="20"/>
  <c r="G23" i="20"/>
  <c r="F23" i="20"/>
  <c r="G22" i="20"/>
  <c r="F22" i="20"/>
  <c r="G21" i="20"/>
  <c r="F21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AO42" i="19"/>
  <c r="AN42" i="19"/>
  <c r="AO41" i="19"/>
  <c r="AN41" i="19"/>
  <c r="AO40" i="19"/>
  <c r="AN40" i="19"/>
  <c r="AO39" i="19"/>
  <c r="AN39" i="19"/>
  <c r="AO38" i="19"/>
  <c r="AN38" i="19"/>
  <c r="AO37" i="19"/>
  <c r="AN37" i="19"/>
  <c r="AO36" i="19"/>
  <c r="AN36" i="19"/>
  <c r="AO35" i="19"/>
  <c r="AN35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I42" i="19"/>
  <c r="AH42" i="19"/>
  <c r="AI41" i="19"/>
  <c r="AH41" i="19"/>
  <c r="AI40" i="19"/>
  <c r="AH40" i="19"/>
  <c r="AI39" i="19"/>
  <c r="AH39" i="19"/>
  <c r="AI38" i="19"/>
  <c r="AH38" i="19"/>
  <c r="AI37" i="19"/>
  <c r="AH37" i="19"/>
  <c r="AI36" i="19"/>
  <c r="AH36" i="19"/>
  <c r="AI35" i="19"/>
  <c r="AH35" i="19"/>
  <c r="AG42" i="19"/>
  <c r="AF42" i="19"/>
  <c r="AG41" i="19"/>
  <c r="AF41" i="19"/>
  <c r="AG40" i="19"/>
  <c r="AF40" i="19"/>
  <c r="AG39" i="19"/>
  <c r="AF39" i="19"/>
  <c r="AG38" i="19"/>
  <c r="AF38" i="19"/>
  <c r="AG37" i="19"/>
  <c r="AF37" i="19"/>
  <c r="AG36" i="19"/>
  <c r="AF36" i="19"/>
  <c r="AG35" i="19"/>
  <c r="AF35" i="19"/>
  <c r="AE42" i="19"/>
  <c r="AD42" i="19"/>
  <c r="AE41" i="19"/>
  <c r="AD41" i="19"/>
  <c r="AE40" i="19"/>
  <c r="AD40" i="19"/>
  <c r="AE39" i="19"/>
  <c r="AD39" i="19"/>
  <c r="AE38" i="19"/>
  <c r="AD38" i="19"/>
  <c r="AE37" i="19"/>
  <c r="AD37" i="19"/>
  <c r="AE36" i="19"/>
  <c r="AD36" i="19"/>
  <c r="AE35" i="19"/>
  <c r="AD35" i="19"/>
  <c r="AC42" i="19"/>
  <c r="AB42" i="19"/>
  <c r="AC41" i="19"/>
  <c r="AB41" i="19"/>
  <c r="AC40" i="19"/>
  <c r="AB40" i="19"/>
  <c r="AC39" i="19"/>
  <c r="AB39" i="19"/>
  <c r="AC38" i="19"/>
  <c r="AB38" i="19"/>
  <c r="AC37" i="19"/>
  <c r="AB37" i="19"/>
  <c r="AC36" i="19"/>
  <c r="AB36" i="19"/>
  <c r="AC35" i="19"/>
  <c r="AB35" i="19"/>
  <c r="AA42" i="19"/>
  <c r="Z42" i="19"/>
  <c r="AA41" i="19"/>
  <c r="Z41" i="19"/>
  <c r="AA40" i="19"/>
  <c r="Z40" i="19"/>
  <c r="AA39" i="19"/>
  <c r="Z39" i="19"/>
  <c r="AA38" i="19"/>
  <c r="Z38" i="19"/>
  <c r="AA37" i="19"/>
  <c r="Z37" i="19"/>
  <c r="AA36" i="19"/>
  <c r="Z36" i="19"/>
  <c r="AA35" i="19"/>
  <c r="Z35" i="19"/>
  <c r="Y42" i="19"/>
  <c r="X42" i="19"/>
  <c r="Y41" i="19"/>
  <c r="X41" i="19"/>
  <c r="Y40" i="19"/>
  <c r="X40" i="19"/>
  <c r="Y39" i="19"/>
  <c r="X39" i="19"/>
  <c r="Y38" i="19"/>
  <c r="X38" i="19"/>
  <c r="Y37" i="19"/>
  <c r="X37" i="19"/>
  <c r="Y36" i="19"/>
  <c r="X36" i="19"/>
  <c r="Y35" i="19"/>
  <c r="X35" i="19"/>
  <c r="W42" i="19"/>
  <c r="V42" i="19"/>
  <c r="W41" i="19"/>
  <c r="V41" i="19"/>
  <c r="W40" i="19"/>
  <c r="V40" i="19"/>
  <c r="W39" i="19"/>
  <c r="V39" i="19"/>
  <c r="W38" i="19"/>
  <c r="V38" i="19"/>
  <c r="W37" i="19"/>
  <c r="V37" i="19"/>
  <c r="W36" i="19"/>
  <c r="V36" i="19"/>
  <c r="W35" i="19"/>
  <c r="V35" i="19"/>
  <c r="U42" i="19"/>
  <c r="T42" i="19"/>
  <c r="U41" i="19"/>
  <c r="T41" i="19"/>
  <c r="U40" i="19"/>
  <c r="T40" i="19"/>
  <c r="U39" i="19"/>
  <c r="T39" i="19"/>
  <c r="U38" i="19"/>
  <c r="T38" i="19"/>
  <c r="U37" i="19"/>
  <c r="T37" i="19"/>
  <c r="U36" i="19"/>
  <c r="T36" i="19"/>
  <c r="U35" i="19"/>
  <c r="T35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Q42" i="19"/>
  <c r="P42" i="19"/>
  <c r="Q41" i="19"/>
  <c r="P41" i="19"/>
  <c r="Q40" i="19"/>
  <c r="P40" i="19"/>
  <c r="Q39" i="19"/>
  <c r="P39" i="19"/>
  <c r="Q38" i="19"/>
  <c r="P38" i="19"/>
  <c r="Q37" i="19"/>
  <c r="P37" i="19"/>
  <c r="Q36" i="19"/>
  <c r="P36" i="19"/>
  <c r="Q35" i="19"/>
  <c r="P35" i="19"/>
  <c r="O42" i="19"/>
  <c r="N42" i="19"/>
  <c r="O41" i="19"/>
  <c r="N41" i="19"/>
  <c r="O40" i="19"/>
  <c r="N40" i="19"/>
  <c r="O39" i="19"/>
  <c r="N39" i="19"/>
  <c r="O38" i="19"/>
  <c r="N38" i="19"/>
  <c r="O37" i="19"/>
  <c r="N37" i="19"/>
  <c r="O36" i="19"/>
  <c r="N36" i="19"/>
  <c r="O35" i="19"/>
  <c r="N35" i="19"/>
  <c r="M42" i="19"/>
  <c r="L42" i="19"/>
  <c r="M41" i="19"/>
  <c r="L41" i="19"/>
  <c r="M40" i="19"/>
  <c r="L40" i="19"/>
  <c r="M39" i="19"/>
  <c r="L39" i="19"/>
  <c r="M38" i="19"/>
  <c r="L38" i="19"/>
  <c r="M37" i="19"/>
  <c r="L37" i="19"/>
  <c r="M36" i="19"/>
  <c r="L36" i="19"/>
  <c r="M35" i="19"/>
  <c r="L35" i="19"/>
  <c r="K42" i="19"/>
  <c r="J42" i="19"/>
  <c r="K41" i="19"/>
  <c r="J41" i="19"/>
  <c r="K40" i="19"/>
  <c r="J40" i="19"/>
  <c r="K39" i="19"/>
  <c r="J39" i="19"/>
  <c r="K38" i="19"/>
  <c r="J38" i="19"/>
  <c r="K37" i="19"/>
  <c r="J37" i="19"/>
  <c r="K36" i="19"/>
  <c r="J36" i="19"/>
  <c r="K35" i="19"/>
  <c r="J35" i="19"/>
  <c r="I42" i="19"/>
  <c r="H42" i="19"/>
  <c r="I41" i="19"/>
  <c r="H41" i="19"/>
  <c r="I40" i="19"/>
  <c r="H40" i="19"/>
  <c r="I39" i="19"/>
  <c r="H39" i="19"/>
  <c r="I38" i="19"/>
  <c r="H38" i="19"/>
  <c r="I37" i="19"/>
  <c r="H37" i="19"/>
  <c r="I36" i="19"/>
  <c r="H36" i="19"/>
  <c r="I35" i="19"/>
  <c r="H35" i="19"/>
  <c r="G42" i="19"/>
  <c r="F42" i="19"/>
  <c r="G41" i="19"/>
  <c r="F41" i="19"/>
  <c r="G40" i="19"/>
  <c r="F40" i="19"/>
  <c r="G39" i="19"/>
  <c r="F39" i="19"/>
  <c r="G38" i="19"/>
  <c r="F38" i="19"/>
  <c r="G37" i="19"/>
  <c r="F37" i="19"/>
  <c r="G36" i="19"/>
  <c r="F36" i="19"/>
  <c r="G35" i="19"/>
  <c r="F35" i="19"/>
  <c r="E42" i="19"/>
  <c r="E41" i="19"/>
  <c r="E40" i="19"/>
  <c r="E39" i="19"/>
  <c r="E38" i="19"/>
  <c r="E37" i="19"/>
  <c r="E36" i="19"/>
  <c r="E35" i="19"/>
  <c r="AO30" i="19"/>
  <c r="AN30" i="19"/>
  <c r="AO29" i="19"/>
  <c r="AN29" i="19"/>
  <c r="AO28" i="19"/>
  <c r="AN28" i="19"/>
  <c r="AO27" i="19"/>
  <c r="AN27" i="19"/>
  <c r="AO26" i="19"/>
  <c r="AN26" i="19"/>
  <c r="AO25" i="19"/>
  <c r="AN25" i="19"/>
  <c r="AO24" i="19"/>
  <c r="AN24" i="19"/>
  <c r="AO23" i="19"/>
  <c r="AN23" i="19"/>
  <c r="AO22" i="19"/>
  <c r="AN22" i="19"/>
  <c r="AO21" i="19"/>
  <c r="AN2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I30" i="19"/>
  <c r="AH30" i="19"/>
  <c r="AI29" i="19"/>
  <c r="AH29" i="19"/>
  <c r="AI28" i="19"/>
  <c r="AH28" i="19"/>
  <c r="AI27" i="19"/>
  <c r="AH27" i="19"/>
  <c r="AI26" i="19"/>
  <c r="AH26" i="19"/>
  <c r="AI25" i="19"/>
  <c r="AH25" i="19"/>
  <c r="AI24" i="19"/>
  <c r="AH24" i="19"/>
  <c r="AI23" i="19"/>
  <c r="AH23" i="19"/>
  <c r="AI22" i="19"/>
  <c r="AH22" i="19"/>
  <c r="AI21" i="19"/>
  <c r="AH21" i="19"/>
  <c r="AG30" i="19"/>
  <c r="AF30" i="19"/>
  <c r="AG29" i="19"/>
  <c r="AF29" i="19"/>
  <c r="AG28" i="19"/>
  <c r="AF28" i="19"/>
  <c r="AG27" i="19"/>
  <c r="AF27" i="19"/>
  <c r="AG26" i="19"/>
  <c r="AF26" i="19"/>
  <c r="AG25" i="19"/>
  <c r="AF25" i="19"/>
  <c r="AG24" i="19"/>
  <c r="AF24" i="19"/>
  <c r="AG23" i="19"/>
  <c r="AF23" i="19"/>
  <c r="AG22" i="19"/>
  <c r="AF22" i="19"/>
  <c r="AG21" i="19"/>
  <c r="AF21" i="19"/>
  <c r="AE30" i="19"/>
  <c r="AD30" i="19"/>
  <c r="AE29" i="19"/>
  <c r="AD29" i="19"/>
  <c r="AE28" i="19"/>
  <c r="AD28" i="19"/>
  <c r="AE27" i="19"/>
  <c r="AD27" i="19"/>
  <c r="AE26" i="19"/>
  <c r="AD26" i="19"/>
  <c r="AE25" i="19"/>
  <c r="AD25" i="19"/>
  <c r="AE24" i="19"/>
  <c r="AD24" i="19"/>
  <c r="AE23" i="19"/>
  <c r="AD23" i="19"/>
  <c r="AE22" i="19"/>
  <c r="AD22" i="19"/>
  <c r="AE21" i="19"/>
  <c r="AD21" i="19"/>
  <c r="AC30" i="19"/>
  <c r="AB30" i="19"/>
  <c r="AC29" i="19"/>
  <c r="AB29" i="19"/>
  <c r="AC28" i="19"/>
  <c r="AB28" i="19"/>
  <c r="AC27" i="19"/>
  <c r="AB27" i="19"/>
  <c r="AC26" i="19"/>
  <c r="AB26" i="19"/>
  <c r="AC25" i="19"/>
  <c r="AB25" i="19"/>
  <c r="AC24" i="19"/>
  <c r="AB24" i="19"/>
  <c r="AC23" i="19"/>
  <c r="AB23" i="19"/>
  <c r="AC22" i="19"/>
  <c r="AB22" i="19"/>
  <c r="AC21" i="19"/>
  <c r="AB21" i="19"/>
  <c r="AA30" i="19"/>
  <c r="Z30" i="19"/>
  <c r="AA29" i="19"/>
  <c r="Z29" i="19"/>
  <c r="AA28" i="19"/>
  <c r="Z28" i="19"/>
  <c r="AA27" i="19"/>
  <c r="Z27" i="19"/>
  <c r="AA26" i="19"/>
  <c r="Z26" i="19"/>
  <c r="AA25" i="19"/>
  <c r="Z25" i="19"/>
  <c r="AA24" i="19"/>
  <c r="Z24" i="19"/>
  <c r="AA23" i="19"/>
  <c r="Z23" i="19"/>
  <c r="AA22" i="19"/>
  <c r="Z22" i="19"/>
  <c r="AA21" i="19"/>
  <c r="Z21" i="19"/>
  <c r="Y30" i="19"/>
  <c r="X30" i="19"/>
  <c r="Y29" i="19"/>
  <c r="X29" i="19"/>
  <c r="Y28" i="19"/>
  <c r="X28" i="19"/>
  <c r="Y27" i="19"/>
  <c r="X27" i="19"/>
  <c r="Y26" i="19"/>
  <c r="X26" i="19"/>
  <c r="Y25" i="19"/>
  <c r="X25" i="19"/>
  <c r="Y24" i="19"/>
  <c r="X24" i="19"/>
  <c r="Y23" i="19"/>
  <c r="X23" i="19"/>
  <c r="Y22" i="19"/>
  <c r="X22" i="19"/>
  <c r="Y21" i="19"/>
  <c r="X21" i="19"/>
  <c r="W30" i="19"/>
  <c r="V30" i="19"/>
  <c r="W29" i="19"/>
  <c r="V29" i="19"/>
  <c r="W28" i="19"/>
  <c r="V28" i="19"/>
  <c r="W27" i="19"/>
  <c r="V27" i="19"/>
  <c r="W26" i="19"/>
  <c r="V26" i="19"/>
  <c r="W25" i="19"/>
  <c r="V25" i="19"/>
  <c r="W24" i="19"/>
  <c r="V24" i="19"/>
  <c r="W23" i="19"/>
  <c r="V23" i="19"/>
  <c r="W22" i="19"/>
  <c r="V22" i="19"/>
  <c r="W21" i="19"/>
  <c r="V21" i="19"/>
  <c r="U30" i="19"/>
  <c r="T30" i="19"/>
  <c r="U29" i="19"/>
  <c r="T29" i="19"/>
  <c r="U28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Q30" i="19"/>
  <c r="P30" i="19"/>
  <c r="Q29" i="19"/>
  <c r="P29" i="19"/>
  <c r="Q28" i="19"/>
  <c r="P28" i="19"/>
  <c r="Q27" i="19"/>
  <c r="P27" i="19"/>
  <c r="Q26" i="19"/>
  <c r="P26" i="19"/>
  <c r="Q25" i="19"/>
  <c r="P25" i="19"/>
  <c r="Q24" i="19"/>
  <c r="P24" i="19"/>
  <c r="Q23" i="19"/>
  <c r="P23" i="19"/>
  <c r="Q22" i="19"/>
  <c r="P22" i="19"/>
  <c r="Q21" i="19"/>
  <c r="P21" i="19"/>
  <c r="O30" i="19"/>
  <c r="N30" i="19"/>
  <c r="O29" i="19"/>
  <c r="N29" i="19"/>
  <c r="O28" i="19"/>
  <c r="N28" i="19"/>
  <c r="O27" i="19"/>
  <c r="N27" i="19"/>
  <c r="O26" i="19"/>
  <c r="N26" i="19"/>
  <c r="O25" i="19"/>
  <c r="N25" i="19"/>
  <c r="O24" i="19"/>
  <c r="N24" i="19"/>
  <c r="O23" i="19"/>
  <c r="N23" i="19"/>
  <c r="O22" i="19"/>
  <c r="N22" i="19"/>
  <c r="O21" i="19"/>
  <c r="N21" i="19"/>
  <c r="M30" i="19"/>
  <c r="L30" i="19"/>
  <c r="M29" i="19"/>
  <c r="L29" i="19"/>
  <c r="M28" i="19"/>
  <c r="L28" i="19"/>
  <c r="M27" i="19"/>
  <c r="L27" i="19"/>
  <c r="M26" i="19"/>
  <c r="L26" i="19"/>
  <c r="M25" i="19"/>
  <c r="L25" i="19"/>
  <c r="M24" i="19"/>
  <c r="L24" i="19"/>
  <c r="M23" i="19"/>
  <c r="L23" i="19"/>
  <c r="M22" i="19"/>
  <c r="L22" i="19"/>
  <c r="M21" i="19"/>
  <c r="L21" i="19"/>
  <c r="K30" i="19"/>
  <c r="J30" i="19"/>
  <c r="K29" i="19"/>
  <c r="J29" i="19"/>
  <c r="K28" i="19"/>
  <c r="J28" i="19"/>
  <c r="K27" i="19"/>
  <c r="J27" i="19"/>
  <c r="K26" i="19"/>
  <c r="J26" i="19"/>
  <c r="K25" i="19"/>
  <c r="J25" i="19"/>
  <c r="K24" i="19"/>
  <c r="J24" i="19"/>
  <c r="K23" i="19"/>
  <c r="J23" i="19"/>
  <c r="K22" i="19"/>
  <c r="J22" i="19"/>
  <c r="K21" i="19"/>
  <c r="J21" i="19"/>
  <c r="I30" i="19"/>
  <c r="H30" i="19"/>
  <c r="I29" i="19"/>
  <c r="H29" i="19"/>
  <c r="I28" i="19"/>
  <c r="H28" i="19"/>
  <c r="I27" i="19"/>
  <c r="H27" i="19"/>
  <c r="I26" i="19"/>
  <c r="H26" i="19"/>
  <c r="I25" i="19"/>
  <c r="H25" i="19"/>
  <c r="I24" i="19"/>
  <c r="H24" i="19"/>
  <c r="I23" i="19"/>
  <c r="H23" i="19"/>
  <c r="I22" i="19"/>
  <c r="H22" i="19"/>
  <c r="I21" i="19"/>
  <c r="H21" i="19"/>
  <c r="G29" i="19"/>
  <c r="G28" i="19"/>
  <c r="G27" i="19"/>
  <c r="G26" i="19"/>
  <c r="G25" i="19"/>
  <c r="G24" i="19"/>
  <c r="G23" i="19"/>
  <c r="G22" i="19"/>
  <c r="G21" i="19"/>
  <c r="F21" i="19"/>
  <c r="G30" i="19"/>
  <c r="F30" i="19"/>
  <c r="F29" i="19"/>
  <c r="F28" i="19"/>
  <c r="F27" i="19"/>
  <c r="F26" i="19"/>
  <c r="F25" i="19"/>
  <c r="F24" i="19"/>
  <c r="F23" i="19"/>
  <c r="F22" i="19"/>
  <c r="E29" i="19"/>
  <c r="E28" i="19"/>
  <c r="E27" i="19"/>
  <c r="E26" i="19"/>
  <c r="E25" i="19"/>
  <c r="E24" i="19"/>
  <c r="E23" i="19"/>
  <c r="E22" i="19"/>
  <c r="E21" i="19"/>
  <c r="E30" i="19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B13" i="20"/>
  <c r="B12" i="20"/>
  <c r="D35" i="19"/>
  <c r="D21" i="19"/>
  <c r="D30" i="19"/>
  <c r="D29" i="19"/>
  <c r="D28" i="19"/>
  <c r="D27" i="19"/>
  <c r="D26" i="19"/>
  <c r="D25" i="19"/>
  <c r="D24" i="19"/>
  <c r="D23" i="19"/>
  <c r="D22" i="19"/>
  <c r="D42" i="19"/>
  <c r="D41" i="19"/>
  <c r="D40" i="19"/>
  <c r="D39" i="19"/>
  <c r="D38" i="19"/>
  <c r="D37" i="19"/>
  <c r="D36" i="19"/>
  <c r="B13" i="19"/>
  <c r="B12" i="19"/>
  <c r="AL4" i="18"/>
  <c r="AL4" i="17"/>
  <c r="D57" i="16"/>
  <c r="E57" i="16"/>
  <c r="F57" i="16"/>
  <c r="G57" i="16"/>
  <c r="H57" i="16"/>
  <c r="I57" i="16"/>
  <c r="J57" i="16"/>
  <c r="K57" i="16"/>
  <c r="L57" i="16"/>
  <c r="M57" i="16"/>
  <c r="N57" i="16"/>
  <c r="O57" i="16"/>
  <c r="P57" i="16"/>
  <c r="Q57" i="16"/>
  <c r="R57" i="16"/>
  <c r="S57" i="16"/>
  <c r="T57" i="16"/>
  <c r="U57" i="16"/>
  <c r="V57" i="16"/>
  <c r="W57" i="16"/>
  <c r="X57" i="16"/>
  <c r="Y57" i="16"/>
  <c r="Z57" i="16"/>
  <c r="AA57" i="16"/>
  <c r="AB57" i="16"/>
  <c r="AC57" i="16"/>
  <c r="AD57" i="16"/>
  <c r="AE57" i="16"/>
  <c r="AF57" i="16"/>
  <c r="AG57" i="16"/>
  <c r="AH57" i="16"/>
  <c r="AI57" i="16"/>
  <c r="AJ57" i="16"/>
  <c r="AK57" i="16"/>
  <c r="AL57" i="16"/>
  <c r="AM57" i="16"/>
  <c r="AN57" i="16"/>
  <c r="AO57" i="16"/>
  <c r="D58" i="16"/>
  <c r="E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AE58" i="16"/>
  <c r="AF58" i="16"/>
  <c r="AG58" i="16"/>
  <c r="AH58" i="16"/>
  <c r="AI58" i="16"/>
  <c r="AJ58" i="16"/>
  <c r="AK58" i="16"/>
  <c r="AL58" i="16"/>
  <c r="AM58" i="16"/>
  <c r="AN58" i="16"/>
  <c r="AO58" i="16"/>
  <c r="D59" i="16"/>
  <c r="E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AE59" i="16"/>
  <c r="AF59" i="16"/>
  <c r="AG59" i="16"/>
  <c r="AH59" i="16"/>
  <c r="AI59" i="16"/>
  <c r="AJ59" i="16"/>
  <c r="AK59" i="16"/>
  <c r="AL59" i="16"/>
  <c r="AM59" i="16"/>
  <c r="AN59" i="16"/>
  <c r="AO59" i="16"/>
  <c r="D60" i="16"/>
  <c r="E60" i="16"/>
  <c r="F60" i="16"/>
  <c r="G60" i="16"/>
  <c r="H60" i="16"/>
  <c r="I60" i="16"/>
  <c r="J60" i="16"/>
  <c r="K60" i="16"/>
  <c r="L60" i="16"/>
  <c r="M60" i="16"/>
  <c r="N60" i="16"/>
  <c r="O60" i="16"/>
  <c r="P60" i="16"/>
  <c r="Q60" i="16"/>
  <c r="R60" i="16"/>
  <c r="S60" i="16"/>
  <c r="T60" i="16"/>
  <c r="U60" i="16"/>
  <c r="V60" i="16"/>
  <c r="W60" i="16"/>
  <c r="X60" i="16"/>
  <c r="Y60" i="16"/>
  <c r="Z60" i="16"/>
  <c r="AA60" i="16"/>
  <c r="AB60" i="16"/>
  <c r="AC60" i="16"/>
  <c r="AD60" i="16"/>
  <c r="AE60" i="16"/>
  <c r="AF60" i="16"/>
  <c r="AG60" i="16"/>
  <c r="AH60" i="16"/>
  <c r="AI60" i="16"/>
  <c r="AJ60" i="16"/>
  <c r="AK60" i="16"/>
  <c r="AL60" i="16"/>
  <c r="AM60" i="16"/>
  <c r="AN60" i="16"/>
  <c r="AO60" i="16"/>
  <c r="D61" i="16"/>
  <c r="E61" i="16"/>
  <c r="F61" i="16"/>
  <c r="G61" i="16"/>
  <c r="H61" i="16"/>
  <c r="I61" i="16"/>
  <c r="J61" i="16"/>
  <c r="K61" i="16"/>
  <c r="L61" i="16"/>
  <c r="M61" i="16"/>
  <c r="N61" i="16"/>
  <c r="O61" i="16"/>
  <c r="P61" i="16"/>
  <c r="Q61" i="16"/>
  <c r="R61" i="16"/>
  <c r="S61" i="16"/>
  <c r="T61" i="16"/>
  <c r="U61" i="16"/>
  <c r="V61" i="16"/>
  <c r="W61" i="16"/>
  <c r="X61" i="16"/>
  <c r="Y61" i="16"/>
  <c r="Z61" i="16"/>
  <c r="AA61" i="16"/>
  <c r="AB61" i="16"/>
  <c r="AC61" i="16"/>
  <c r="AD61" i="16"/>
  <c r="AE61" i="16"/>
  <c r="AF61" i="16"/>
  <c r="AG61" i="16"/>
  <c r="AH61" i="16"/>
  <c r="AI61" i="16"/>
  <c r="AJ61" i="16"/>
  <c r="AK61" i="16"/>
  <c r="AL61" i="16"/>
  <c r="AM61" i="16"/>
  <c r="AN61" i="16"/>
  <c r="AO61" i="16"/>
  <c r="D62" i="16"/>
  <c r="E62" i="16"/>
  <c r="F62" i="16"/>
  <c r="G62" i="16"/>
  <c r="H62" i="16"/>
  <c r="I62" i="16"/>
  <c r="J62" i="16"/>
  <c r="K62" i="16"/>
  <c r="L62" i="16"/>
  <c r="M62" i="16"/>
  <c r="N62" i="16"/>
  <c r="O62" i="16"/>
  <c r="P62" i="16"/>
  <c r="Q62" i="16"/>
  <c r="R62" i="16"/>
  <c r="S62" i="16"/>
  <c r="T62" i="16"/>
  <c r="U62" i="16"/>
  <c r="V62" i="16"/>
  <c r="W62" i="16"/>
  <c r="X62" i="16"/>
  <c r="Y62" i="16"/>
  <c r="Z62" i="16"/>
  <c r="AA62" i="16"/>
  <c r="AB62" i="16"/>
  <c r="AC62" i="16"/>
  <c r="AD62" i="16"/>
  <c r="AE62" i="16"/>
  <c r="AF62" i="16"/>
  <c r="AG62" i="16"/>
  <c r="AH62" i="16"/>
  <c r="AI62" i="16"/>
  <c r="AJ62" i="16"/>
  <c r="AK62" i="16"/>
  <c r="AL62" i="16"/>
  <c r="AM62" i="16"/>
  <c r="AN62" i="16"/>
  <c r="AO62" i="16"/>
  <c r="D63" i="16"/>
  <c r="E63" i="16"/>
  <c r="F63" i="16"/>
  <c r="G63" i="16"/>
  <c r="H63" i="16"/>
  <c r="I63" i="16"/>
  <c r="J63" i="16"/>
  <c r="K63" i="16"/>
  <c r="L63" i="16"/>
  <c r="M63" i="16"/>
  <c r="N63" i="16"/>
  <c r="O63" i="16"/>
  <c r="P63" i="16"/>
  <c r="Q63" i="16"/>
  <c r="R63" i="16"/>
  <c r="S63" i="16"/>
  <c r="T63" i="16"/>
  <c r="U63" i="16"/>
  <c r="V63" i="16"/>
  <c r="W63" i="16"/>
  <c r="X63" i="16"/>
  <c r="Y63" i="16"/>
  <c r="Z63" i="16"/>
  <c r="AA63" i="16"/>
  <c r="AB63" i="16"/>
  <c r="AC63" i="16"/>
  <c r="AD63" i="16"/>
  <c r="AE63" i="16"/>
  <c r="AF63" i="16"/>
  <c r="AG63" i="16"/>
  <c r="AH63" i="16"/>
  <c r="AI63" i="16"/>
  <c r="AJ63" i="16"/>
  <c r="AK63" i="16"/>
  <c r="AL63" i="16"/>
  <c r="AM63" i="16"/>
  <c r="AN63" i="16"/>
  <c r="AO63" i="16"/>
  <c r="D64" i="16"/>
  <c r="E64" i="16"/>
  <c r="F64" i="16"/>
  <c r="G64" i="16"/>
  <c r="H64" i="16"/>
  <c r="I64" i="16"/>
  <c r="J64" i="16"/>
  <c r="K64" i="16"/>
  <c r="L64" i="16"/>
  <c r="M64" i="16"/>
  <c r="N64" i="16"/>
  <c r="O64" i="16"/>
  <c r="P64" i="16"/>
  <c r="Q64" i="16"/>
  <c r="R64" i="16"/>
  <c r="S64" i="16"/>
  <c r="T64" i="16"/>
  <c r="U64" i="16"/>
  <c r="V64" i="16"/>
  <c r="W64" i="16"/>
  <c r="X64" i="16"/>
  <c r="Y64" i="16"/>
  <c r="Z64" i="16"/>
  <c r="AA64" i="16"/>
  <c r="AB64" i="16"/>
  <c r="AC64" i="16"/>
  <c r="AD64" i="16"/>
  <c r="AE64" i="16"/>
  <c r="AF64" i="16"/>
  <c r="AG64" i="16"/>
  <c r="AH64" i="16"/>
  <c r="AI64" i="16"/>
  <c r="AJ64" i="16"/>
  <c r="AK64" i="16"/>
  <c r="AL64" i="16"/>
  <c r="AM64" i="16"/>
  <c r="AN64" i="16"/>
  <c r="AO64" i="16"/>
  <c r="D65" i="16"/>
  <c r="E65" i="16"/>
  <c r="F65" i="16"/>
  <c r="G65" i="16"/>
  <c r="H65" i="16"/>
  <c r="I65" i="16"/>
  <c r="J65" i="16"/>
  <c r="K65" i="16"/>
  <c r="L65" i="16"/>
  <c r="M65" i="16"/>
  <c r="N65" i="16"/>
  <c r="O65" i="16"/>
  <c r="P65" i="16"/>
  <c r="Q65" i="16"/>
  <c r="R65" i="16"/>
  <c r="S65" i="16"/>
  <c r="T65" i="16"/>
  <c r="U65" i="16"/>
  <c r="V65" i="16"/>
  <c r="W65" i="16"/>
  <c r="X65" i="16"/>
  <c r="Y65" i="16"/>
  <c r="Z65" i="16"/>
  <c r="AA65" i="16"/>
  <c r="AB65" i="16"/>
  <c r="AC65" i="16"/>
  <c r="AD65" i="16"/>
  <c r="AE65" i="16"/>
  <c r="AF65" i="16"/>
  <c r="AG65" i="16"/>
  <c r="AH65" i="16"/>
  <c r="AI65" i="16"/>
  <c r="AJ65" i="16"/>
  <c r="AK65" i="16"/>
  <c r="AL65" i="16"/>
  <c r="AM65" i="16"/>
  <c r="AN65" i="16"/>
  <c r="AO65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AN31" i="16"/>
  <c r="AO31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AN32" i="16"/>
  <c r="AO32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AN33" i="16"/>
  <c r="AO33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AN34" i="16"/>
  <c r="AO34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AN35" i="16"/>
  <c r="AO35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AN36" i="16"/>
  <c r="AO36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AN37" i="16"/>
  <c r="AO37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AN38" i="16"/>
  <c r="AO38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M39" i="16"/>
  <c r="AN39" i="16"/>
  <c r="AO39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AN40" i="16"/>
  <c r="AO40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Z41" i="16"/>
  <c r="AA41" i="16"/>
  <c r="AB41" i="16"/>
  <c r="AC41" i="16"/>
  <c r="AD41" i="16"/>
  <c r="AE41" i="16"/>
  <c r="AF41" i="16"/>
  <c r="AG41" i="16"/>
  <c r="AH41" i="16"/>
  <c r="AI41" i="16"/>
  <c r="AJ41" i="16"/>
  <c r="AK41" i="16"/>
  <c r="AL41" i="16"/>
  <c r="AM41" i="16"/>
  <c r="AN41" i="16"/>
  <c r="AO41" i="16"/>
  <c r="X7" i="22" l="1"/>
  <c r="W7" i="22"/>
  <c r="Y7" i="22"/>
  <c r="AD7" i="22" s="1"/>
  <c r="Y22" i="22"/>
  <c r="AD22" i="22" s="1"/>
  <c r="E7" i="22"/>
  <c r="J7" i="22" s="1"/>
  <c r="W22" i="22"/>
  <c r="AB22" i="22" s="1"/>
  <c r="E6" i="22"/>
  <c r="J6" i="22" s="1"/>
  <c r="E23" i="22"/>
  <c r="J23" i="22" s="1"/>
  <c r="Y14" i="22"/>
  <c r="AD14" i="22" s="1"/>
  <c r="D23" i="22"/>
  <c r="I23" i="22" s="1"/>
  <c r="E20" i="22"/>
  <c r="J20" i="22" s="1"/>
  <c r="C18" i="22"/>
  <c r="H18" i="22" s="1"/>
  <c r="D15" i="22"/>
  <c r="I15" i="22" s="1"/>
  <c r="E12" i="22"/>
  <c r="J12" i="22" s="1"/>
  <c r="C10" i="22"/>
  <c r="H10" i="22" s="1"/>
  <c r="D7" i="22"/>
  <c r="I7" i="22" s="1"/>
  <c r="M21" i="22"/>
  <c r="R21" i="22" s="1"/>
  <c r="M13" i="22"/>
  <c r="R13" i="22" s="1"/>
  <c r="O24" i="22"/>
  <c r="T24" i="22" s="1"/>
  <c r="O16" i="22"/>
  <c r="T16" i="22" s="1"/>
  <c r="O8" i="22"/>
  <c r="T8" i="22" s="1"/>
  <c r="N19" i="22"/>
  <c r="S19" i="22" s="1"/>
  <c r="N11" i="22"/>
  <c r="S11" i="22" s="1"/>
  <c r="W24" i="22"/>
  <c r="AB24" i="22" s="1"/>
  <c r="W16" i="22"/>
  <c r="AB16" i="22" s="1"/>
  <c r="W8" i="22"/>
  <c r="AB8" i="22" s="1"/>
  <c r="X18" i="22"/>
  <c r="AC18" i="22" s="1"/>
  <c r="X10" i="22"/>
  <c r="AC10" i="22" s="1"/>
  <c r="Y21" i="22"/>
  <c r="AD21" i="22" s="1"/>
  <c r="Y13" i="22"/>
  <c r="AD13" i="22" s="1"/>
  <c r="C21" i="22"/>
  <c r="H21" i="22" s="1"/>
  <c r="D18" i="22"/>
  <c r="I18" i="22" s="1"/>
  <c r="E15" i="22"/>
  <c r="J15" i="22" s="1"/>
  <c r="C13" i="22"/>
  <c r="H13" i="22" s="1"/>
  <c r="D10" i="22"/>
  <c r="I10" i="22" s="1"/>
  <c r="M22" i="22"/>
  <c r="R22" i="22" s="1"/>
  <c r="M14" i="22"/>
  <c r="R14" i="22" s="1"/>
  <c r="M6" i="22"/>
  <c r="R6" i="22" s="1"/>
  <c r="O17" i="22"/>
  <c r="T17" i="22" s="1"/>
  <c r="O9" i="22"/>
  <c r="T9" i="22" s="1"/>
  <c r="N20" i="22"/>
  <c r="S20" i="22" s="1"/>
  <c r="N12" i="22"/>
  <c r="S12" i="22" s="1"/>
  <c r="X6" i="22"/>
  <c r="AC6" i="22" s="1"/>
  <c r="W17" i="22"/>
  <c r="AB17" i="22" s="1"/>
  <c r="W9" i="22"/>
  <c r="AB9" i="22" s="1"/>
  <c r="X19" i="22"/>
  <c r="AC19" i="22" s="1"/>
  <c r="X11" i="22"/>
  <c r="AC11" i="22" s="1"/>
  <c r="C23" i="22"/>
  <c r="H23" i="22" s="1"/>
  <c r="D20" i="22"/>
  <c r="I20" i="22" s="1"/>
  <c r="E17" i="22"/>
  <c r="J17" i="22" s="1"/>
  <c r="C15" i="22"/>
  <c r="H15" i="22" s="1"/>
  <c r="D12" i="22"/>
  <c r="I12" i="22" s="1"/>
  <c r="E9" i="22"/>
  <c r="J9" i="22" s="1"/>
  <c r="C7" i="22"/>
  <c r="H7" i="22" s="1"/>
  <c r="M20" i="22"/>
  <c r="R20" i="22" s="1"/>
  <c r="M12" i="22"/>
  <c r="R12" i="22" s="1"/>
  <c r="O23" i="22"/>
  <c r="T23" i="22" s="1"/>
  <c r="O15" i="22"/>
  <c r="T15" i="22" s="1"/>
  <c r="O7" i="22"/>
  <c r="T7" i="22" s="1"/>
  <c r="N18" i="22"/>
  <c r="S18" i="22" s="1"/>
  <c r="N10" i="22"/>
  <c r="S10" i="22" s="1"/>
  <c r="W23" i="22"/>
  <c r="AB23" i="22" s="1"/>
  <c r="W15" i="22"/>
  <c r="AB15" i="22" s="1"/>
  <c r="AB7" i="22"/>
  <c r="X17" i="22"/>
  <c r="AC17" i="22" s="1"/>
  <c r="X9" i="22"/>
  <c r="AC9" i="22" s="1"/>
  <c r="Y20" i="22"/>
  <c r="AD20" i="22" s="1"/>
  <c r="Y12" i="22"/>
  <c r="AD12" i="22" s="1"/>
  <c r="E22" i="22"/>
  <c r="J22" i="22" s="1"/>
  <c r="C20" i="22"/>
  <c r="H20" i="22" s="1"/>
  <c r="D17" i="22"/>
  <c r="I17" i="22" s="1"/>
  <c r="E14" i="22"/>
  <c r="J14" i="22" s="1"/>
  <c r="C12" i="22"/>
  <c r="H12" i="22" s="1"/>
  <c r="D9" i="22"/>
  <c r="I9" i="22" s="1"/>
  <c r="M19" i="22"/>
  <c r="R19" i="22" s="1"/>
  <c r="M11" i="22"/>
  <c r="R11" i="22" s="1"/>
  <c r="O22" i="22"/>
  <c r="T22" i="22" s="1"/>
  <c r="O14" i="22"/>
  <c r="T14" i="22" s="1"/>
  <c r="O6" i="22"/>
  <c r="T6" i="22" s="1"/>
  <c r="N17" i="22"/>
  <c r="S17" i="22" s="1"/>
  <c r="N9" i="22"/>
  <c r="S9" i="22" s="1"/>
  <c r="W14" i="22"/>
  <c r="AB14" i="22" s="1"/>
  <c r="X24" i="22"/>
  <c r="AC24" i="22" s="1"/>
  <c r="X16" i="22"/>
  <c r="AC16" i="22" s="1"/>
  <c r="X8" i="22"/>
  <c r="AC8" i="22" s="1"/>
  <c r="Y19" i="22"/>
  <c r="AD19" i="22" s="1"/>
  <c r="Y11" i="22"/>
  <c r="AD11" i="22" s="1"/>
  <c r="D22" i="22"/>
  <c r="I22" i="22" s="1"/>
  <c r="E19" i="22"/>
  <c r="J19" i="22" s="1"/>
  <c r="C17" i="22"/>
  <c r="H17" i="22" s="1"/>
  <c r="D14" i="22"/>
  <c r="I14" i="22" s="1"/>
  <c r="E11" i="22"/>
  <c r="J11" i="22" s="1"/>
  <c r="C9" i="22"/>
  <c r="H9" i="22" s="1"/>
  <c r="D6" i="22"/>
  <c r="I6" i="22" s="1"/>
  <c r="M18" i="22"/>
  <c r="R18" i="22" s="1"/>
  <c r="M10" i="22"/>
  <c r="R10" i="22" s="1"/>
  <c r="O21" i="22"/>
  <c r="T21" i="22" s="1"/>
  <c r="O13" i="22"/>
  <c r="T13" i="22" s="1"/>
  <c r="N24" i="22"/>
  <c r="S24" i="22" s="1"/>
  <c r="N16" i="22"/>
  <c r="S16" i="22" s="1"/>
  <c r="N8" i="22"/>
  <c r="S8" i="22" s="1"/>
  <c r="W21" i="22"/>
  <c r="AB21" i="22" s="1"/>
  <c r="W13" i="22"/>
  <c r="AB13" i="22" s="1"/>
  <c r="X23" i="22"/>
  <c r="AC23" i="22" s="1"/>
  <c r="X15" i="22"/>
  <c r="AC15" i="22" s="1"/>
  <c r="AC7" i="22"/>
  <c r="Y18" i="22"/>
  <c r="AD18" i="22" s="1"/>
  <c r="Y10" i="22"/>
  <c r="AD10" i="22" s="1"/>
  <c r="E24" i="22"/>
  <c r="J24" i="22" s="1"/>
  <c r="C22" i="22"/>
  <c r="H22" i="22" s="1"/>
  <c r="D19" i="22"/>
  <c r="I19" i="22" s="1"/>
  <c r="E16" i="22"/>
  <c r="J16" i="22" s="1"/>
  <c r="C14" i="22"/>
  <c r="H14" i="22" s="1"/>
  <c r="D11" i="22"/>
  <c r="I11" i="22" s="1"/>
  <c r="E8" i="22"/>
  <c r="J8" i="22" s="1"/>
  <c r="C6" i="22"/>
  <c r="H6" i="22" s="1"/>
  <c r="M17" i="22"/>
  <c r="R17" i="22" s="1"/>
  <c r="M9" i="22"/>
  <c r="R9" i="22" s="1"/>
  <c r="O20" i="22"/>
  <c r="T20" i="22" s="1"/>
  <c r="O12" i="22"/>
  <c r="T12" i="22" s="1"/>
  <c r="N23" i="22"/>
  <c r="S23" i="22" s="1"/>
  <c r="N15" i="22"/>
  <c r="S15" i="22" s="1"/>
  <c r="N7" i="22"/>
  <c r="S7" i="22" s="1"/>
  <c r="W20" i="22"/>
  <c r="AB20" i="22" s="1"/>
  <c r="W12" i="22"/>
  <c r="AB12" i="22" s="1"/>
  <c r="X22" i="22"/>
  <c r="AC22" i="22" s="1"/>
  <c r="X14" i="22"/>
  <c r="AC14" i="22" s="1"/>
  <c r="Y6" i="22"/>
  <c r="AD6" i="22" s="1"/>
  <c r="Y17" i="22"/>
  <c r="AD17" i="22" s="1"/>
  <c r="Y9" i="22"/>
  <c r="AD9" i="22" s="1"/>
  <c r="D24" i="22"/>
  <c r="I24" i="22" s="1"/>
  <c r="E21" i="22"/>
  <c r="J21" i="22" s="1"/>
  <c r="C19" i="22"/>
  <c r="H19" i="22" s="1"/>
  <c r="D16" i="22"/>
  <c r="I16" i="22" s="1"/>
  <c r="E13" i="22"/>
  <c r="J13" i="22" s="1"/>
  <c r="C11" i="22"/>
  <c r="H11" i="22" s="1"/>
  <c r="D8" i="22"/>
  <c r="I8" i="22" s="1"/>
  <c r="M24" i="22"/>
  <c r="R24" i="22" s="1"/>
  <c r="M16" i="22"/>
  <c r="R16" i="22" s="1"/>
  <c r="M8" i="22"/>
  <c r="R8" i="22" s="1"/>
  <c r="O19" i="22"/>
  <c r="T19" i="22" s="1"/>
  <c r="O11" i="22"/>
  <c r="T11" i="22" s="1"/>
  <c r="N22" i="22"/>
  <c r="S22" i="22" s="1"/>
  <c r="N14" i="22"/>
  <c r="S14" i="22" s="1"/>
  <c r="N6" i="22"/>
  <c r="S6" i="22" s="1"/>
  <c r="W19" i="22"/>
  <c r="AB19" i="22" s="1"/>
  <c r="W11" i="22"/>
  <c r="AB11" i="22" s="1"/>
  <c r="X21" i="22"/>
  <c r="AC21" i="22" s="1"/>
  <c r="X13" i="22"/>
  <c r="AC13" i="22" s="1"/>
  <c r="Y24" i="22"/>
  <c r="AD24" i="22" s="1"/>
  <c r="Y16" i="22"/>
  <c r="AD16" i="22" s="1"/>
  <c r="Y8" i="22"/>
  <c r="AD8" i="22" s="1"/>
  <c r="C24" i="22"/>
  <c r="H24" i="22" s="1"/>
  <c r="D21" i="22"/>
  <c r="I21" i="22" s="1"/>
  <c r="E18" i="22"/>
  <c r="J18" i="22" s="1"/>
  <c r="C16" i="22"/>
  <c r="H16" i="22" s="1"/>
  <c r="D13" i="22"/>
  <c r="I13" i="22" s="1"/>
  <c r="E10" i="22"/>
  <c r="J10" i="22" s="1"/>
  <c r="C8" i="22"/>
  <c r="H8" i="22" s="1"/>
  <c r="M23" i="22"/>
  <c r="R23" i="22" s="1"/>
  <c r="M15" i="22"/>
  <c r="R15" i="22" s="1"/>
  <c r="M7" i="22"/>
  <c r="R7" i="22" s="1"/>
  <c r="O18" i="22"/>
  <c r="T18" i="22" s="1"/>
  <c r="O10" i="22"/>
  <c r="T10" i="22" s="1"/>
  <c r="N21" i="22"/>
  <c r="S21" i="22" s="1"/>
  <c r="N13" i="22"/>
  <c r="S13" i="22" s="1"/>
  <c r="W6" i="22"/>
  <c r="AB6" i="22" s="1"/>
  <c r="W18" i="22"/>
  <c r="AB18" i="22" s="1"/>
  <c r="W10" i="22"/>
  <c r="AB10" i="22" s="1"/>
  <c r="X20" i="22"/>
  <c r="AC20" i="22" s="1"/>
  <c r="X12" i="22"/>
  <c r="AC12" i="22" s="1"/>
  <c r="Y23" i="22"/>
  <c r="AD23" i="22" s="1"/>
  <c r="Y15" i="22"/>
  <c r="AD15" i="22" s="1"/>
  <c r="I34" i="19"/>
  <c r="I13" i="19" s="1"/>
  <c r="H6" i="19" s="1"/>
  <c r="AK46" i="21"/>
  <c r="AK13" i="21" s="1"/>
  <c r="AJ6" i="21" s="1"/>
  <c r="G34" i="19"/>
  <c r="G13" i="19" s="1"/>
  <c r="F6" i="19" s="1"/>
  <c r="V46" i="21"/>
  <c r="V13" i="21" s="1"/>
  <c r="AF46" i="21"/>
  <c r="AF13" i="21" s="1"/>
  <c r="AN46" i="21"/>
  <c r="AN13" i="21" s="1"/>
  <c r="K46" i="21"/>
  <c r="K13" i="21" s="1"/>
  <c r="J6" i="21" s="1"/>
  <c r="O46" i="21"/>
  <c r="O13" i="21" s="1"/>
  <c r="N6" i="21" s="1"/>
  <c r="Y46" i="21"/>
  <c r="Y13" i="21" s="1"/>
  <c r="X6" i="21" s="1"/>
  <c r="AM46" i="21"/>
  <c r="AM13" i="21" s="1"/>
  <c r="AL6" i="21" s="1"/>
  <c r="D34" i="19"/>
  <c r="D13" i="19" s="1"/>
  <c r="M20" i="21"/>
  <c r="M12" i="21" s="1"/>
  <c r="L5" i="21" s="1"/>
  <c r="U20" i="21"/>
  <c r="U12" i="21" s="1"/>
  <c r="T5" i="21" s="1"/>
  <c r="L20" i="19"/>
  <c r="L12" i="19" s="1"/>
  <c r="AH20" i="19"/>
  <c r="AH12" i="19" s="1"/>
  <c r="AJ20" i="19"/>
  <c r="AJ12" i="19" s="1"/>
  <c r="G20" i="20"/>
  <c r="G12" i="20" s="1"/>
  <c r="F5" i="20" s="1"/>
  <c r="O20" i="20"/>
  <c r="O12" i="20" s="1"/>
  <c r="S20" i="20"/>
  <c r="S12" i="20" s="1"/>
  <c r="AC20" i="20"/>
  <c r="AC12" i="20" s="1"/>
  <c r="AB5" i="20" s="1"/>
  <c r="AE20" i="20"/>
  <c r="AE12" i="20" s="1"/>
  <c r="AD5" i="20" s="1"/>
  <c r="AO20" i="20"/>
  <c r="AO12" i="20" s="1"/>
  <c r="S38" i="20"/>
  <c r="S13" i="20" s="1"/>
  <c r="R6" i="20" s="1"/>
  <c r="AI38" i="20"/>
  <c r="AI13" i="20" s="1"/>
  <c r="AH6" i="20" s="1"/>
  <c r="AK38" i="20"/>
  <c r="AK13" i="20" s="1"/>
  <c r="AJ6" i="20" s="1"/>
  <c r="AG20" i="21"/>
  <c r="AG12" i="21" s="1"/>
  <c r="AF5" i="21" s="1"/>
  <c r="P46" i="21"/>
  <c r="P13" i="21" s="1"/>
  <c r="I20" i="19"/>
  <c r="I12" i="19" s="1"/>
  <c r="H5" i="19" s="1"/>
  <c r="AA20" i="19"/>
  <c r="AA12" i="19" s="1"/>
  <c r="Z5" i="19" s="1"/>
  <c r="X20" i="20"/>
  <c r="X12" i="20" s="1"/>
  <c r="Z20" i="20"/>
  <c r="Z12" i="20" s="1"/>
  <c r="AB20" i="20"/>
  <c r="AB12" i="20" s="1"/>
  <c r="D38" i="20"/>
  <c r="D13" i="20" s="1"/>
  <c r="AB38" i="20"/>
  <c r="AB13" i="20" s="1"/>
  <c r="T46" i="21"/>
  <c r="T13" i="21" s="1"/>
  <c r="G46" i="21"/>
  <c r="G13" i="21" s="1"/>
  <c r="F6" i="21" s="1"/>
  <c r="I46" i="21"/>
  <c r="I13" i="21" s="1"/>
  <c r="H6" i="21" s="1"/>
  <c r="M46" i="21"/>
  <c r="M13" i="21" s="1"/>
  <c r="L6" i="21" s="1"/>
  <c r="H46" i="21"/>
  <c r="H13" i="21" s="1"/>
  <c r="P20" i="19"/>
  <c r="P12" i="19" s="1"/>
  <c r="AB46" i="21"/>
  <c r="AB13" i="21" s="1"/>
  <c r="AO46" i="21"/>
  <c r="AO13" i="21" s="1"/>
  <c r="L46" i="21"/>
  <c r="L13" i="21" s="1"/>
  <c r="F38" i="20"/>
  <c r="F13" i="20" s="1"/>
  <c r="X20" i="19"/>
  <c r="X12" i="19" s="1"/>
  <c r="Z20" i="19"/>
  <c r="Z12" i="19" s="1"/>
  <c r="F34" i="19"/>
  <c r="F13" i="19" s="1"/>
  <c r="L34" i="19"/>
  <c r="L13" i="19" s="1"/>
  <c r="X34" i="19"/>
  <c r="X13" i="19" s="1"/>
  <c r="AD34" i="19"/>
  <c r="AD13" i="19" s="1"/>
  <c r="AJ34" i="19"/>
  <c r="AJ13" i="19" s="1"/>
  <c r="U38" i="20"/>
  <c r="U13" i="20" s="1"/>
  <c r="T6" i="20" s="1"/>
  <c r="AM38" i="20"/>
  <c r="AM13" i="20" s="1"/>
  <c r="AL6" i="20" s="1"/>
  <c r="Q20" i="21"/>
  <c r="Q12" i="21" s="1"/>
  <c r="P5" i="21" s="1"/>
  <c r="W20" i="21"/>
  <c r="W12" i="21" s="1"/>
  <c r="V5" i="21" s="1"/>
  <c r="F46" i="21"/>
  <c r="F13" i="21" s="1"/>
  <c r="X46" i="21"/>
  <c r="X13" i="21" s="1"/>
  <c r="Z46" i="21"/>
  <c r="Z13" i="21" s="1"/>
  <c r="AJ46" i="21"/>
  <c r="AJ13" i="21" s="1"/>
  <c r="AL46" i="21"/>
  <c r="AL13" i="21" s="1"/>
  <c r="Q46" i="21"/>
  <c r="Q13" i="21" s="1"/>
  <c r="P6" i="21" s="1"/>
  <c r="S46" i="21"/>
  <c r="S13" i="21" s="1"/>
  <c r="R6" i="21" s="1"/>
  <c r="U46" i="21"/>
  <c r="U13" i="21" s="1"/>
  <c r="T6" i="21" s="1"/>
  <c r="AA46" i="21"/>
  <c r="AA13" i="21" s="1"/>
  <c r="Z6" i="21" s="1"/>
  <c r="AC46" i="21"/>
  <c r="AC13" i="21" s="1"/>
  <c r="AB6" i="21" s="1"/>
  <c r="AE46" i="21"/>
  <c r="AE13" i="21" s="1"/>
  <c r="AD6" i="21" s="1"/>
  <c r="AC20" i="21"/>
  <c r="AC12" i="21" s="1"/>
  <c r="AB5" i="21" s="1"/>
  <c r="AK20" i="21"/>
  <c r="AK12" i="21" s="1"/>
  <c r="AJ5" i="21" s="1"/>
  <c r="AO20" i="21"/>
  <c r="AO12" i="21" s="1"/>
  <c r="AN5" i="21" s="1"/>
  <c r="R46" i="21"/>
  <c r="R13" i="21" s="1"/>
  <c r="J20" i="19"/>
  <c r="J12" i="19" s="1"/>
  <c r="R20" i="19"/>
  <c r="R12" i="19" s="1"/>
  <c r="H34" i="19"/>
  <c r="H13" i="19" s="1"/>
  <c r="N34" i="19"/>
  <c r="N13" i="19" s="1"/>
  <c r="T34" i="19"/>
  <c r="T13" i="19" s="1"/>
  <c r="AB34" i="19"/>
  <c r="AB13" i="19" s="1"/>
  <c r="AH34" i="19"/>
  <c r="AH13" i="19" s="1"/>
  <c r="AN34" i="19"/>
  <c r="AN13" i="19" s="1"/>
  <c r="AC38" i="20"/>
  <c r="AC13" i="20" s="1"/>
  <c r="AB6" i="20" s="1"/>
  <c r="AE38" i="20"/>
  <c r="AE13" i="20" s="1"/>
  <c r="AD6" i="20" s="1"/>
  <c r="AG34" i="19"/>
  <c r="AG13" i="19" s="1"/>
  <c r="AF6" i="19" s="1"/>
  <c r="Y20" i="21"/>
  <c r="Y12" i="21" s="1"/>
  <c r="J34" i="19"/>
  <c r="J13" i="19" s="1"/>
  <c r="P34" i="19"/>
  <c r="P13" i="19" s="1"/>
  <c r="V34" i="19"/>
  <c r="V13" i="19" s="1"/>
  <c r="AF34" i="19"/>
  <c r="AF13" i="19" s="1"/>
  <c r="AL34" i="19"/>
  <c r="AL13" i="19" s="1"/>
  <c r="G38" i="20"/>
  <c r="G13" i="20" s="1"/>
  <c r="F6" i="20" s="1"/>
  <c r="D20" i="20"/>
  <c r="D12" i="20" s="1"/>
  <c r="D14" i="20" s="1"/>
  <c r="Y20" i="19"/>
  <c r="Y12" i="19" s="1"/>
  <c r="AE20" i="19"/>
  <c r="AE12" i="19" s="1"/>
  <c r="O34" i="19"/>
  <c r="O13" i="19" s="1"/>
  <c r="N6" i="19" s="1"/>
  <c r="S34" i="19"/>
  <c r="S13" i="19" s="1"/>
  <c r="R6" i="19" s="1"/>
  <c r="AM34" i="19"/>
  <c r="AM13" i="19" s="1"/>
  <c r="AL6" i="19" s="1"/>
  <c r="AN38" i="20"/>
  <c r="AN13" i="20" s="1"/>
  <c r="D46" i="21"/>
  <c r="D13" i="21" s="1"/>
  <c r="AG46" i="21"/>
  <c r="AG13" i="21" s="1"/>
  <c r="AF6" i="21" s="1"/>
  <c r="F20" i="19"/>
  <c r="F12" i="19" s="1"/>
  <c r="N20" i="19"/>
  <c r="N12" i="19" s="1"/>
  <c r="AL20" i="19"/>
  <c r="AL12" i="19" s="1"/>
  <c r="R34" i="19"/>
  <c r="R13" i="19" s="1"/>
  <c r="Z34" i="19"/>
  <c r="Z13" i="19" s="1"/>
  <c r="I20" i="20"/>
  <c r="I12" i="20" s="1"/>
  <c r="H5" i="20" s="1"/>
  <c r="K20" i="20"/>
  <c r="K12" i="20" s="1"/>
  <c r="J5" i="20" s="1"/>
  <c r="Q20" i="20"/>
  <c r="Q12" i="20" s="1"/>
  <c r="P5" i="20" s="1"/>
  <c r="U20" i="20"/>
  <c r="U12" i="20" s="1"/>
  <c r="Y20" i="20"/>
  <c r="Y12" i="20" s="1"/>
  <c r="AA20" i="20"/>
  <c r="AA12" i="20" s="1"/>
  <c r="Z5" i="20" s="1"/>
  <c r="AG20" i="20"/>
  <c r="AG12" i="20" s="1"/>
  <c r="AI20" i="20"/>
  <c r="AI12" i="20" s="1"/>
  <c r="AH5" i="20" s="1"/>
  <c r="AK20" i="20"/>
  <c r="AK12" i="20" s="1"/>
  <c r="AJ5" i="20" s="1"/>
  <c r="AM20" i="20"/>
  <c r="AM12" i="20" s="1"/>
  <c r="AL5" i="20" s="1"/>
  <c r="O38" i="20"/>
  <c r="O13" i="20" s="1"/>
  <c r="N6" i="20" s="1"/>
  <c r="Q38" i="20"/>
  <c r="Q13" i="20" s="1"/>
  <c r="P6" i="20" s="1"/>
  <c r="W38" i="20"/>
  <c r="W13" i="20" s="1"/>
  <c r="V6" i="20" s="1"/>
  <c r="Y38" i="20"/>
  <c r="Y13" i="20" s="1"/>
  <c r="X6" i="20" s="1"/>
  <c r="AG38" i="20"/>
  <c r="AG13" i="20" s="1"/>
  <c r="AF6" i="20" s="1"/>
  <c r="AO38" i="20"/>
  <c r="AO13" i="20" s="1"/>
  <c r="I20" i="21"/>
  <c r="I12" i="21" s="1"/>
  <c r="H5" i="21" s="1"/>
  <c r="AE20" i="21"/>
  <c r="AE12" i="21" s="1"/>
  <c r="AD5" i="21" s="1"/>
  <c r="AM20" i="21"/>
  <c r="AM12" i="21" s="1"/>
  <c r="AD46" i="21"/>
  <c r="AD13" i="21" s="1"/>
  <c r="AO20" i="19"/>
  <c r="AO12" i="19" s="1"/>
  <c r="AN5" i="19" s="1"/>
  <c r="K34" i="19"/>
  <c r="K13" i="19" s="1"/>
  <c r="J6" i="19" s="1"/>
  <c r="W34" i="19"/>
  <c r="W13" i="19" s="1"/>
  <c r="V6" i="19" s="1"/>
  <c r="AA34" i="19"/>
  <c r="AA13" i="19" s="1"/>
  <c r="Z6" i="19" s="1"/>
  <c r="AE34" i="19"/>
  <c r="AE13" i="19" s="1"/>
  <c r="AD6" i="19" s="1"/>
  <c r="AI34" i="19"/>
  <c r="AI13" i="19" s="1"/>
  <c r="AH6" i="19" s="1"/>
  <c r="H38" i="20"/>
  <c r="H13" i="20" s="1"/>
  <c r="P38" i="20"/>
  <c r="P13" i="20" s="1"/>
  <c r="T38" i="20"/>
  <c r="T13" i="20" s="1"/>
  <c r="K20" i="19"/>
  <c r="K12" i="19" s="1"/>
  <c r="J5" i="19" s="1"/>
  <c r="J4" i="19" s="1"/>
  <c r="AI20" i="19"/>
  <c r="AI12" i="19" s="1"/>
  <c r="AH5" i="19" s="1"/>
  <c r="AM20" i="19"/>
  <c r="AM12" i="19" s="1"/>
  <c r="AM14" i="19" s="1"/>
  <c r="Y34" i="19"/>
  <c r="Y13" i="19" s="1"/>
  <c r="X6" i="19" s="1"/>
  <c r="AC34" i="19"/>
  <c r="AC13" i="19" s="1"/>
  <c r="AB6" i="19" s="1"/>
  <c r="H20" i="20"/>
  <c r="H12" i="20" s="1"/>
  <c r="H11" i="20" s="1"/>
  <c r="P20" i="20"/>
  <c r="P12" i="20" s="1"/>
  <c r="P11" i="20" s="1"/>
  <c r="AJ20" i="20"/>
  <c r="AJ12" i="20" s="1"/>
  <c r="AN20" i="20"/>
  <c r="AN12" i="20" s="1"/>
  <c r="X38" i="20"/>
  <c r="X13" i="20" s="1"/>
  <c r="AF38" i="20"/>
  <c r="AF13" i="20" s="1"/>
  <c r="AH20" i="21"/>
  <c r="AH12" i="21" s="1"/>
  <c r="W46" i="21"/>
  <c r="W13" i="21" s="1"/>
  <c r="V6" i="21" s="1"/>
  <c r="AI46" i="21"/>
  <c r="AI13" i="21" s="1"/>
  <c r="AH6" i="21" s="1"/>
  <c r="M34" i="19"/>
  <c r="M13" i="19" s="1"/>
  <c r="L6" i="19" s="1"/>
  <c r="Q34" i="19"/>
  <c r="Q13" i="19" s="1"/>
  <c r="P6" i="19" s="1"/>
  <c r="U34" i="19"/>
  <c r="U13" i="19" s="1"/>
  <c r="T6" i="19" s="1"/>
  <c r="AO34" i="19"/>
  <c r="AO13" i="19" s="1"/>
  <c r="L20" i="20"/>
  <c r="L12" i="20" s="1"/>
  <c r="T20" i="20"/>
  <c r="T12" i="20" s="1"/>
  <c r="Z20" i="21"/>
  <c r="Z12" i="21" s="1"/>
  <c r="H20" i="19"/>
  <c r="H12" i="19" s="1"/>
  <c r="H14" i="19" s="1"/>
  <c r="T20" i="19"/>
  <c r="T12" i="19" s="1"/>
  <c r="V20" i="19"/>
  <c r="V12" i="19" s="1"/>
  <c r="AB20" i="19"/>
  <c r="AB12" i="19" s="1"/>
  <c r="AB11" i="19" s="1"/>
  <c r="AD20" i="19"/>
  <c r="AD12" i="19" s="1"/>
  <c r="AF20" i="19"/>
  <c r="AF12" i="19" s="1"/>
  <c r="AF11" i="19" s="1"/>
  <c r="AN20" i="19"/>
  <c r="AN12" i="19" s="1"/>
  <c r="M20" i="20"/>
  <c r="M12" i="20" s="1"/>
  <c r="I38" i="20"/>
  <c r="I13" i="20" s="1"/>
  <c r="H6" i="20" s="1"/>
  <c r="K38" i="20"/>
  <c r="K13" i="20" s="1"/>
  <c r="J6" i="20" s="1"/>
  <c r="AA38" i="20"/>
  <c r="AA13" i="20" s="1"/>
  <c r="Z6" i="20" s="1"/>
  <c r="G20" i="21"/>
  <c r="G12" i="21" s="1"/>
  <c r="F5" i="21" s="1"/>
  <c r="F4" i="21" s="1"/>
  <c r="O20" i="21"/>
  <c r="O12" i="21" s="1"/>
  <c r="N5" i="21" s="1"/>
  <c r="J46" i="21"/>
  <c r="J13" i="21" s="1"/>
  <c r="N46" i="21"/>
  <c r="N13" i="21" s="1"/>
  <c r="AH46" i="21"/>
  <c r="AH13" i="21" s="1"/>
  <c r="O20" i="19"/>
  <c r="O12" i="19" s="1"/>
  <c r="N5" i="19" s="1"/>
  <c r="AK34" i="19"/>
  <c r="AK13" i="19" s="1"/>
  <c r="AJ6" i="19" s="1"/>
  <c r="M20" i="19"/>
  <c r="M12" i="19" s="1"/>
  <c r="L5" i="19" s="1"/>
  <c r="Q20" i="19"/>
  <c r="Q12" i="19" s="1"/>
  <c r="P5" i="19" s="1"/>
  <c r="S20" i="19"/>
  <c r="S12" i="19" s="1"/>
  <c r="S14" i="19" s="1"/>
  <c r="U20" i="19"/>
  <c r="U12" i="19" s="1"/>
  <c r="T5" i="19" s="1"/>
  <c r="AC20" i="19"/>
  <c r="AC12" i="19" s="1"/>
  <c r="AB5" i="19" s="1"/>
  <c r="AG20" i="19"/>
  <c r="AG12" i="19" s="1"/>
  <c r="AF5" i="19" s="1"/>
  <c r="AK20" i="19"/>
  <c r="AK12" i="19" s="1"/>
  <c r="AJ5" i="19" s="1"/>
  <c r="F20" i="20"/>
  <c r="F12" i="20" s="1"/>
  <c r="J20" i="20"/>
  <c r="J12" i="20" s="1"/>
  <c r="N20" i="20"/>
  <c r="N12" i="20" s="1"/>
  <c r="R20" i="20"/>
  <c r="R12" i="20" s="1"/>
  <c r="V20" i="20"/>
  <c r="V12" i="20" s="1"/>
  <c r="AD20" i="20"/>
  <c r="AD12" i="20" s="1"/>
  <c r="AF20" i="20"/>
  <c r="AF12" i="20" s="1"/>
  <c r="AH20" i="20"/>
  <c r="AH12" i="20" s="1"/>
  <c r="AL20" i="20"/>
  <c r="AL12" i="20" s="1"/>
  <c r="AJ38" i="20"/>
  <c r="AJ13" i="20" s="1"/>
  <c r="J20" i="21"/>
  <c r="J12" i="21" s="1"/>
  <c r="R20" i="21"/>
  <c r="R12" i="21" s="1"/>
  <c r="E46" i="21"/>
  <c r="E13" i="21" s="1"/>
  <c r="D6" i="21" s="1"/>
  <c r="E20" i="21"/>
  <c r="E12" i="21" s="1"/>
  <c r="K20" i="21"/>
  <c r="K12" i="21" s="1"/>
  <c r="J5" i="21" s="1"/>
  <c r="S20" i="21"/>
  <c r="S12" i="21" s="1"/>
  <c r="AA20" i="21"/>
  <c r="AA12" i="21" s="1"/>
  <c r="AI20" i="21"/>
  <c r="AI12" i="21" s="1"/>
  <c r="L20" i="21"/>
  <c r="L12" i="21" s="1"/>
  <c r="AB20" i="21"/>
  <c r="AB12" i="21" s="1"/>
  <c r="H20" i="21"/>
  <c r="H12" i="21" s="1"/>
  <c r="P20" i="21"/>
  <c r="P12" i="21" s="1"/>
  <c r="X20" i="21"/>
  <c r="X12" i="21" s="1"/>
  <c r="AF20" i="21"/>
  <c r="AF12" i="21" s="1"/>
  <c r="AN20" i="21"/>
  <c r="AN12" i="21" s="1"/>
  <c r="T20" i="21"/>
  <c r="T12" i="21" s="1"/>
  <c r="T14" i="21" s="1"/>
  <c r="D20" i="21"/>
  <c r="D12" i="21" s="1"/>
  <c r="AJ20" i="21"/>
  <c r="AJ12" i="21" s="1"/>
  <c r="F20" i="21"/>
  <c r="F12" i="21" s="1"/>
  <c r="N20" i="21"/>
  <c r="N12" i="21" s="1"/>
  <c r="N14" i="21" s="1"/>
  <c r="V20" i="21"/>
  <c r="V12" i="21" s="1"/>
  <c r="AD20" i="21"/>
  <c r="AD12" i="21" s="1"/>
  <c r="AL20" i="21"/>
  <c r="AL12" i="21" s="1"/>
  <c r="E38" i="20"/>
  <c r="E13" i="20" s="1"/>
  <c r="D6" i="20" s="1"/>
  <c r="L38" i="20"/>
  <c r="L13" i="20" s="1"/>
  <c r="M38" i="20"/>
  <c r="M13" i="20" s="1"/>
  <c r="L6" i="20" s="1"/>
  <c r="J38" i="20"/>
  <c r="J13" i="20" s="1"/>
  <c r="R38" i="20"/>
  <c r="R13" i="20" s="1"/>
  <c r="Z38" i="20"/>
  <c r="Z13" i="20" s="1"/>
  <c r="N38" i="20"/>
  <c r="N13" i="20" s="1"/>
  <c r="V38" i="20"/>
  <c r="V13" i="20" s="1"/>
  <c r="AD38" i="20"/>
  <c r="AD13" i="20" s="1"/>
  <c r="AL38" i="20"/>
  <c r="AL13" i="20" s="1"/>
  <c r="AH38" i="20"/>
  <c r="AH13" i="20" s="1"/>
  <c r="G20" i="19"/>
  <c r="G12" i="19" s="1"/>
  <c r="F5" i="19" s="1"/>
  <c r="E20" i="19"/>
  <c r="E12" i="19" s="1"/>
  <c r="D5" i="19" s="1"/>
  <c r="E20" i="20"/>
  <c r="E12" i="20" s="1"/>
  <c r="D5" i="20" s="1"/>
  <c r="W20" i="20"/>
  <c r="W12" i="20" s="1"/>
  <c r="V5" i="20" s="1"/>
  <c r="E34" i="19"/>
  <c r="E13" i="19" s="1"/>
  <c r="D6" i="19" s="1"/>
  <c r="D20" i="19"/>
  <c r="D12" i="19" s="1"/>
  <c r="W20" i="19"/>
  <c r="W12" i="19" s="1"/>
  <c r="V5" i="19" s="1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V52" i="16"/>
  <c r="U52" i="16"/>
  <c r="T52" i="16"/>
  <c r="S52" i="16"/>
  <c r="R52" i="16"/>
  <c r="Q52" i="16"/>
  <c r="P52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V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H47" i="16"/>
  <c r="G47" i="16"/>
  <c r="F47" i="16"/>
  <c r="E47" i="16"/>
  <c r="D47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13" i="16"/>
  <c r="B12" i="16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B25" i="22" l="1"/>
  <c r="AB5" i="22" s="1"/>
  <c r="R25" i="22"/>
  <c r="R5" i="22" s="1"/>
  <c r="H25" i="22"/>
  <c r="H5" i="22" s="1"/>
  <c r="H4" i="19"/>
  <c r="Z11" i="20"/>
  <c r="J4" i="21"/>
  <c r="C5" i="22"/>
  <c r="M5" i="22"/>
  <c r="I25" i="22"/>
  <c r="I5" i="22" s="1"/>
  <c r="AF11" i="20"/>
  <c r="AF4" i="19"/>
  <c r="L11" i="19"/>
  <c r="W5" i="22"/>
  <c r="Y5" i="22"/>
  <c r="J25" i="22"/>
  <c r="J5" i="22" s="1"/>
  <c r="Z4" i="19"/>
  <c r="AD25" i="22"/>
  <c r="AD5" i="22" s="1"/>
  <c r="D5" i="22"/>
  <c r="T25" i="22"/>
  <c r="T5" i="22" s="1"/>
  <c r="E5" i="22"/>
  <c r="X5" i="22"/>
  <c r="O5" i="22"/>
  <c r="AC25" i="22"/>
  <c r="AC5" i="22" s="1"/>
  <c r="N5" i="22"/>
  <c r="S25" i="22"/>
  <c r="S5" i="22" s="1"/>
  <c r="K14" i="19"/>
  <c r="F4" i="19"/>
  <c r="R14" i="20"/>
  <c r="AC14" i="20"/>
  <c r="AL4" i="20"/>
  <c r="R14" i="19"/>
  <c r="AN11" i="19"/>
  <c r="AJ4" i="20"/>
  <c r="M14" i="20"/>
  <c r="AH4" i="20"/>
  <c r="N4" i="21"/>
  <c r="AN14" i="20"/>
  <c r="R11" i="20"/>
  <c r="Y14" i="21"/>
  <c r="V4" i="19"/>
  <c r="AB14" i="19"/>
  <c r="U14" i="21"/>
  <c r="J11" i="21"/>
  <c r="Z14" i="19"/>
  <c r="X14" i="20"/>
  <c r="AO14" i="20"/>
  <c r="AF14" i="20"/>
  <c r="AG14" i="20"/>
  <c r="Z11" i="19"/>
  <c r="L11" i="20"/>
  <c r="T14" i="20"/>
  <c r="R11" i="19"/>
  <c r="AF5" i="20"/>
  <c r="AF4" i="20" s="1"/>
  <c r="AD14" i="20"/>
  <c r="AL14" i="21"/>
  <c r="AN11" i="21"/>
  <c r="AA14" i="21"/>
  <c r="F14" i="20"/>
  <c r="U14" i="20"/>
  <c r="F14" i="19"/>
  <c r="Y14" i="19"/>
  <c r="Z14" i="21"/>
  <c r="AD11" i="19"/>
  <c r="AB11" i="20"/>
  <c r="AF4" i="21"/>
  <c r="O14" i="20"/>
  <c r="AN5" i="20"/>
  <c r="V11" i="20"/>
  <c r="M14" i="21"/>
  <c r="AF14" i="21"/>
  <c r="N4" i="19"/>
  <c r="R5" i="19"/>
  <c r="R4" i="19" s="1"/>
  <c r="W14" i="21"/>
  <c r="AN14" i="19"/>
  <c r="AL5" i="19"/>
  <c r="AL4" i="19" s="1"/>
  <c r="N5" i="20"/>
  <c r="N4" i="20" s="1"/>
  <c r="J14" i="21"/>
  <c r="R11" i="21"/>
  <c r="O14" i="21"/>
  <c r="AO14" i="19"/>
  <c r="X11" i="20"/>
  <c r="AI14" i="19"/>
  <c r="AF14" i="19"/>
  <c r="I14" i="21"/>
  <c r="P11" i="19"/>
  <c r="AJ4" i="21"/>
  <c r="I14" i="19"/>
  <c r="L4" i="21"/>
  <c r="AK14" i="21"/>
  <c r="AA14" i="19"/>
  <c r="L5" i="20"/>
  <c r="L4" i="20" s="1"/>
  <c r="S14" i="21"/>
  <c r="AH14" i="20"/>
  <c r="AD11" i="21"/>
  <c r="AM14" i="21"/>
  <c r="U14" i="19"/>
  <c r="M14" i="19"/>
  <c r="AG14" i="21"/>
  <c r="V14" i="21"/>
  <c r="P14" i="19"/>
  <c r="T4" i="19"/>
  <c r="AB4" i="19"/>
  <c r="V4" i="21"/>
  <c r="AH14" i="21"/>
  <c r="H4" i="21"/>
  <c r="AK14" i="20"/>
  <c r="H4" i="20"/>
  <c r="AN11" i="20"/>
  <c r="H11" i="19"/>
  <c r="H14" i="20"/>
  <c r="AI14" i="20"/>
  <c r="G14" i="21"/>
  <c r="D11" i="20"/>
  <c r="AM14" i="20"/>
  <c r="N11" i="20"/>
  <c r="R14" i="21"/>
  <c r="AI14" i="21"/>
  <c r="J11" i="20"/>
  <c r="L4" i="19"/>
  <c r="V14" i="19"/>
  <c r="T11" i="20"/>
  <c r="Y14" i="20"/>
  <c r="N11" i="19"/>
  <c r="AE14" i="19"/>
  <c r="J14" i="19"/>
  <c r="AB4" i="21"/>
  <c r="AJ14" i="19"/>
  <c r="S14" i="20"/>
  <c r="AJ14" i="20"/>
  <c r="AP6" i="20"/>
  <c r="AQ6" i="20" s="1"/>
  <c r="X5" i="20"/>
  <c r="X4" i="20" s="1"/>
  <c r="T11" i="19"/>
  <c r="P4" i="20"/>
  <c r="AJ11" i="19"/>
  <c r="AB4" i="20"/>
  <c r="P14" i="20"/>
  <c r="W14" i="20"/>
  <c r="T4" i="21"/>
  <c r="X5" i="21"/>
  <c r="X4" i="21" s="1"/>
  <c r="X11" i="21"/>
  <c r="AG14" i="19"/>
  <c r="AH11" i="21"/>
  <c r="Z11" i="21"/>
  <c r="AE14" i="21"/>
  <c r="J4" i="20"/>
  <c r="R5" i="20"/>
  <c r="R4" i="20" s="1"/>
  <c r="AN14" i="21"/>
  <c r="P11" i="21"/>
  <c r="AD14" i="21"/>
  <c r="H11" i="21"/>
  <c r="O14" i="19"/>
  <c r="D11" i="19"/>
  <c r="AB14" i="20"/>
  <c r="AF11" i="21"/>
  <c r="K14" i="21"/>
  <c r="AB11" i="21"/>
  <c r="AH14" i="19"/>
  <c r="AO14" i="21"/>
  <c r="X14" i="19"/>
  <c r="V11" i="19"/>
  <c r="AP6" i="19"/>
  <c r="AQ6" i="19" s="1"/>
  <c r="K14" i="20"/>
  <c r="AH11" i="20"/>
  <c r="X14" i="21"/>
  <c r="P4" i="19"/>
  <c r="Z4" i="20"/>
  <c r="AL14" i="19"/>
  <c r="AH4" i="19"/>
  <c r="J11" i="19"/>
  <c r="N14" i="19"/>
  <c r="AK14" i="19"/>
  <c r="AC14" i="19"/>
  <c r="AL11" i="21"/>
  <c r="X5" i="19"/>
  <c r="X4" i="19" s="1"/>
  <c r="AD5" i="19"/>
  <c r="AD4" i="19" s="1"/>
  <c r="AJ4" i="19"/>
  <c r="J14" i="20"/>
  <c r="F11" i="20"/>
  <c r="T5" i="20"/>
  <c r="T4" i="20" s="1"/>
  <c r="AJ11" i="20"/>
  <c r="V4" i="20"/>
  <c r="AA14" i="20"/>
  <c r="AD4" i="21"/>
  <c r="AH11" i="19"/>
  <c r="AL11" i="19"/>
  <c r="F11" i="19"/>
  <c r="X11" i="19"/>
  <c r="Q14" i="20"/>
  <c r="AL14" i="20"/>
  <c r="Q14" i="21"/>
  <c r="AL5" i="21"/>
  <c r="AL4" i="21" s="1"/>
  <c r="W14" i="19"/>
  <c r="AD4" i="20"/>
  <c r="F4" i="20"/>
  <c r="T11" i="21"/>
  <c r="P4" i="21"/>
  <c r="V11" i="21"/>
  <c r="F14" i="21"/>
  <c r="AP6" i="21"/>
  <c r="AQ6" i="21" s="1"/>
  <c r="Q14" i="19"/>
  <c r="AD14" i="19"/>
  <c r="T14" i="19"/>
  <c r="L14" i="19"/>
  <c r="AE14" i="20"/>
  <c r="G14" i="20"/>
  <c r="AC14" i="21"/>
  <c r="AJ11" i="21"/>
  <c r="I14" i="20"/>
  <c r="R5" i="21"/>
  <c r="R4" i="21" s="1"/>
  <c r="D11" i="21"/>
  <c r="L11" i="21"/>
  <c r="E14" i="21"/>
  <c r="AJ14" i="21"/>
  <c r="AH5" i="21"/>
  <c r="AH4" i="21" s="1"/>
  <c r="AB14" i="21"/>
  <c r="Z5" i="21"/>
  <c r="Z4" i="21" s="1"/>
  <c r="D5" i="21"/>
  <c r="D4" i="21" s="1"/>
  <c r="N11" i="21"/>
  <c r="P14" i="21"/>
  <c r="H14" i="21"/>
  <c r="L14" i="21"/>
  <c r="F11" i="21"/>
  <c r="D14" i="21"/>
  <c r="AL11" i="20"/>
  <c r="Z14" i="20"/>
  <c r="V14" i="20"/>
  <c r="L14" i="20"/>
  <c r="N14" i="20"/>
  <c r="AD11" i="20"/>
  <c r="G14" i="19"/>
  <c r="D14" i="19"/>
  <c r="E14" i="20"/>
  <c r="D4" i="20"/>
  <c r="E14" i="19"/>
  <c r="D4" i="19"/>
  <c r="H46" i="16"/>
  <c r="H13" i="16" s="1"/>
  <c r="D46" i="16"/>
  <c r="D13" i="16" s="1"/>
  <c r="L46" i="16"/>
  <c r="L13" i="16" s="1"/>
  <c r="T46" i="16"/>
  <c r="T13" i="16" s="1"/>
  <c r="AB46" i="16"/>
  <c r="AB13" i="16" s="1"/>
  <c r="AJ46" i="16"/>
  <c r="AJ13" i="16" s="1"/>
  <c r="P46" i="16"/>
  <c r="P13" i="16" s="1"/>
  <c r="X46" i="16"/>
  <c r="X13" i="16" s="1"/>
  <c r="AF46" i="16"/>
  <c r="AF13" i="16" s="1"/>
  <c r="AN46" i="16"/>
  <c r="AN13" i="16" s="1"/>
  <c r="I46" i="16"/>
  <c r="I13" i="16" s="1"/>
  <c r="G41" i="18" s="1"/>
  <c r="F22" i="18" s="1"/>
  <c r="Q46" i="16"/>
  <c r="Q13" i="16" s="1"/>
  <c r="O41" i="18" s="1"/>
  <c r="N22" i="18" s="1"/>
  <c r="Y46" i="16"/>
  <c r="Y13" i="16" s="1"/>
  <c r="W41" i="18" s="1"/>
  <c r="V22" i="18" s="1"/>
  <c r="AG46" i="16"/>
  <c r="AG13" i="16" s="1"/>
  <c r="AE41" i="18" s="1"/>
  <c r="AD22" i="18" s="1"/>
  <c r="AO46" i="16"/>
  <c r="AO13" i="16" s="1"/>
  <c r="G46" i="16"/>
  <c r="G13" i="16" s="1"/>
  <c r="E41" i="18" s="1"/>
  <c r="D22" i="18" s="1"/>
  <c r="O46" i="16"/>
  <c r="O13" i="16" s="1"/>
  <c r="M41" i="18" s="1"/>
  <c r="L22" i="18" s="1"/>
  <c r="W46" i="16"/>
  <c r="W13" i="16" s="1"/>
  <c r="U41" i="18" s="1"/>
  <c r="T22" i="18" s="1"/>
  <c r="AE46" i="16"/>
  <c r="AE13" i="16" s="1"/>
  <c r="AC41" i="18" s="1"/>
  <c r="AB22" i="18" s="1"/>
  <c r="AD20" i="16"/>
  <c r="AD12" i="16" s="1"/>
  <c r="AL20" i="16"/>
  <c r="AL12" i="16" s="1"/>
  <c r="X20" i="16"/>
  <c r="X12" i="16" s="1"/>
  <c r="AF20" i="16"/>
  <c r="AF12" i="16" s="1"/>
  <c r="AN20" i="16"/>
  <c r="AN12" i="16" s="1"/>
  <c r="Z20" i="16"/>
  <c r="Z12" i="16" s="1"/>
  <c r="F46" i="16"/>
  <c r="F13" i="16" s="1"/>
  <c r="N46" i="16"/>
  <c r="N13" i="16" s="1"/>
  <c r="V46" i="16"/>
  <c r="V13" i="16" s="1"/>
  <c r="AD46" i="16"/>
  <c r="AD13" i="16" s="1"/>
  <c r="AL46" i="16"/>
  <c r="AL13" i="16" s="1"/>
  <c r="AG20" i="16"/>
  <c r="AG12" i="16" s="1"/>
  <c r="AE40" i="18" s="1"/>
  <c r="AO20" i="16"/>
  <c r="AO12" i="16" s="1"/>
  <c r="AM40" i="18" s="1"/>
  <c r="AM46" i="16"/>
  <c r="AM13" i="16" s="1"/>
  <c r="AK41" i="18" s="1"/>
  <c r="AJ22" i="18" s="1"/>
  <c r="AA20" i="16"/>
  <c r="AA12" i="16" s="1"/>
  <c r="Y40" i="18" s="1"/>
  <c r="J46" i="16"/>
  <c r="J13" i="16" s="1"/>
  <c r="R46" i="16"/>
  <c r="R13" i="16" s="1"/>
  <c r="Z46" i="16"/>
  <c r="Z13" i="16" s="1"/>
  <c r="AH46" i="16"/>
  <c r="AH13" i="16" s="1"/>
  <c r="S20" i="16"/>
  <c r="S12" i="16" s="1"/>
  <c r="Q40" i="18" s="1"/>
  <c r="H20" i="16"/>
  <c r="H12" i="16" s="1"/>
  <c r="Y20" i="16"/>
  <c r="Y12" i="16" s="1"/>
  <c r="I20" i="16"/>
  <c r="I12" i="16" s="1"/>
  <c r="R20" i="16"/>
  <c r="R12" i="16" s="1"/>
  <c r="AI20" i="16"/>
  <c r="AI12" i="16" s="1"/>
  <c r="AG40" i="18" s="1"/>
  <c r="G20" i="16"/>
  <c r="G12" i="16" s="1"/>
  <c r="E40" i="18" s="1"/>
  <c r="O20" i="16"/>
  <c r="O12" i="16" s="1"/>
  <c r="M40" i="18" s="1"/>
  <c r="W20" i="16"/>
  <c r="W12" i="16" s="1"/>
  <c r="U40" i="18" s="1"/>
  <c r="N20" i="16"/>
  <c r="N12" i="16" s="1"/>
  <c r="P20" i="16"/>
  <c r="P12" i="16" s="1"/>
  <c r="J20" i="16"/>
  <c r="J12" i="16" s="1"/>
  <c r="AH20" i="16"/>
  <c r="AH12" i="16" s="1"/>
  <c r="F20" i="16"/>
  <c r="F12" i="16" s="1"/>
  <c r="K20" i="16"/>
  <c r="K12" i="16" s="1"/>
  <c r="I40" i="18" s="1"/>
  <c r="V20" i="16"/>
  <c r="V12" i="16" s="1"/>
  <c r="D20" i="16"/>
  <c r="D12" i="16" s="1"/>
  <c r="T20" i="16"/>
  <c r="T12" i="16" s="1"/>
  <c r="AJ20" i="16"/>
  <c r="AJ12" i="16" s="1"/>
  <c r="Q20" i="16"/>
  <c r="Q12" i="16" s="1"/>
  <c r="L20" i="16"/>
  <c r="L12" i="16" s="1"/>
  <c r="J40" i="18" s="1"/>
  <c r="AB20" i="16"/>
  <c r="AB12" i="16" s="1"/>
  <c r="K46" i="16"/>
  <c r="K13" i="16" s="1"/>
  <c r="I41" i="18" s="1"/>
  <c r="H22" i="18" s="1"/>
  <c r="S46" i="16"/>
  <c r="S13" i="16" s="1"/>
  <c r="Q41" i="18" s="1"/>
  <c r="P22" i="18" s="1"/>
  <c r="AA46" i="16"/>
  <c r="AA13" i="16" s="1"/>
  <c r="Y41" i="18" s="1"/>
  <c r="X22" i="18" s="1"/>
  <c r="AI46" i="16"/>
  <c r="AI13" i="16" s="1"/>
  <c r="AG41" i="18" s="1"/>
  <c r="AF22" i="18" s="1"/>
  <c r="E46" i="16"/>
  <c r="E13" i="16" s="1"/>
  <c r="C41" i="18" s="1"/>
  <c r="B22" i="18" s="1"/>
  <c r="M46" i="16"/>
  <c r="M13" i="16" s="1"/>
  <c r="K41" i="18" s="1"/>
  <c r="J22" i="18" s="1"/>
  <c r="U46" i="16"/>
  <c r="U13" i="16" s="1"/>
  <c r="S41" i="18" s="1"/>
  <c r="R22" i="18" s="1"/>
  <c r="AC46" i="16"/>
  <c r="AC13" i="16" s="1"/>
  <c r="AA41" i="18" s="1"/>
  <c r="Z22" i="18" s="1"/>
  <c r="AK46" i="16"/>
  <c r="AK13" i="16" s="1"/>
  <c r="AI41" i="18" s="1"/>
  <c r="AH22" i="18" s="1"/>
  <c r="E20" i="16"/>
  <c r="E12" i="16" s="1"/>
  <c r="M20" i="16"/>
  <c r="M12" i="16" s="1"/>
  <c r="U20" i="16"/>
  <c r="U12" i="16" s="1"/>
  <c r="AC20" i="16"/>
  <c r="AC12" i="16" s="1"/>
  <c r="AK20" i="16"/>
  <c r="AK12" i="16" s="1"/>
  <c r="AE20" i="16"/>
  <c r="AE12" i="16" s="1"/>
  <c r="AM20" i="16"/>
  <c r="AM12" i="16" s="1"/>
  <c r="Z41" i="17" l="1"/>
  <c r="Z41" i="18"/>
  <c r="AB41" i="17"/>
  <c r="AB41" i="18"/>
  <c r="H41" i="17"/>
  <c r="H41" i="18"/>
  <c r="AP5" i="19"/>
  <c r="AQ5" i="19" s="1"/>
  <c r="AP4" i="19"/>
  <c r="AQ4" i="19" s="1"/>
  <c r="F41" i="17"/>
  <c r="F41" i="18"/>
  <c r="X41" i="17"/>
  <c r="X41" i="18"/>
  <c r="T41" i="17"/>
  <c r="T41" i="18"/>
  <c r="L41" i="17"/>
  <c r="L41" i="18"/>
  <c r="J41" i="17"/>
  <c r="J41" i="18"/>
  <c r="J42" i="18" s="1"/>
  <c r="AD41" i="17"/>
  <c r="AD41" i="18"/>
  <c r="V41" i="17"/>
  <c r="V41" i="18"/>
  <c r="AP5" i="20"/>
  <c r="AQ5" i="20" s="1"/>
  <c r="P41" i="17"/>
  <c r="P41" i="18"/>
  <c r="R41" i="17"/>
  <c r="R41" i="18"/>
  <c r="AM41" i="17"/>
  <c r="AL22" i="17" s="1"/>
  <c r="AM41" i="18"/>
  <c r="AL22" i="18" s="1"/>
  <c r="AN22" i="18" s="1"/>
  <c r="AO22" i="18" s="1"/>
  <c r="N41" i="17"/>
  <c r="N41" i="18"/>
  <c r="AP4" i="20"/>
  <c r="AQ4" i="20" s="1"/>
  <c r="D41" i="17"/>
  <c r="D41" i="18"/>
  <c r="AL41" i="17"/>
  <c r="AL41" i="18"/>
  <c r="B41" i="17"/>
  <c r="B41" i="18"/>
  <c r="AF41" i="17"/>
  <c r="AF41" i="18"/>
  <c r="AJ41" i="17"/>
  <c r="AJ41" i="18"/>
  <c r="AH41" i="17"/>
  <c r="AH41" i="18"/>
  <c r="AH40" i="17"/>
  <c r="AH40" i="18"/>
  <c r="AI40" i="17"/>
  <c r="AH21" i="17" s="1"/>
  <c r="AI40" i="18"/>
  <c r="O40" i="17"/>
  <c r="N21" i="17" s="1"/>
  <c r="O40" i="18"/>
  <c r="H40" i="17"/>
  <c r="H40" i="18"/>
  <c r="G40" i="17"/>
  <c r="F21" i="17" s="1"/>
  <c r="G40" i="18"/>
  <c r="X21" i="18"/>
  <c r="X20" i="18" s="1"/>
  <c r="Y42" i="18"/>
  <c r="AL21" i="18"/>
  <c r="Q42" i="18"/>
  <c r="P21" i="18"/>
  <c r="P20" i="18" s="1"/>
  <c r="AD40" i="17"/>
  <c r="AD40" i="18"/>
  <c r="X40" i="17"/>
  <c r="X42" i="17" s="1"/>
  <c r="X40" i="18"/>
  <c r="AL40" i="17"/>
  <c r="AL40" i="18"/>
  <c r="U42" i="18"/>
  <c r="T21" i="18"/>
  <c r="T20" i="18" s="1"/>
  <c r="T40" i="17"/>
  <c r="T40" i="18"/>
  <c r="M42" i="18"/>
  <c r="L21" i="18"/>
  <c r="L20" i="18" s="1"/>
  <c r="V40" i="17"/>
  <c r="V40" i="18"/>
  <c r="N40" i="17"/>
  <c r="N40" i="18"/>
  <c r="R40" i="17"/>
  <c r="R40" i="18"/>
  <c r="F40" i="17"/>
  <c r="F40" i="18"/>
  <c r="K40" i="17"/>
  <c r="J21" i="17" s="1"/>
  <c r="K40" i="18"/>
  <c r="I42" i="18"/>
  <c r="H21" i="18"/>
  <c r="H20" i="18" s="1"/>
  <c r="E42" i="18"/>
  <c r="D21" i="18"/>
  <c r="D20" i="18" s="1"/>
  <c r="AJ40" i="17"/>
  <c r="AJ40" i="18"/>
  <c r="W40" i="17"/>
  <c r="V21" i="17" s="1"/>
  <c r="W40" i="18"/>
  <c r="S40" i="17"/>
  <c r="R21" i="17" s="1"/>
  <c r="S40" i="18"/>
  <c r="L40" i="17"/>
  <c r="L40" i="18"/>
  <c r="B40" i="17"/>
  <c r="B40" i="18"/>
  <c r="AD21" i="18"/>
  <c r="AD20" i="18" s="1"/>
  <c r="AE42" i="18"/>
  <c r="C40" i="17"/>
  <c r="B21" i="17" s="1"/>
  <c r="C40" i="18"/>
  <c r="AK40" i="17"/>
  <c r="AJ21" i="17" s="1"/>
  <c r="AK40" i="18"/>
  <c r="Z40" i="17"/>
  <c r="Z40" i="18"/>
  <c r="D40" i="17"/>
  <c r="D40" i="18"/>
  <c r="AG42" i="18"/>
  <c r="AF21" i="18"/>
  <c r="AF20" i="18" s="1"/>
  <c r="AB40" i="17"/>
  <c r="AB40" i="18"/>
  <c r="AA40" i="17"/>
  <c r="Z21" i="17" s="1"/>
  <c r="AA40" i="18"/>
  <c r="AC40" i="17"/>
  <c r="AB21" i="17" s="1"/>
  <c r="AC40" i="18"/>
  <c r="AF40" i="17"/>
  <c r="AF40" i="18"/>
  <c r="P40" i="17"/>
  <c r="P40" i="18"/>
  <c r="AP4" i="21"/>
  <c r="AQ4" i="21" s="1"/>
  <c r="AP5" i="21"/>
  <c r="AQ5" i="21" s="1"/>
  <c r="AH6" i="16"/>
  <c r="AG41" i="17"/>
  <c r="AF22" i="17" s="1"/>
  <c r="Z6" i="16"/>
  <c r="Y41" i="17"/>
  <c r="X22" i="17" s="1"/>
  <c r="P6" i="16"/>
  <c r="O41" i="17"/>
  <c r="N22" i="17" s="1"/>
  <c r="F6" i="16"/>
  <c r="E41" i="17"/>
  <c r="D22" i="17" s="1"/>
  <c r="AJ6" i="16"/>
  <c r="AI41" i="17"/>
  <c r="AH22" i="17" s="1"/>
  <c r="X6" i="16"/>
  <c r="W41" i="17"/>
  <c r="V22" i="17" s="1"/>
  <c r="AB6" i="16"/>
  <c r="AA41" i="17"/>
  <c r="Z22" i="17" s="1"/>
  <c r="AD6" i="16"/>
  <c r="AC41" i="17"/>
  <c r="AB22" i="17" s="1"/>
  <c r="H6" i="16"/>
  <c r="G41" i="17"/>
  <c r="F22" i="17" s="1"/>
  <c r="R6" i="16"/>
  <c r="Q41" i="17"/>
  <c r="P22" i="17" s="1"/>
  <c r="AF6" i="16"/>
  <c r="AE41" i="17"/>
  <c r="AD22" i="17" s="1"/>
  <c r="J6" i="16"/>
  <c r="I41" i="17"/>
  <c r="H22" i="17" s="1"/>
  <c r="T6" i="16"/>
  <c r="S41" i="17"/>
  <c r="R22" i="17" s="1"/>
  <c r="L6" i="16"/>
  <c r="K41" i="17"/>
  <c r="J22" i="17" s="1"/>
  <c r="V6" i="16"/>
  <c r="U41" i="17"/>
  <c r="T22" i="17" s="1"/>
  <c r="D6" i="16"/>
  <c r="C41" i="17"/>
  <c r="B22" i="17" s="1"/>
  <c r="AL6" i="16"/>
  <c r="AK41" i="17"/>
  <c r="AJ22" i="17" s="1"/>
  <c r="N6" i="16"/>
  <c r="M41" i="17"/>
  <c r="L22" i="17" s="1"/>
  <c r="AN5" i="16"/>
  <c r="AM40" i="17"/>
  <c r="V5" i="16"/>
  <c r="U40" i="17"/>
  <c r="N5" i="16"/>
  <c r="M40" i="17"/>
  <c r="R5" i="16"/>
  <c r="Q40" i="17"/>
  <c r="AF5" i="16"/>
  <c r="AE40" i="17"/>
  <c r="J5" i="16"/>
  <c r="I40" i="17"/>
  <c r="F5" i="16"/>
  <c r="E40" i="17"/>
  <c r="AH5" i="16"/>
  <c r="AG40" i="17"/>
  <c r="L14" i="16"/>
  <c r="J40" i="17"/>
  <c r="Z5" i="16"/>
  <c r="Y40" i="17"/>
  <c r="AJ14" i="16"/>
  <c r="I14" i="16"/>
  <c r="AL11" i="16"/>
  <c r="D14" i="16"/>
  <c r="AA14" i="16"/>
  <c r="AL14" i="16"/>
  <c r="Y14" i="16"/>
  <c r="Z11" i="16"/>
  <c r="H11" i="16"/>
  <c r="P14" i="16"/>
  <c r="AF14" i="16"/>
  <c r="T14" i="16"/>
  <c r="AN14" i="16"/>
  <c r="H14" i="16"/>
  <c r="X5" i="16"/>
  <c r="V11" i="16"/>
  <c r="X11" i="16"/>
  <c r="AD11" i="16"/>
  <c r="R11" i="16"/>
  <c r="AN11" i="16"/>
  <c r="Q14" i="16"/>
  <c r="AF11" i="16"/>
  <c r="AO14" i="16"/>
  <c r="Z14" i="16"/>
  <c r="X14" i="16"/>
  <c r="T11" i="16"/>
  <c r="AH11" i="16"/>
  <c r="J11" i="16"/>
  <c r="AG14" i="16"/>
  <c r="N11" i="16"/>
  <c r="R14" i="16"/>
  <c r="F14" i="16"/>
  <c r="AD14" i="16"/>
  <c r="H5" i="16"/>
  <c r="O14" i="16"/>
  <c r="V14" i="16"/>
  <c r="G14" i="16"/>
  <c r="W14" i="16"/>
  <c r="N14" i="16"/>
  <c r="P11" i="16"/>
  <c r="L11" i="16"/>
  <c r="J14" i="16"/>
  <c r="AJ11" i="16"/>
  <c r="F11" i="16"/>
  <c r="D11" i="16"/>
  <c r="AH14" i="16"/>
  <c r="AB14" i="16"/>
  <c r="AB11" i="16"/>
  <c r="P5" i="16"/>
  <c r="L5" i="16"/>
  <c r="M14" i="16"/>
  <c r="AB5" i="16"/>
  <c r="AC14" i="16"/>
  <c r="U14" i="16"/>
  <c r="T5" i="16"/>
  <c r="D5" i="16"/>
  <c r="E14" i="16"/>
  <c r="AL5" i="16"/>
  <c r="AM14" i="16"/>
  <c r="AD5" i="16"/>
  <c r="AE14" i="16"/>
  <c r="AI14" i="16"/>
  <c r="AJ5" i="16"/>
  <c r="AK14" i="16"/>
  <c r="K14" i="16"/>
  <c r="S14" i="16"/>
  <c r="AB42" i="17" l="1"/>
  <c r="AD42" i="17"/>
  <c r="D42" i="17"/>
  <c r="AJ42" i="17"/>
  <c r="Z42" i="18"/>
  <c r="AJ42" i="18"/>
  <c r="P42" i="18"/>
  <c r="F42" i="18"/>
  <c r="R42" i="17"/>
  <c r="X42" i="18"/>
  <c r="T42" i="17"/>
  <c r="B42" i="17"/>
  <c r="V42" i="17"/>
  <c r="AL42" i="17"/>
  <c r="L42" i="17"/>
  <c r="Z42" i="17"/>
  <c r="F42" i="17"/>
  <c r="AH42" i="18"/>
  <c r="AB42" i="18"/>
  <c r="L42" i="18"/>
  <c r="R42" i="18"/>
  <c r="AD42" i="18"/>
  <c r="AH42" i="17"/>
  <c r="P42" i="17"/>
  <c r="B42" i="18"/>
  <c r="T42" i="18"/>
  <c r="D42" i="18"/>
  <c r="AF42" i="18"/>
  <c r="H42" i="18"/>
  <c r="V42" i="18"/>
  <c r="AL42" i="18"/>
  <c r="AM42" i="18"/>
  <c r="N42" i="18"/>
  <c r="AF42" i="17"/>
  <c r="N42" i="17"/>
  <c r="H42" i="17"/>
  <c r="C42" i="18"/>
  <c r="B21" i="18"/>
  <c r="S42" i="18"/>
  <c r="R21" i="18"/>
  <c r="R20" i="18" s="1"/>
  <c r="AC42" i="18"/>
  <c r="AB21" i="18"/>
  <c r="AB20" i="18" s="1"/>
  <c r="V21" i="18"/>
  <c r="V20" i="18" s="1"/>
  <c r="W42" i="18"/>
  <c r="K42" i="18"/>
  <c r="J21" i="18"/>
  <c r="J20" i="18" s="1"/>
  <c r="N21" i="18"/>
  <c r="N20" i="18" s="1"/>
  <c r="O42" i="18"/>
  <c r="AA42" i="18"/>
  <c r="Z21" i="18"/>
  <c r="Z20" i="18" s="1"/>
  <c r="AI42" i="18"/>
  <c r="AH21" i="18"/>
  <c r="AH20" i="18" s="1"/>
  <c r="AK42" i="18"/>
  <c r="AJ21" i="18"/>
  <c r="AJ20" i="18" s="1"/>
  <c r="F21" i="18"/>
  <c r="F20" i="18" s="1"/>
  <c r="G42" i="18"/>
  <c r="T4" i="16"/>
  <c r="X4" i="16"/>
  <c r="Z4" i="16"/>
  <c r="AF4" i="16"/>
  <c r="AD4" i="16"/>
  <c r="AH20" i="17"/>
  <c r="AI42" i="17"/>
  <c r="H4" i="16"/>
  <c r="Z20" i="17"/>
  <c r="V20" i="17"/>
  <c r="F20" i="17"/>
  <c r="C42" i="17"/>
  <c r="AA42" i="17"/>
  <c r="N4" i="16"/>
  <c r="AJ4" i="16"/>
  <c r="J4" i="16"/>
  <c r="AB20" i="17"/>
  <c r="F4" i="16"/>
  <c r="AH4" i="16"/>
  <c r="AJ20" i="17"/>
  <c r="AK42" i="17"/>
  <c r="R20" i="17"/>
  <c r="AB4" i="16"/>
  <c r="AP6" i="16"/>
  <c r="AQ6" i="16" s="1"/>
  <c r="J20" i="17"/>
  <c r="AL4" i="16"/>
  <c r="R4" i="16"/>
  <c r="G42" i="17"/>
  <c r="L4" i="16"/>
  <c r="P4" i="16"/>
  <c r="I42" i="17"/>
  <c r="H21" i="17"/>
  <c r="H20" i="17" s="1"/>
  <c r="U42" i="17"/>
  <c r="T21" i="17"/>
  <c r="T20" i="17" s="1"/>
  <c r="Y42" i="17"/>
  <c r="X21" i="17"/>
  <c r="X20" i="17" s="1"/>
  <c r="AG42" i="17"/>
  <c r="AF21" i="17"/>
  <c r="AF20" i="17" s="1"/>
  <c r="V4" i="16"/>
  <c r="N20" i="17"/>
  <c r="O42" i="17"/>
  <c r="K42" i="17"/>
  <c r="E42" i="17"/>
  <c r="D21" i="17"/>
  <c r="AE42" i="17"/>
  <c r="AD21" i="17"/>
  <c r="AD20" i="17" s="1"/>
  <c r="M42" i="17"/>
  <c r="L21" i="17"/>
  <c r="L20" i="17" s="1"/>
  <c r="W42" i="17"/>
  <c r="AC42" i="17"/>
  <c r="S42" i="17"/>
  <c r="AM42" i="17"/>
  <c r="AL21" i="17"/>
  <c r="Q42" i="17"/>
  <c r="P21" i="17"/>
  <c r="P20" i="17" s="1"/>
  <c r="J42" i="17"/>
  <c r="AN22" i="17"/>
  <c r="AO22" i="17" s="1"/>
  <c r="B20" i="17"/>
  <c r="D4" i="16"/>
  <c r="AP5" i="16"/>
  <c r="AQ5" i="16" s="1"/>
  <c r="B20" i="18" l="1"/>
  <c r="AN21" i="18"/>
  <c r="AO21" i="18" s="1"/>
  <c r="AP4" i="16"/>
  <c r="AQ4" i="16" s="1"/>
  <c r="D20" i="17"/>
  <c r="AN20" i="17" s="1"/>
  <c r="AO20" i="17" s="1"/>
  <c r="AN21" i="17"/>
  <c r="AO21" i="17" s="1"/>
  <c r="AN20" i="18" l="1"/>
  <c r="AO20" i="18" s="1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S40" i="15"/>
  <c r="R40" i="15"/>
  <c r="Q40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B13" i="15"/>
  <c r="B12" i="15"/>
  <c r="AO42" i="13"/>
  <c r="AN42" i="13"/>
  <c r="AO41" i="13"/>
  <c r="AN41" i="13"/>
  <c r="AO40" i="13"/>
  <c r="AN40" i="13"/>
  <c r="AO39" i="13"/>
  <c r="AN39" i="13"/>
  <c r="AO38" i="13"/>
  <c r="AN38" i="13"/>
  <c r="AO37" i="13"/>
  <c r="AN37" i="13"/>
  <c r="AO36" i="13"/>
  <c r="AN36" i="13"/>
  <c r="AO35" i="13"/>
  <c r="AN35" i="13"/>
  <c r="AM42" i="13"/>
  <c r="AL42" i="13"/>
  <c r="AM41" i="13"/>
  <c r="AL41" i="13"/>
  <c r="AM40" i="13"/>
  <c r="AL40" i="13"/>
  <c r="AM39" i="13"/>
  <c r="AL39" i="13"/>
  <c r="AM38" i="13"/>
  <c r="AL38" i="13"/>
  <c r="AM37" i="13"/>
  <c r="AL37" i="13"/>
  <c r="AM36" i="13"/>
  <c r="AL36" i="13"/>
  <c r="AM35" i="13"/>
  <c r="AL35" i="13"/>
  <c r="AK42" i="13"/>
  <c r="AJ42" i="13"/>
  <c r="AK41" i="13"/>
  <c r="AJ41" i="13"/>
  <c r="AK40" i="13"/>
  <c r="AJ40" i="13"/>
  <c r="AK39" i="13"/>
  <c r="AJ39" i="13"/>
  <c r="AK38" i="13"/>
  <c r="AJ38" i="13"/>
  <c r="AK37" i="13"/>
  <c r="AJ37" i="13"/>
  <c r="AK36" i="13"/>
  <c r="AJ36" i="13"/>
  <c r="AK35" i="13"/>
  <c r="AJ35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G42" i="13"/>
  <c r="AF42" i="13"/>
  <c r="AG41" i="13"/>
  <c r="AF41" i="13"/>
  <c r="AG40" i="13"/>
  <c r="AF40" i="13"/>
  <c r="AG39" i="13"/>
  <c r="AF39" i="13"/>
  <c r="AG38" i="13"/>
  <c r="AF38" i="13"/>
  <c r="AG37" i="13"/>
  <c r="AF37" i="13"/>
  <c r="AG36" i="13"/>
  <c r="AF36" i="13"/>
  <c r="AG35" i="13"/>
  <c r="AF35" i="13"/>
  <c r="AE42" i="13"/>
  <c r="AD42" i="13"/>
  <c r="AE41" i="13"/>
  <c r="AD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C42" i="13"/>
  <c r="AB42" i="13"/>
  <c r="AC41" i="13"/>
  <c r="AB41" i="13"/>
  <c r="AC40" i="13"/>
  <c r="AB40" i="13"/>
  <c r="AC39" i="13"/>
  <c r="AB39" i="13"/>
  <c r="AC38" i="13"/>
  <c r="AB38" i="13"/>
  <c r="AC37" i="13"/>
  <c r="AB37" i="13"/>
  <c r="AC36" i="13"/>
  <c r="AB36" i="13"/>
  <c r="AC35" i="13"/>
  <c r="AB35" i="13"/>
  <c r="AA42" i="13"/>
  <c r="Z42" i="13"/>
  <c r="AA41" i="13"/>
  <c r="Z41" i="13"/>
  <c r="AA40" i="13"/>
  <c r="Z40" i="13"/>
  <c r="AA39" i="13"/>
  <c r="Z39" i="13"/>
  <c r="AA38" i="13"/>
  <c r="Z38" i="13"/>
  <c r="AA37" i="13"/>
  <c r="Z37" i="13"/>
  <c r="AA36" i="13"/>
  <c r="Z36" i="13"/>
  <c r="AA35" i="13"/>
  <c r="Z35" i="13"/>
  <c r="Y42" i="13"/>
  <c r="X42" i="13"/>
  <c r="Y41" i="13"/>
  <c r="X41" i="13"/>
  <c r="Y40" i="13"/>
  <c r="X40" i="13"/>
  <c r="Y39" i="13"/>
  <c r="X39" i="13"/>
  <c r="Y38" i="13"/>
  <c r="X38" i="13"/>
  <c r="Y37" i="13"/>
  <c r="X37" i="13"/>
  <c r="Y36" i="13"/>
  <c r="X36" i="13"/>
  <c r="Y35" i="13"/>
  <c r="X35" i="13"/>
  <c r="W42" i="13"/>
  <c r="V42" i="13"/>
  <c r="W41" i="13"/>
  <c r="V41" i="13"/>
  <c r="W40" i="13"/>
  <c r="V40" i="13"/>
  <c r="W39" i="13"/>
  <c r="V39" i="13"/>
  <c r="W38" i="13"/>
  <c r="V38" i="13"/>
  <c r="W37" i="13"/>
  <c r="V37" i="13"/>
  <c r="W36" i="13"/>
  <c r="V36" i="13"/>
  <c r="W35" i="13"/>
  <c r="V35" i="13"/>
  <c r="U42" i="13"/>
  <c r="T42" i="13"/>
  <c r="U41" i="13"/>
  <c r="T41" i="13"/>
  <c r="U40" i="13"/>
  <c r="T40" i="13"/>
  <c r="U39" i="13"/>
  <c r="T39" i="13"/>
  <c r="U38" i="13"/>
  <c r="T38" i="13"/>
  <c r="U37" i="13"/>
  <c r="T37" i="13"/>
  <c r="U36" i="13"/>
  <c r="T36" i="13"/>
  <c r="U35" i="13"/>
  <c r="T35" i="13"/>
  <c r="S42" i="13"/>
  <c r="R42" i="13"/>
  <c r="S41" i="13"/>
  <c r="R41" i="13"/>
  <c r="S40" i="13"/>
  <c r="R40" i="13"/>
  <c r="S39" i="13"/>
  <c r="R39" i="13"/>
  <c r="S38" i="13"/>
  <c r="R38" i="13"/>
  <c r="S37" i="13"/>
  <c r="R37" i="13"/>
  <c r="S36" i="13"/>
  <c r="R36" i="13"/>
  <c r="S35" i="13"/>
  <c r="R35" i="13"/>
  <c r="Q42" i="13"/>
  <c r="P42" i="13"/>
  <c r="Q41" i="13"/>
  <c r="P41" i="13"/>
  <c r="Q40" i="13"/>
  <c r="P40" i="13"/>
  <c r="Q39" i="13"/>
  <c r="P39" i="13"/>
  <c r="Q38" i="13"/>
  <c r="P38" i="13"/>
  <c r="Q37" i="13"/>
  <c r="P37" i="13"/>
  <c r="Q36" i="13"/>
  <c r="P36" i="13"/>
  <c r="Q35" i="13"/>
  <c r="P35" i="13"/>
  <c r="O42" i="13"/>
  <c r="N42" i="13"/>
  <c r="O41" i="13"/>
  <c r="N41" i="13"/>
  <c r="O40" i="13"/>
  <c r="N40" i="13"/>
  <c r="O39" i="13"/>
  <c r="N39" i="13"/>
  <c r="O38" i="13"/>
  <c r="N38" i="13"/>
  <c r="O37" i="13"/>
  <c r="N37" i="13"/>
  <c r="O36" i="13"/>
  <c r="N36" i="13"/>
  <c r="O35" i="13"/>
  <c r="N35" i="13"/>
  <c r="M42" i="13"/>
  <c r="L42" i="13"/>
  <c r="M41" i="13"/>
  <c r="L41" i="13"/>
  <c r="M40" i="13"/>
  <c r="L40" i="13"/>
  <c r="M39" i="13"/>
  <c r="L39" i="13"/>
  <c r="M38" i="13"/>
  <c r="L38" i="13"/>
  <c r="M37" i="13"/>
  <c r="L37" i="13"/>
  <c r="M36" i="13"/>
  <c r="L36" i="13"/>
  <c r="M35" i="13"/>
  <c r="L35" i="13"/>
  <c r="K42" i="13"/>
  <c r="J42" i="13"/>
  <c r="K41" i="13"/>
  <c r="J41" i="13"/>
  <c r="K40" i="13"/>
  <c r="J40" i="13"/>
  <c r="K39" i="13"/>
  <c r="J39" i="13"/>
  <c r="K38" i="13"/>
  <c r="J38" i="13"/>
  <c r="K37" i="13"/>
  <c r="J37" i="13"/>
  <c r="K36" i="13"/>
  <c r="J36" i="13"/>
  <c r="K35" i="13"/>
  <c r="J35" i="13"/>
  <c r="I42" i="13"/>
  <c r="H42" i="13"/>
  <c r="I41" i="13"/>
  <c r="H41" i="13"/>
  <c r="I40" i="13"/>
  <c r="H40" i="13"/>
  <c r="I39" i="13"/>
  <c r="H39" i="13"/>
  <c r="I38" i="13"/>
  <c r="H38" i="13"/>
  <c r="I37" i="13"/>
  <c r="H37" i="13"/>
  <c r="I36" i="13"/>
  <c r="H36" i="13"/>
  <c r="I35" i="13"/>
  <c r="H35" i="13"/>
  <c r="G42" i="13"/>
  <c r="F42" i="13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D37" i="13"/>
  <c r="E37" i="13"/>
  <c r="D38" i="13"/>
  <c r="E38" i="13"/>
  <c r="D39" i="13"/>
  <c r="E39" i="13"/>
  <c r="D40" i="13"/>
  <c r="E40" i="13"/>
  <c r="D41" i="13"/>
  <c r="E41" i="13"/>
  <c r="D42" i="13"/>
  <c r="E42" i="13"/>
  <c r="D36" i="13"/>
  <c r="E36" i="13"/>
  <c r="E35" i="13"/>
  <c r="D35" i="13"/>
  <c r="D21" i="13"/>
  <c r="AO30" i="13"/>
  <c r="AN30" i="13"/>
  <c r="AO29" i="13"/>
  <c r="AN29" i="13"/>
  <c r="AO28" i="13"/>
  <c r="AN28" i="13"/>
  <c r="AO27" i="13"/>
  <c r="AN27" i="13"/>
  <c r="AO26" i="13"/>
  <c r="AN26" i="13"/>
  <c r="AO25" i="13"/>
  <c r="AN25" i="13"/>
  <c r="AO24" i="13"/>
  <c r="AN24" i="13"/>
  <c r="AO23" i="13"/>
  <c r="AN23" i="13"/>
  <c r="AO22" i="13"/>
  <c r="AN22" i="13"/>
  <c r="AO21" i="13"/>
  <c r="AN21" i="13"/>
  <c r="AM30" i="13"/>
  <c r="AL30" i="13"/>
  <c r="AM29" i="13"/>
  <c r="AL29" i="13"/>
  <c r="AM28" i="13"/>
  <c r="AL28" i="13"/>
  <c r="AM27" i="13"/>
  <c r="AL27" i="13"/>
  <c r="AM26" i="13"/>
  <c r="AL26" i="13"/>
  <c r="AM25" i="13"/>
  <c r="AL25" i="13"/>
  <c r="AM24" i="13"/>
  <c r="AL24" i="13"/>
  <c r="AM23" i="13"/>
  <c r="AL23" i="13"/>
  <c r="AM22" i="13"/>
  <c r="AL22" i="13"/>
  <c r="AM21" i="13"/>
  <c r="AL21" i="13"/>
  <c r="AK30" i="13"/>
  <c r="AJ30" i="13"/>
  <c r="AK29" i="13"/>
  <c r="AJ29" i="13"/>
  <c r="AK28" i="13"/>
  <c r="AJ28" i="13"/>
  <c r="AK27" i="13"/>
  <c r="AJ27" i="13"/>
  <c r="AK26" i="13"/>
  <c r="AJ26" i="13"/>
  <c r="AK25" i="13"/>
  <c r="AJ25" i="13"/>
  <c r="AK24" i="13"/>
  <c r="AJ24" i="13"/>
  <c r="AK23" i="13"/>
  <c r="AJ23" i="13"/>
  <c r="AK22" i="13"/>
  <c r="AJ22" i="13"/>
  <c r="AK21" i="13"/>
  <c r="AJ21" i="13"/>
  <c r="AI30" i="13"/>
  <c r="AH30" i="13"/>
  <c r="AI29" i="13"/>
  <c r="AH29" i="13"/>
  <c r="AI28" i="13"/>
  <c r="AH28" i="13"/>
  <c r="AI27" i="13"/>
  <c r="AH27" i="13"/>
  <c r="AI26" i="13"/>
  <c r="AH26" i="13"/>
  <c r="AI25" i="13"/>
  <c r="AH25" i="13"/>
  <c r="AI24" i="13"/>
  <c r="AH24" i="13"/>
  <c r="AI23" i="13"/>
  <c r="AH23" i="13"/>
  <c r="AI22" i="13"/>
  <c r="AH22" i="13"/>
  <c r="AI21" i="13"/>
  <c r="AH21" i="13"/>
  <c r="AG30" i="13"/>
  <c r="AF30" i="13"/>
  <c r="AG29" i="13"/>
  <c r="AF29" i="13"/>
  <c r="AG28" i="13"/>
  <c r="AF28" i="13"/>
  <c r="AG27" i="13"/>
  <c r="AF27" i="13"/>
  <c r="AG26" i="13"/>
  <c r="AF26" i="13"/>
  <c r="AG25" i="13"/>
  <c r="AF25" i="13"/>
  <c r="AG24" i="13"/>
  <c r="AF24" i="13"/>
  <c r="AG23" i="13"/>
  <c r="AF23" i="13"/>
  <c r="AG22" i="13"/>
  <c r="AF22" i="13"/>
  <c r="AG21" i="13"/>
  <c r="AF2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C30" i="13"/>
  <c r="AB30" i="13"/>
  <c r="AC29" i="13"/>
  <c r="AB29" i="13"/>
  <c r="AC28" i="13"/>
  <c r="AB28" i="13"/>
  <c r="AC27" i="13"/>
  <c r="AB27" i="13"/>
  <c r="AC26" i="13"/>
  <c r="AB26" i="13"/>
  <c r="AC25" i="13"/>
  <c r="AB25" i="13"/>
  <c r="AC24" i="13"/>
  <c r="AB24" i="13"/>
  <c r="AC23" i="13"/>
  <c r="AB23" i="13"/>
  <c r="AC22" i="13"/>
  <c r="AB22" i="13"/>
  <c r="AC21" i="13"/>
  <c r="AB21" i="13"/>
  <c r="AA30" i="13"/>
  <c r="Z30" i="13"/>
  <c r="AA29" i="13"/>
  <c r="Z29" i="13"/>
  <c r="AA28" i="13"/>
  <c r="Z28" i="13"/>
  <c r="AA27" i="13"/>
  <c r="Z27" i="13"/>
  <c r="AA26" i="13"/>
  <c r="Z26" i="13"/>
  <c r="AA25" i="13"/>
  <c r="Z25" i="13"/>
  <c r="AA24" i="13"/>
  <c r="Z24" i="13"/>
  <c r="AA23" i="13"/>
  <c r="Z23" i="13"/>
  <c r="AA22" i="13"/>
  <c r="Z22" i="13"/>
  <c r="AA21" i="13"/>
  <c r="Z21" i="13"/>
  <c r="Y30" i="13"/>
  <c r="X30" i="13"/>
  <c r="Y29" i="13"/>
  <c r="X29" i="13"/>
  <c r="Y28" i="13"/>
  <c r="X28" i="13"/>
  <c r="Y27" i="13"/>
  <c r="X27" i="13"/>
  <c r="Y26" i="13"/>
  <c r="X26" i="13"/>
  <c r="Y25" i="13"/>
  <c r="X25" i="13"/>
  <c r="Y24" i="13"/>
  <c r="X24" i="13"/>
  <c r="Y23" i="13"/>
  <c r="X23" i="13"/>
  <c r="Y22" i="13"/>
  <c r="X22" i="13"/>
  <c r="Y21" i="13"/>
  <c r="X21" i="13"/>
  <c r="W30" i="13"/>
  <c r="V30" i="13"/>
  <c r="W29" i="13"/>
  <c r="V29" i="13"/>
  <c r="W28" i="13"/>
  <c r="V28" i="13"/>
  <c r="W27" i="13"/>
  <c r="V27" i="13"/>
  <c r="W26" i="13"/>
  <c r="V26" i="13"/>
  <c r="W25" i="13"/>
  <c r="V25" i="13"/>
  <c r="W24" i="13"/>
  <c r="V24" i="13"/>
  <c r="W23" i="13"/>
  <c r="V23" i="13"/>
  <c r="W22" i="13"/>
  <c r="V22" i="13"/>
  <c r="W21" i="13"/>
  <c r="U30" i="13"/>
  <c r="T30" i="13"/>
  <c r="U29" i="13"/>
  <c r="T29" i="13"/>
  <c r="U28" i="13"/>
  <c r="T28" i="13"/>
  <c r="U27" i="13"/>
  <c r="T27" i="13"/>
  <c r="U26" i="13"/>
  <c r="T26" i="13"/>
  <c r="U25" i="13"/>
  <c r="T25" i="13"/>
  <c r="U24" i="13"/>
  <c r="T24" i="13"/>
  <c r="U23" i="13"/>
  <c r="T23" i="13"/>
  <c r="U22" i="13"/>
  <c r="T22" i="13"/>
  <c r="U21" i="13"/>
  <c r="T21" i="13"/>
  <c r="S30" i="13"/>
  <c r="R30" i="13"/>
  <c r="S29" i="13"/>
  <c r="R29" i="13"/>
  <c r="S28" i="13"/>
  <c r="R28" i="13"/>
  <c r="S27" i="13"/>
  <c r="R27" i="13"/>
  <c r="S26" i="13"/>
  <c r="R26" i="13"/>
  <c r="S25" i="13"/>
  <c r="R25" i="13"/>
  <c r="S24" i="13"/>
  <c r="R24" i="13"/>
  <c r="S23" i="13"/>
  <c r="R23" i="13"/>
  <c r="S22" i="13"/>
  <c r="R22" i="13"/>
  <c r="S21" i="13"/>
  <c r="R21" i="13"/>
  <c r="Q30" i="13"/>
  <c r="P30" i="13"/>
  <c r="Q29" i="13"/>
  <c r="P29" i="13"/>
  <c r="Q28" i="13"/>
  <c r="P28" i="13"/>
  <c r="Q27" i="13"/>
  <c r="P27" i="13"/>
  <c r="Q26" i="13"/>
  <c r="P26" i="13"/>
  <c r="Q25" i="13"/>
  <c r="P25" i="13"/>
  <c r="Q24" i="13"/>
  <c r="P24" i="13"/>
  <c r="Q23" i="13"/>
  <c r="P23" i="13"/>
  <c r="Q22" i="13"/>
  <c r="P22" i="13"/>
  <c r="Q21" i="13"/>
  <c r="P21" i="13"/>
  <c r="O30" i="13"/>
  <c r="N30" i="13"/>
  <c r="O29" i="13"/>
  <c r="N29" i="13"/>
  <c r="O28" i="13"/>
  <c r="N28" i="13"/>
  <c r="O27" i="13"/>
  <c r="N27" i="13"/>
  <c r="O26" i="13"/>
  <c r="N26" i="13"/>
  <c r="O25" i="13"/>
  <c r="N25" i="13"/>
  <c r="O24" i="13"/>
  <c r="N24" i="13"/>
  <c r="O23" i="13"/>
  <c r="N23" i="13"/>
  <c r="O22" i="13"/>
  <c r="N22" i="13"/>
  <c r="O21" i="13"/>
  <c r="N21" i="13"/>
  <c r="M30" i="13"/>
  <c r="L30" i="13"/>
  <c r="M29" i="13"/>
  <c r="L29" i="13"/>
  <c r="M28" i="13"/>
  <c r="L28" i="13"/>
  <c r="M27" i="13"/>
  <c r="L27" i="13"/>
  <c r="M26" i="13"/>
  <c r="L26" i="13"/>
  <c r="M25" i="13"/>
  <c r="L25" i="13"/>
  <c r="M24" i="13"/>
  <c r="L24" i="13"/>
  <c r="M23" i="13"/>
  <c r="L23" i="13"/>
  <c r="M22" i="13"/>
  <c r="L22" i="13"/>
  <c r="M21" i="13"/>
  <c r="L21" i="13"/>
  <c r="K30" i="13"/>
  <c r="J30" i="13"/>
  <c r="K29" i="13"/>
  <c r="J29" i="13"/>
  <c r="K28" i="13"/>
  <c r="J28" i="13"/>
  <c r="K27" i="13"/>
  <c r="J27" i="13"/>
  <c r="K26" i="13"/>
  <c r="J26" i="13"/>
  <c r="K25" i="13"/>
  <c r="J25" i="13"/>
  <c r="K24" i="13"/>
  <c r="J24" i="13"/>
  <c r="K23" i="13"/>
  <c r="J23" i="13"/>
  <c r="K22" i="13"/>
  <c r="J22" i="13"/>
  <c r="K21" i="13"/>
  <c r="J21" i="13"/>
  <c r="I30" i="13"/>
  <c r="H30" i="13"/>
  <c r="I29" i="13"/>
  <c r="H29" i="13"/>
  <c r="I28" i="13"/>
  <c r="H28" i="13"/>
  <c r="I27" i="13"/>
  <c r="H27" i="13"/>
  <c r="I26" i="13"/>
  <c r="H26" i="13"/>
  <c r="I25" i="13"/>
  <c r="H25" i="13"/>
  <c r="I24" i="13"/>
  <c r="H24" i="13"/>
  <c r="I23" i="13"/>
  <c r="H23" i="13"/>
  <c r="I22" i="13"/>
  <c r="H22" i="13"/>
  <c r="I21" i="13"/>
  <c r="H2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E29" i="13"/>
  <c r="E30" i="13"/>
  <c r="E28" i="13"/>
  <c r="E22" i="13"/>
  <c r="E23" i="13"/>
  <c r="E24" i="13"/>
  <c r="E25" i="13"/>
  <c r="E26" i="13"/>
  <c r="E27" i="13"/>
  <c r="E21" i="13"/>
  <c r="D22" i="13"/>
  <c r="D23" i="13"/>
  <c r="D24" i="13"/>
  <c r="D25" i="13"/>
  <c r="D26" i="13"/>
  <c r="D27" i="13"/>
  <c r="D28" i="13"/>
  <c r="D29" i="13"/>
  <c r="D30" i="13"/>
  <c r="B13" i="13"/>
  <c r="B12" i="13"/>
  <c r="G38" i="15" l="1"/>
  <c r="G13" i="15" s="1"/>
  <c r="E35" i="18" s="1"/>
  <c r="D16" i="18" s="1"/>
  <c r="O38" i="15"/>
  <c r="O13" i="15" s="1"/>
  <c r="M35" i="18" s="1"/>
  <c r="L16" i="18" s="1"/>
  <c r="W38" i="15"/>
  <c r="W13" i="15" s="1"/>
  <c r="U35" i="18" s="1"/>
  <c r="T16" i="18" s="1"/>
  <c r="AE38" i="15"/>
  <c r="AE13" i="15" s="1"/>
  <c r="AC35" i="18" s="1"/>
  <c r="AB16" i="18" s="1"/>
  <c r="AM38" i="15"/>
  <c r="AM13" i="15" s="1"/>
  <c r="AK35" i="18" s="1"/>
  <c r="AJ16" i="18" s="1"/>
  <c r="I38" i="15"/>
  <c r="I13" i="15" s="1"/>
  <c r="G35" i="18" s="1"/>
  <c r="F16" i="18" s="1"/>
  <c r="Y38" i="15"/>
  <c r="Y13" i="15" s="1"/>
  <c r="W35" i="18" s="1"/>
  <c r="V16" i="18" s="1"/>
  <c r="AG38" i="15"/>
  <c r="AG13" i="15" s="1"/>
  <c r="AE35" i="18" s="1"/>
  <c r="AD16" i="18" s="1"/>
  <c r="AO38" i="15"/>
  <c r="AO13" i="15" s="1"/>
  <c r="E38" i="15"/>
  <c r="E13" i="15" s="1"/>
  <c r="C35" i="18" s="1"/>
  <c r="B16" i="18" s="1"/>
  <c r="M38" i="15"/>
  <c r="M13" i="15" s="1"/>
  <c r="K35" i="18" s="1"/>
  <c r="J16" i="18" s="1"/>
  <c r="U38" i="15"/>
  <c r="U13" i="15" s="1"/>
  <c r="S35" i="18" s="1"/>
  <c r="R16" i="18" s="1"/>
  <c r="AC38" i="15"/>
  <c r="AC13" i="15" s="1"/>
  <c r="AA35" i="18" s="1"/>
  <c r="Z16" i="18" s="1"/>
  <c r="AK38" i="15"/>
  <c r="AK13" i="15" s="1"/>
  <c r="AI35" i="18" s="1"/>
  <c r="AH16" i="18" s="1"/>
  <c r="T20" i="15"/>
  <c r="T12" i="15" s="1"/>
  <c r="AH38" i="15"/>
  <c r="AH13" i="15" s="1"/>
  <c r="F38" i="15"/>
  <c r="F13" i="15" s="1"/>
  <c r="N38" i="15"/>
  <c r="N13" i="15" s="1"/>
  <c r="V38" i="15"/>
  <c r="V13" i="15" s="1"/>
  <c r="AD38" i="15"/>
  <c r="AD13" i="15" s="1"/>
  <c r="AL38" i="15"/>
  <c r="AL13" i="15" s="1"/>
  <c r="Q38" i="15"/>
  <c r="Q13" i="15" s="1"/>
  <c r="O35" i="18" s="1"/>
  <c r="N16" i="18" s="1"/>
  <c r="J38" i="15"/>
  <c r="J13" i="15" s="1"/>
  <c r="R38" i="15"/>
  <c r="R13" i="15" s="1"/>
  <c r="Z38" i="15"/>
  <c r="Z13" i="15" s="1"/>
  <c r="D38" i="15"/>
  <c r="D13" i="15" s="1"/>
  <c r="L38" i="15"/>
  <c r="L13" i="15" s="1"/>
  <c r="T38" i="15"/>
  <c r="T13" i="15" s="1"/>
  <c r="AB38" i="15"/>
  <c r="AB13" i="15" s="1"/>
  <c r="AJ38" i="15"/>
  <c r="AJ13" i="15" s="1"/>
  <c r="Q20" i="15"/>
  <c r="Q12" i="15" s="1"/>
  <c r="O34" i="18" s="1"/>
  <c r="Y20" i="15"/>
  <c r="Y12" i="15" s="1"/>
  <c r="W34" i="18" s="1"/>
  <c r="AG20" i="15"/>
  <c r="AG12" i="15" s="1"/>
  <c r="AE34" i="18" s="1"/>
  <c r="M20" i="15"/>
  <c r="M12" i="15" s="1"/>
  <c r="K34" i="18" s="1"/>
  <c r="U20" i="15"/>
  <c r="U12" i="15" s="1"/>
  <c r="AC20" i="15"/>
  <c r="AC12" i="15" s="1"/>
  <c r="AA34" i="18" s="1"/>
  <c r="AK20" i="15"/>
  <c r="AK12" i="15" s="1"/>
  <c r="AI34" i="18" s="1"/>
  <c r="I20" i="15"/>
  <c r="I12" i="15" s="1"/>
  <c r="AO20" i="15"/>
  <c r="AO12" i="15" s="1"/>
  <c r="AM34" i="18" s="1"/>
  <c r="S20" i="15"/>
  <c r="S12" i="15" s="1"/>
  <c r="Q34" i="18" s="1"/>
  <c r="P15" i="18" s="1"/>
  <c r="H38" i="15"/>
  <c r="H13" i="15" s="1"/>
  <c r="H20" i="15"/>
  <c r="H12" i="15" s="1"/>
  <c r="P20" i="15"/>
  <c r="P12" i="15" s="1"/>
  <c r="AF20" i="15"/>
  <c r="AF12" i="15" s="1"/>
  <c r="AN20" i="15"/>
  <c r="AN12" i="15" s="1"/>
  <c r="K38" i="15"/>
  <c r="K13" i="15" s="1"/>
  <c r="I35" i="18" s="1"/>
  <c r="S38" i="15"/>
  <c r="S13" i="15" s="1"/>
  <c r="Q35" i="18" s="1"/>
  <c r="AA38" i="15"/>
  <c r="AA13" i="15" s="1"/>
  <c r="Y35" i="18" s="1"/>
  <c r="AI38" i="15"/>
  <c r="AI13" i="15" s="1"/>
  <c r="AG35" i="18" s="1"/>
  <c r="K20" i="15"/>
  <c r="K12" i="15" s="1"/>
  <c r="I34" i="18" s="1"/>
  <c r="H15" i="18" s="1"/>
  <c r="AA20" i="15"/>
  <c r="AA12" i="15" s="1"/>
  <c r="Y34" i="18" s="1"/>
  <c r="X15" i="18" s="1"/>
  <c r="AI20" i="15"/>
  <c r="AI12" i="15" s="1"/>
  <c r="AG34" i="18" s="1"/>
  <c r="AF15" i="18" s="1"/>
  <c r="P38" i="15"/>
  <c r="P13" i="15" s="1"/>
  <c r="X38" i="15"/>
  <c r="X13" i="15" s="1"/>
  <c r="AF38" i="15"/>
  <c r="AF13" i="15" s="1"/>
  <c r="AN38" i="15"/>
  <c r="AN13" i="15" s="1"/>
  <c r="AB20" i="15"/>
  <c r="AB12" i="15" s="1"/>
  <c r="AJ20" i="15"/>
  <c r="AJ12" i="15" s="1"/>
  <c r="X20" i="15"/>
  <c r="X12" i="15" s="1"/>
  <c r="D20" i="15"/>
  <c r="D12" i="15" s="1"/>
  <c r="L20" i="15"/>
  <c r="L12" i="15" s="1"/>
  <c r="E20" i="15"/>
  <c r="E12" i="15" s="1"/>
  <c r="C34" i="18" s="1"/>
  <c r="F20" i="15"/>
  <c r="F12" i="15" s="1"/>
  <c r="N20" i="15"/>
  <c r="N12" i="15" s="1"/>
  <c r="V20" i="15"/>
  <c r="V12" i="15" s="1"/>
  <c r="AD20" i="15"/>
  <c r="AD12" i="15" s="1"/>
  <c r="AL20" i="15"/>
  <c r="AL12" i="15" s="1"/>
  <c r="J20" i="15"/>
  <c r="J12" i="15" s="1"/>
  <c r="R20" i="15"/>
  <c r="R12" i="15" s="1"/>
  <c r="Z20" i="15"/>
  <c r="Z12" i="15" s="1"/>
  <c r="AH20" i="15"/>
  <c r="AH12" i="15" s="1"/>
  <c r="G20" i="15"/>
  <c r="G12" i="15" s="1"/>
  <c r="O20" i="15"/>
  <c r="O12" i="15" s="1"/>
  <c r="M34" i="18" s="1"/>
  <c r="W20" i="15"/>
  <c r="W12" i="15" s="1"/>
  <c r="U34" i="18" s="1"/>
  <c r="AE20" i="15"/>
  <c r="AE12" i="15" s="1"/>
  <c r="AC34" i="18" s="1"/>
  <c r="AM20" i="15"/>
  <c r="AM12" i="15" s="1"/>
  <c r="AK34" i="18" s="1"/>
  <c r="D34" i="13"/>
  <c r="F34" i="13"/>
  <c r="E34" i="13"/>
  <c r="G34" i="13"/>
  <c r="D167" i="12"/>
  <c r="D166" i="12"/>
  <c r="D165" i="12"/>
  <c r="D164" i="12"/>
  <c r="B23" i="12"/>
  <c r="B21" i="12"/>
  <c r="B20" i="12"/>
  <c r="B19" i="12"/>
  <c r="B18" i="12"/>
  <c r="B17" i="12"/>
  <c r="C4" i="12"/>
  <c r="AF34" i="17" l="1"/>
  <c r="AF34" i="18"/>
  <c r="AL15" i="18"/>
  <c r="X34" i="17"/>
  <c r="X34" i="18"/>
  <c r="E34" i="17"/>
  <c r="D15" i="17" s="1"/>
  <c r="E34" i="18"/>
  <c r="Y36" i="18"/>
  <c r="X16" i="18"/>
  <c r="X14" i="18" s="1"/>
  <c r="I36" i="18"/>
  <c r="H16" i="18"/>
  <c r="H14" i="18" s="1"/>
  <c r="AH35" i="17"/>
  <c r="AH35" i="18"/>
  <c r="N35" i="17"/>
  <c r="N35" i="18"/>
  <c r="AK36" i="18"/>
  <c r="AJ15" i="18"/>
  <c r="AJ14" i="18" s="1"/>
  <c r="H34" i="17"/>
  <c r="H34" i="18"/>
  <c r="B34" i="17"/>
  <c r="B34" i="18"/>
  <c r="AD34" i="17"/>
  <c r="AD34" i="18"/>
  <c r="Z15" i="18"/>
  <c r="Z14" i="18" s="1"/>
  <c r="AA36" i="18"/>
  <c r="R35" i="17"/>
  <c r="R35" i="18"/>
  <c r="AB35" i="17"/>
  <c r="AB35" i="18"/>
  <c r="AL35" i="17"/>
  <c r="AL35" i="18"/>
  <c r="P35" i="17"/>
  <c r="P35" i="18"/>
  <c r="D34" i="17"/>
  <c r="D34" i="18"/>
  <c r="O36" i="18"/>
  <c r="N15" i="18"/>
  <c r="N14" i="18" s="1"/>
  <c r="R34" i="17"/>
  <c r="R34" i="18"/>
  <c r="H5" i="15"/>
  <c r="G34" i="18"/>
  <c r="AC36" i="18"/>
  <c r="AB15" i="18"/>
  <c r="AB14" i="18" s="1"/>
  <c r="AJ34" i="17"/>
  <c r="AJ34" i="18"/>
  <c r="V34" i="17"/>
  <c r="V34" i="18"/>
  <c r="N34" i="17"/>
  <c r="N34" i="18"/>
  <c r="S34" i="17"/>
  <c r="R15" i="17" s="1"/>
  <c r="S34" i="18"/>
  <c r="J35" i="17"/>
  <c r="J35" i="18"/>
  <c r="T35" i="17"/>
  <c r="T35" i="18"/>
  <c r="L34" i="17"/>
  <c r="L34" i="18"/>
  <c r="Q36" i="18"/>
  <c r="P16" i="18"/>
  <c r="V35" i="17"/>
  <c r="V35" i="18"/>
  <c r="P34" i="17"/>
  <c r="P34" i="18"/>
  <c r="J34" i="17"/>
  <c r="J34" i="18"/>
  <c r="AL34" i="17"/>
  <c r="AL34" i="18"/>
  <c r="AJ35" i="17"/>
  <c r="AJ35" i="18"/>
  <c r="U36" i="18"/>
  <c r="T15" i="18"/>
  <c r="T14" i="18" s="1"/>
  <c r="AB34" i="17"/>
  <c r="AB34" i="18"/>
  <c r="AH34" i="17"/>
  <c r="AH34" i="18"/>
  <c r="F34" i="17"/>
  <c r="F34" i="18"/>
  <c r="K36" i="18"/>
  <c r="J15" i="18"/>
  <c r="J14" i="18" s="1"/>
  <c r="B35" i="17"/>
  <c r="B35" i="18"/>
  <c r="L35" i="17"/>
  <c r="L35" i="18"/>
  <c r="W36" i="18"/>
  <c r="V15" i="18"/>
  <c r="V14" i="18" s="1"/>
  <c r="AF35" i="17"/>
  <c r="AF35" i="18"/>
  <c r="AD35" i="17"/>
  <c r="AD35" i="18"/>
  <c r="H35" i="17"/>
  <c r="H36" i="17" s="1"/>
  <c r="H35" i="18"/>
  <c r="B15" i="18"/>
  <c r="C36" i="18"/>
  <c r="AH15" i="18"/>
  <c r="AH14" i="18" s="1"/>
  <c r="AI36" i="18"/>
  <c r="Z35" i="17"/>
  <c r="Z35" i="18"/>
  <c r="M36" i="18"/>
  <c r="L15" i="18"/>
  <c r="L14" i="18" s="1"/>
  <c r="T34" i="17"/>
  <c r="T34" i="18"/>
  <c r="Z34" i="17"/>
  <c r="Z34" i="18"/>
  <c r="AG36" i="18"/>
  <c r="AF16" i="18"/>
  <c r="AF14" i="18" s="1"/>
  <c r="F35" i="17"/>
  <c r="F35" i="18"/>
  <c r="AE36" i="18"/>
  <c r="AD15" i="18"/>
  <c r="AD14" i="18" s="1"/>
  <c r="X35" i="17"/>
  <c r="X35" i="18"/>
  <c r="D35" i="17"/>
  <c r="D35" i="18"/>
  <c r="AM35" i="17"/>
  <c r="AL16" i="17" s="1"/>
  <c r="AM35" i="18"/>
  <c r="AL16" i="18" s="1"/>
  <c r="Z6" i="15"/>
  <c r="Y35" i="17"/>
  <c r="X16" i="17" s="1"/>
  <c r="AF6" i="15"/>
  <c r="AE35" i="17"/>
  <c r="AD16" i="17" s="1"/>
  <c r="R6" i="15"/>
  <c r="Q35" i="17"/>
  <c r="P16" i="17" s="1"/>
  <c r="X5" i="15"/>
  <c r="W34" i="17"/>
  <c r="AN5" i="15"/>
  <c r="AM34" i="17"/>
  <c r="P5" i="15"/>
  <c r="O34" i="17"/>
  <c r="X6" i="15"/>
  <c r="W35" i="17"/>
  <c r="V16" i="17" s="1"/>
  <c r="D5" i="15"/>
  <c r="C34" i="17"/>
  <c r="J6" i="15"/>
  <c r="I35" i="17"/>
  <c r="H16" i="17" s="1"/>
  <c r="I14" i="15"/>
  <c r="G34" i="17"/>
  <c r="P6" i="15"/>
  <c r="O35" i="17"/>
  <c r="N16" i="17" s="1"/>
  <c r="AJ6" i="15"/>
  <c r="AI35" i="17"/>
  <c r="AH16" i="17" s="1"/>
  <c r="H6" i="15"/>
  <c r="G35" i="17"/>
  <c r="F16" i="17" s="1"/>
  <c r="R5" i="15"/>
  <c r="Q34" i="17"/>
  <c r="AL5" i="15"/>
  <c r="AK34" i="17"/>
  <c r="AJ5" i="15"/>
  <c r="AI34" i="17"/>
  <c r="AB6" i="15"/>
  <c r="AA35" i="17"/>
  <c r="Z16" i="17" s="1"/>
  <c r="AL6" i="15"/>
  <c r="AK35" i="17"/>
  <c r="AJ16" i="17" s="1"/>
  <c r="AD5" i="15"/>
  <c r="AC34" i="17"/>
  <c r="AH5" i="15"/>
  <c r="AG34" i="17"/>
  <c r="AB5" i="15"/>
  <c r="AA34" i="17"/>
  <c r="T6" i="15"/>
  <c r="S35" i="17"/>
  <c r="R16" i="17" s="1"/>
  <c r="AD6" i="15"/>
  <c r="AC35" i="17"/>
  <c r="AB16" i="17" s="1"/>
  <c r="Z5" i="15"/>
  <c r="Y34" i="17"/>
  <c r="L6" i="15"/>
  <c r="K35" i="17"/>
  <c r="J16" i="17" s="1"/>
  <c r="V6" i="15"/>
  <c r="U35" i="17"/>
  <c r="T16" i="17" s="1"/>
  <c r="N5" i="15"/>
  <c r="M34" i="17"/>
  <c r="J5" i="15"/>
  <c r="I34" i="17"/>
  <c r="L5" i="15"/>
  <c r="K34" i="17"/>
  <c r="D6" i="15"/>
  <c r="C35" i="17"/>
  <c r="B16" i="17" s="1"/>
  <c r="N6" i="15"/>
  <c r="M35" i="17"/>
  <c r="L16" i="17" s="1"/>
  <c r="W14" i="15"/>
  <c r="U34" i="17"/>
  <c r="AH6" i="15"/>
  <c r="AG35" i="17"/>
  <c r="AF16" i="17" s="1"/>
  <c r="AF5" i="15"/>
  <c r="AE34" i="17"/>
  <c r="F6" i="15"/>
  <c r="E35" i="17"/>
  <c r="D16" i="17" s="1"/>
  <c r="AJ11" i="15"/>
  <c r="D14" i="15"/>
  <c r="U14" i="15"/>
  <c r="AJ14" i="15"/>
  <c r="T5" i="15"/>
  <c r="M14" i="15"/>
  <c r="X14" i="15"/>
  <c r="L11" i="15"/>
  <c r="P11" i="15"/>
  <c r="V11" i="15"/>
  <c r="AC14" i="15"/>
  <c r="F14" i="15"/>
  <c r="T11" i="15"/>
  <c r="AL11" i="15"/>
  <c r="AD14" i="15"/>
  <c r="T14" i="15"/>
  <c r="AB14" i="15"/>
  <c r="H11" i="15"/>
  <c r="Z11" i="15"/>
  <c r="AB11" i="15"/>
  <c r="G14" i="15"/>
  <c r="H14" i="15"/>
  <c r="D11" i="15"/>
  <c r="N14" i="15"/>
  <c r="AH11" i="15"/>
  <c r="AG14" i="15"/>
  <c r="AA14" i="15"/>
  <c r="AN14" i="15"/>
  <c r="K14" i="15"/>
  <c r="AL14" i="15"/>
  <c r="AK14" i="15"/>
  <c r="Y14" i="15"/>
  <c r="AE14" i="15"/>
  <c r="R11" i="15"/>
  <c r="J11" i="15"/>
  <c r="L14" i="15"/>
  <c r="AO14" i="15"/>
  <c r="AF11" i="15"/>
  <c r="AN11" i="15"/>
  <c r="E14" i="15"/>
  <c r="X11" i="15"/>
  <c r="P14" i="15"/>
  <c r="Z14" i="15"/>
  <c r="Q14" i="15"/>
  <c r="S14" i="15"/>
  <c r="AF14" i="15"/>
  <c r="AI14" i="15"/>
  <c r="AM14" i="15"/>
  <c r="AH14" i="15"/>
  <c r="N11" i="15"/>
  <c r="F11" i="15"/>
  <c r="F5" i="15"/>
  <c r="V5" i="15"/>
  <c r="AD11" i="15"/>
  <c r="O14" i="15"/>
  <c r="V14" i="15"/>
  <c r="R14" i="15"/>
  <c r="J14" i="15"/>
  <c r="D163" i="12"/>
  <c r="D162" i="12"/>
  <c r="AF36" i="18" l="1"/>
  <c r="R36" i="17"/>
  <c r="AH36" i="17"/>
  <c r="X36" i="18"/>
  <c r="V36" i="17"/>
  <c r="B36" i="17"/>
  <c r="AB36" i="17"/>
  <c r="H4" i="15"/>
  <c r="Z36" i="17"/>
  <c r="AF36" i="17"/>
  <c r="AD36" i="17"/>
  <c r="N36" i="17"/>
  <c r="L36" i="17"/>
  <c r="F36" i="17"/>
  <c r="T36" i="17"/>
  <c r="D36" i="17"/>
  <c r="AH36" i="18"/>
  <c r="T36" i="18"/>
  <c r="AL36" i="17"/>
  <c r="V36" i="18"/>
  <c r="AJ36" i="17"/>
  <c r="AL36" i="18"/>
  <c r="AN16" i="18"/>
  <c r="AO16" i="18" s="1"/>
  <c r="X36" i="17"/>
  <c r="AJ36" i="18"/>
  <c r="J36" i="18"/>
  <c r="P36" i="18"/>
  <c r="J36" i="17"/>
  <c r="P36" i="17"/>
  <c r="AB36" i="18"/>
  <c r="D36" i="18"/>
  <c r="L36" i="18"/>
  <c r="B14" i="18"/>
  <c r="R36" i="18"/>
  <c r="P14" i="18"/>
  <c r="AM36" i="18"/>
  <c r="N36" i="18"/>
  <c r="G36" i="18"/>
  <c r="F15" i="18"/>
  <c r="F14" i="18" s="1"/>
  <c r="H36" i="18"/>
  <c r="F36" i="18"/>
  <c r="E36" i="18"/>
  <c r="D15" i="18"/>
  <c r="D14" i="18" s="1"/>
  <c r="R15" i="18"/>
  <c r="R14" i="18" s="1"/>
  <c r="S36" i="18"/>
  <c r="Z36" i="18"/>
  <c r="B36" i="18"/>
  <c r="AD36" i="18"/>
  <c r="T4" i="15"/>
  <c r="R4" i="15"/>
  <c r="E36" i="17"/>
  <c r="V4" i="15"/>
  <c r="J4" i="15"/>
  <c r="X4" i="15"/>
  <c r="F4" i="15"/>
  <c r="AF4" i="15"/>
  <c r="AH4" i="15"/>
  <c r="AB4" i="15"/>
  <c r="AL4" i="15"/>
  <c r="S36" i="17"/>
  <c r="AP6" i="15"/>
  <c r="AQ6" i="15" s="1"/>
  <c r="N4" i="15"/>
  <c r="Z4" i="15"/>
  <c r="L4" i="15"/>
  <c r="AJ4" i="15"/>
  <c r="AJ15" i="17"/>
  <c r="AJ14" i="17" s="1"/>
  <c r="AK36" i="17"/>
  <c r="V15" i="17"/>
  <c r="V14" i="17" s="1"/>
  <c r="W36" i="17"/>
  <c r="J15" i="17"/>
  <c r="J14" i="17" s="1"/>
  <c r="K36" i="17"/>
  <c r="AH15" i="17"/>
  <c r="AH14" i="17" s="1"/>
  <c r="AI36" i="17"/>
  <c r="P4" i="15"/>
  <c r="L15" i="17"/>
  <c r="L14" i="17" s="1"/>
  <c r="M36" i="17"/>
  <c r="F15" i="17"/>
  <c r="F14" i="17" s="1"/>
  <c r="G36" i="17"/>
  <c r="AL15" i="17"/>
  <c r="AM36" i="17"/>
  <c r="Z15" i="17"/>
  <c r="Z14" i="17" s="1"/>
  <c r="AA36" i="17"/>
  <c r="AF15" i="17"/>
  <c r="AF14" i="17" s="1"/>
  <c r="AG36" i="17"/>
  <c r="D4" i="15"/>
  <c r="AD15" i="17"/>
  <c r="AD14" i="17" s="1"/>
  <c r="AE36" i="17"/>
  <c r="T15" i="17"/>
  <c r="T14" i="17" s="1"/>
  <c r="U36" i="17"/>
  <c r="I36" i="17"/>
  <c r="H15" i="17"/>
  <c r="H14" i="17" s="1"/>
  <c r="R14" i="17"/>
  <c r="AB15" i="17"/>
  <c r="AB14" i="17" s="1"/>
  <c r="AC36" i="17"/>
  <c r="B15" i="17"/>
  <c r="C36" i="17"/>
  <c r="AN16" i="17"/>
  <c r="AO16" i="17" s="1"/>
  <c r="X15" i="17"/>
  <c r="X14" i="17" s="1"/>
  <c r="Y36" i="17"/>
  <c r="P15" i="17"/>
  <c r="P14" i="17" s="1"/>
  <c r="Q36" i="17"/>
  <c r="D14" i="17"/>
  <c r="N15" i="17"/>
  <c r="N14" i="17" s="1"/>
  <c r="O36" i="17"/>
  <c r="AD4" i="15"/>
  <c r="AP5" i="15"/>
  <c r="AQ5" i="15" s="1"/>
  <c r="J138" i="12"/>
  <c r="R138" i="12"/>
  <c r="H139" i="12"/>
  <c r="P139" i="12"/>
  <c r="F140" i="12"/>
  <c r="N140" i="12"/>
  <c r="V140" i="12"/>
  <c r="L141" i="12"/>
  <c r="T141" i="12"/>
  <c r="J142" i="12"/>
  <c r="R142" i="12"/>
  <c r="H143" i="12"/>
  <c r="P143" i="12"/>
  <c r="F144" i="12"/>
  <c r="N144" i="12"/>
  <c r="V144" i="12"/>
  <c r="L145" i="12"/>
  <c r="T145" i="12"/>
  <c r="J146" i="12"/>
  <c r="R146" i="12"/>
  <c r="H147" i="12"/>
  <c r="P147" i="12"/>
  <c r="F148" i="12"/>
  <c r="N148" i="12"/>
  <c r="V148" i="12"/>
  <c r="L149" i="12"/>
  <c r="T149" i="12"/>
  <c r="J150" i="12"/>
  <c r="R150" i="12"/>
  <c r="H151" i="12"/>
  <c r="P151" i="12"/>
  <c r="F152" i="12"/>
  <c r="N152" i="12"/>
  <c r="V152" i="12"/>
  <c r="L153" i="12"/>
  <c r="T153" i="12"/>
  <c r="J154" i="12"/>
  <c r="R154" i="12"/>
  <c r="H155" i="12"/>
  <c r="P155" i="12"/>
  <c r="F156" i="12"/>
  <c r="N156" i="12"/>
  <c r="V156" i="12"/>
  <c r="L157" i="12"/>
  <c r="T157" i="12"/>
  <c r="J158" i="12"/>
  <c r="R158" i="12"/>
  <c r="D145" i="12"/>
  <c r="D153" i="12"/>
  <c r="D139" i="12"/>
  <c r="K126" i="12"/>
  <c r="S126" i="12"/>
  <c r="I127" i="12"/>
  <c r="Q127" i="12"/>
  <c r="G128" i="12"/>
  <c r="O128" i="12"/>
  <c r="E129" i="12"/>
  <c r="M129" i="12"/>
  <c r="U129" i="12"/>
  <c r="K130" i="12"/>
  <c r="S130" i="12"/>
  <c r="I131" i="12"/>
  <c r="K138" i="12"/>
  <c r="S138" i="12"/>
  <c r="I139" i="12"/>
  <c r="Q139" i="12"/>
  <c r="G140" i="12"/>
  <c r="O140" i="12"/>
  <c r="E141" i="12"/>
  <c r="M141" i="12"/>
  <c r="U141" i="12"/>
  <c r="K142" i="12"/>
  <c r="S142" i="12"/>
  <c r="I143" i="12"/>
  <c r="Q143" i="12"/>
  <c r="G144" i="12"/>
  <c r="O144" i="12"/>
  <c r="E145" i="12"/>
  <c r="M145" i="12"/>
  <c r="U145" i="12"/>
  <c r="K146" i="12"/>
  <c r="S146" i="12"/>
  <c r="I147" i="12"/>
  <c r="Q147" i="12"/>
  <c r="G148" i="12"/>
  <c r="O148" i="12"/>
  <c r="E149" i="12"/>
  <c r="M149" i="12"/>
  <c r="U149" i="12"/>
  <c r="K150" i="12"/>
  <c r="S150" i="12"/>
  <c r="I151" i="12"/>
  <c r="Q151" i="12"/>
  <c r="G152" i="12"/>
  <c r="O152" i="12"/>
  <c r="E153" i="12"/>
  <c r="M153" i="12"/>
  <c r="U153" i="12"/>
  <c r="K154" i="12"/>
  <c r="S154" i="12"/>
  <c r="I155" i="12"/>
  <c r="Q155" i="12"/>
  <c r="G156" i="12"/>
  <c r="O156" i="12"/>
  <c r="E157" i="12"/>
  <c r="M157" i="12"/>
  <c r="U157" i="12"/>
  <c r="K158" i="12"/>
  <c r="S158" i="12"/>
  <c r="D146" i="12"/>
  <c r="D154" i="12"/>
  <c r="D138" i="12"/>
  <c r="L126" i="12"/>
  <c r="T126" i="12"/>
  <c r="J127" i="12"/>
  <c r="R127" i="12"/>
  <c r="H128" i="12"/>
  <c r="P128" i="12"/>
  <c r="F129" i="12"/>
  <c r="N129" i="12"/>
  <c r="V129" i="12"/>
  <c r="L130" i="12"/>
  <c r="T130" i="12"/>
  <c r="J131" i="12"/>
  <c r="R131" i="12"/>
  <c r="H132" i="12"/>
  <c r="P132" i="12"/>
  <c r="F133" i="12"/>
  <c r="N133" i="12"/>
  <c r="V133" i="12"/>
  <c r="D126" i="12"/>
  <c r="L114" i="12"/>
  <c r="L138" i="12"/>
  <c r="T138" i="12"/>
  <c r="J139" i="12"/>
  <c r="R139" i="12"/>
  <c r="H140" i="12"/>
  <c r="P140" i="12"/>
  <c r="F141" i="12"/>
  <c r="N141" i="12"/>
  <c r="V141" i="12"/>
  <c r="L142" i="12"/>
  <c r="T142" i="12"/>
  <c r="J143" i="12"/>
  <c r="R143" i="12"/>
  <c r="H144" i="12"/>
  <c r="P144" i="12"/>
  <c r="F145" i="12"/>
  <c r="N145" i="12"/>
  <c r="V145" i="12"/>
  <c r="L146" i="12"/>
  <c r="T146" i="12"/>
  <c r="J147" i="12"/>
  <c r="R147" i="12"/>
  <c r="H148" i="12"/>
  <c r="P148" i="12"/>
  <c r="F149" i="12"/>
  <c r="N149" i="12"/>
  <c r="V149" i="12"/>
  <c r="L150" i="12"/>
  <c r="T150" i="12"/>
  <c r="J151" i="12"/>
  <c r="R151" i="12"/>
  <c r="H152" i="12"/>
  <c r="P152" i="12"/>
  <c r="F153" i="12"/>
  <c r="N153" i="12"/>
  <c r="V153" i="12"/>
  <c r="L154" i="12"/>
  <c r="T154" i="12"/>
  <c r="J155" i="12"/>
  <c r="R155" i="12"/>
  <c r="H156" i="12"/>
  <c r="P156" i="12"/>
  <c r="F157" i="12"/>
  <c r="N157" i="12"/>
  <c r="V157" i="12"/>
  <c r="L158" i="12"/>
  <c r="T158" i="12"/>
  <c r="D147" i="12"/>
  <c r="E138" i="12"/>
  <c r="M138" i="12"/>
  <c r="U138" i="12"/>
  <c r="K139" i="12"/>
  <c r="S139" i="12"/>
  <c r="I140" i="12"/>
  <c r="Q140" i="12"/>
  <c r="G141" i="12"/>
  <c r="O141" i="12"/>
  <c r="E142" i="12"/>
  <c r="M142" i="12"/>
  <c r="U142" i="12"/>
  <c r="K143" i="12"/>
  <c r="S143" i="12"/>
  <c r="I144" i="12"/>
  <c r="Q144" i="12"/>
  <c r="G145" i="12"/>
  <c r="O145" i="12"/>
  <c r="E146" i="12"/>
  <c r="M146" i="12"/>
  <c r="U146" i="12"/>
  <c r="K147" i="12"/>
  <c r="S147" i="12"/>
  <c r="I148" i="12"/>
  <c r="Q148" i="12"/>
  <c r="G149" i="12"/>
  <c r="O149" i="12"/>
  <c r="E150" i="12"/>
  <c r="M150" i="12"/>
  <c r="U150" i="12"/>
  <c r="K151" i="12"/>
  <c r="S151" i="12"/>
  <c r="I152" i="12"/>
  <c r="Q152" i="12"/>
  <c r="G153" i="12"/>
  <c r="O153" i="12"/>
  <c r="E154" i="12"/>
  <c r="M154" i="12"/>
  <c r="U154" i="12"/>
  <c r="K155" i="12"/>
  <c r="S155" i="12"/>
  <c r="I156" i="12"/>
  <c r="Q156" i="12"/>
  <c r="G157" i="12"/>
  <c r="O157" i="12"/>
  <c r="E158" i="12"/>
  <c r="M158" i="12"/>
  <c r="U158" i="12"/>
  <c r="D148" i="12"/>
  <c r="D156" i="12"/>
  <c r="F126" i="12"/>
  <c r="F138" i="12"/>
  <c r="N138" i="12"/>
  <c r="V138" i="12"/>
  <c r="L139" i="12"/>
  <c r="T139" i="12"/>
  <c r="J140" i="12"/>
  <c r="R140" i="12"/>
  <c r="H141" i="12"/>
  <c r="P141" i="12"/>
  <c r="F142" i="12"/>
  <c r="N142" i="12"/>
  <c r="V142" i="12"/>
  <c r="L143" i="12"/>
  <c r="T143" i="12"/>
  <c r="J144" i="12"/>
  <c r="R144" i="12"/>
  <c r="H145" i="12"/>
  <c r="P145" i="12"/>
  <c r="F146" i="12"/>
  <c r="N146" i="12"/>
  <c r="V146" i="12"/>
  <c r="L147" i="12"/>
  <c r="T147" i="12"/>
  <c r="J148" i="12"/>
  <c r="R148" i="12"/>
  <c r="H149" i="12"/>
  <c r="P149" i="12"/>
  <c r="F150" i="12"/>
  <c r="N150" i="12"/>
  <c r="V150" i="12"/>
  <c r="L151" i="12"/>
  <c r="T151" i="12"/>
  <c r="J152" i="12"/>
  <c r="R152" i="12"/>
  <c r="H153" i="12"/>
  <c r="P153" i="12"/>
  <c r="F154" i="12"/>
  <c r="N154" i="12"/>
  <c r="V154" i="12"/>
  <c r="L155" i="12"/>
  <c r="T155" i="12"/>
  <c r="J156" i="12"/>
  <c r="R156" i="12"/>
  <c r="H157" i="12"/>
  <c r="P157" i="12"/>
  <c r="F158" i="12"/>
  <c r="N158" i="12"/>
  <c r="V158" i="12"/>
  <c r="D149" i="12"/>
  <c r="G138" i="12"/>
  <c r="O138" i="12"/>
  <c r="E139" i="12"/>
  <c r="M139" i="12"/>
  <c r="U139" i="12"/>
  <c r="K140" i="12"/>
  <c r="S140" i="12"/>
  <c r="I141" i="12"/>
  <c r="Q141" i="12"/>
  <c r="G142" i="12"/>
  <c r="O142" i="12"/>
  <c r="E143" i="12"/>
  <c r="M143" i="12"/>
  <c r="U143" i="12"/>
  <c r="K144" i="12"/>
  <c r="S144" i="12"/>
  <c r="I145" i="12"/>
  <c r="Q145" i="12"/>
  <c r="G146" i="12"/>
  <c r="O146" i="12"/>
  <c r="E147" i="12"/>
  <c r="M147" i="12"/>
  <c r="U147" i="12"/>
  <c r="K148" i="12"/>
  <c r="S148" i="12"/>
  <c r="I149" i="12"/>
  <c r="Q149" i="12"/>
  <c r="G150" i="12"/>
  <c r="O150" i="12"/>
  <c r="E151" i="12"/>
  <c r="M151" i="12"/>
  <c r="U151" i="12"/>
  <c r="K152" i="12"/>
  <c r="S152" i="12"/>
  <c r="I153" i="12"/>
  <c r="Q153" i="12"/>
  <c r="G154" i="12"/>
  <c r="O154" i="12"/>
  <c r="E155" i="12"/>
  <c r="M155" i="12"/>
  <c r="U155" i="12"/>
  <c r="K156" i="12"/>
  <c r="S156" i="12"/>
  <c r="I138" i="12"/>
  <c r="Q138" i="12"/>
  <c r="G139" i="12"/>
  <c r="O139" i="12"/>
  <c r="E140" i="12"/>
  <c r="M140" i="12"/>
  <c r="U140" i="12"/>
  <c r="K141" i="12"/>
  <c r="S141" i="12"/>
  <c r="I142" i="12"/>
  <c r="Q142" i="12"/>
  <c r="G143" i="12"/>
  <c r="O143" i="12"/>
  <c r="E144" i="12"/>
  <c r="M144" i="12"/>
  <c r="U144" i="12"/>
  <c r="K145" i="12"/>
  <c r="S145" i="12"/>
  <c r="I146" i="12"/>
  <c r="Q146" i="12"/>
  <c r="G147" i="12"/>
  <c r="O147" i="12"/>
  <c r="E148" i="12"/>
  <c r="M148" i="12"/>
  <c r="U148" i="12"/>
  <c r="K149" i="12"/>
  <c r="S149" i="12"/>
  <c r="I150" i="12"/>
  <c r="Q150" i="12"/>
  <c r="G151" i="12"/>
  <c r="O151" i="12"/>
  <c r="E152" i="12"/>
  <c r="M152" i="12"/>
  <c r="U152" i="12"/>
  <c r="K153" i="12"/>
  <c r="S153" i="12"/>
  <c r="I154" i="12"/>
  <c r="Q154" i="12"/>
  <c r="G155" i="12"/>
  <c r="O155" i="12"/>
  <c r="E156" i="12"/>
  <c r="M156" i="12"/>
  <c r="U156" i="12"/>
  <c r="K157" i="12"/>
  <c r="S157" i="12"/>
  <c r="F139" i="12"/>
  <c r="P142" i="12"/>
  <c r="H146" i="12"/>
  <c r="R149" i="12"/>
  <c r="J153" i="12"/>
  <c r="T156" i="12"/>
  <c r="O158" i="12"/>
  <c r="D152" i="12"/>
  <c r="H126" i="12"/>
  <c r="R126" i="12"/>
  <c r="L127" i="12"/>
  <c r="V127" i="12"/>
  <c r="N128" i="12"/>
  <c r="H129" i="12"/>
  <c r="R129" i="12"/>
  <c r="J130" i="12"/>
  <c r="V130" i="12"/>
  <c r="N131" i="12"/>
  <c r="E132" i="12"/>
  <c r="N132" i="12"/>
  <c r="E133" i="12"/>
  <c r="O133" i="12"/>
  <c r="D130" i="12"/>
  <c r="G114" i="12"/>
  <c r="P114" i="12"/>
  <c r="F115" i="12"/>
  <c r="N115" i="12"/>
  <c r="V115" i="12"/>
  <c r="L116" i="12"/>
  <c r="T116" i="12"/>
  <c r="J117" i="12"/>
  <c r="R117" i="12"/>
  <c r="H118" i="12"/>
  <c r="P118" i="12"/>
  <c r="F119" i="12"/>
  <c r="N119" i="12"/>
  <c r="V119" i="12"/>
  <c r="L120" i="12"/>
  <c r="T120" i="12"/>
  <c r="J121" i="12"/>
  <c r="R121" i="12"/>
  <c r="H122" i="12"/>
  <c r="P122" i="12"/>
  <c r="F123" i="12"/>
  <c r="N123" i="12"/>
  <c r="V123" i="12"/>
  <c r="D116" i="12"/>
  <c r="F91" i="12"/>
  <c r="N91" i="12"/>
  <c r="V91" i="12"/>
  <c r="L92" i="12"/>
  <c r="T92" i="12"/>
  <c r="J93" i="12"/>
  <c r="R93" i="12"/>
  <c r="H94" i="12"/>
  <c r="P94" i="12"/>
  <c r="F95" i="12"/>
  <c r="N95" i="12"/>
  <c r="V95" i="12"/>
  <c r="L96" i="12"/>
  <c r="T96" i="12"/>
  <c r="J97" i="12"/>
  <c r="N139" i="12"/>
  <c r="F143" i="12"/>
  <c r="P146" i="12"/>
  <c r="H150" i="12"/>
  <c r="R153" i="12"/>
  <c r="I157" i="12"/>
  <c r="P158" i="12"/>
  <c r="D155" i="12"/>
  <c r="I126" i="12"/>
  <c r="U126" i="12"/>
  <c r="M127" i="12"/>
  <c r="E128" i="12"/>
  <c r="Q128" i="12"/>
  <c r="I129" i="12"/>
  <c r="S129" i="12"/>
  <c r="M130" i="12"/>
  <c r="E131" i="12"/>
  <c r="O131" i="12"/>
  <c r="F132" i="12"/>
  <c r="O132" i="12"/>
  <c r="G133" i="12"/>
  <c r="P133" i="12"/>
  <c r="D131" i="12"/>
  <c r="H114" i="12"/>
  <c r="Q114" i="12"/>
  <c r="G115" i="12"/>
  <c r="O115" i="12"/>
  <c r="E116" i="12"/>
  <c r="M116" i="12"/>
  <c r="U116" i="12"/>
  <c r="K117" i="12"/>
  <c r="S117" i="12"/>
  <c r="I118" i="12"/>
  <c r="Q118" i="12"/>
  <c r="G119" i="12"/>
  <c r="O119" i="12"/>
  <c r="E120" i="12"/>
  <c r="M120" i="12"/>
  <c r="U120" i="12"/>
  <c r="K121" i="12"/>
  <c r="S121" i="12"/>
  <c r="I122" i="12"/>
  <c r="Q122" i="12"/>
  <c r="G123" i="12"/>
  <c r="O123" i="12"/>
  <c r="D120" i="12"/>
  <c r="D115" i="12"/>
  <c r="G91" i="12"/>
  <c r="O91" i="12"/>
  <c r="E92" i="12"/>
  <c r="M92" i="12"/>
  <c r="U92" i="12"/>
  <c r="K93" i="12"/>
  <c r="S93" i="12"/>
  <c r="I94" i="12"/>
  <c r="Q94" i="12"/>
  <c r="G95" i="12"/>
  <c r="O95" i="12"/>
  <c r="E96" i="12"/>
  <c r="M96" i="12"/>
  <c r="U96" i="12"/>
  <c r="K97" i="12"/>
  <c r="S97" i="12"/>
  <c r="I98" i="12"/>
  <c r="Q98" i="12"/>
  <c r="G99" i="12"/>
  <c r="V139" i="12"/>
  <c r="N143" i="12"/>
  <c r="F147" i="12"/>
  <c r="P150" i="12"/>
  <c r="H154" i="12"/>
  <c r="J157" i="12"/>
  <c r="Q158" i="12"/>
  <c r="D157" i="12"/>
  <c r="J126" i="12"/>
  <c r="V126" i="12"/>
  <c r="N127" i="12"/>
  <c r="F128" i="12"/>
  <c r="R128" i="12"/>
  <c r="J129" i="12"/>
  <c r="T129" i="12"/>
  <c r="N130" i="12"/>
  <c r="F131" i="12"/>
  <c r="P131" i="12"/>
  <c r="G132" i="12"/>
  <c r="Q132" i="12"/>
  <c r="H133" i="12"/>
  <c r="Q133" i="12"/>
  <c r="D132" i="12"/>
  <c r="I114" i="12"/>
  <c r="R114" i="12"/>
  <c r="H115" i="12"/>
  <c r="P115" i="12"/>
  <c r="F116" i="12"/>
  <c r="N116" i="12"/>
  <c r="V116" i="12"/>
  <c r="L117" i="12"/>
  <c r="T117" i="12"/>
  <c r="J118" i="12"/>
  <c r="R118" i="12"/>
  <c r="H119" i="12"/>
  <c r="P119" i="12"/>
  <c r="F120" i="12"/>
  <c r="N120" i="12"/>
  <c r="V120" i="12"/>
  <c r="L121" i="12"/>
  <c r="T121" i="12"/>
  <c r="J122" i="12"/>
  <c r="R122" i="12"/>
  <c r="H123" i="12"/>
  <c r="P123" i="12"/>
  <c r="D121" i="12"/>
  <c r="D114" i="12"/>
  <c r="H91" i="12"/>
  <c r="P91" i="12"/>
  <c r="F92" i="12"/>
  <c r="N92" i="12"/>
  <c r="V92" i="12"/>
  <c r="L93" i="12"/>
  <c r="T93" i="12"/>
  <c r="J94" i="12"/>
  <c r="R94" i="12"/>
  <c r="H95" i="12"/>
  <c r="P95" i="12"/>
  <c r="F96" i="12"/>
  <c r="N96" i="12"/>
  <c r="V96" i="12"/>
  <c r="L97" i="12"/>
  <c r="T97" i="12"/>
  <c r="J98" i="12"/>
  <c r="R98" i="12"/>
  <c r="H99" i="12"/>
  <c r="P99" i="12"/>
  <c r="F100" i="12"/>
  <c r="N100" i="12"/>
  <c r="V100" i="12"/>
  <c r="L101" i="12"/>
  <c r="T101" i="12"/>
  <c r="J102" i="12"/>
  <c r="R102" i="12"/>
  <c r="H103" i="12"/>
  <c r="P103" i="12"/>
  <c r="F104" i="12"/>
  <c r="N104" i="12"/>
  <c r="V104" i="12"/>
  <c r="L140" i="12"/>
  <c r="V143" i="12"/>
  <c r="N147" i="12"/>
  <c r="F151" i="12"/>
  <c r="P154" i="12"/>
  <c r="Q157" i="12"/>
  <c r="D142" i="12"/>
  <c r="D158" i="12"/>
  <c r="M126" i="12"/>
  <c r="E127" i="12"/>
  <c r="O127" i="12"/>
  <c r="I128" i="12"/>
  <c r="S128" i="12"/>
  <c r="K129" i="12"/>
  <c r="E130" i="12"/>
  <c r="O130" i="12"/>
  <c r="G131" i="12"/>
  <c r="Q131" i="12"/>
  <c r="I132" i="12"/>
  <c r="R132" i="12"/>
  <c r="I133" i="12"/>
  <c r="R133" i="12"/>
  <c r="D133" i="12"/>
  <c r="J114" i="12"/>
  <c r="S114" i="12"/>
  <c r="I115" i="12"/>
  <c r="Q115" i="12"/>
  <c r="G116" i="12"/>
  <c r="O116" i="12"/>
  <c r="E117" i="12"/>
  <c r="M117" i="12"/>
  <c r="U117" i="12"/>
  <c r="K118" i="12"/>
  <c r="S118" i="12"/>
  <c r="I119" i="12"/>
  <c r="Q119" i="12"/>
  <c r="G120" i="12"/>
  <c r="O120" i="12"/>
  <c r="E121" i="12"/>
  <c r="M121" i="12"/>
  <c r="U121" i="12"/>
  <c r="K122" i="12"/>
  <c r="S122" i="12"/>
  <c r="I123" i="12"/>
  <c r="Q123" i="12"/>
  <c r="D122" i="12"/>
  <c r="I91" i="12"/>
  <c r="Q91" i="12"/>
  <c r="G92" i="12"/>
  <c r="O92" i="12"/>
  <c r="E93" i="12"/>
  <c r="M93" i="12"/>
  <c r="U93" i="12"/>
  <c r="K94" i="12"/>
  <c r="S94" i="12"/>
  <c r="I95" i="12"/>
  <c r="Q95" i="12"/>
  <c r="G96" i="12"/>
  <c r="O96" i="12"/>
  <c r="E97" i="12"/>
  <c r="M97" i="12"/>
  <c r="U97" i="12"/>
  <c r="K98" i="12"/>
  <c r="S98" i="12"/>
  <c r="I99" i="12"/>
  <c r="Q99" i="12"/>
  <c r="G100" i="12"/>
  <c r="O100" i="12"/>
  <c r="E101" i="12"/>
  <c r="M101" i="12"/>
  <c r="U101" i="12"/>
  <c r="K102" i="12"/>
  <c r="S102" i="12"/>
  <c r="I103" i="12"/>
  <c r="Q103" i="12"/>
  <c r="T140" i="12"/>
  <c r="L144" i="12"/>
  <c r="V147" i="12"/>
  <c r="N151" i="12"/>
  <c r="F155" i="12"/>
  <c r="R157" i="12"/>
  <c r="D143" i="12"/>
  <c r="D141" i="12"/>
  <c r="N126" i="12"/>
  <c r="F127" i="12"/>
  <c r="P127" i="12"/>
  <c r="J128" i="12"/>
  <c r="T128" i="12"/>
  <c r="L129" i="12"/>
  <c r="F130" i="12"/>
  <c r="P130" i="12"/>
  <c r="H131" i="12"/>
  <c r="S131" i="12"/>
  <c r="J132" i="12"/>
  <c r="S132" i="12"/>
  <c r="J133" i="12"/>
  <c r="S133" i="12"/>
  <c r="D128" i="12"/>
  <c r="K114" i="12"/>
  <c r="T114" i="12"/>
  <c r="J115" i="12"/>
  <c r="R115" i="12"/>
  <c r="H116" i="12"/>
  <c r="P116" i="12"/>
  <c r="F117" i="12"/>
  <c r="N117" i="12"/>
  <c r="V117" i="12"/>
  <c r="L118" i="12"/>
  <c r="T118" i="12"/>
  <c r="J119" i="12"/>
  <c r="R119" i="12"/>
  <c r="H120" i="12"/>
  <c r="P120" i="12"/>
  <c r="F121" i="12"/>
  <c r="N121" i="12"/>
  <c r="V121" i="12"/>
  <c r="L122" i="12"/>
  <c r="T122" i="12"/>
  <c r="J123" i="12"/>
  <c r="R123" i="12"/>
  <c r="D123" i="12"/>
  <c r="J91" i="12"/>
  <c r="R91" i="12"/>
  <c r="H92" i="12"/>
  <c r="P92" i="12"/>
  <c r="F93" i="12"/>
  <c r="N93" i="12"/>
  <c r="V93" i="12"/>
  <c r="L94" i="12"/>
  <c r="T94" i="12"/>
  <c r="J95" i="12"/>
  <c r="R95" i="12"/>
  <c r="H96" i="12"/>
  <c r="P96" i="12"/>
  <c r="F97" i="12"/>
  <c r="N97" i="12"/>
  <c r="V97" i="12"/>
  <c r="L98" i="12"/>
  <c r="T98" i="12"/>
  <c r="J99" i="12"/>
  <c r="R99" i="12"/>
  <c r="H100" i="12"/>
  <c r="P100" i="12"/>
  <c r="F101" i="12"/>
  <c r="N101" i="12"/>
  <c r="V101" i="12"/>
  <c r="L102" i="12"/>
  <c r="T102" i="12"/>
  <c r="J103" i="12"/>
  <c r="R103" i="12"/>
  <c r="H104" i="12"/>
  <c r="P104" i="12"/>
  <c r="F105" i="12"/>
  <c r="J141" i="12"/>
  <c r="T144" i="12"/>
  <c r="L148" i="12"/>
  <c r="V151" i="12"/>
  <c r="N155" i="12"/>
  <c r="G158" i="12"/>
  <c r="D144" i="12"/>
  <c r="D140" i="12"/>
  <c r="O126" i="12"/>
  <c r="G127" i="12"/>
  <c r="S127" i="12"/>
  <c r="K128" i="12"/>
  <c r="U128" i="12"/>
  <c r="O129" i="12"/>
  <c r="G130" i="12"/>
  <c r="Q130" i="12"/>
  <c r="K131" i="12"/>
  <c r="T131" i="12"/>
  <c r="K132" i="12"/>
  <c r="T132" i="12"/>
  <c r="K133" i="12"/>
  <c r="T133" i="12"/>
  <c r="D127" i="12"/>
  <c r="M114" i="12"/>
  <c r="U114" i="12"/>
  <c r="K115" i="12"/>
  <c r="S115" i="12"/>
  <c r="I116" i="12"/>
  <c r="Q116" i="12"/>
  <c r="G117" i="12"/>
  <c r="O117" i="12"/>
  <c r="E118" i="12"/>
  <c r="M118" i="12"/>
  <c r="U118" i="12"/>
  <c r="K119" i="12"/>
  <c r="S119" i="12"/>
  <c r="I120" i="12"/>
  <c r="Q120" i="12"/>
  <c r="G121" i="12"/>
  <c r="O121" i="12"/>
  <c r="E122" i="12"/>
  <c r="M122" i="12"/>
  <c r="U122" i="12"/>
  <c r="K123" i="12"/>
  <c r="S123" i="12"/>
  <c r="D119" i="12"/>
  <c r="K91" i="12"/>
  <c r="S91" i="12"/>
  <c r="I92" i="12"/>
  <c r="Q92" i="12"/>
  <c r="G93" i="12"/>
  <c r="O93" i="12"/>
  <c r="E94" i="12"/>
  <c r="M94" i="12"/>
  <c r="U94" i="12"/>
  <c r="K95" i="12"/>
  <c r="S95" i="12"/>
  <c r="I96" i="12"/>
  <c r="Q96" i="12"/>
  <c r="G97" i="12"/>
  <c r="O97" i="12"/>
  <c r="P138" i="12"/>
  <c r="H142" i="12"/>
  <c r="R145" i="12"/>
  <c r="J149" i="12"/>
  <c r="T152" i="12"/>
  <c r="L156" i="12"/>
  <c r="I158" i="12"/>
  <c r="D151" i="12"/>
  <c r="G126" i="12"/>
  <c r="Q126" i="12"/>
  <c r="K127" i="12"/>
  <c r="U127" i="12"/>
  <c r="M128" i="12"/>
  <c r="G129" i="12"/>
  <c r="Q129" i="12"/>
  <c r="I130" i="12"/>
  <c r="U130" i="12"/>
  <c r="M131" i="12"/>
  <c r="V131" i="12"/>
  <c r="M132" i="12"/>
  <c r="V132" i="12"/>
  <c r="M133" i="12"/>
  <c r="D129" i="12"/>
  <c r="F114" i="12"/>
  <c r="O114" i="12"/>
  <c r="E115" i="12"/>
  <c r="M115" i="12"/>
  <c r="U115" i="12"/>
  <c r="K116" i="12"/>
  <c r="S116" i="12"/>
  <c r="I117" i="12"/>
  <c r="Q117" i="12"/>
  <c r="G118" i="12"/>
  <c r="O118" i="12"/>
  <c r="E119" i="12"/>
  <c r="M119" i="12"/>
  <c r="U119" i="12"/>
  <c r="K120" i="12"/>
  <c r="S120" i="12"/>
  <c r="I121" i="12"/>
  <c r="Q121" i="12"/>
  <c r="G122" i="12"/>
  <c r="O122" i="12"/>
  <c r="E123" i="12"/>
  <c r="M123" i="12"/>
  <c r="U123" i="12"/>
  <c r="D117" i="12"/>
  <c r="E91" i="12"/>
  <c r="M91" i="12"/>
  <c r="U91" i="12"/>
  <c r="K92" i="12"/>
  <c r="S92" i="12"/>
  <c r="I93" i="12"/>
  <c r="Q93" i="12"/>
  <c r="G94" i="12"/>
  <c r="O94" i="12"/>
  <c r="E95" i="12"/>
  <c r="M95" i="12"/>
  <c r="U95" i="12"/>
  <c r="K96" i="12"/>
  <c r="S96" i="12"/>
  <c r="I97" i="12"/>
  <c r="Q97" i="12"/>
  <c r="G98" i="12"/>
  <c r="O98" i="12"/>
  <c r="E99" i="12"/>
  <c r="M99" i="12"/>
  <c r="U99" i="12"/>
  <c r="K100" i="12"/>
  <c r="S100" i="12"/>
  <c r="I101" i="12"/>
  <c r="Q101" i="12"/>
  <c r="G102" i="12"/>
  <c r="O102" i="12"/>
  <c r="E103" i="12"/>
  <c r="D150" i="12"/>
  <c r="H130" i="12"/>
  <c r="E114" i="12"/>
  <c r="P117" i="12"/>
  <c r="H121" i="12"/>
  <c r="R92" i="12"/>
  <c r="J96" i="12"/>
  <c r="M98" i="12"/>
  <c r="N99" i="12"/>
  <c r="L100" i="12"/>
  <c r="J101" i="12"/>
  <c r="H102" i="12"/>
  <c r="F103" i="12"/>
  <c r="T103" i="12"/>
  <c r="L104" i="12"/>
  <c r="E105" i="12"/>
  <c r="N105" i="12"/>
  <c r="V105" i="12"/>
  <c r="L106" i="12"/>
  <c r="T106" i="12"/>
  <c r="J107" i="12"/>
  <c r="R107" i="12"/>
  <c r="H108" i="12"/>
  <c r="P108" i="12"/>
  <c r="D94" i="12"/>
  <c r="D102" i="12"/>
  <c r="D91" i="12"/>
  <c r="H65" i="12"/>
  <c r="P65" i="12"/>
  <c r="F66" i="12"/>
  <c r="N66" i="12"/>
  <c r="V66" i="12"/>
  <c r="L67" i="12"/>
  <c r="T67" i="12"/>
  <c r="J68" i="12"/>
  <c r="R68" i="12"/>
  <c r="H69" i="12"/>
  <c r="P69" i="12"/>
  <c r="F70" i="12"/>
  <c r="N70" i="12"/>
  <c r="V70" i="12"/>
  <c r="L71" i="12"/>
  <c r="T71" i="12"/>
  <c r="J72" i="12"/>
  <c r="R72" i="12"/>
  <c r="H73" i="12"/>
  <c r="P73" i="12"/>
  <c r="F74" i="12"/>
  <c r="N74" i="12"/>
  <c r="V74" i="12"/>
  <c r="L75" i="12"/>
  <c r="T75" i="12"/>
  <c r="J76" i="12"/>
  <c r="R76" i="12"/>
  <c r="H77" i="12"/>
  <c r="P77" i="12"/>
  <c r="F78" i="12"/>
  <c r="N78" i="12"/>
  <c r="V78" i="12"/>
  <c r="L79" i="12"/>
  <c r="T79" i="12"/>
  <c r="J80" i="12"/>
  <c r="R80" i="12"/>
  <c r="H81" i="12"/>
  <c r="P81" i="12"/>
  <c r="F82" i="12"/>
  <c r="N82" i="12"/>
  <c r="V82" i="12"/>
  <c r="L83" i="12"/>
  <c r="T83" i="12"/>
  <c r="J84" i="12"/>
  <c r="R84" i="12"/>
  <c r="H85" i="12"/>
  <c r="P85" i="12"/>
  <c r="D78" i="12"/>
  <c r="D76" i="12"/>
  <c r="D68" i="12"/>
  <c r="H46" i="12"/>
  <c r="P46" i="12"/>
  <c r="F47" i="12"/>
  <c r="N47" i="12"/>
  <c r="H138" i="12"/>
  <c r="E126" i="12"/>
  <c r="R130" i="12"/>
  <c r="N114" i="12"/>
  <c r="F118" i="12"/>
  <c r="P121" i="12"/>
  <c r="H93" i="12"/>
  <c r="R96" i="12"/>
  <c r="N98" i="12"/>
  <c r="O99" i="12"/>
  <c r="M100" i="12"/>
  <c r="K101" i="12"/>
  <c r="I102" i="12"/>
  <c r="G103" i="12"/>
  <c r="U103" i="12"/>
  <c r="M104" i="12"/>
  <c r="G105" i="12"/>
  <c r="O105" i="12"/>
  <c r="E106" i="12"/>
  <c r="M106" i="12"/>
  <c r="U106" i="12"/>
  <c r="K107" i="12"/>
  <c r="S107" i="12"/>
  <c r="I108" i="12"/>
  <c r="Q108" i="12"/>
  <c r="D95" i="12"/>
  <c r="D103" i="12"/>
  <c r="I65" i="12"/>
  <c r="Q65" i="12"/>
  <c r="G66" i="12"/>
  <c r="O66" i="12"/>
  <c r="E67" i="12"/>
  <c r="M67" i="12"/>
  <c r="U67" i="12"/>
  <c r="K68" i="12"/>
  <c r="S68" i="12"/>
  <c r="I69" i="12"/>
  <c r="Q69" i="12"/>
  <c r="G70" i="12"/>
  <c r="O70" i="12"/>
  <c r="E71" i="12"/>
  <c r="M71" i="12"/>
  <c r="U71" i="12"/>
  <c r="K72" i="12"/>
  <c r="S72" i="12"/>
  <c r="I73" i="12"/>
  <c r="Q73" i="12"/>
  <c r="G74" i="12"/>
  <c r="O74" i="12"/>
  <c r="E75" i="12"/>
  <c r="M75" i="12"/>
  <c r="U75" i="12"/>
  <c r="K76" i="12"/>
  <c r="S76" i="12"/>
  <c r="I77" i="12"/>
  <c r="Q77" i="12"/>
  <c r="G78" i="12"/>
  <c r="O78" i="12"/>
  <c r="E79" i="12"/>
  <c r="M79" i="12"/>
  <c r="U79" i="12"/>
  <c r="K80" i="12"/>
  <c r="S80" i="12"/>
  <c r="I81" i="12"/>
  <c r="Q81" i="12"/>
  <c r="G82" i="12"/>
  <c r="O82" i="12"/>
  <c r="E83" i="12"/>
  <c r="M83" i="12"/>
  <c r="U83" i="12"/>
  <c r="K84" i="12"/>
  <c r="S84" i="12"/>
  <c r="I85" i="12"/>
  <c r="Q85" i="12"/>
  <c r="D79" i="12"/>
  <c r="D75" i="12"/>
  <c r="D67" i="12"/>
  <c r="I46" i="12"/>
  <c r="Q46" i="12"/>
  <c r="G47" i="12"/>
  <c r="R141" i="12"/>
  <c r="P126" i="12"/>
  <c r="L131" i="12"/>
  <c r="V114" i="12"/>
  <c r="N118" i="12"/>
  <c r="F122" i="12"/>
  <c r="P93" i="12"/>
  <c r="H97" i="12"/>
  <c r="P98" i="12"/>
  <c r="S99" i="12"/>
  <c r="Q100" i="12"/>
  <c r="O101" i="12"/>
  <c r="M102" i="12"/>
  <c r="K103" i="12"/>
  <c r="V103" i="12"/>
  <c r="O104" i="12"/>
  <c r="H105" i="12"/>
  <c r="P105" i="12"/>
  <c r="F106" i="12"/>
  <c r="N106" i="12"/>
  <c r="V106" i="12"/>
  <c r="L107" i="12"/>
  <c r="T107" i="12"/>
  <c r="J108" i="12"/>
  <c r="R108" i="12"/>
  <c r="D96" i="12"/>
  <c r="D104" i="12"/>
  <c r="J65" i="12"/>
  <c r="R65" i="12"/>
  <c r="H66" i="12"/>
  <c r="P66" i="12"/>
  <c r="F67" i="12"/>
  <c r="N67" i="12"/>
  <c r="V67" i="12"/>
  <c r="L68" i="12"/>
  <c r="T68" i="12"/>
  <c r="J69" i="12"/>
  <c r="R69" i="12"/>
  <c r="H70" i="12"/>
  <c r="P70" i="12"/>
  <c r="F71" i="12"/>
  <c r="N71" i="12"/>
  <c r="V71" i="12"/>
  <c r="L72" i="12"/>
  <c r="T72" i="12"/>
  <c r="J73" i="12"/>
  <c r="R73" i="12"/>
  <c r="H74" i="12"/>
  <c r="P74" i="12"/>
  <c r="F75" i="12"/>
  <c r="N75" i="12"/>
  <c r="V75" i="12"/>
  <c r="L76" i="12"/>
  <c r="T76" i="12"/>
  <c r="J77" i="12"/>
  <c r="R77" i="12"/>
  <c r="H78" i="12"/>
  <c r="P78" i="12"/>
  <c r="F79" i="12"/>
  <c r="N79" i="12"/>
  <c r="V79" i="12"/>
  <c r="L80" i="12"/>
  <c r="T80" i="12"/>
  <c r="J81" i="12"/>
  <c r="R81" i="12"/>
  <c r="H82" i="12"/>
  <c r="P82" i="12"/>
  <c r="F83" i="12"/>
  <c r="N83" i="12"/>
  <c r="V83" i="12"/>
  <c r="L84" i="12"/>
  <c r="T84" i="12"/>
  <c r="J85" i="12"/>
  <c r="R85" i="12"/>
  <c r="D80" i="12"/>
  <c r="D74" i="12"/>
  <c r="D66" i="12"/>
  <c r="J46" i="12"/>
  <c r="R46" i="12"/>
  <c r="H47" i="12"/>
  <c r="P47" i="12"/>
  <c r="J145" i="12"/>
  <c r="H127" i="12"/>
  <c r="U131" i="12"/>
  <c r="L115" i="12"/>
  <c r="V118" i="12"/>
  <c r="N122" i="12"/>
  <c r="F94" i="12"/>
  <c r="P97" i="12"/>
  <c r="U98" i="12"/>
  <c r="T99" i="12"/>
  <c r="R100" i="12"/>
  <c r="P101" i="12"/>
  <c r="N102" i="12"/>
  <c r="L103" i="12"/>
  <c r="E104" i="12"/>
  <c r="Q104" i="12"/>
  <c r="I105" i="12"/>
  <c r="Q105" i="12"/>
  <c r="G106" i="12"/>
  <c r="O106" i="12"/>
  <c r="E107" i="12"/>
  <c r="M107" i="12"/>
  <c r="U107" i="12"/>
  <c r="K108" i="12"/>
  <c r="S108" i="12"/>
  <c r="D97" i="12"/>
  <c r="D105" i="12"/>
  <c r="K65" i="12"/>
  <c r="S65" i="12"/>
  <c r="I66" i="12"/>
  <c r="Q66" i="12"/>
  <c r="G67" i="12"/>
  <c r="O67" i="12"/>
  <c r="E68" i="12"/>
  <c r="M68" i="12"/>
  <c r="U68" i="12"/>
  <c r="K69" i="12"/>
  <c r="S69" i="12"/>
  <c r="I70" i="12"/>
  <c r="Q70" i="12"/>
  <c r="G71" i="12"/>
  <c r="O71" i="12"/>
  <c r="E72" i="12"/>
  <c r="M72" i="12"/>
  <c r="U72" i="12"/>
  <c r="K73" i="12"/>
  <c r="S73" i="12"/>
  <c r="I74" i="12"/>
  <c r="Q74" i="12"/>
  <c r="G75" i="12"/>
  <c r="O75" i="12"/>
  <c r="E76" i="12"/>
  <c r="M76" i="12"/>
  <c r="U76" i="12"/>
  <c r="K77" i="12"/>
  <c r="S77" i="12"/>
  <c r="I78" i="12"/>
  <c r="Q78" i="12"/>
  <c r="G79" i="12"/>
  <c r="O79" i="12"/>
  <c r="E80" i="12"/>
  <c r="M80" i="12"/>
  <c r="U80" i="12"/>
  <c r="K81" i="12"/>
  <c r="S81" i="12"/>
  <c r="I82" i="12"/>
  <c r="Q82" i="12"/>
  <c r="G83" i="12"/>
  <c r="O83" i="12"/>
  <c r="E84" i="12"/>
  <c r="M84" i="12"/>
  <c r="U84" i="12"/>
  <c r="K85" i="12"/>
  <c r="S85" i="12"/>
  <c r="D81" i="12"/>
  <c r="D73" i="12"/>
  <c r="D65" i="12"/>
  <c r="K46" i="12"/>
  <c r="S46" i="12"/>
  <c r="I47" i="12"/>
  <c r="Q47" i="12"/>
  <c r="T148" i="12"/>
  <c r="T127" i="12"/>
  <c r="L132" i="12"/>
  <c r="T115" i="12"/>
  <c r="L119" i="12"/>
  <c r="V122" i="12"/>
  <c r="N94" i="12"/>
  <c r="R97" i="12"/>
  <c r="V98" i="12"/>
  <c r="V99" i="12"/>
  <c r="T100" i="12"/>
  <c r="R101" i="12"/>
  <c r="P102" i="12"/>
  <c r="M103" i="12"/>
  <c r="G104" i="12"/>
  <c r="R104" i="12"/>
  <c r="J105" i="12"/>
  <c r="R105" i="12"/>
  <c r="H106" i="12"/>
  <c r="P106" i="12"/>
  <c r="F107" i="12"/>
  <c r="N107" i="12"/>
  <c r="V107" i="12"/>
  <c r="L108" i="12"/>
  <c r="T108" i="12"/>
  <c r="D98" i="12"/>
  <c r="D106" i="12"/>
  <c r="L65" i="12"/>
  <c r="T65" i="12"/>
  <c r="J66" i="12"/>
  <c r="R66" i="12"/>
  <c r="H67" i="12"/>
  <c r="P67" i="12"/>
  <c r="F68" i="12"/>
  <c r="N68" i="12"/>
  <c r="V68" i="12"/>
  <c r="L69" i="12"/>
  <c r="T69" i="12"/>
  <c r="J70" i="12"/>
  <c r="R70" i="12"/>
  <c r="H71" i="12"/>
  <c r="P71" i="12"/>
  <c r="F72" i="12"/>
  <c r="N72" i="12"/>
  <c r="V72" i="12"/>
  <c r="L73" i="12"/>
  <c r="T73" i="12"/>
  <c r="J74" i="12"/>
  <c r="R74" i="12"/>
  <c r="H75" i="12"/>
  <c r="P75" i="12"/>
  <c r="F76" i="12"/>
  <c r="N76" i="12"/>
  <c r="V76" i="12"/>
  <c r="L77" i="12"/>
  <c r="T77" i="12"/>
  <c r="J78" i="12"/>
  <c r="R78" i="12"/>
  <c r="H79" i="12"/>
  <c r="P79" i="12"/>
  <c r="L152" i="12"/>
  <c r="L128" i="12"/>
  <c r="U132" i="12"/>
  <c r="J116" i="12"/>
  <c r="T119" i="12"/>
  <c r="L123" i="12"/>
  <c r="L91" i="12"/>
  <c r="V94" i="12"/>
  <c r="E98" i="12"/>
  <c r="F99" i="12"/>
  <c r="E100" i="12"/>
  <c r="U100" i="12"/>
  <c r="S101" i="12"/>
  <c r="Q102" i="12"/>
  <c r="N103" i="12"/>
  <c r="I104" i="12"/>
  <c r="S104" i="12"/>
  <c r="K105" i="12"/>
  <c r="S105" i="12"/>
  <c r="I106" i="12"/>
  <c r="Q106" i="12"/>
  <c r="G107" i="12"/>
  <c r="O107" i="12"/>
  <c r="E108" i="12"/>
  <c r="M108" i="12"/>
  <c r="U108" i="12"/>
  <c r="D99" i="12"/>
  <c r="D107" i="12"/>
  <c r="E65" i="12"/>
  <c r="M65" i="12"/>
  <c r="U65" i="12"/>
  <c r="K66" i="12"/>
  <c r="S66" i="12"/>
  <c r="I67" i="12"/>
  <c r="Q67" i="12"/>
  <c r="G68" i="12"/>
  <c r="O68" i="12"/>
  <c r="E69" i="12"/>
  <c r="M69" i="12"/>
  <c r="U69" i="12"/>
  <c r="K70" i="12"/>
  <c r="S70" i="12"/>
  <c r="I71" i="12"/>
  <c r="Q71" i="12"/>
  <c r="G72" i="12"/>
  <c r="O72" i="12"/>
  <c r="E73" i="12"/>
  <c r="M73" i="12"/>
  <c r="U73" i="12"/>
  <c r="K74" i="12"/>
  <c r="S74" i="12"/>
  <c r="I75" i="12"/>
  <c r="Q75" i="12"/>
  <c r="G76" i="12"/>
  <c r="O76" i="12"/>
  <c r="E77" i="12"/>
  <c r="M77" i="12"/>
  <c r="U77" i="12"/>
  <c r="K78" i="12"/>
  <c r="S78" i="12"/>
  <c r="I79" i="12"/>
  <c r="Q79" i="12"/>
  <c r="G80" i="12"/>
  <c r="O80" i="12"/>
  <c r="E81" i="12"/>
  <c r="M81" i="12"/>
  <c r="U81" i="12"/>
  <c r="K82" i="12"/>
  <c r="S82" i="12"/>
  <c r="I83" i="12"/>
  <c r="Q83" i="12"/>
  <c r="G84" i="12"/>
  <c r="O84" i="12"/>
  <c r="E85" i="12"/>
  <c r="M85" i="12"/>
  <c r="U85" i="12"/>
  <c r="D83" i="12"/>
  <c r="D71" i="12"/>
  <c r="E46" i="12"/>
  <c r="M46" i="12"/>
  <c r="V155" i="12"/>
  <c r="V128" i="12"/>
  <c r="L133" i="12"/>
  <c r="R116" i="12"/>
  <c r="J120" i="12"/>
  <c r="T123" i="12"/>
  <c r="T91" i="12"/>
  <c r="L95" i="12"/>
  <c r="F98" i="12"/>
  <c r="K99" i="12"/>
  <c r="I100" i="12"/>
  <c r="G101" i="12"/>
  <c r="E102" i="12"/>
  <c r="U102" i="12"/>
  <c r="O103" i="12"/>
  <c r="J104" i="12"/>
  <c r="T104" i="12"/>
  <c r="L105" i="12"/>
  <c r="T105" i="12"/>
  <c r="J106" i="12"/>
  <c r="R106" i="12"/>
  <c r="H107" i="12"/>
  <c r="P107" i="12"/>
  <c r="F108" i="12"/>
  <c r="N108" i="12"/>
  <c r="V108" i="12"/>
  <c r="D100" i="12"/>
  <c r="D108" i="12"/>
  <c r="F65" i="12"/>
  <c r="N65" i="12"/>
  <c r="V65" i="12"/>
  <c r="L66" i="12"/>
  <c r="T66" i="12"/>
  <c r="J67" i="12"/>
  <c r="R67" i="12"/>
  <c r="H68" i="12"/>
  <c r="P68" i="12"/>
  <c r="F69" i="12"/>
  <c r="N69" i="12"/>
  <c r="V69" i="12"/>
  <c r="L70" i="12"/>
  <c r="T70" i="12"/>
  <c r="J71" i="12"/>
  <c r="R71" i="12"/>
  <c r="H72" i="12"/>
  <c r="P72" i="12"/>
  <c r="F73" i="12"/>
  <c r="N73" i="12"/>
  <c r="V73" i="12"/>
  <c r="L74" i="12"/>
  <c r="T74" i="12"/>
  <c r="J75" i="12"/>
  <c r="R75" i="12"/>
  <c r="H76" i="12"/>
  <c r="P76" i="12"/>
  <c r="F77" i="12"/>
  <c r="N77" i="12"/>
  <c r="V77" i="12"/>
  <c r="L78" i="12"/>
  <c r="T78" i="12"/>
  <c r="J79" i="12"/>
  <c r="R79" i="12"/>
  <c r="H80" i="12"/>
  <c r="P80" i="12"/>
  <c r="F81" i="12"/>
  <c r="N81" i="12"/>
  <c r="V81" i="12"/>
  <c r="L82" i="12"/>
  <c r="T82" i="12"/>
  <c r="J83" i="12"/>
  <c r="R83" i="12"/>
  <c r="H84" i="12"/>
  <c r="P84" i="12"/>
  <c r="F85" i="12"/>
  <c r="N85" i="12"/>
  <c r="V85" i="12"/>
  <c r="D84" i="12"/>
  <c r="D70" i="12"/>
  <c r="F46" i="12"/>
  <c r="N46" i="12"/>
  <c r="H158" i="12"/>
  <c r="H98" i="12"/>
  <c r="U104" i="12"/>
  <c r="O108" i="12"/>
  <c r="E66" i="12"/>
  <c r="O69" i="12"/>
  <c r="G73" i="12"/>
  <c r="Q76" i="12"/>
  <c r="F80" i="12"/>
  <c r="T81" i="12"/>
  <c r="P83" i="12"/>
  <c r="L85" i="12"/>
  <c r="J47" i="12"/>
  <c r="U47" i="12"/>
  <c r="K48" i="12"/>
  <c r="S48" i="12"/>
  <c r="I49" i="12"/>
  <c r="Q49" i="12"/>
  <c r="G50" i="12"/>
  <c r="O50" i="12"/>
  <c r="E51" i="12"/>
  <c r="M51" i="12"/>
  <c r="U51" i="12"/>
  <c r="K52" i="12"/>
  <c r="S52" i="12"/>
  <c r="I53" i="12"/>
  <c r="Q53" i="12"/>
  <c r="G54" i="12"/>
  <c r="O54" i="12"/>
  <c r="E55" i="12"/>
  <c r="M55" i="12"/>
  <c r="U55" i="12"/>
  <c r="K56" i="12"/>
  <c r="S56" i="12"/>
  <c r="I57" i="12"/>
  <c r="Q57" i="12"/>
  <c r="G58" i="12"/>
  <c r="O58" i="12"/>
  <c r="D47" i="12"/>
  <c r="D55" i="12"/>
  <c r="F31" i="12"/>
  <c r="N31" i="12"/>
  <c r="V31" i="12"/>
  <c r="L32" i="12"/>
  <c r="T32" i="12"/>
  <c r="J33" i="12"/>
  <c r="R33" i="12"/>
  <c r="H34" i="12"/>
  <c r="P34" i="12"/>
  <c r="F35" i="12"/>
  <c r="N35" i="12"/>
  <c r="V35" i="12"/>
  <c r="L36" i="12"/>
  <c r="T36" i="12"/>
  <c r="J37" i="12"/>
  <c r="R37" i="12"/>
  <c r="H38" i="12"/>
  <c r="P38" i="12"/>
  <c r="F39" i="12"/>
  <c r="N39" i="12"/>
  <c r="V39" i="12"/>
  <c r="L40" i="12"/>
  <c r="T40" i="12"/>
  <c r="J41" i="12"/>
  <c r="R41" i="12"/>
  <c r="H42" i="12"/>
  <c r="P42" i="12"/>
  <c r="D39" i="12"/>
  <c r="D34" i="12"/>
  <c r="P129" i="12"/>
  <c r="L99" i="12"/>
  <c r="M105" i="12"/>
  <c r="D93" i="12"/>
  <c r="M66" i="12"/>
  <c r="E70" i="12"/>
  <c r="O73" i="12"/>
  <c r="G77" i="12"/>
  <c r="I80" i="12"/>
  <c r="E82" i="12"/>
  <c r="S83" i="12"/>
  <c r="O85" i="12"/>
  <c r="G46" i="12"/>
  <c r="K47" i="12"/>
  <c r="V47" i="12"/>
  <c r="L48" i="12"/>
  <c r="T48" i="12"/>
  <c r="J49" i="12"/>
  <c r="R49" i="12"/>
  <c r="H50" i="12"/>
  <c r="P50" i="12"/>
  <c r="F51" i="12"/>
  <c r="N51" i="12"/>
  <c r="V51" i="12"/>
  <c r="L52" i="12"/>
  <c r="T52" i="12"/>
  <c r="J53" i="12"/>
  <c r="R53" i="12"/>
  <c r="H54" i="12"/>
  <c r="P54" i="12"/>
  <c r="F55" i="12"/>
  <c r="N55" i="12"/>
  <c r="V55" i="12"/>
  <c r="L56" i="12"/>
  <c r="T56" i="12"/>
  <c r="J57" i="12"/>
  <c r="R57" i="12"/>
  <c r="H58" i="12"/>
  <c r="P58" i="12"/>
  <c r="D48" i="12"/>
  <c r="D56" i="12"/>
  <c r="G31" i="12"/>
  <c r="O31" i="12"/>
  <c r="E32" i="12"/>
  <c r="M32" i="12"/>
  <c r="U32" i="12"/>
  <c r="K33" i="12"/>
  <c r="S33" i="12"/>
  <c r="I34" i="12"/>
  <c r="Q34" i="12"/>
  <c r="G35" i="12"/>
  <c r="O35" i="12"/>
  <c r="E36" i="12"/>
  <c r="M36" i="12"/>
  <c r="U36" i="12"/>
  <c r="K37" i="12"/>
  <c r="S37" i="12"/>
  <c r="I38" i="12"/>
  <c r="Q38" i="12"/>
  <c r="G39" i="12"/>
  <c r="O39" i="12"/>
  <c r="E40" i="12"/>
  <c r="M40" i="12"/>
  <c r="U40" i="12"/>
  <c r="K41" i="12"/>
  <c r="S41" i="12"/>
  <c r="I42" i="12"/>
  <c r="Q42" i="12"/>
  <c r="D40" i="12"/>
  <c r="D35" i="12"/>
  <c r="U133" i="12"/>
  <c r="J100" i="12"/>
  <c r="U105" i="12"/>
  <c r="D101" i="12"/>
  <c r="U66" i="12"/>
  <c r="M70" i="12"/>
  <c r="E74" i="12"/>
  <c r="O77" i="12"/>
  <c r="N80" i="12"/>
  <c r="J82" i="12"/>
  <c r="F84" i="12"/>
  <c r="T85" i="12"/>
  <c r="L46" i="12"/>
  <c r="L47" i="12"/>
  <c r="E48" i="12"/>
  <c r="M48" i="12"/>
  <c r="U48" i="12"/>
  <c r="K49" i="12"/>
  <c r="S49" i="12"/>
  <c r="I50" i="12"/>
  <c r="Q50" i="12"/>
  <c r="G51" i="12"/>
  <c r="O51" i="12"/>
  <c r="E52" i="12"/>
  <c r="M52" i="12"/>
  <c r="U52" i="12"/>
  <c r="K53" i="12"/>
  <c r="S53" i="12"/>
  <c r="I54" i="12"/>
  <c r="Q54" i="12"/>
  <c r="G55" i="12"/>
  <c r="O55" i="12"/>
  <c r="E56" i="12"/>
  <c r="M56" i="12"/>
  <c r="U56" i="12"/>
  <c r="K57" i="12"/>
  <c r="S57" i="12"/>
  <c r="I58" i="12"/>
  <c r="Q58" i="12"/>
  <c r="D49" i="12"/>
  <c r="D57" i="12"/>
  <c r="D46" i="12"/>
  <c r="H31" i="12"/>
  <c r="P31" i="12"/>
  <c r="F32" i="12"/>
  <c r="N32" i="12"/>
  <c r="V32" i="12"/>
  <c r="L33" i="12"/>
  <c r="T33" i="12"/>
  <c r="J34" i="12"/>
  <c r="R34" i="12"/>
  <c r="H35" i="12"/>
  <c r="P35" i="12"/>
  <c r="F36" i="12"/>
  <c r="N36" i="12"/>
  <c r="V36" i="12"/>
  <c r="L37" i="12"/>
  <c r="T37" i="12"/>
  <c r="J38" i="12"/>
  <c r="R38" i="12"/>
  <c r="H39" i="12"/>
  <c r="P39" i="12"/>
  <c r="F40" i="12"/>
  <c r="N40" i="12"/>
  <c r="V40" i="12"/>
  <c r="L41" i="12"/>
  <c r="T41" i="12"/>
  <c r="J42" i="12"/>
  <c r="R42" i="12"/>
  <c r="D41" i="12"/>
  <c r="D36" i="12"/>
  <c r="H117" i="12"/>
  <c r="H101" i="12"/>
  <c r="K106" i="12"/>
  <c r="D92" i="12"/>
  <c r="K67" i="12"/>
  <c r="U70" i="12"/>
  <c r="M74" i="12"/>
  <c r="E78" i="12"/>
  <c r="Q80" i="12"/>
  <c r="M82" i="12"/>
  <c r="I84" i="12"/>
  <c r="D77" i="12"/>
  <c r="O46" i="12"/>
  <c r="M47" i="12"/>
  <c r="F48" i="12"/>
  <c r="N48" i="12"/>
  <c r="V48" i="12"/>
  <c r="L49" i="12"/>
  <c r="T49" i="12"/>
  <c r="J50" i="12"/>
  <c r="R50" i="12"/>
  <c r="H51" i="12"/>
  <c r="P51" i="12"/>
  <c r="F52" i="12"/>
  <c r="N52" i="12"/>
  <c r="V52" i="12"/>
  <c r="L53" i="12"/>
  <c r="T53" i="12"/>
  <c r="J54" i="12"/>
  <c r="R54" i="12"/>
  <c r="H55" i="12"/>
  <c r="P55" i="12"/>
  <c r="F56" i="12"/>
  <c r="N56" i="12"/>
  <c r="V56" i="12"/>
  <c r="L57" i="12"/>
  <c r="T57" i="12"/>
  <c r="J58" i="12"/>
  <c r="R58" i="12"/>
  <c r="D50" i="12"/>
  <c r="D58" i="12"/>
  <c r="I31" i="12"/>
  <c r="Q31" i="12"/>
  <c r="G32" i="12"/>
  <c r="O32" i="12"/>
  <c r="E33" i="12"/>
  <c r="M33" i="12"/>
  <c r="U33" i="12"/>
  <c r="K34" i="12"/>
  <c r="S34" i="12"/>
  <c r="I35" i="12"/>
  <c r="Q35" i="12"/>
  <c r="G36" i="12"/>
  <c r="O36" i="12"/>
  <c r="E37" i="12"/>
  <c r="M37" i="12"/>
  <c r="U37" i="12"/>
  <c r="K38" i="12"/>
  <c r="S38" i="12"/>
  <c r="I39" i="12"/>
  <c r="Q39" i="12"/>
  <c r="G40" i="12"/>
  <c r="O40" i="12"/>
  <c r="E41" i="12"/>
  <c r="M41" i="12"/>
  <c r="U41" i="12"/>
  <c r="K42" i="12"/>
  <c r="S42" i="12"/>
  <c r="D42" i="12"/>
  <c r="D37" i="12"/>
  <c r="R120" i="12"/>
  <c r="F102" i="12"/>
  <c r="S106" i="12"/>
  <c r="S67" i="12"/>
  <c r="K71" i="12"/>
  <c r="U74" i="12"/>
  <c r="M78" i="12"/>
  <c r="V80" i="12"/>
  <c r="R82" i="12"/>
  <c r="N84" i="12"/>
  <c r="D82" i="12"/>
  <c r="T46" i="12"/>
  <c r="O47" i="12"/>
  <c r="G48" i="12"/>
  <c r="O48" i="12"/>
  <c r="E49" i="12"/>
  <c r="M49" i="12"/>
  <c r="U49" i="12"/>
  <c r="K50" i="12"/>
  <c r="S50" i="12"/>
  <c r="I51" i="12"/>
  <c r="Q51" i="12"/>
  <c r="G52" i="12"/>
  <c r="O52" i="12"/>
  <c r="E53" i="12"/>
  <c r="M53" i="12"/>
  <c r="U53" i="12"/>
  <c r="K54" i="12"/>
  <c r="S54" i="12"/>
  <c r="I55" i="12"/>
  <c r="Q55" i="12"/>
  <c r="G56" i="12"/>
  <c r="O56" i="12"/>
  <c r="E57" i="12"/>
  <c r="M57" i="12"/>
  <c r="U57" i="12"/>
  <c r="K58" i="12"/>
  <c r="S58" i="12"/>
  <c r="D51" i="12"/>
  <c r="J31" i="12"/>
  <c r="R31" i="12"/>
  <c r="H32" i="12"/>
  <c r="P32" i="12"/>
  <c r="F33" i="12"/>
  <c r="N33" i="12"/>
  <c r="V33" i="12"/>
  <c r="L34" i="12"/>
  <c r="T34" i="12"/>
  <c r="J35" i="12"/>
  <c r="R35" i="12"/>
  <c r="H36" i="12"/>
  <c r="P36" i="12"/>
  <c r="F37" i="12"/>
  <c r="N37" i="12"/>
  <c r="V37" i="12"/>
  <c r="L38" i="12"/>
  <c r="T38" i="12"/>
  <c r="J39" i="12"/>
  <c r="R39" i="12"/>
  <c r="H40" i="12"/>
  <c r="P40" i="12"/>
  <c r="F41" i="12"/>
  <c r="N41" i="12"/>
  <c r="V41" i="12"/>
  <c r="L42" i="12"/>
  <c r="T42" i="12"/>
  <c r="D118" i="12"/>
  <c r="V102" i="12"/>
  <c r="I107" i="12"/>
  <c r="I68" i="12"/>
  <c r="S71" i="12"/>
  <c r="K75" i="12"/>
  <c r="U78" i="12"/>
  <c r="G81" i="12"/>
  <c r="U82" i="12"/>
  <c r="Q84" i="12"/>
  <c r="D85" i="12"/>
  <c r="U46" i="12"/>
  <c r="R47" i="12"/>
  <c r="H48" i="12"/>
  <c r="P48" i="12"/>
  <c r="F49" i="12"/>
  <c r="N49" i="12"/>
  <c r="V49" i="12"/>
  <c r="L50" i="12"/>
  <c r="T50" i="12"/>
  <c r="J51" i="12"/>
  <c r="R51" i="12"/>
  <c r="H52" i="12"/>
  <c r="P52" i="12"/>
  <c r="F53" i="12"/>
  <c r="N53" i="12"/>
  <c r="V53" i="12"/>
  <c r="L54" i="12"/>
  <c r="T54" i="12"/>
  <c r="J55" i="12"/>
  <c r="R55" i="12"/>
  <c r="H56" i="12"/>
  <c r="P56" i="12"/>
  <c r="F57" i="12"/>
  <c r="N57" i="12"/>
  <c r="V57" i="12"/>
  <c r="L58" i="12"/>
  <c r="T58" i="12"/>
  <c r="D52" i="12"/>
  <c r="K31" i="12"/>
  <c r="S31" i="12"/>
  <c r="I32" i="12"/>
  <c r="Q32" i="12"/>
  <c r="G33" i="12"/>
  <c r="O33" i="12"/>
  <c r="E34" i="12"/>
  <c r="M34" i="12"/>
  <c r="U34" i="12"/>
  <c r="K35" i="12"/>
  <c r="S35" i="12"/>
  <c r="I36" i="12"/>
  <c r="Q36" i="12"/>
  <c r="G37" i="12"/>
  <c r="O37" i="12"/>
  <c r="E38" i="12"/>
  <c r="M38" i="12"/>
  <c r="U38" i="12"/>
  <c r="K39" i="12"/>
  <c r="S39" i="12"/>
  <c r="I40" i="12"/>
  <c r="Q40" i="12"/>
  <c r="G41" i="12"/>
  <c r="O41" i="12"/>
  <c r="E42" i="12"/>
  <c r="M42" i="12"/>
  <c r="U42" i="12"/>
  <c r="D31" i="12"/>
  <c r="J92" i="12"/>
  <c r="S103" i="12"/>
  <c r="Q107" i="12"/>
  <c r="G65" i="12"/>
  <c r="Q68" i="12"/>
  <c r="I72" i="12"/>
  <c r="S75" i="12"/>
  <c r="K79" i="12"/>
  <c r="L81" i="12"/>
  <c r="H83" i="12"/>
  <c r="V84" i="12"/>
  <c r="D72" i="12"/>
  <c r="V46" i="12"/>
  <c r="S47" i="12"/>
  <c r="I48" i="12"/>
  <c r="Q48" i="12"/>
  <c r="G49" i="12"/>
  <c r="O49" i="12"/>
  <c r="E50" i="12"/>
  <c r="M50" i="12"/>
  <c r="U50" i="12"/>
  <c r="K51" i="12"/>
  <c r="S51" i="12"/>
  <c r="I52" i="12"/>
  <c r="Q52" i="12"/>
  <c r="G53" i="12"/>
  <c r="O53" i="12"/>
  <c r="E54" i="12"/>
  <c r="M54" i="12"/>
  <c r="U54" i="12"/>
  <c r="K55" i="12"/>
  <c r="S55" i="12"/>
  <c r="I56" i="12"/>
  <c r="Q56" i="12"/>
  <c r="G57" i="12"/>
  <c r="O57" i="12"/>
  <c r="E58" i="12"/>
  <c r="M58" i="12"/>
  <c r="U58" i="12"/>
  <c r="D53" i="12"/>
  <c r="L31" i="12"/>
  <c r="T31" i="12"/>
  <c r="J32" i="12"/>
  <c r="R32" i="12"/>
  <c r="H33" i="12"/>
  <c r="P33" i="12"/>
  <c r="F34" i="12"/>
  <c r="N34" i="12"/>
  <c r="V34" i="12"/>
  <c r="L35" i="12"/>
  <c r="T35" i="12"/>
  <c r="J36" i="12"/>
  <c r="R36" i="12"/>
  <c r="H37" i="12"/>
  <c r="P37" i="12"/>
  <c r="F38" i="12"/>
  <c r="N38" i="12"/>
  <c r="V38" i="12"/>
  <c r="L39" i="12"/>
  <c r="T39" i="12"/>
  <c r="J40" i="12"/>
  <c r="R40" i="12"/>
  <c r="H41" i="12"/>
  <c r="P41" i="12"/>
  <c r="F42" i="12"/>
  <c r="N42" i="12"/>
  <c r="V42" i="12"/>
  <c r="D32" i="12"/>
  <c r="T95" i="12"/>
  <c r="K104" i="12"/>
  <c r="G108" i="12"/>
  <c r="O65" i="12"/>
  <c r="G69" i="12"/>
  <c r="Q72" i="12"/>
  <c r="I76" i="12"/>
  <c r="S79" i="12"/>
  <c r="O81" i="12"/>
  <c r="K83" i="12"/>
  <c r="G85" i="12"/>
  <c r="D69" i="12"/>
  <c r="E47" i="12"/>
  <c r="T47" i="12"/>
  <c r="J48" i="12"/>
  <c r="R48" i="12"/>
  <c r="H49" i="12"/>
  <c r="P49" i="12"/>
  <c r="F50" i="12"/>
  <c r="N50" i="12"/>
  <c r="V50" i="12"/>
  <c r="L51" i="12"/>
  <c r="T51" i="12"/>
  <c r="J52" i="12"/>
  <c r="R52" i="12"/>
  <c r="H53" i="12"/>
  <c r="P53" i="12"/>
  <c r="F54" i="12"/>
  <c r="N54" i="12"/>
  <c r="V54" i="12"/>
  <c r="L55" i="12"/>
  <c r="T55" i="12"/>
  <c r="J56" i="12"/>
  <c r="R56" i="12"/>
  <c r="H57" i="12"/>
  <c r="P57" i="12"/>
  <c r="F58" i="12"/>
  <c r="N58" i="12"/>
  <c r="V58" i="12"/>
  <c r="D54" i="12"/>
  <c r="G30" i="12"/>
  <c r="E31" i="12"/>
  <c r="M31" i="12"/>
  <c r="U31" i="12"/>
  <c r="K32" i="12"/>
  <c r="S32" i="12"/>
  <c r="I33" i="12"/>
  <c r="Q33" i="12"/>
  <c r="G34" i="12"/>
  <c r="O34" i="12"/>
  <c r="E35" i="12"/>
  <c r="M35" i="12"/>
  <c r="U35" i="12"/>
  <c r="K36" i="12"/>
  <c r="S36" i="12"/>
  <c r="I37" i="12"/>
  <c r="Q37" i="12"/>
  <c r="G38" i="12"/>
  <c r="O38" i="12"/>
  <c r="E39" i="12"/>
  <c r="M39" i="12"/>
  <c r="U39" i="12"/>
  <c r="K40" i="12"/>
  <c r="S40" i="12"/>
  <c r="I41" i="12"/>
  <c r="Q41" i="12"/>
  <c r="G42" i="12"/>
  <c r="O42" i="12"/>
  <c r="D38" i="12"/>
  <c r="D33" i="12"/>
  <c r="K64" i="12"/>
  <c r="AN15" i="18" l="1"/>
  <c r="AO15" i="18" s="1"/>
  <c r="AN14" i="18"/>
  <c r="AO14" i="18" s="1"/>
  <c r="AP4" i="15"/>
  <c r="AQ4" i="15" s="1"/>
  <c r="B14" i="17"/>
  <c r="AN14" i="17" s="1"/>
  <c r="AO14" i="17" s="1"/>
  <c r="AN15" i="17"/>
  <c r="AO15" i="17" s="1"/>
  <c r="AD34" i="13"/>
  <c r="AD13" i="13" s="1"/>
  <c r="Y34" i="13"/>
  <c r="Y13" i="13" s="1"/>
  <c r="W29" i="18" s="1"/>
  <c r="V10" i="18" s="1"/>
  <c r="AC34" i="13"/>
  <c r="AC13" i="13" s="1"/>
  <c r="AA29" i="18" s="1"/>
  <c r="AL34" i="13"/>
  <c r="AL13" i="13" s="1"/>
  <c r="AE34" i="13"/>
  <c r="AE13" i="13" s="1"/>
  <c r="AC29" i="18" s="1"/>
  <c r="AB10" i="18" s="1"/>
  <c r="AG34" i="13"/>
  <c r="AG13" i="13" s="1"/>
  <c r="AE29" i="18" s="1"/>
  <c r="AD10" i="18" s="1"/>
  <c r="AK34" i="13"/>
  <c r="AK13" i="13" s="1"/>
  <c r="AI29" i="18" s="1"/>
  <c r="AM34" i="13"/>
  <c r="AM13" i="13" s="1"/>
  <c r="AK29" i="18" s="1"/>
  <c r="AJ10" i="18" s="1"/>
  <c r="AO34" i="13"/>
  <c r="AO13" i="13" s="1"/>
  <c r="W34" i="13"/>
  <c r="W13" i="13" s="1"/>
  <c r="U29" i="18" s="1"/>
  <c r="T10" i="18" s="1"/>
  <c r="Z34" i="13"/>
  <c r="Z13" i="13" s="1"/>
  <c r="AH34" i="13"/>
  <c r="AH13" i="13" s="1"/>
  <c r="AB34" i="13"/>
  <c r="AB13" i="13" s="1"/>
  <c r="X34" i="13"/>
  <c r="X13" i="13" s="1"/>
  <c r="AA34" i="13"/>
  <c r="AA13" i="13" s="1"/>
  <c r="Y29" i="18" s="1"/>
  <c r="X10" i="18" s="1"/>
  <c r="AJ34" i="13"/>
  <c r="AJ13" i="13" s="1"/>
  <c r="AF34" i="13"/>
  <c r="AF13" i="13" s="1"/>
  <c r="AI34" i="13"/>
  <c r="AI13" i="13" s="1"/>
  <c r="AG29" i="18" s="1"/>
  <c r="AF10" i="18" s="1"/>
  <c r="V34" i="13"/>
  <c r="V13" i="13" s="1"/>
  <c r="AN34" i="13"/>
  <c r="AN13" i="13" s="1"/>
  <c r="AH20" i="13"/>
  <c r="AH12" i="13" s="1"/>
  <c r="T34" i="13"/>
  <c r="T13" i="13" s="1"/>
  <c r="AB20" i="13"/>
  <c r="AB12" i="13" s="1"/>
  <c r="G20" i="13"/>
  <c r="G12" i="13" s="1"/>
  <c r="S34" i="13"/>
  <c r="S13" i="13" s="1"/>
  <c r="Q29" i="18" s="1"/>
  <c r="P10" i="18" s="1"/>
  <c r="AM20" i="13"/>
  <c r="AM12" i="13" s="1"/>
  <c r="L34" i="13"/>
  <c r="L13" i="13" s="1"/>
  <c r="G13" i="13"/>
  <c r="E29" i="18" s="1"/>
  <c r="D10" i="18" s="1"/>
  <c r="X20" i="13"/>
  <c r="X12" i="13" s="1"/>
  <c r="AC20" i="13"/>
  <c r="AC12" i="13" s="1"/>
  <c r="Z20" i="13"/>
  <c r="Z12" i="13" s="1"/>
  <c r="AI20" i="13"/>
  <c r="AI12" i="13" s="1"/>
  <c r="O34" i="13"/>
  <c r="O13" i="13" s="1"/>
  <c r="M29" i="18" s="1"/>
  <c r="L10" i="18" s="1"/>
  <c r="I34" i="13"/>
  <c r="I13" i="13" s="1"/>
  <c r="G29" i="18" s="1"/>
  <c r="F10" i="18" s="1"/>
  <c r="T20" i="13"/>
  <c r="T12" i="13" s="1"/>
  <c r="Y20" i="13"/>
  <c r="Y12" i="13" s="1"/>
  <c r="V20" i="13"/>
  <c r="V12" i="13" s="1"/>
  <c r="E13" i="13"/>
  <c r="C29" i="18" s="1"/>
  <c r="AO20" i="13"/>
  <c r="AO12" i="13" s="1"/>
  <c r="Q34" i="13"/>
  <c r="Q13" i="13" s="1"/>
  <c r="O29" i="18" s="1"/>
  <c r="N10" i="18" s="1"/>
  <c r="P20" i="13"/>
  <c r="P12" i="13" s="1"/>
  <c r="U20" i="13"/>
  <c r="U12" i="13" s="1"/>
  <c r="R20" i="13"/>
  <c r="R12" i="13" s="1"/>
  <c r="AA20" i="13"/>
  <c r="AA12" i="13" s="1"/>
  <c r="M34" i="13"/>
  <c r="M13" i="13" s="1"/>
  <c r="K29" i="18" s="1"/>
  <c r="F13" i="13"/>
  <c r="AK20" i="13"/>
  <c r="AK12" i="13" s="1"/>
  <c r="L20" i="13"/>
  <c r="L12" i="13" s="1"/>
  <c r="Q20" i="13"/>
  <c r="Q12" i="13" s="1"/>
  <c r="J34" i="13"/>
  <c r="J13" i="13" s="1"/>
  <c r="AL20" i="13"/>
  <c r="AL12" i="13" s="1"/>
  <c r="N20" i="13"/>
  <c r="N12" i="13" s="1"/>
  <c r="W20" i="13"/>
  <c r="W12" i="13" s="1"/>
  <c r="U34" i="13"/>
  <c r="U13" i="13" s="1"/>
  <c r="S29" i="18" s="1"/>
  <c r="N34" i="13"/>
  <c r="N13" i="13" s="1"/>
  <c r="AN20" i="13"/>
  <c r="AN12" i="13" s="1"/>
  <c r="H20" i="13"/>
  <c r="H12" i="13" s="1"/>
  <c r="M20" i="13"/>
  <c r="M12" i="13" s="1"/>
  <c r="AD20" i="13"/>
  <c r="AD12" i="13" s="1"/>
  <c r="R34" i="13"/>
  <c r="R13" i="13" s="1"/>
  <c r="J20" i="13"/>
  <c r="J12" i="13" s="1"/>
  <c r="S20" i="13"/>
  <c r="S12" i="13" s="1"/>
  <c r="AJ20" i="13"/>
  <c r="AJ12" i="13" s="1"/>
  <c r="I20" i="13"/>
  <c r="I12" i="13" s="1"/>
  <c r="AE20" i="13"/>
  <c r="AE12" i="13" s="1"/>
  <c r="F20" i="13"/>
  <c r="F12" i="13" s="1"/>
  <c r="O20" i="13"/>
  <c r="O12" i="13" s="1"/>
  <c r="AF20" i="13"/>
  <c r="AF12" i="13" s="1"/>
  <c r="H34" i="13"/>
  <c r="H13" i="13" s="1"/>
  <c r="AG20" i="13"/>
  <c r="AG12" i="13" s="1"/>
  <c r="K20" i="13"/>
  <c r="K12" i="13" s="1"/>
  <c r="K34" i="13"/>
  <c r="K13" i="13" s="1"/>
  <c r="I29" i="18" s="1"/>
  <c r="H10" i="18" s="1"/>
  <c r="D13" i="13"/>
  <c r="P34" i="13"/>
  <c r="P13" i="13" s="1"/>
  <c r="N30" i="12"/>
  <c r="Q30" i="12"/>
  <c r="U30" i="12"/>
  <c r="P29" i="12"/>
  <c r="E30" i="12"/>
  <c r="R29" i="12"/>
  <c r="D30" i="12"/>
  <c r="F29" i="12"/>
  <c r="M29" i="12"/>
  <c r="R30" i="12"/>
  <c r="J29" i="12"/>
  <c r="G29" i="12"/>
  <c r="U29" i="12"/>
  <c r="E29" i="12"/>
  <c r="J30" i="12"/>
  <c r="D20" i="13"/>
  <c r="D12" i="13" s="1"/>
  <c r="D29" i="12"/>
  <c r="N29" i="12"/>
  <c r="O30" i="12"/>
  <c r="V30" i="12"/>
  <c r="T29" i="12"/>
  <c r="L29" i="12"/>
  <c r="Q29" i="12"/>
  <c r="F30" i="12"/>
  <c r="M30" i="12"/>
  <c r="T30" i="12"/>
  <c r="I30" i="12"/>
  <c r="I29" i="12"/>
  <c r="L30" i="12"/>
  <c r="S30" i="12"/>
  <c r="S29" i="12"/>
  <c r="P30" i="12"/>
  <c r="H29" i="12"/>
  <c r="O29" i="12"/>
  <c r="V29" i="12"/>
  <c r="K30" i="12"/>
  <c r="K29" i="12"/>
  <c r="H30" i="12"/>
  <c r="E125" i="12"/>
  <c r="E22" i="12" s="1"/>
  <c r="E10" i="12" s="1"/>
  <c r="U90" i="12"/>
  <c r="V125" i="12"/>
  <c r="V22" i="12" s="1"/>
  <c r="V10" i="12" s="1"/>
  <c r="K63" i="12"/>
  <c r="K19" i="12" s="1"/>
  <c r="K7" i="12" s="1"/>
  <c r="R89" i="12"/>
  <c r="O125" i="12"/>
  <c r="O22" i="12" s="1"/>
  <c r="O10" i="12" s="1"/>
  <c r="V45" i="12"/>
  <c r="V18" i="12" s="1"/>
  <c r="V6" i="12" s="1"/>
  <c r="H45" i="12"/>
  <c r="H18" i="12" s="1"/>
  <c r="H6" i="12" s="1"/>
  <c r="P113" i="12"/>
  <c r="P21" i="12" s="1"/>
  <c r="P9" i="12" s="1"/>
  <c r="E113" i="12"/>
  <c r="E21" i="12" s="1"/>
  <c r="E9" i="12" s="1"/>
  <c r="H64" i="12"/>
  <c r="H63" i="12" s="1"/>
  <c r="H19" i="12" s="1"/>
  <c r="H7" i="12" s="1"/>
  <c r="V64" i="12"/>
  <c r="V63" i="12" s="1"/>
  <c r="V19" i="12" s="1"/>
  <c r="V7" i="12" s="1"/>
  <c r="D90" i="12"/>
  <c r="I89" i="12"/>
  <c r="M90" i="12"/>
  <c r="L89" i="12"/>
  <c r="I113" i="12"/>
  <c r="I21" i="12" s="1"/>
  <c r="I9" i="12" s="1"/>
  <c r="U113" i="12"/>
  <c r="U21" i="12" s="1"/>
  <c r="U9" i="12" s="1"/>
  <c r="J89" i="12"/>
  <c r="G113" i="12"/>
  <c r="G21" i="12" s="1"/>
  <c r="G9" i="12" s="1"/>
  <c r="U137" i="12"/>
  <c r="U23" i="12" s="1"/>
  <c r="U11" i="12" s="1"/>
  <c r="R137" i="12"/>
  <c r="R23" i="12" s="1"/>
  <c r="R11" i="12" s="1"/>
  <c r="D137" i="12"/>
  <c r="D23" i="12" s="1"/>
  <c r="D11" i="12" s="1"/>
  <c r="V90" i="12"/>
  <c r="R45" i="12"/>
  <c r="R18" i="12" s="1"/>
  <c r="R6" i="12" s="1"/>
  <c r="O45" i="12"/>
  <c r="O18" i="12" s="1"/>
  <c r="O6" i="12" s="1"/>
  <c r="O64" i="12"/>
  <c r="O63" i="12" s="1"/>
  <c r="O19" i="12" s="1"/>
  <c r="O7" i="12" s="1"/>
  <c r="N64" i="12"/>
  <c r="N63" i="12" s="1"/>
  <c r="N19" i="12" s="1"/>
  <c r="N7" i="12" s="1"/>
  <c r="E90" i="12"/>
  <c r="D113" i="12"/>
  <c r="D21" i="12" s="1"/>
  <c r="D9" i="12" s="1"/>
  <c r="M113" i="12"/>
  <c r="M21" i="12" s="1"/>
  <c r="M9" i="12" s="1"/>
  <c r="F125" i="12"/>
  <c r="F22" i="12" s="1"/>
  <c r="F10" i="12" s="1"/>
  <c r="G137" i="12"/>
  <c r="G23" i="12" s="1"/>
  <c r="G11" i="12" s="1"/>
  <c r="M137" i="12"/>
  <c r="M23" i="12" s="1"/>
  <c r="M11" i="12" s="1"/>
  <c r="J137" i="12"/>
  <c r="J23" i="12" s="1"/>
  <c r="J11" i="12" s="1"/>
  <c r="K137" i="12"/>
  <c r="K23" i="12" s="1"/>
  <c r="K11" i="12" s="1"/>
  <c r="U45" i="12"/>
  <c r="U18" i="12" s="1"/>
  <c r="U6" i="12" s="1"/>
  <c r="Q45" i="12"/>
  <c r="Q18" i="12" s="1"/>
  <c r="Q6" i="12" s="1"/>
  <c r="G45" i="12"/>
  <c r="G18" i="12" s="1"/>
  <c r="G6" i="12" s="1"/>
  <c r="L45" i="12"/>
  <c r="L18" i="12" s="1"/>
  <c r="L6" i="12" s="1"/>
  <c r="G64" i="12"/>
  <c r="G63" i="12" s="1"/>
  <c r="G19" i="12" s="1"/>
  <c r="G7" i="12" s="1"/>
  <c r="F64" i="12"/>
  <c r="F63" i="12" s="1"/>
  <c r="F19" i="12" s="1"/>
  <c r="F7" i="12" s="1"/>
  <c r="H125" i="12"/>
  <c r="H22" i="12" s="1"/>
  <c r="H10" i="12" s="1"/>
  <c r="T64" i="12"/>
  <c r="T63" i="12" s="1"/>
  <c r="T19" i="12" s="1"/>
  <c r="T7" i="12" s="1"/>
  <c r="F90" i="12"/>
  <c r="O89" i="12"/>
  <c r="T90" i="12"/>
  <c r="R113" i="12"/>
  <c r="R21" i="12" s="1"/>
  <c r="R9" i="12" s="1"/>
  <c r="P125" i="12"/>
  <c r="P22" i="12" s="1"/>
  <c r="P10" i="12" s="1"/>
  <c r="S90" i="12"/>
  <c r="V113" i="12"/>
  <c r="V21" i="12" s="1"/>
  <c r="V9" i="12" s="1"/>
  <c r="T137" i="12"/>
  <c r="T23" i="12" s="1"/>
  <c r="T11" i="12" s="1"/>
  <c r="Q125" i="12"/>
  <c r="Q22" i="12" s="1"/>
  <c r="Q10" i="12" s="1"/>
  <c r="Q64" i="12"/>
  <c r="Q63" i="12" s="1"/>
  <c r="Q19" i="12" s="1"/>
  <c r="Q7" i="12" s="1"/>
  <c r="I45" i="12"/>
  <c r="I18" i="12" s="1"/>
  <c r="I6" i="12" s="1"/>
  <c r="N45" i="12"/>
  <c r="N18" i="12" s="1"/>
  <c r="N6" i="12" s="1"/>
  <c r="L64" i="12"/>
  <c r="L63" i="12" s="1"/>
  <c r="L19" i="12" s="1"/>
  <c r="L7" i="12" s="1"/>
  <c r="R64" i="12"/>
  <c r="R63" i="12" s="1"/>
  <c r="R19" i="12" s="1"/>
  <c r="R7" i="12" s="1"/>
  <c r="H89" i="12"/>
  <c r="M125" i="12"/>
  <c r="M22" i="12" s="1"/>
  <c r="M10" i="12" s="1"/>
  <c r="G89" i="12"/>
  <c r="L90" i="12"/>
  <c r="J113" i="12"/>
  <c r="J21" i="12" s="1"/>
  <c r="J9" i="12" s="1"/>
  <c r="K90" i="12"/>
  <c r="Q90" i="12"/>
  <c r="N125" i="12"/>
  <c r="N22" i="12" s="1"/>
  <c r="N10" i="12" s="1"/>
  <c r="O137" i="12"/>
  <c r="O23" i="12" s="1"/>
  <c r="O11" i="12" s="1"/>
  <c r="E137" i="12"/>
  <c r="E23" i="12" s="1"/>
  <c r="E11" i="12" s="1"/>
  <c r="V137" i="12"/>
  <c r="V23" i="12" s="1"/>
  <c r="V11" i="12" s="1"/>
  <c r="L137" i="12"/>
  <c r="L23" i="12" s="1"/>
  <c r="L11" i="12" s="1"/>
  <c r="I125" i="12"/>
  <c r="I22" i="12" s="1"/>
  <c r="I10" i="12" s="1"/>
  <c r="S45" i="12"/>
  <c r="S18" i="12" s="1"/>
  <c r="S6" i="12" s="1"/>
  <c r="T45" i="12"/>
  <c r="T18" i="12" s="1"/>
  <c r="T6" i="12" s="1"/>
  <c r="D89" i="12"/>
  <c r="J64" i="12"/>
  <c r="J63" i="12" s="1"/>
  <c r="J19" i="12" s="1"/>
  <c r="J7" i="12" s="1"/>
  <c r="V89" i="12"/>
  <c r="T113" i="12"/>
  <c r="T21" i="12" s="1"/>
  <c r="T9" i="12" s="1"/>
  <c r="U89" i="12"/>
  <c r="F113" i="12"/>
  <c r="F21" i="12" s="1"/>
  <c r="F9" i="12" s="1"/>
  <c r="I90" i="12"/>
  <c r="N137" i="12"/>
  <c r="N23" i="12" s="1"/>
  <c r="N11" i="12" s="1"/>
  <c r="L113" i="12"/>
  <c r="L21" i="12" s="1"/>
  <c r="L9" i="12" s="1"/>
  <c r="S125" i="12"/>
  <c r="S22" i="12" s="1"/>
  <c r="S10" i="12" s="1"/>
  <c r="K45" i="12"/>
  <c r="K18" i="12" s="1"/>
  <c r="K6" i="12" s="1"/>
  <c r="I64" i="12"/>
  <c r="I63" i="12" s="1"/>
  <c r="I19" i="12" s="1"/>
  <c r="I7" i="12" s="1"/>
  <c r="D45" i="12"/>
  <c r="D18" i="12" s="1"/>
  <c r="D6" i="12" s="1"/>
  <c r="J45" i="12"/>
  <c r="J18" i="12" s="1"/>
  <c r="J6" i="12" s="1"/>
  <c r="M45" i="12"/>
  <c r="M18" i="12" s="1"/>
  <c r="M6" i="12" s="1"/>
  <c r="U64" i="12"/>
  <c r="U63" i="12" s="1"/>
  <c r="U19" i="12" s="1"/>
  <c r="U7" i="12" s="1"/>
  <c r="N90" i="12"/>
  <c r="O90" i="12"/>
  <c r="U125" i="12"/>
  <c r="U22" i="12" s="1"/>
  <c r="U10" i="12" s="1"/>
  <c r="N89" i="12"/>
  <c r="M89" i="12"/>
  <c r="R90" i="12"/>
  <c r="S89" i="12"/>
  <c r="Q113" i="12"/>
  <c r="Q21" i="12" s="1"/>
  <c r="Q9" i="12" s="1"/>
  <c r="P90" i="12"/>
  <c r="Q137" i="12"/>
  <c r="Q23" i="12" s="1"/>
  <c r="Q11" i="12" s="1"/>
  <c r="F137" i="12"/>
  <c r="F23" i="12" s="1"/>
  <c r="F11" i="12" s="1"/>
  <c r="D125" i="12"/>
  <c r="D22" i="12" s="1"/>
  <c r="D10" i="12" s="1"/>
  <c r="K125" i="12"/>
  <c r="K22" i="12" s="1"/>
  <c r="K10" i="12" s="1"/>
  <c r="F45" i="12"/>
  <c r="F18" i="12" s="1"/>
  <c r="F6" i="12" s="1"/>
  <c r="D64" i="12"/>
  <c r="D63" i="12" s="1"/>
  <c r="D19" i="12" s="1"/>
  <c r="D7" i="12" s="1"/>
  <c r="E45" i="12"/>
  <c r="E18" i="12" s="1"/>
  <c r="E6" i="12" s="1"/>
  <c r="M64" i="12"/>
  <c r="M63" i="12" s="1"/>
  <c r="M19" i="12" s="1"/>
  <c r="M7" i="12" s="1"/>
  <c r="S64" i="12"/>
  <c r="S63" i="12" s="1"/>
  <c r="S19" i="12" s="1"/>
  <c r="S7" i="12" s="1"/>
  <c r="P89" i="12"/>
  <c r="G90" i="12"/>
  <c r="F89" i="12"/>
  <c r="N113" i="12"/>
  <c r="N21" i="12" s="1"/>
  <c r="N9" i="12" s="1"/>
  <c r="E89" i="12"/>
  <c r="J90" i="12"/>
  <c r="H113" i="12"/>
  <c r="H21" i="12" s="1"/>
  <c r="H9" i="12" s="1"/>
  <c r="K89" i="12"/>
  <c r="S113" i="12"/>
  <c r="S21" i="12" s="1"/>
  <c r="S9" i="12" s="1"/>
  <c r="H90" i="12"/>
  <c r="R125" i="12"/>
  <c r="R22" i="12" s="1"/>
  <c r="R10" i="12" s="1"/>
  <c r="I137" i="12"/>
  <c r="I23" i="12" s="1"/>
  <c r="I11" i="12" s="1"/>
  <c r="P137" i="12"/>
  <c r="P23" i="12" s="1"/>
  <c r="P11" i="12" s="1"/>
  <c r="T125" i="12"/>
  <c r="T22" i="12" s="1"/>
  <c r="T10" i="12" s="1"/>
  <c r="P45" i="12"/>
  <c r="P18" i="12" s="1"/>
  <c r="P6" i="12" s="1"/>
  <c r="P64" i="12"/>
  <c r="P63" i="12" s="1"/>
  <c r="P19" i="12" s="1"/>
  <c r="P7" i="12" s="1"/>
  <c r="E64" i="12"/>
  <c r="E63" i="12" s="1"/>
  <c r="E19" i="12" s="1"/>
  <c r="E7" i="12" s="1"/>
  <c r="Q89" i="12"/>
  <c r="O113" i="12"/>
  <c r="O21" i="12" s="1"/>
  <c r="O9" i="12" s="1"/>
  <c r="G125" i="12"/>
  <c r="G22" i="12" s="1"/>
  <c r="G10" i="12" s="1"/>
  <c r="L125" i="12"/>
  <c r="L22" i="12" s="1"/>
  <c r="L10" i="12" s="1"/>
  <c r="T89" i="12"/>
  <c r="J125" i="12"/>
  <c r="J22" i="12" s="1"/>
  <c r="J10" i="12" s="1"/>
  <c r="K113" i="12"/>
  <c r="K21" i="12" s="1"/>
  <c r="K9" i="12" s="1"/>
  <c r="S137" i="12"/>
  <c r="S23" i="12" s="1"/>
  <c r="S11" i="12" s="1"/>
  <c r="H137" i="12"/>
  <c r="H23" i="12" s="1"/>
  <c r="H11" i="12" s="1"/>
  <c r="M28" i="17" l="1"/>
  <c r="L9" i="17" s="1"/>
  <c r="M28" i="18"/>
  <c r="AB28" i="17"/>
  <c r="AB28" i="18"/>
  <c r="AJ28" i="17"/>
  <c r="AJ28" i="18"/>
  <c r="P28" i="17"/>
  <c r="P28" i="18"/>
  <c r="R28" i="17"/>
  <c r="R28" i="18"/>
  <c r="J29" i="17"/>
  <c r="J29" i="18"/>
  <c r="T29" i="17"/>
  <c r="T29" i="18"/>
  <c r="X29" i="17"/>
  <c r="X29" i="18"/>
  <c r="Z10" i="18"/>
  <c r="B28" i="17"/>
  <c r="B28" i="18"/>
  <c r="N29" i="17"/>
  <c r="N29" i="18"/>
  <c r="D28" i="17"/>
  <c r="D28" i="18"/>
  <c r="K28" i="17"/>
  <c r="J9" i="17" s="1"/>
  <c r="K28" i="18"/>
  <c r="J9" i="18" s="1"/>
  <c r="H29" i="17"/>
  <c r="H29" i="18"/>
  <c r="S28" i="17"/>
  <c r="R9" i="17" s="1"/>
  <c r="S28" i="18"/>
  <c r="R9" i="18" s="1"/>
  <c r="AK28" i="17"/>
  <c r="AJ9" i="17" s="1"/>
  <c r="AK28" i="18"/>
  <c r="O28" i="17"/>
  <c r="N9" i="17" s="1"/>
  <c r="O28" i="18"/>
  <c r="G28" i="17"/>
  <c r="F9" i="17" s="1"/>
  <c r="G28" i="18"/>
  <c r="AL28" i="17"/>
  <c r="AL28" i="18"/>
  <c r="J28" i="17"/>
  <c r="J28" i="18"/>
  <c r="AG28" i="17"/>
  <c r="AF9" i="17" s="1"/>
  <c r="AG28" i="18"/>
  <c r="E28" i="17"/>
  <c r="D9" i="17" s="1"/>
  <c r="E28" i="18"/>
  <c r="AH29" i="17"/>
  <c r="AH29" i="18"/>
  <c r="B29" i="17"/>
  <c r="B29" i="18"/>
  <c r="AC28" i="17"/>
  <c r="AB9" i="17" s="1"/>
  <c r="AC28" i="18"/>
  <c r="F28" i="17"/>
  <c r="F28" i="18"/>
  <c r="N28" i="17"/>
  <c r="N28" i="18"/>
  <c r="AD29" i="17"/>
  <c r="AD29" i="18"/>
  <c r="AM29" i="17"/>
  <c r="AM29" i="18"/>
  <c r="AB29" i="17"/>
  <c r="AB29" i="18"/>
  <c r="I28" i="17"/>
  <c r="H9" i="17" s="1"/>
  <c r="I28" i="18"/>
  <c r="AH28" i="17"/>
  <c r="AH28" i="18"/>
  <c r="L29" i="17"/>
  <c r="L29" i="18"/>
  <c r="AI28" i="17"/>
  <c r="AH9" i="17" s="1"/>
  <c r="AI28" i="18"/>
  <c r="AH9" i="18" s="1"/>
  <c r="AM28" i="17"/>
  <c r="AL9" i="17" s="1"/>
  <c r="AM28" i="18"/>
  <c r="X28" i="17"/>
  <c r="X28" i="18"/>
  <c r="Z28" i="17"/>
  <c r="Z28" i="18"/>
  <c r="AH10" i="18"/>
  <c r="AE28" i="17"/>
  <c r="AD9" i="17" s="1"/>
  <c r="AE28" i="18"/>
  <c r="Q28" i="17"/>
  <c r="P9" i="17" s="1"/>
  <c r="Q28" i="18"/>
  <c r="R10" i="18"/>
  <c r="D29" i="17"/>
  <c r="D29" i="18"/>
  <c r="B10" i="18"/>
  <c r="AA28" i="17"/>
  <c r="Z9" i="17" s="1"/>
  <c r="AA28" i="18"/>
  <c r="Z9" i="18" s="1"/>
  <c r="R29" i="17"/>
  <c r="R29" i="18"/>
  <c r="V29" i="17"/>
  <c r="V29" i="18"/>
  <c r="F29" i="17"/>
  <c r="F29" i="18"/>
  <c r="H28" i="17"/>
  <c r="H28" i="18"/>
  <c r="U28" i="17"/>
  <c r="T9" i="17" s="1"/>
  <c r="U28" i="18"/>
  <c r="J10" i="18"/>
  <c r="T28" i="17"/>
  <c r="T28" i="18"/>
  <c r="V28" i="17"/>
  <c r="V28" i="18"/>
  <c r="AF28" i="17"/>
  <c r="AF28" i="18"/>
  <c r="Z29" i="17"/>
  <c r="Z29" i="18"/>
  <c r="AD28" i="17"/>
  <c r="AD28" i="18"/>
  <c r="P29" i="17"/>
  <c r="P29" i="18"/>
  <c r="L28" i="17"/>
  <c r="L28" i="18"/>
  <c r="Y28" i="17"/>
  <c r="X9" i="17" s="1"/>
  <c r="Y28" i="18"/>
  <c r="W28" i="17"/>
  <c r="V9" i="17" s="1"/>
  <c r="W28" i="18"/>
  <c r="AL29" i="17"/>
  <c r="AL29" i="18"/>
  <c r="AF29" i="17"/>
  <c r="AF29" i="18"/>
  <c r="AJ29" i="17"/>
  <c r="AJ29" i="18"/>
  <c r="L6" i="13"/>
  <c r="K29" i="17"/>
  <c r="J10" i="17" s="1"/>
  <c r="AD6" i="13"/>
  <c r="AC29" i="17"/>
  <c r="AB10" i="17" s="1"/>
  <c r="F6" i="13"/>
  <c r="E29" i="17"/>
  <c r="D10" i="17" s="1"/>
  <c r="AB6" i="13"/>
  <c r="AA29" i="17"/>
  <c r="Z10" i="17" s="1"/>
  <c r="H6" i="13"/>
  <c r="G29" i="17"/>
  <c r="F10" i="17" s="1"/>
  <c r="AH6" i="13"/>
  <c r="AG29" i="17"/>
  <c r="AF10" i="17" s="1"/>
  <c r="V6" i="13"/>
  <c r="U29" i="17"/>
  <c r="T10" i="17" s="1"/>
  <c r="X6" i="13"/>
  <c r="W29" i="17"/>
  <c r="V10" i="17" s="1"/>
  <c r="T6" i="13"/>
  <c r="S29" i="17"/>
  <c r="R10" i="17" s="1"/>
  <c r="D6" i="13"/>
  <c r="C29" i="17"/>
  <c r="B10" i="17" s="1"/>
  <c r="AF6" i="13"/>
  <c r="AE29" i="17"/>
  <c r="AD10" i="17" s="1"/>
  <c r="N6" i="13"/>
  <c r="M29" i="17"/>
  <c r="L10" i="17" s="1"/>
  <c r="R6" i="13"/>
  <c r="Q29" i="17"/>
  <c r="P10" i="17" s="1"/>
  <c r="J6" i="13"/>
  <c r="I29" i="17"/>
  <c r="H10" i="17" s="1"/>
  <c r="P6" i="13"/>
  <c r="O29" i="17"/>
  <c r="N10" i="17" s="1"/>
  <c r="AL6" i="13"/>
  <c r="AK29" i="17"/>
  <c r="AJ10" i="17" s="1"/>
  <c r="Z6" i="13"/>
  <c r="Y29" i="17"/>
  <c r="X10" i="17" s="1"/>
  <c r="AJ6" i="13"/>
  <c r="AI29" i="17"/>
  <c r="AH10" i="17" s="1"/>
  <c r="J14" i="13"/>
  <c r="F14" i="13"/>
  <c r="T14" i="13"/>
  <c r="AF14" i="13"/>
  <c r="R14" i="13"/>
  <c r="AN14" i="13"/>
  <c r="P5" i="13"/>
  <c r="Q14" i="13"/>
  <c r="Z5" i="13"/>
  <c r="AA14" i="13"/>
  <c r="AB5" i="13"/>
  <c r="AC14" i="13"/>
  <c r="AB14" i="13"/>
  <c r="L14" i="13"/>
  <c r="V14" i="13"/>
  <c r="X14" i="13"/>
  <c r="R5" i="13"/>
  <c r="S14" i="13"/>
  <c r="J5" i="13"/>
  <c r="K14" i="13"/>
  <c r="V5" i="13"/>
  <c r="W14" i="13"/>
  <c r="AL5" i="13"/>
  <c r="AM14" i="13"/>
  <c r="AJ5" i="13"/>
  <c r="AK14" i="13"/>
  <c r="P14" i="13"/>
  <c r="AH14" i="13"/>
  <c r="AF5" i="13"/>
  <c r="AG14" i="13"/>
  <c r="AD5" i="13"/>
  <c r="AE14" i="13"/>
  <c r="AD14" i="13"/>
  <c r="N14" i="13"/>
  <c r="T5" i="13"/>
  <c r="U14" i="13"/>
  <c r="H5" i="13"/>
  <c r="I14" i="13"/>
  <c r="L5" i="13"/>
  <c r="M14" i="13"/>
  <c r="AL14" i="13"/>
  <c r="AN5" i="13"/>
  <c r="AO14" i="13"/>
  <c r="AH5" i="13"/>
  <c r="AI14" i="13"/>
  <c r="F5" i="13"/>
  <c r="G14" i="13"/>
  <c r="N5" i="13"/>
  <c r="O14" i="13"/>
  <c r="X5" i="13"/>
  <c r="Y14" i="13"/>
  <c r="D14" i="13"/>
  <c r="AJ14" i="13"/>
  <c r="H14" i="13"/>
  <c r="Z14" i="13"/>
  <c r="Q28" i="12"/>
  <c r="Q17" i="12" s="1"/>
  <c r="Q5" i="12" s="1"/>
  <c r="M28" i="12"/>
  <c r="M17" i="12" s="1"/>
  <c r="M5" i="12" s="1"/>
  <c r="M88" i="12"/>
  <c r="M20" i="12" s="1"/>
  <c r="M8" i="12" s="1"/>
  <c r="T88" i="12"/>
  <c r="T20" i="12" s="1"/>
  <c r="T8" i="12" s="1"/>
  <c r="P28" i="12"/>
  <c r="P17" i="12" s="1"/>
  <c r="P5" i="12" s="1"/>
  <c r="U28" i="12"/>
  <c r="U17" i="12" s="1"/>
  <c r="U5" i="12" s="1"/>
  <c r="J88" i="12"/>
  <c r="J20" i="12" s="1"/>
  <c r="J8" i="12" s="1"/>
  <c r="I28" i="12"/>
  <c r="I17" i="12" s="1"/>
  <c r="I5" i="12" s="1"/>
  <c r="N28" i="12"/>
  <c r="N17" i="12" s="1"/>
  <c r="N5" i="12" s="1"/>
  <c r="AN11" i="13"/>
  <c r="L11" i="13"/>
  <c r="U88" i="12"/>
  <c r="U20" i="12" s="1"/>
  <c r="U8" i="12" s="1"/>
  <c r="S28" i="12"/>
  <c r="S17" i="12" s="1"/>
  <c r="S5" i="12" s="1"/>
  <c r="R28" i="12"/>
  <c r="R17" i="12" s="1"/>
  <c r="E28" i="12"/>
  <c r="E17" i="12" s="1"/>
  <c r="E5" i="12" s="1"/>
  <c r="V28" i="12"/>
  <c r="V17" i="12" s="1"/>
  <c r="V5" i="12" s="1"/>
  <c r="D28" i="12"/>
  <c r="D17" i="12" s="1"/>
  <c r="D5" i="12" s="1"/>
  <c r="O28" i="12"/>
  <c r="O17" i="12" s="1"/>
  <c r="O5" i="12" s="1"/>
  <c r="S88" i="12"/>
  <c r="S20" i="12" s="1"/>
  <c r="S8" i="12" s="1"/>
  <c r="E20" i="13"/>
  <c r="E12" i="13" s="1"/>
  <c r="C28" i="18" s="1"/>
  <c r="B9" i="18" s="1"/>
  <c r="E88" i="12"/>
  <c r="E20" i="12" s="1"/>
  <c r="E8" i="12" s="1"/>
  <c r="D88" i="12"/>
  <c r="D20" i="12" s="1"/>
  <c r="D8" i="12" s="1"/>
  <c r="R88" i="12"/>
  <c r="R20" i="12" s="1"/>
  <c r="R8" i="12" s="1"/>
  <c r="F88" i="12"/>
  <c r="F20" i="12" s="1"/>
  <c r="F8" i="12" s="1"/>
  <c r="AH11" i="13"/>
  <c r="AJ11" i="13"/>
  <c r="H11" i="13"/>
  <c r="D11" i="13"/>
  <c r="W10" i="12"/>
  <c r="X10" i="12" s="1"/>
  <c r="W6" i="12"/>
  <c r="X6" i="12" s="1"/>
  <c r="W11" i="12"/>
  <c r="K88" i="12"/>
  <c r="K20" i="12" s="1"/>
  <c r="K8" i="12" s="1"/>
  <c r="W9" i="12"/>
  <c r="X9" i="12" s="1"/>
  <c r="V88" i="12"/>
  <c r="V20" i="12" s="1"/>
  <c r="V8" i="12" s="1"/>
  <c r="W7" i="12"/>
  <c r="X7" i="12" s="1"/>
  <c r="G88" i="12"/>
  <c r="G20" i="12" s="1"/>
  <c r="G8" i="12" s="1"/>
  <c r="I88" i="12"/>
  <c r="I20" i="12" s="1"/>
  <c r="I8" i="12" s="1"/>
  <c r="O88" i="12"/>
  <c r="O20" i="12" s="1"/>
  <c r="O8" i="12" s="1"/>
  <c r="N88" i="12"/>
  <c r="N20" i="12" s="1"/>
  <c r="N8" i="12" s="1"/>
  <c r="P88" i="12"/>
  <c r="P20" i="12" s="1"/>
  <c r="P8" i="12" s="1"/>
  <c r="L88" i="12"/>
  <c r="L20" i="12" s="1"/>
  <c r="L8" i="12" s="1"/>
  <c r="H88" i="12"/>
  <c r="H20" i="12" s="1"/>
  <c r="H8" i="12" s="1"/>
  <c r="Q88" i="12"/>
  <c r="Q20" i="12" s="1"/>
  <c r="Q8" i="12" s="1"/>
  <c r="L28" i="12"/>
  <c r="L17" i="12" s="1"/>
  <c r="L5" i="12" s="1"/>
  <c r="K28" i="12"/>
  <c r="K17" i="12" s="1"/>
  <c r="F28" i="12"/>
  <c r="F17" i="12" s="1"/>
  <c r="J28" i="12"/>
  <c r="J17" i="12" s="1"/>
  <c r="J5" i="12" s="1"/>
  <c r="H28" i="12"/>
  <c r="H17" i="12" s="1"/>
  <c r="G28" i="12"/>
  <c r="G17" i="12" s="1"/>
  <c r="G5" i="12" s="1"/>
  <c r="T28" i="12"/>
  <c r="T17" i="12" s="1"/>
  <c r="N30" i="17" l="1"/>
  <c r="AM30" i="17"/>
  <c r="R30" i="18"/>
  <c r="J30" i="17"/>
  <c r="B30" i="18"/>
  <c r="AD30" i="17"/>
  <c r="L30" i="18"/>
  <c r="AF30" i="17"/>
  <c r="Z30" i="18"/>
  <c r="P30" i="18"/>
  <c r="AJ30" i="17"/>
  <c r="K30" i="18"/>
  <c r="D30" i="18"/>
  <c r="P30" i="17"/>
  <c r="B30" i="17"/>
  <c r="T30" i="17"/>
  <c r="R30" i="17"/>
  <c r="Z8" i="18"/>
  <c r="Z4" i="18" s="1"/>
  <c r="H30" i="17"/>
  <c r="X30" i="17"/>
  <c r="Z30" i="17"/>
  <c r="L30" i="17"/>
  <c r="D30" i="17"/>
  <c r="H30" i="18"/>
  <c r="AH30" i="18"/>
  <c r="AL30" i="18"/>
  <c r="AL30" i="17"/>
  <c r="J30" i="18"/>
  <c r="F30" i="18"/>
  <c r="C30" i="18"/>
  <c r="AH8" i="18"/>
  <c r="AH4" i="18" s="1"/>
  <c r="AB30" i="17"/>
  <c r="F30" i="17"/>
  <c r="V30" i="17"/>
  <c r="AD30" i="18"/>
  <c r="G30" i="18"/>
  <c r="F9" i="18"/>
  <c r="F8" i="18" s="1"/>
  <c r="F4" i="18" s="1"/>
  <c r="R8" i="18"/>
  <c r="R4" i="18" s="1"/>
  <c r="AB9" i="18"/>
  <c r="AB8" i="18" s="1"/>
  <c r="AB4" i="18" s="1"/>
  <c r="AC30" i="18"/>
  <c r="AG30" i="18"/>
  <c r="AF9" i="18"/>
  <c r="AF8" i="18" s="1"/>
  <c r="AF4" i="18" s="1"/>
  <c r="U30" i="18"/>
  <c r="T9" i="18"/>
  <c r="T8" i="18" s="1"/>
  <c r="T4" i="18" s="1"/>
  <c r="AJ30" i="18"/>
  <c r="V30" i="18"/>
  <c r="S30" i="18"/>
  <c r="O30" i="18"/>
  <c r="N9" i="18"/>
  <c r="N8" i="18" s="1"/>
  <c r="N4" i="18" s="1"/>
  <c r="AB30" i="18"/>
  <c r="Y30" i="18"/>
  <c r="X9" i="18"/>
  <c r="X8" i="18" s="1"/>
  <c r="X4" i="18" s="1"/>
  <c r="AI30" i="18"/>
  <c r="B8" i="18"/>
  <c r="Q30" i="18"/>
  <c r="P9" i="18"/>
  <c r="P8" i="18" s="1"/>
  <c r="P4" i="18" s="1"/>
  <c r="X30" i="18"/>
  <c r="E30" i="18"/>
  <c r="D9" i="18"/>
  <c r="D8" i="18" s="1"/>
  <c r="D4" i="18" s="1"/>
  <c r="AF30" i="18"/>
  <c r="W30" i="18"/>
  <c r="V9" i="18"/>
  <c r="V8" i="18" s="1"/>
  <c r="V4" i="18" s="1"/>
  <c r="T30" i="18"/>
  <c r="AH30" i="17"/>
  <c r="J8" i="18"/>
  <c r="J4" i="18" s="1"/>
  <c r="L9" i="18"/>
  <c r="L8" i="18" s="1"/>
  <c r="L4" i="18" s="1"/>
  <c r="M30" i="18"/>
  <c r="AN10" i="18"/>
  <c r="AO10" i="18" s="1"/>
  <c r="AE30" i="18"/>
  <c r="AD9" i="18"/>
  <c r="AD8" i="18" s="1"/>
  <c r="AD4" i="18" s="1"/>
  <c r="AM30" i="18"/>
  <c r="AL9" i="18"/>
  <c r="I30" i="18"/>
  <c r="H9" i="18"/>
  <c r="H8" i="18" s="1"/>
  <c r="H4" i="18" s="1"/>
  <c r="N30" i="18"/>
  <c r="AK30" i="18"/>
  <c r="AJ9" i="18"/>
  <c r="AJ8" i="18" s="1"/>
  <c r="AJ4" i="18" s="1"/>
  <c r="AA30" i="18"/>
  <c r="R4" i="13"/>
  <c r="N8" i="17"/>
  <c r="N4" i="17" s="1"/>
  <c r="AD8" i="17"/>
  <c r="AD4" i="17" s="1"/>
  <c r="F4" i="13"/>
  <c r="L4" i="13"/>
  <c r="AJ8" i="17"/>
  <c r="AJ4" i="17" s="1"/>
  <c r="AH4" i="13"/>
  <c r="S30" i="17"/>
  <c r="T8" i="17"/>
  <c r="T4" i="17" s="1"/>
  <c r="U30" i="17"/>
  <c r="AE30" i="17"/>
  <c r="P4" i="13"/>
  <c r="K30" i="17"/>
  <c r="AJ4" i="13"/>
  <c r="Z4" i="13"/>
  <c r="J8" i="17"/>
  <c r="J4" i="17" s="1"/>
  <c r="P8" i="17"/>
  <c r="P4" i="17" s="1"/>
  <c r="AB4" i="13"/>
  <c r="N4" i="13"/>
  <c r="Q30" i="17"/>
  <c r="R8" i="17"/>
  <c r="R4" i="17" s="1"/>
  <c r="O30" i="17"/>
  <c r="H4" i="13"/>
  <c r="AB8" i="17"/>
  <c r="AB4" i="17" s="1"/>
  <c r="W30" i="17"/>
  <c r="M30" i="17"/>
  <c r="V8" i="17"/>
  <c r="V4" i="17" s="1"/>
  <c r="AA30" i="17"/>
  <c r="AP6" i="13"/>
  <c r="AQ6" i="13" s="1"/>
  <c r="AL4" i="13"/>
  <c r="AC30" i="17"/>
  <c r="T4" i="13"/>
  <c r="L8" i="17"/>
  <c r="L4" i="17" s="1"/>
  <c r="Y30" i="17"/>
  <c r="Z8" i="17"/>
  <c r="Z4" i="17" s="1"/>
  <c r="AH8" i="17"/>
  <c r="AH4" i="17" s="1"/>
  <c r="AD4" i="13"/>
  <c r="G30" i="17"/>
  <c r="X4" i="13"/>
  <c r="X8" i="17"/>
  <c r="X4" i="17" s="1"/>
  <c r="AI30" i="17"/>
  <c r="AG30" i="17"/>
  <c r="I30" i="17"/>
  <c r="AF4" i="13"/>
  <c r="V4" i="13"/>
  <c r="AF8" i="17"/>
  <c r="AF4" i="17" s="1"/>
  <c r="H8" i="17"/>
  <c r="H4" i="17" s="1"/>
  <c r="D8" i="17"/>
  <c r="D4" i="17" s="1"/>
  <c r="AN10" i="17"/>
  <c r="AO10" i="17" s="1"/>
  <c r="J4" i="13"/>
  <c r="F8" i="17"/>
  <c r="F4" i="17" s="1"/>
  <c r="E30" i="17"/>
  <c r="AK30" i="17"/>
  <c r="E14" i="13"/>
  <c r="C28" i="17"/>
  <c r="D5" i="13"/>
  <c r="D4" i="13" s="1"/>
  <c r="M4" i="12"/>
  <c r="M16" i="12"/>
  <c r="U4" i="12"/>
  <c r="J4" i="12"/>
  <c r="R16" i="12"/>
  <c r="S16" i="12"/>
  <c r="U16" i="12"/>
  <c r="E4" i="12"/>
  <c r="R5" i="12"/>
  <c r="R4" i="12" s="1"/>
  <c r="V11" i="13"/>
  <c r="P11" i="13"/>
  <c r="AD11" i="13"/>
  <c r="X11" i="13"/>
  <c r="S4" i="12"/>
  <c r="J11" i="13"/>
  <c r="E16" i="12"/>
  <c r="D16" i="12"/>
  <c r="F16" i="12"/>
  <c r="AL11" i="13"/>
  <c r="Z11" i="13"/>
  <c r="AB11" i="13"/>
  <c r="F11" i="13"/>
  <c r="AF11" i="13"/>
  <c r="T11" i="13"/>
  <c r="N11" i="13"/>
  <c r="R11" i="13"/>
  <c r="W8" i="12"/>
  <c r="X8" i="12" s="1"/>
  <c r="V16" i="12"/>
  <c r="K16" i="12"/>
  <c r="G4" i="12"/>
  <c r="I4" i="12"/>
  <c r="I16" i="12"/>
  <c r="V4" i="12"/>
  <c r="D4" i="12"/>
  <c r="N16" i="12"/>
  <c r="N4" i="12"/>
  <c r="H16" i="12"/>
  <c r="P4" i="12"/>
  <c r="P16" i="12"/>
  <c r="O4" i="12"/>
  <c r="O16" i="12"/>
  <c r="L4" i="12"/>
  <c r="Q16" i="12"/>
  <c r="Q4" i="12"/>
  <c r="F5" i="12"/>
  <c r="F4" i="12" s="1"/>
  <c r="K5" i="12"/>
  <c r="K4" i="12" s="1"/>
  <c r="L16" i="12"/>
  <c r="J16" i="12"/>
  <c r="G16" i="12"/>
  <c r="H5" i="12"/>
  <c r="H4" i="12" s="1"/>
  <c r="T5" i="12"/>
  <c r="T4" i="12" s="1"/>
  <c r="T16" i="12"/>
  <c r="AN8" i="18" l="1"/>
  <c r="AO8" i="18" s="1"/>
  <c r="B4" i="18"/>
  <c r="AN4" i="18" s="1"/>
  <c r="AO4" i="18" s="1"/>
  <c r="AN9" i="18"/>
  <c r="AO9" i="18" s="1"/>
  <c r="B9" i="17"/>
  <c r="C30" i="17"/>
  <c r="AP5" i="13"/>
  <c r="AQ5" i="13" s="1"/>
  <c r="AP4" i="13"/>
  <c r="AQ4" i="13" s="1"/>
  <c r="W5" i="12"/>
  <c r="X5" i="12" s="1"/>
  <c r="D13" i="4"/>
  <c r="B8" i="17" l="1"/>
  <c r="AN9" i="17"/>
  <c r="AO9" i="17" s="1"/>
  <c r="X4" i="4"/>
  <c r="AN8" i="17" l="1"/>
  <c r="AO8" i="17" s="1"/>
  <c r="B4" i="17"/>
  <c r="AN4" i="17" s="1"/>
  <c r="AO4" i="17" s="1"/>
  <c r="W4" i="4"/>
  <c r="D9" i="4"/>
  <c r="D10" i="4"/>
  <c r="D11" i="4"/>
  <c r="D12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F4" i="4" a="1"/>
  <c r="F4" i="4" s="1"/>
  <c r="A4" i="4" l="1" a="1"/>
  <c r="W5" i="4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D7" i="4" l="1"/>
  <c r="D8" i="4"/>
  <c r="B8" i="4"/>
  <c r="C8" i="4" s="1"/>
  <c r="B7" i="4"/>
  <c r="C7" i="4" s="1"/>
  <c r="D5" i="4"/>
  <c r="D6" i="4"/>
  <c r="B5" i="4"/>
  <c r="C5" i="4" s="1"/>
  <c r="B6" i="4"/>
  <c r="C6" i="4" s="1"/>
  <c r="A4" i="4"/>
  <c r="B4" i="4" l="1"/>
  <c r="C4" i="4" s="1"/>
  <c r="D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855568-D10A-4864-B62B-36E5F05CC2E8}" keepAlive="1" name="Consulta - Base_Custos__Mesa_Ser" description="Conexão com a consulta 'Base_Custos__Mesa_Ser' na pasta de trabalho." type="5" refreshedVersion="8" background="1" saveData="1">
    <dbPr connection="Provider=Microsoft.Mashup.OleDb.1;Data Source=$Workbook$;Location=Base_Custos__Mesa_Ser;Extended Properties=&quot;&quot;" command="SELECT * FROM [Base_Custos__Mesa_Ser]"/>
  </connection>
  <connection id="2" xr16:uid="{820D29B7-AEEC-4DAC-A8AA-A81C258FF14F}" keepAlive="1" name="Consulta - Base_Custos__Mesa_Ser (2)" description="Conexão com a consulta 'Base_Custos__Mesa_Ser (2)' na pasta de trabalho." type="5" refreshedVersion="8" background="1" saveData="1">
    <dbPr connection="Provider=Microsoft.Mashup.OleDb.1;Data Source=$Workbook$;Location=&quot;Base_Custos__Mesa_Ser (2)&quot;;Extended Properties=&quot;&quot;" command="SELECT * FROM [Base_Custos__Mesa_Ser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<sst xmlns="http://schemas.openxmlformats.org/spreadsheetml/2006/main" count="31533" uniqueCount="5516">
  <si>
    <t>EQUIP</t>
  </si>
  <si>
    <t>PROGRAMA</t>
  </si>
  <si>
    <t>DOCUMENTO</t>
  </si>
  <si>
    <t>SITUAÇÃO</t>
  </si>
  <si>
    <t>COR</t>
  </si>
  <si>
    <t>PRODUTO</t>
  </si>
  <si>
    <t>DESCRIÇÃO</t>
  </si>
  <si>
    <t>TAMANHO</t>
  </si>
  <si>
    <t>QNT. PRODUZIDA</t>
  </si>
  <si>
    <t>TEMPO</t>
  </si>
  <si>
    <t>S3A026</t>
  </si>
  <si>
    <t>Finalizada</t>
  </si>
  <si>
    <t>TIRA 01 INJ ZAXYNINA</t>
  </si>
  <si>
    <t>ENF TOPE/PUXADOR INJ</t>
  </si>
  <si>
    <t>FORQUILHA INJ GRENDH</t>
  </si>
  <si>
    <t>FORQUILHA INJ IPANEM</t>
  </si>
  <si>
    <t>TRASEIRO INJ IPANEMA</t>
  </si>
  <si>
    <t>SALOME PVC IPANEMA C</t>
  </si>
  <si>
    <t>S3A027</t>
  </si>
  <si>
    <t>ENFEITE SD CARTAGO A</t>
  </si>
  <si>
    <t>COROA SD MINI MELISS</t>
  </si>
  <si>
    <t>ENF INT/EXT SD INJ I</t>
  </si>
  <si>
    <t>S3A028</t>
  </si>
  <si>
    <t>PUXADOR INJ MINI MEL</t>
  </si>
  <si>
    <t>TRASEIRO INJ DISNEY</t>
  </si>
  <si>
    <t>S3A029</t>
  </si>
  <si>
    <t>FORQUILHA INJ CARTAG</t>
  </si>
  <si>
    <t>FORQU INJ CARTAGO PA</t>
  </si>
  <si>
    <t>S3A030</t>
  </si>
  <si>
    <t>PONTEIRAS PVC 1 E 2</t>
  </si>
  <si>
    <t>PUXADOR PVC INJ MELI</t>
  </si>
  <si>
    <t>PUXADOR PVC MELISSA</t>
  </si>
  <si>
    <t>s3a030</t>
  </si>
  <si>
    <t>GOLEIRA INJ IPANEMA</t>
  </si>
  <si>
    <t>S3A032</t>
  </si>
  <si>
    <t>Iniciada</t>
  </si>
  <si>
    <t>ENF PVC CABEDAL MELI</t>
  </si>
  <si>
    <t>TRASEIRO INJ CARTAGO</t>
  </si>
  <si>
    <t>S3A033</t>
  </si>
  <si>
    <t>CABEDAL INJ MINI MEL</t>
  </si>
  <si>
    <t>S3A034</t>
  </si>
  <si>
    <t>TIRA 01 INJ ZAXY WAY</t>
  </si>
  <si>
    <t>TIRA TRASEIRO INJ LI</t>
  </si>
  <si>
    <t>S3A035</t>
  </si>
  <si>
    <t>S3A036</t>
  </si>
  <si>
    <t>TOPE/LAPELA PVC MINI</t>
  </si>
  <si>
    <t>S3A037</t>
  </si>
  <si>
    <t>PUXADOR INJ MELISSA</t>
  </si>
  <si>
    <t>S3B064</t>
  </si>
  <si>
    <t>S3B065</t>
  </si>
  <si>
    <t>CABEDAL INJ ZAXY LIV</t>
  </si>
  <si>
    <t>S3B066</t>
  </si>
  <si>
    <t>FORQUILHA PVC GRENDH</t>
  </si>
  <si>
    <t>S3B067</t>
  </si>
  <si>
    <t>S3B068</t>
  </si>
  <si>
    <t>CABEDAL INJ DISNEY D</t>
  </si>
  <si>
    <t>S3B069</t>
  </si>
  <si>
    <t>S3B071</t>
  </si>
  <si>
    <t>TRASEIRO INJ ZAXY WA</t>
  </si>
  <si>
    <t>S3B072</t>
  </si>
  <si>
    <t>S3B076</t>
  </si>
  <si>
    <t>FORQUILHA PVC CARTAG</t>
  </si>
  <si>
    <t>S3B077</t>
  </si>
  <si>
    <t>PVC TRASEIRO E GASPE</t>
  </si>
  <si>
    <t>SOLA EXPANCEL INJ MO</t>
  </si>
  <si>
    <t>S3B078</t>
  </si>
  <si>
    <t>CABEDAL INT/EXT INJ</t>
  </si>
  <si>
    <t>FORQ PVC CARTAGO MAL</t>
  </si>
  <si>
    <t>S3B087</t>
  </si>
  <si>
    <t>FORQUILHA INJETADA R</t>
  </si>
  <si>
    <t>S3B089</t>
  </si>
  <si>
    <t>S3B095</t>
  </si>
  <si>
    <t>S3B096</t>
  </si>
  <si>
    <t>S3B100</t>
  </si>
  <si>
    <t>CABEDAL 02 SOBREINJE</t>
  </si>
  <si>
    <t>S3B103</t>
  </si>
  <si>
    <t>S3B104</t>
  </si>
  <si>
    <t>SOLETA 1 E 2  ENFEI</t>
  </si>
  <si>
    <t>S3B105</t>
  </si>
  <si>
    <t>S3B110</t>
  </si>
  <si>
    <t>S3B112</t>
  </si>
  <si>
    <t>S3B114</t>
  </si>
  <si>
    <t>s3b114</t>
  </si>
  <si>
    <t>S3B115</t>
  </si>
  <si>
    <t>S3B116</t>
  </si>
  <si>
    <t>S3B117</t>
  </si>
  <si>
    <t>S3B118</t>
  </si>
  <si>
    <t>S3B119</t>
  </si>
  <si>
    <t>CABEDAL INJ MELISSA</t>
  </si>
  <si>
    <t>FORQUILHA PVC RIDER</t>
  </si>
  <si>
    <t>TIRA 01 INJETADA TIR</t>
  </si>
  <si>
    <t>S3C120</t>
  </si>
  <si>
    <t>TIRA 02/04/05 INJ IP</t>
  </si>
  <si>
    <t>TIRA 01/03 INJ  IPAN</t>
  </si>
  <si>
    <t>S3C121</t>
  </si>
  <si>
    <t>S3C122</t>
  </si>
  <si>
    <t>S3C124</t>
  </si>
  <si>
    <t>TIRA 1 E 2 INJ ZAXY</t>
  </si>
  <si>
    <t>S3C125</t>
  </si>
  <si>
    <t>CABEDAL INJ GRENDHA</t>
  </si>
  <si>
    <t>ENF PVC FORQ ZAXY CH</t>
  </si>
  <si>
    <t>ENF PVC FORQ DIGITAL</t>
  </si>
  <si>
    <t>CABEDAL DIGITAL /TIR</t>
  </si>
  <si>
    <t>S3C138</t>
  </si>
  <si>
    <t>FORQ INJ IPANEMA CLA</t>
  </si>
  <si>
    <t>S3C140</t>
  </si>
  <si>
    <t>CABEDAL INJ DISNEY E</t>
  </si>
  <si>
    <t>FORQ RIDER FEEL URBA</t>
  </si>
  <si>
    <t>S3C144</t>
  </si>
  <si>
    <t>CABEDAL INJ ZAXY DIS</t>
  </si>
  <si>
    <t>s3c144</t>
  </si>
  <si>
    <t>S3C155</t>
  </si>
  <si>
    <t>FORQ INJ CARTAGO ATL</t>
  </si>
  <si>
    <t>s3c156</t>
  </si>
  <si>
    <t>S3C156</t>
  </si>
  <si>
    <t>CABEDAL PVC RIDER ST</t>
  </si>
  <si>
    <t>S3C157</t>
  </si>
  <si>
    <t>CABEDAL PVCa RIDER R</t>
  </si>
  <si>
    <t>S3C158</t>
  </si>
  <si>
    <t>FORQ INJ RIDER R1 ST</t>
  </si>
  <si>
    <t>CABEDAL INJ MARVEL H</t>
  </si>
  <si>
    <t>S3C159</t>
  </si>
  <si>
    <t>SYSTEM INJ RIDER RBO</t>
  </si>
  <si>
    <t>S3C160</t>
  </si>
  <si>
    <t>CABEDAL INJ CARTAGO</t>
  </si>
  <si>
    <t>FORQUILHA PVC  CARTA</t>
  </si>
  <si>
    <t>S3C161</t>
  </si>
  <si>
    <t>CABEDAL INJ ZAXYNINA</t>
  </si>
  <si>
    <t>S3C162</t>
  </si>
  <si>
    <t>FORQ RIDER FEEL DEDO</t>
  </si>
  <si>
    <t>s3c171</t>
  </si>
  <si>
    <t>CABEDAL DIGITAL ZAXY</t>
  </si>
  <si>
    <t>ALMA IPAN BRASIL FEM</t>
  </si>
  <si>
    <t>S3C172</t>
  </si>
  <si>
    <t>FORQ GLITTER INJ IPA</t>
  </si>
  <si>
    <t>S3C173</t>
  </si>
  <si>
    <t>CABEDAL DIGITAL DISN</t>
  </si>
  <si>
    <t>S3C174</t>
  </si>
  <si>
    <t>S3C177</t>
  </si>
  <si>
    <t>S3C178</t>
  </si>
  <si>
    <t>S3D186</t>
  </si>
  <si>
    <t>FORQ C/LOGO IPANEMA</t>
  </si>
  <si>
    <t>FORQ INJ IPANEMA TEM</t>
  </si>
  <si>
    <t>FORQ INJ IPANEMA TUR</t>
  </si>
  <si>
    <t>S3D187</t>
  </si>
  <si>
    <t>S3D188</t>
  </si>
  <si>
    <t>FORQ IPANEMA CLASSIC</t>
  </si>
  <si>
    <t>S3D191</t>
  </si>
  <si>
    <t>FORQ INJ C/LOGO IPAN</t>
  </si>
  <si>
    <t>SOLA INJ ZAXYNINA FO</t>
  </si>
  <si>
    <t>S3D192</t>
  </si>
  <si>
    <t>GASPEA INJ DIGITAL I</t>
  </si>
  <si>
    <t>S3D193</t>
  </si>
  <si>
    <t>S3D194</t>
  </si>
  <si>
    <t>FORQ INJ TIRA FINA C</t>
  </si>
  <si>
    <t>S3D195</t>
  </si>
  <si>
    <t>FORQ INJ IPANEMA ANA</t>
  </si>
  <si>
    <t>S3D201</t>
  </si>
  <si>
    <t>GASPEA INJ IPANEMA S</t>
  </si>
  <si>
    <t>FORQ INJ IPANEMA URB</t>
  </si>
  <si>
    <t>FORQ INJ RIDER R1 SP</t>
  </si>
  <si>
    <t>TRASEIRO GLITTER IPA</t>
  </si>
  <si>
    <t>CABEDAL INJ ZAXY TOU</t>
  </si>
  <si>
    <t>TIRA 2 INJ IPANEMA S</t>
  </si>
  <si>
    <t>TIRA 01 INJ IPANEMA</t>
  </si>
  <si>
    <t>FORQ INJ IPANEMA BOS</t>
  </si>
  <si>
    <t>CABEDAL INJ IPANEMA</t>
  </si>
  <si>
    <t>S3D202</t>
  </si>
  <si>
    <t>H364102</t>
  </si>
  <si>
    <t>CABEDAL INJETADO ZAX</t>
  </si>
  <si>
    <t>S3D205</t>
  </si>
  <si>
    <t>2C29824</t>
  </si>
  <si>
    <t>FIVELA NY INJ DISNEY</t>
  </si>
  <si>
    <t>FIVELA NY INJ ZAXY V</t>
  </si>
  <si>
    <t>FIVELA NYLON INJ ZAX</t>
  </si>
  <si>
    <t>FIVELA NY  INJ ZAXY</t>
  </si>
  <si>
    <t>ENF PC NYLON CORACAO</t>
  </si>
  <si>
    <t>S3D208</t>
  </si>
  <si>
    <t>CABEDAL INJ ZAXY NEW</t>
  </si>
  <si>
    <t>TRASEIRO INJETADO IP</t>
  </si>
  <si>
    <t>CHAVEIRO CORPO FRENT</t>
  </si>
  <si>
    <t>S3D209</t>
  </si>
  <si>
    <t>TIRA 1 INJ IPANEMA D</t>
  </si>
  <si>
    <t>TIRA 2 INJ IPANEMA D</t>
  </si>
  <si>
    <t>FORQ INJ MORMAII TRO</t>
  </si>
  <si>
    <t>CABEDAL PVC CARTAGO</t>
  </si>
  <si>
    <t>TIRA TRAS INJ IPANEM</t>
  </si>
  <si>
    <t>FORQ INJ IPANEMA MES</t>
  </si>
  <si>
    <t>S3D210</t>
  </si>
  <si>
    <t>CABEDAL INJ DISNEY S</t>
  </si>
  <si>
    <t>GASPEA INJ RIDER STR</t>
  </si>
  <si>
    <t>TIRAS 01 E 03 INJETA</t>
  </si>
  <si>
    <t>TIRAS 02 04 E 05 INJ</t>
  </si>
  <si>
    <t>TIRA TRASEIRO INJ DI</t>
  </si>
  <si>
    <t>TIRA 1/2 INJ ZAXY ST</t>
  </si>
  <si>
    <t>S3D221</t>
  </si>
  <si>
    <t>BM079</t>
  </si>
  <si>
    <t>FORQUILHA INJ BICOLO</t>
  </si>
  <si>
    <t>S3D222</t>
  </si>
  <si>
    <t>BH269</t>
  </si>
  <si>
    <t>BH272</t>
  </si>
  <si>
    <t>S3D223</t>
  </si>
  <si>
    <t>BJ134</t>
  </si>
  <si>
    <t>FORQ INJ BICOLOR MOR</t>
  </si>
  <si>
    <t>BJ130</t>
  </si>
  <si>
    <t>S3D236</t>
  </si>
  <si>
    <t>ELO NYLON INJ MINI M</t>
  </si>
  <si>
    <t>ELO NYLON INJETADO Z</t>
  </si>
  <si>
    <t>ENFEITE NY INJ GREND</t>
  </si>
  <si>
    <t>S3D237</t>
  </si>
  <si>
    <t>FIVELA NY INJ BARBIE</t>
  </si>
  <si>
    <t>BOTAO MACHO INJ DISN</t>
  </si>
  <si>
    <t>FIVELA NY BARBIE SOF</t>
  </si>
  <si>
    <t>FIVELA NY INJ GRENDH</t>
  </si>
  <si>
    <t>S3D238</t>
  </si>
  <si>
    <t>ELO NY INJ MELISSA M</t>
  </si>
  <si>
    <t>ENFEITE NY INJ DISNE</t>
  </si>
  <si>
    <t>FIVELA NY INJ ZAXY M</t>
  </si>
  <si>
    <t>ENF NY INJ GRENDHA M</t>
  </si>
  <si>
    <t>ENF NY INJ IPANEMA C</t>
  </si>
  <si>
    <t>S3D239</t>
  </si>
  <si>
    <t>PASSADOR NY MINI MEL</t>
  </si>
  <si>
    <t>FIVELA NYL INJ ZAXY</t>
  </si>
  <si>
    <t>FIVELA NY INJ ZAXYNI</t>
  </si>
  <si>
    <t>ENFEITE LACO NY ZAXY</t>
  </si>
  <si>
    <t>S3D240</t>
  </si>
  <si>
    <t>ENFEITE NY INT/EXT I</t>
  </si>
  <si>
    <t>Sem dados</t>
  </si>
  <si>
    <t>-</t>
  </si>
  <si>
    <t>Em máquina</t>
  </si>
  <si>
    <t>Resumo Geral</t>
  </si>
  <si>
    <t>Maquina</t>
  </si>
  <si>
    <t>Comp.</t>
  </si>
  <si>
    <t>Descrição</t>
  </si>
  <si>
    <t>Matriz</t>
  </si>
  <si>
    <t>Produto</t>
  </si>
  <si>
    <t>Prog</t>
  </si>
  <si>
    <t>Ord</t>
  </si>
  <si>
    <t>Doc</t>
  </si>
  <si>
    <t>L</t>
  </si>
  <si>
    <t>Dt.Lib</t>
  </si>
  <si>
    <t>Cor</t>
  </si>
  <si>
    <t>Nr.</t>
  </si>
  <si>
    <t>Ref.Matr</t>
  </si>
  <si>
    <t>Ferramental</t>
  </si>
  <si>
    <t>Padrão</t>
  </si>
  <si>
    <t>Saldo</t>
  </si>
  <si>
    <t>HHHH:MM</t>
  </si>
  <si>
    <t>Ultima Atualização</t>
  </si>
  <si>
    <t>Data Atualização</t>
  </si>
  <si>
    <t xml:space="preserve"> </t>
  </si>
  <si>
    <t>*</t>
  </si>
  <si>
    <t>LOTE</t>
  </si>
  <si>
    <t>PERÍDO</t>
  </si>
  <si>
    <t>FATIA</t>
  </si>
  <si>
    <t>ORDEM</t>
  </si>
  <si>
    <t>TIPO</t>
  </si>
  <si>
    <t>LIBERADO</t>
  </si>
  <si>
    <t>DATA LIBERAÇÃO</t>
  </si>
  <si>
    <t>DATA INICIO</t>
  </si>
  <si>
    <t>GRUPO MAQUINA</t>
  </si>
  <si>
    <t>LAN</t>
  </si>
  <si>
    <t>NIVEL</t>
  </si>
  <si>
    <t>OBS.</t>
  </si>
  <si>
    <t>EFETIVO</t>
  </si>
  <si>
    <t>NUMERAÇÃO</t>
  </si>
  <si>
    <t>PADRÃO</t>
  </si>
  <si>
    <t>R.CQ</t>
  </si>
  <si>
    <t>PRODUZIR</t>
  </si>
  <si>
    <t>PRODUZIDA</t>
  </si>
  <si>
    <t>CANCELADO</t>
  </si>
  <si>
    <t>SALDO</t>
  </si>
  <si>
    <t>ACUM. PARES</t>
  </si>
  <si>
    <t>PARADA</t>
  </si>
  <si>
    <t>PREV</t>
  </si>
  <si>
    <t>TEMPO ACUMULADO</t>
  </si>
  <si>
    <t>HORARIO PREVISTO</t>
  </si>
  <si>
    <t>H. PREV</t>
  </si>
  <si>
    <t>S7P58</t>
  </si>
  <si>
    <t>S</t>
  </si>
  <si>
    <t>39.40</t>
  </si>
  <si>
    <t>43.44</t>
  </si>
  <si>
    <t>S7P59</t>
  </si>
  <si>
    <t>S7P60</t>
  </si>
  <si>
    <t>37.38</t>
  </si>
  <si>
    <t>PPD 1,R</t>
  </si>
  <si>
    <t>efeição</t>
  </si>
  <si>
    <t>S7P61</t>
  </si>
  <si>
    <t>S7P62</t>
  </si>
  <si>
    <t>PIN</t>
  </si>
  <si>
    <t>23.24</t>
  </si>
  <si>
    <t>S7P63</t>
  </si>
  <si>
    <t>PPD 1</t>
  </si>
  <si>
    <t>AZUL/AZUL</t>
  </si>
  <si>
    <t>Refeiçã</t>
  </si>
  <si>
    <t>o</t>
  </si>
  <si>
    <t>S7P64</t>
  </si>
  <si>
    <t>ROSA/ROSA</t>
  </si>
  <si>
    <t>33.34</t>
  </si>
  <si>
    <t>S7P65</t>
  </si>
  <si>
    <t>AZUL/AZUL CLARO</t>
  </si>
  <si>
    <t>S7P66</t>
  </si>
  <si>
    <t>S7P67</t>
  </si>
  <si>
    <t>CB901</t>
  </si>
  <si>
    <t>31.32</t>
  </si>
  <si>
    <t>CB904</t>
  </si>
  <si>
    <t>BQ189</t>
  </si>
  <si>
    <t>S7P68</t>
  </si>
  <si>
    <t>BG781</t>
  </si>
  <si>
    <t>BQ431</t>
  </si>
  <si>
    <t>BZ619</t>
  </si>
  <si>
    <t>29.30</t>
  </si>
  <si>
    <t>BP556</t>
  </si>
  <si>
    <t>25.26</t>
  </si>
  <si>
    <t>BZ087</t>
  </si>
  <si>
    <t>S7P69</t>
  </si>
  <si>
    <t>BT851</t>
  </si>
  <si>
    <t>BQ190</t>
  </si>
  <si>
    <t>BZ086</t>
  </si>
  <si>
    <t>S7P70</t>
  </si>
  <si>
    <t>CB785</t>
  </si>
  <si>
    <t>CB782</t>
  </si>
  <si>
    <t>S7P71</t>
  </si>
  <si>
    <t>S7P72</t>
  </si>
  <si>
    <t>CC882</t>
  </si>
  <si>
    <t>ROSA/ROSA GLITT</t>
  </si>
  <si>
    <t>BQ191</t>
  </si>
  <si>
    <t>BZ084</t>
  </si>
  <si>
    <t>S7P73</t>
  </si>
  <si>
    <t>BU303</t>
  </si>
  <si>
    <t>BQ188</t>
  </si>
  <si>
    <t>S7P74</t>
  </si>
  <si>
    <t>S7P75</t>
  </si>
  <si>
    <t>S7P76</t>
  </si>
  <si>
    <t>S7P77</t>
  </si>
  <si>
    <t>S7M01</t>
  </si>
  <si>
    <t>BR495</t>
  </si>
  <si>
    <t>S7M02</t>
  </si>
  <si>
    <t>S7M03</t>
  </si>
  <si>
    <t>BP209</t>
  </si>
  <si>
    <t>CC310</t>
  </si>
  <si>
    <t>CC312</t>
  </si>
  <si>
    <t>CD086</t>
  </si>
  <si>
    <t>CD087</t>
  </si>
  <si>
    <t>S7M04</t>
  </si>
  <si>
    <t>CE937</t>
  </si>
  <si>
    <t>CE015</t>
  </si>
  <si>
    <t>CE017</t>
  </si>
  <si>
    <t>CE011</t>
  </si>
  <si>
    <t>CE014</t>
  </si>
  <si>
    <t>S7M05</t>
  </si>
  <si>
    <t>AL738</t>
  </si>
  <si>
    <t>CB199</t>
  </si>
  <si>
    <t>CB200</t>
  </si>
  <si>
    <t>17.18</t>
  </si>
  <si>
    <t>20.21</t>
  </si>
  <si>
    <t>CB201</t>
  </si>
  <si>
    <t>S7M06</t>
  </si>
  <si>
    <t>AJ571</t>
  </si>
  <si>
    <t>AJ569</t>
  </si>
  <si>
    <t>S7M07</t>
  </si>
  <si>
    <t>AJ570</t>
  </si>
  <si>
    <t>BR190</t>
  </si>
  <si>
    <t>BV727</t>
  </si>
  <si>
    <t>CB206</t>
  </si>
  <si>
    <t>S7M08</t>
  </si>
  <si>
    <t>S7M09</t>
  </si>
  <si>
    <t>BR588</t>
  </si>
  <si>
    <t>S7M10</t>
  </si>
  <si>
    <t>S7M11</t>
  </si>
  <si>
    <t>CE339</t>
  </si>
  <si>
    <t>CE340</t>
  </si>
  <si>
    <t>CE338</t>
  </si>
  <si>
    <t>S7M12</t>
  </si>
  <si>
    <t>BW173</t>
  </si>
  <si>
    <t>S7M13</t>
  </si>
  <si>
    <t>S7M14</t>
  </si>
  <si>
    <t>CC950</t>
  </si>
  <si>
    <t>CA312</t>
  </si>
  <si>
    <t>CA317</t>
  </si>
  <si>
    <t>CA313</t>
  </si>
  <si>
    <t>S7M15</t>
  </si>
  <si>
    <t>S7M16</t>
  </si>
  <si>
    <t>S7M17</t>
  </si>
  <si>
    <t>S7M18</t>
  </si>
  <si>
    <t>CB639</t>
  </si>
  <si>
    <t>CA837</t>
  </si>
  <si>
    <t>S7M19</t>
  </si>
  <si>
    <t>CB478</t>
  </si>
  <si>
    <t>CB481</t>
  </si>
  <si>
    <t>S7M20</t>
  </si>
  <si>
    <t>CC682</t>
  </si>
  <si>
    <t>BEGE/MARROM</t>
  </si>
  <si>
    <t>S7M21</t>
  </si>
  <si>
    <t>BW650</t>
  </si>
  <si>
    <t>BW653</t>
  </si>
  <si>
    <t>S7M22</t>
  </si>
  <si>
    <t>26.27</t>
  </si>
  <si>
    <t>32.33</t>
  </si>
  <si>
    <t>S7M23</t>
  </si>
  <si>
    <t>S7S01</t>
  </si>
  <si>
    <t>S7S02</t>
  </si>
  <si>
    <t>CB295</t>
  </si>
  <si>
    <t>CB293</t>
  </si>
  <si>
    <t>PPD 2</t>
  </si>
  <si>
    <t>S7S03</t>
  </si>
  <si>
    <t>CB476</t>
  </si>
  <si>
    <t>CB477</t>
  </si>
  <si>
    <t>BX299</t>
  </si>
  <si>
    <t>S7S04</t>
  </si>
  <si>
    <t>BX745</t>
  </si>
  <si>
    <t>BY964</t>
  </si>
  <si>
    <t>BRANCO/AZUL</t>
  </si>
  <si>
    <t>S7S05</t>
  </si>
  <si>
    <t>BW682</t>
  </si>
  <si>
    <t>CB578</t>
  </si>
  <si>
    <t>CB579</t>
  </si>
  <si>
    <t>CB580</t>
  </si>
  <si>
    <t>S7S06</t>
  </si>
  <si>
    <t>BZ893</t>
  </si>
  <si>
    <t>CE155</t>
  </si>
  <si>
    <t>S7S08</t>
  </si>
  <si>
    <t>CC171</t>
  </si>
  <si>
    <t>CC172</t>
  </si>
  <si>
    <t>CC169</t>
  </si>
  <si>
    <t>MAIS ACAI ENER</t>
  </si>
  <si>
    <t>S7S11</t>
  </si>
  <si>
    <t>CC409</t>
  </si>
  <si>
    <t>CC411</t>
  </si>
  <si>
    <t>CC413</t>
  </si>
  <si>
    <t>CA730</t>
  </si>
  <si>
    <t>S7S12</t>
  </si>
  <si>
    <t>CA724</t>
  </si>
  <si>
    <t>BE054</t>
  </si>
  <si>
    <t>CA728</t>
  </si>
  <si>
    <t>S7S13</t>
  </si>
  <si>
    <t>CA790</t>
  </si>
  <si>
    <t>CB863</t>
  </si>
  <si>
    <t>CB861</t>
  </si>
  <si>
    <t>S7S14</t>
  </si>
  <si>
    <t>BU569</t>
  </si>
  <si>
    <t>AZUL/AZUL/VERME</t>
  </si>
  <si>
    <t>BQ747</t>
  </si>
  <si>
    <t>S7S15</t>
  </si>
  <si>
    <t>BELLE SAND</t>
  </si>
  <si>
    <t>CC619</t>
  </si>
  <si>
    <t>CC604</t>
  </si>
  <si>
    <t>CC623</t>
  </si>
  <si>
    <t>CC625</t>
  </si>
  <si>
    <t>CC624</t>
  </si>
  <si>
    <t>S7S16</t>
  </si>
  <si>
    <t>BZ105</t>
  </si>
  <si>
    <t>BZ108</t>
  </si>
  <si>
    <t>CC366</t>
  </si>
  <si>
    <t>S7S17</t>
  </si>
  <si>
    <t>CC372</t>
  </si>
  <si>
    <t>BZ036</t>
  </si>
  <si>
    <t>BZ033</t>
  </si>
  <si>
    <t>BZ034</t>
  </si>
  <si>
    <t>BS400</t>
  </si>
  <si>
    <t>PRETO/PRETO/LAR</t>
  </si>
  <si>
    <t>S7S18</t>
  </si>
  <si>
    <t>AS790</t>
  </si>
  <si>
    <t>Fábrica</t>
  </si>
  <si>
    <t>Modelo</t>
  </si>
  <si>
    <t>Combinação TOTVS</t>
  </si>
  <si>
    <t>Subequipamentos</t>
  </si>
  <si>
    <t>Total</t>
  </si>
  <si>
    <t>SOB_20_7507_F7</t>
  </si>
  <si>
    <t>09399</t>
  </si>
  <si>
    <t>MESA SERIGRAFICA DUPLA</t>
  </si>
  <si>
    <t>20795</t>
  </si>
  <si>
    <t>20853</t>
  </si>
  <si>
    <t>21304</t>
  </si>
  <si>
    <t>22904</t>
  </si>
  <si>
    <t>25383</t>
  </si>
  <si>
    <t>AS229</t>
  </si>
  <si>
    <t>20106</t>
  </si>
  <si>
    <t>20108</t>
  </si>
  <si>
    <t>20247</t>
  </si>
  <si>
    <t>20561</t>
  </si>
  <si>
    <t>20698</t>
  </si>
  <si>
    <t>20718</t>
  </si>
  <si>
    <t>20729</t>
  </si>
  <si>
    <t>20834</t>
  </si>
  <si>
    <t>21029</t>
  </si>
  <si>
    <t>21183</t>
  </si>
  <si>
    <t>21188</t>
  </si>
  <si>
    <t>21194</t>
  </si>
  <si>
    <t>21364</t>
  </si>
  <si>
    <t>21717</t>
  </si>
  <si>
    <t>21724</t>
  </si>
  <si>
    <t>21732</t>
  </si>
  <si>
    <t>21831</t>
  </si>
  <si>
    <t>21838</t>
  </si>
  <si>
    <t>21869</t>
  </si>
  <si>
    <t>21929</t>
  </si>
  <si>
    <t>21933</t>
  </si>
  <si>
    <t>22017</t>
  </si>
  <si>
    <t>22287</t>
  </si>
  <si>
    <t>22318</t>
  </si>
  <si>
    <t>22494</t>
  </si>
  <si>
    <t>22503</t>
  </si>
  <si>
    <t>22570</t>
  </si>
  <si>
    <t>22585</t>
  </si>
  <si>
    <t>22626</t>
  </si>
  <si>
    <t>23244</t>
  </si>
  <si>
    <t>23614</t>
  </si>
  <si>
    <t>23943</t>
  </si>
  <si>
    <t>23948</t>
  </si>
  <si>
    <t>24034</t>
  </si>
  <si>
    <t>24041</t>
  </si>
  <si>
    <t>24060</t>
  </si>
  <si>
    <t>24061</t>
  </si>
  <si>
    <t>SOB_20_7506_F6</t>
  </si>
  <si>
    <t>09117</t>
  </si>
  <si>
    <t>20084</t>
  </si>
  <si>
    <t>MESA SERIGRAFICA SIMPLES</t>
  </si>
  <si>
    <t>20789</t>
  </si>
  <si>
    <t>20974</t>
  </si>
  <si>
    <t>20998</t>
  </si>
  <si>
    <t>21004</t>
  </si>
  <si>
    <t>21016</t>
  </si>
  <si>
    <t>21020</t>
  </si>
  <si>
    <t>21150</t>
  </si>
  <si>
    <t>21309</t>
  </si>
  <si>
    <t>21392</t>
  </si>
  <si>
    <t>21446</t>
  </si>
  <si>
    <t>21733</t>
  </si>
  <si>
    <t>21735</t>
  </si>
  <si>
    <t>21757</t>
  </si>
  <si>
    <t>22028</t>
  </si>
  <si>
    <t>22086</t>
  </si>
  <si>
    <t>22113</t>
  </si>
  <si>
    <t>22117</t>
  </si>
  <si>
    <t>22347</t>
  </si>
  <si>
    <t>22391</t>
  </si>
  <si>
    <t>22426</t>
  </si>
  <si>
    <t>22467</t>
  </si>
  <si>
    <t>22485</t>
  </si>
  <si>
    <t>22544</t>
  </si>
  <si>
    <t>22545</t>
  </si>
  <si>
    <t>22574</t>
  </si>
  <si>
    <t>22622</t>
  </si>
  <si>
    <t>22762</t>
  </si>
  <si>
    <t>22788</t>
  </si>
  <si>
    <t>22999</t>
  </si>
  <si>
    <t>23015</t>
  </si>
  <si>
    <t>23039</t>
  </si>
  <si>
    <t>23152</t>
  </si>
  <si>
    <t>23239</t>
  </si>
  <si>
    <t>23280</t>
  </si>
  <si>
    <t>23394</t>
  </si>
  <si>
    <t>23768</t>
  </si>
  <si>
    <t>23787</t>
  </si>
  <si>
    <t>23788</t>
  </si>
  <si>
    <t>23789</t>
  </si>
  <si>
    <t>23790</t>
  </si>
  <si>
    <t>23828</t>
  </si>
  <si>
    <t>24038</t>
  </si>
  <si>
    <t>24125</t>
  </si>
  <si>
    <t>24126</t>
  </si>
  <si>
    <t>24243</t>
  </si>
  <si>
    <t>24379</t>
  </si>
  <si>
    <t>24416</t>
  </si>
  <si>
    <t>25273</t>
  </si>
  <si>
    <t>25802</t>
  </si>
  <si>
    <t>25803</t>
  </si>
  <si>
    <t>25804</t>
  </si>
  <si>
    <t>AC925</t>
  </si>
  <si>
    <t>AC927</t>
  </si>
  <si>
    <t>AC929</t>
  </si>
  <si>
    <t>AC931</t>
  </si>
  <si>
    <t>AO575</t>
  </si>
  <si>
    <t>AO576</t>
  </si>
  <si>
    <t>AO577</t>
  </si>
  <si>
    <t>AR646</t>
  </si>
  <si>
    <t>AS098</t>
  </si>
  <si>
    <t>AS099</t>
  </si>
  <si>
    <t>AS100</t>
  </si>
  <si>
    <t>AZ357</t>
  </si>
  <si>
    <t>AZ358</t>
  </si>
  <si>
    <t>AZ361</t>
  </si>
  <si>
    <t>AZ362</t>
  </si>
  <si>
    <t>BA429</t>
  </si>
  <si>
    <t>BB455</t>
  </si>
  <si>
    <t>BB456</t>
  </si>
  <si>
    <t>BB458</t>
  </si>
  <si>
    <t>BB459</t>
  </si>
  <si>
    <t>BB460</t>
  </si>
  <si>
    <t>BH378</t>
  </si>
  <si>
    <t>BH385</t>
  </si>
  <si>
    <t>BH386</t>
  </si>
  <si>
    <t>BI267</t>
  </si>
  <si>
    <t>BK313</t>
  </si>
  <si>
    <t>BK314</t>
  </si>
  <si>
    <t>BK931</t>
  </si>
  <si>
    <t>BK938</t>
  </si>
  <si>
    <t>BK939</t>
  </si>
  <si>
    <t>BL356</t>
  </si>
  <si>
    <t>BL367</t>
  </si>
  <si>
    <t>BR551</t>
  </si>
  <si>
    <t>BR553</t>
  </si>
  <si>
    <t>BR557</t>
  </si>
  <si>
    <t>BR559</t>
  </si>
  <si>
    <t>BT239</t>
  </si>
  <si>
    <t>BW098</t>
  </si>
  <si>
    <t>BW099</t>
  </si>
  <si>
    <t>BW100</t>
  </si>
  <si>
    <t>BW101</t>
  </si>
  <si>
    <t>BW102</t>
  </si>
  <si>
    <t>CB422</t>
  </si>
  <si>
    <t>CB423</t>
  </si>
  <si>
    <t>CE010</t>
  </si>
  <si>
    <t>09772</t>
  </si>
  <si>
    <t>20566</t>
  </si>
  <si>
    <t>20764</t>
  </si>
  <si>
    <t>20973</t>
  </si>
  <si>
    <t>21032</t>
  </si>
  <si>
    <t>21065</t>
  </si>
  <si>
    <t>21165</t>
  </si>
  <si>
    <t>21669</t>
  </si>
  <si>
    <t>21675</t>
  </si>
  <si>
    <t>21729</t>
  </si>
  <si>
    <t>21883</t>
  </si>
  <si>
    <t>22043</t>
  </si>
  <si>
    <t>22300</t>
  </si>
  <si>
    <t>22305</t>
  </si>
  <si>
    <t>22335</t>
  </si>
  <si>
    <t>22377</t>
  </si>
  <si>
    <t>22579</t>
  </si>
  <si>
    <t>22923</t>
  </si>
  <si>
    <t>23504</t>
  </si>
  <si>
    <t>23791</t>
  </si>
  <si>
    <t>23792</t>
  </si>
  <si>
    <t>24152</t>
  </si>
  <si>
    <t>24539</t>
  </si>
  <si>
    <t>24556</t>
  </si>
  <si>
    <t>24564</t>
  </si>
  <si>
    <t>24565</t>
  </si>
  <si>
    <t>24566</t>
  </si>
  <si>
    <t>25340</t>
  </si>
  <si>
    <t>25341</t>
  </si>
  <si>
    <t>25342</t>
  </si>
  <si>
    <t>25343</t>
  </si>
  <si>
    <t>25613</t>
  </si>
  <si>
    <t>25614</t>
  </si>
  <si>
    <t>25615</t>
  </si>
  <si>
    <t>25616</t>
  </si>
  <si>
    <t>25836</t>
  </si>
  <si>
    <t>25838</t>
  </si>
  <si>
    <t>25840</t>
  </si>
  <si>
    <t>25841</t>
  </si>
  <si>
    <t>26363</t>
  </si>
  <si>
    <t>26369</t>
  </si>
  <si>
    <t>26370</t>
  </si>
  <si>
    <t>26371</t>
  </si>
  <si>
    <t>AC944</t>
  </si>
  <si>
    <t>AC949</t>
  </si>
  <si>
    <t>AC951</t>
  </si>
  <si>
    <t>AC953</t>
  </si>
  <si>
    <t>AC954</t>
  </si>
  <si>
    <t>AL608</t>
  </si>
  <si>
    <t>AL609</t>
  </si>
  <si>
    <t>AL610</t>
  </si>
  <si>
    <t>AL612</t>
  </si>
  <si>
    <t>AL613</t>
  </si>
  <si>
    <t>AO600</t>
  </si>
  <si>
    <t>AO602</t>
  </si>
  <si>
    <t>AO605</t>
  </si>
  <si>
    <t>AO606</t>
  </si>
  <si>
    <t>AS113</t>
  </si>
  <si>
    <t>AS114</t>
  </si>
  <si>
    <t>AS115</t>
  </si>
  <si>
    <t>AS116</t>
  </si>
  <si>
    <t>AS117</t>
  </si>
  <si>
    <t>AS118</t>
  </si>
  <si>
    <t>AS119</t>
  </si>
  <si>
    <t>AW000</t>
  </si>
  <si>
    <t>AW008</t>
  </si>
  <si>
    <t>AW009</t>
  </si>
  <si>
    <t>AW011</t>
  </si>
  <si>
    <t>AW012</t>
  </si>
  <si>
    <t>BB692</t>
  </si>
  <si>
    <t>BB693</t>
  </si>
  <si>
    <t>BB694</t>
  </si>
  <si>
    <t>BB695</t>
  </si>
  <si>
    <t>BB696</t>
  </si>
  <si>
    <t>BH410</t>
  </si>
  <si>
    <t>BI268</t>
  </si>
  <si>
    <t>BK949</t>
  </si>
  <si>
    <t>BK950</t>
  </si>
  <si>
    <t>BK955</t>
  </si>
  <si>
    <t>BL353</t>
  </si>
  <si>
    <t>BL354</t>
  </si>
  <si>
    <t>BR560</t>
  </si>
  <si>
    <t>BR563</t>
  </si>
  <si>
    <t>BR567</t>
  </si>
  <si>
    <t>BR569</t>
  </si>
  <si>
    <t>BT240</t>
  </si>
  <si>
    <t>BW106</t>
  </si>
  <si>
    <t>BW107</t>
  </si>
  <si>
    <t>BW108</t>
  </si>
  <si>
    <t>BW109</t>
  </si>
  <si>
    <t>BW110</t>
  </si>
  <si>
    <t>CB467</t>
  </si>
  <si>
    <t>CB468</t>
  </si>
  <si>
    <t>20294</t>
  </si>
  <si>
    <t>20435</t>
  </si>
  <si>
    <t>21192</t>
  </si>
  <si>
    <t>21195</t>
  </si>
  <si>
    <t>21213</t>
  </si>
  <si>
    <t>21761</t>
  </si>
  <si>
    <t>21868</t>
  </si>
  <si>
    <t>22147</t>
  </si>
  <si>
    <t>22157</t>
  </si>
  <si>
    <t>22215</t>
  </si>
  <si>
    <t>22220</t>
  </si>
  <si>
    <t>22342</t>
  </si>
  <si>
    <t>22379</t>
  </si>
  <si>
    <t>22433</t>
  </si>
  <si>
    <t>22549</t>
  </si>
  <si>
    <t>22583</t>
  </si>
  <si>
    <t>22647</t>
  </si>
  <si>
    <t>23012</t>
  </si>
  <si>
    <t>23074</t>
  </si>
  <si>
    <t>23145</t>
  </si>
  <si>
    <t>23242</t>
  </si>
  <si>
    <t>23414</t>
  </si>
  <si>
    <t>23930</t>
  </si>
  <si>
    <t>24012</t>
  </si>
  <si>
    <t>24015</t>
  </si>
  <si>
    <t>24084</t>
  </si>
  <si>
    <t>24103</t>
  </si>
  <si>
    <t>24154</t>
  </si>
  <si>
    <t>24155</t>
  </si>
  <si>
    <t>24326</t>
  </si>
  <si>
    <t>24458</t>
  </si>
  <si>
    <t>24476</t>
  </si>
  <si>
    <t>24487</t>
  </si>
  <si>
    <t>24489</t>
  </si>
  <si>
    <t>24508</t>
  </si>
  <si>
    <t>24516</t>
  </si>
  <si>
    <t>24533</t>
  </si>
  <si>
    <t>24603</t>
  </si>
  <si>
    <t>24716</t>
  </si>
  <si>
    <t>24717</t>
  </si>
  <si>
    <t>24718</t>
  </si>
  <si>
    <t>24719</t>
  </si>
  <si>
    <t>24787</t>
  </si>
  <si>
    <t>25007</t>
  </si>
  <si>
    <t>25008</t>
  </si>
  <si>
    <t>25009</t>
  </si>
  <si>
    <t>25099</t>
  </si>
  <si>
    <t>25178</t>
  </si>
  <si>
    <t>25284</t>
  </si>
  <si>
    <t>25529</t>
  </si>
  <si>
    <t>25570</t>
  </si>
  <si>
    <t>25785</t>
  </si>
  <si>
    <t>25786</t>
  </si>
  <si>
    <t>25787</t>
  </si>
  <si>
    <t>26112</t>
  </si>
  <si>
    <t>26113</t>
  </si>
  <si>
    <t>26114</t>
  </si>
  <si>
    <t>AI127</t>
  </si>
  <si>
    <t>AI130</t>
  </si>
  <si>
    <t>AT595</t>
  </si>
  <si>
    <t>AT596</t>
  </si>
  <si>
    <t>AT597</t>
  </si>
  <si>
    <t>BE868</t>
  </si>
  <si>
    <t>BE869</t>
  </si>
  <si>
    <t>BE870</t>
  </si>
  <si>
    <t>BG888</t>
  </si>
  <si>
    <t>BO673</t>
  </si>
  <si>
    <t>BO676</t>
  </si>
  <si>
    <t>CB679</t>
  </si>
  <si>
    <t>CB683</t>
  </si>
  <si>
    <t>21818</t>
  </si>
  <si>
    <t>22213</t>
  </si>
  <si>
    <t>22308</t>
  </si>
  <si>
    <t>22487</t>
  </si>
  <si>
    <t>22548</t>
  </si>
  <si>
    <t>22892</t>
  </si>
  <si>
    <t>24364</t>
  </si>
  <si>
    <t>24415</t>
  </si>
  <si>
    <t>24715</t>
  </si>
  <si>
    <t>25088</t>
  </si>
  <si>
    <t>25127</t>
  </si>
  <si>
    <t>25649</t>
  </si>
  <si>
    <t>25914</t>
  </si>
  <si>
    <t>25915</t>
  </si>
  <si>
    <t>25916</t>
  </si>
  <si>
    <t>26327</t>
  </si>
  <si>
    <t>26328</t>
  </si>
  <si>
    <t>26329</t>
  </si>
  <si>
    <t>26330</t>
  </si>
  <si>
    <t>26331</t>
  </si>
  <si>
    <t>AE020</t>
  </si>
  <si>
    <t>AE980</t>
  </si>
  <si>
    <t>AK252</t>
  </si>
  <si>
    <t>AK257</t>
  </si>
  <si>
    <t>AK258</t>
  </si>
  <si>
    <t>AM049</t>
  </si>
  <si>
    <t>AM050</t>
  </si>
  <si>
    <t>SOB_20_7501_F1</t>
  </si>
  <si>
    <t>BW933</t>
  </si>
  <si>
    <t>BW934</t>
  </si>
  <si>
    <t>BW935</t>
  </si>
  <si>
    <t>BW939</t>
  </si>
  <si>
    <t>BY434</t>
  </si>
  <si>
    <t>BZ587</t>
  </si>
  <si>
    <t>BZ588</t>
  </si>
  <si>
    <t>BZ589</t>
  </si>
  <si>
    <t>BZ591</t>
  </si>
  <si>
    <t>BZ594</t>
  </si>
  <si>
    <t>26337</t>
  </si>
  <si>
    <t>26338</t>
  </si>
  <si>
    <t>26339</t>
  </si>
  <si>
    <t>26340</t>
  </si>
  <si>
    <t>AG038</t>
  </si>
  <si>
    <t>AG039</t>
  </si>
  <si>
    <t>AN294</t>
  </si>
  <si>
    <t>AN296</t>
  </si>
  <si>
    <t>AN297</t>
  </si>
  <si>
    <t>AN299</t>
  </si>
  <si>
    <t>AN731</t>
  </si>
  <si>
    <t>AN732</t>
  </si>
  <si>
    <t>AO509</t>
  </si>
  <si>
    <t>AO510</t>
  </si>
  <si>
    <t>BD487</t>
  </si>
  <si>
    <t>BD490</t>
  </si>
  <si>
    <t>BD491</t>
  </si>
  <si>
    <t>BD492</t>
  </si>
  <si>
    <t>BF234</t>
  </si>
  <si>
    <t>BO276</t>
  </si>
  <si>
    <t>21156</t>
  </si>
  <si>
    <t>22678</t>
  </si>
  <si>
    <t>AE029</t>
  </si>
  <si>
    <t>AE031</t>
  </si>
  <si>
    <t>AK403</t>
  </si>
  <si>
    <t>AK404</t>
  </si>
  <si>
    <t>AK406</t>
  </si>
  <si>
    <t>AK407</t>
  </si>
  <si>
    <t>AK408</t>
  </si>
  <si>
    <t>25339</t>
  </si>
  <si>
    <t>25806</t>
  </si>
  <si>
    <t>25807</t>
  </si>
  <si>
    <t>25808</t>
  </si>
  <si>
    <t>25809</t>
  </si>
  <si>
    <t>25810</t>
  </si>
  <si>
    <t>25811</t>
  </si>
  <si>
    <t>AG025</t>
  </si>
  <si>
    <t>AG027</t>
  </si>
  <si>
    <t>AG028</t>
  </si>
  <si>
    <t>AG031</t>
  </si>
  <si>
    <t>AJ931</t>
  </si>
  <si>
    <t>AJ944</t>
  </si>
  <si>
    <t>AJ945</t>
  </si>
  <si>
    <t>AJ946</t>
  </si>
  <si>
    <t>AS937</t>
  </si>
  <si>
    <t>AV075</t>
  </si>
  <si>
    <t>AV076</t>
  </si>
  <si>
    <t>AY410</t>
  </si>
  <si>
    <t>AY411</t>
  </si>
  <si>
    <t>AY412</t>
  </si>
  <si>
    <t>AZ519</t>
  </si>
  <si>
    <t>AZ521</t>
  </si>
  <si>
    <t>BH563</t>
  </si>
  <si>
    <t>BS675</t>
  </si>
  <si>
    <t>BW416</t>
  </si>
  <si>
    <t>BW417</t>
  </si>
  <si>
    <t>BW418</t>
  </si>
  <si>
    <t>BW421</t>
  </si>
  <si>
    <t>BW422</t>
  </si>
  <si>
    <t>MESA SERIGRAFICA VACUO</t>
  </si>
  <si>
    <t>BO146</t>
  </si>
  <si>
    <t>BO149</t>
  </si>
  <si>
    <t>BO150</t>
  </si>
  <si>
    <t>BO151</t>
  </si>
  <si>
    <t>BQ203</t>
  </si>
  <si>
    <t>BV898</t>
  </si>
  <si>
    <t>BV900</t>
  </si>
  <si>
    <t>BV903</t>
  </si>
  <si>
    <t>20166</t>
  </si>
  <si>
    <t>20300</t>
  </si>
  <si>
    <t>20542</t>
  </si>
  <si>
    <t>26145</t>
  </si>
  <si>
    <t>AD136</t>
  </si>
  <si>
    <t>AD138</t>
  </si>
  <si>
    <t>AD139</t>
  </si>
  <si>
    <t>AD141</t>
  </si>
  <si>
    <t>AD142</t>
  </si>
  <si>
    <t>AI999</t>
  </si>
  <si>
    <t>AJ000</t>
  </si>
  <si>
    <t>AJ001</t>
  </si>
  <si>
    <t>AJ003</t>
  </si>
  <si>
    <t>AJ004</t>
  </si>
  <si>
    <t>AJ005</t>
  </si>
  <si>
    <t>AJ006</t>
  </si>
  <si>
    <t>AO534</t>
  </si>
  <si>
    <t>AO535</t>
  </si>
  <si>
    <t>AO536</t>
  </si>
  <si>
    <t>AR255</t>
  </si>
  <si>
    <t>AR256</t>
  </si>
  <si>
    <t>AR257</t>
  </si>
  <si>
    <t>AR258</t>
  </si>
  <si>
    <t>AT630</t>
  </si>
  <si>
    <t>AT632</t>
  </si>
  <si>
    <t>AT634</t>
  </si>
  <si>
    <t>AT635</t>
  </si>
  <si>
    <t>AT636</t>
  </si>
  <si>
    <t>AZ915</t>
  </si>
  <si>
    <t>AZ917</t>
  </si>
  <si>
    <t>AZ919</t>
  </si>
  <si>
    <t>AZ922</t>
  </si>
  <si>
    <t>BB099</t>
  </si>
  <si>
    <t>BH118</t>
  </si>
  <si>
    <t>BH119</t>
  </si>
  <si>
    <t>BH123</t>
  </si>
  <si>
    <t>BH124</t>
  </si>
  <si>
    <t>BM224</t>
  </si>
  <si>
    <t>BM228</t>
  </si>
  <si>
    <t>BM230</t>
  </si>
  <si>
    <t>BM924</t>
  </si>
  <si>
    <t>BQ666</t>
  </si>
  <si>
    <t>BQ667</t>
  </si>
  <si>
    <t>BQ668</t>
  </si>
  <si>
    <t>BQ669</t>
  </si>
  <si>
    <t>BW441</t>
  </si>
  <si>
    <t>BW442</t>
  </si>
  <si>
    <t>BW443</t>
  </si>
  <si>
    <t>BX847</t>
  </si>
  <si>
    <t>20756</t>
  </si>
  <si>
    <t>20829</t>
  </si>
  <si>
    <t>21856</t>
  </si>
  <si>
    <t>23210</t>
  </si>
  <si>
    <t>23243</t>
  </si>
  <si>
    <t>23326</t>
  </si>
  <si>
    <t>23645</t>
  </si>
  <si>
    <t>25873</t>
  </si>
  <si>
    <t>AD538</t>
  </si>
  <si>
    <t>AD541</t>
  </si>
  <si>
    <t>AD543</t>
  </si>
  <si>
    <t>AF461</t>
  </si>
  <si>
    <t>AJ391</t>
  </si>
  <si>
    <t>AJ396</t>
  </si>
  <si>
    <t>AL411</t>
  </si>
  <si>
    <t>AO077</t>
  </si>
  <si>
    <t>AO084</t>
  </si>
  <si>
    <t>AO972</t>
  </si>
  <si>
    <t>AQ069</t>
  </si>
  <si>
    <t>AR169</t>
  </si>
  <si>
    <t>AR170</t>
  </si>
  <si>
    <t>AR171</t>
  </si>
  <si>
    <t>AS069</t>
  </si>
  <si>
    <t>AS070</t>
  </si>
  <si>
    <t>AS071</t>
  </si>
  <si>
    <t>AS072</t>
  </si>
  <si>
    <t>AZ890</t>
  </si>
  <si>
    <t>AZ893</t>
  </si>
  <si>
    <t>AZ895</t>
  </si>
  <si>
    <t>BA966</t>
  </si>
  <si>
    <t>BA967</t>
  </si>
  <si>
    <t>BE989</t>
  </si>
  <si>
    <t>BE991</t>
  </si>
  <si>
    <t>BE992</t>
  </si>
  <si>
    <t>BE993</t>
  </si>
  <si>
    <t>BK484</t>
  </si>
  <si>
    <t>BK485</t>
  </si>
  <si>
    <t>BK488</t>
  </si>
  <si>
    <t>BK489</t>
  </si>
  <si>
    <t>BL190</t>
  </si>
  <si>
    <t>BW925</t>
  </si>
  <si>
    <t>BW928</t>
  </si>
  <si>
    <t>BW929</t>
  </si>
  <si>
    <t>CB252</t>
  </si>
  <si>
    <t>CC203</t>
  </si>
  <si>
    <t>CC204</t>
  </si>
  <si>
    <t>CC205</t>
  </si>
  <si>
    <t>CC206</t>
  </si>
  <si>
    <t>AJ521</t>
  </si>
  <si>
    <t>AJ522</t>
  </si>
  <si>
    <t>AJ523</t>
  </si>
  <si>
    <t>AS399</t>
  </si>
  <si>
    <t>AS400</t>
  </si>
  <si>
    <t>AS401</t>
  </si>
  <si>
    <t>AS402</t>
  </si>
  <si>
    <t>AS403</t>
  </si>
  <si>
    <t>AX563</t>
  </si>
  <si>
    <t>AY832</t>
  </si>
  <si>
    <t>AY834</t>
  </si>
  <si>
    <t>AY837</t>
  </si>
  <si>
    <t>AY838</t>
  </si>
  <si>
    <t>AY840</t>
  </si>
  <si>
    <t>BB218</t>
  </si>
  <si>
    <t>BO162</t>
  </si>
  <si>
    <t>BO163</t>
  </si>
  <si>
    <t>BV957</t>
  </si>
  <si>
    <t>BX909</t>
  </si>
  <si>
    <t>BX910</t>
  </si>
  <si>
    <t>AK729</t>
  </si>
  <si>
    <t>AK730</t>
  </si>
  <si>
    <t>AK731</t>
  </si>
  <si>
    <t>AS411</t>
  </si>
  <si>
    <t>AS412</t>
  </si>
  <si>
    <t>AS413</t>
  </si>
  <si>
    <t>AS414</t>
  </si>
  <si>
    <t>AS415</t>
  </si>
  <si>
    <t>AZ427</t>
  </si>
  <si>
    <t>AZ428</t>
  </si>
  <si>
    <t>AZ431</t>
  </si>
  <si>
    <t>AZ432</t>
  </si>
  <si>
    <t>AZ434</t>
  </si>
  <si>
    <t>BB947</t>
  </si>
  <si>
    <t>BF592</t>
  </si>
  <si>
    <t>BF593</t>
  </si>
  <si>
    <t>BL050</t>
  </si>
  <si>
    <t>BL054</t>
  </si>
  <si>
    <t>BL056</t>
  </si>
  <si>
    <t>BL057</t>
  </si>
  <si>
    <t>BL058</t>
  </si>
  <si>
    <t>BL986</t>
  </si>
  <si>
    <t>BS212</t>
  </si>
  <si>
    <t>BV801</t>
  </si>
  <si>
    <t>BV806</t>
  </si>
  <si>
    <t>BY222</t>
  </si>
  <si>
    <t>BY223</t>
  </si>
  <si>
    <t>BY224</t>
  </si>
  <si>
    <t>AR215</t>
  </si>
  <si>
    <t>AR216</t>
  </si>
  <si>
    <t>AR217</t>
  </si>
  <si>
    <t>AR218</t>
  </si>
  <si>
    <t>AR724</t>
  </si>
  <si>
    <t>AS501</t>
  </si>
  <si>
    <t>AW733</t>
  </si>
  <si>
    <t>AX528</t>
  </si>
  <si>
    <t>AZ379</t>
  </si>
  <si>
    <t>AZ380</t>
  </si>
  <si>
    <t>BF164</t>
  </si>
  <si>
    <t>BF165</t>
  </si>
  <si>
    <t>BU280</t>
  </si>
  <si>
    <t>BU281</t>
  </si>
  <si>
    <t>BU282</t>
  </si>
  <si>
    <t>BU283</t>
  </si>
  <si>
    <t>BU284</t>
  </si>
  <si>
    <t>BV966</t>
  </si>
  <si>
    <t>BV968</t>
  </si>
  <si>
    <t>AP392</t>
  </si>
  <si>
    <t>AP395</t>
  </si>
  <si>
    <t>AP396</t>
  </si>
  <si>
    <t>AP397</t>
  </si>
  <si>
    <t>AR656</t>
  </si>
  <si>
    <t>AS500</t>
  </si>
  <si>
    <t>AW707</t>
  </si>
  <si>
    <t>AW709</t>
  </si>
  <si>
    <t>AX513</t>
  </si>
  <si>
    <t>AZ375</t>
  </si>
  <si>
    <t>AZ376</t>
  </si>
  <si>
    <t>BA530</t>
  </si>
  <si>
    <t>BF160</t>
  </si>
  <si>
    <t>BF161</t>
  </si>
  <si>
    <t>BI908</t>
  </si>
  <si>
    <t>BI909</t>
  </si>
  <si>
    <t>BI910</t>
  </si>
  <si>
    <t>BI911</t>
  </si>
  <si>
    <t>BI912</t>
  </si>
  <si>
    <t>BS198</t>
  </si>
  <si>
    <t>BS199</t>
  </si>
  <si>
    <t>BS200</t>
  </si>
  <si>
    <t>BV894</t>
  </si>
  <si>
    <t>BV895</t>
  </si>
  <si>
    <t>20746</t>
  </si>
  <si>
    <t>AQ926</t>
  </si>
  <si>
    <t>AQ927</t>
  </si>
  <si>
    <t>AQ928</t>
  </si>
  <si>
    <t>AW401</t>
  </si>
  <si>
    <t>AW402</t>
  </si>
  <si>
    <t>AW403</t>
  </si>
  <si>
    <t>AW404</t>
  </si>
  <si>
    <t>AW405</t>
  </si>
  <si>
    <t>AZ764</t>
  </si>
  <si>
    <t>AZ767</t>
  </si>
  <si>
    <t>AZ768</t>
  </si>
  <si>
    <t>AZ769</t>
  </si>
  <si>
    <t>BF092</t>
  </si>
  <si>
    <t>BF093</t>
  </si>
  <si>
    <t>BF094</t>
  </si>
  <si>
    <t>BG856</t>
  </si>
  <si>
    <t>BG857</t>
  </si>
  <si>
    <t>BL028</t>
  </si>
  <si>
    <t>BL030</t>
  </si>
  <si>
    <t>BL034</t>
  </si>
  <si>
    <t>BL035</t>
  </si>
  <si>
    <t>BR135</t>
  </si>
  <si>
    <t>BR136</t>
  </si>
  <si>
    <t>BR138</t>
  </si>
  <si>
    <t>BR139</t>
  </si>
  <si>
    <t>BS582</t>
  </si>
  <si>
    <t>BW391</t>
  </si>
  <si>
    <t>BW392</t>
  </si>
  <si>
    <t>BW393</t>
  </si>
  <si>
    <t>BW394</t>
  </si>
  <si>
    <t>BW396</t>
  </si>
  <si>
    <t>AR161</t>
  </si>
  <si>
    <t>AS077</t>
  </si>
  <si>
    <t>AS078</t>
  </si>
  <si>
    <t>AS079</t>
  </si>
  <si>
    <t>AS080</t>
  </si>
  <si>
    <t>AV254</t>
  </si>
  <si>
    <t>AV255</t>
  </si>
  <si>
    <t>BB493</t>
  </si>
  <si>
    <t>BB494</t>
  </si>
  <si>
    <t>BB495</t>
  </si>
  <si>
    <t>BB496</t>
  </si>
  <si>
    <t>BB498</t>
  </si>
  <si>
    <t>BG628</t>
  </si>
  <si>
    <t>BG629</t>
  </si>
  <si>
    <t>BG630</t>
  </si>
  <si>
    <t>BM370</t>
  </si>
  <si>
    <t>BM371</t>
  </si>
  <si>
    <t>BM372</t>
  </si>
  <si>
    <t>BM373</t>
  </si>
  <si>
    <t>BM375</t>
  </si>
  <si>
    <t>BS784</t>
  </si>
  <si>
    <t>BS786</t>
  </si>
  <si>
    <t>BS789</t>
  </si>
  <si>
    <t>BY027</t>
  </si>
  <si>
    <t>BY028</t>
  </si>
  <si>
    <t>BY032</t>
  </si>
  <si>
    <t>AQ163</t>
  </si>
  <si>
    <t>AQ166</t>
  </si>
  <si>
    <t>AQ167</t>
  </si>
  <si>
    <t>AQ170</t>
  </si>
  <si>
    <t>AQ704</t>
  </si>
  <si>
    <t>AU353</t>
  </si>
  <si>
    <t>AU354</t>
  </si>
  <si>
    <t>AU356</t>
  </si>
  <si>
    <t>AU357</t>
  </si>
  <si>
    <t>AU359</t>
  </si>
  <si>
    <t>AZ698</t>
  </si>
  <si>
    <t>AZ699</t>
  </si>
  <si>
    <t>BA997</t>
  </si>
  <si>
    <t>BA998</t>
  </si>
  <si>
    <t>BA999</t>
  </si>
  <si>
    <t>BH412</t>
  </si>
  <si>
    <t>BH415</t>
  </si>
  <si>
    <t>BH416</t>
  </si>
  <si>
    <t>BH417</t>
  </si>
  <si>
    <t>BL075</t>
  </si>
  <si>
    <t>BL078</t>
  </si>
  <si>
    <t>BL080</t>
  </si>
  <si>
    <t>BL082</t>
  </si>
  <si>
    <t>BR579</t>
  </si>
  <si>
    <t>BR580</t>
  </si>
  <si>
    <t>BR581</t>
  </si>
  <si>
    <t>BR583</t>
  </si>
  <si>
    <t>BW449</t>
  </si>
  <si>
    <t>BW451</t>
  </si>
  <si>
    <t>BW452</t>
  </si>
  <si>
    <t>BW453</t>
  </si>
  <si>
    <t>AS448</t>
  </si>
  <si>
    <t>AS449</t>
  </si>
  <si>
    <t>AS451</t>
  </si>
  <si>
    <t>AS452</t>
  </si>
  <si>
    <t>AV736</t>
  </si>
  <si>
    <t>AY476</t>
  </si>
  <si>
    <t>BE738</t>
  </si>
  <si>
    <t>BE739</t>
  </si>
  <si>
    <t>BG193</t>
  </si>
  <si>
    <t>BK514</t>
  </si>
  <si>
    <t>BK515</t>
  </si>
  <si>
    <t>BK518</t>
  </si>
  <si>
    <t>CB709</t>
  </si>
  <si>
    <t>CB710</t>
  </si>
  <si>
    <t>AS533</t>
  </si>
  <si>
    <t>AS534</t>
  </si>
  <si>
    <t>AS535</t>
  </si>
  <si>
    <t>AS536</t>
  </si>
  <si>
    <t>AS537</t>
  </si>
  <si>
    <t>AU516</t>
  </si>
  <si>
    <t>AX246</t>
  </si>
  <si>
    <t>AX248</t>
  </si>
  <si>
    <t>AX249</t>
  </si>
  <si>
    <t>BA314</t>
  </si>
  <si>
    <t>BA317</t>
  </si>
  <si>
    <t>BA318</t>
  </si>
  <si>
    <t>BA319</t>
  </si>
  <si>
    <t>BC382</t>
  </si>
  <si>
    <t>BC929</t>
  </si>
  <si>
    <t>BG650</t>
  </si>
  <si>
    <t>BG651</t>
  </si>
  <si>
    <t>BG653</t>
  </si>
  <si>
    <t>BI631</t>
  </si>
  <si>
    <t>BL200</t>
  </si>
  <si>
    <t>BL203</t>
  </si>
  <si>
    <t>BL204</t>
  </si>
  <si>
    <t>BL205</t>
  </si>
  <si>
    <t>BN374</t>
  </si>
  <si>
    <t>BR447</t>
  </si>
  <si>
    <t>BR473</t>
  </si>
  <si>
    <t>BT293</t>
  </si>
  <si>
    <t>BW633</t>
  </si>
  <si>
    <t>BW634</t>
  </si>
  <si>
    <t>BW635</t>
  </si>
  <si>
    <t>BW638</t>
  </si>
  <si>
    <t>BY006</t>
  </si>
  <si>
    <t>AS835</t>
  </si>
  <si>
    <t>AS836</t>
  </si>
  <si>
    <t>AS837</t>
  </si>
  <si>
    <t>AS838</t>
  </si>
  <si>
    <t>AS839</t>
  </si>
  <si>
    <t>AV256</t>
  </si>
  <si>
    <t>AV257</t>
  </si>
  <si>
    <t>BB448</t>
  </si>
  <si>
    <t>BB449</t>
  </si>
  <si>
    <t>BB450</t>
  </si>
  <si>
    <t>BB451</t>
  </si>
  <si>
    <t>BB453</t>
  </si>
  <si>
    <t>BG646</t>
  </si>
  <si>
    <t>BG647</t>
  </si>
  <si>
    <t>BM387</t>
  </si>
  <si>
    <t>BM388</t>
  </si>
  <si>
    <t>BM389</t>
  </si>
  <si>
    <t>BM391</t>
  </si>
  <si>
    <t>BN953</t>
  </si>
  <si>
    <t>BS798</t>
  </si>
  <si>
    <t>BS799</t>
  </si>
  <si>
    <t>BS802</t>
  </si>
  <si>
    <t>BY033</t>
  </si>
  <si>
    <t>BY038</t>
  </si>
  <si>
    <t>AS417</t>
  </si>
  <si>
    <t>AS418</t>
  </si>
  <si>
    <t>AS419</t>
  </si>
  <si>
    <t>AS420</t>
  </si>
  <si>
    <t>AS421</t>
  </si>
  <si>
    <t>AY865</t>
  </si>
  <si>
    <t>AY866</t>
  </si>
  <si>
    <t>AY880</t>
  </si>
  <si>
    <t>AY881</t>
  </si>
  <si>
    <t>AY882</t>
  </si>
  <si>
    <t>BF601</t>
  </si>
  <si>
    <t>BF611</t>
  </si>
  <si>
    <t>BL093</t>
  </si>
  <si>
    <t>BL097</t>
  </si>
  <si>
    <t>BL099</t>
  </si>
  <si>
    <t>BL100</t>
  </si>
  <si>
    <t>BL101</t>
  </si>
  <si>
    <t>BL987</t>
  </si>
  <si>
    <t>BQ818</t>
  </si>
  <si>
    <t>BQ822</t>
  </si>
  <si>
    <t>BQ823</t>
  </si>
  <si>
    <t>BS213</t>
  </si>
  <si>
    <t>BV865</t>
  </si>
  <si>
    <t>BV868</t>
  </si>
  <si>
    <t>BY225</t>
  </si>
  <si>
    <t>BY226</t>
  </si>
  <si>
    <t>BY227</t>
  </si>
  <si>
    <t>AT243</t>
  </si>
  <si>
    <t>AT244</t>
  </si>
  <si>
    <t>AT245</t>
  </si>
  <si>
    <t>AT248</t>
  </si>
  <si>
    <t>AT250</t>
  </si>
  <si>
    <t>AX978</t>
  </si>
  <si>
    <t>AX981</t>
  </si>
  <si>
    <t>AX982</t>
  </si>
  <si>
    <t>BB275</t>
  </si>
  <si>
    <t>BD724</t>
  </si>
  <si>
    <t>BD725</t>
  </si>
  <si>
    <t>BD727</t>
  </si>
  <si>
    <t>BF310</t>
  </si>
  <si>
    <t>BM093</t>
  </si>
  <si>
    <t>BM100</t>
  </si>
  <si>
    <t>BP775</t>
  </si>
  <si>
    <t>BP778</t>
  </si>
  <si>
    <t>BR615</t>
  </si>
  <si>
    <t>BR616</t>
  </si>
  <si>
    <t>BR617</t>
  </si>
  <si>
    <t>AX901</t>
  </si>
  <si>
    <t>AX910</t>
  </si>
  <si>
    <t>AX912</t>
  </si>
  <si>
    <t>AX913</t>
  </si>
  <si>
    <t>AX916</t>
  </si>
  <si>
    <t>BD540</t>
  </si>
  <si>
    <t>BD542</t>
  </si>
  <si>
    <t>BD543</t>
  </si>
  <si>
    <t>BD544</t>
  </si>
  <si>
    <t>BD546</t>
  </si>
  <si>
    <t>BI681</t>
  </si>
  <si>
    <t>BI682</t>
  </si>
  <si>
    <t>BI683</t>
  </si>
  <si>
    <t>BI684</t>
  </si>
  <si>
    <t>BI686</t>
  </si>
  <si>
    <t>BP343</t>
  </si>
  <si>
    <t>BP344</t>
  </si>
  <si>
    <t>BP345</t>
  </si>
  <si>
    <t>BP346</t>
  </si>
  <si>
    <t>BP347</t>
  </si>
  <si>
    <t>BT935</t>
  </si>
  <si>
    <t>BT936</t>
  </si>
  <si>
    <t>BU390</t>
  </si>
  <si>
    <t>CA794</t>
  </si>
  <si>
    <t>CA795</t>
  </si>
  <si>
    <t>CB917</t>
  </si>
  <si>
    <t>CB918</t>
  </si>
  <si>
    <t>BJ010</t>
  </si>
  <si>
    <t>BJ011</t>
  </si>
  <si>
    <t>BJ012</t>
  </si>
  <si>
    <t>BJ013</t>
  </si>
  <si>
    <t>BJ166</t>
  </si>
  <si>
    <t>BJ167</t>
  </si>
  <si>
    <t>BJ168</t>
  </si>
  <si>
    <t>BV627</t>
  </si>
  <si>
    <t>BV628</t>
  </si>
  <si>
    <t>BV629</t>
  </si>
  <si>
    <t>BV838</t>
  </si>
  <si>
    <t>BV839</t>
  </si>
  <si>
    <t>BW649</t>
  </si>
  <si>
    <t>BZ054</t>
  </si>
  <si>
    <t>BZ055</t>
  </si>
  <si>
    <t>BZ056</t>
  </si>
  <si>
    <t>BZ057</t>
  </si>
  <si>
    <t>BZ058</t>
  </si>
  <si>
    <t>BZ059</t>
  </si>
  <si>
    <t>AU455</t>
  </si>
  <si>
    <t>AU456</t>
  </si>
  <si>
    <t>AU457</t>
  </si>
  <si>
    <t>AU458</t>
  </si>
  <si>
    <t>AU459</t>
  </si>
  <si>
    <t>AU460</t>
  </si>
  <si>
    <t>BE500</t>
  </si>
  <si>
    <t>BE502</t>
  </si>
  <si>
    <t>BE504</t>
  </si>
  <si>
    <t>BE505</t>
  </si>
  <si>
    <t>BE506</t>
  </si>
  <si>
    <t>BE507</t>
  </si>
  <si>
    <t>BK826</t>
  </si>
  <si>
    <t>BK827</t>
  </si>
  <si>
    <t>BK829</t>
  </si>
  <si>
    <t>BL189</t>
  </si>
  <si>
    <t>BM776</t>
  </si>
  <si>
    <t>BQ268</t>
  </si>
  <si>
    <t>BQ269</t>
  </si>
  <si>
    <t>BQ270</t>
  </si>
  <si>
    <t>BS729</t>
  </si>
  <si>
    <t>BS730</t>
  </si>
  <si>
    <t>BW280</t>
  </si>
  <si>
    <t>BZ053</t>
  </si>
  <si>
    <t>BZ060</t>
  </si>
  <si>
    <t>BZ061</t>
  </si>
  <si>
    <t>BZ062</t>
  </si>
  <si>
    <t>BZ063</t>
  </si>
  <si>
    <t>AW934</t>
  </si>
  <si>
    <t>AW936</t>
  </si>
  <si>
    <t>AW937</t>
  </si>
  <si>
    <t>AW938</t>
  </si>
  <si>
    <t>AW939</t>
  </si>
  <si>
    <t>AY904</t>
  </si>
  <si>
    <t>BE522</t>
  </si>
  <si>
    <t>BE523</t>
  </si>
  <si>
    <t>BE525</t>
  </si>
  <si>
    <t>BE526</t>
  </si>
  <si>
    <t>BE528</t>
  </si>
  <si>
    <t>BK839</t>
  </si>
  <si>
    <t>BL847</t>
  </si>
  <si>
    <t>BL848</t>
  </si>
  <si>
    <t>BL849</t>
  </si>
  <si>
    <t>BS810</t>
  </si>
  <si>
    <t>BS811</t>
  </si>
  <si>
    <t>BS812</t>
  </si>
  <si>
    <t>BS813</t>
  </si>
  <si>
    <t>BZ076</t>
  </si>
  <si>
    <t>BZ077</t>
  </si>
  <si>
    <t>BZ078</t>
  </si>
  <si>
    <t>BZ079</t>
  </si>
  <si>
    <t>BZ080</t>
  </si>
  <si>
    <t>BK728</t>
  </si>
  <si>
    <t>BK729</t>
  </si>
  <si>
    <t>BK731</t>
  </si>
  <si>
    <t>BK733</t>
  </si>
  <si>
    <t>BX740</t>
  </si>
  <si>
    <t>BX741</t>
  </si>
  <si>
    <t>BX742</t>
  </si>
  <si>
    <t>BX743</t>
  </si>
  <si>
    <t>BX744</t>
  </si>
  <si>
    <t>BZ880</t>
  </si>
  <si>
    <t>BZ883</t>
  </si>
  <si>
    <t>BZ884</t>
  </si>
  <si>
    <t>BZ885</t>
  </si>
  <si>
    <t>BZ886</t>
  </si>
  <si>
    <t>BD284</t>
  </si>
  <si>
    <t>BD285</t>
  </si>
  <si>
    <t>BD286</t>
  </si>
  <si>
    <t>BF484</t>
  </si>
  <si>
    <t>BF485</t>
  </si>
  <si>
    <t>BG000</t>
  </si>
  <si>
    <t>BJ000</t>
  </si>
  <si>
    <t>BJ001</t>
  </si>
  <si>
    <t>BS682</t>
  </si>
  <si>
    <t>BS685</t>
  </si>
  <si>
    <t>CB414</t>
  </si>
  <si>
    <t>CB415</t>
  </si>
  <si>
    <t>CC684</t>
  </si>
  <si>
    <t>BG479</t>
  </si>
  <si>
    <t>BG480</t>
  </si>
  <si>
    <t>BI459</t>
  </si>
  <si>
    <t>BI460</t>
  </si>
  <si>
    <t>BQ868</t>
  </si>
  <si>
    <t>BQ871</t>
  </si>
  <si>
    <t>BQ874</t>
  </si>
  <si>
    <t>BY341</t>
  </si>
  <si>
    <t>BY342</t>
  </si>
  <si>
    <t>BC601</t>
  </si>
  <si>
    <t>BC602</t>
  </si>
  <si>
    <t>BC603</t>
  </si>
  <si>
    <t>BC604</t>
  </si>
  <si>
    <t>BC605</t>
  </si>
  <si>
    <t>BC606</t>
  </si>
  <si>
    <t>BL708</t>
  </si>
  <si>
    <t>BL709</t>
  </si>
  <si>
    <t>BL710</t>
  </si>
  <si>
    <t>BX276</t>
  </si>
  <si>
    <t>BX277</t>
  </si>
  <si>
    <t>BE924</t>
  </si>
  <si>
    <t>BE928</t>
  </si>
  <si>
    <t>BK659</t>
  </si>
  <si>
    <t>BL038</t>
  </si>
  <si>
    <t>BL042</t>
  </si>
  <si>
    <t>BL044</t>
  </si>
  <si>
    <t>BL045</t>
  </si>
  <si>
    <t>BL046</t>
  </si>
  <si>
    <t>BL984</t>
  </si>
  <si>
    <t>BP307</t>
  </si>
  <si>
    <t>BP310</t>
  </si>
  <si>
    <t>BP311</t>
  </si>
  <si>
    <t>BP312</t>
  </si>
  <si>
    <t>BY216</t>
  </si>
  <si>
    <t>BY217</t>
  </si>
  <si>
    <t>BY218</t>
  </si>
  <si>
    <t>BY219</t>
  </si>
  <si>
    <t>BY220</t>
  </si>
  <si>
    <t>BF023</t>
  </si>
  <si>
    <t>BF025</t>
  </si>
  <si>
    <t>BI119</t>
  </si>
  <si>
    <t>BI120</t>
  </si>
  <si>
    <t>BI121</t>
  </si>
  <si>
    <t>BM575</t>
  </si>
  <si>
    <t>BM576</t>
  </si>
  <si>
    <t>BM581</t>
  </si>
  <si>
    <t>BO053</t>
  </si>
  <si>
    <t>BQ682</t>
  </si>
  <si>
    <t>BQ685</t>
  </si>
  <si>
    <t>BQ687</t>
  </si>
  <si>
    <t>BS744</t>
  </si>
  <si>
    <t>BS745</t>
  </si>
  <si>
    <t>BS746</t>
  </si>
  <si>
    <t>BW169</t>
  </si>
  <si>
    <t>BW172</t>
  </si>
  <si>
    <t>BW281</t>
  </si>
  <si>
    <t>BW282</t>
  </si>
  <si>
    <t>BW302</t>
  </si>
  <si>
    <t>BY793</t>
  </si>
  <si>
    <t>BY794</t>
  </si>
  <si>
    <t>CB732</t>
  </si>
  <si>
    <t>CB733</t>
  </si>
  <si>
    <t>CB759</t>
  </si>
  <si>
    <t>BE966</t>
  </si>
  <si>
    <t>BE967</t>
  </si>
  <si>
    <t>BE970</t>
  </si>
  <si>
    <t>BH443</t>
  </si>
  <si>
    <t>BH444</t>
  </si>
  <si>
    <t>BN139</t>
  </si>
  <si>
    <t>BN140</t>
  </si>
  <si>
    <t>BN145</t>
  </si>
  <si>
    <t>BT201</t>
  </si>
  <si>
    <t>BT203</t>
  </si>
  <si>
    <t>BT205</t>
  </si>
  <si>
    <t>BU334</t>
  </si>
  <si>
    <t>BG974</t>
  </si>
  <si>
    <t>BG975</t>
  </si>
  <si>
    <t>BG976</t>
  </si>
  <si>
    <t>BG977</t>
  </si>
  <si>
    <t>BJ004</t>
  </si>
  <si>
    <t>BM852</t>
  </si>
  <si>
    <t>BM853</t>
  </si>
  <si>
    <t>BM858</t>
  </si>
  <si>
    <t>BN647</t>
  </si>
  <si>
    <t>BR276</t>
  </si>
  <si>
    <t>BR280</t>
  </si>
  <si>
    <t>BT150</t>
  </si>
  <si>
    <t>BX546</t>
  </si>
  <si>
    <t>BX547</t>
  </si>
  <si>
    <t>BF952</t>
  </si>
  <si>
    <t>BF953</t>
  </si>
  <si>
    <t>BF955</t>
  </si>
  <si>
    <t>BI969</t>
  </si>
  <si>
    <t>BL495</t>
  </si>
  <si>
    <t>BM050</t>
  </si>
  <si>
    <t>BM052</t>
  </si>
  <si>
    <t>BM053</t>
  </si>
  <si>
    <t>BM055</t>
  </si>
  <si>
    <t>BI185</t>
  </si>
  <si>
    <t>BI187</t>
  </si>
  <si>
    <t>BI188</t>
  </si>
  <si>
    <t>BI189</t>
  </si>
  <si>
    <t>BR963</t>
  </si>
  <si>
    <t>BR965</t>
  </si>
  <si>
    <t>BR966</t>
  </si>
  <si>
    <t>CA212</t>
  </si>
  <si>
    <t>CA213</t>
  </si>
  <si>
    <t>BI706</t>
  </si>
  <si>
    <t>BI707</t>
  </si>
  <si>
    <t>BI708</t>
  </si>
  <si>
    <t>BI709</t>
  </si>
  <si>
    <t>BO274</t>
  </si>
  <si>
    <t>BP474</t>
  </si>
  <si>
    <t>BU951</t>
  </si>
  <si>
    <t>CB585</t>
  </si>
  <si>
    <t>CB586</t>
  </si>
  <si>
    <t>BL527</t>
  </si>
  <si>
    <t>BL530</t>
  </si>
  <si>
    <t>BL531</t>
  </si>
  <si>
    <t>BL532</t>
  </si>
  <si>
    <t>BL534</t>
  </si>
  <si>
    <t>BN505</t>
  </si>
  <si>
    <t>BT213</t>
  </si>
  <si>
    <t>BT216</t>
  </si>
  <si>
    <t>BU330</t>
  </si>
  <si>
    <t>BU331</t>
  </si>
  <si>
    <t>CB307</t>
  </si>
  <si>
    <t>CB310</t>
  </si>
  <si>
    <t>CB313</t>
  </si>
  <si>
    <t>BO209</t>
  </si>
  <si>
    <t>BO210</t>
  </si>
  <si>
    <t>BO212</t>
  </si>
  <si>
    <t>BP210</t>
  </si>
  <si>
    <t>BY295</t>
  </si>
  <si>
    <t>BY299</t>
  </si>
  <si>
    <t>BZ017</t>
  </si>
  <si>
    <t>BZ018</t>
  </si>
  <si>
    <t>BZ019</t>
  </si>
  <si>
    <t>BZ020</t>
  </si>
  <si>
    <t>BZ021</t>
  </si>
  <si>
    <t>BZ867</t>
  </si>
  <si>
    <t>BZ868</t>
  </si>
  <si>
    <t>BZ869</t>
  </si>
  <si>
    <t>BZ870</t>
  </si>
  <si>
    <t>BZ871</t>
  </si>
  <si>
    <t>BQ113</t>
  </si>
  <si>
    <t>BQ114</t>
  </si>
  <si>
    <t>BQ116</t>
  </si>
  <si>
    <t>BR934</t>
  </si>
  <si>
    <t>BR935</t>
  </si>
  <si>
    <t>BV382</t>
  </si>
  <si>
    <t>BV385</t>
  </si>
  <si>
    <t>BW278</t>
  </si>
  <si>
    <t>BW279</t>
  </si>
  <si>
    <t>CB563</t>
  </si>
  <si>
    <t>CB564</t>
  </si>
  <si>
    <t>CD867</t>
  </si>
  <si>
    <t>CD868</t>
  </si>
  <si>
    <t>CD869</t>
  </si>
  <si>
    <t>BP787</t>
  </si>
  <si>
    <t>BP797</t>
  </si>
  <si>
    <t>BP800</t>
  </si>
  <si>
    <t>BR799</t>
  </si>
  <si>
    <t>BU352</t>
  </si>
  <si>
    <t>BU354</t>
  </si>
  <si>
    <t>CA344</t>
  </si>
  <si>
    <t>CA346</t>
  </si>
  <si>
    <t>CA349</t>
  </si>
  <si>
    <t>CA350</t>
  </si>
  <si>
    <t>BP833</t>
  </si>
  <si>
    <t>BP836</t>
  </si>
  <si>
    <t>BR798</t>
  </si>
  <si>
    <t>BU392</t>
  </si>
  <si>
    <t>CB022</t>
  </si>
  <si>
    <t>CB023</t>
  </si>
  <si>
    <t>CB026</t>
  </si>
  <si>
    <t>BT191</t>
  </si>
  <si>
    <t>BT192</t>
  </si>
  <si>
    <t>BT194</t>
  </si>
  <si>
    <t>BU328</t>
  </si>
  <si>
    <t>BU329</t>
  </si>
  <si>
    <t>BX746</t>
  </si>
  <si>
    <t>BX747</t>
  </si>
  <si>
    <t>BX749</t>
  </si>
  <si>
    <t>BS437</t>
  </si>
  <si>
    <t>BS438</t>
  </si>
  <si>
    <t>BS441</t>
  </si>
  <si>
    <t>BS442</t>
  </si>
  <si>
    <t>BT716</t>
  </si>
  <si>
    <t>BX475</t>
  </si>
  <si>
    <t>BX479</t>
  </si>
  <si>
    <t>BR784</t>
  </si>
  <si>
    <t>BR786</t>
  </si>
  <si>
    <t>BR787</t>
  </si>
  <si>
    <t>BT173</t>
  </si>
  <si>
    <t>BT174</t>
  </si>
  <si>
    <t>BX300</t>
  </si>
  <si>
    <t>BX306</t>
  </si>
  <si>
    <t>BX307</t>
  </si>
  <si>
    <t>BX308</t>
  </si>
  <si>
    <t>BT478</t>
  </si>
  <si>
    <t>BT488</t>
  </si>
  <si>
    <t>BT491</t>
  </si>
  <si>
    <t>BV200</t>
  </si>
  <si>
    <t>BV201</t>
  </si>
  <si>
    <t>BX221</t>
  </si>
  <si>
    <t>BX225</t>
  </si>
  <si>
    <t>BR378</t>
  </si>
  <si>
    <t>BR379</t>
  </si>
  <si>
    <t>BR380</t>
  </si>
  <si>
    <t>BR381</t>
  </si>
  <si>
    <t>BR382</t>
  </si>
  <si>
    <t>BR383</t>
  </si>
  <si>
    <t>BS508</t>
  </si>
  <si>
    <t>BS509</t>
  </si>
  <si>
    <t>BS510</t>
  </si>
  <si>
    <t>BW283</t>
  </si>
  <si>
    <t>BW284</t>
  </si>
  <si>
    <t>BT018</t>
  </si>
  <si>
    <t>BT023</t>
  </si>
  <si>
    <t>BU335</t>
  </si>
  <si>
    <t>BU336</t>
  </si>
  <si>
    <t>BW719</t>
  </si>
  <si>
    <t>BW722</t>
  </si>
  <si>
    <t>CA108</t>
  </si>
  <si>
    <t>CA112</t>
  </si>
  <si>
    <t>CA113</t>
  </si>
  <si>
    <t>CC090</t>
  </si>
  <si>
    <t>BS969</t>
  </si>
  <si>
    <t>BS970</t>
  </si>
  <si>
    <t>BS971</t>
  </si>
  <si>
    <t>BS972</t>
  </si>
  <si>
    <t>BS976</t>
  </si>
  <si>
    <t>BS960</t>
  </si>
  <si>
    <t>BS962</t>
  </si>
  <si>
    <t>BS963</t>
  </si>
  <si>
    <t>BS964</t>
  </si>
  <si>
    <t>BS968</t>
  </si>
  <si>
    <t>BZ031</t>
  </si>
  <si>
    <t>BZ040</t>
  </si>
  <si>
    <t>BZ043</t>
  </si>
  <si>
    <t>BZ044</t>
  </si>
  <si>
    <t>CD522</t>
  </si>
  <si>
    <t>CD523</t>
  </si>
  <si>
    <t>CD524</t>
  </si>
  <si>
    <t>BW640</t>
  </si>
  <si>
    <t>BW643</t>
  </si>
  <si>
    <t>BW644</t>
  </si>
  <si>
    <t>BY997</t>
  </si>
  <si>
    <t>BY998</t>
  </si>
  <si>
    <t>BY999</t>
  </si>
  <si>
    <t>BW135</t>
  </si>
  <si>
    <t>BW136</t>
  </si>
  <si>
    <t>BW139</t>
  </si>
  <si>
    <t>BW140</t>
  </si>
  <si>
    <t>BY293</t>
  </si>
  <si>
    <t>BW900</t>
  </si>
  <si>
    <t>BW901</t>
  </si>
  <si>
    <t>BY287</t>
  </si>
  <si>
    <t>BY288</t>
  </si>
  <si>
    <t>BY289</t>
  </si>
  <si>
    <t>BV489</t>
  </si>
  <si>
    <t>BV491</t>
  </si>
  <si>
    <t>BV495</t>
  </si>
  <si>
    <t>BV496</t>
  </si>
  <si>
    <t>BW847</t>
  </si>
  <si>
    <t>CRA_40_7002_F2</t>
  </si>
  <si>
    <t>BZ000</t>
  </si>
  <si>
    <t>BZ001</t>
  </si>
  <si>
    <t>CB592</t>
  </si>
  <si>
    <t>CB593</t>
  </si>
  <si>
    <t>CB595</t>
  </si>
  <si>
    <t>BY095</t>
  </si>
  <si>
    <t>BY097</t>
  </si>
  <si>
    <t>BY101</t>
  </si>
  <si>
    <t>BZ171</t>
  </si>
  <si>
    <t>BZ172</t>
  </si>
  <si>
    <t>BZ373</t>
  </si>
  <si>
    <t>BZ375</t>
  </si>
  <si>
    <t>BZ376</t>
  </si>
  <si>
    <t>CB153</t>
  </si>
  <si>
    <t>CB774</t>
  </si>
  <si>
    <t>CB777</t>
  </si>
  <si>
    <t>CC858</t>
  </si>
  <si>
    <t>CC859</t>
  </si>
  <si>
    <t>CC860</t>
  </si>
  <si>
    <t>BY304</t>
  </si>
  <si>
    <t>BY307</t>
  </si>
  <si>
    <t>BY312</t>
  </si>
  <si>
    <t>BY313</t>
  </si>
  <si>
    <t>BY315</t>
  </si>
  <si>
    <t>CA345</t>
  </si>
  <si>
    <t>CA354</t>
  </si>
  <si>
    <t>CA355</t>
  </si>
  <si>
    <t>CA356</t>
  </si>
  <si>
    <t>CB474</t>
  </si>
  <si>
    <t>BY985</t>
  </si>
  <si>
    <t>BY986</t>
  </si>
  <si>
    <t>BY987</t>
  </si>
  <si>
    <t>BY988</t>
  </si>
  <si>
    <t>BY989</t>
  </si>
  <si>
    <t>BZ827</t>
  </si>
  <si>
    <t>BZ828</t>
  </si>
  <si>
    <t>BZ829</t>
  </si>
  <si>
    <t>BZ831</t>
  </si>
  <si>
    <t>CB229</t>
  </si>
  <si>
    <t>CB570</t>
  </si>
  <si>
    <t>CB571</t>
  </si>
  <si>
    <t>CB572</t>
  </si>
  <si>
    <t>CB574</t>
  </si>
  <si>
    <t>BY990</t>
  </si>
  <si>
    <t>BY991</t>
  </si>
  <si>
    <t>BY992</t>
  </si>
  <si>
    <t>BY993</t>
  </si>
  <si>
    <t>BY994</t>
  </si>
  <si>
    <t>CC281</t>
  </si>
  <si>
    <t>CC283</t>
  </si>
  <si>
    <t>CC222</t>
  </si>
  <si>
    <t>CC223</t>
  </si>
  <si>
    <t>CC224</t>
  </si>
  <si>
    <t>CC225</t>
  </si>
  <si>
    <t>CC226</t>
  </si>
  <si>
    <t>BY882</t>
  </si>
  <si>
    <t>BY883</t>
  </si>
  <si>
    <t>BY884</t>
  </si>
  <si>
    <t>BY885</t>
  </si>
  <si>
    <t>CD539</t>
  </si>
  <si>
    <t>CD540</t>
  </si>
  <si>
    <t>CB539</t>
  </si>
  <si>
    <t>CB543</t>
  </si>
  <si>
    <t>CB544</t>
  </si>
  <si>
    <t>CB545</t>
  </si>
  <si>
    <t>CC554</t>
  </si>
  <si>
    <t>CB330</t>
  </si>
  <si>
    <t>CB332</t>
  </si>
  <si>
    <t>CB334</t>
  </si>
  <si>
    <t>CD038</t>
  </si>
  <si>
    <t>CC214</t>
  </si>
  <si>
    <t>CC215</t>
  </si>
  <si>
    <t>CC216</t>
  </si>
  <si>
    <t>CC217</t>
  </si>
  <si>
    <t>CC220</t>
  </si>
  <si>
    <t>CD490</t>
  </si>
  <si>
    <t>CC579</t>
  </si>
  <si>
    <t>CC582</t>
  </si>
  <si>
    <t>CC583</t>
  </si>
  <si>
    <t>CD760</t>
  </si>
  <si>
    <t>CD761</t>
  </si>
  <si>
    <t>CB803</t>
  </si>
  <si>
    <t>CB804</t>
  </si>
  <si>
    <t>CB805</t>
  </si>
  <si>
    <t>CB808</t>
  </si>
  <si>
    <t>CB811</t>
  </si>
  <si>
    <t>CB829</t>
  </si>
  <si>
    <t>CB834</t>
  </si>
  <si>
    <t>CA814</t>
  </si>
  <si>
    <t>CA833</t>
  </si>
  <si>
    <t>CA835</t>
  </si>
  <si>
    <t>CA836</t>
  </si>
  <si>
    <t>CA815</t>
  </si>
  <si>
    <t>CA817</t>
  </si>
  <si>
    <t>CA818</t>
  </si>
  <si>
    <t>CA819</t>
  </si>
  <si>
    <t>CA820</t>
  </si>
  <si>
    <t>CA822</t>
  </si>
  <si>
    <t>CB689</t>
  </si>
  <si>
    <t>CB690</t>
  </si>
  <si>
    <t>CB691</t>
  </si>
  <si>
    <t>CB692</t>
  </si>
  <si>
    <t>CB693</t>
  </si>
  <si>
    <t>CA805</t>
  </si>
  <si>
    <t>CA809</t>
  </si>
  <si>
    <t>CA810</t>
  </si>
  <si>
    <t>CB914</t>
  </si>
  <si>
    <t>CB003</t>
  </si>
  <si>
    <t>CB004</t>
  </si>
  <si>
    <t>CB006</t>
  </si>
  <si>
    <t>CB007</t>
  </si>
  <si>
    <t>CC463</t>
  </si>
  <si>
    <t>CB479</t>
  </si>
  <si>
    <t>CB482</t>
  </si>
  <si>
    <t>CB485</t>
  </si>
  <si>
    <t>CC677</t>
  </si>
  <si>
    <t>CC679</t>
  </si>
  <si>
    <t>CC680</t>
  </si>
  <si>
    <t>CC681</t>
  </si>
  <si>
    <t>CC360</t>
  </si>
  <si>
    <t>CC367</t>
  </si>
  <si>
    <t>CC369</t>
  </si>
  <si>
    <t>CD088</t>
  </si>
  <si>
    <t>CD089</t>
  </si>
  <si>
    <t>CD090</t>
  </si>
  <si>
    <t>CD091</t>
  </si>
  <si>
    <t>CD092</t>
  </si>
  <si>
    <t>CD093</t>
  </si>
  <si>
    <t>CD094</t>
  </si>
  <si>
    <t>CD095</t>
  </si>
  <si>
    <t>CD096</t>
  </si>
  <si>
    <t>CD583</t>
  </si>
  <si>
    <t>CD584</t>
  </si>
  <si>
    <t>CD585</t>
  </si>
  <si>
    <t>CD586</t>
  </si>
  <si>
    <t>CD587</t>
  </si>
  <si>
    <t>90058</t>
  </si>
  <si>
    <t>90080</t>
  </si>
  <si>
    <t>90115</t>
  </si>
  <si>
    <t>90262</t>
  </si>
  <si>
    <t>90679</t>
  </si>
  <si>
    <t>91073</t>
  </si>
  <si>
    <t>91074</t>
  </si>
  <si>
    <t>91075</t>
  </si>
  <si>
    <t>91082</t>
  </si>
  <si>
    <t>91118</t>
  </si>
  <si>
    <t>91134</t>
  </si>
  <si>
    <t>91151</t>
  </si>
  <si>
    <t>91259</t>
  </si>
  <si>
    <t>91345</t>
  </si>
  <si>
    <t>AM567</t>
  </si>
  <si>
    <t>AM568</t>
  </si>
  <si>
    <t>AQ895</t>
  </si>
  <si>
    <t>AQ896</t>
  </si>
  <si>
    <t>AW348</t>
  </si>
  <si>
    <t>AW349</t>
  </si>
  <si>
    <t>90081</t>
  </si>
  <si>
    <t>90103</t>
  </si>
  <si>
    <t>90109</t>
  </si>
  <si>
    <t>90118</t>
  </si>
  <si>
    <t>90401</t>
  </si>
  <si>
    <t>90533</t>
  </si>
  <si>
    <t>90693</t>
  </si>
  <si>
    <t>90743</t>
  </si>
  <si>
    <t>90761</t>
  </si>
  <si>
    <t>90774</t>
  </si>
  <si>
    <t>90820</t>
  </si>
  <si>
    <t>90905</t>
  </si>
  <si>
    <t>90931</t>
  </si>
  <si>
    <t>90944</t>
  </si>
  <si>
    <t>90983</t>
  </si>
  <si>
    <t>90984</t>
  </si>
  <si>
    <t>90985</t>
  </si>
  <si>
    <t>90986</t>
  </si>
  <si>
    <t>91020</t>
  </si>
  <si>
    <t>91021</t>
  </si>
  <si>
    <t>91067</t>
  </si>
  <si>
    <t>91088</t>
  </si>
  <si>
    <t>91128</t>
  </si>
  <si>
    <t>91129</t>
  </si>
  <si>
    <t>91130</t>
  </si>
  <si>
    <t>91131</t>
  </si>
  <si>
    <t>91161</t>
  </si>
  <si>
    <t>91205</t>
  </si>
  <si>
    <t>91206</t>
  </si>
  <si>
    <t>91207</t>
  </si>
  <si>
    <t>91208</t>
  </si>
  <si>
    <t>91209</t>
  </si>
  <si>
    <t>91210</t>
  </si>
  <si>
    <t>91348</t>
  </si>
  <si>
    <t>91349</t>
  </si>
  <si>
    <t>91350</t>
  </si>
  <si>
    <t>91351</t>
  </si>
  <si>
    <t>91352</t>
  </si>
  <si>
    <t>91353</t>
  </si>
  <si>
    <t>AG950</t>
  </si>
  <si>
    <t>AG952</t>
  </si>
  <si>
    <t>AG953</t>
  </si>
  <si>
    <t>AG954</t>
  </si>
  <si>
    <t>AG955</t>
  </si>
  <si>
    <t>AG957</t>
  </si>
  <si>
    <t>AR081</t>
  </si>
  <si>
    <t>AR082</t>
  </si>
  <si>
    <t>AR083</t>
  </si>
  <si>
    <t>AR084</t>
  </si>
  <si>
    <t>AR085</t>
  </si>
  <si>
    <t>AR086</t>
  </si>
  <si>
    <t>AT381</t>
  </si>
  <si>
    <t>AT382</t>
  </si>
  <si>
    <t>AT383</t>
  </si>
  <si>
    <t>AT386</t>
  </si>
  <si>
    <t>AT387</t>
  </si>
  <si>
    <t>AT388</t>
  </si>
  <si>
    <t>AW431</t>
  </si>
  <si>
    <t>AW432</t>
  </si>
  <si>
    <t>AW896</t>
  </si>
  <si>
    <t>AW898</t>
  </si>
  <si>
    <t>AW901</t>
  </si>
  <si>
    <t>AW902</t>
  </si>
  <si>
    <t>AW903</t>
  </si>
  <si>
    <t>AX632</t>
  </si>
  <si>
    <t>BC430</t>
  </si>
  <si>
    <t>BC432</t>
  </si>
  <si>
    <t>BC434</t>
  </si>
  <si>
    <t>BC435</t>
  </si>
  <si>
    <t>BC436</t>
  </si>
  <si>
    <t>BC437</t>
  </si>
  <si>
    <t>BC438</t>
  </si>
  <si>
    <t>BC686</t>
  </si>
  <si>
    <t>BC688</t>
  </si>
  <si>
    <t>BC689</t>
  </si>
  <si>
    <t>BC690</t>
  </si>
  <si>
    <t>BC691</t>
  </si>
  <si>
    <t>BJ938</t>
  </si>
  <si>
    <t>BL213</t>
  </si>
  <si>
    <t>BN297</t>
  </si>
  <si>
    <t>BN298</t>
  </si>
  <si>
    <t>BU204</t>
  </si>
  <si>
    <t>BU207</t>
  </si>
  <si>
    <t>BU208</t>
  </si>
  <si>
    <t>BU209</t>
  </si>
  <si>
    <t>BU211</t>
  </si>
  <si>
    <t>BU212</t>
  </si>
  <si>
    <t>BU214</t>
  </si>
  <si>
    <t>BZ891</t>
  </si>
  <si>
    <t>BZ911</t>
  </si>
  <si>
    <t>BZ912</t>
  </si>
  <si>
    <t>BZ914</t>
  </si>
  <si>
    <t>BZ916</t>
  </si>
  <si>
    <t>BZ917</t>
  </si>
  <si>
    <t>CB010</t>
  </si>
  <si>
    <t>CB017</t>
  </si>
  <si>
    <t>CB018</t>
  </si>
  <si>
    <t>CB019</t>
  </si>
  <si>
    <t>CB020</t>
  </si>
  <si>
    <t>AB000</t>
  </si>
  <si>
    <t>AB004</t>
  </si>
  <si>
    <t>90062</t>
  </si>
  <si>
    <t>90646</t>
  </si>
  <si>
    <t>91198</t>
  </si>
  <si>
    <t>91213</t>
  </si>
  <si>
    <t>91252</t>
  </si>
  <si>
    <t>AE545</t>
  </si>
  <si>
    <t>AE546</t>
  </si>
  <si>
    <t>AE547</t>
  </si>
  <si>
    <t>AI778</t>
  </si>
  <si>
    <t>AI779</t>
  </si>
  <si>
    <t>AI780</t>
  </si>
  <si>
    <t>AI781</t>
  </si>
  <si>
    <t>AR056</t>
  </si>
  <si>
    <t>AR057</t>
  </si>
  <si>
    <t>AR058</t>
  </si>
  <si>
    <t>AV587</t>
  </si>
  <si>
    <t>AV596</t>
  </si>
  <si>
    <t>AV598</t>
  </si>
  <si>
    <t>AV599</t>
  </si>
  <si>
    <t>AV601</t>
  </si>
  <si>
    <t>AX129</t>
  </si>
  <si>
    <t>AZ804</t>
  </si>
  <si>
    <t>AZ805</t>
  </si>
  <si>
    <t>BD136</t>
  </si>
  <si>
    <t>BD137</t>
  </si>
  <si>
    <t>BJ402</t>
  </si>
  <si>
    <t>BK625</t>
  </si>
  <si>
    <t>BK626</t>
  </si>
  <si>
    <t>BN447</t>
  </si>
  <si>
    <t>BN448</t>
  </si>
  <si>
    <t>BQ715</t>
  </si>
  <si>
    <t>BQ716</t>
  </si>
  <si>
    <t>BQ717</t>
  </si>
  <si>
    <t>BR188</t>
  </si>
  <si>
    <t>CC191</t>
  </si>
  <si>
    <t>CD933</t>
  </si>
  <si>
    <t>BH140</t>
  </si>
  <si>
    <t>BH141</t>
  </si>
  <si>
    <t>BH145</t>
  </si>
  <si>
    <t>BH148</t>
  </si>
  <si>
    <t>BI533</t>
  </si>
  <si>
    <t>BK655</t>
  </si>
  <si>
    <t>BK656</t>
  </si>
  <si>
    <t>BK657</t>
  </si>
  <si>
    <t>BK958</t>
  </si>
  <si>
    <t>BP178</t>
  </si>
  <si>
    <t>BP180</t>
  </si>
  <si>
    <t>BP181</t>
  </si>
  <si>
    <t>BP758</t>
  </si>
  <si>
    <t>BP760</t>
  </si>
  <si>
    <t>BV706</t>
  </si>
  <si>
    <t>BV707</t>
  </si>
  <si>
    <t>BV724</t>
  </si>
  <si>
    <t>BV835</t>
  </si>
  <si>
    <t>BV836</t>
  </si>
  <si>
    <t>BM634</t>
  </si>
  <si>
    <t>BM637</t>
  </si>
  <si>
    <t>BM638</t>
  </si>
  <si>
    <t>BM639</t>
  </si>
  <si>
    <t>BM641</t>
  </si>
  <si>
    <t>BM643</t>
  </si>
  <si>
    <t>BQ762</t>
  </si>
  <si>
    <t>BQ763</t>
  </si>
  <si>
    <t>BQ764</t>
  </si>
  <si>
    <t>BQ765</t>
  </si>
  <si>
    <t>BU347</t>
  </si>
  <si>
    <t>BU348</t>
  </si>
  <si>
    <t>BU349</t>
  </si>
  <si>
    <t>BW496</t>
  </si>
  <si>
    <t>CC189</t>
  </si>
  <si>
    <t>CC584</t>
  </si>
  <si>
    <t>BO134</t>
  </si>
  <si>
    <t>BO135</t>
  </si>
  <si>
    <t>BO136</t>
  </si>
  <si>
    <t>BT552</t>
  </si>
  <si>
    <t>BT553</t>
  </si>
  <si>
    <t>BT554</t>
  </si>
  <si>
    <t>BU725</t>
  </si>
  <si>
    <t>BU726</t>
  </si>
  <si>
    <t>BU728</t>
  </si>
  <si>
    <t>BU729</t>
  </si>
  <si>
    <t>BV699</t>
  </si>
  <si>
    <t>BX719</t>
  </si>
  <si>
    <t>BX720</t>
  </si>
  <si>
    <t>BX721</t>
  </si>
  <si>
    <t>BZ892</t>
  </si>
  <si>
    <t>BZ894</t>
  </si>
  <si>
    <t>BR259</t>
  </si>
  <si>
    <t>BR260</t>
  </si>
  <si>
    <t>BR261</t>
  </si>
  <si>
    <t>BR262</t>
  </si>
  <si>
    <t>BR263</t>
  </si>
  <si>
    <t>BU887</t>
  </si>
  <si>
    <t>BT993</t>
  </si>
  <si>
    <t>BU000</t>
  </si>
  <si>
    <t>BU002</t>
  </si>
  <si>
    <t>BU005</t>
  </si>
  <si>
    <t>BU006</t>
  </si>
  <si>
    <t>BW895</t>
  </si>
  <si>
    <t>BW896</t>
  </si>
  <si>
    <t>CA854</t>
  </si>
  <si>
    <t>CA855</t>
  </si>
  <si>
    <t>CA856</t>
  </si>
  <si>
    <t>CA857</t>
  </si>
  <si>
    <t>CD821</t>
  </si>
  <si>
    <t>CD822</t>
  </si>
  <si>
    <t>CD823</t>
  </si>
  <si>
    <t>CD824</t>
  </si>
  <si>
    <t>BR801</t>
  </si>
  <si>
    <t>BR807</t>
  </si>
  <si>
    <t>BR808</t>
  </si>
  <si>
    <t>BR809</t>
  </si>
  <si>
    <t>BR810</t>
  </si>
  <si>
    <t>BR811</t>
  </si>
  <si>
    <t>BY208</t>
  </si>
  <si>
    <t>BY209</t>
  </si>
  <si>
    <t>BY210</t>
  </si>
  <si>
    <t>BY212</t>
  </si>
  <si>
    <t>BY213</t>
  </si>
  <si>
    <t>BY215</t>
  </si>
  <si>
    <t>BU007</t>
  </si>
  <si>
    <t>BU008</t>
  </si>
  <si>
    <t>BU009</t>
  </si>
  <si>
    <t>BU012</t>
  </si>
  <si>
    <t>BU014</t>
  </si>
  <si>
    <t>BZ863</t>
  </si>
  <si>
    <t>BZ864</t>
  </si>
  <si>
    <t>BT801</t>
  </si>
  <si>
    <t>BT802</t>
  </si>
  <si>
    <t>BT804</t>
  </si>
  <si>
    <t>BV121</t>
  </si>
  <si>
    <t>BV221</t>
  </si>
  <si>
    <t>BZ865</t>
  </si>
  <si>
    <t>BZ866</t>
  </si>
  <si>
    <t>BX467</t>
  </si>
  <si>
    <t>BX469</t>
  </si>
  <si>
    <t>BX471</t>
  </si>
  <si>
    <t>BX472</t>
  </si>
  <si>
    <t>BX473</t>
  </si>
  <si>
    <t>CC392</t>
  </si>
  <si>
    <t>CC399</t>
  </si>
  <si>
    <t>CC400</t>
  </si>
  <si>
    <t>CC402</t>
  </si>
  <si>
    <t>CC403</t>
  </si>
  <si>
    <t>CC405</t>
  </si>
  <si>
    <t>BY810</t>
  </si>
  <si>
    <t>BY818</t>
  </si>
  <si>
    <t>BY819</t>
  </si>
  <si>
    <t>BY822</t>
  </si>
  <si>
    <t>BY824</t>
  </si>
  <si>
    <t>BY189</t>
  </si>
  <si>
    <t>BY190</t>
  </si>
  <si>
    <t>BY191</t>
  </si>
  <si>
    <t>BY192</t>
  </si>
  <si>
    <t>BZ521</t>
  </si>
  <si>
    <t>BX497</t>
  </si>
  <si>
    <t>BX499</t>
  </si>
  <si>
    <t>BX500</t>
  </si>
  <si>
    <t>BX503</t>
  </si>
  <si>
    <t>BX504</t>
  </si>
  <si>
    <t>BX633</t>
  </si>
  <si>
    <t>BX634</t>
  </si>
  <si>
    <t>BX636</t>
  </si>
  <si>
    <t>BX637</t>
  </si>
  <si>
    <t>BX638</t>
  </si>
  <si>
    <t>CA757</t>
  </si>
  <si>
    <t>CA766</t>
  </si>
  <si>
    <t>CA767</t>
  </si>
  <si>
    <t>CA769</t>
  </si>
  <si>
    <t>CC221</t>
  </si>
  <si>
    <t>CA921</t>
  </si>
  <si>
    <t>CA922</t>
  </si>
  <si>
    <t>CA923</t>
  </si>
  <si>
    <t>CA924</t>
  </si>
  <si>
    <t>CA233</t>
  </si>
  <si>
    <t>CA234</t>
  </si>
  <si>
    <t>CA235</t>
  </si>
  <si>
    <t>CA238</t>
  </si>
  <si>
    <t>CA239</t>
  </si>
  <si>
    <t>CA247</t>
  </si>
  <si>
    <t>CB111</t>
  </si>
  <si>
    <t>CB112</t>
  </si>
  <si>
    <t>CB113</t>
  </si>
  <si>
    <t>CB114</t>
  </si>
  <si>
    <t>CB116</t>
  </si>
  <si>
    <t>CB118</t>
  </si>
  <si>
    <t>CC165</t>
  </si>
  <si>
    <t>CC168</t>
  </si>
  <si>
    <t>CA993</t>
  </si>
  <si>
    <t>CA995</t>
  </si>
  <si>
    <t>CA998</t>
  </si>
  <si>
    <t>CB000</t>
  </si>
  <si>
    <t>CE758</t>
  </si>
  <si>
    <t>CB616</t>
  </si>
  <si>
    <t>CB617</t>
  </si>
  <si>
    <t>CB619</t>
  </si>
  <si>
    <t>CB621</t>
  </si>
  <si>
    <t>CB622</t>
  </si>
  <si>
    <t>CC695</t>
  </si>
  <si>
    <t>CC696</t>
  </si>
  <si>
    <t>CC697</t>
  </si>
  <si>
    <t>CC698</t>
  </si>
  <si>
    <t>CC702</t>
  </si>
  <si>
    <t>CA750</t>
  </si>
  <si>
    <t>CA752</t>
  </si>
  <si>
    <t>CA753</t>
  </si>
  <si>
    <t>CA754</t>
  </si>
  <si>
    <t>CD562</t>
  </si>
  <si>
    <t>CE740</t>
  </si>
  <si>
    <t>CA980</t>
  </si>
  <si>
    <t>CA981</t>
  </si>
  <si>
    <t>CA982</t>
  </si>
  <si>
    <t>CA983</t>
  </si>
  <si>
    <t>CA984</t>
  </si>
  <si>
    <t>CA986</t>
  </si>
  <si>
    <t>CB071</t>
  </si>
  <si>
    <t>CB072</t>
  </si>
  <si>
    <t>CB073</t>
  </si>
  <si>
    <t>CB074</t>
  </si>
  <si>
    <t>CD593</t>
  </si>
  <si>
    <t>CD594</t>
  </si>
  <si>
    <t>CB075</t>
  </si>
  <si>
    <t>CB076</t>
  </si>
  <si>
    <t>CB077</t>
  </si>
  <si>
    <t>CD595</t>
  </si>
  <si>
    <t>CD596</t>
  </si>
  <si>
    <t>CC057</t>
  </si>
  <si>
    <t>CC064</t>
  </si>
  <si>
    <t>CC065</t>
  </si>
  <si>
    <t>CC069</t>
  </si>
  <si>
    <t>CC070</t>
  </si>
  <si>
    <t>CC719</t>
  </si>
  <si>
    <t>CC720</t>
  </si>
  <si>
    <t>CC721</t>
  </si>
  <si>
    <t>CC724</t>
  </si>
  <si>
    <t>CC726</t>
  </si>
  <si>
    <t>CB512</t>
  </si>
  <si>
    <t>CB515</t>
  </si>
  <si>
    <t>CB518</t>
  </si>
  <si>
    <t>CB519</t>
  </si>
  <si>
    <t>06458</t>
  </si>
  <si>
    <t>19701</t>
  </si>
  <si>
    <t>52829</t>
  </si>
  <si>
    <t>53709</t>
  </si>
  <si>
    <t>53911</t>
  </si>
  <si>
    <t>53912</t>
  </si>
  <si>
    <t>53913</t>
  </si>
  <si>
    <t>53914</t>
  </si>
  <si>
    <t>53996</t>
  </si>
  <si>
    <t>53997</t>
  </si>
  <si>
    <t>53998</t>
  </si>
  <si>
    <t>54083</t>
  </si>
  <si>
    <t>54125</t>
  </si>
  <si>
    <t>54126</t>
  </si>
  <si>
    <t>AC877</t>
  </si>
  <si>
    <t>AC878</t>
  </si>
  <si>
    <t>AC879</t>
  </si>
  <si>
    <t>AK685</t>
  </si>
  <si>
    <t>AL503</t>
  </si>
  <si>
    <t>AL504</t>
  </si>
  <si>
    <t>AL505</t>
  </si>
  <si>
    <t>AN213</t>
  </si>
  <si>
    <t>AN214</t>
  </si>
  <si>
    <t>AO662</t>
  </si>
  <si>
    <t>AO663</t>
  </si>
  <si>
    <t>AT743</t>
  </si>
  <si>
    <t>AT744</t>
  </si>
  <si>
    <t>AT745</t>
  </si>
  <si>
    <t>AW193</t>
  </si>
  <si>
    <t>AW194</t>
  </si>
  <si>
    <t>AW613</t>
  </si>
  <si>
    <t>AW614</t>
  </si>
  <si>
    <t>AW615</t>
  </si>
  <si>
    <t>AZ646</t>
  </si>
  <si>
    <t>AZ647</t>
  </si>
  <si>
    <t>AZ648</t>
  </si>
  <si>
    <t>BD995</t>
  </si>
  <si>
    <t>BE001</t>
  </si>
  <si>
    <t>BE002</t>
  </si>
  <si>
    <t>BE003</t>
  </si>
  <si>
    <t>BI677</t>
  </si>
  <si>
    <t>BJ301</t>
  </si>
  <si>
    <t>BJ305</t>
  </si>
  <si>
    <t>BJ306</t>
  </si>
  <si>
    <t>BJ307</t>
  </si>
  <si>
    <t>BJ311</t>
  </si>
  <si>
    <t>BJ742</t>
  </si>
  <si>
    <t>BJ743</t>
  </si>
  <si>
    <t>BR038</t>
  </si>
  <si>
    <t>BR039</t>
  </si>
  <si>
    <t>BR040</t>
  </si>
  <si>
    <t>BR041</t>
  </si>
  <si>
    <t>BR042</t>
  </si>
  <si>
    <t>BR043</t>
  </si>
  <si>
    <t>BU704</t>
  </si>
  <si>
    <t>BU706</t>
  </si>
  <si>
    <t>BU710</t>
  </si>
  <si>
    <t>BW462</t>
  </si>
  <si>
    <t>BX253</t>
  </si>
  <si>
    <t>BX254</t>
  </si>
  <si>
    <t>BX255</t>
  </si>
  <si>
    <t>BX256</t>
  </si>
  <si>
    <t>BX257</t>
  </si>
  <si>
    <t>BX258</t>
  </si>
  <si>
    <t>AD375</t>
  </si>
  <si>
    <t>AD376</t>
  </si>
  <si>
    <t>AD377</t>
  </si>
  <si>
    <t>AG255</t>
  </si>
  <si>
    <t>AK724</t>
  </si>
  <si>
    <t>AK725</t>
  </si>
  <si>
    <t>AX320</t>
  </si>
  <si>
    <t>AX322</t>
  </si>
  <si>
    <t>AX323</t>
  </si>
  <si>
    <t>AX325</t>
  </si>
  <si>
    <t>BJ037</t>
  </si>
  <si>
    <t>BJ052</t>
  </si>
  <si>
    <t>BJ055</t>
  </si>
  <si>
    <t>BJ057</t>
  </si>
  <si>
    <t>BN255</t>
  </si>
  <si>
    <t>BN256</t>
  </si>
  <si>
    <t>BN258</t>
  </si>
  <si>
    <t>BN261</t>
  </si>
  <si>
    <t>BN532</t>
  </si>
  <si>
    <t>BU269</t>
  </si>
  <si>
    <t>BU271</t>
  </si>
  <si>
    <t>BU272</t>
  </si>
  <si>
    <t>BU275</t>
  </si>
  <si>
    <t>BW316</t>
  </si>
  <si>
    <t>CA269</t>
  </si>
  <si>
    <t>CA270</t>
  </si>
  <si>
    <t>CA275</t>
  </si>
  <si>
    <t>MESA DE SERIGRAFIA NO CALCANHAR</t>
  </si>
  <si>
    <t>BN050</t>
  </si>
  <si>
    <t>BN059</t>
  </si>
  <si>
    <t>BN061</t>
  </si>
  <si>
    <t>BN064</t>
  </si>
  <si>
    <t>BO458</t>
  </si>
  <si>
    <t>BQ397</t>
  </si>
  <si>
    <t>BQ398</t>
  </si>
  <si>
    <t>BQ399</t>
  </si>
  <si>
    <t>BQ400</t>
  </si>
  <si>
    <t>BR866</t>
  </si>
  <si>
    <t>BS359</t>
  </si>
  <si>
    <t>BS961</t>
  </si>
  <si>
    <t>BS977</t>
  </si>
  <si>
    <t>BS979</t>
  </si>
  <si>
    <t>BS980</t>
  </si>
  <si>
    <t>BS982</t>
  </si>
  <si>
    <t>BS984</t>
  </si>
  <si>
    <t>BX841</t>
  </si>
  <si>
    <t>BX843</t>
  </si>
  <si>
    <t>BX844</t>
  </si>
  <si>
    <t>BX845</t>
  </si>
  <si>
    <t>BX846</t>
  </si>
  <si>
    <t>BZ686</t>
  </si>
  <si>
    <t>BZ690</t>
  </si>
  <si>
    <t>BZ692</t>
  </si>
  <si>
    <t>BZ693</t>
  </si>
  <si>
    <t>BZ694</t>
  </si>
  <si>
    <t>CB883</t>
  </si>
  <si>
    <t>CD231</t>
  </si>
  <si>
    <t>CD232</t>
  </si>
  <si>
    <t>CD233</t>
  </si>
  <si>
    <t>CD234</t>
  </si>
  <si>
    <t>CD235</t>
  </si>
  <si>
    <t>CD236</t>
  </si>
  <si>
    <t>BW794</t>
  </si>
  <si>
    <t>BW797</t>
  </si>
  <si>
    <t>BW798</t>
  </si>
  <si>
    <t>CB001</t>
  </si>
  <si>
    <t>BW161</t>
  </si>
  <si>
    <t>BW163</t>
  </si>
  <si>
    <t>BW166</t>
  </si>
  <si>
    <t>BW673</t>
  </si>
  <si>
    <t>BW680</t>
  </si>
  <si>
    <t>BW683</t>
  </si>
  <si>
    <t>BZ431</t>
  </si>
  <si>
    <t>BZ432</t>
  </si>
  <si>
    <t>BZ435</t>
  </si>
  <si>
    <t>BX651</t>
  </si>
  <si>
    <t>BX664</t>
  </si>
  <si>
    <t>MESA SERIGRÁFICA GIRATÓRIA</t>
  </si>
  <si>
    <t>BX665</t>
  </si>
  <si>
    <t>BX666</t>
  </si>
  <si>
    <t>BX795</t>
  </si>
  <si>
    <t>BX796</t>
  </si>
  <si>
    <t>BX799</t>
  </si>
  <si>
    <t>BX802</t>
  </si>
  <si>
    <t>CE472</t>
  </si>
  <si>
    <t>CA048</t>
  </si>
  <si>
    <t>CA050</t>
  </si>
  <si>
    <t>CA051</t>
  </si>
  <si>
    <t>CA054</t>
  </si>
  <si>
    <t>CB658</t>
  </si>
  <si>
    <t>CB659</t>
  </si>
  <si>
    <t>CB662</t>
  </si>
  <si>
    <t>CB664</t>
  </si>
  <si>
    <t>CB665</t>
  </si>
  <si>
    <t>BW988</t>
  </si>
  <si>
    <t>BW989</t>
  </si>
  <si>
    <t>BW992</t>
  </si>
  <si>
    <t>BZ407</t>
  </si>
  <si>
    <t>BZ412</t>
  </si>
  <si>
    <t>BZ414</t>
  </si>
  <si>
    <t>CA585</t>
  </si>
  <si>
    <t>CA740</t>
  </si>
  <si>
    <t>CA741</t>
  </si>
  <si>
    <t>CA742</t>
  </si>
  <si>
    <t>CA743</t>
  </si>
  <si>
    <t>CA680</t>
  </si>
  <si>
    <t>CA683</t>
  </si>
  <si>
    <t>CA684</t>
  </si>
  <si>
    <t>CA687</t>
  </si>
  <si>
    <t>CB192</t>
  </si>
  <si>
    <t>CB194</t>
  </si>
  <si>
    <t>CB196</t>
  </si>
  <si>
    <t>CC571</t>
  </si>
  <si>
    <t>BZ156</t>
  </si>
  <si>
    <t>BZ158</t>
  </si>
  <si>
    <t>BZ159</t>
  </si>
  <si>
    <t>BZ161</t>
  </si>
  <si>
    <t>BY104</t>
  </si>
  <si>
    <t>BY105</t>
  </si>
  <si>
    <t>BY106</t>
  </si>
  <si>
    <t>BY107</t>
  </si>
  <si>
    <t>BY108</t>
  </si>
  <si>
    <t>BZ198</t>
  </si>
  <si>
    <t>BZ199</t>
  </si>
  <si>
    <t>BZ200</t>
  </si>
  <si>
    <t>CB202</t>
  </si>
  <si>
    <t>CB203</t>
  </si>
  <si>
    <t>CB684</t>
  </si>
  <si>
    <t>CB685</t>
  </si>
  <si>
    <t>CB686</t>
  </si>
  <si>
    <t>CB812</t>
  </si>
  <si>
    <t>CB813</t>
  </si>
  <si>
    <t>CB814</t>
  </si>
  <si>
    <t>CB815</t>
  </si>
  <si>
    <t>CB816</t>
  </si>
  <si>
    <t>CC629</t>
  </si>
  <si>
    <t>CC630</t>
  </si>
  <si>
    <t>CC632</t>
  </si>
  <si>
    <t>CC634</t>
  </si>
  <si>
    <t>CA440</t>
  </si>
  <si>
    <t>CA444</t>
  </si>
  <si>
    <t>CA445</t>
  </si>
  <si>
    <t>CA446</t>
  </si>
  <si>
    <t>CA447</t>
  </si>
  <si>
    <t>CA368</t>
  </si>
  <si>
    <t>CA378</t>
  </si>
  <si>
    <t>CA379</t>
  </si>
  <si>
    <t>CA380</t>
  </si>
  <si>
    <t>CA381</t>
  </si>
  <si>
    <t>CB704</t>
  </si>
  <si>
    <t>CB705</t>
  </si>
  <si>
    <t>CB706</t>
  </si>
  <si>
    <t>CB707</t>
  </si>
  <si>
    <t>CC946</t>
  </si>
  <si>
    <t>CB726</t>
  </si>
  <si>
    <t>CB727</t>
  </si>
  <si>
    <t>CB728</t>
  </si>
  <si>
    <t>CB729</t>
  </si>
  <si>
    <t>CC805</t>
  </si>
  <si>
    <t>CC808</t>
  </si>
  <si>
    <t>CC809</t>
  </si>
  <si>
    <t>CC812</t>
  </si>
  <si>
    <t>CC541</t>
  </si>
  <si>
    <t>CC542</t>
  </si>
  <si>
    <t>CC543</t>
  </si>
  <si>
    <t>CC544</t>
  </si>
  <si>
    <t>CD248</t>
  </si>
  <si>
    <t>CD249</t>
  </si>
  <si>
    <t>CD250</t>
  </si>
  <si>
    <t>02295</t>
  </si>
  <si>
    <t>02701</t>
  </si>
  <si>
    <t>02892</t>
  </si>
  <si>
    <t>02918</t>
  </si>
  <si>
    <t>09916</t>
  </si>
  <si>
    <t>20142</t>
  </si>
  <si>
    <t>20284</t>
  </si>
  <si>
    <t>20700</t>
  </si>
  <si>
    <t>20751</t>
  </si>
  <si>
    <t>20753</t>
  </si>
  <si>
    <t>20755</t>
  </si>
  <si>
    <t>20814</t>
  </si>
  <si>
    <t>20860</t>
  </si>
  <si>
    <t>20880</t>
  </si>
  <si>
    <t>20924</t>
  </si>
  <si>
    <t>21379</t>
  </si>
  <si>
    <t>21433</t>
  </si>
  <si>
    <t>21442</t>
  </si>
  <si>
    <t>21444</t>
  </si>
  <si>
    <t>21515</t>
  </si>
  <si>
    <t>21667</t>
  </si>
  <si>
    <t>22054</t>
  </si>
  <si>
    <t>22289</t>
  </si>
  <si>
    <t>22291</t>
  </si>
  <si>
    <t>22521</t>
  </si>
  <si>
    <t>22751</t>
  </si>
  <si>
    <t>22813</t>
  </si>
  <si>
    <t>22814</t>
  </si>
  <si>
    <t>22839</t>
  </si>
  <si>
    <t>22846</t>
  </si>
  <si>
    <t>22883</t>
  </si>
  <si>
    <t>22896</t>
  </si>
  <si>
    <t>22905</t>
  </si>
  <si>
    <t>22996</t>
  </si>
  <si>
    <t>23017</t>
  </si>
  <si>
    <t>23131</t>
  </si>
  <si>
    <t>23132</t>
  </si>
  <si>
    <t>23133</t>
  </si>
  <si>
    <t>23134</t>
  </si>
  <si>
    <t>23230</t>
  </si>
  <si>
    <t>23241</t>
  </si>
  <si>
    <t>23443</t>
  </si>
  <si>
    <t>23444</t>
  </si>
  <si>
    <t>23445</t>
  </si>
  <si>
    <t>23446</t>
  </si>
  <si>
    <t>23447</t>
  </si>
  <si>
    <t>23563</t>
  </si>
  <si>
    <t>23859</t>
  </si>
  <si>
    <t>23860</t>
  </si>
  <si>
    <t>23861</t>
  </si>
  <si>
    <t>23862</t>
  </si>
  <si>
    <t>23863</t>
  </si>
  <si>
    <t>23864</t>
  </si>
  <si>
    <t>23865</t>
  </si>
  <si>
    <t>23866</t>
  </si>
  <si>
    <t>23867</t>
  </si>
  <si>
    <t>23868</t>
  </si>
  <si>
    <t>24044</t>
  </si>
  <si>
    <t>24072</t>
  </si>
  <si>
    <t>24210</t>
  </si>
  <si>
    <t>24211</t>
  </si>
  <si>
    <t>24212</t>
  </si>
  <si>
    <t>24268</t>
  </si>
  <si>
    <t>24447</t>
  </si>
  <si>
    <t>24880</t>
  </si>
  <si>
    <t>BX088</t>
  </si>
  <si>
    <t>BX089</t>
  </si>
  <si>
    <t>BX090</t>
  </si>
  <si>
    <t>BX092</t>
  </si>
  <si>
    <t>BX093</t>
  </si>
  <si>
    <t>BX095</t>
  </si>
  <si>
    <t>20216</t>
  </si>
  <si>
    <t>20248</t>
  </si>
  <si>
    <t>20333</t>
  </si>
  <si>
    <t>20502</t>
  </si>
  <si>
    <t>20686</t>
  </si>
  <si>
    <t>20689</t>
  </si>
  <si>
    <t>20748</t>
  </si>
  <si>
    <t>20766</t>
  </si>
  <si>
    <t>20791</t>
  </si>
  <si>
    <t>20804</t>
  </si>
  <si>
    <t>20818</t>
  </si>
  <si>
    <t>21241</t>
  </si>
  <si>
    <t>21248</t>
  </si>
  <si>
    <t>21488</t>
  </si>
  <si>
    <t>21513</t>
  </si>
  <si>
    <t>21532</t>
  </si>
  <si>
    <t>21915</t>
  </si>
  <si>
    <t>22296</t>
  </si>
  <si>
    <t>22328</t>
  </si>
  <si>
    <t>22452</t>
  </si>
  <si>
    <t>22611</t>
  </si>
  <si>
    <t>22805</t>
  </si>
  <si>
    <t>22836</t>
  </si>
  <si>
    <t>22838</t>
  </si>
  <si>
    <t>23068</t>
  </si>
  <si>
    <t>23069</t>
  </si>
  <si>
    <t>23204</t>
  </si>
  <si>
    <t>23205</t>
  </si>
  <si>
    <t>23613</t>
  </si>
  <si>
    <t>23616</t>
  </si>
  <si>
    <t>23619</t>
  </si>
  <si>
    <t>23903</t>
  </si>
  <si>
    <t>23905</t>
  </si>
  <si>
    <t>23907</t>
  </si>
  <si>
    <t>23908</t>
  </si>
  <si>
    <t>23910</t>
  </si>
  <si>
    <t>24089</t>
  </si>
  <si>
    <t>24095</t>
  </si>
  <si>
    <t>24137</t>
  </si>
  <si>
    <t>24226</t>
  </si>
  <si>
    <t>24227</t>
  </si>
  <si>
    <t>24649</t>
  </si>
  <si>
    <t>24650</t>
  </si>
  <si>
    <t>24651</t>
  </si>
  <si>
    <t>24652</t>
  </si>
  <si>
    <t>24653</t>
  </si>
  <si>
    <t>24654</t>
  </si>
  <si>
    <t>26128</t>
  </si>
  <si>
    <t>26129</t>
  </si>
  <si>
    <t>BR217</t>
  </si>
  <si>
    <t>BR219</t>
  </si>
  <si>
    <t>BR220</t>
  </si>
  <si>
    <t>BR222</t>
  </si>
  <si>
    <t>BR223</t>
  </si>
  <si>
    <t>BR224</t>
  </si>
  <si>
    <t>BR225</t>
  </si>
  <si>
    <t>BW691</t>
  </si>
  <si>
    <t>BW692</t>
  </si>
  <si>
    <t>BW694</t>
  </si>
  <si>
    <t>BW696</t>
  </si>
  <si>
    <t>BW697</t>
  </si>
  <si>
    <t>BW698</t>
  </si>
  <si>
    <t>BW699</t>
  </si>
  <si>
    <t>20197</t>
  </si>
  <si>
    <t>20320</t>
  </si>
  <si>
    <t>20741</t>
  </si>
  <si>
    <t>20770</t>
  </si>
  <si>
    <t>20843</t>
  </si>
  <si>
    <t>20868</t>
  </si>
  <si>
    <t>21038</t>
  </si>
  <si>
    <t>21119</t>
  </si>
  <si>
    <t>21556</t>
  </si>
  <si>
    <t>21948</t>
  </si>
  <si>
    <t>22021</t>
  </si>
  <si>
    <t>22309</t>
  </si>
  <si>
    <t>22926</t>
  </si>
  <si>
    <t>CC883</t>
  </si>
  <si>
    <t>CD975</t>
  </si>
  <si>
    <t>20352</t>
  </si>
  <si>
    <t>22535</t>
  </si>
  <si>
    <t>22893</t>
  </si>
  <si>
    <t>23268</t>
  </si>
  <si>
    <t>23315</t>
  </si>
  <si>
    <t>23526</t>
  </si>
  <si>
    <t>23818</t>
  </si>
  <si>
    <t>23852</t>
  </si>
  <si>
    <t>23924</t>
  </si>
  <si>
    <t>24185</t>
  </si>
  <si>
    <t>26263</t>
  </si>
  <si>
    <t>26264</t>
  </si>
  <si>
    <t>26265</t>
  </si>
  <si>
    <t>AE183</t>
  </si>
  <si>
    <t>AE184</t>
  </si>
  <si>
    <t>AE185</t>
  </si>
  <si>
    <t>AH281</t>
  </si>
  <si>
    <t>AH282</t>
  </si>
  <si>
    <t>AH284</t>
  </si>
  <si>
    <t>BA971</t>
  </si>
  <si>
    <t>BA979</t>
  </si>
  <si>
    <t>BA980</t>
  </si>
  <si>
    <t>BH999</t>
  </si>
  <si>
    <t>BI000</t>
  </si>
  <si>
    <t>22601</t>
  </si>
  <si>
    <t>24548</t>
  </si>
  <si>
    <t>25314</t>
  </si>
  <si>
    <t>25826</t>
  </si>
  <si>
    <t>25827</t>
  </si>
  <si>
    <t>25828</t>
  </si>
  <si>
    <t>25829</t>
  </si>
  <si>
    <t>26099</t>
  </si>
  <si>
    <t>26100</t>
  </si>
  <si>
    <t>AD969</t>
  </si>
  <si>
    <t>AD970</t>
  </si>
  <si>
    <t>AD972</t>
  </si>
  <si>
    <t>AJ675</t>
  </si>
  <si>
    <t>AJ676</t>
  </si>
  <si>
    <t>AJ677</t>
  </si>
  <si>
    <t>AN720</t>
  </si>
  <si>
    <t>AN722</t>
  </si>
  <si>
    <t>AS861</t>
  </si>
  <si>
    <t>AS863</t>
  </si>
  <si>
    <t>AS865</t>
  </si>
  <si>
    <t>AW676</t>
  </si>
  <si>
    <t>AW677</t>
  </si>
  <si>
    <t>AW679</t>
  </si>
  <si>
    <t>BE486</t>
  </si>
  <si>
    <t>BE509</t>
  </si>
  <si>
    <t>BE512</t>
  </si>
  <si>
    <t>BK018</t>
  </si>
  <si>
    <t>BK019</t>
  </si>
  <si>
    <t>BK020</t>
  </si>
  <si>
    <t>BQ831</t>
  </si>
  <si>
    <t>BQ832</t>
  </si>
  <si>
    <t>BQ834</t>
  </si>
  <si>
    <t>BW505</t>
  </si>
  <si>
    <t>BW531</t>
  </si>
  <si>
    <t>BW533</t>
  </si>
  <si>
    <t>AK636</t>
  </si>
  <si>
    <t>AK637</t>
  </si>
  <si>
    <t>AK638</t>
  </si>
  <si>
    <t>AK639</t>
  </si>
  <si>
    <t>AK641</t>
  </si>
  <si>
    <t>AK642</t>
  </si>
  <si>
    <t>AK643</t>
  </si>
  <si>
    <t>AK644</t>
  </si>
  <si>
    <t>AK645</t>
  </si>
  <si>
    <t>AO174</t>
  </si>
  <si>
    <t>AO175</t>
  </si>
  <si>
    <t>AO176</t>
  </si>
  <si>
    <t>AO177</t>
  </si>
  <si>
    <t>AS792</t>
  </si>
  <si>
    <t>AS793</t>
  </si>
  <si>
    <t>AK625</t>
  </si>
  <si>
    <t>AK626</t>
  </si>
  <si>
    <t>AK627</t>
  </si>
  <si>
    <t>AK628</t>
  </si>
  <si>
    <t>AK629</t>
  </si>
  <si>
    <t>AK631</t>
  </si>
  <si>
    <t>AK632</t>
  </si>
  <si>
    <t>AK633</t>
  </si>
  <si>
    <t>AL286</t>
  </si>
  <si>
    <t>AO181</t>
  </si>
  <si>
    <t>AO182</t>
  </si>
  <si>
    <t>AO184</t>
  </si>
  <si>
    <t>AS721</t>
  </si>
  <si>
    <t>AS722</t>
  </si>
  <si>
    <t>AT187</t>
  </si>
  <si>
    <t>BA586</t>
  </si>
  <si>
    <t>BA587</t>
  </si>
  <si>
    <t>BA588</t>
  </si>
  <si>
    <t>BE017</t>
  </si>
  <si>
    <t>BE020</t>
  </si>
  <si>
    <t>BE021</t>
  </si>
  <si>
    <t>BI147</t>
  </si>
  <si>
    <t>BI148</t>
  </si>
  <si>
    <t>BI152</t>
  </si>
  <si>
    <t>BQ135</t>
  </si>
  <si>
    <t>BQ136</t>
  </si>
  <si>
    <t>AG882</t>
  </si>
  <si>
    <t>AG883</t>
  </si>
  <si>
    <t>AG885</t>
  </si>
  <si>
    <t>AG886</t>
  </si>
  <si>
    <t>AG887</t>
  </si>
  <si>
    <t>AG888</t>
  </si>
  <si>
    <t>AT693</t>
  </si>
  <si>
    <t>AT694</t>
  </si>
  <si>
    <t>AT695</t>
  </si>
  <si>
    <t>AT697</t>
  </si>
  <si>
    <t>AT698</t>
  </si>
  <si>
    <t>AT700</t>
  </si>
  <si>
    <t>BE260</t>
  </si>
  <si>
    <t>BE268</t>
  </si>
  <si>
    <t>BE270</t>
  </si>
  <si>
    <t>BE271</t>
  </si>
  <si>
    <t>BE272</t>
  </si>
  <si>
    <t>BE274</t>
  </si>
  <si>
    <t>BJ236</t>
  </si>
  <si>
    <t>BJ238</t>
  </si>
  <si>
    <t>BJ240</t>
  </si>
  <si>
    <t>BJ241</t>
  </si>
  <si>
    <t>BJ242</t>
  </si>
  <si>
    <t>BJ243</t>
  </si>
  <si>
    <t>BP552</t>
  </si>
  <si>
    <t>BP553</t>
  </si>
  <si>
    <t>BP555</t>
  </si>
  <si>
    <t>BP558</t>
  </si>
  <si>
    <t>BP559</t>
  </si>
  <si>
    <t>CB124</t>
  </si>
  <si>
    <t>CB900</t>
  </si>
  <si>
    <t>CB902</t>
  </si>
  <si>
    <t>CB903</t>
  </si>
  <si>
    <t>CB905</t>
  </si>
  <si>
    <t>AJ565</t>
  </si>
  <si>
    <t>AJ566</t>
  </si>
  <si>
    <t>AJ567</t>
  </si>
  <si>
    <t>AJ568</t>
  </si>
  <si>
    <t>AN261</t>
  </si>
  <si>
    <t>BF240</t>
  </si>
  <si>
    <t>BF241</t>
  </si>
  <si>
    <t>BF242</t>
  </si>
  <si>
    <t>BF243</t>
  </si>
  <si>
    <t>BF784</t>
  </si>
  <si>
    <t>BF789</t>
  </si>
  <si>
    <t>BF790</t>
  </si>
  <si>
    <t>BK335</t>
  </si>
  <si>
    <t>BK337</t>
  </si>
  <si>
    <t>BK341</t>
  </si>
  <si>
    <t>BL026</t>
  </si>
  <si>
    <t>BL027</t>
  </si>
  <si>
    <t>BS828</t>
  </si>
  <si>
    <t>BS829</t>
  </si>
  <si>
    <t>BV726</t>
  </si>
  <si>
    <t>CB207</t>
  </si>
  <si>
    <t>CC295</t>
  </si>
  <si>
    <t>AL729</t>
  </si>
  <si>
    <t>AL730</t>
  </si>
  <si>
    <t>AL731</t>
  </si>
  <si>
    <t>AL735</t>
  </si>
  <si>
    <t>AL736</t>
  </si>
  <si>
    <t>AL737</t>
  </si>
  <si>
    <t>BL021</t>
  </si>
  <si>
    <t>BL022</t>
  </si>
  <si>
    <t>BL023</t>
  </si>
  <si>
    <t>BL024</t>
  </si>
  <si>
    <t>BL025</t>
  </si>
  <si>
    <t>CB168</t>
  </si>
  <si>
    <t>CB169</t>
  </si>
  <si>
    <t>CB170</t>
  </si>
  <si>
    <t>CB667</t>
  </si>
  <si>
    <t>CC304</t>
  </si>
  <si>
    <t>AL739</t>
  </si>
  <si>
    <t>AL740</t>
  </si>
  <si>
    <t>AL741</t>
  </si>
  <si>
    <t>CB198</t>
  </si>
  <si>
    <t>BG780</t>
  </si>
  <si>
    <t>BG782</t>
  </si>
  <si>
    <t>BG783</t>
  </si>
  <si>
    <t>BG784</t>
  </si>
  <si>
    <t>BG785</t>
  </si>
  <si>
    <t>BG787</t>
  </si>
  <si>
    <t>BG789</t>
  </si>
  <si>
    <t>BG790</t>
  </si>
  <si>
    <t>BJ757</t>
  </si>
  <si>
    <t>BJ758</t>
  </si>
  <si>
    <t>BJ760</t>
  </si>
  <si>
    <t>BM868</t>
  </si>
  <si>
    <t>BM873</t>
  </si>
  <si>
    <t>BM875</t>
  </si>
  <si>
    <t>BE676</t>
  </si>
  <si>
    <t>BE678</t>
  </si>
  <si>
    <t>BE679</t>
  </si>
  <si>
    <t>BJ219</t>
  </si>
  <si>
    <t>BJ220</t>
  </si>
  <si>
    <t>BJ221</t>
  </si>
  <si>
    <t>BP382</t>
  </si>
  <si>
    <t>BP383</t>
  </si>
  <si>
    <t>BP384</t>
  </si>
  <si>
    <t>BP385</t>
  </si>
  <si>
    <t>BP386</t>
  </si>
  <si>
    <t>BS938</t>
  </si>
  <si>
    <t>BS940</t>
  </si>
  <si>
    <t>BS944</t>
  </si>
  <si>
    <t>BV196</t>
  </si>
  <si>
    <t>CA021</t>
  </si>
  <si>
    <t>CA023</t>
  </si>
  <si>
    <t>CA024</t>
  </si>
  <si>
    <t>CC565</t>
  </si>
  <si>
    <t>CC566</t>
  </si>
  <si>
    <t>CC567</t>
  </si>
  <si>
    <t>CC568</t>
  </si>
  <si>
    <t>CC569</t>
  </si>
  <si>
    <t>CC570</t>
  </si>
  <si>
    <t>BE330</t>
  </si>
  <si>
    <t>BE333</t>
  </si>
  <si>
    <t>BE334</t>
  </si>
  <si>
    <t>BE335</t>
  </si>
  <si>
    <t>BE337</t>
  </si>
  <si>
    <t>BJ103</t>
  </si>
  <si>
    <t>BJ114</t>
  </si>
  <si>
    <t>BJ115</t>
  </si>
  <si>
    <t>BJ117</t>
  </si>
  <si>
    <t>BP612</t>
  </si>
  <si>
    <t>BP616</t>
  </si>
  <si>
    <t>BP618</t>
  </si>
  <si>
    <t>BP669</t>
  </si>
  <si>
    <t>BQ746</t>
  </si>
  <si>
    <t>BT260</t>
  </si>
  <si>
    <t>BT261</t>
  </si>
  <si>
    <t>BT262</t>
  </si>
  <si>
    <t>BT263</t>
  </si>
  <si>
    <t>BW867</t>
  </si>
  <si>
    <t>BW868</t>
  </si>
  <si>
    <t>BW869</t>
  </si>
  <si>
    <t>BY236</t>
  </si>
  <si>
    <t>BY237</t>
  </si>
  <si>
    <t>BZ319</t>
  </si>
  <si>
    <t>BG387</t>
  </si>
  <si>
    <t>BG389</t>
  </si>
  <si>
    <t>BG390</t>
  </si>
  <si>
    <t>BG392</t>
  </si>
  <si>
    <t>BQ748</t>
  </si>
  <si>
    <t>BQ756</t>
  </si>
  <si>
    <t>BQ759</t>
  </si>
  <si>
    <t>BQ760</t>
  </si>
  <si>
    <t>BQ761</t>
  </si>
  <si>
    <t>BE803</t>
  </si>
  <si>
    <t>BE820</t>
  </si>
  <si>
    <t>BE822</t>
  </si>
  <si>
    <t>BE823</t>
  </si>
  <si>
    <t>BN768</t>
  </si>
  <si>
    <t>BN769</t>
  </si>
  <si>
    <t>BN770</t>
  </si>
  <si>
    <t>BN771</t>
  </si>
  <si>
    <t>BT135</t>
  </si>
  <si>
    <t>BT136</t>
  </si>
  <si>
    <t>BT137</t>
  </si>
  <si>
    <t>BV409</t>
  </si>
  <si>
    <t>BV411</t>
  </si>
  <si>
    <t>BV412</t>
  </si>
  <si>
    <t>BZ181</t>
  </si>
  <si>
    <t>BZ182</t>
  </si>
  <si>
    <t>CB860</t>
  </si>
  <si>
    <t>CB867</t>
  </si>
  <si>
    <t>CC855</t>
  </si>
  <si>
    <t>BR743</t>
  </si>
  <si>
    <t>BR745</t>
  </si>
  <si>
    <t>BR746</t>
  </si>
  <si>
    <t>BR747</t>
  </si>
  <si>
    <t>BR749</t>
  </si>
  <si>
    <t>BR750</t>
  </si>
  <si>
    <t>BT605</t>
  </si>
  <si>
    <t>BT606</t>
  </si>
  <si>
    <t>BT607</t>
  </si>
  <si>
    <t>BU033</t>
  </si>
  <si>
    <t>BY058</t>
  </si>
  <si>
    <t>BZ493</t>
  </si>
  <si>
    <t>BZ494</t>
  </si>
  <si>
    <t>BZ495</t>
  </si>
  <si>
    <t>BR727</t>
  </si>
  <si>
    <t>BR728</t>
  </si>
  <si>
    <t>BR729</t>
  </si>
  <si>
    <t>BR730</t>
  </si>
  <si>
    <t>BR731</t>
  </si>
  <si>
    <t>BR734</t>
  </si>
  <si>
    <t>BR736</t>
  </si>
  <si>
    <t>BT598</t>
  </si>
  <si>
    <t>BT604</t>
  </si>
  <si>
    <t>BX383</t>
  </si>
  <si>
    <t>BX384</t>
  </si>
  <si>
    <t>BZ496</t>
  </si>
  <si>
    <t>BZ497</t>
  </si>
  <si>
    <t>BR494</t>
  </si>
  <si>
    <t>BR496</t>
  </si>
  <si>
    <t>BR497</t>
  </si>
  <si>
    <t>BR499</t>
  </si>
  <si>
    <t>BR500</t>
  </si>
  <si>
    <t>BX153</t>
  </si>
  <si>
    <t>BX155</t>
  </si>
  <si>
    <t>BX737</t>
  </si>
  <si>
    <t>BZ508</t>
  </si>
  <si>
    <t>BR850</t>
  </si>
  <si>
    <t>BR852</t>
  </si>
  <si>
    <t>BR853</t>
  </si>
  <si>
    <t>BT683</t>
  </si>
  <si>
    <t>BT684</t>
  </si>
  <si>
    <t>BW126</t>
  </si>
  <si>
    <t>BW127</t>
  </si>
  <si>
    <t>BR985</t>
  </si>
  <si>
    <t>BR987</t>
  </si>
  <si>
    <t>BR988</t>
  </si>
  <si>
    <t>BR990</t>
  </si>
  <si>
    <t>BW678</t>
  </si>
  <si>
    <t>CB425</t>
  </si>
  <si>
    <t>CB581</t>
  </si>
  <si>
    <t>CB582</t>
  </si>
  <si>
    <t>BV747</t>
  </si>
  <si>
    <t>BV748</t>
  </si>
  <si>
    <t>BV749</t>
  </si>
  <si>
    <t>BV752</t>
  </si>
  <si>
    <t>CA479</t>
  </si>
  <si>
    <t>CA483</t>
  </si>
  <si>
    <t>CA484</t>
  </si>
  <si>
    <t>CA487</t>
  </si>
  <si>
    <t>CA488</t>
  </si>
  <si>
    <t>CA489</t>
  </si>
  <si>
    <t>CB822</t>
  </si>
  <si>
    <t>CB823</t>
  </si>
  <si>
    <t>CB824</t>
  </si>
  <si>
    <t>CB826</t>
  </si>
  <si>
    <t>CB781</t>
  </si>
  <si>
    <t>CB783</t>
  </si>
  <si>
    <t>CB784</t>
  </si>
  <si>
    <t>CB786</t>
  </si>
  <si>
    <t>CB265</t>
  </si>
  <si>
    <t>CB266</t>
  </si>
  <si>
    <t>CC886</t>
  </si>
  <si>
    <t>CC887</t>
  </si>
  <si>
    <t>CC888</t>
  </si>
  <si>
    <t>CC889</t>
  </si>
  <si>
    <t>BW996</t>
  </si>
  <si>
    <t>BW997</t>
  </si>
  <si>
    <t>BW998</t>
  </si>
  <si>
    <t>CC588</t>
  </si>
  <si>
    <t>CC590</t>
  </si>
  <si>
    <t>CC591</t>
  </si>
  <si>
    <t>CC592</t>
  </si>
  <si>
    <t>CA989</t>
  </si>
  <si>
    <t>CA990</t>
  </si>
  <si>
    <t>CC550</t>
  </si>
  <si>
    <t>CC551</t>
  </si>
  <si>
    <t>CB738</t>
  </si>
  <si>
    <t>CC949</t>
  </si>
  <si>
    <t>CC951</t>
  </si>
  <si>
    <t>CC063</t>
  </si>
  <si>
    <t>CC073</t>
  </si>
  <si>
    <t>CC076</t>
  </si>
  <si>
    <t>CC077</t>
  </si>
  <si>
    <t>CC079</t>
  </si>
  <si>
    <t>CD643</t>
  </si>
  <si>
    <t>CC406</t>
  </si>
  <si>
    <t>CC407</t>
  </si>
  <si>
    <t>CC410</t>
  </si>
  <si>
    <t>CC125</t>
  </si>
  <si>
    <t>CC126</t>
  </si>
  <si>
    <t>CC128</t>
  </si>
  <si>
    <t>CC309</t>
  </si>
  <si>
    <t>CC311</t>
  </si>
  <si>
    <t>CC314</t>
  </si>
  <si>
    <t>CC890</t>
  </si>
  <si>
    <t>CC892</t>
  </si>
  <si>
    <t>CC894</t>
  </si>
  <si>
    <t>CC895</t>
  </si>
  <si>
    <t>CC896</t>
  </si>
  <si>
    <t>CE154</t>
  </si>
  <si>
    <t>CB576</t>
  </si>
  <si>
    <t>CB577</t>
  </si>
  <si>
    <t>CD059</t>
  </si>
  <si>
    <t>CD060</t>
  </si>
  <si>
    <t>CD061</t>
  </si>
  <si>
    <t>CD062</t>
  </si>
  <si>
    <t>CD063</t>
  </si>
  <si>
    <t>CC940</t>
  </si>
  <si>
    <t>CC941</t>
  </si>
  <si>
    <t>CC944</t>
  </si>
  <si>
    <t>CC945</t>
  </si>
  <si>
    <t>CC947</t>
  </si>
  <si>
    <t>FOR_21_7101_F1</t>
  </si>
  <si>
    <t>AO297</t>
  </si>
  <si>
    <t>AO299</t>
  </si>
  <si>
    <t>AO300</t>
  </si>
  <si>
    <t>AP751</t>
  </si>
  <si>
    <t>BA923</t>
  </si>
  <si>
    <t>BA924</t>
  </si>
  <si>
    <t>BK342</t>
  </si>
  <si>
    <t>AR524</t>
  </si>
  <si>
    <t>AV386</t>
  </si>
  <si>
    <t>AV387</t>
  </si>
  <si>
    <t>AV388</t>
  </si>
  <si>
    <t>BG191</t>
  </si>
  <si>
    <t>BQ222</t>
  </si>
  <si>
    <t>AR515</t>
  </si>
  <si>
    <t>AR517</t>
  </si>
  <si>
    <t>AR518</t>
  </si>
  <si>
    <t>AV385</t>
  </si>
  <si>
    <t>BG169</t>
  </si>
  <si>
    <t>BQ228</t>
  </si>
  <si>
    <t>AS301</t>
  </si>
  <si>
    <t>AS302</t>
  </si>
  <si>
    <t>AS303</t>
  </si>
  <si>
    <t>AS304</t>
  </si>
  <si>
    <t>BT439</t>
  </si>
  <si>
    <t>BT440</t>
  </si>
  <si>
    <t>BT441</t>
  </si>
  <si>
    <t>BT442</t>
  </si>
  <si>
    <t>AV938</t>
  </si>
  <si>
    <t>AV939</t>
  </si>
  <si>
    <t>AV940</t>
  </si>
  <si>
    <t>AV941</t>
  </si>
  <si>
    <t>BI791</t>
  </si>
  <si>
    <t>BI792</t>
  </si>
  <si>
    <t>BT947</t>
  </si>
  <si>
    <t>BT948</t>
  </si>
  <si>
    <t>AW173</t>
  </si>
  <si>
    <t>AW175</t>
  </si>
  <si>
    <t>AW176</t>
  </si>
  <si>
    <t>AW177</t>
  </si>
  <si>
    <t>BE398</t>
  </si>
  <si>
    <t>BE399</t>
  </si>
  <si>
    <t>BG372</t>
  </si>
  <si>
    <t>BG380</t>
  </si>
  <si>
    <t>BG381</t>
  </si>
  <si>
    <t>BJ436</t>
  </si>
  <si>
    <t>BJ440</t>
  </si>
  <si>
    <t>BM360</t>
  </si>
  <si>
    <t>BW687</t>
  </si>
  <si>
    <t>BW688</t>
  </si>
  <si>
    <t>AZ772</t>
  </si>
  <si>
    <t>AZ774</t>
  </si>
  <si>
    <t>AZ777</t>
  </si>
  <si>
    <t>AZ778</t>
  </si>
  <si>
    <t>BH801</t>
  </si>
  <si>
    <t>BH802</t>
  </si>
  <si>
    <t>BN755</t>
  </si>
  <si>
    <t>BT241</t>
  </si>
  <si>
    <t>BT242</t>
  </si>
  <si>
    <t>BW465</t>
  </si>
  <si>
    <t>BW466</t>
  </si>
  <si>
    <t>BB545</t>
  </si>
  <si>
    <t>BB548</t>
  </si>
  <si>
    <t>BD442</t>
  </si>
  <si>
    <t>BD449</t>
  </si>
  <si>
    <t>BH320</t>
  </si>
  <si>
    <t>BP902</t>
  </si>
  <si>
    <t>BP903</t>
  </si>
  <si>
    <t>BB669</t>
  </si>
  <si>
    <t>BB670</t>
  </si>
  <si>
    <t>BB671</t>
  </si>
  <si>
    <t>BK750</t>
  </si>
  <si>
    <t>BK751</t>
  </si>
  <si>
    <t>BW674</t>
  </si>
  <si>
    <t>BW675</t>
  </si>
  <si>
    <t>BZ514</t>
  </si>
  <si>
    <t>BZ516</t>
  </si>
  <si>
    <t>BI179</t>
  </si>
  <si>
    <t>BI180</t>
  </si>
  <si>
    <t>BI181</t>
  </si>
  <si>
    <t>BI182</t>
  </si>
  <si>
    <t>BN756</t>
  </si>
  <si>
    <t>BT243</t>
  </si>
  <si>
    <t>BW467</t>
  </si>
  <si>
    <t>BW468</t>
  </si>
  <si>
    <t>BK912</t>
  </si>
  <si>
    <t>BK919</t>
  </si>
  <si>
    <t>BK920</t>
  </si>
  <si>
    <t>BK921</t>
  </si>
  <si>
    <t>BZ083</t>
  </si>
  <si>
    <t>BZ085</t>
  </si>
  <si>
    <t>BN591</t>
  </si>
  <si>
    <t>BN597</t>
  </si>
  <si>
    <t>BN598</t>
  </si>
  <si>
    <t>BN599</t>
  </si>
  <si>
    <t>BW663</t>
  </si>
  <si>
    <t>CA693</t>
  </si>
  <si>
    <t>CA694</t>
  </si>
  <si>
    <t>BN592</t>
  </si>
  <si>
    <t>BN594</t>
  </si>
  <si>
    <t>BN595</t>
  </si>
  <si>
    <t>BN596</t>
  </si>
  <si>
    <t>BW672</t>
  </si>
  <si>
    <t>CA695</t>
  </si>
  <si>
    <t>CA699</t>
  </si>
  <si>
    <t>BO914</t>
  </si>
  <si>
    <t>BO916</t>
  </si>
  <si>
    <t>BS542</t>
  </si>
  <si>
    <t>BS543</t>
  </si>
  <si>
    <t>BS544</t>
  </si>
  <si>
    <t>BO932</t>
  </si>
  <si>
    <t>BO933</t>
  </si>
  <si>
    <t>BO934</t>
  </si>
  <si>
    <t>BS530</t>
  </si>
  <si>
    <t>BV582</t>
  </si>
  <si>
    <t>BV583</t>
  </si>
  <si>
    <t>BV584</t>
  </si>
  <si>
    <t>BV585</t>
  </si>
  <si>
    <t>CC028</t>
  </si>
  <si>
    <t>BW177</t>
  </si>
  <si>
    <t>BW193</t>
  </si>
  <si>
    <t>BW194</t>
  </si>
  <si>
    <t>BW197</t>
  </si>
  <si>
    <t>BR476</t>
  </si>
  <si>
    <t>BR477</t>
  </si>
  <si>
    <t>BR478</t>
  </si>
  <si>
    <t>BR479</t>
  </si>
  <si>
    <t>BR480</t>
  </si>
  <si>
    <t>BW864</t>
  </si>
  <si>
    <t>BW865</t>
  </si>
  <si>
    <t>BZ930</t>
  </si>
  <si>
    <t>BZ931</t>
  </si>
  <si>
    <t>BW207</t>
  </si>
  <si>
    <t>BW209</t>
  </si>
  <si>
    <t>BW210</t>
  </si>
  <si>
    <t>BW211</t>
  </si>
  <si>
    <t>BW212</t>
  </si>
  <si>
    <t>BU581</t>
  </si>
  <si>
    <t>BU582</t>
  </si>
  <si>
    <t>BY625</t>
  </si>
  <si>
    <t>BY626</t>
  </si>
  <si>
    <t>BY628</t>
  </si>
  <si>
    <t>BY629</t>
  </si>
  <si>
    <t>BY632</t>
  </si>
  <si>
    <t>CB859</t>
  </si>
  <si>
    <t>BW232</t>
  </si>
  <si>
    <t>BW241</t>
  </si>
  <si>
    <t>BW245</t>
  </si>
  <si>
    <t>BW246</t>
  </si>
  <si>
    <t>BY721</t>
  </si>
  <si>
    <t>BY726</t>
  </si>
  <si>
    <t>BY730</t>
  </si>
  <si>
    <t>CB688</t>
  </si>
  <si>
    <t xml:space="preserve"> MESA SERIGRÁFICA INFERIOR</t>
  </si>
  <si>
    <t>BX989</t>
  </si>
  <si>
    <t>BY000</t>
  </si>
  <si>
    <t>BY005</t>
  </si>
  <si>
    <t>BZ505</t>
  </si>
  <si>
    <t>BX983</t>
  </si>
  <si>
    <t>BX984</t>
  </si>
  <si>
    <t>BX985</t>
  </si>
  <si>
    <t>BX986</t>
  </si>
  <si>
    <t>BX987</t>
  </si>
  <si>
    <t>BX127</t>
  </si>
  <si>
    <t>BX130</t>
  </si>
  <si>
    <t>BX131</t>
  </si>
  <si>
    <t>BY762</t>
  </si>
  <si>
    <t>BY764</t>
  </si>
  <si>
    <t>BY765</t>
  </si>
  <si>
    <t>BY771</t>
  </si>
  <si>
    <t>BY711</t>
  </si>
  <si>
    <t>BY713</t>
  </si>
  <si>
    <t>BY717</t>
  </si>
  <si>
    <t>CC939</t>
  </si>
  <si>
    <t>CA824</t>
  </si>
  <si>
    <t>CA825</t>
  </si>
  <si>
    <t>CA826</t>
  </si>
  <si>
    <t>CA827</t>
  </si>
  <si>
    <t>CA828</t>
  </si>
  <si>
    <t>CA830</t>
  </si>
  <si>
    <t>CD859</t>
  </si>
  <si>
    <t>CB766</t>
  </si>
  <si>
    <t>CB770</t>
  </si>
  <si>
    <t>CB771</t>
  </si>
  <si>
    <t>CB772</t>
  </si>
  <si>
    <t>CB982</t>
  </si>
  <si>
    <t>CB984</t>
  </si>
  <si>
    <t>CB985</t>
  </si>
  <si>
    <t>CB986</t>
  </si>
  <si>
    <t>20032</t>
  </si>
  <si>
    <t>22277</t>
  </si>
  <si>
    <t>22652</t>
  </si>
  <si>
    <t>20093</t>
  </si>
  <si>
    <t>20491</t>
  </si>
  <si>
    <t>20762</t>
  </si>
  <si>
    <t>20792</t>
  </si>
  <si>
    <t>21396</t>
  </si>
  <si>
    <t>21684</t>
  </si>
  <si>
    <t>21975</t>
  </si>
  <si>
    <t>24023</t>
  </si>
  <si>
    <t>24090</t>
  </si>
  <si>
    <t>24286</t>
  </si>
  <si>
    <t>24308</t>
  </si>
  <si>
    <t>24316</t>
  </si>
  <si>
    <t>24383</t>
  </si>
  <si>
    <t>24468</t>
  </si>
  <si>
    <t>24517</t>
  </si>
  <si>
    <t>24675</t>
  </si>
  <si>
    <t>25272</t>
  </si>
  <si>
    <t>AG209</t>
  </si>
  <si>
    <t>AH526</t>
  </si>
  <si>
    <t>AH527</t>
  </si>
  <si>
    <t>AQ494</t>
  </si>
  <si>
    <t>AQ495</t>
  </si>
  <si>
    <t>AQ496</t>
  </si>
  <si>
    <t>AQ497</t>
  </si>
  <si>
    <t>AQ498</t>
  </si>
  <si>
    <t>BC620</t>
  </si>
  <si>
    <t>20837</t>
  </si>
  <si>
    <t>23451</t>
  </si>
  <si>
    <t>24172</t>
  </si>
  <si>
    <t>20780</t>
  </si>
  <si>
    <t>21296</t>
  </si>
  <si>
    <t>22282</t>
  </si>
  <si>
    <t>22497</t>
  </si>
  <si>
    <t>20781</t>
  </si>
  <si>
    <t>20808</t>
  </si>
  <si>
    <t>21819</t>
  </si>
  <si>
    <t>21962</t>
  </si>
  <si>
    <t>24021</t>
  </si>
  <si>
    <t>24466</t>
  </si>
  <si>
    <t>25922</t>
  </si>
  <si>
    <t>AC699</t>
  </si>
  <si>
    <t>AC700</t>
  </si>
  <si>
    <t>AC701</t>
  </si>
  <si>
    <t>AC702</t>
  </si>
  <si>
    <t>AC703</t>
  </si>
  <si>
    <t>AQ556</t>
  </si>
  <si>
    <t>AQ557</t>
  </si>
  <si>
    <t>AQ558</t>
  </si>
  <si>
    <t>AQ559</t>
  </si>
  <si>
    <t>BP197</t>
  </si>
  <si>
    <t>BP198</t>
  </si>
  <si>
    <t>BP199</t>
  </si>
  <si>
    <t>BP200</t>
  </si>
  <si>
    <t>BT608</t>
  </si>
  <si>
    <t>BT610</t>
  </si>
  <si>
    <t>BU818</t>
  </si>
  <si>
    <t>BY957</t>
  </si>
  <si>
    <t>BY958</t>
  </si>
  <si>
    <t>BY959</t>
  </si>
  <si>
    <t>22532</t>
  </si>
  <si>
    <t>25266</t>
  </si>
  <si>
    <t>25267</t>
  </si>
  <si>
    <t>25268</t>
  </si>
  <si>
    <t>25269</t>
  </si>
  <si>
    <t>25750</t>
  </si>
  <si>
    <t>25751</t>
  </si>
  <si>
    <t>25753</t>
  </si>
  <si>
    <t>26122</t>
  </si>
  <si>
    <t>26123</t>
  </si>
  <si>
    <t>26124</t>
  </si>
  <si>
    <t>26125</t>
  </si>
  <si>
    <t>AI133</t>
  </si>
  <si>
    <t>BW651</t>
  </si>
  <si>
    <t>BW652</t>
  </si>
  <si>
    <t>02065</t>
  </si>
  <si>
    <t>21246</t>
  </si>
  <si>
    <t>24890</t>
  </si>
  <si>
    <t>AG786</t>
  </si>
  <si>
    <t>AG787</t>
  </si>
  <si>
    <t>AG788</t>
  </si>
  <si>
    <t>BD991</t>
  </si>
  <si>
    <t>BD992</t>
  </si>
  <si>
    <t>BD993</t>
  </si>
  <si>
    <t>BI365</t>
  </si>
  <si>
    <t>BI366</t>
  </si>
  <si>
    <t>BI367</t>
  </si>
  <si>
    <t>BP593</t>
  </si>
  <si>
    <t>BP595</t>
  </si>
  <si>
    <t>BP596</t>
  </si>
  <si>
    <t>BW826</t>
  </si>
  <si>
    <t>BW827</t>
  </si>
  <si>
    <t>BW828</t>
  </si>
  <si>
    <t>AZ143</t>
  </si>
  <si>
    <t>AZ145</t>
  </si>
  <si>
    <t>AZ148</t>
  </si>
  <si>
    <t>AZ149</t>
  </si>
  <si>
    <t>AZ150</t>
  </si>
  <si>
    <t>BB242</t>
  </si>
  <si>
    <t>BM419</t>
  </si>
  <si>
    <t>BM420</t>
  </si>
  <si>
    <t>BM421</t>
  </si>
  <si>
    <t>BM422</t>
  </si>
  <si>
    <t>BZ236</t>
  </si>
  <si>
    <t>BZ237</t>
  </si>
  <si>
    <t>AZ135</t>
  </si>
  <si>
    <t>AZ137</t>
  </si>
  <si>
    <t>AZ140</t>
  </si>
  <si>
    <t>AZ141</t>
  </si>
  <si>
    <t>AZ142</t>
  </si>
  <si>
    <t>BB243</t>
  </si>
  <si>
    <t>BM433</t>
  </si>
  <si>
    <t>BM434</t>
  </si>
  <si>
    <t>BM435</t>
  </si>
  <si>
    <t>BM436</t>
  </si>
  <si>
    <t>CA302</t>
  </si>
  <si>
    <t>CA303</t>
  </si>
  <si>
    <t>BF437</t>
  </si>
  <si>
    <t>BF438</t>
  </si>
  <si>
    <t>BF439</t>
  </si>
  <si>
    <t>BF440</t>
  </si>
  <si>
    <t>BJ135</t>
  </si>
  <si>
    <t>BJ136</t>
  </si>
  <si>
    <t>BJ137</t>
  </si>
  <si>
    <t>BJ138</t>
  </si>
  <si>
    <t>BT781</t>
  </si>
  <si>
    <t>BT782</t>
  </si>
  <si>
    <t>BT783</t>
  </si>
  <si>
    <t>BT784</t>
  </si>
  <si>
    <t>BT785</t>
  </si>
  <si>
    <t>BX940</t>
  </si>
  <si>
    <t>BX943</t>
  </si>
  <si>
    <t>BX944</t>
  </si>
  <si>
    <t>BX945</t>
  </si>
  <si>
    <t>BN567</t>
  </si>
  <si>
    <t>BN580</t>
  </si>
  <si>
    <t>BN582</t>
  </si>
  <si>
    <t>BN584</t>
  </si>
  <si>
    <t>CA598</t>
  </si>
  <si>
    <t>CA599</t>
  </si>
  <si>
    <t>CA600</t>
  </si>
  <si>
    <t>BN558</t>
  </si>
  <si>
    <t>BN561</t>
  </si>
  <si>
    <t>BN562</t>
  </si>
  <si>
    <t>BN565</t>
  </si>
  <si>
    <t>CA606</t>
  </si>
  <si>
    <t>CA607</t>
  </si>
  <si>
    <t>CA608</t>
  </si>
  <si>
    <t>BO490</t>
  </si>
  <si>
    <t>BO491</t>
  </si>
  <si>
    <t>BO492</t>
  </si>
  <si>
    <t>BR283</t>
  </si>
  <si>
    <t>BR284</t>
  </si>
  <si>
    <t>BR285</t>
  </si>
  <si>
    <t>BT843</t>
  </si>
  <si>
    <t>BT844</t>
  </si>
  <si>
    <t>BT845</t>
  </si>
  <si>
    <t>CB475</t>
  </si>
  <si>
    <t>BO889</t>
  </si>
  <si>
    <t>BO891</t>
  </si>
  <si>
    <t>BO893</t>
  </si>
  <si>
    <t>BO895</t>
  </si>
  <si>
    <t>BY549</t>
  </si>
  <si>
    <t>BY550</t>
  </si>
  <si>
    <t>BY551</t>
  </si>
  <si>
    <t>BY552</t>
  </si>
  <si>
    <t>BY553</t>
  </si>
  <si>
    <t>BY554</t>
  </si>
  <si>
    <t>BO877</t>
  </si>
  <si>
    <t>BO878</t>
  </si>
  <si>
    <t>BO879</t>
  </si>
  <si>
    <t>BO880</t>
  </si>
  <si>
    <t>BY544</t>
  </si>
  <si>
    <t>BY545</t>
  </si>
  <si>
    <t>BY546</t>
  </si>
  <si>
    <t>BY547</t>
  </si>
  <si>
    <t>BQ137</t>
  </si>
  <si>
    <t>BQ138</t>
  </si>
  <si>
    <t>BQ139</t>
  </si>
  <si>
    <t>BQ140</t>
  </si>
  <si>
    <t>BQ141</t>
  </si>
  <si>
    <t>BQ223</t>
  </si>
  <si>
    <t>BQ224</t>
  </si>
  <si>
    <t>BQ225</t>
  </si>
  <si>
    <t>BQ226</t>
  </si>
  <si>
    <t>BQ232</t>
  </si>
  <si>
    <t>BQ233</t>
  </si>
  <si>
    <t>BQ236</t>
  </si>
  <si>
    <t>BS061</t>
  </si>
  <si>
    <t>BS062</t>
  </si>
  <si>
    <t>BS063</t>
  </si>
  <si>
    <t>BU922</t>
  </si>
  <si>
    <t>BU923</t>
  </si>
  <si>
    <t>BU924</t>
  </si>
  <si>
    <t>BU925</t>
  </si>
  <si>
    <t>BU959</t>
  </si>
  <si>
    <t>BU960</t>
  </si>
  <si>
    <t>BU961</t>
  </si>
  <si>
    <t>BU962</t>
  </si>
  <si>
    <t>BZ106</t>
  </si>
  <si>
    <t>BZ304</t>
  </si>
  <si>
    <t>BZ305</t>
  </si>
  <si>
    <t>BZ306</t>
  </si>
  <si>
    <t>BZ307</t>
  </si>
  <si>
    <t>BZ308</t>
  </si>
  <si>
    <t>BZ509</t>
  </si>
  <si>
    <t>BZ510</t>
  </si>
  <si>
    <t>BZ511</t>
  </si>
  <si>
    <t>BZ512</t>
  </si>
  <si>
    <t>BY895</t>
  </si>
  <si>
    <t>BY896</t>
  </si>
  <si>
    <t>BY897</t>
  </si>
  <si>
    <t>BY908</t>
  </si>
  <si>
    <t>BY909</t>
  </si>
  <si>
    <t>BY910</t>
  </si>
  <si>
    <t>CA948</t>
  </si>
  <si>
    <t>CA949</t>
  </si>
  <si>
    <t>CA950</t>
  </si>
  <si>
    <t>CA951</t>
  </si>
  <si>
    <t>CA952</t>
  </si>
  <si>
    <t>CD000</t>
  </si>
  <si>
    <t>CD001</t>
  </si>
  <si>
    <t>CD002</t>
  </si>
  <si>
    <t>CD003</t>
  </si>
  <si>
    <t>CD004</t>
  </si>
  <si>
    <t>Trocas</t>
  </si>
  <si>
    <t>Telas</t>
  </si>
  <si>
    <t>Troca de cor</t>
  </si>
  <si>
    <t>H. Prevista</t>
  </si>
  <si>
    <t>Setor</t>
  </si>
  <si>
    <t>Tratada</t>
  </si>
  <si>
    <t>15 h</t>
  </si>
  <si>
    <t>18 h</t>
  </si>
  <si>
    <t>21 h</t>
  </si>
  <si>
    <t>17 h</t>
  </si>
  <si>
    <t>22 h</t>
  </si>
  <si>
    <t>16 h</t>
  </si>
  <si>
    <t>20 h</t>
  </si>
  <si>
    <t>23 h</t>
  </si>
  <si>
    <t>19 h</t>
  </si>
  <si>
    <t>12 h</t>
  </si>
  <si>
    <t>13 h</t>
  </si>
  <si>
    <t>14 h</t>
  </si>
  <si>
    <t>9, h</t>
  </si>
  <si>
    <t>10 h</t>
  </si>
  <si>
    <t>6, h</t>
  </si>
  <si>
    <t>7, h</t>
  </si>
  <si>
    <t>8, h</t>
  </si>
  <si>
    <t>11 h</t>
  </si>
  <si>
    <t>8 h</t>
  </si>
  <si>
    <t>7 h</t>
  </si>
  <si>
    <t>SETUPS - TS</t>
  </si>
  <si>
    <t>Dimensionamento</t>
  </si>
  <si>
    <t>Nec. Trocadores por hora</t>
  </si>
  <si>
    <t>Tempo de Troca</t>
  </si>
  <si>
    <t>24 h</t>
  </si>
  <si>
    <t>Média</t>
  </si>
  <si>
    <t>Arred.</t>
  </si>
  <si>
    <t>Montagem - A</t>
  </si>
  <si>
    <t>Montagem - B</t>
  </si>
  <si>
    <t>Pintura - C</t>
  </si>
  <si>
    <t>Pintura - D</t>
  </si>
  <si>
    <t>Serigrafia - A</t>
  </si>
  <si>
    <t>Serigrafia - B</t>
  </si>
  <si>
    <t>Flocos - F</t>
  </si>
  <si>
    <t>SETUPs de telas</t>
  </si>
  <si>
    <t>Nec. Hora</t>
  </si>
  <si>
    <t>Variável</t>
  </si>
  <si>
    <t/>
  </si>
  <si>
    <t>Montagem</t>
  </si>
  <si>
    <t>Hora</t>
  </si>
  <si>
    <t>A</t>
  </si>
  <si>
    <t>B</t>
  </si>
  <si>
    <t>S7M24</t>
  </si>
  <si>
    <t>S7M25</t>
  </si>
  <si>
    <t>S7M26</t>
  </si>
  <si>
    <t>S7M27</t>
  </si>
  <si>
    <t>Pintura</t>
  </si>
  <si>
    <t>C</t>
  </si>
  <si>
    <t>S7P32</t>
  </si>
  <si>
    <t>S7P33</t>
  </si>
  <si>
    <t>S7P34</t>
  </si>
  <si>
    <t>S7P35</t>
  </si>
  <si>
    <t>S7P36</t>
  </si>
  <si>
    <t>S7P37</t>
  </si>
  <si>
    <t>S7P38</t>
  </si>
  <si>
    <t>S7P39</t>
  </si>
  <si>
    <t>S7P40</t>
  </si>
  <si>
    <t>S7P41</t>
  </si>
  <si>
    <t>S7P42</t>
  </si>
  <si>
    <t>S7P43</t>
  </si>
  <si>
    <t>S7P44</t>
  </si>
  <si>
    <t>S7P45</t>
  </si>
  <si>
    <t>S7P46</t>
  </si>
  <si>
    <t>S7P47</t>
  </si>
  <si>
    <t>S7P48</t>
  </si>
  <si>
    <t>S7P49</t>
  </si>
  <si>
    <t>S7P50</t>
  </si>
  <si>
    <t>S7P51</t>
  </si>
  <si>
    <t>S7P52</t>
  </si>
  <si>
    <t>S7P53</t>
  </si>
  <si>
    <t>D</t>
  </si>
  <si>
    <t>Serigrafia</t>
  </si>
  <si>
    <t>S7S07</t>
  </si>
  <si>
    <t>S7S09</t>
  </si>
  <si>
    <t>S7S10</t>
  </si>
  <si>
    <t>Flocos</t>
  </si>
  <si>
    <t>F</t>
  </si>
  <si>
    <t>S7F01</t>
  </si>
  <si>
    <t>S7F02</t>
  </si>
  <si>
    <t>S7F03</t>
  </si>
  <si>
    <t>S7F04</t>
  </si>
  <si>
    <t>S7F05</t>
  </si>
  <si>
    <t>S7F06</t>
  </si>
  <si>
    <t>S7F07</t>
  </si>
  <si>
    <t>S7F08</t>
  </si>
  <si>
    <t>S7F09</t>
  </si>
  <si>
    <t>S7F10</t>
  </si>
  <si>
    <t>S7F11</t>
  </si>
  <si>
    <t>S7F12</t>
  </si>
  <si>
    <t>S7F13</t>
  </si>
  <si>
    <t>S7F14</t>
  </si>
  <si>
    <t>S7F15</t>
  </si>
  <si>
    <t>S7F16</t>
  </si>
  <si>
    <t>S7F17</t>
  </si>
  <si>
    <t>S7F18</t>
  </si>
  <si>
    <t>S7F19</t>
  </si>
  <si>
    <t>S7F20</t>
  </si>
  <si>
    <t>S7F21</t>
  </si>
  <si>
    <t>06 h</t>
  </si>
  <si>
    <t>FERRAMENTA</t>
  </si>
  <si>
    <t>Normal</t>
  </si>
  <si>
    <t>Reposições</t>
  </si>
  <si>
    <t>Reprogramações</t>
  </si>
  <si>
    <t>Amostras</t>
  </si>
  <si>
    <t>Necessidade de MOI/MOA</t>
  </si>
  <si>
    <t>Tempos</t>
  </si>
  <si>
    <t>Efetivo</t>
  </si>
  <si>
    <t>6h</t>
  </si>
  <si>
    <t>7h</t>
  </si>
  <si>
    <t>8h</t>
  </si>
  <si>
    <t>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</si>
  <si>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</si>
  <si>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</si>
  <si>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</si>
  <si>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</si>
  <si>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</si>
  <si>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</si>
  <si>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</si>
  <si>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</si>
  <si>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</si>
  <si>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</si>
  <si>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</si>
  <si>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21h</t>
  </si>
  <si>
    <t>22h</t>
  </si>
  <si>
    <t>23h</t>
  </si>
  <si>
    <t>0h</t>
  </si>
  <si>
    <t>l</t>
  </si>
  <si>
    <t>Nec. Reguladores  por hora</t>
  </si>
  <si>
    <t>00  h</t>
  </si>
  <si>
    <t>Troca</t>
  </si>
  <si>
    <t>Pintua - C</t>
  </si>
  <si>
    <t>Pintua - D</t>
  </si>
  <si>
    <t>Dimensionamento Nec. Reguladorespor hora</t>
  </si>
  <si>
    <t>0,  h</t>
  </si>
  <si>
    <t>Nec. Reguladorespor hora</t>
  </si>
  <si>
    <t>SETUPs</t>
  </si>
  <si>
    <t>SETUPs de Tintas</t>
  </si>
  <si>
    <t>Tintas</t>
  </si>
  <si>
    <t>BQ428</t>
  </si>
  <si>
    <t>CE335</t>
  </si>
  <si>
    <t>SPORTY BABY</t>
  </si>
  <si>
    <t>BU566</t>
  </si>
  <si>
    <t>BQ752</t>
  </si>
  <si>
    <t>BU568</t>
  </si>
  <si>
    <t>BZ611</t>
  </si>
  <si>
    <t>BW327</t>
  </si>
  <si>
    <t>CC116</t>
  </si>
  <si>
    <t>CC114</t>
  </si>
  <si>
    <t>CC113</t>
  </si>
  <si>
    <t>CA315</t>
  </si>
  <si>
    <t>CB840</t>
  </si>
  <si>
    <t>CB841</t>
  </si>
  <si>
    <t>CB844</t>
  </si>
  <si>
    <t>CB845</t>
  </si>
  <si>
    <t>BP205</t>
  </si>
  <si>
    <t>PRETO/BEGE</t>
  </si>
  <si>
    <t>BP207</t>
  </si>
  <si>
    <t>CE336</t>
  </si>
  <si>
    <t>CE337</t>
  </si>
  <si>
    <t>SHINE</t>
  </si>
  <si>
    <t>CE402</t>
  </si>
  <si>
    <t>CE401</t>
  </si>
  <si>
    <t>MARROM/ROSA</t>
  </si>
  <si>
    <t>CF084</t>
  </si>
  <si>
    <t>CA726</t>
  </si>
  <si>
    <t>BC684</t>
  </si>
  <si>
    <t>CC620</t>
  </si>
  <si>
    <t>BN413</t>
  </si>
  <si>
    <t>2026/07</t>
  </si>
  <si>
    <t>02541</t>
  </si>
  <si>
    <t>21552</t>
  </si>
  <si>
    <t>AS083</t>
  </si>
  <si>
    <t>21744</t>
  </si>
  <si>
    <t>21840</t>
  </si>
  <si>
    <t>22119</t>
  </si>
  <si>
    <t>AS244</t>
  </si>
  <si>
    <t>AG045</t>
  </si>
  <si>
    <t>AG046</t>
  </si>
  <si>
    <t>AN733</t>
  </si>
  <si>
    <t>AN734</t>
  </si>
  <si>
    <t>AU279</t>
  </si>
  <si>
    <t>AU280</t>
  </si>
  <si>
    <t>AU281</t>
  </si>
  <si>
    <t>AU282</t>
  </si>
  <si>
    <t>AU283</t>
  </si>
  <si>
    <t>AY673</t>
  </si>
  <si>
    <t>AY674</t>
  </si>
  <si>
    <t>AY675</t>
  </si>
  <si>
    <t>BI162</t>
  </si>
  <si>
    <t>BI163</t>
  </si>
  <si>
    <t>BI164</t>
  </si>
  <si>
    <t>BI165</t>
  </si>
  <si>
    <t>BI167</t>
  </si>
  <si>
    <t>BO282</t>
  </si>
  <si>
    <t>BO283</t>
  </si>
  <si>
    <t>BP574</t>
  </si>
  <si>
    <t>BT754</t>
  </si>
  <si>
    <t>BT755</t>
  </si>
  <si>
    <t>BT756</t>
  </si>
  <si>
    <t>BU797</t>
  </si>
  <si>
    <t>BU798</t>
  </si>
  <si>
    <t>BZ536</t>
  </si>
  <si>
    <t>BZ537</t>
  </si>
  <si>
    <t>CB171</t>
  </si>
  <si>
    <t>CB926</t>
  </si>
  <si>
    <t>CD238</t>
  </si>
  <si>
    <t>CD240</t>
  </si>
  <si>
    <t>CD241</t>
  </si>
  <si>
    <t>CD244</t>
  </si>
  <si>
    <t>CD925</t>
  </si>
  <si>
    <t>CB943</t>
  </si>
  <si>
    <t>CB944</t>
  </si>
  <si>
    <t>CB798</t>
  </si>
  <si>
    <t>CB799</t>
  </si>
  <si>
    <t>AR149</t>
  </si>
  <si>
    <t>AR151</t>
  </si>
  <si>
    <t>AR152</t>
  </si>
  <si>
    <t>AR153</t>
  </si>
  <si>
    <t>AS123</t>
  </si>
  <si>
    <t>AS124</t>
  </si>
  <si>
    <t>AS125</t>
  </si>
  <si>
    <t>AS126</t>
  </si>
  <si>
    <t>CC033</t>
  </si>
  <si>
    <t>CC035</t>
  </si>
  <si>
    <t>CC038</t>
  </si>
  <si>
    <t>BE385</t>
  </si>
  <si>
    <t>BE386</t>
  </si>
  <si>
    <t>BE387</t>
  </si>
  <si>
    <t>BE388</t>
  </si>
  <si>
    <t>BE389</t>
  </si>
  <si>
    <t>BE390</t>
  </si>
  <si>
    <t>BJ359</t>
  </si>
  <si>
    <t>BK331</t>
  </si>
  <si>
    <t>BK332</t>
  </si>
  <si>
    <t>BR307</t>
  </si>
  <si>
    <t>BR311</t>
  </si>
  <si>
    <t>BR312</t>
  </si>
  <si>
    <t>BT810</t>
  </si>
  <si>
    <t>BX228</t>
  </si>
  <si>
    <t>BX233</t>
  </si>
  <si>
    <t>BC595</t>
  </si>
  <si>
    <t>BC596</t>
  </si>
  <si>
    <t>BC597</t>
  </si>
  <si>
    <t>BC598</t>
  </si>
  <si>
    <t>BC599</t>
  </si>
  <si>
    <t>BC600</t>
  </si>
  <si>
    <t>BE015</t>
  </si>
  <si>
    <t>BK230</t>
  </si>
  <si>
    <t>BK231</t>
  </si>
  <si>
    <t>BK233</t>
  </si>
  <si>
    <t>BK235</t>
  </si>
  <si>
    <t>BX151</t>
  </si>
  <si>
    <t>BX152</t>
  </si>
  <si>
    <t>CB936</t>
  </si>
  <si>
    <t>CB942</t>
  </si>
  <si>
    <t>CD346</t>
  </si>
  <si>
    <t>CA226</t>
  </si>
  <si>
    <t>CA227</t>
  </si>
  <si>
    <t>CA228</t>
  </si>
  <si>
    <t>CA229</t>
  </si>
  <si>
    <t>CA230</t>
  </si>
  <si>
    <t>BH025</t>
  </si>
  <si>
    <t>BH037</t>
  </si>
  <si>
    <t>BH038</t>
  </si>
  <si>
    <t>BH039</t>
  </si>
  <si>
    <t>BH040</t>
  </si>
  <si>
    <t>BK393</t>
  </si>
  <si>
    <t>BL905</t>
  </si>
  <si>
    <t>BL907</t>
  </si>
  <si>
    <t>BQ383</t>
  </si>
  <si>
    <t>BQ384</t>
  </si>
  <si>
    <t>BQ387</t>
  </si>
  <si>
    <t>BL873</t>
  </si>
  <si>
    <t>BL875</t>
  </si>
  <si>
    <t>BL877</t>
  </si>
  <si>
    <t>BL878</t>
  </si>
  <si>
    <t>BL880</t>
  </si>
  <si>
    <t>BM933</t>
  </si>
  <si>
    <t>BS147</t>
  </si>
  <si>
    <t>BS148</t>
  </si>
  <si>
    <t>BS150</t>
  </si>
  <si>
    <t>BS151</t>
  </si>
  <si>
    <t>BS152</t>
  </si>
  <si>
    <t>BS153</t>
  </si>
  <si>
    <t>BU203</t>
  </si>
  <si>
    <t>BR460</t>
  </si>
  <si>
    <t>BR461</t>
  </si>
  <si>
    <t>BR463</t>
  </si>
  <si>
    <t>BR464</t>
  </si>
  <si>
    <t>BV731</t>
  </si>
  <si>
    <t>BV736</t>
  </si>
  <si>
    <t>CB877</t>
  </si>
  <si>
    <t>CB878</t>
  </si>
  <si>
    <t>CB879</t>
  </si>
  <si>
    <t>CA908</t>
  </si>
  <si>
    <t>CA916</t>
  </si>
  <si>
    <t>CA917</t>
  </si>
  <si>
    <t>CA918</t>
  </si>
  <si>
    <t>CA919</t>
  </si>
  <si>
    <t>CA920</t>
  </si>
  <si>
    <t>CC814</t>
  </si>
  <si>
    <t>CC817</t>
  </si>
  <si>
    <t>CC819</t>
  </si>
  <si>
    <t>CC821</t>
  </si>
  <si>
    <t>CE050</t>
  </si>
  <si>
    <t>CC332</t>
  </si>
  <si>
    <t>CC335</t>
  </si>
  <si>
    <t>CC336</t>
  </si>
  <si>
    <t>CD930</t>
  </si>
  <si>
    <t>CD931</t>
  </si>
  <si>
    <t>CD049</t>
  </si>
  <si>
    <t>CD050</t>
  </si>
  <si>
    <t>CD051</t>
  </si>
  <si>
    <t>CD052</t>
  </si>
  <si>
    <t>CF919</t>
  </si>
  <si>
    <t>CE016</t>
  </si>
  <si>
    <t>CF086</t>
  </si>
  <si>
    <t>CF087</t>
  </si>
  <si>
    <t>CF089</t>
  </si>
  <si>
    <t>BF085</t>
  </si>
  <si>
    <t>BG969</t>
  </si>
  <si>
    <t>BQ287</t>
  </si>
  <si>
    <t>BQ288</t>
  </si>
  <si>
    <t>BQ289</t>
  </si>
  <si>
    <t>BS406</t>
  </si>
  <si>
    <t>BS416</t>
  </si>
  <si>
    <t>BS417</t>
  </si>
  <si>
    <t>BS418</t>
  </si>
  <si>
    <t>BS419</t>
  </si>
  <si>
    <t>BS421</t>
  </si>
  <si>
    <t>BY279</t>
  </si>
  <si>
    <t>BY280</t>
  </si>
  <si>
    <t>BY282</t>
  </si>
  <si>
    <t>BY286</t>
  </si>
  <si>
    <t>BZ064</t>
  </si>
  <si>
    <t>BV403</t>
  </si>
  <si>
    <t>BV404</t>
  </si>
  <si>
    <t>BV405</t>
  </si>
  <si>
    <t>BV406</t>
  </si>
  <si>
    <t>BV407</t>
  </si>
  <si>
    <t>BV408</t>
  </si>
  <si>
    <t>BX668</t>
  </si>
  <si>
    <t>CC669</t>
  </si>
  <si>
    <t>CC670</t>
  </si>
  <si>
    <t>CC673</t>
  </si>
  <si>
    <t>CC675</t>
  </si>
  <si>
    <t>CC676</t>
  </si>
  <si>
    <t>CB506</t>
  </si>
  <si>
    <t>CB507</t>
  </si>
  <si>
    <t>CB508</t>
  </si>
  <si>
    <t>CB510</t>
  </si>
  <si>
    <t>CB511</t>
  </si>
  <si>
    <t>CF786</t>
  </si>
  <si>
    <t>CF787</t>
  </si>
  <si>
    <t>CC082</t>
  </si>
  <si>
    <t>CC083</t>
  </si>
  <si>
    <t>CC084</t>
  </si>
  <si>
    <t>CC087</t>
  </si>
  <si>
    <t>CC089</t>
  </si>
  <si>
    <t>CD899</t>
  </si>
  <si>
    <t>CD901</t>
  </si>
  <si>
    <t>CD902</t>
  </si>
  <si>
    <t>CD903</t>
  </si>
  <si>
    <t>CD904</t>
  </si>
  <si>
    <t>CD905</t>
  </si>
  <si>
    <t>22832</t>
  </si>
  <si>
    <t>23484</t>
  </si>
  <si>
    <t>24841</t>
  </si>
  <si>
    <t>AV892</t>
  </si>
  <si>
    <t>AW416</t>
  </si>
  <si>
    <t>CC235</t>
  </si>
  <si>
    <t>CC236</t>
  </si>
  <si>
    <t>CC238</t>
  </si>
  <si>
    <t>CC241</t>
  </si>
  <si>
    <t>CC242</t>
  </si>
  <si>
    <t>CC157</t>
  </si>
  <si>
    <t>CC158</t>
  </si>
  <si>
    <t>CC160</t>
  </si>
  <si>
    <t>CC161</t>
  </si>
  <si>
    <t>CC164</t>
  </si>
  <si>
    <t>BX213</t>
  </si>
  <si>
    <t>BX216</t>
  </si>
  <si>
    <t>BX217</t>
  </si>
  <si>
    <t>BX219</t>
  </si>
  <si>
    <t>BZ836</t>
  </si>
  <si>
    <t>BZ837</t>
  </si>
  <si>
    <t>BZ838</t>
  </si>
  <si>
    <t>BZ842</t>
  </si>
  <si>
    <t>CC137</t>
  </si>
  <si>
    <t>CC138</t>
  </si>
  <si>
    <t>CC140</t>
  </si>
  <si>
    <t>CC141</t>
  </si>
  <si>
    <t>CC143</t>
  </si>
  <si>
    <t>CC144</t>
  </si>
  <si>
    <t>CA328</t>
  </si>
  <si>
    <t>CA329</t>
  </si>
  <si>
    <t>CA331</t>
  </si>
  <si>
    <t>CA334</t>
  </si>
  <si>
    <t>CA335</t>
  </si>
  <si>
    <t>CF477</t>
  </si>
  <si>
    <t>CF480</t>
  </si>
  <si>
    <t>CC822</t>
  </si>
  <si>
    <t>CC824</t>
  </si>
  <si>
    <t>CC826</t>
  </si>
  <si>
    <t>CC828</t>
  </si>
  <si>
    <t>CC829</t>
  </si>
  <si>
    <t>CC831</t>
  </si>
  <si>
    <t>CC832</t>
  </si>
  <si>
    <t>CD926</t>
  </si>
  <si>
    <t>CE034</t>
  </si>
  <si>
    <t>CF482</t>
  </si>
  <si>
    <t>CF483</t>
  </si>
  <si>
    <t>20357</t>
  </si>
  <si>
    <t>20505</t>
  </si>
  <si>
    <t>20810</t>
  </si>
  <si>
    <t>20932</t>
  </si>
  <si>
    <t>21931</t>
  </si>
  <si>
    <t>22458</t>
  </si>
  <si>
    <t>22591</t>
  </si>
  <si>
    <t>24589</t>
  </si>
  <si>
    <t>09719</t>
  </si>
  <si>
    <t>20053</t>
  </si>
  <si>
    <t>20634</t>
  </si>
  <si>
    <t>20735</t>
  </si>
  <si>
    <t>20784</t>
  </si>
  <si>
    <t>21053</t>
  </si>
  <si>
    <t>21108</t>
  </si>
  <si>
    <t>21240</t>
  </si>
  <si>
    <t>21247</t>
  </si>
  <si>
    <t>21271</t>
  </si>
  <si>
    <t>21345</t>
  </si>
  <si>
    <t>21362</t>
  </si>
  <si>
    <t>21377</t>
  </si>
  <si>
    <t>21406</t>
  </si>
  <si>
    <t>21430</t>
  </si>
  <si>
    <t>21431</t>
  </si>
  <si>
    <t>21482</t>
  </si>
  <si>
    <t>21529</t>
  </si>
  <si>
    <t>21539</t>
  </si>
  <si>
    <t>21708</t>
  </si>
  <si>
    <t>21881</t>
  </si>
  <si>
    <t>21903</t>
  </si>
  <si>
    <t>21906</t>
  </si>
  <si>
    <t>21924</t>
  </si>
  <si>
    <t>21927</t>
  </si>
  <si>
    <t>21937</t>
  </si>
  <si>
    <t>21949</t>
  </si>
  <si>
    <t>21976</t>
  </si>
  <si>
    <t>22022</t>
  </si>
  <si>
    <t>22036</t>
  </si>
  <si>
    <t>22059</t>
  </si>
  <si>
    <t>22121</t>
  </si>
  <si>
    <t>22250</t>
  </si>
  <si>
    <t>22260</t>
  </si>
  <si>
    <t>22274</t>
  </si>
  <si>
    <t>22326</t>
  </si>
  <si>
    <t>22339</t>
  </si>
  <si>
    <t>22352</t>
  </si>
  <si>
    <t>22447</t>
  </si>
  <si>
    <t>22538</t>
  </si>
  <si>
    <t>22648</t>
  </si>
  <si>
    <t>22811</t>
  </si>
  <si>
    <t>22907</t>
  </si>
  <si>
    <t>23002</t>
  </si>
  <si>
    <t>23003</t>
  </si>
  <si>
    <t>23004</t>
  </si>
  <si>
    <t>23005</t>
  </si>
  <si>
    <t>23006</t>
  </si>
  <si>
    <t>23007</t>
  </si>
  <si>
    <t>23397</t>
  </si>
  <si>
    <t>23398</t>
  </si>
  <si>
    <t>23399</t>
  </si>
  <si>
    <t>23400</t>
  </si>
  <si>
    <t>23401</t>
  </si>
  <si>
    <t>23492</t>
  </si>
  <si>
    <t>23608</t>
  </si>
  <si>
    <t>23643</t>
  </si>
  <si>
    <t>23747</t>
  </si>
  <si>
    <t>23748</t>
  </si>
  <si>
    <t>23809</t>
  </si>
  <si>
    <t>23894</t>
  </si>
  <si>
    <t>23962</t>
  </si>
  <si>
    <t>23976</t>
  </si>
  <si>
    <t>23977</t>
  </si>
  <si>
    <t>23978</t>
  </si>
  <si>
    <t>23979</t>
  </si>
  <si>
    <t>23980</t>
  </si>
  <si>
    <t>23981</t>
  </si>
  <si>
    <t>23982</t>
  </si>
  <si>
    <t>23983</t>
  </si>
  <si>
    <t>24017</t>
  </si>
  <si>
    <t>24047</t>
  </si>
  <si>
    <t>24051</t>
  </si>
  <si>
    <t>24117</t>
  </si>
  <si>
    <t>24148</t>
  </si>
  <si>
    <t>24175</t>
  </si>
  <si>
    <t>24261</t>
  </si>
  <si>
    <t>24313</t>
  </si>
  <si>
    <t>24330</t>
  </si>
  <si>
    <t>24345</t>
  </si>
  <si>
    <t>24399</t>
  </si>
  <si>
    <t>24538</t>
  </si>
  <si>
    <t>24780</t>
  </si>
  <si>
    <t>24786</t>
  </si>
  <si>
    <t>25011</t>
  </si>
  <si>
    <t>26007</t>
  </si>
  <si>
    <t>26013</t>
  </si>
  <si>
    <t>AJ384</t>
  </si>
  <si>
    <t>AJ385</t>
  </si>
  <si>
    <t>AJ386</t>
  </si>
  <si>
    <t>AJ387</t>
  </si>
  <si>
    <t>AJ388</t>
  </si>
  <si>
    <t>AJ389</t>
  </si>
  <si>
    <t>AS784</t>
  </si>
  <si>
    <t>AS785</t>
  </si>
  <si>
    <t>AS786</t>
  </si>
  <si>
    <t>AS787</t>
  </si>
  <si>
    <t>AS788</t>
  </si>
  <si>
    <t>AS789</t>
  </si>
  <si>
    <t>AS791</t>
  </si>
  <si>
    <t>AT205</t>
  </si>
  <si>
    <t>AZ435</t>
  </si>
  <si>
    <t>AZ436</t>
  </si>
  <si>
    <t>AZ439</t>
  </si>
  <si>
    <t>AZ440</t>
  </si>
  <si>
    <t>BF109</t>
  </si>
  <si>
    <t>BF110</t>
  </si>
  <si>
    <t>BF111</t>
  </si>
  <si>
    <t>BF113</t>
  </si>
  <si>
    <t>BF116</t>
  </si>
  <si>
    <t>BF680</t>
  </si>
  <si>
    <t>BI970</t>
  </si>
  <si>
    <t>BI971</t>
  </si>
  <si>
    <t>BI972</t>
  </si>
  <si>
    <t>BI975</t>
  </si>
  <si>
    <t>BI977</t>
  </si>
  <si>
    <t>BI978</t>
  </si>
  <si>
    <t>BN409</t>
  </si>
  <si>
    <t>BN410</t>
  </si>
  <si>
    <t>BN411</t>
  </si>
  <si>
    <t>BN414</t>
  </si>
  <si>
    <t>BN415</t>
  </si>
  <si>
    <t>BR105</t>
  </si>
  <si>
    <t>BR106</t>
  </si>
  <si>
    <t>BR107</t>
  </si>
  <si>
    <t>BR108</t>
  </si>
  <si>
    <t>BS402</t>
  </si>
  <si>
    <t>BS403</t>
  </si>
  <si>
    <t>BS404</t>
  </si>
  <si>
    <t>BS405</t>
  </si>
  <si>
    <t>BZ032</t>
  </si>
  <si>
    <t>BZ035</t>
  </si>
  <si>
    <t>02380</t>
  </si>
  <si>
    <t>02382</t>
  </si>
  <si>
    <t>02669</t>
  </si>
  <si>
    <t>09395</t>
  </si>
  <si>
    <t>09572</t>
  </si>
  <si>
    <t>09708</t>
  </si>
  <si>
    <t>20025</t>
  </si>
  <si>
    <t>20037</t>
  </si>
  <si>
    <t>20379</t>
  </si>
  <si>
    <t>20993</t>
  </si>
  <si>
    <t>21006</t>
  </si>
  <si>
    <t>21327</t>
  </si>
  <si>
    <t>21443</t>
  </si>
  <si>
    <t>21567</t>
  </si>
  <si>
    <t>21577</t>
  </si>
  <si>
    <t>21872</t>
  </si>
  <si>
    <t>22007</t>
  </si>
  <si>
    <t>22161</t>
  </si>
  <si>
    <t>22489</t>
  </si>
  <si>
    <t>22499</t>
  </si>
  <si>
    <t>22536</t>
  </si>
  <si>
    <t>22715</t>
  </si>
  <si>
    <t>22826</t>
  </si>
  <si>
    <t>22998</t>
  </si>
  <si>
    <t>23000</t>
  </si>
  <si>
    <t>23001</t>
  </si>
  <si>
    <t>23402</t>
  </si>
  <si>
    <t>23403</t>
  </si>
  <si>
    <t>23404</t>
  </si>
  <si>
    <t>23405</t>
  </si>
  <si>
    <t>23406</t>
  </si>
  <si>
    <t>23407</t>
  </si>
  <si>
    <t>23733</t>
  </si>
  <si>
    <t>23734</t>
  </si>
  <si>
    <t>23735</t>
  </si>
  <si>
    <t>23775</t>
  </si>
  <si>
    <t>23934</t>
  </si>
  <si>
    <t>23944</t>
  </si>
  <si>
    <t>23945</t>
  </si>
  <si>
    <t>23946</t>
  </si>
  <si>
    <t>23949</t>
  </si>
  <si>
    <t>24736</t>
  </si>
  <si>
    <t>24848</t>
  </si>
  <si>
    <t>24849</t>
  </si>
  <si>
    <t>24850</t>
  </si>
  <si>
    <t>25167</t>
  </si>
  <si>
    <t>25578</t>
  </si>
  <si>
    <t>25579</t>
  </si>
  <si>
    <t>25580</t>
  </si>
  <si>
    <t>26183</t>
  </si>
  <si>
    <t>26184</t>
  </si>
  <si>
    <t>26185</t>
  </si>
  <si>
    <t>AL514</t>
  </si>
  <si>
    <t>AL515</t>
  </si>
  <si>
    <t>AL516</t>
  </si>
  <si>
    <t>AT863</t>
  </si>
  <si>
    <t>AT864</t>
  </si>
  <si>
    <t>AT866</t>
  </si>
  <si>
    <t>02087</t>
  </si>
  <si>
    <t>02317</t>
  </si>
  <si>
    <t>02724</t>
  </si>
  <si>
    <t>02911</t>
  </si>
  <si>
    <t>20046</t>
  </si>
  <si>
    <t>20690</t>
  </si>
  <si>
    <t>20990</t>
  </si>
  <si>
    <t>21592</t>
  </si>
  <si>
    <t>21770</t>
  </si>
  <si>
    <t>21867</t>
  </si>
  <si>
    <t>22273</t>
  </si>
  <si>
    <t>22286</t>
  </si>
  <si>
    <t>22351</t>
  </si>
  <si>
    <t>22398</t>
  </si>
  <si>
    <t>22402</t>
  </si>
  <si>
    <t>22413</t>
  </si>
  <si>
    <t>22414</t>
  </si>
  <si>
    <t>22448</t>
  </si>
  <si>
    <t>22471</t>
  </si>
  <si>
    <t>22599</t>
  </si>
  <si>
    <t>22835</t>
  </si>
  <si>
    <t>22918</t>
  </si>
  <si>
    <t>22919</t>
  </si>
  <si>
    <t>22920</t>
  </si>
  <si>
    <t>22921</t>
  </si>
  <si>
    <t>22922</t>
  </si>
  <si>
    <t>22924</t>
  </si>
  <si>
    <t>22925</t>
  </si>
  <si>
    <t>22980</t>
  </si>
  <si>
    <t>23098</t>
  </si>
  <si>
    <t>23101</t>
  </si>
  <si>
    <t>23246</t>
  </si>
  <si>
    <t>23452</t>
  </si>
  <si>
    <t>23453</t>
  </si>
  <si>
    <t>23454</t>
  </si>
  <si>
    <t>23455</t>
  </si>
  <si>
    <t>23456</t>
  </si>
  <si>
    <t>23457</t>
  </si>
  <si>
    <t>23458</t>
  </si>
  <si>
    <t>23464</t>
  </si>
  <si>
    <t>23656</t>
  </si>
  <si>
    <t>23705</t>
  </si>
  <si>
    <t>23799</t>
  </si>
  <si>
    <t>23950</t>
  </si>
  <si>
    <t>23951</t>
  </si>
  <si>
    <t>23952</t>
  </si>
  <si>
    <t>24702</t>
  </si>
  <si>
    <t>24728</t>
  </si>
  <si>
    <t>25999</t>
  </si>
  <si>
    <t>AE293</t>
  </si>
  <si>
    <t>AE296</t>
  </si>
  <si>
    <t>AE298</t>
  </si>
  <si>
    <t>AE299</t>
  </si>
  <si>
    <t>AM366</t>
  </si>
  <si>
    <t>AM367</t>
  </si>
  <si>
    <t>AM368</t>
  </si>
  <si>
    <t>AM370</t>
  </si>
  <si>
    <t>AM371</t>
  </si>
  <si>
    <t>AM372</t>
  </si>
  <si>
    <t>AQ905</t>
  </si>
  <si>
    <t>AQ907</t>
  </si>
  <si>
    <t>AQ908</t>
  </si>
  <si>
    <t>AQ909</t>
  </si>
  <si>
    <t>AX725</t>
  </si>
  <si>
    <t>AX727</t>
  </si>
  <si>
    <t>AX729</t>
  </si>
  <si>
    <t>AX730</t>
  </si>
  <si>
    <t>AX774</t>
  </si>
  <si>
    <t>BE692</t>
  </si>
  <si>
    <t>BE694</t>
  </si>
  <si>
    <t>BE697</t>
  </si>
  <si>
    <t>BE872</t>
  </si>
  <si>
    <t>BJ336</t>
  </si>
  <si>
    <t>BJ338</t>
  </si>
  <si>
    <t>BJ340</t>
  </si>
  <si>
    <t>BJ342</t>
  </si>
  <si>
    <t>BJ343</t>
  </si>
  <si>
    <t>BJ345</t>
  </si>
  <si>
    <t>BQ750</t>
  </si>
  <si>
    <t>BQ754</t>
  </si>
  <si>
    <t>BU564</t>
  </si>
  <si>
    <t>BU567</t>
  </si>
  <si>
    <t>BU570</t>
  </si>
  <si>
    <t>21620</t>
  </si>
  <si>
    <t>20261</t>
  </si>
  <si>
    <t>21526</t>
  </si>
  <si>
    <t>24573</t>
  </si>
  <si>
    <t>24574</t>
  </si>
  <si>
    <t>24575</t>
  </si>
  <si>
    <t>24576</t>
  </si>
  <si>
    <t>22679</t>
  </si>
  <si>
    <t>22908</t>
  </si>
  <si>
    <t>22911</t>
  </si>
  <si>
    <t>24596</t>
  </si>
  <si>
    <t>24739</t>
  </si>
  <si>
    <t>25619</t>
  </si>
  <si>
    <t>25665</t>
  </si>
  <si>
    <t>25666</t>
  </si>
  <si>
    <t>25959</t>
  </si>
  <si>
    <t>25960</t>
  </si>
  <si>
    <t>AA960</t>
  </si>
  <si>
    <t>AA961</t>
  </si>
  <si>
    <t>AA962</t>
  </si>
  <si>
    <t>AA963</t>
  </si>
  <si>
    <t>AA964</t>
  </si>
  <si>
    <t>AA965</t>
  </si>
  <si>
    <t>AH564</t>
  </si>
  <si>
    <t>AH566</t>
  </si>
  <si>
    <t>AH567</t>
  </si>
  <si>
    <t>AH568</t>
  </si>
  <si>
    <t>AH569</t>
  </si>
  <si>
    <t>AH571</t>
  </si>
  <si>
    <t>AM696</t>
  </si>
  <si>
    <t>AM697</t>
  </si>
  <si>
    <t>AM699</t>
  </si>
  <si>
    <t>AM700</t>
  </si>
  <si>
    <t>AM702</t>
  </si>
  <si>
    <t>AM703</t>
  </si>
  <si>
    <t>AN505</t>
  </si>
  <si>
    <t>AN508</t>
  </si>
  <si>
    <t>AN510</t>
  </si>
  <si>
    <t>AS064</t>
  </si>
  <si>
    <t>AS608</t>
  </si>
  <si>
    <t>AS609</t>
  </si>
  <si>
    <t>AS610</t>
  </si>
  <si>
    <t>AZ399</t>
  </si>
  <si>
    <t>AZ400</t>
  </si>
  <si>
    <t>AZ401</t>
  </si>
  <si>
    <t>AZ402</t>
  </si>
  <si>
    <t>BA741</t>
  </si>
  <si>
    <t>BE764</t>
  </si>
  <si>
    <t>BE781</t>
  </si>
  <si>
    <t>BE782</t>
  </si>
  <si>
    <t>BI926</t>
  </si>
  <si>
    <t>BI928</t>
  </si>
  <si>
    <t>BI929</t>
  </si>
  <si>
    <t>BI931</t>
  </si>
  <si>
    <t>BI932</t>
  </si>
  <si>
    <t>BI933</t>
  </si>
  <si>
    <t>BN428</t>
  </si>
  <si>
    <t>BN430</t>
  </si>
  <si>
    <t>BN433</t>
  </si>
  <si>
    <t>BN434</t>
  </si>
  <si>
    <t>BN437</t>
  </si>
  <si>
    <t>BO233</t>
  </si>
  <si>
    <t>BQ424</t>
  </si>
  <si>
    <t>BR097</t>
  </si>
  <si>
    <t>BR098</t>
  </si>
  <si>
    <t>BR099</t>
  </si>
  <si>
    <t>BS595</t>
  </si>
  <si>
    <t>BS596</t>
  </si>
  <si>
    <t>BS597</t>
  </si>
  <si>
    <t>BS599</t>
  </si>
  <si>
    <t>BS601</t>
  </si>
  <si>
    <t>BT180</t>
  </si>
  <si>
    <t>BW330</t>
  </si>
  <si>
    <t>BW332</t>
  </si>
  <si>
    <t>BW334</t>
  </si>
  <si>
    <t>25866</t>
  </si>
  <si>
    <t>AA560</t>
  </si>
  <si>
    <t>AA569</t>
  </si>
  <si>
    <t>AA570</t>
  </si>
  <si>
    <t>AI208</t>
  </si>
  <si>
    <t>AI210</t>
  </si>
  <si>
    <t>AI216</t>
  </si>
  <si>
    <t>AM219</t>
  </si>
  <si>
    <t>AM220</t>
  </si>
  <si>
    <t>BG565</t>
  </si>
  <si>
    <t>BG566</t>
  </si>
  <si>
    <t>BG567</t>
  </si>
  <si>
    <t>BG568</t>
  </si>
  <si>
    <t>BG569</t>
  </si>
  <si>
    <t>BG570</t>
  </si>
  <si>
    <t>BG571</t>
  </si>
  <si>
    <t>BQ578</t>
  </si>
  <si>
    <t>BQ579</t>
  </si>
  <si>
    <t>BQ580</t>
  </si>
  <si>
    <t>BQ581</t>
  </si>
  <si>
    <t>BQ582</t>
  </si>
  <si>
    <t>AT929</t>
  </si>
  <si>
    <t>AT932</t>
  </si>
  <si>
    <t>AT933</t>
  </si>
  <si>
    <t>AT937</t>
  </si>
  <si>
    <t>AX408</t>
  </si>
  <si>
    <t>AX409</t>
  </si>
  <si>
    <t>CB028</t>
  </si>
  <si>
    <t>CB030</t>
  </si>
  <si>
    <t>CB033</t>
  </si>
  <si>
    <t>CB034</t>
  </si>
  <si>
    <t>AU286</t>
  </si>
  <si>
    <t>AU287</t>
  </si>
  <si>
    <t>AU288</t>
  </si>
  <si>
    <t>AU289</t>
  </si>
  <si>
    <t>BE053</t>
  </si>
  <si>
    <t>BE056</t>
  </si>
  <si>
    <t>BE058</t>
  </si>
  <si>
    <t>BE059</t>
  </si>
  <si>
    <t>BE060</t>
  </si>
  <si>
    <t>BJ216</t>
  </si>
  <si>
    <t>BJ217</t>
  </si>
  <si>
    <t>BJ556</t>
  </si>
  <si>
    <t>BJ560</t>
  </si>
  <si>
    <t>BK558</t>
  </si>
  <si>
    <t>BK559</t>
  </si>
  <si>
    <t>BP958</t>
  </si>
  <si>
    <t>BP965</t>
  </si>
  <si>
    <t>BP966</t>
  </si>
  <si>
    <t>BP968</t>
  </si>
  <si>
    <t>BU083</t>
  </si>
  <si>
    <t>BU086</t>
  </si>
  <si>
    <t>BU087</t>
  </si>
  <si>
    <t>BU088</t>
  </si>
  <si>
    <t>BU089</t>
  </si>
  <si>
    <t>BU090</t>
  </si>
  <si>
    <t>CA727</t>
  </si>
  <si>
    <t>CA729</t>
  </si>
  <si>
    <t>AJ592</t>
  </si>
  <si>
    <t>AJ593</t>
  </si>
  <si>
    <t>AJ594</t>
  </si>
  <si>
    <t>AJ595</t>
  </si>
  <si>
    <t>AJ596</t>
  </si>
  <si>
    <t>AJ597</t>
  </si>
  <si>
    <t>AO013</t>
  </si>
  <si>
    <t>AO014</t>
  </si>
  <si>
    <t>AO018</t>
  </si>
  <si>
    <t>AO554</t>
  </si>
  <si>
    <t>AQ911</t>
  </si>
  <si>
    <t>AS101</t>
  </si>
  <si>
    <t>AS102</t>
  </si>
  <si>
    <t>AS103</t>
  </si>
  <si>
    <t>AS104</t>
  </si>
  <si>
    <t>AS105</t>
  </si>
  <si>
    <t>AS106</t>
  </si>
  <si>
    <t>AZ409</t>
  </si>
  <si>
    <t>AZ410</t>
  </si>
  <si>
    <t>AZ414</t>
  </si>
  <si>
    <t>BA105</t>
  </si>
  <si>
    <t>BE717</t>
  </si>
  <si>
    <t>BE718</t>
  </si>
  <si>
    <t>BE719</t>
  </si>
  <si>
    <t>BE721</t>
  </si>
  <si>
    <t>BE723</t>
  </si>
  <si>
    <t>BE724</t>
  </si>
  <si>
    <t>BI915</t>
  </si>
  <si>
    <t>BI919</t>
  </si>
  <si>
    <t>BI921</t>
  </si>
  <si>
    <t>BI923</t>
  </si>
  <si>
    <t>BP132</t>
  </si>
  <si>
    <t>BP139</t>
  </si>
  <si>
    <t>BQ205</t>
  </si>
  <si>
    <t>BQ206</t>
  </si>
  <si>
    <t>BR100</t>
  </si>
  <si>
    <t>BR101</t>
  </si>
  <si>
    <t>BR102</t>
  </si>
  <si>
    <t>BU039</t>
  </si>
  <si>
    <t>BU040</t>
  </si>
  <si>
    <t>BU041</t>
  </si>
  <si>
    <t>BU042</t>
  </si>
  <si>
    <t>BU043</t>
  </si>
  <si>
    <t>BU044</t>
  </si>
  <si>
    <t>AW284</t>
  </si>
  <si>
    <t>AW285</t>
  </si>
  <si>
    <t>AW288</t>
  </si>
  <si>
    <t>AW289</t>
  </si>
  <si>
    <t>BC660</t>
  </si>
  <si>
    <t>BC662</t>
  </si>
  <si>
    <t>BC663</t>
  </si>
  <si>
    <t>BC665</t>
  </si>
  <si>
    <t>BC667</t>
  </si>
  <si>
    <t>BC668</t>
  </si>
  <si>
    <t>BI442</t>
  </si>
  <si>
    <t>BI444</t>
  </si>
  <si>
    <t>BI447</t>
  </si>
  <si>
    <t>BI449</t>
  </si>
  <si>
    <t>BM893</t>
  </si>
  <si>
    <t>BM896</t>
  </si>
  <si>
    <t>BM897</t>
  </si>
  <si>
    <t>BM898</t>
  </si>
  <si>
    <t>BT543</t>
  </si>
  <si>
    <t>BT544</t>
  </si>
  <si>
    <t>BT546</t>
  </si>
  <si>
    <t>BT547</t>
  </si>
  <si>
    <t>BT548</t>
  </si>
  <si>
    <t>BT549</t>
  </si>
  <si>
    <t>CA891</t>
  </si>
  <si>
    <t>CA892</t>
  </si>
  <si>
    <t>CA893</t>
  </si>
  <si>
    <t>CA894</t>
  </si>
  <si>
    <t>CB454</t>
  </si>
  <si>
    <t>CB455</t>
  </si>
  <si>
    <t>CB458</t>
  </si>
  <si>
    <t>CB459</t>
  </si>
  <si>
    <t>CB460</t>
  </si>
  <si>
    <t>AU855</t>
  </si>
  <si>
    <t>AU866</t>
  </si>
  <si>
    <t>AU867</t>
  </si>
  <si>
    <t>AU868</t>
  </si>
  <si>
    <t>AU869</t>
  </si>
  <si>
    <t>AU870</t>
  </si>
  <si>
    <t>AW983</t>
  </si>
  <si>
    <t>AW986</t>
  </si>
  <si>
    <t>AW987</t>
  </si>
  <si>
    <t>BE466</t>
  </si>
  <si>
    <t>BE467</t>
  </si>
  <si>
    <t>BE471</t>
  </si>
  <si>
    <t>BK023</t>
  </si>
  <si>
    <t>BK024</t>
  </si>
  <si>
    <t>BQ864</t>
  </si>
  <si>
    <t>BQ881</t>
  </si>
  <si>
    <t>BW354</t>
  </si>
  <si>
    <t>BW356</t>
  </si>
  <si>
    <t>BC270</t>
  </si>
  <si>
    <t>BC271</t>
  </si>
  <si>
    <t>BC272</t>
  </si>
  <si>
    <t>BC274</t>
  </si>
  <si>
    <t>BC402</t>
  </si>
  <si>
    <t>BD334</t>
  </si>
  <si>
    <t>BE332</t>
  </si>
  <si>
    <t>BF728</t>
  </si>
  <si>
    <t>BF730</t>
  </si>
  <si>
    <t>BF731</t>
  </si>
  <si>
    <t>BP201</t>
  </si>
  <si>
    <t>BP202</t>
  </si>
  <si>
    <t>BP206</t>
  </si>
  <si>
    <t>CA314</t>
  </si>
  <si>
    <t>AZ415</t>
  </si>
  <si>
    <t>AZ417</t>
  </si>
  <si>
    <t>AZ419</t>
  </si>
  <si>
    <t>AZ420</t>
  </si>
  <si>
    <t>AZ422</t>
  </si>
  <si>
    <t>BE944</t>
  </si>
  <si>
    <t>BE947</t>
  </si>
  <si>
    <t>BE950</t>
  </si>
  <si>
    <t>BE951</t>
  </si>
  <si>
    <t>BI884</t>
  </si>
  <si>
    <t>BI885</t>
  </si>
  <si>
    <t>BI886</t>
  </si>
  <si>
    <t>BI890</t>
  </si>
  <si>
    <t>BI891</t>
  </si>
  <si>
    <t>BN627</t>
  </si>
  <si>
    <t>BN632</t>
  </si>
  <si>
    <t>BN634</t>
  </si>
  <si>
    <t>BO256</t>
  </si>
  <si>
    <t>BP956</t>
  </si>
  <si>
    <t>BT362</t>
  </si>
  <si>
    <t>BT363</t>
  </si>
  <si>
    <t>BT365</t>
  </si>
  <si>
    <t>BT368</t>
  </si>
  <si>
    <t>CC115</t>
  </si>
  <si>
    <t>CC117</t>
  </si>
  <si>
    <t>BE665</t>
  </si>
  <si>
    <t>BE667</t>
  </si>
  <si>
    <t>BE669</t>
  </si>
  <si>
    <t>BH181</t>
  </si>
  <si>
    <t>BH182</t>
  </si>
  <si>
    <t>BH184</t>
  </si>
  <si>
    <t>BL288</t>
  </si>
  <si>
    <t>BL289</t>
  </si>
  <si>
    <t>BL293</t>
  </si>
  <si>
    <t>BL295</t>
  </si>
  <si>
    <t>BR077</t>
  </si>
  <si>
    <t>BR079</t>
  </si>
  <si>
    <t>BR080</t>
  </si>
  <si>
    <t>BR082</t>
  </si>
  <si>
    <t>BR084</t>
  </si>
  <si>
    <t>BT667</t>
  </si>
  <si>
    <t>BY504</t>
  </si>
  <si>
    <t>BY532</t>
  </si>
  <si>
    <t>BY534</t>
  </si>
  <si>
    <t>BY535</t>
  </si>
  <si>
    <t>BY537</t>
  </si>
  <si>
    <t>BY539</t>
  </si>
  <si>
    <t>BG904</t>
  </si>
  <si>
    <t>BG905</t>
  </si>
  <si>
    <t>BG906</t>
  </si>
  <si>
    <t>BG907</t>
  </si>
  <si>
    <t>BG908</t>
  </si>
  <si>
    <t>BG909</t>
  </si>
  <si>
    <t>BH077</t>
  </si>
  <si>
    <t>BH078</t>
  </si>
  <si>
    <t>BJ092</t>
  </si>
  <si>
    <t>BJ094</t>
  </si>
  <si>
    <t>BJ096</t>
  </si>
  <si>
    <t>BJ097</t>
  </si>
  <si>
    <t>BJ201</t>
  </si>
  <si>
    <t>BJ720</t>
  </si>
  <si>
    <t>BJ721</t>
  </si>
  <si>
    <t>BM986</t>
  </si>
  <si>
    <t>BM987</t>
  </si>
  <si>
    <t>BM989</t>
  </si>
  <si>
    <t>BN040</t>
  </si>
  <si>
    <t>BP126</t>
  </si>
  <si>
    <t>BP127</t>
  </si>
  <si>
    <t>BP128</t>
  </si>
  <si>
    <t>BP129</t>
  </si>
  <si>
    <t>BP130</t>
  </si>
  <si>
    <t>BT847</t>
  </si>
  <si>
    <t>BT848</t>
  </si>
  <si>
    <t>CD833</t>
  </si>
  <si>
    <t>CD835</t>
  </si>
  <si>
    <t>CD838</t>
  </si>
  <si>
    <t>CD840</t>
  </si>
  <si>
    <t>CE611</t>
  </si>
  <si>
    <t>BQ429</t>
  </si>
  <si>
    <t>BQ430</t>
  </si>
  <si>
    <t>BZ618</t>
  </si>
  <si>
    <t>BZ620</t>
  </si>
  <si>
    <t>BP980</t>
  </si>
  <si>
    <t>BP983</t>
  </si>
  <si>
    <t>BP984</t>
  </si>
  <si>
    <t>BP985</t>
  </si>
  <si>
    <t>BP988</t>
  </si>
  <si>
    <t>BW849</t>
  </si>
  <si>
    <t>BW850</t>
  </si>
  <si>
    <t>BW851</t>
  </si>
  <si>
    <t>BW852</t>
  </si>
  <si>
    <t>BY087</t>
  </si>
  <si>
    <t>BY088</t>
  </si>
  <si>
    <t>BY090</t>
  </si>
  <si>
    <t>BR903</t>
  </si>
  <si>
    <t>BR917</t>
  </si>
  <si>
    <t>BR918</t>
  </si>
  <si>
    <t>BR919</t>
  </si>
  <si>
    <t>BR921</t>
  </si>
  <si>
    <t>BR925</t>
  </si>
  <si>
    <t>CD352</t>
  </si>
  <si>
    <t>CD355</t>
  </si>
  <si>
    <t>CE866</t>
  </si>
  <si>
    <t>CE867</t>
  </si>
  <si>
    <t>CB294</t>
  </si>
  <si>
    <t>CB296</t>
  </si>
  <si>
    <t>CD134</t>
  </si>
  <si>
    <t>CD135</t>
  </si>
  <si>
    <t>CD137</t>
  </si>
  <si>
    <t>CD140</t>
  </si>
  <si>
    <t>CD142</t>
  </si>
  <si>
    <t>CF196</t>
  </si>
  <si>
    <t>CD648</t>
  </si>
  <si>
    <t>CD649</t>
  </si>
  <si>
    <t>CD651</t>
  </si>
  <si>
    <t>CD652</t>
  </si>
  <si>
    <t>CD815</t>
  </si>
  <si>
    <t>CD816</t>
  </si>
  <si>
    <t>CD818</t>
  </si>
  <si>
    <t>CD819</t>
  </si>
  <si>
    <t>CD820</t>
  </si>
  <si>
    <t>CE248</t>
  </si>
  <si>
    <t>CE249</t>
  </si>
  <si>
    <t>CE250</t>
  </si>
  <si>
    <t>CE251</t>
  </si>
  <si>
    <t>CE463</t>
  </si>
  <si>
    <t>CE464</t>
  </si>
  <si>
    <t>CE465</t>
  </si>
  <si>
    <t>CE466</t>
  </si>
  <si>
    <t>CE468</t>
  </si>
  <si>
    <t>CE470</t>
  </si>
  <si>
    <t>CF784</t>
  </si>
  <si>
    <t>CE403</t>
  </si>
  <si>
    <t>CE405</t>
  </si>
  <si>
    <t>CE406</t>
  </si>
  <si>
    <t>CE407</t>
  </si>
  <si>
    <t>CE780</t>
  </si>
  <si>
    <t>CE781</t>
  </si>
  <si>
    <t>CE782</t>
  </si>
  <si>
    <t>CE783</t>
  </si>
  <si>
    <t>CE785</t>
  </si>
  <si>
    <t>CE787</t>
  </si>
  <si>
    <t>CE789</t>
  </si>
  <si>
    <t>CF783</t>
  </si>
  <si>
    <t>CF788</t>
  </si>
  <si>
    <t>CE653</t>
  </si>
  <si>
    <t>CE654</t>
  </si>
  <si>
    <t>CE655</t>
  </si>
  <si>
    <t>CE656</t>
  </si>
  <si>
    <t>CE659</t>
  </si>
  <si>
    <t>CE660</t>
  </si>
  <si>
    <t>CE661</t>
  </si>
  <si>
    <t>AN696</t>
  </si>
  <si>
    <t>AN709</t>
  </si>
  <si>
    <t>AN713</t>
  </si>
  <si>
    <t>AN716</t>
  </si>
  <si>
    <t>AT378</t>
  </si>
  <si>
    <t>AT379</t>
  </si>
  <si>
    <t>BG167</t>
  </si>
  <si>
    <t>BQ336</t>
  </si>
  <si>
    <t>BQ337</t>
  </si>
  <si>
    <t>BW951</t>
  </si>
  <si>
    <t>BW952</t>
  </si>
  <si>
    <t>BZ015</t>
  </si>
  <si>
    <t>BZ016</t>
  </si>
  <si>
    <t>CB486</t>
  </si>
  <si>
    <t>CB487</t>
  </si>
  <si>
    <t>AR712</t>
  </si>
  <si>
    <t>AR713</t>
  </si>
  <si>
    <t>AR714</t>
  </si>
  <si>
    <t>AR715</t>
  </si>
  <si>
    <t>AW207</t>
  </si>
  <si>
    <t>AW208</t>
  </si>
  <si>
    <t>AW209</t>
  </si>
  <si>
    <t>BB039</t>
  </si>
  <si>
    <t>BB040</t>
  </si>
  <si>
    <t>BG385</t>
  </si>
  <si>
    <t>BG386</t>
  </si>
  <si>
    <t>BT982</t>
  </si>
  <si>
    <t>BT983</t>
  </si>
  <si>
    <t>BZ515</t>
  </si>
  <si>
    <t>BZ517</t>
  </si>
  <si>
    <t>AW174</t>
  </si>
  <si>
    <t>AW178</t>
  </si>
  <si>
    <t>AW179</t>
  </si>
  <si>
    <t>AW180</t>
  </si>
  <si>
    <t>AZ748</t>
  </si>
  <si>
    <t>BB244</t>
  </si>
  <si>
    <t>BB245</t>
  </si>
  <si>
    <t>BJ430</t>
  </si>
  <si>
    <t>BJ435</t>
  </si>
  <si>
    <t>BT276</t>
  </si>
  <si>
    <t>BW671</t>
  </si>
  <si>
    <t>CA696</t>
  </si>
  <si>
    <t>CA697</t>
  </si>
  <si>
    <t>CD541</t>
  </si>
  <si>
    <t>CD542</t>
  </si>
  <si>
    <t>BI374</t>
  </si>
  <si>
    <t>BI375</t>
  </si>
  <si>
    <t>BI378</t>
  </si>
  <si>
    <t>BI380</t>
  </si>
  <si>
    <t>BO336</t>
  </si>
  <si>
    <t>BQ096</t>
  </si>
  <si>
    <t>BQ097</t>
  </si>
  <si>
    <t>BT722</t>
  </si>
  <si>
    <t>BT723</t>
  </si>
  <si>
    <t>BZ381</t>
  </si>
  <si>
    <t>BZ382</t>
  </si>
  <si>
    <t>CF355</t>
  </si>
  <si>
    <t>BH602</t>
  </si>
  <si>
    <t>BH603</t>
  </si>
  <si>
    <t>BH604</t>
  </si>
  <si>
    <t>BH605</t>
  </si>
  <si>
    <t>BH606</t>
  </si>
  <si>
    <t>BS946</t>
  </si>
  <si>
    <t>CD848</t>
  </si>
  <si>
    <t>CD849</t>
  </si>
  <si>
    <t>BL277</t>
  </si>
  <si>
    <t>BP732</t>
  </si>
  <si>
    <t>BP733</t>
  </si>
  <si>
    <t>BP734</t>
  </si>
  <si>
    <t>BZ127</t>
  </si>
  <si>
    <t>BZ128</t>
  </si>
  <si>
    <t>BO946</t>
  </si>
  <si>
    <t>BO947</t>
  </si>
  <si>
    <t>BO948</t>
  </si>
  <si>
    <t>BS570</t>
  </si>
  <si>
    <t>BS571</t>
  </si>
  <si>
    <t>CD739</t>
  </si>
  <si>
    <t>BV771</t>
  </si>
  <si>
    <t>BV772</t>
  </si>
  <si>
    <t>BV773</t>
  </si>
  <si>
    <t>BV774</t>
  </si>
  <si>
    <t>BT358</t>
  </si>
  <si>
    <t>BT359</t>
  </si>
  <si>
    <t>BT360</t>
  </si>
  <si>
    <t>CF357</t>
  </si>
  <si>
    <t>CF358</t>
  </si>
  <si>
    <t>BU397</t>
  </si>
  <si>
    <t>BU401</t>
  </si>
  <si>
    <t>BU402</t>
  </si>
  <si>
    <t>BU403</t>
  </si>
  <si>
    <t>BX692</t>
  </si>
  <si>
    <t>BX699</t>
  </si>
  <si>
    <t>BU444</t>
  </si>
  <si>
    <t>BU445</t>
  </si>
  <si>
    <t>BU446</t>
  </si>
  <si>
    <t>BU447</t>
  </si>
  <si>
    <t>BU448</t>
  </si>
  <si>
    <t>BY247</t>
  </si>
  <si>
    <t>BY251</t>
  </si>
  <si>
    <t>BY252</t>
  </si>
  <si>
    <t>CB079</t>
  </si>
  <si>
    <t>CB084</t>
  </si>
  <si>
    <t>CB087</t>
  </si>
  <si>
    <t>CB088</t>
  </si>
  <si>
    <t>CC373</t>
  </si>
  <si>
    <t>CC382</t>
  </si>
  <si>
    <t>CC383</t>
  </si>
  <si>
    <t>BY942</t>
  </si>
  <si>
    <t>BY943</t>
  </si>
  <si>
    <t>BY944</t>
  </si>
  <si>
    <t>CB059</t>
  </si>
  <si>
    <t>CA286</t>
  </si>
  <si>
    <t>CA287</t>
  </si>
  <si>
    <t>CE102</t>
  </si>
  <si>
    <t>CE103</t>
  </si>
  <si>
    <t>CE104</t>
  </si>
  <si>
    <t>CE105</t>
  </si>
  <si>
    <t>CE679</t>
  </si>
  <si>
    <t>CE685</t>
  </si>
  <si>
    <t>CE686</t>
  </si>
  <si>
    <t>CE687</t>
  </si>
  <si>
    <t>AQ436</t>
  </si>
  <si>
    <t>AU481</t>
  </si>
  <si>
    <t>22446</t>
  </si>
  <si>
    <t>AQ488</t>
  </si>
  <si>
    <t>BX050</t>
  </si>
  <si>
    <t>BX051</t>
  </si>
  <si>
    <t>BX052</t>
  </si>
  <si>
    <t>25131</t>
  </si>
  <si>
    <t>21754</t>
  </si>
  <si>
    <t>BX044</t>
  </si>
  <si>
    <t>BX045</t>
  </si>
  <si>
    <t>BX046</t>
  </si>
  <si>
    <t>BX047</t>
  </si>
  <si>
    <t>BF849</t>
  </si>
  <si>
    <t>BI317</t>
  </si>
  <si>
    <t>BI318</t>
  </si>
  <si>
    <t>BI319</t>
  </si>
  <si>
    <t>BI320</t>
  </si>
  <si>
    <t>BI321</t>
  </si>
  <si>
    <t>BI322</t>
  </si>
  <si>
    <t>BI323</t>
  </si>
  <si>
    <t>BI324</t>
  </si>
  <si>
    <t>BI325</t>
  </si>
  <si>
    <t>BI326</t>
  </si>
  <si>
    <t>BF848</t>
  </si>
  <si>
    <t>BF852</t>
  </si>
  <si>
    <t>BI397</t>
  </si>
  <si>
    <t>BI398</t>
  </si>
  <si>
    <t>BI399</t>
  </si>
  <si>
    <t>BI400</t>
  </si>
  <si>
    <t>BI401</t>
  </si>
  <si>
    <t>BI402</t>
  </si>
  <si>
    <t>BI403</t>
  </si>
  <si>
    <t>BI404</t>
  </si>
  <si>
    <t>BI405</t>
  </si>
  <si>
    <t>BI406</t>
  </si>
  <si>
    <t>BI407</t>
  </si>
  <si>
    <t>BI408</t>
  </si>
  <si>
    <t>BI409</t>
  </si>
  <si>
    <t>BI410</t>
  </si>
  <si>
    <t>24558</t>
  </si>
  <si>
    <t>20728</t>
  </si>
  <si>
    <t>21002</t>
  </si>
  <si>
    <t>21312</t>
  </si>
  <si>
    <t>21356</t>
  </si>
  <si>
    <t>21555</t>
  </si>
  <si>
    <t>23618</t>
  </si>
  <si>
    <t>AG715</t>
  </si>
  <si>
    <t>AG716</t>
  </si>
  <si>
    <t>AG718</t>
  </si>
  <si>
    <t>AG720</t>
  </si>
  <si>
    <t>AG721</t>
  </si>
  <si>
    <t>AG722</t>
  </si>
  <si>
    <t>AG723</t>
  </si>
  <si>
    <t>AQ440</t>
  </si>
  <si>
    <t>AQ441</t>
  </si>
  <si>
    <t>AQ442</t>
  </si>
  <si>
    <t>AQ443</t>
  </si>
  <si>
    <t>AQ444</t>
  </si>
  <si>
    <t>AQ445</t>
  </si>
  <si>
    <t>AQ446</t>
  </si>
  <si>
    <t>AQ447</t>
  </si>
  <si>
    <t>BB559</t>
  </si>
  <si>
    <t>BB560</t>
  </si>
  <si>
    <t>BB563</t>
  </si>
  <si>
    <t>BB564</t>
  </si>
  <si>
    <t>BL496</t>
  </si>
  <si>
    <t>BL505</t>
  </si>
  <si>
    <t>BL508</t>
  </si>
  <si>
    <t>BL510</t>
  </si>
  <si>
    <t>BL511</t>
  </si>
  <si>
    <t>BM635</t>
  </si>
  <si>
    <t>BN008</t>
  </si>
  <si>
    <t>BN009</t>
  </si>
  <si>
    <t>BN010</t>
  </si>
  <si>
    <t>BN011</t>
  </si>
  <si>
    <t>BX755</t>
  </si>
  <si>
    <t>BX756</t>
  </si>
  <si>
    <t>BX757</t>
  </si>
  <si>
    <t>BZ261</t>
  </si>
  <si>
    <t>BZ262</t>
  </si>
  <si>
    <t>BZ263</t>
  </si>
  <si>
    <t>21305</t>
  </si>
  <si>
    <t>21310</t>
  </si>
  <si>
    <t>23097</t>
  </si>
  <si>
    <t>24956</t>
  </si>
  <si>
    <t>25393</t>
  </si>
  <si>
    <t>25395</t>
  </si>
  <si>
    <t>AG363</t>
  </si>
  <si>
    <t>AG365</t>
  </si>
  <si>
    <t>AG366</t>
  </si>
  <si>
    <t>AG368</t>
  </si>
  <si>
    <t>AG370</t>
  </si>
  <si>
    <t>AG371</t>
  </si>
  <si>
    <t>AG372</t>
  </si>
  <si>
    <t>AG374</t>
  </si>
  <si>
    <t>AQ594</t>
  </si>
  <si>
    <t>AQ597</t>
  </si>
  <si>
    <t>AQ599</t>
  </si>
  <si>
    <t>AQ602</t>
  </si>
  <si>
    <t>AQ603</t>
  </si>
  <si>
    <t>AQ606</t>
  </si>
  <si>
    <t>AQ608</t>
  </si>
  <si>
    <t>BD661</t>
  </si>
  <si>
    <t>BD663</t>
  </si>
  <si>
    <t>BD666</t>
  </si>
  <si>
    <t>BD669</t>
  </si>
  <si>
    <t>BD671</t>
  </si>
  <si>
    <t>BP959</t>
  </si>
  <si>
    <t>BP960</t>
  </si>
  <si>
    <t>BP961</t>
  </si>
  <si>
    <t>BP962</t>
  </si>
  <si>
    <t>BP963</t>
  </si>
  <si>
    <t>CB701</t>
  </si>
  <si>
    <t>CB702</t>
  </si>
  <si>
    <t>CB703</t>
  </si>
  <si>
    <t>BC679</t>
  </si>
  <si>
    <t>BC680</t>
  </si>
  <si>
    <t>BC681</t>
  </si>
  <si>
    <t>BC682</t>
  </si>
  <si>
    <t>BC685</t>
  </si>
  <si>
    <t>BO587</t>
  </si>
  <si>
    <t>BO588</t>
  </si>
  <si>
    <t>BO589</t>
  </si>
  <si>
    <t>BZ899</t>
  </si>
  <si>
    <t>BZ900</t>
  </si>
  <si>
    <t>BZ901</t>
  </si>
  <si>
    <t>BZ902</t>
  </si>
  <si>
    <t>BN572</t>
  </si>
  <si>
    <t>BN574</t>
  </si>
  <si>
    <t>BN575</t>
  </si>
  <si>
    <t>BN578</t>
  </si>
  <si>
    <t>CA590</t>
  </si>
  <si>
    <t>CA591</t>
  </si>
  <si>
    <t>CA592</t>
  </si>
  <si>
    <t>BW336</t>
  </si>
  <si>
    <t>BW337</t>
  </si>
  <si>
    <t>BW338</t>
  </si>
  <si>
    <t>BW339</t>
  </si>
  <si>
    <t>BW340</t>
  </si>
  <si>
    <t>BW341</t>
  </si>
  <si>
    <t>BW342</t>
  </si>
  <si>
    <t>BW343</t>
  </si>
  <si>
    <t>BW344</t>
  </si>
  <si>
    <t>BW345</t>
  </si>
  <si>
    <t>CD602</t>
  </si>
  <si>
    <t>CD603</t>
  </si>
  <si>
    <t>Conferente</t>
  </si>
  <si>
    <t>BEGE/VERDE/MARR</t>
  </si>
  <si>
    <t>OFF WHITE/BEGE</t>
  </si>
  <si>
    <t>Acompanhamento de Direto Suporte Fab. 07</t>
  </si>
  <si>
    <t>Quem (Who)</t>
  </si>
  <si>
    <t>Identificar gargalos e definir tempo padrão</t>
  </si>
  <si>
    <t>Desenvolver planilha ou controle visual por máquina e setor</t>
  </si>
  <si>
    <t>Aumentar controle e visibilidade da operação</t>
  </si>
  <si>
    <t>Parametrizar sistema para acionamento antecipado dos reguladores</t>
  </si>
  <si>
    <t>Reduzir tempo de espera e antecipar setup</t>
  </si>
  <si>
    <t>Definir estrutura dedicada com equipe e responsabilidades</t>
  </si>
  <si>
    <t>Melhorar organização e resposta rápida</t>
  </si>
  <si>
    <t>Levantar necessidade, aprovar e comprar equipamentos</t>
  </si>
  <si>
    <t>Melhorar comunicação entre PP e reguladores</t>
  </si>
  <si>
    <t>Criar dashboard com indicadores de setup e status das máquinas</t>
  </si>
  <si>
    <t>Aumentar gestão visual e tomada de decisão rápida</t>
  </si>
  <si>
    <t>BI / TI</t>
  </si>
  <si>
    <t>Configurar coleta e monitoramento dos tempos de regulagem</t>
  </si>
  <si>
    <t>Garantir controle e histórico para melhoria contínua</t>
  </si>
  <si>
    <t>Status</t>
  </si>
  <si>
    <t>Não iniciado</t>
  </si>
  <si>
    <t>Em andamento</t>
  </si>
  <si>
    <t>MEG</t>
  </si>
  <si>
    <t>SIMON</t>
  </si>
  <si>
    <t>Produção</t>
  </si>
  <si>
    <t>MTM detalhada por máquina e tipo de troca de tela</t>
  </si>
  <si>
    <t>Concluído</t>
  </si>
  <si>
    <t>Sequencia</t>
  </si>
  <si>
    <t>Realizar análise de tempo de regulagem</t>
  </si>
  <si>
    <t>Criar tabela de gestão de Setup hora a hora</t>
  </si>
  <si>
    <t>Incluir no SIMON apoio de reguladores</t>
  </si>
  <si>
    <t>Criar célula de reguladores de tela</t>
  </si>
  <si>
    <t>Adquirir rádio de comunicação</t>
  </si>
  <si>
    <t>Desenvolver BI para TV no TEGAD</t>
  </si>
  <si>
    <t>Criar acompanhamento de tempos no SIMON</t>
  </si>
  <si>
    <t>PPCP / TI</t>
  </si>
  <si>
    <t>Incluir informações de quantidade de telas no TOTVS e Preactor</t>
  </si>
  <si>
    <t>Parametrizar sistemas com cadastro e apontamento das quantidades de telas por ordem/máquina</t>
  </si>
  <si>
    <t>Melhorar acuracidade das informações, apoiar planejamento e antecipação de setup</t>
  </si>
  <si>
    <t>19/06</t>
  </si>
  <si>
    <t>C JUL</t>
  </si>
  <si>
    <t>L JUL</t>
  </si>
  <si>
    <t>BP028</t>
  </si>
  <si>
    <t>BP854</t>
  </si>
  <si>
    <t>BD533</t>
  </si>
  <si>
    <t>FREE III SLIDE</t>
  </si>
  <si>
    <t>O que</t>
  </si>
  <si>
    <t>Como</t>
  </si>
  <si>
    <t>Por que</t>
  </si>
  <si>
    <t>CD641</t>
  </si>
  <si>
    <t>CD642</t>
  </si>
  <si>
    <t>CD734</t>
  </si>
  <si>
    <t>CD735</t>
  </si>
  <si>
    <t>CC151</t>
  </si>
  <si>
    <t>CC153</t>
  </si>
  <si>
    <t>BM739</t>
  </si>
  <si>
    <t>BM740</t>
  </si>
  <si>
    <t>BM741</t>
  </si>
  <si>
    <t>BM742</t>
  </si>
  <si>
    <t>BM743</t>
  </si>
  <si>
    <t>BS863</t>
  </si>
  <si>
    <t>CB893</t>
  </si>
  <si>
    <t>CB894</t>
  </si>
  <si>
    <t>CB897</t>
  </si>
  <si>
    <t>CB898</t>
  </si>
  <si>
    <t>CB899</t>
  </si>
  <si>
    <t>CD115</t>
  </si>
  <si>
    <t>CD116</t>
  </si>
  <si>
    <t>CC320</t>
  </si>
  <si>
    <t>CC322</t>
  </si>
  <si>
    <t>CC323</t>
  </si>
  <si>
    <t>CC325</t>
  </si>
  <si>
    <t>CC327</t>
  </si>
  <si>
    <t>CD039</t>
  </si>
  <si>
    <t>CD041</t>
  </si>
  <si>
    <t>CD042</t>
  </si>
  <si>
    <t>CD044</t>
  </si>
  <si>
    <t>CD046</t>
  </si>
  <si>
    <t>CD702</t>
  </si>
  <si>
    <t>CD704</t>
  </si>
  <si>
    <t>CD707</t>
  </si>
  <si>
    <t>CD708</t>
  </si>
  <si>
    <t>BZ757</t>
  </si>
  <si>
    <t>BZ758</t>
  </si>
  <si>
    <t>BZ764</t>
  </si>
  <si>
    <t>BX726</t>
  </si>
  <si>
    <t>BX727</t>
  </si>
  <si>
    <t>BX729</t>
  </si>
  <si>
    <t>BX731</t>
  </si>
  <si>
    <t>CG107</t>
  </si>
  <si>
    <t>CG108</t>
  </si>
  <si>
    <t>CG139</t>
  </si>
  <si>
    <t>CG147</t>
  </si>
  <si>
    <t>AZ612</t>
  </si>
  <si>
    <t>AZ625</t>
  </si>
  <si>
    <t>AZ627</t>
  </si>
  <si>
    <t>AZ628</t>
  </si>
  <si>
    <t>AZ629</t>
  </si>
  <si>
    <t>AZ630</t>
  </si>
  <si>
    <t>AZ632</t>
  </si>
  <si>
    <t>BF198</t>
  </si>
  <si>
    <t>BF200</t>
  </si>
  <si>
    <t>BF202</t>
  </si>
  <si>
    <t>BF203</t>
  </si>
  <si>
    <t>BF204</t>
  </si>
  <si>
    <t>BF205</t>
  </si>
  <si>
    <t>BJ065</t>
  </si>
  <si>
    <t>BJ067</t>
  </si>
  <si>
    <t>BJ068</t>
  </si>
  <si>
    <t>BJ070</t>
  </si>
  <si>
    <t>BJ071</t>
  </si>
  <si>
    <t>BH460</t>
  </si>
  <si>
    <t>BH461</t>
  </si>
  <si>
    <t>BH463</t>
  </si>
  <si>
    <t>BH468</t>
  </si>
  <si>
    <t>BI273</t>
  </si>
  <si>
    <t>BI852</t>
  </si>
  <si>
    <t>BM690</t>
  </si>
  <si>
    <t>BM691</t>
  </si>
  <si>
    <t>BM692</t>
  </si>
  <si>
    <t>BM695</t>
  </si>
  <si>
    <t>BM696</t>
  </si>
  <si>
    <t>BM698</t>
  </si>
  <si>
    <t>BF476</t>
  </si>
  <si>
    <t>BF477</t>
  </si>
  <si>
    <t>BF479</t>
  </si>
  <si>
    <t>BF480</t>
  </si>
  <si>
    <t>BF481</t>
  </si>
  <si>
    <t>BJ423</t>
  </si>
  <si>
    <t>BJ427</t>
  </si>
  <si>
    <t>BJ429</t>
  </si>
  <si>
    <t>BT088</t>
  </si>
  <si>
    <t>BT090</t>
  </si>
  <si>
    <t>BT091</t>
  </si>
  <si>
    <t>BT092</t>
  </si>
  <si>
    <t>BJ391</t>
  </si>
  <si>
    <t>BJ393</t>
  </si>
  <si>
    <t>BJ395</t>
  </si>
  <si>
    <t>BJ397</t>
  </si>
  <si>
    <t>BJ398</t>
  </si>
  <si>
    <t>BJ399</t>
  </si>
  <si>
    <t>BO001</t>
  </si>
  <si>
    <t>BO002</t>
  </si>
  <si>
    <t>BO003</t>
  </si>
  <si>
    <t>CC952</t>
  </si>
  <si>
    <t>CC955</t>
  </si>
  <si>
    <t>CC956</t>
  </si>
  <si>
    <t>CG101</t>
  </si>
  <si>
    <t>CG102</t>
  </si>
  <si>
    <t>BS214</t>
  </si>
  <si>
    <t>BS215</t>
  </si>
  <si>
    <t>BS216</t>
  </si>
  <si>
    <t>BS217</t>
  </si>
  <si>
    <t>BS220</t>
  </si>
  <si>
    <t>BS221</t>
  </si>
  <si>
    <t>BX295</t>
  </si>
  <si>
    <t>BY169</t>
  </si>
  <si>
    <t>BS295</t>
  </si>
  <si>
    <t>BS296</t>
  </si>
  <si>
    <t>BS297</t>
  </si>
  <si>
    <t>BS298</t>
  </si>
  <si>
    <t>BS302</t>
  </si>
  <si>
    <t>BS303</t>
  </si>
  <si>
    <t>BS809</t>
  </si>
  <si>
    <t>BX106</t>
  </si>
  <si>
    <t>BX107</t>
  </si>
  <si>
    <t>BY331</t>
  </si>
  <si>
    <t>CE848</t>
  </si>
  <si>
    <t>CE849</t>
  </si>
  <si>
    <t>CE851</t>
  </si>
  <si>
    <t>CG148</t>
  </si>
  <si>
    <t>CG149</t>
  </si>
  <si>
    <t>CG150</t>
  </si>
  <si>
    <t>CE804</t>
  </si>
  <si>
    <t>CE805</t>
  </si>
  <si>
    <t>CE806</t>
  </si>
  <si>
    <t>CE811</t>
  </si>
  <si>
    <t>CE812</t>
  </si>
  <si>
    <t>CE813</t>
  </si>
  <si>
    <t>CE791</t>
  </si>
  <si>
    <t>CE793</t>
  </si>
  <si>
    <t>CE794</t>
  </si>
  <si>
    <t>CE796</t>
  </si>
  <si>
    <t>CF427</t>
  </si>
  <si>
    <t>CB452</t>
  </si>
  <si>
    <t>CB453</t>
  </si>
  <si>
    <t>CC350</t>
  </si>
  <si>
    <t>CC351</t>
  </si>
  <si>
    <t>20835</t>
  </si>
  <si>
    <t>24463</t>
  </si>
  <si>
    <t>24515</t>
  </si>
  <si>
    <t>24683</t>
  </si>
  <si>
    <t>24695</t>
  </si>
  <si>
    <t>24808</t>
  </si>
  <si>
    <t>24897</t>
  </si>
  <si>
    <t>25833</t>
  </si>
  <si>
    <t>AB935</t>
  </si>
  <si>
    <t>AB936</t>
  </si>
  <si>
    <t>AB937</t>
  </si>
  <si>
    <t>AE959</t>
  </si>
  <si>
    <t>AQ529</t>
  </si>
  <si>
    <t>AQ531</t>
  </si>
  <si>
    <t>AQ696</t>
  </si>
  <si>
    <t>BB519</t>
  </si>
  <si>
    <t>BB520</t>
  </si>
  <si>
    <t>BB521</t>
  </si>
  <si>
    <t>BB522</t>
  </si>
  <si>
    <t>BK722</t>
  </si>
  <si>
    <t>BK723</t>
  </si>
  <si>
    <t>CB163</t>
  </si>
  <si>
    <t>CB165</t>
  </si>
  <si>
    <t>20827</t>
  </si>
  <si>
    <t>20862</t>
  </si>
  <si>
    <t>21242</t>
  </si>
  <si>
    <t>22590</t>
  </si>
  <si>
    <t>23998</t>
  </si>
  <si>
    <t>24191</t>
  </si>
  <si>
    <t>AB940</t>
  </si>
  <si>
    <t>AB942</t>
  </si>
  <si>
    <t>AB944</t>
  </si>
  <si>
    <t>AB945</t>
  </si>
  <si>
    <t>AB946</t>
  </si>
  <si>
    <t>AQ693</t>
  </si>
  <si>
    <t>AQ694</t>
  </si>
  <si>
    <t>AQ697</t>
  </si>
  <si>
    <t>AQ698</t>
  </si>
  <si>
    <t>BB509</t>
  </si>
  <si>
    <t>BB512</t>
  </si>
  <si>
    <t>BB513</t>
  </si>
  <si>
    <t>BK807</t>
  </si>
  <si>
    <t>BK808</t>
  </si>
  <si>
    <t>BK809</t>
  </si>
  <si>
    <t>CA496</t>
  </si>
  <si>
    <t>CA497</t>
  </si>
  <si>
    <t>20534</t>
  </si>
  <si>
    <t>21775</t>
  </si>
  <si>
    <t>24785</t>
  </si>
  <si>
    <t>AC238</t>
  </si>
  <si>
    <t>AC239</t>
  </si>
  <si>
    <t>AC240</t>
  </si>
  <si>
    <t>AC244</t>
  </si>
  <si>
    <t>AQ679</t>
  </si>
  <si>
    <t>AQ680</t>
  </si>
  <si>
    <t>AQ682</t>
  </si>
  <si>
    <t>BB411</t>
  </si>
  <si>
    <t>BB412</t>
  </si>
  <si>
    <t>BC659</t>
  </si>
  <si>
    <t>BL749</t>
  </si>
  <si>
    <t>BL750</t>
  </si>
  <si>
    <t>CB067</t>
  </si>
  <si>
    <t>CB069</t>
  </si>
  <si>
    <t>20168</t>
  </si>
  <si>
    <t>20484</t>
  </si>
  <si>
    <t>20815</t>
  </si>
  <si>
    <t>21712</t>
  </si>
  <si>
    <t>21789</t>
  </si>
  <si>
    <t>23078</t>
  </si>
  <si>
    <t>BT818</t>
  </si>
  <si>
    <t>24143</t>
  </si>
  <si>
    <t>24336</t>
  </si>
  <si>
    <t>24369</t>
  </si>
  <si>
    <t>AB926</t>
  </si>
  <si>
    <t>AB927</t>
  </si>
  <si>
    <t>AQ567</t>
  </si>
  <si>
    <t>AQ569</t>
  </si>
  <si>
    <t>BB478</t>
  </si>
  <si>
    <t>BK714</t>
  </si>
  <si>
    <t>CA618</t>
  </si>
  <si>
    <t>CA619</t>
  </si>
  <si>
    <t>CA621</t>
  </si>
  <si>
    <t>25988</t>
  </si>
  <si>
    <t>AJ326</t>
  </si>
  <si>
    <t>AJ327</t>
  </si>
  <si>
    <t>AJ329</t>
  </si>
  <si>
    <t>AJ330</t>
  </si>
  <si>
    <t>AS297</t>
  </si>
  <si>
    <t>AS298</t>
  </si>
  <si>
    <t>AT394</t>
  </si>
  <si>
    <t>BD841</t>
  </si>
  <si>
    <t>BD842</t>
  </si>
  <si>
    <t>BD844</t>
  </si>
  <si>
    <t>BD846</t>
  </si>
  <si>
    <t>BO286</t>
  </si>
  <si>
    <t>BO288</t>
  </si>
  <si>
    <t>BO289</t>
  </si>
  <si>
    <t>BO290</t>
  </si>
  <si>
    <t>BZ874</t>
  </si>
  <si>
    <t>BZ877</t>
  </si>
  <si>
    <t>BZ878</t>
  </si>
  <si>
    <t>23995</t>
  </si>
  <si>
    <t>24441</t>
  </si>
  <si>
    <t>AF878</t>
  </si>
  <si>
    <t>AF879</t>
  </si>
  <si>
    <t>AM209</t>
  </si>
  <si>
    <t>AM210</t>
  </si>
  <si>
    <t>AM211</t>
  </si>
  <si>
    <t>AM212</t>
  </si>
  <si>
    <t>AX667</t>
  </si>
  <si>
    <t>AX668</t>
  </si>
  <si>
    <t>AX669</t>
  </si>
  <si>
    <t>BI720</t>
  </si>
  <si>
    <t>BI721</t>
  </si>
  <si>
    <t>BI722</t>
  </si>
  <si>
    <t>BR926</t>
  </si>
  <si>
    <t>BR928</t>
  </si>
  <si>
    <t>BR929</t>
  </si>
  <si>
    <t>AX038</t>
  </si>
  <si>
    <t>AX039</t>
  </si>
  <si>
    <t>AX040</t>
  </si>
  <si>
    <t>AX041</t>
  </si>
  <si>
    <t>AX043</t>
  </si>
  <si>
    <t>AX045</t>
  </si>
  <si>
    <t>BK856</t>
  </si>
  <si>
    <t>BK857</t>
  </si>
  <si>
    <t>BK858</t>
  </si>
  <si>
    <t>CB054</t>
  </si>
  <si>
    <t>CB056</t>
  </si>
  <si>
    <t>BD530</t>
  </si>
  <si>
    <t>BD531</t>
  </si>
  <si>
    <t>BD534</t>
  </si>
  <si>
    <t>BD535</t>
  </si>
  <si>
    <t>BD536</t>
  </si>
  <si>
    <t>BD537</t>
  </si>
  <si>
    <t>BF245</t>
  </si>
  <si>
    <t>AY823</t>
  </si>
  <si>
    <t>AY824</t>
  </si>
  <si>
    <t>AY825</t>
  </si>
  <si>
    <t>AY826</t>
  </si>
  <si>
    <t>BK745</t>
  </si>
  <si>
    <t>BK747</t>
  </si>
  <si>
    <t>BL901</t>
  </si>
  <si>
    <t>BL902</t>
  </si>
  <si>
    <t>BP017</t>
  </si>
  <si>
    <t>BP018</t>
  </si>
  <si>
    <t>BP019</t>
  </si>
  <si>
    <t>BP021</t>
  </si>
  <si>
    <t>BP023</t>
  </si>
  <si>
    <t>BP024</t>
  </si>
  <si>
    <t>BP026</t>
  </si>
  <si>
    <t>BQ469</t>
  </si>
  <si>
    <t>BQ470</t>
  </si>
  <si>
    <t>BQ471</t>
  </si>
  <si>
    <t>BQ472</t>
  </si>
  <si>
    <t>BQ473</t>
  </si>
  <si>
    <t>BQ474</t>
  </si>
  <si>
    <t>BQ475</t>
  </si>
  <si>
    <t>BQ476</t>
  </si>
  <si>
    <t>BQ477</t>
  </si>
  <si>
    <t>BQ478</t>
  </si>
  <si>
    <t>BO005</t>
  </si>
  <si>
    <t>BO007</t>
  </si>
  <si>
    <t>BO008</t>
  </si>
  <si>
    <t>BO011</t>
  </si>
  <si>
    <t>BP286</t>
  </si>
  <si>
    <t>BP287</t>
  </si>
  <si>
    <t>BO562</t>
  </si>
  <si>
    <t>BO564</t>
  </si>
  <si>
    <t>BO565</t>
  </si>
  <si>
    <t>BO566</t>
  </si>
  <si>
    <t>BO567</t>
  </si>
  <si>
    <t>BO569</t>
  </si>
  <si>
    <t>BO082</t>
  </si>
  <si>
    <t>BO083</t>
  </si>
  <si>
    <t>BO084</t>
  </si>
  <si>
    <t>BO086</t>
  </si>
  <si>
    <t>BO087</t>
  </si>
  <si>
    <t>BO088</t>
  </si>
  <si>
    <t>SHINE SLIDE</t>
  </si>
  <si>
    <t>24/06</t>
  </si>
  <si>
    <t>BRANCO/ROSA</t>
  </si>
  <si>
    <t>PRETO/PRETO GLI</t>
  </si>
  <si>
    <t>LILAS/ROSA</t>
  </si>
  <si>
    <t>PRETO FLOR</t>
  </si>
  <si>
    <t>AZUL/AZUL/BRANC</t>
  </si>
  <si>
    <t>CINZA/VERMELHO/</t>
  </si>
  <si>
    <t>RIDER R1 BRASI</t>
  </si>
  <si>
    <t>VERDE/PRETO</t>
  </si>
  <si>
    <t>Data</t>
  </si>
  <si>
    <t>CABIDE DEDO EX</t>
  </si>
  <si>
    <t>PRETO GRENDHA</t>
  </si>
  <si>
    <t>PPD 2,P</t>
  </si>
  <si>
    <t>941707*</t>
  </si>
  <si>
    <t>ESTO</t>
  </si>
  <si>
    <t>15/07</t>
  </si>
  <si>
    <t>CLASSICA MASC</t>
  </si>
  <si>
    <t>GRAFITE/VERMELH</t>
  </si>
  <si>
    <t>AZUL</t>
  </si>
  <si>
    <t>941407*</t>
  </si>
  <si>
    <t>AZUL/BRANCO</t>
  </si>
  <si>
    <t>CC573</t>
  </si>
  <si>
    <t>CINZA/PRETO</t>
  </si>
  <si>
    <t>CD207</t>
  </si>
  <si>
    <t>942207*</t>
  </si>
  <si>
    <t>BRANCO/BRANCO</t>
  </si>
  <si>
    <t>PRETO/PRETO</t>
  </si>
  <si>
    <t>14/07</t>
  </si>
  <si>
    <t>41.42</t>
  </si>
  <si>
    <t>26/06</t>
  </si>
  <si>
    <t>ROSA/ROSA METAL</t>
  </si>
  <si>
    <t>LILAS/LILAS</t>
  </si>
  <si>
    <t>BEGE/OURO</t>
  </si>
  <si>
    <t>ANAT COLORS FE</t>
  </si>
  <si>
    <t>CLASSICA FEM</t>
  </si>
  <si>
    <t>CC353</t>
  </si>
  <si>
    <t>MARROM/ROSA MET</t>
  </si>
  <si>
    <t>BP039</t>
  </si>
  <si>
    <t>VERMELHO/PEROLA</t>
  </si>
  <si>
    <t>CC354</t>
  </si>
  <si>
    <t>VERMELHO/VERMEL</t>
  </si>
  <si>
    <t>ANATOMICA TAN</t>
  </si>
  <si>
    <t>AG184</t>
  </si>
  <si>
    <t>TROPICAL III D</t>
  </si>
  <si>
    <t>CD992</t>
  </si>
  <si>
    <t>CD985</t>
  </si>
  <si>
    <t>VERDE/VERDE</t>
  </si>
  <si>
    <t>EDGE JOY</t>
  </si>
  <si>
    <t>AZUL/ROSA</t>
  </si>
  <si>
    <t>BEGE/PRETO</t>
  </si>
  <si>
    <t>FANTASIA INF</t>
  </si>
  <si>
    <t>CF026</t>
  </si>
  <si>
    <t>BEGE/BEGE/COBRE</t>
  </si>
  <si>
    <t>EDGE GLITTER</t>
  </si>
  <si>
    <t>MARROM/GLITTER/</t>
  </si>
  <si>
    <t>CD257</t>
  </si>
  <si>
    <t>BEGE/BRONZE GLI</t>
  </si>
  <si>
    <t>DAY FEM</t>
  </si>
  <si>
    <t>ROSA/VERMELHO/R</t>
  </si>
  <si>
    <t>BEGE/ROSA/BEGE</t>
  </si>
  <si>
    <t>AZUL/AZUL/AMARE</t>
  </si>
  <si>
    <t>MARROM/MARROM/R</t>
  </si>
  <si>
    <t>VERDE/VERDE/AMA</t>
  </si>
  <si>
    <t>HAPPY FEM AD</t>
  </si>
  <si>
    <t>CORE DEDO AD</t>
  </si>
  <si>
    <t>BZ138</t>
  </si>
  <si>
    <t>ESSENCIAL</t>
  </si>
  <si>
    <t>CH033</t>
  </si>
  <si>
    <t>OFF WHITE/OFF W</t>
  </si>
  <si>
    <t>PRINT IV FEM</t>
  </si>
  <si>
    <t>GLITTER AD</t>
  </si>
  <si>
    <t>LILAS/LILAS GLI</t>
  </si>
  <si>
    <t>SOLAR</t>
  </si>
  <si>
    <t>BEGE/BEGE</t>
  </si>
  <si>
    <t>JOLIE AMORES I</t>
  </si>
  <si>
    <t>27.28</t>
  </si>
  <si>
    <t>ASG</t>
  </si>
  <si>
    <t>POLLY E MAX ST</t>
  </si>
  <si>
    <t>BW742</t>
  </si>
  <si>
    <t>AZUL/PRETO/VERD</t>
  </si>
  <si>
    <t>PRETO/CINZA</t>
  </si>
  <si>
    <t>BEGE/BEGE/ROSA</t>
  </si>
  <si>
    <t>TEMAS INFANTIL</t>
  </si>
  <si>
    <t>HOT WHEELS GO</t>
  </si>
  <si>
    <t>SHINE INF</t>
  </si>
  <si>
    <t>ROSA PETALA/ROS</t>
  </si>
  <si>
    <t>OFF WHITE/ROSA</t>
  </si>
  <si>
    <t>MARROM MOCCA/RO</t>
  </si>
  <si>
    <t>SHINE UP</t>
  </si>
  <si>
    <t>CE722</t>
  </si>
  <si>
    <t>MARROM/MANTEIGA</t>
  </si>
  <si>
    <t>CE727</t>
  </si>
  <si>
    <t>TERRACOTA OXIDA</t>
  </si>
  <si>
    <t>30/06</t>
  </si>
  <si>
    <t>SHINE PIN</t>
  </si>
  <si>
    <t>SHINE UP SAND</t>
  </si>
  <si>
    <t>ROMANCE INF</t>
  </si>
  <si>
    <t>CE021</t>
  </si>
  <si>
    <t>CE022</t>
  </si>
  <si>
    <t>ROSA/OURO</t>
  </si>
  <si>
    <t>BRASIL LIGHT</t>
  </si>
  <si>
    <t>BR587</t>
  </si>
  <si>
    <t>AZUL/AZUL ESCUR</t>
  </si>
  <si>
    <t>BW677</t>
  </si>
  <si>
    <t>AZUL/BRANCO/VER</t>
  </si>
  <si>
    <t>BR586</t>
  </si>
  <si>
    <t>45.46</t>
  </si>
  <si>
    <t>BRASIL AD</t>
  </si>
  <si>
    <t>BEGE/BEGE/PRETO</t>
  </si>
  <si>
    <t>ANATOMICA LINE</t>
  </si>
  <si>
    <t>MARROM/MARROM G</t>
  </si>
  <si>
    <t>VERDE/PRATA GLI</t>
  </si>
  <si>
    <t>PRETO/PRETO/CIN</t>
  </si>
  <si>
    <t>AZUL/AZUL/VERDE</t>
  </si>
  <si>
    <t>ORLA FEM</t>
  </si>
  <si>
    <t>CC773</t>
  </si>
  <si>
    <t>MEU ENCANTO IN</t>
  </si>
  <si>
    <t>CC361</t>
  </si>
  <si>
    <t>PRETO/PRETO/ROS</t>
  </si>
  <si>
    <t>AZUL/BEGE/VERDE</t>
  </si>
  <si>
    <t>ATLANTA DEDO A</t>
  </si>
  <si>
    <t>PRETO/PRETO/CAS</t>
  </si>
  <si>
    <t>MARROM/MARROM</t>
  </si>
  <si>
    <t>AZUL/AZUL/BEGE</t>
  </si>
  <si>
    <t>SENSE LIGHT DE</t>
  </si>
  <si>
    <t>CC678</t>
  </si>
  <si>
    <t>AZUL/LARANJA</t>
  </si>
  <si>
    <t>PRETO/BEGE/LARA</t>
  </si>
  <si>
    <t>ANAT CONNECT I</t>
  </si>
  <si>
    <t>AR100</t>
  </si>
  <si>
    <t>PRETO/VIDRO SUB</t>
  </si>
  <si>
    <t>ATLANTA II DED</t>
  </si>
  <si>
    <t>CINZA/AZUL/BORD</t>
  </si>
  <si>
    <t>R1 BRASIL DEDO</t>
  </si>
  <si>
    <t>CB560</t>
  </si>
  <si>
    <t>LUGANO DEDO AD</t>
  </si>
  <si>
    <t>CF061</t>
  </si>
  <si>
    <t>MARROM/MARROM E</t>
  </si>
  <si>
    <t>CINZA/AZUL</t>
  </si>
  <si>
    <t>OFF WHITE CLARO</t>
  </si>
  <si>
    <t>PERU FEM</t>
  </si>
  <si>
    <t>CC480</t>
  </si>
  <si>
    <t>AZUL/ROSA/VERDE</t>
  </si>
  <si>
    <t>25/06</t>
  </si>
  <si>
    <t>SHINE SAND</t>
  </si>
  <si>
    <t>SHINE SAND INF</t>
  </si>
  <si>
    <t>CE834</t>
  </si>
  <si>
    <t>PRETO/ROSA</t>
  </si>
  <si>
    <t>CE833</t>
  </si>
  <si>
    <t>CE840</t>
  </si>
  <si>
    <t>MARROM PECAN/RO</t>
  </si>
  <si>
    <t>SHINE SAND TRE</t>
  </si>
  <si>
    <t>CE970</t>
  </si>
  <si>
    <t>VERDE OLIVA/VER</t>
  </si>
  <si>
    <t>ROSA CAMEO/ROSA</t>
  </si>
  <si>
    <t>AMOR EM FLOR R</t>
  </si>
  <si>
    <t>SHINE SLIDE TR</t>
  </si>
  <si>
    <t>CE921</t>
  </si>
  <si>
    <t>MARROM/MARROM/B</t>
  </si>
  <si>
    <t>S7s08</t>
  </si>
  <si>
    <t>PRECIOSA RAST</t>
  </si>
  <si>
    <t>PRETO DOURADO</t>
  </si>
  <si>
    <t>PRETO</t>
  </si>
  <si>
    <t>AMOR EM FLOR S</t>
  </si>
  <si>
    <t>BZ896</t>
  </si>
  <si>
    <t>PRETO/PAISLEY</t>
  </si>
  <si>
    <t>SHINE SAND BAB</t>
  </si>
  <si>
    <t>CE899</t>
  </si>
  <si>
    <t>PRETO/ROSA GLIT</t>
  </si>
  <si>
    <t>EXCLUSIVO J.AL</t>
  </si>
  <si>
    <t>CA187</t>
  </si>
  <si>
    <t>OURO SUAVE/GLIT</t>
  </si>
  <si>
    <t>SPARKLE GASPEA</t>
  </si>
  <si>
    <t>ROSA CLARO/ROSA</t>
  </si>
  <si>
    <t>PRINT X FEM</t>
  </si>
  <si>
    <t>NEW DASH GASPE</t>
  </si>
  <si>
    <t>CD323</t>
  </si>
  <si>
    <t>PRETO/VERMELHO</t>
  </si>
  <si>
    <t>DISNEY MAGIC S</t>
  </si>
  <si>
    <t>CE386</t>
  </si>
  <si>
    <t>CB450</t>
  </si>
  <si>
    <t>ATLANTA DEDO B</t>
  </si>
  <si>
    <t>CLASSIC BABY</t>
  </si>
  <si>
    <t>ROSA/ROSA/VERME</t>
  </si>
  <si>
    <t>MODERNINHA SAN</t>
  </si>
  <si>
    <t>CG317</t>
  </si>
  <si>
    <t>OFF WHITE MEDIO</t>
  </si>
  <si>
    <t>CG316</t>
  </si>
  <si>
    <t>ROSA SORVETE GL</t>
  </si>
  <si>
    <t>CG318</t>
  </si>
  <si>
    <t>ROSA MEDIO/ROSA</t>
  </si>
  <si>
    <t>DOLL SAND BABY</t>
  </si>
  <si>
    <t>CC613</t>
  </si>
  <si>
    <t>ROSA BEGONIA GL</t>
  </si>
  <si>
    <t>CC611</t>
  </si>
  <si>
    <t>ROSA MEDIO GLIT</t>
  </si>
  <si>
    <t>EASY PLUS SAND</t>
  </si>
  <si>
    <t>CORE DEDO BABY</t>
  </si>
  <si>
    <t>S7s18</t>
  </si>
  <si>
    <t>CC643</t>
  </si>
  <si>
    <t>LITTLE JOY SAN</t>
  </si>
  <si>
    <t>ROSA/VERMELHO</t>
  </si>
  <si>
    <t>BEGE/VERDE</t>
  </si>
  <si>
    <t>GLAM NEW SAND</t>
  </si>
  <si>
    <t>CD665</t>
  </si>
  <si>
    <t>OURO RICO</t>
  </si>
  <si>
    <t>S7P55</t>
  </si>
  <si>
    <t>2026/08</t>
  </si>
  <si>
    <t>BEGE/ROSA LEITO</t>
  </si>
  <si>
    <t>SOLA E TIRA CO</t>
  </si>
  <si>
    <t>16/07</t>
  </si>
  <si>
    <t>o,PPD 2</t>
  </si>
  <si>
    <t>BP045</t>
  </si>
  <si>
    <t>ROSA/BEGE</t>
  </si>
  <si>
    <t>BEGE/AZUL/VERME</t>
  </si>
  <si>
    <t>BRANCO/PRETO/LI</t>
  </si>
  <si>
    <t>CINZA/AZUL/BRAN</t>
  </si>
  <si>
    <t>MARROM/MARROM/A</t>
  </si>
  <si>
    <t>CINZA/PRETO/AZU</t>
  </si>
  <si>
    <t>PD 1</t>
  </si>
  <si>
    <t>AZUL CLARO/VERM</t>
  </si>
  <si>
    <t>PRETO/PTO GLIT.</t>
  </si>
  <si>
    <t>BG409</t>
  </si>
  <si>
    <t>TROPICAL PRO I</t>
  </si>
  <si>
    <t>GLOW UP</t>
  </si>
  <si>
    <t>OFF WHITE/COBRE</t>
  </si>
  <si>
    <t>CE719</t>
  </si>
  <si>
    <t>CE701</t>
  </si>
  <si>
    <t>CE658</t>
  </si>
  <si>
    <t>AZUL MARINHO/BE</t>
  </si>
  <si>
    <t>BORDO JAMBO/AZU</t>
  </si>
  <si>
    <t>R1 STYLE DEDO</t>
  </si>
  <si>
    <t>VERDE MEDIO/VER</t>
  </si>
  <si>
    <t>CINZA/PRETO/VER</t>
  </si>
  <si>
    <t>AZUL MEDIO/AZUL</t>
  </si>
  <si>
    <t>AZUL ESCURO/AZU</t>
  </si>
  <si>
    <t>TURMA DA MONIC</t>
  </si>
  <si>
    <t>BEGE/VERMELHO G</t>
  </si>
  <si>
    <t>BG958</t>
  </si>
  <si>
    <t>ROSA/ROSA/VERDE</t>
  </si>
  <si>
    <t>IPANEMA ANAT.</t>
  </si>
  <si>
    <t>BEGE/OURO/VERDE</t>
  </si>
  <si>
    <t>BEGE/MARROM/VER</t>
  </si>
  <si>
    <t>CORE GRAPHICS</t>
  </si>
  <si>
    <t>CC481</t>
  </si>
  <si>
    <t>ROSA ESCURO/ROS</t>
  </si>
  <si>
    <t>CE920</t>
  </si>
  <si>
    <t>AZUL LUA/LILAS</t>
  </si>
  <si>
    <t>CE922</t>
  </si>
  <si>
    <t>CE900</t>
  </si>
  <si>
    <t>CE901</t>
  </si>
  <si>
    <t>WAVE III DEDO</t>
  </si>
  <si>
    <t>BEGE/LARANJA/PR</t>
  </si>
  <si>
    <t>PRETO/BEGE/VERD</t>
  </si>
  <si>
    <t>BRASIL CORE FE</t>
  </si>
  <si>
    <t>BEGE/BEGE/AZUL</t>
  </si>
  <si>
    <t>BRANCO/AZUL/VER</t>
  </si>
  <si>
    <t>LADY SAND AD</t>
  </si>
  <si>
    <t>BEGE MEL</t>
  </si>
  <si>
    <t>BRILHO RAST AD</t>
  </si>
  <si>
    <t>OFF WHITE IRIDE</t>
  </si>
  <si>
    <t>ADVENTURE GASP</t>
  </si>
  <si>
    <t>PRETO/VERMELHO/</t>
  </si>
  <si>
    <t>CD573</t>
  </si>
  <si>
    <t>ROSA ESCURO/RIS</t>
  </si>
  <si>
    <t>FLIP AD</t>
  </si>
  <si>
    <t>PRETO/FLOR</t>
  </si>
  <si>
    <t>PRETO/COGUMELO</t>
  </si>
  <si>
    <t>R1 III BABY</t>
  </si>
  <si>
    <t>AZUL/PRETO/LARA</t>
  </si>
  <si>
    <t>BEGE/VERDE/AMAR</t>
  </si>
  <si>
    <t>CG319</t>
  </si>
  <si>
    <t>ROSA IOGURTE/NU</t>
  </si>
  <si>
    <t>CC259</t>
  </si>
  <si>
    <t>CD662</t>
  </si>
  <si>
    <t>CD667</t>
  </si>
  <si>
    <t>ROSE GLAMOUR</t>
  </si>
  <si>
    <t>N</t>
  </si>
  <si>
    <t>BRANCO/CINZA</t>
  </si>
  <si>
    <t>PRETO/LARANJA</t>
  </si>
  <si>
    <t>AZUL/AZ OPACO</t>
  </si>
  <si>
    <t>PD 1,Re</t>
  </si>
  <si>
    <t>17/07</t>
  </si>
  <si>
    <t>VERDE/ROSA</t>
  </si>
  <si>
    <t>PRETO/PRETO/VER</t>
  </si>
  <si>
    <t>CLASSICA HAPPY</t>
  </si>
  <si>
    <t>PRETO/DOURADO/R</t>
  </si>
  <si>
    <t>BEGE/OURO/ROSA</t>
  </si>
  <si>
    <t>PRETO/LARANJA/B</t>
  </si>
  <si>
    <t>BEGE/BEGE PEROL</t>
  </si>
  <si>
    <t>LILAS/LILAS/ROS</t>
  </si>
  <si>
    <t>ATLANTA DEDO I</t>
  </si>
  <si>
    <t>35.36</t>
  </si>
  <si>
    <t>CINZA/PRETO/LAR</t>
  </si>
  <si>
    <t>CH031</t>
  </si>
  <si>
    <t>CH032</t>
  </si>
  <si>
    <t>ROSA PUMP/ROSA</t>
  </si>
  <si>
    <t>BEGE/OURO GLIT.</t>
  </si>
  <si>
    <t>CD998</t>
  </si>
  <si>
    <t>PRETO/BRANCO/AZ</t>
  </si>
  <si>
    <t>ROSA/VERMELHO G</t>
  </si>
  <si>
    <t>PATRULHA CANIN</t>
  </si>
  <si>
    <t>CD947</t>
  </si>
  <si>
    <t>CINZA/VERDE</t>
  </si>
  <si>
    <t>SP79599</t>
  </si>
  <si>
    <t>SP7D599</t>
  </si>
  <si>
    <t>C AGO</t>
  </si>
  <si>
    <t>BEGE/OURO/MARRO</t>
  </si>
  <si>
    <t>ROSA BOREAL/VER</t>
  </si>
  <si>
    <t>SP7D92</t>
  </si>
  <si>
    <t>BS621</t>
  </si>
  <si>
    <t>CD950</t>
  </si>
  <si>
    <t>ROSA TULE/ROSA</t>
  </si>
  <si>
    <t>S7AP299</t>
  </si>
  <si>
    <t>CC363</t>
  </si>
  <si>
    <t>CC364</t>
  </si>
  <si>
    <t>S7AP399</t>
  </si>
  <si>
    <t>SENSE DEDO AD</t>
  </si>
  <si>
    <t>BRANCO/BRANCO/C</t>
  </si>
  <si>
    <t>S7D98</t>
  </si>
  <si>
    <t>GLOW UP SAND</t>
  </si>
  <si>
    <t>BX734</t>
  </si>
  <si>
    <t>CE020</t>
  </si>
  <si>
    <t>GLOW TRENDY SL</t>
  </si>
  <si>
    <t>PRETO/GLITTER/P</t>
  </si>
  <si>
    <t>BEGE/GLITTER/OU</t>
  </si>
  <si>
    <t>VERDE CHA/MARRO</t>
  </si>
  <si>
    <t>BRASIL BABY II</t>
  </si>
  <si>
    <t>ROSA/ROSA HAPPY</t>
  </si>
  <si>
    <t>AZUL/BEGE</t>
  </si>
  <si>
    <t>ANATOMICA BRAS</t>
  </si>
  <si>
    <t>BV708</t>
  </si>
  <si>
    <t>BEGE/BEGE/MARRO</t>
  </si>
  <si>
    <t>ARIZONA DEDO A</t>
  </si>
  <si>
    <t>BEGE/MARROM/BOR</t>
  </si>
  <si>
    <t>PRETO/BASALTO/A</t>
  </si>
  <si>
    <t>CB131</t>
  </si>
  <si>
    <t>BEGE/ROSA GLITT</t>
  </si>
  <si>
    <t>CB135</t>
  </si>
  <si>
    <t>AZUL/VERMELHO/A</t>
  </si>
  <si>
    <t>BG952</t>
  </si>
  <si>
    <t>ROSA/VERDE/ROSA</t>
  </si>
  <si>
    <t>CB129</t>
  </si>
  <si>
    <t>PRETO/PRETO/AZU</t>
  </si>
  <si>
    <t>CC772</t>
  </si>
  <si>
    <t>BRANCO/ROSA/VER</t>
  </si>
  <si>
    <t>CC774</t>
  </si>
  <si>
    <t>BR672</t>
  </si>
  <si>
    <t>PRETO/VERDE/BRA</t>
  </si>
  <si>
    <t>SOLAR SANDALIA</t>
  </si>
  <si>
    <t>MARROM/COBRE</t>
  </si>
  <si>
    <t>COSMIC SAND IN</t>
  </si>
  <si>
    <t>CC667</t>
  </si>
  <si>
    <t>PRETO/GLITTER</t>
  </si>
  <si>
    <t>PARIS III DEDO</t>
  </si>
  <si>
    <t>CG019</t>
  </si>
  <si>
    <t>CF060</t>
  </si>
  <si>
    <t>AZUL/PRETO/CINZ</t>
  </si>
  <si>
    <t>CF057</t>
  </si>
  <si>
    <t>PRETO/BEGE/ROXO</t>
  </si>
  <si>
    <t>VERDE/VERDE/ROS</t>
  </si>
  <si>
    <t>PRETO/TARTARUGA</t>
  </si>
  <si>
    <t>DIVERSA MAIS G</t>
  </si>
  <si>
    <t>HOY SLIDE</t>
  </si>
  <si>
    <t>S7MB819</t>
  </si>
  <si>
    <t>CC666</t>
  </si>
  <si>
    <t>S7P816</t>
  </si>
  <si>
    <t>23/06</t>
  </si>
  <si>
    <t>TROPICAL GRAPH</t>
  </si>
  <si>
    <t>VERDE/VERDE/BRA</t>
  </si>
  <si>
    <t>CE971</t>
  </si>
  <si>
    <t>CE923</t>
  </si>
  <si>
    <t>MANTEGA/OCRE</t>
  </si>
  <si>
    <t>AZUL CLARO/MARR</t>
  </si>
  <si>
    <t>VERDE MATE/VERD</t>
  </si>
  <si>
    <t>BEGE SABUGO/OUR</t>
  </si>
  <si>
    <t>CE905</t>
  </si>
  <si>
    <t>BEGE MELÃO/GLIT</t>
  </si>
  <si>
    <t>CE906</t>
  </si>
  <si>
    <t>S7S101</t>
  </si>
  <si>
    <t>FEEL DEDO BABY</t>
  </si>
  <si>
    <t>AZUL/AMARELO/CI</t>
  </si>
  <si>
    <t>BEGE/VERDE/PRET</t>
  </si>
  <si>
    <t>ANATOMICA SWEE</t>
  </si>
  <si>
    <t>ROSA/GLITTER/VE</t>
  </si>
  <si>
    <t>BEGE/GLITTER/VE</t>
  </si>
  <si>
    <t>S7S103</t>
  </si>
  <si>
    <t>TERROSO METALIZ</t>
  </si>
  <si>
    <t>S7S112</t>
  </si>
  <si>
    <t>CLASS EASY ON</t>
  </si>
  <si>
    <t>BD942</t>
  </si>
  <si>
    <t>PRETO/GLITTER/C</t>
  </si>
  <si>
    <t>BD943</t>
  </si>
  <si>
    <t>BN199</t>
  </si>
  <si>
    <t>BZ726</t>
  </si>
  <si>
    <t>ROSA/GLITTER</t>
  </si>
  <si>
    <t>BZ728</t>
  </si>
  <si>
    <t>CINZA/GLITTER</t>
  </si>
  <si>
    <t>AZUL/VERMELHO</t>
  </si>
  <si>
    <t>AZUL/ROSA GLITT</t>
  </si>
  <si>
    <t>S7S122</t>
  </si>
  <si>
    <t>DREAMER SLIDE</t>
  </si>
  <si>
    <t>BS740</t>
  </si>
  <si>
    <t>ONÇA/BEGE CASTO</t>
  </si>
  <si>
    <t>CD572</t>
  </si>
  <si>
    <t>CE542</t>
  </si>
  <si>
    <t>BABY</t>
  </si>
  <si>
    <t>CD940</t>
  </si>
  <si>
    <t>CD941</t>
  </si>
  <si>
    <t>CD942</t>
  </si>
  <si>
    <t>ROSA/BEGE GLITT</t>
  </si>
  <si>
    <t>BEGE/VERMELHO</t>
  </si>
  <si>
    <t>DISNEY LOVELY</t>
  </si>
  <si>
    <t>BEGE ESCURO/ROS</t>
  </si>
  <si>
    <t>AZUL/LILAS</t>
  </si>
  <si>
    <t>EASY SANDALIA</t>
  </si>
  <si>
    <t>START II SLIDE</t>
  </si>
  <si>
    <t>CB626</t>
  </si>
  <si>
    <t>ROSA/ROSA CLARO</t>
  </si>
  <si>
    <t>AZUL/VIDRO/ROSA</t>
  </si>
  <si>
    <t>CD669</t>
  </si>
  <si>
    <t>MARROM CAFE TRA</t>
  </si>
  <si>
    <t>S7S19</t>
  </si>
  <si>
    <t>GLOW SAND INF</t>
  </si>
  <si>
    <t>ROSA/DOURADO/RO</t>
  </si>
  <si>
    <t>S7S20</t>
  </si>
  <si>
    <t>SS7599</t>
  </si>
  <si>
    <t>CD329</t>
  </si>
  <si>
    <t>SS7699</t>
  </si>
  <si>
    <t>CD506</t>
  </si>
  <si>
    <t>BEGE/CASTOR/AMA</t>
  </si>
  <si>
    <t>CD511</t>
  </si>
  <si>
    <t>AZUL/VERDE/AZUL</t>
  </si>
  <si>
    <t>CD512</t>
  </si>
  <si>
    <t>CE614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</si>
</sst>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F400]h:mm:ss\ AM/PM"/>
    <numFmt numFmtId="165" formatCode="dd/mm;@"/>
    <numFmt numFmtId="166" formatCode="0&quot;, h&quot;"/>
    <numFmt numFmtId="167" formatCode="0;\ ;"/>
    <numFmt numFmtId="168" formatCode="&quot;Fixa&quot;\ #"/>
    <numFmt numFmtId="169" formatCode="General;\ ;"/>
    <numFmt numFmtId="170" formatCode="0\ &quot;seg.&quot;"/>
    <numFmt numFmtId="171" formatCode="0\ &quot;seg&quot;"/>
    <numFmt numFmtId="172" formatCode="d/m/yy;@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</font>
    <font>
      <sz val="10"/>
      <color rgb="FF000000"/>
      <name val="Segoe UI Semibold"/>
      <family val="2"/>
    </font>
    <font>
      <sz val="8"/>
      <name val="Calibri"/>
      <family val="2"/>
      <scheme val="minor"/>
    </font>
    <font>
      <b/>
      <sz val="24"/>
      <name val="Calibri"/>
      <family val="2"/>
    </font>
    <font>
      <b/>
      <sz val="16"/>
      <color rgb="FF0070C0"/>
      <name val="Calibri"/>
      <family val="2"/>
    </font>
    <font>
      <sz val="12"/>
      <color rgb="FF000000"/>
      <name val="Segoe UI Semibold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000000"/>
      <name val="Segoe UI"/>
      <family val="2"/>
    </font>
    <font>
      <sz val="16"/>
      <name val="Calibri"/>
      <family val="2"/>
    </font>
    <font>
      <b/>
      <sz val="11"/>
      <color rgb="FF000000"/>
      <name val="Segoe UI"/>
      <family val="2"/>
    </font>
    <font>
      <b/>
      <sz val="10"/>
      <color rgb="FF3CB371"/>
      <name val="Segoe UI"/>
      <family val="2"/>
    </font>
    <font>
      <sz val="11"/>
      <color theme="0"/>
      <name val="Segoe UI Semibold"/>
      <family val="2"/>
    </font>
    <font>
      <b/>
      <sz val="11"/>
      <color theme="0"/>
      <name val="Segoe UI Semibold"/>
      <family val="2"/>
    </font>
    <font>
      <b/>
      <sz val="9"/>
      <color theme="0"/>
      <name val="Calibri"/>
      <family val="2"/>
      <scheme val="minor"/>
    </font>
    <font>
      <b/>
      <sz val="9"/>
      <color theme="0"/>
      <name val="Calibri"/>
      <family val="2"/>
    </font>
    <font>
      <sz val="9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Segoe UI Semibold"/>
      <family val="2"/>
    </font>
    <font>
      <b/>
      <sz val="9"/>
      <name val="Calibri"/>
      <family val="2"/>
    </font>
    <font>
      <b/>
      <sz val="24"/>
      <color theme="0"/>
      <name val="Calibri"/>
      <family val="2"/>
      <scheme val="minor"/>
    </font>
    <font>
      <b/>
      <sz val="26"/>
      <color rgb="FF0070C0"/>
      <name val="Calibri"/>
      <family val="2"/>
    </font>
    <font>
      <b/>
      <sz val="11"/>
      <name val="Calibri"/>
      <family val="2"/>
    </font>
    <font>
      <b/>
      <sz val="9"/>
      <color rgb="FF000000"/>
      <name val="Segoe UI Semibold"/>
      <family val="2"/>
    </font>
    <font>
      <b/>
      <sz val="28"/>
      <color theme="4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sz val="8"/>
      <color rgb="FF000000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FEF6E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0DFF2"/>
        <bgColor rgb="FFD0DFF2"/>
      </patternFill>
    </fill>
    <fill>
      <patternFill patternType="solid">
        <fgColor rgb="FFFFA500"/>
        <bgColor rgb="FFFFA500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5F5F5"/>
        <bgColor indexed="64"/>
      </patternFill>
    </fill>
  </fills>
  <borders count="9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0C0C0"/>
      </left>
      <right style="thin">
        <color rgb="FFD3D3D3"/>
      </right>
      <top/>
      <bottom style="thin">
        <color rgb="FFC0C0C0"/>
      </bottom>
      <diagonal/>
    </border>
    <border>
      <left/>
      <right/>
      <top/>
      <bottom style="medium">
        <color rgb="FFC0C0C0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theme="1" tint="0.34998626667073579"/>
      </left>
      <right style="hair">
        <color theme="0" tint="-4.9989318521683403E-2"/>
      </right>
      <top/>
      <bottom style="hair">
        <color theme="0" tint="-4.9989318521683403E-2"/>
      </bottom>
      <diagonal/>
    </border>
    <border>
      <left style="hair">
        <color theme="0" tint="-4.9989318521683403E-2"/>
      </left>
      <right style="medium">
        <color theme="1" tint="0.34998626667073579"/>
      </right>
      <top/>
      <bottom style="hair">
        <color theme="0" tint="-4.9989318521683403E-2"/>
      </bottom>
      <diagonal/>
    </border>
    <border>
      <left style="medium">
        <color theme="2"/>
      </left>
      <right style="dotted">
        <color theme="2"/>
      </right>
      <top style="medium">
        <color theme="2"/>
      </top>
      <bottom style="dotted">
        <color theme="2"/>
      </bottom>
      <diagonal/>
    </border>
    <border>
      <left style="dotted">
        <color theme="2"/>
      </left>
      <right style="medium">
        <color theme="2"/>
      </right>
      <top style="medium">
        <color theme="2"/>
      </top>
      <bottom style="dotted">
        <color theme="2"/>
      </bottom>
      <diagonal/>
    </border>
    <border>
      <left style="medium">
        <color theme="2"/>
      </left>
      <right style="dotted">
        <color theme="2"/>
      </right>
      <top style="dotted">
        <color theme="2"/>
      </top>
      <bottom style="medium">
        <color theme="2"/>
      </bottom>
      <diagonal/>
    </border>
    <border>
      <left style="dotted">
        <color theme="2"/>
      </left>
      <right style="medium">
        <color theme="2"/>
      </right>
      <top style="dotted">
        <color theme="2"/>
      </top>
      <bottom style="medium">
        <color theme="2"/>
      </bottom>
      <diagonal/>
    </border>
    <border>
      <left style="medium">
        <color theme="2"/>
      </left>
      <right style="dotted">
        <color theme="2"/>
      </right>
      <top style="medium">
        <color theme="2"/>
      </top>
      <bottom/>
      <diagonal/>
    </border>
    <border>
      <left style="dotted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1"/>
      </left>
      <right style="dotted">
        <color theme="2"/>
      </right>
      <top style="medium">
        <color theme="1"/>
      </top>
      <bottom style="medium">
        <color theme="2"/>
      </bottom>
      <diagonal/>
    </border>
    <border>
      <left style="dotted">
        <color theme="2"/>
      </left>
      <right style="medium">
        <color theme="2"/>
      </right>
      <top style="medium">
        <color theme="1"/>
      </top>
      <bottom style="medium">
        <color theme="2"/>
      </bottom>
      <diagonal/>
    </border>
    <border>
      <left style="medium">
        <color theme="2"/>
      </left>
      <right style="dotted">
        <color theme="2"/>
      </right>
      <top style="medium">
        <color theme="1"/>
      </top>
      <bottom style="medium">
        <color theme="2"/>
      </bottom>
      <diagonal/>
    </border>
    <border>
      <left style="dotted">
        <color theme="2"/>
      </left>
      <right style="medium">
        <color theme="1"/>
      </right>
      <top style="medium">
        <color theme="1"/>
      </top>
      <bottom style="medium">
        <color theme="2"/>
      </bottom>
      <diagonal/>
    </border>
    <border>
      <left style="medium">
        <color theme="2"/>
      </left>
      <right style="dotted">
        <color theme="2"/>
      </right>
      <top style="dotted">
        <color theme="2"/>
      </top>
      <bottom/>
      <diagonal/>
    </border>
    <border>
      <left style="dotted">
        <color theme="2"/>
      </left>
      <right style="medium">
        <color theme="2"/>
      </right>
      <top style="dotted">
        <color theme="2"/>
      </top>
      <bottom/>
      <diagonal/>
    </border>
    <border>
      <left style="medium">
        <color theme="1" tint="0.34998626667073579"/>
      </left>
      <right style="hair">
        <color theme="0" tint="-4.9989318521683403E-2"/>
      </right>
      <top style="medium">
        <color theme="1"/>
      </top>
      <bottom style="hair">
        <color theme="0" tint="-4.9989318521683403E-2"/>
      </bottom>
      <diagonal/>
    </border>
    <border>
      <left style="hair">
        <color theme="0" tint="-4.9989318521683403E-2"/>
      </left>
      <right style="medium">
        <color theme="1" tint="0.34998626667073579"/>
      </right>
      <top style="medium">
        <color theme="1"/>
      </top>
      <bottom style="hair">
        <color theme="0" tint="-4.9989318521683403E-2"/>
      </bottom>
      <diagonal/>
    </border>
    <border>
      <left style="hair">
        <color theme="0" tint="-4.9989318521683403E-2"/>
      </left>
      <right style="medium">
        <color theme="1"/>
      </right>
      <top style="medium">
        <color theme="1"/>
      </top>
      <bottom style="hair">
        <color theme="0" tint="-4.9989318521683403E-2"/>
      </bottom>
      <diagonal/>
    </border>
    <border>
      <left style="medium">
        <color theme="1"/>
      </left>
      <right style="medium">
        <color theme="1"/>
      </right>
      <top/>
      <bottom style="thin">
        <color rgb="FFC0C0C0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rgb="FFD3D3D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dotted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dotted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4.9989318521683403E-2"/>
      </right>
      <top style="medium">
        <color theme="1"/>
      </top>
      <bottom/>
      <diagonal/>
    </border>
    <border>
      <left style="hair">
        <color theme="0" tint="-4.9989318521683403E-2"/>
      </left>
      <right/>
      <top style="medium">
        <color theme="1"/>
      </top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medium">
        <color theme="1"/>
      </left>
      <right style="hair">
        <color theme="0" tint="-4.9989318521683403E-2"/>
      </right>
      <top/>
      <bottom/>
      <diagonal/>
    </border>
    <border>
      <left style="hair">
        <color theme="0" tint="-4.9989318521683403E-2"/>
      </left>
      <right/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dotted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dotted">
        <color theme="1" tint="0.34998626667073579"/>
      </top>
      <bottom style="dotted">
        <color theme="1" tint="0.34998626667073579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rgb="FFC0C0C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dotted">
        <color theme="1" tint="0.34998626667073579"/>
      </bottom>
      <diagonal/>
    </border>
    <border>
      <left style="medium">
        <color theme="1" tint="0.34998626667073579"/>
      </left>
      <right/>
      <top style="dotted">
        <color theme="1" tint="0.34998626667073579"/>
      </top>
      <bottom style="dotted">
        <color theme="1" tint="0.34998626667073579"/>
      </bottom>
      <diagonal/>
    </border>
    <border>
      <left style="medium">
        <color theme="2"/>
      </left>
      <right style="dotted">
        <color theme="2"/>
      </right>
      <top/>
      <bottom style="dotted">
        <color theme="2"/>
      </bottom>
      <diagonal/>
    </border>
    <border>
      <left style="dotted">
        <color theme="2"/>
      </left>
      <right style="medium">
        <color theme="2"/>
      </right>
      <top/>
      <bottom style="dotted">
        <color theme="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hair">
        <color indexed="64"/>
      </left>
      <right/>
      <top/>
      <bottom style="medium">
        <color theme="2"/>
      </bottom>
      <diagonal/>
    </border>
    <border>
      <left/>
      <right/>
      <top/>
      <bottom style="medium">
        <color theme="2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theme="1" tint="0.499984740745262"/>
      </left>
      <right style="dotted">
        <color theme="1" tint="0.499984740745262"/>
      </right>
      <top style="medium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medium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 style="medium">
        <color theme="1" tint="0.499984740745262"/>
      </right>
      <top style="medium">
        <color theme="1" tint="0.499984740745262"/>
      </top>
      <bottom style="dotted">
        <color theme="1" tint="0.499984740745262"/>
      </bottom>
      <diagonal/>
    </border>
    <border>
      <left style="medium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 style="medium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medium">
        <color theme="1" tint="0.499984740745262"/>
      </left>
      <right style="dotted">
        <color theme="1" tint="0.499984740745262"/>
      </right>
      <top style="dotted">
        <color theme="1" tint="0.499984740745262"/>
      </top>
      <bottom style="medium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medium">
        <color theme="1" tint="0.499984740745262"/>
      </bottom>
      <diagonal/>
    </border>
    <border>
      <left style="dotted">
        <color theme="1" tint="0.499984740745262"/>
      </left>
      <right style="medium">
        <color theme="1" tint="0.499984740745262"/>
      </right>
      <top style="dotted">
        <color theme="1" tint="0.499984740745262"/>
      </top>
      <bottom style="medium">
        <color theme="1" tint="0.499984740745262"/>
      </bottom>
      <diagonal/>
    </border>
    <border>
      <left style="dotted">
        <color theme="1" tint="0.499984740745262"/>
      </left>
      <right/>
      <top style="medium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medium">
        <color theme="1" tint="0.499984740745262"/>
      </bottom>
      <diagonal/>
    </border>
  </borders>
  <cellStyleXfs count="2">
    <xf numFmtId="0" fontId="0" fillId="0" borderId="0"/>
    <xf numFmtId="0" fontId="8" fillId="0" borderId="0"/>
  </cellStyleXfs>
  <cellXfs count="245">
    <xf numFmtId="0" fontId="0" fillId="0" borderId="0" xfId="0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20" fontId="0" fillId="2" borderId="0" xfId="0" applyNumberFormat="1" applyFill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46" fontId="0" fillId="2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Continuous"/>
    </xf>
    <xf numFmtId="0" fontId="3" fillId="3" borderId="0" xfId="0" applyFont="1" applyFill="1" applyAlignment="1">
      <alignment horizontal="centerContinuous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Continuous"/>
    </xf>
    <xf numFmtId="20" fontId="2" fillId="3" borderId="0" xfId="0" applyNumberFormat="1" applyFont="1" applyFill="1" applyAlignment="1">
      <alignment horizontal="centerContinuous"/>
    </xf>
    <xf numFmtId="164" fontId="2" fillId="3" borderId="0" xfId="0" applyNumberFormat="1" applyFont="1" applyFill="1" applyAlignment="1">
      <alignment horizontal="centerContinuous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49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49" fontId="0" fillId="0" borderId="0" xfId="0" applyNumberFormat="1"/>
    <xf numFmtId="2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6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49" fontId="6" fillId="5" borderId="0" xfId="0" applyNumberFormat="1" applyFont="1" applyFill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49" fontId="5" fillId="5" borderId="1" xfId="0" applyNumberFormat="1" applyFont="1" applyFill="1" applyBorder="1" applyAlignment="1">
      <alignment horizontal="center"/>
    </xf>
    <xf numFmtId="164" fontId="5" fillId="5" borderId="1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1" fontId="7" fillId="5" borderId="0" xfId="0" applyNumberFormat="1" applyFont="1" applyFill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3" xfId="0" applyNumberForma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/>
    </xf>
    <xf numFmtId="49" fontId="1" fillId="2" borderId="0" xfId="0" applyNumberFormat="1" applyFont="1" applyFill="1" applyAlignment="1">
      <alignment horizontal="left" vertical="center"/>
    </xf>
    <xf numFmtId="49" fontId="6" fillId="5" borderId="0" xfId="0" applyNumberFormat="1" applyFont="1" applyFill="1" applyAlignment="1">
      <alignment horizontal="center" vertical="center" wrapText="1"/>
    </xf>
    <xf numFmtId="0" fontId="0" fillId="8" borderId="6" xfId="0" applyFill="1" applyBorder="1" applyAlignment="1">
      <alignment horizontal="center" vertical="center"/>
    </xf>
    <xf numFmtId="49" fontId="6" fillId="9" borderId="7" xfId="0" applyNumberFormat="1" applyFont="1" applyFill="1" applyBorder="1" applyAlignment="1">
      <alignment horizontal="center" vertical="center"/>
    </xf>
    <xf numFmtId="166" fontId="10" fillId="9" borderId="8" xfId="0" applyNumberFormat="1" applyFont="1" applyFill="1" applyBorder="1" applyAlignment="1">
      <alignment horizontal="center"/>
    </xf>
    <xf numFmtId="0" fontId="11" fillId="0" borderId="9" xfId="1" applyFont="1" applyBorder="1" applyAlignment="1">
      <alignment horizontal="center" vertical="top" wrapText="1" readingOrder="1"/>
    </xf>
    <xf numFmtId="0" fontId="0" fillId="0" borderId="7" xfId="0" applyBorder="1"/>
    <xf numFmtId="0" fontId="9" fillId="0" borderId="0" xfId="1" applyFont="1"/>
    <xf numFmtId="0" fontId="13" fillId="10" borderId="0" xfId="1" applyFont="1" applyFill="1" applyAlignment="1">
      <alignment horizontal="left" vertical="center"/>
    </xf>
    <xf numFmtId="0" fontId="9" fillId="10" borderId="0" xfId="1" applyFont="1" applyFill="1"/>
    <xf numFmtId="0" fontId="14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167" fontId="15" fillId="8" borderId="10" xfId="1" applyNumberFormat="1" applyFont="1" applyFill="1" applyBorder="1" applyAlignment="1">
      <alignment horizontal="center" vertical="top" wrapText="1" readingOrder="1"/>
    </xf>
    <xf numFmtId="168" fontId="15" fillId="11" borderId="11" xfId="1" applyNumberFormat="1" applyFont="1" applyFill="1" applyBorder="1" applyAlignment="1">
      <alignment horizontal="center" vertical="top" wrapText="1" readingOrder="1"/>
    </xf>
    <xf numFmtId="167" fontId="15" fillId="0" borderId="10" xfId="1" applyNumberFormat="1" applyFont="1" applyBorder="1" applyAlignment="1">
      <alignment horizontal="center" vertical="top" wrapText="1" readingOrder="1"/>
    </xf>
    <xf numFmtId="0" fontId="16" fillId="0" borderId="0" xfId="1" applyFont="1" applyAlignment="1">
      <alignment vertical="top" wrapText="1" readingOrder="1"/>
    </xf>
    <xf numFmtId="0" fontId="14" fillId="0" borderId="0" xfId="1" applyFont="1" applyAlignment="1">
      <alignment horizontal="center"/>
    </xf>
    <xf numFmtId="0" fontId="17" fillId="0" borderId="0" xfId="1" applyFont="1" applyAlignment="1">
      <alignment vertical="top" wrapText="1" readingOrder="1"/>
    </xf>
    <xf numFmtId="0" fontId="18" fillId="12" borderId="10" xfId="1" applyFont="1" applyFill="1" applyBorder="1" applyAlignment="1">
      <alignment vertical="top" wrapText="1" readingOrder="1"/>
    </xf>
    <xf numFmtId="0" fontId="19" fillId="12" borderId="10" xfId="1" applyFont="1" applyFill="1" applyBorder="1" applyAlignment="1">
      <alignment horizontal="center" vertical="top" wrapText="1" readingOrder="1"/>
    </xf>
    <xf numFmtId="0" fontId="20" fillId="0" borderId="0" xfId="1" applyFont="1"/>
    <xf numFmtId="0" fontId="16" fillId="13" borderId="12" xfId="1" applyFont="1" applyFill="1" applyBorder="1" applyAlignment="1">
      <alignment horizontal="right" vertical="top" wrapText="1" readingOrder="1"/>
    </xf>
    <xf numFmtId="169" fontId="11" fillId="0" borderId="10" xfId="1" applyNumberFormat="1" applyFont="1" applyBorder="1" applyAlignment="1">
      <alignment horizontal="center" vertical="top" wrapText="1" readingOrder="1"/>
    </xf>
    <xf numFmtId="0" fontId="21" fillId="0" borderId="10" xfId="1" applyFont="1" applyBorder="1" applyAlignment="1">
      <alignment horizontal="center" vertical="top" wrapText="1" readingOrder="1"/>
    </xf>
    <xf numFmtId="0" fontId="9" fillId="14" borderId="13" xfId="1" applyFont="1" applyFill="1" applyBorder="1" applyAlignment="1">
      <alignment vertical="top" wrapText="1"/>
    </xf>
    <xf numFmtId="0" fontId="16" fillId="12" borderId="10" xfId="1" applyFont="1" applyFill="1" applyBorder="1" applyAlignment="1">
      <alignment vertical="top" wrapText="1" readingOrder="1"/>
    </xf>
    <xf numFmtId="0" fontId="21" fillId="12" borderId="10" xfId="1" applyFont="1" applyFill="1" applyBorder="1" applyAlignment="1">
      <alignment horizontal="center" vertical="top" wrapText="1" readingOrder="1"/>
    </xf>
    <xf numFmtId="0" fontId="22" fillId="14" borderId="10" xfId="1" applyFont="1" applyFill="1" applyBorder="1" applyAlignment="1">
      <alignment horizontal="center" vertical="top" wrapText="1" readingOrder="1"/>
    </xf>
    <xf numFmtId="0" fontId="23" fillId="15" borderId="11" xfId="1" applyFont="1" applyFill="1" applyBorder="1" applyAlignment="1">
      <alignment horizontal="center" vertical="top" wrapText="1" readingOrder="1"/>
    </xf>
    <xf numFmtId="167" fontId="24" fillId="15" borderId="10" xfId="1" applyNumberFormat="1" applyFont="1" applyFill="1" applyBorder="1" applyAlignment="1">
      <alignment horizontal="center" vertical="top" wrapText="1" readingOrder="1"/>
    </xf>
    <xf numFmtId="0" fontId="11" fillId="10" borderId="9" xfId="1" applyFont="1" applyFill="1" applyBorder="1" applyAlignment="1">
      <alignment horizontal="center" vertical="top" wrapText="1" readingOrder="1"/>
    </xf>
    <xf numFmtId="169" fontId="11" fillId="16" borderId="10" xfId="1" applyNumberFormat="1" applyFont="1" applyFill="1" applyBorder="1" applyAlignment="1">
      <alignment horizontal="center" vertical="top" wrapText="1" readingOrder="1"/>
    </xf>
    <xf numFmtId="0" fontId="8" fillId="0" borderId="0" xfId="1"/>
    <xf numFmtId="49" fontId="25" fillId="9" borderId="7" xfId="0" applyNumberFormat="1" applyFont="1" applyFill="1" applyBorder="1" applyAlignment="1">
      <alignment horizontal="center" vertical="center"/>
    </xf>
    <xf numFmtId="166" fontId="26" fillId="9" borderId="8" xfId="0" applyNumberFormat="1" applyFont="1" applyFill="1" applyBorder="1" applyAlignment="1">
      <alignment horizontal="center"/>
    </xf>
    <xf numFmtId="0" fontId="27" fillId="0" borderId="0" xfId="1" applyFont="1"/>
    <xf numFmtId="0" fontId="28" fillId="8" borderId="7" xfId="0" applyFont="1" applyFill="1" applyBorder="1" applyAlignment="1">
      <alignment horizontal="center"/>
    </xf>
    <xf numFmtId="4" fontId="29" fillId="8" borderId="7" xfId="0" applyNumberFormat="1" applyFont="1" applyFill="1" applyBorder="1" applyAlignment="1">
      <alignment horizontal="center" vertical="center"/>
    </xf>
    <xf numFmtId="168" fontId="30" fillId="11" borderId="11" xfId="1" applyNumberFormat="1" applyFont="1" applyFill="1" applyBorder="1" applyAlignment="1">
      <alignment horizontal="center" vertical="top" wrapText="1" readingOrder="1"/>
    </xf>
    <xf numFmtId="4" fontId="28" fillId="0" borderId="0" xfId="0" applyNumberFormat="1" applyFont="1"/>
    <xf numFmtId="0" fontId="27" fillId="0" borderId="0" xfId="1" applyFont="1" applyAlignment="1">
      <alignment horizontal="center"/>
    </xf>
    <xf numFmtId="4" fontId="27" fillId="0" borderId="0" xfId="1" applyNumberFormat="1" applyFont="1"/>
    <xf numFmtId="0" fontId="31" fillId="0" borderId="0" xfId="1" applyFont="1" applyAlignment="1">
      <alignment horizontal="center" vertical="center"/>
    </xf>
    <xf numFmtId="0" fontId="18" fillId="12" borderId="13" xfId="1" applyFont="1" applyFill="1" applyBorder="1" applyAlignment="1">
      <alignment vertical="top" wrapText="1" readingOrder="1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166" fontId="10" fillId="9" borderId="21" xfId="0" applyNumberFormat="1" applyFont="1" applyFill="1" applyBorder="1" applyAlignment="1">
      <alignment horizontal="center"/>
    </xf>
    <xf numFmtId="166" fontId="10" fillId="9" borderId="22" xfId="0" applyNumberFormat="1" applyFont="1" applyFill="1" applyBorder="1" applyAlignment="1">
      <alignment horizontal="center"/>
    </xf>
    <xf numFmtId="166" fontId="10" fillId="9" borderId="25" xfId="0" applyNumberFormat="1" applyFont="1" applyFill="1" applyBorder="1" applyAlignment="1">
      <alignment horizontal="center"/>
    </xf>
    <xf numFmtId="166" fontId="10" fillId="9" borderId="26" xfId="0" applyNumberFormat="1" applyFont="1" applyFill="1" applyBorder="1" applyAlignment="1">
      <alignment horizontal="center"/>
    </xf>
    <xf numFmtId="166" fontId="10" fillId="9" borderId="27" xfId="0" applyNumberFormat="1" applyFont="1" applyFill="1" applyBorder="1" applyAlignment="1">
      <alignment horizontal="center"/>
    </xf>
    <xf numFmtId="166" fontId="10" fillId="9" borderId="28" xfId="0" applyNumberFormat="1" applyFont="1" applyFill="1" applyBorder="1" applyAlignment="1">
      <alignment horizontal="center"/>
    </xf>
    <xf numFmtId="166" fontId="10" fillId="9" borderId="29" xfId="0" applyNumberFormat="1" applyFont="1" applyFill="1" applyBorder="1" applyAlignment="1">
      <alignment horizontal="center"/>
    </xf>
    <xf numFmtId="166" fontId="10" fillId="9" borderId="30" xfId="0" applyNumberFormat="1" applyFont="1" applyFill="1" applyBorder="1" applyAlignment="1">
      <alignment horizont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/>
    </xf>
    <xf numFmtId="0" fontId="3" fillId="8" borderId="33" xfId="0" applyFont="1" applyFill="1" applyBorder="1" applyAlignment="1">
      <alignment horizontal="center" vertical="center"/>
    </xf>
    <xf numFmtId="0" fontId="11" fillId="0" borderId="34" xfId="1" applyFont="1" applyBorder="1" applyAlignment="1">
      <alignment horizontal="center" vertical="top" wrapText="1" readingOrder="1"/>
    </xf>
    <xf numFmtId="0" fontId="11" fillId="0" borderId="35" xfId="1" applyFont="1" applyBorder="1" applyAlignment="1">
      <alignment horizontal="center" vertical="top" wrapText="1" readingOrder="1"/>
    </xf>
    <xf numFmtId="0" fontId="19" fillId="12" borderId="36" xfId="1" applyFont="1" applyFill="1" applyBorder="1" applyAlignment="1">
      <alignment horizontal="center" vertical="top" wrapText="1" readingOrder="1"/>
    </xf>
    <xf numFmtId="0" fontId="6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33" fillId="0" borderId="0" xfId="1" applyFont="1" applyAlignment="1">
      <alignment horizontal="center"/>
    </xf>
    <xf numFmtId="49" fontId="25" fillId="9" borderId="37" xfId="0" applyNumberFormat="1" applyFont="1" applyFill="1" applyBorder="1" applyAlignment="1">
      <alignment horizontal="center" vertical="center"/>
    </xf>
    <xf numFmtId="168" fontId="30" fillId="11" borderId="42" xfId="1" applyNumberFormat="1" applyFont="1" applyFill="1" applyBorder="1" applyAlignment="1">
      <alignment horizontal="center" vertical="top" wrapText="1" readingOrder="1"/>
    </xf>
    <xf numFmtId="166" fontId="10" fillId="9" borderId="45" xfId="0" applyNumberFormat="1" applyFont="1" applyFill="1" applyBorder="1" applyAlignment="1">
      <alignment horizontal="center"/>
    </xf>
    <xf numFmtId="167" fontId="15" fillId="8" borderId="46" xfId="1" applyNumberFormat="1" applyFont="1" applyFill="1" applyBorder="1" applyAlignment="1">
      <alignment horizontal="center" vertical="top" wrapText="1" readingOrder="1"/>
    </xf>
    <xf numFmtId="168" fontId="30" fillId="11" borderId="39" xfId="1" applyNumberFormat="1" applyFont="1" applyFill="1" applyBorder="1" applyAlignment="1">
      <alignment horizontal="center" vertical="top" wrapText="1" readingOrder="1"/>
    </xf>
    <xf numFmtId="0" fontId="0" fillId="17" borderId="40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7" borderId="41" xfId="0" applyFill="1" applyBorder="1" applyAlignment="1">
      <alignment horizontal="center" vertical="center"/>
    </xf>
    <xf numFmtId="0" fontId="0" fillId="17" borderId="43" xfId="0" applyFill="1" applyBorder="1" applyAlignment="1">
      <alignment horizontal="center" vertical="center"/>
    </xf>
    <xf numFmtId="0" fontId="0" fillId="7" borderId="43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170" fontId="28" fillId="8" borderId="47" xfId="0" applyNumberFormat="1" applyFont="1" applyFill="1" applyBorder="1" applyAlignment="1">
      <alignment horizontal="center"/>
    </xf>
    <xf numFmtId="0" fontId="34" fillId="0" borderId="0" xfId="1" applyFont="1"/>
    <xf numFmtId="168" fontId="35" fillId="8" borderId="50" xfId="1" applyNumberFormat="1" applyFont="1" applyFill="1" applyBorder="1" applyAlignment="1">
      <alignment horizontal="center" vertical="center" wrapText="1" readingOrder="1"/>
    </xf>
    <xf numFmtId="0" fontId="3" fillId="8" borderId="51" xfId="0" applyFont="1" applyFill="1" applyBorder="1" applyAlignment="1">
      <alignment horizontal="center" vertical="center"/>
    </xf>
    <xf numFmtId="0" fontId="3" fillId="8" borderId="52" xfId="0" applyFont="1" applyFill="1" applyBorder="1" applyAlignment="1">
      <alignment horizontal="center" vertical="center"/>
    </xf>
    <xf numFmtId="20" fontId="9" fillId="0" borderId="0" xfId="0" applyNumberFormat="1" applyFont="1" applyAlignment="1">
      <alignment horizontal="center"/>
    </xf>
    <xf numFmtId="16" fontId="0" fillId="2" borderId="0" xfId="0" applyNumberFormat="1" applyFill="1" applyAlignment="1">
      <alignment horizontal="center" vertical="center"/>
    </xf>
    <xf numFmtId="0" fontId="3" fillId="8" borderId="53" xfId="0" applyFont="1" applyFill="1" applyBorder="1" applyAlignment="1">
      <alignment horizontal="center" vertical="center"/>
    </xf>
    <xf numFmtId="0" fontId="3" fillId="8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1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1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3" fillId="8" borderId="61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11" fillId="0" borderId="63" xfId="1" applyFont="1" applyBorder="1" applyAlignment="1">
      <alignment horizontal="center" vertical="top" wrapText="1" readingOrder="1"/>
    </xf>
    <xf numFmtId="0" fontId="11" fillId="0" borderId="64" xfId="1" applyFont="1" applyBorder="1" applyAlignment="1">
      <alignment horizontal="center" vertical="top" wrapText="1" readingOrder="1"/>
    </xf>
    <xf numFmtId="0" fontId="11" fillId="0" borderId="68" xfId="1" applyFont="1" applyBorder="1" applyAlignment="1">
      <alignment horizontal="center" vertical="top" wrapText="1" readingOrder="1"/>
    </xf>
    <xf numFmtId="0" fontId="11" fillId="0" borderId="69" xfId="1" applyFont="1" applyBorder="1" applyAlignment="1">
      <alignment horizontal="center" vertical="top" wrapText="1" readingOrder="1"/>
    </xf>
    <xf numFmtId="0" fontId="11" fillId="0" borderId="70" xfId="1" applyFont="1" applyBorder="1" applyAlignment="1">
      <alignment horizontal="center" vertical="top" wrapText="1" readingOrder="1"/>
    </xf>
    <xf numFmtId="168" fontId="30" fillId="11" borderId="39" xfId="1" applyNumberFormat="1" applyFont="1" applyFill="1" applyBorder="1" applyAlignment="1">
      <alignment horizontal="center" vertical="center" wrapText="1" readingOrder="1"/>
    </xf>
    <xf numFmtId="170" fontId="38" fillId="8" borderId="47" xfId="0" applyNumberFormat="1" applyFont="1" applyFill="1" applyBorder="1" applyAlignment="1">
      <alignment horizontal="center"/>
    </xf>
    <xf numFmtId="4" fontId="39" fillId="0" borderId="0" xfId="1" applyNumberFormat="1" applyFont="1"/>
    <xf numFmtId="0" fontId="39" fillId="0" borderId="0" xfId="1" applyFont="1"/>
    <xf numFmtId="4" fontId="20" fillId="0" borderId="0" xfId="1" applyNumberFormat="1" applyFont="1" applyAlignment="1">
      <alignment vertical="center"/>
    </xf>
    <xf numFmtId="0" fontId="20" fillId="0" borderId="0" xfId="1" applyFont="1" applyAlignment="1">
      <alignment vertical="center"/>
    </xf>
    <xf numFmtId="170" fontId="40" fillId="8" borderId="76" xfId="0" applyNumberFormat="1" applyFont="1" applyFill="1" applyBorder="1" applyAlignment="1">
      <alignment horizontal="center" vertical="center"/>
    </xf>
    <xf numFmtId="170" fontId="7" fillId="18" borderId="47" xfId="0" applyNumberFormat="1" applyFont="1" applyFill="1" applyBorder="1" applyAlignment="1">
      <alignment horizontal="center" vertical="center"/>
    </xf>
    <xf numFmtId="49" fontId="7" fillId="9" borderId="37" xfId="0" applyNumberFormat="1" applyFont="1" applyFill="1" applyBorder="1" applyAlignment="1">
      <alignment horizontal="center" vertical="center"/>
    </xf>
    <xf numFmtId="0" fontId="45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/>
    </xf>
    <xf numFmtId="0" fontId="6" fillId="5" borderId="82" xfId="0" applyFont="1" applyFill="1" applyBorder="1" applyAlignment="1">
      <alignment horizontal="center" vertical="center"/>
    </xf>
    <xf numFmtId="0" fontId="6" fillId="5" borderId="83" xfId="0" applyFont="1" applyFill="1" applyBorder="1" applyAlignment="1">
      <alignment horizontal="center" vertical="center"/>
    </xf>
    <xf numFmtId="171" fontId="0" fillId="0" borderId="0" xfId="0" applyNumberFormat="1"/>
    <xf numFmtId="4" fontId="0" fillId="0" borderId="40" xfId="0" applyNumberFormat="1" applyBorder="1" applyAlignment="1">
      <alignment horizontal="center" vertical="center"/>
    </xf>
    <xf numFmtId="0" fontId="42" fillId="19" borderId="0" xfId="0" applyFont="1" applyFill="1" applyAlignment="1">
      <alignment horizontal="center" vertical="center"/>
    </xf>
    <xf numFmtId="3" fontId="42" fillId="19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0" fontId="0" fillId="0" borderId="0" xfId="0" applyNumberFormat="1"/>
    <xf numFmtId="0" fontId="3" fillId="0" borderId="0" xfId="0" applyFont="1" applyAlignment="1">
      <alignment horizontal="center" vertical="center"/>
    </xf>
    <xf numFmtId="4" fontId="3" fillId="11" borderId="0" xfId="0" applyNumberFormat="1" applyFont="1" applyFill="1" applyAlignment="1">
      <alignment horizontal="center" vertical="center"/>
    </xf>
    <xf numFmtId="0" fontId="48" fillId="21" borderId="84" xfId="0" applyFont="1" applyFill="1" applyBorder="1" applyAlignment="1">
      <alignment horizontal="center" vertical="center"/>
    </xf>
    <xf numFmtId="0" fontId="48" fillId="21" borderId="85" xfId="0" applyFont="1" applyFill="1" applyBorder="1" applyAlignment="1">
      <alignment horizontal="center" vertical="center"/>
    </xf>
    <xf numFmtId="0" fontId="48" fillId="21" borderId="86" xfId="0" applyFont="1" applyFill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9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92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90" xfId="0" applyFont="1" applyBorder="1" applyAlignment="1">
      <alignment horizontal="center" vertical="center"/>
    </xf>
    <xf numFmtId="0" fontId="47" fillId="0" borderId="88" xfId="0" applyFont="1" applyBorder="1" applyAlignment="1">
      <alignment vertical="center" wrapText="1"/>
    </xf>
    <xf numFmtId="0" fontId="47" fillId="0" borderId="91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48" fillId="21" borderId="93" xfId="0" applyFont="1" applyFill="1" applyBorder="1" applyAlignment="1">
      <alignment horizontal="center" vertical="center"/>
    </xf>
    <xf numFmtId="172" fontId="47" fillId="0" borderId="94" xfId="0" applyNumberFormat="1" applyFont="1" applyBorder="1" applyAlignment="1">
      <alignment horizontal="center" vertical="center"/>
    </xf>
    <xf numFmtId="172" fontId="47" fillId="0" borderId="95" xfId="0" applyNumberFormat="1" applyFont="1" applyBorder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20" fontId="9" fillId="0" borderId="0" xfId="0" applyNumberFormat="1" applyFont="1" applyAlignment="1">
      <alignment horizontal="center"/>
    </xf>
    <xf numFmtId="2" fontId="10" fillId="9" borderId="14" xfId="0" applyNumberFormat="1" applyFont="1" applyFill="1" applyBorder="1" applyAlignment="1">
      <alignment horizontal="center"/>
    </xf>
    <xf numFmtId="2" fontId="10" fillId="9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horizontal="center"/>
    </xf>
    <xf numFmtId="166" fontId="10" fillId="9" borderId="19" xfId="0" applyNumberFormat="1" applyFont="1" applyFill="1" applyBorder="1" applyAlignment="1">
      <alignment horizontal="center" vertical="center"/>
    </xf>
    <xf numFmtId="166" fontId="10" fillId="9" borderId="20" xfId="0" applyNumberFormat="1" applyFont="1" applyFill="1" applyBorder="1" applyAlignment="1">
      <alignment horizontal="center" vertical="center"/>
    </xf>
    <xf numFmtId="4" fontId="3" fillId="8" borderId="48" xfId="0" applyNumberFormat="1" applyFont="1" applyFill="1" applyBorder="1" applyAlignment="1">
      <alignment horizontal="center" vertical="center"/>
    </xf>
    <xf numFmtId="4" fontId="3" fillId="8" borderId="49" xfId="0" applyNumberFormat="1" applyFont="1" applyFill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2" fontId="44" fillId="9" borderId="38" xfId="0" applyNumberFormat="1" applyFont="1" applyFill="1" applyBorder="1" applyAlignment="1">
      <alignment horizontal="center"/>
    </xf>
    <xf numFmtId="2" fontId="44" fillId="9" borderId="0" xfId="0" applyNumberFormat="1" applyFont="1" applyFill="1" applyAlignment="1">
      <alignment horizontal="center"/>
    </xf>
    <xf numFmtId="166" fontId="10" fillId="9" borderId="23" xfId="0" applyNumberFormat="1" applyFont="1" applyFill="1" applyBorder="1" applyAlignment="1">
      <alignment horizontal="center"/>
    </xf>
    <xf numFmtId="166" fontId="10" fillId="9" borderId="24" xfId="0" applyNumberFormat="1" applyFont="1" applyFill="1" applyBorder="1" applyAlignment="1">
      <alignment horizontal="center"/>
    </xf>
    <xf numFmtId="166" fontId="10" fillId="9" borderId="23" xfId="0" applyNumberFormat="1" applyFont="1" applyFill="1" applyBorder="1" applyAlignment="1">
      <alignment horizontal="center" vertical="center"/>
    </xf>
    <xf numFmtId="166" fontId="10" fillId="9" borderId="24" xfId="0" applyNumberFormat="1" applyFont="1" applyFill="1" applyBorder="1" applyAlignment="1">
      <alignment horizontal="center" vertical="center"/>
    </xf>
    <xf numFmtId="49" fontId="32" fillId="9" borderId="16" xfId="0" applyNumberFormat="1" applyFont="1" applyFill="1" applyBorder="1" applyAlignment="1">
      <alignment horizontal="center" vertical="center"/>
    </xf>
    <xf numFmtId="49" fontId="32" fillId="9" borderId="0" xfId="0" applyNumberFormat="1" applyFont="1" applyFill="1" applyAlignment="1">
      <alignment horizontal="center" vertical="center"/>
    </xf>
    <xf numFmtId="166" fontId="10" fillId="9" borderId="65" xfId="0" applyNumberFormat="1" applyFont="1" applyFill="1" applyBorder="1" applyAlignment="1">
      <alignment horizontal="center"/>
    </xf>
    <xf numFmtId="166" fontId="10" fillId="9" borderId="65" xfId="0" applyNumberFormat="1" applyFont="1" applyFill="1" applyBorder="1" applyAlignment="1">
      <alignment horizontal="center" vertical="center"/>
    </xf>
    <xf numFmtId="166" fontId="26" fillId="9" borderId="65" xfId="0" applyNumberFormat="1" applyFont="1" applyFill="1" applyBorder="1" applyAlignment="1">
      <alignment horizontal="center" vertical="center"/>
    </xf>
    <xf numFmtId="4" fontId="3" fillId="8" borderId="66" xfId="0" applyNumberFormat="1" applyFont="1" applyFill="1" applyBorder="1" applyAlignment="1">
      <alignment horizontal="center" vertical="center"/>
    </xf>
    <xf numFmtId="4" fontId="3" fillId="8" borderId="67" xfId="0" applyNumberFormat="1" applyFont="1" applyFill="1" applyBorder="1" applyAlignment="1">
      <alignment horizontal="center" vertical="center"/>
    </xf>
    <xf numFmtId="166" fontId="10" fillId="9" borderId="19" xfId="0" applyNumberFormat="1" applyFont="1" applyFill="1" applyBorder="1" applyAlignment="1">
      <alignment horizontal="center"/>
    </xf>
    <xf numFmtId="166" fontId="10" fillId="9" borderId="20" xfId="0" applyNumberFormat="1" applyFont="1" applyFill="1" applyBorder="1" applyAlignment="1">
      <alignment horizontal="center"/>
    </xf>
    <xf numFmtId="2" fontId="10" fillId="9" borderId="38" xfId="0" applyNumberFormat="1" applyFont="1" applyFill="1" applyBorder="1" applyAlignment="1">
      <alignment horizontal="center"/>
    </xf>
    <xf numFmtId="2" fontId="10" fillId="9" borderId="0" xfId="0" applyNumberFormat="1" applyFont="1" applyFill="1" applyAlignment="1">
      <alignment horizontal="center"/>
    </xf>
    <xf numFmtId="4" fontId="37" fillId="8" borderId="48" xfId="0" applyNumberFormat="1" applyFont="1" applyFill="1" applyBorder="1" applyAlignment="1">
      <alignment horizontal="center" vertical="center"/>
    </xf>
    <xf numFmtId="4" fontId="37" fillId="8" borderId="49" xfId="0" applyNumberFormat="1" applyFont="1" applyFill="1" applyBorder="1" applyAlignment="1">
      <alignment horizontal="center" vertical="center"/>
    </xf>
    <xf numFmtId="2" fontId="36" fillId="0" borderId="73" xfId="0" applyNumberFormat="1" applyFont="1" applyBorder="1" applyAlignment="1">
      <alignment horizontal="center"/>
    </xf>
    <xf numFmtId="2" fontId="36" fillId="0" borderId="74" xfId="0" applyNumberFormat="1" applyFont="1" applyBorder="1" applyAlignment="1">
      <alignment horizontal="center"/>
    </xf>
    <xf numFmtId="2" fontId="36" fillId="0" borderId="75" xfId="0" applyNumberFormat="1" applyFont="1" applyBorder="1" applyAlignment="1">
      <alignment horizontal="center"/>
    </xf>
    <xf numFmtId="166" fontId="10" fillId="9" borderId="71" xfId="0" applyNumberFormat="1" applyFont="1" applyFill="1" applyBorder="1" applyAlignment="1">
      <alignment horizontal="center" vertical="center"/>
    </xf>
    <xf numFmtId="166" fontId="10" fillId="9" borderId="72" xfId="0" applyNumberFormat="1" applyFont="1" applyFill="1" applyBorder="1" applyAlignment="1">
      <alignment horizontal="center" vertical="center"/>
    </xf>
    <xf numFmtId="166" fontId="10" fillId="9" borderId="71" xfId="0" applyNumberFormat="1" applyFont="1" applyFill="1" applyBorder="1" applyAlignment="1">
      <alignment horizontal="center"/>
    </xf>
    <xf numFmtId="166" fontId="10" fillId="9" borderId="72" xfId="0" applyNumberFormat="1" applyFont="1" applyFill="1" applyBorder="1" applyAlignment="1">
      <alignment horizontal="center"/>
    </xf>
    <xf numFmtId="4" fontId="41" fillId="8" borderId="77" xfId="0" applyNumberFormat="1" applyFont="1" applyFill="1" applyBorder="1" applyAlignment="1">
      <alignment horizontal="center" vertical="center"/>
    </xf>
    <xf numFmtId="166" fontId="43" fillId="9" borderId="19" xfId="0" applyNumberFormat="1" applyFont="1" applyFill="1" applyBorder="1" applyAlignment="1">
      <alignment horizontal="center"/>
    </xf>
    <xf numFmtId="166" fontId="43" fillId="9" borderId="20" xfId="0" applyNumberFormat="1" applyFont="1" applyFill="1" applyBorder="1" applyAlignment="1">
      <alignment horizontal="center"/>
    </xf>
    <xf numFmtId="166" fontId="43" fillId="9" borderId="19" xfId="0" applyNumberFormat="1" applyFont="1" applyFill="1" applyBorder="1" applyAlignment="1">
      <alignment horizontal="center" vertical="center"/>
    </xf>
    <xf numFmtId="166" fontId="43" fillId="9" borderId="20" xfId="0" applyNumberFormat="1" applyFont="1" applyFill="1" applyBorder="1" applyAlignment="1">
      <alignment horizontal="center" vertical="center"/>
    </xf>
    <xf numFmtId="4" fontId="41" fillId="8" borderId="78" xfId="0" applyNumberFormat="1" applyFont="1" applyFill="1" applyBorder="1" applyAlignment="1">
      <alignment horizontal="center" vertical="center"/>
    </xf>
    <xf numFmtId="2" fontId="43" fillId="9" borderId="38" xfId="0" applyNumberFormat="1" applyFont="1" applyFill="1" applyBorder="1" applyAlignment="1">
      <alignment horizontal="center"/>
    </xf>
    <xf numFmtId="2" fontId="43" fillId="9" borderId="0" xfId="0" applyNumberFormat="1" applyFont="1" applyFill="1" applyAlignment="1">
      <alignment horizontal="center"/>
    </xf>
    <xf numFmtId="2" fontId="43" fillId="9" borderId="79" xfId="0" applyNumberFormat="1" applyFont="1" applyFill="1" applyBorder="1" applyAlignment="1">
      <alignment horizontal="center"/>
    </xf>
    <xf numFmtId="2" fontId="43" fillId="9" borderId="80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048298A9-6F22-4233-B74D-6681C62014B1}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EF6E4"/>
      <color rgb="FFFD7014"/>
      <color rgb="FF222831"/>
      <color rgb="FFD3F350"/>
      <color rgb="FF24387D"/>
      <color rgb="FF142030"/>
      <color rgb="FFCBB9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Setor de Pintura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Dados!$C$4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Dados!$B$6:$B$24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f>Dados!$C$6:$C$24</c:f>
              <c:numCache>
                <c:formatCode>General</c:formatCode>
                <c:ptCount val="19"/>
                <c:pt idx="0">
                  <c:v>29</c:v>
                </c:pt>
                <c:pt idx="1">
                  <c:v>18</c:v>
                </c:pt>
                <c:pt idx="2">
                  <c:v>9</c:v>
                </c:pt>
                <c:pt idx="3">
                  <c:v>13</c:v>
                </c:pt>
                <c:pt idx="4">
                  <c:v>5</c:v>
                </c:pt>
                <c:pt idx="5">
                  <c:v>1</c:v>
                </c:pt>
                <c:pt idx="6">
                  <c:v>11</c:v>
                </c:pt>
                <c:pt idx="7">
                  <c:v>7</c:v>
                </c:pt>
                <c:pt idx="8">
                  <c:v>10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4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A-46FF-BEDB-D6BE151E356E}"/>
            </c:ext>
          </c:extLst>
        </c:ser>
        <c:ser>
          <c:idx val="1"/>
          <c:order val="1"/>
          <c:tx>
            <c:strRef>
              <c:f>Dados!$D$4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Dados!$B$6:$B$24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f>Dados!$D$6:$D$24</c:f>
              <c:numCache>
                <c:formatCode>General</c:formatCode>
                <c:ptCount val="19"/>
                <c:pt idx="0">
                  <c:v>25</c:v>
                </c:pt>
                <c:pt idx="1">
                  <c:v>20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  <c:pt idx="5">
                  <c:v>3</c:v>
                </c:pt>
                <c:pt idx="6">
                  <c:v>23</c:v>
                </c:pt>
                <c:pt idx="7">
                  <c:v>11</c:v>
                </c:pt>
                <c:pt idx="8">
                  <c:v>18</c:v>
                </c:pt>
                <c:pt idx="9">
                  <c:v>12</c:v>
                </c:pt>
                <c:pt idx="10">
                  <c:v>13</c:v>
                </c:pt>
                <c:pt idx="11">
                  <c:v>6</c:v>
                </c:pt>
                <c:pt idx="12">
                  <c:v>15</c:v>
                </c:pt>
                <c:pt idx="13">
                  <c:v>7</c:v>
                </c:pt>
                <c:pt idx="14">
                  <c:v>17</c:v>
                </c:pt>
                <c:pt idx="15">
                  <c:v>18</c:v>
                </c:pt>
                <c:pt idx="16">
                  <c:v>11</c:v>
                </c:pt>
                <c:pt idx="17">
                  <c:v>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FA-46FF-BEDB-D6BE151E356E}"/>
            </c:ext>
          </c:extLst>
        </c:ser>
        <c:ser>
          <c:idx val="2"/>
          <c:order val="2"/>
          <c:tx>
            <c:strRef>
              <c:f>Dados!$E$4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Dados!$B$6:$B$24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f>Dados!$E$6:$E$24</c:f>
              <c:numCache>
                <c:formatCode>General</c:formatCode>
                <c:ptCount val="19"/>
                <c:pt idx="0">
                  <c:v>11</c:v>
                </c:pt>
                <c:pt idx="1">
                  <c:v>6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FA-46FF-BEDB-D6BE151E35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7105615"/>
        <c:axId val="1147103215"/>
      </c:barChart>
      <c:catAx>
        <c:axId val="11471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3215"/>
        <c:crosses val="autoZero"/>
        <c:auto val="1"/>
        <c:lblAlgn val="ctr"/>
        <c:lblOffset val="100"/>
        <c:noMultiLvlLbl val="0"/>
      </c:catAx>
      <c:valAx>
        <c:axId val="114710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Pintura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Dados!$C$4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Dados!$C$5</c:f>
              <c:numCache>
                <c:formatCode>General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60E-A9FB-9A772EA4F24A}"/>
            </c:ext>
          </c:extLst>
        </c:ser>
        <c:ser>
          <c:idx val="1"/>
          <c:order val="1"/>
          <c:tx>
            <c:strRef>
              <c:f>Dados!$D$4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Dados!$D$5</c:f>
              <c:numCache>
                <c:formatCode>General</c:formatCode>
                <c:ptCount val="1"/>
                <c:pt idx="0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BE-460E-A9FB-9A772EA4F24A}"/>
            </c:ext>
          </c:extLst>
        </c:ser>
        <c:ser>
          <c:idx val="2"/>
          <c:order val="2"/>
          <c:tx>
            <c:strRef>
              <c:f>Dados!$E$4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Dados!$B$5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Dados!$E$5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BE-460E-A9FB-9A772EA4F2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3780415"/>
        <c:axId val="1371468527"/>
      </c:barChart>
      <c:catAx>
        <c:axId val="167378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68527"/>
        <c:crosses val="autoZero"/>
        <c:auto val="1"/>
        <c:lblAlgn val="ctr"/>
        <c:lblOffset val="100"/>
        <c:noMultiLvlLbl val="0"/>
      </c:catAx>
      <c:valAx>
        <c:axId val="1371468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378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Dados!$L$3</c:f>
          <c:strCache>
            <c:ptCount val="1"/>
            <c:pt idx="0">
              <c:v>Montagem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Dados!$M$4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Dados!$L$5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Dados!$M$5</c:f>
              <c:numCache>
                <c:formatCode>General</c:formatCode>
                <c:ptCount val="1"/>
                <c:pt idx="0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1-4B48-A7C3-A1DC0C320424}"/>
            </c:ext>
          </c:extLst>
        </c:ser>
        <c:ser>
          <c:idx val="1"/>
          <c:order val="1"/>
          <c:tx>
            <c:strRef>
              <c:f>Dados!$N$4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Dados!$L$5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Dados!$N$5</c:f>
              <c:numCache>
                <c:formatCode>General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21-4B48-A7C3-A1DC0C320424}"/>
            </c:ext>
          </c:extLst>
        </c:ser>
        <c:ser>
          <c:idx val="2"/>
          <c:order val="2"/>
          <c:tx>
            <c:strRef>
              <c:f>Dados!$O$4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Dados!$L$5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Dados!$O$5</c:f>
              <c:numCache>
                <c:formatCode>General</c:formatCode>
                <c:ptCount val="1"/>
                <c:pt idx="0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21-4B48-A7C3-A1DC0C3204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3780415"/>
        <c:axId val="1371468527"/>
      </c:barChart>
      <c:catAx>
        <c:axId val="167378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68527"/>
        <c:crosses val="autoZero"/>
        <c:auto val="1"/>
        <c:lblAlgn val="ctr"/>
        <c:lblOffset val="100"/>
        <c:noMultiLvlLbl val="0"/>
      </c:catAx>
      <c:valAx>
        <c:axId val="1371468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378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Setor de Montagem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Dados!$M$4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Dados!$L$5:$L$24</c15:sqref>
                  </c15:fullRef>
                </c:ext>
              </c:extLst>
              <c:f>Dados!$L$6:$L$24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Dados!$M$5:$M$24</c15:sqref>
                  </c15:fullRef>
                </c:ext>
              </c:extLst>
              <c:f>Dados!$M$6:$M$24</c:f>
              <c:numCache>
                <c:formatCode>General</c:formatCode>
                <c:ptCount val="19"/>
                <c:pt idx="0">
                  <c:v>36</c:v>
                </c:pt>
                <c:pt idx="1">
                  <c:v>28</c:v>
                </c:pt>
                <c:pt idx="2">
                  <c:v>11</c:v>
                </c:pt>
                <c:pt idx="3">
                  <c:v>15</c:v>
                </c:pt>
                <c:pt idx="4">
                  <c:v>13</c:v>
                </c:pt>
                <c:pt idx="5">
                  <c:v>0</c:v>
                </c:pt>
                <c:pt idx="6">
                  <c:v>13</c:v>
                </c:pt>
                <c:pt idx="7">
                  <c:v>9</c:v>
                </c:pt>
                <c:pt idx="8">
                  <c:v>14</c:v>
                </c:pt>
                <c:pt idx="9">
                  <c:v>17</c:v>
                </c:pt>
                <c:pt idx="10">
                  <c:v>15</c:v>
                </c:pt>
                <c:pt idx="11">
                  <c:v>20</c:v>
                </c:pt>
                <c:pt idx="12">
                  <c:v>9</c:v>
                </c:pt>
                <c:pt idx="13">
                  <c:v>7</c:v>
                </c:pt>
                <c:pt idx="14">
                  <c:v>12</c:v>
                </c:pt>
                <c:pt idx="15">
                  <c:v>12</c:v>
                </c:pt>
                <c:pt idx="16">
                  <c:v>20</c:v>
                </c:pt>
                <c:pt idx="17">
                  <c:v>11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E-4DE8-9DB9-C04FF4795DEA}"/>
            </c:ext>
          </c:extLst>
        </c:ser>
        <c:ser>
          <c:idx val="1"/>
          <c:order val="1"/>
          <c:tx>
            <c:strRef>
              <c:f>Dados!$N$4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Dados!$L$5:$L$24</c15:sqref>
                  </c15:fullRef>
                </c:ext>
              </c:extLst>
              <c:f>Dados!$L$6:$L$24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Dados!$N$5:$N$24</c15:sqref>
                  </c15:fullRef>
                </c:ext>
              </c:extLst>
              <c:f>Dados!$N$6:$N$24</c:f>
              <c:numCache>
                <c:formatCode>General</c:formatCode>
                <c:ptCount val="19"/>
                <c:pt idx="0">
                  <c:v>30</c:v>
                </c:pt>
                <c:pt idx="1">
                  <c:v>53</c:v>
                </c:pt>
                <c:pt idx="2">
                  <c:v>24</c:v>
                </c:pt>
                <c:pt idx="3">
                  <c:v>23</c:v>
                </c:pt>
                <c:pt idx="4">
                  <c:v>16</c:v>
                </c:pt>
                <c:pt idx="5">
                  <c:v>0</c:v>
                </c:pt>
                <c:pt idx="6">
                  <c:v>13</c:v>
                </c:pt>
                <c:pt idx="7">
                  <c:v>8</c:v>
                </c:pt>
                <c:pt idx="8">
                  <c:v>16</c:v>
                </c:pt>
                <c:pt idx="9">
                  <c:v>24</c:v>
                </c:pt>
                <c:pt idx="10">
                  <c:v>29</c:v>
                </c:pt>
                <c:pt idx="11">
                  <c:v>29</c:v>
                </c:pt>
                <c:pt idx="12">
                  <c:v>14</c:v>
                </c:pt>
                <c:pt idx="13">
                  <c:v>19</c:v>
                </c:pt>
                <c:pt idx="14">
                  <c:v>18</c:v>
                </c:pt>
                <c:pt idx="15">
                  <c:v>22</c:v>
                </c:pt>
                <c:pt idx="16">
                  <c:v>34</c:v>
                </c:pt>
                <c:pt idx="17">
                  <c:v>18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E-4DE8-9DB9-C04FF4795DEA}"/>
            </c:ext>
          </c:extLst>
        </c:ser>
        <c:ser>
          <c:idx val="2"/>
          <c:order val="2"/>
          <c:tx>
            <c:strRef>
              <c:f>Dados!$O$4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Dados!$L$5:$L$24</c15:sqref>
                  </c15:fullRef>
                </c:ext>
              </c:extLst>
              <c:f>Dados!$L$6:$L$24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Dados!$O$5:$O$24</c15:sqref>
                  </c15:fullRef>
                </c:ext>
              </c:extLst>
              <c:f>Dados!$O$6:$O$24</c:f>
              <c:numCache>
                <c:formatCode>General</c:formatCode>
                <c:ptCount val="19"/>
                <c:pt idx="0">
                  <c:v>13</c:v>
                </c:pt>
                <c:pt idx="1">
                  <c:v>10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BE-4DE8-9DB9-C04FF4795D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7105615"/>
        <c:axId val="1147103215"/>
      </c:barChart>
      <c:catAx>
        <c:axId val="11471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3215"/>
        <c:crosses val="autoZero"/>
        <c:auto val="1"/>
        <c:lblAlgn val="ctr"/>
        <c:lblOffset val="100"/>
        <c:noMultiLvlLbl val="0"/>
      </c:catAx>
      <c:valAx>
        <c:axId val="114710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Dados!$V$3</c:f>
          <c:strCache>
            <c:ptCount val="1"/>
            <c:pt idx="0">
              <c:v>Serigrafia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Dados!$W$4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Dados!$V$5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Dados!$W$5</c:f>
              <c:numCache>
                <c:formatCode>General</c:formatCode>
                <c:ptCount val="1"/>
                <c:pt idx="0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B4F-8067-99D7B04F2EDA}"/>
            </c:ext>
          </c:extLst>
        </c:ser>
        <c:ser>
          <c:idx val="1"/>
          <c:order val="1"/>
          <c:tx>
            <c:strRef>
              <c:f>Dados!$X$4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Dados!$V$5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Dados!$X$5</c:f>
              <c:numCache>
                <c:formatCode>General</c:formatCode>
                <c:ptCount val="1"/>
                <c:pt idx="0">
                  <c:v>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B4F-8067-99D7B04F2EDA}"/>
            </c:ext>
          </c:extLst>
        </c:ser>
        <c:ser>
          <c:idx val="2"/>
          <c:order val="2"/>
          <c:tx>
            <c:strRef>
              <c:f>Dados!$Y$4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Dados!$V$5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Dados!$Y$5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4B4F-8067-99D7B04F2E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3780415"/>
        <c:axId val="1371468527"/>
      </c:barChart>
      <c:catAx>
        <c:axId val="167378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68527"/>
        <c:crosses val="autoZero"/>
        <c:auto val="1"/>
        <c:lblAlgn val="ctr"/>
        <c:lblOffset val="100"/>
        <c:noMultiLvlLbl val="0"/>
      </c:catAx>
      <c:valAx>
        <c:axId val="1371468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378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Setups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Dados!$W$4</c:f>
              <c:strCache>
                <c:ptCount val="1"/>
                <c:pt idx="0">
                  <c:v>Trocas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Dados!$V$5:$V$24</c15:sqref>
                  </c15:fullRef>
                </c:ext>
              </c:extLst>
              <c:f>Dados!$V$6:$V$24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Dados!$W$5:$W$24</c15:sqref>
                  </c15:fullRef>
                </c:ext>
              </c:extLst>
              <c:f>Dados!$W$6:$W$24</c:f>
              <c:numCache>
                <c:formatCode>General</c:formatCode>
                <c:ptCount val="19"/>
                <c:pt idx="0">
                  <c:v>31</c:v>
                </c:pt>
                <c:pt idx="1">
                  <c:v>45</c:v>
                </c:pt>
                <c:pt idx="2">
                  <c:v>27</c:v>
                </c:pt>
                <c:pt idx="3">
                  <c:v>24</c:v>
                </c:pt>
                <c:pt idx="4">
                  <c:v>19</c:v>
                </c:pt>
                <c:pt idx="5">
                  <c:v>1</c:v>
                </c:pt>
                <c:pt idx="6">
                  <c:v>21</c:v>
                </c:pt>
                <c:pt idx="7">
                  <c:v>12</c:v>
                </c:pt>
                <c:pt idx="8">
                  <c:v>18</c:v>
                </c:pt>
                <c:pt idx="9">
                  <c:v>17</c:v>
                </c:pt>
                <c:pt idx="10">
                  <c:v>26</c:v>
                </c:pt>
                <c:pt idx="11">
                  <c:v>21</c:v>
                </c:pt>
                <c:pt idx="12">
                  <c:v>20</c:v>
                </c:pt>
                <c:pt idx="13">
                  <c:v>10</c:v>
                </c:pt>
                <c:pt idx="14">
                  <c:v>10</c:v>
                </c:pt>
                <c:pt idx="15">
                  <c:v>23</c:v>
                </c:pt>
                <c:pt idx="16">
                  <c:v>24</c:v>
                </c:pt>
                <c:pt idx="17">
                  <c:v>14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DE-429D-BBD0-720047AC96AA}"/>
            </c:ext>
          </c:extLst>
        </c:ser>
        <c:ser>
          <c:idx val="1"/>
          <c:order val="1"/>
          <c:tx>
            <c:strRef>
              <c:f>Dados!$X$4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Dados!$V$5:$V$24</c15:sqref>
                  </c15:fullRef>
                </c:ext>
              </c:extLst>
              <c:f>Dados!$V$6:$V$24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Dados!$X$5:$X$24</c15:sqref>
                  </c15:fullRef>
                </c:ext>
              </c:extLst>
              <c:f>Dados!$X$6:$X$24</c:f>
              <c:numCache>
                <c:formatCode>General</c:formatCode>
                <c:ptCount val="19"/>
                <c:pt idx="0">
                  <c:v>36</c:v>
                </c:pt>
                <c:pt idx="1">
                  <c:v>46</c:v>
                </c:pt>
                <c:pt idx="2">
                  <c:v>20</c:v>
                </c:pt>
                <c:pt idx="3">
                  <c:v>27</c:v>
                </c:pt>
                <c:pt idx="4">
                  <c:v>35</c:v>
                </c:pt>
                <c:pt idx="5">
                  <c:v>0</c:v>
                </c:pt>
                <c:pt idx="6">
                  <c:v>22</c:v>
                </c:pt>
                <c:pt idx="7">
                  <c:v>15</c:v>
                </c:pt>
                <c:pt idx="8">
                  <c:v>20</c:v>
                </c:pt>
                <c:pt idx="9">
                  <c:v>33</c:v>
                </c:pt>
                <c:pt idx="10">
                  <c:v>31</c:v>
                </c:pt>
                <c:pt idx="11">
                  <c:v>26</c:v>
                </c:pt>
                <c:pt idx="12">
                  <c:v>19</c:v>
                </c:pt>
                <c:pt idx="13">
                  <c:v>17</c:v>
                </c:pt>
                <c:pt idx="14">
                  <c:v>7</c:v>
                </c:pt>
                <c:pt idx="15">
                  <c:v>19</c:v>
                </c:pt>
                <c:pt idx="16">
                  <c:v>30</c:v>
                </c:pt>
                <c:pt idx="17">
                  <c:v>14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DE-429D-BBD0-720047AC96AA}"/>
            </c:ext>
          </c:extLst>
        </c:ser>
        <c:ser>
          <c:idx val="2"/>
          <c:order val="2"/>
          <c:tx>
            <c:strRef>
              <c:f>Dados!$Y$4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Dados!$V$5:$V$24</c15:sqref>
                  </c15:fullRef>
                </c:ext>
              </c:extLst>
              <c:f>Dados!$V$6:$V$24</c:f>
              <c:strCache>
                <c:ptCount val="19"/>
                <c:pt idx="0">
                  <c:v>6h</c:v>
                </c:pt>
                <c:pt idx="1">
                  <c:v>7h</c:v>
                </c:pt>
                <c:pt idx="2">
                  <c:v>8h</c:v>
                </c:pt>
                <c:pt idx="3">
                  <c:v>9h</c:v>
                </c:pt>
                <c:pt idx="4">
                  <c:v>10h</c:v>
                </c:pt>
                <c:pt idx="5">
                  <c:v>11h</c:v>
                </c:pt>
                <c:pt idx="6">
                  <c:v>12h</c:v>
                </c:pt>
                <c:pt idx="7">
                  <c:v>13h</c:v>
                </c:pt>
                <c:pt idx="8">
                  <c:v>14h</c:v>
                </c:pt>
                <c:pt idx="9">
                  <c:v>15h</c:v>
                </c:pt>
                <c:pt idx="10">
                  <c:v>16h</c:v>
                </c:pt>
                <c:pt idx="11">
                  <c:v>17h</c:v>
                </c:pt>
                <c:pt idx="12">
                  <c:v>18h</c:v>
                </c:pt>
                <c:pt idx="13">
                  <c:v>19h</c:v>
                </c:pt>
                <c:pt idx="14">
                  <c:v>20h</c:v>
                </c:pt>
                <c:pt idx="15">
                  <c:v>21h</c:v>
                </c:pt>
                <c:pt idx="16">
                  <c:v>22h</c:v>
                </c:pt>
                <c:pt idx="17">
                  <c:v>23h</c:v>
                </c:pt>
                <c:pt idx="18">
                  <c:v>0h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Dados!$Y$5:$Y$24</c15:sqref>
                  </c15:fullRef>
                </c:ext>
              </c:extLst>
              <c:f>Dados!$Y$6:$Y$24</c:f>
              <c:numCache>
                <c:formatCode>General</c:formatCode>
                <c:ptCount val="19"/>
                <c:pt idx="0">
                  <c:v>9</c:v>
                </c:pt>
                <c:pt idx="1">
                  <c:v>17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4</c:v>
                </c:pt>
                <c:pt idx="7">
                  <c:v>0</c:v>
                </c:pt>
                <c:pt idx="8">
                  <c:v>7</c:v>
                </c:pt>
                <c:pt idx="9">
                  <c:v>3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DE-429D-BBD0-720047AC96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7105615"/>
        <c:axId val="1147103215"/>
      </c:barChart>
      <c:catAx>
        <c:axId val="11471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3215"/>
        <c:crosses val="autoZero"/>
        <c:auto val="1"/>
        <c:lblAlgn val="ctr"/>
        <c:lblOffset val="100"/>
        <c:noMultiLvlLbl val="0"/>
      </c:catAx>
      <c:valAx>
        <c:axId val="114710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10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Reguladores de Telas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Dados!$AC$4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Dados!$AA$5:$AA$24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</c:strRef>
          </c:cat>
          <c:val>
            <c:numRef>
              <c:f>Dados!$AC$5:$AC$24</c:f>
              <c:numCache>
                <c:formatCode>#,##0.00</c:formatCode>
                <c:ptCount val="20"/>
                <c:pt idx="0" formatCode="#,##0">
                  <c:v>2</c:v>
                </c:pt>
                <c:pt idx="1">
                  <c:v>2.4</c:v>
                </c:pt>
                <c:pt idx="2">
                  <c:v>3.0666666666666669</c:v>
                </c:pt>
                <c:pt idx="3">
                  <c:v>1.3333333333333333</c:v>
                </c:pt>
                <c:pt idx="4">
                  <c:v>1.8</c:v>
                </c:pt>
                <c:pt idx="5">
                  <c:v>2.3333333333333335</c:v>
                </c:pt>
                <c:pt idx="6">
                  <c:v>0</c:v>
                </c:pt>
                <c:pt idx="7">
                  <c:v>1.4666666666666666</c:v>
                </c:pt>
                <c:pt idx="8">
                  <c:v>1</c:v>
                </c:pt>
                <c:pt idx="9">
                  <c:v>1.3333333333333333</c:v>
                </c:pt>
                <c:pt idx="10">
                  <c:v>2.2000000000000002</c:v>
                </c:pt>
                <c:pt idx="11">
                  <c:v>2.0666666666666669</c:v>
                </c:pt>
                <c:pt idx="12">
                  <c:v>1.7333333333333334</c:v>
                </c:pt>
                <c:pt idx="13">
                  <c:v>1.2666666666666666</c:v>
                </c:pt>
                <c:pt idx="14">
                  <c:v>1.1333333333333333</c:v>
                </c:pt>
                <c:pt idx="15">
                  <c:v>0.46666666666666667</c:v>
                </c:pt>
                <c:pt idx="16">
                  <c:v>1.2666666666666666</c:v>
                </c:pt>
                <c:pt idx="17">
                  <c:v>2</c:v>
                </c:pt>
                <c:pt idx="18">
                  <c:v>0.93333333333333335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7-4D44-BC21-B132339D95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Dados!$AD$4</c15:sqref>
                        </c15:formulaRef>
                      </c:ext>
                    </c:extLst>
                    <c:strCache>
                      <c:ptCount val="1"/>
                      <c:pt idx="0">
                        <c:v>Troca de cor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Dados!$AA$5:$AA$24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Dados!$AD$5:$AD$24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1</c:v>
                      </c:pt>
                      <c:pt idx="1">
                        <c:v>0.5</c:v>
                      </c:pt>
                      <c:pt idx="2">
                        <c:v>0.94444444444444442</c:v>
                      </c:pt>
                      <c:pt idx="3">
                        <c:v>0.3888888888888889</c:v>
                      </c:pt>
                      <c:pt idx="4">
                        <c:v>0.3888888888888889</c:v>
                      </c:pt>
                      <c:pt idx="5">
                        <c:v>0.5</c:v>
                      </c:pt>
                      <c:pt idx="6">
                        <c:v>5.5555555555555552E-2</c:v>
                      </c:pt>
                      <c:pt idx="7">
                        <c:v>0.22222222222222221</c:v>
                      </c:pt>
                      <c:pt idx="8">
                        <c:v>0</c:v>
                      </c:pt>
                      <c:pt idx="9">
                        <c:v>0.3888888888888889</c:v>
                      </c:pt>
                      <c:pt idx="10">
                        <c:v>0.16666666666666666</c:v>
                      </c:pt>
                      <c:pt idx="11">
                        <c:v>0.33333333333333331</c:v>
                      </c:pt>
                      <c:pt idx="12">
                        <c:v>0.16666666666666666</c:v>
                      </c:pt>
                      <c:pt idx="13">
                        <c:v>0.27777777777777779</c:v>
                      </c:pt>
                      <c:pt idx="14">
                        <c:v>5.5555555555555552E-2</c:v>
                      </c:pt>
                      <c:pt idx="15">
                        <c:v>0.1111111111111111</c:v>
                      </c:pt>
                      <c:pt idx="16">
                        <c:v>0.27777777777777779</c:v>
                      </c:pt>
                      <c:pt idx="17">
                        <c:v>0.1111111111111111</c:v>
                      </c:pt>
                      <c:pt idx="18">
                        <c:v>0.27777777777777779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237-4D44-BC21-B132339D95C6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Reguladores de Telas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Dados!$I$4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Dados!$G$5:$G$24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</c:strRef>
          </c:cat>
          <c:val>
            <c:numRef>
              <c:f>Dados!$I$5:$I$24</c:f>
              <c:numCache>
                <c:formatCode>#,##0.00</c:formatCode>
                <c:ptCount val="20"/>
                <c:pt idx="0" formatCode="#,##0">
                  <c:v>1</c:v>
                </c:pt>
                <c:pt idx="1">
                  <c:v>1.6666666666666667</c:v>
                </c:pt>
                <c:pt idx="2">
                  <c:v>1.3333333333333333</c:v>
                </c:pt>
                <c:pt idx="3">
                  <c:v>1</c:v>
                </c:pt>
                <c:pt idx="4">
                  <c:v>1.3333333333333333</c:v>
                </c:pt>
                <c:pt idx="5">
                  <c:v>1</c:v>
                </c:pt>
                <c:pt idx="6">
                  <c:v>0.2</c:v>
                </c:pt>
                <c:pt idx="7">
                  <c:v>1.5333333333333334</c:v>
                </c:pt>
                <c:pt idx="8">
                  <c:v>0.73333333333333328</c:v>
                </c:pt>
                <c:pt idx="9">
                  <c:v>1.2</c:v>
                </c:pt>
                <c:pt idx="10">
                  <c:v>0.8</c:v>
                </c:pt>
                <c:pt idx="11">
                  <c:v>0.8666666666666667</c:v>
                </c:pt>
                <c:pt idx="12">
                  <c:v>0.4</c:v>
                </c:pt>
                <c:pt idx="13">
                  <c:v>1</c:v>
                </c:pt>
                <c:pt idx="14">
                  <c:v>0.46666666666666667</c:v>
                </c:pt>
                <c:pt idx="15">
                  <c:v>1.1333333333333333</c:v>
                </c:pt>
                <c:pt idx="16">
                  <c:v>1.2</c:v>
                </c:pt>
                <c:pt idx="17">
                  <c:v>0.73333333333333328</c:v>
                </c:pt>
                <c:pt idx="18">
                  <c:v>0.53333333333333333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6-4274-827C-1A6EA0F6C8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Dados!$J$4</c15:sqref>
                        </c15:formulaRef>
                      </c:ext>
                    </c:extLst>
                    <c:strCache>
                      <c:ptCount val="1"/>
                      <c:pt idx="0">
                        <c:v>Troca de cor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Dados!$G$5:$G$24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Dados!$J$5:$J$24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1</c:v>
                      </c:pt>
                      <c:pt idx="1">
                        <c:v>0.61111111111111116</c:v>
                      </c:pt>
                      <c:pt idx="2">
                        <c:v>0.33333333333333331</c:v>
                      </c:pt>
                      <c:pt idx="3">
                        <c:v>0.1111111111111111</c:v>
                      </c:pt>
                      <c:pt idx="4">
                        <c:v>0.1111111111111111</c:v>
                      </c:pt>
                      <c:pt idx="5">
                        <c:v>0.1111111111111111</c:v>
                      </c:pt>
                      <c:pt idx="6">
                        <c:v>0</c:v>
                      </c:pt>
                      <c:pt idx="7">
                        <c:v>5.5555555555555552E-2</c:v>
                      </c:pt>
                      <c:pt idx="8">
                        <c:v>0.16666666666666666</c:v>
                      </c:pt>
                      <c:pt idx="9">
                        <c:v>0.27777777777777779</c:v>
                      </c:pt>
                      <c:pt idx="10">
                        <c:v>5.5555555555555552E-2</c:v>
                      </c:pt>
                      <c:pt idx="11">
                        <c:v>0.16666666666666666</c:v>
                      </c:pt>
                      <c:pt idx="12">
                        <c:v>0.1111111111111111</c:v>
                      </c:pt>
                      <c:pt idx="13">
                        <c:v>5.5555555555555552E-2</c:v>
                      </c:pt>
                      <c:pt idx="14">
                        <c:v>0.1111111111111111</c:v>
                      </c:pt>
                      <c:pt idx="15">
                        <c:v>0.16666666666666666</c:v>
                      </c:pt>
                      <c:pt idx="16">
                        <c:v>0.1111111111111111</c:v>
                      </c:pt>
                      <c:pt idx="17">
                        <c:v>0.16666666666666666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846-4274-827C-1A6EA0F6C8E8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Reguladores de Telas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Dados!$S$4</c:f>
              <c:strCache>
                <c:ptCount val="1"/>
                <c:pt idx="0">
                  <c:v>Telas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Dados!$Q$5:$Q$24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</c:strRef>
          </c:cat>
          <c:val>
            <c:numRef>
              <c:f>Dados!$S$5:$S$24</c:f>
              <c:numCache>
                <c:formatCode>#,##0.00</c:formatCode>
                <c:ptCount val="20"/>
                <c:pt idx="0" formatCode="#,##0">
                  <c:v>2</c:v>
                </c:pt>
                <c:pt idx="1">
                  <c:v>2</c:v>
                </c:pt>
                <c:pt idx="2">
                  <c:v>3.5333333333333332</c:v>
                </c:pt>
                <c:pt idx="3">
                  <c:v>1.6</c:v>
                </c:pt>
                <c:pt idx="4">
                  <c:v>1.5333333333333334</c:v>
                </c:pt>
                <c:pt idx="5">
                  <c:v>1.0666666666666667</c:v>
                </c:pt>
                <c:pt idx="6">
                  <c:v>0</c:v>
                </c:pt>
                <c:pt idx="7">
                  <c:v>0.8666666666666667</c:v>
                </c:pt>
                <c:pt idx="8">
                  <c:v>0.53333333333333333</c:v>
                </c:pt>
                <c:pt idx="9">
                  <c:v>1.0666666666666667</c:v>
                </c:pt>
                <c:pt idx="10">
                  <c:v>1.6</c:v>
                </c:pt>
                <c:pt idx="11">
                  <c:v>1.9333333333333333</c:v>
                </c:pt>
                <c:pt idx="12">
                  <c:v>1.9333333333333333</c:v>
                </c:pt>
                <c:pt idx="13">
                  <c:v>0.93333333333333335</c:v>
                </c:pt>
                <c:pt idx="14">
                  <c:v>1.2666666666666666</c:v>
                </c:pt>
                <c:pt idx="15">
                  <c:v>1.2</c:v>
                </c:pt>
                <c:pt idx="16">
                  <c:v>1.4666666666666666</c:v>
                </c:pt>
                <c:pt idx="17">
                  <c:v>2.2666666666666666</c:v>
                </c:pt>
                <c:pt idx="18">
                  <c:v>1.2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4-4C5C-A9EC-8ADA392A93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Dados!$T$4</c15:sqref>
                        </c15:formulaRef>
                      </c:ext>
                    </c:extLst>
                    <c:strCache>
                      <c:ptCount val="1"/>
                      <c:pt idx="0">
                        <c:v>Troca de cor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Dados!$Q$5:$Q$24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Dados!$T$5:$T$24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1</c:v>
                      </c:pt>
                      <c:pt idx="1">
                        <c:v>0.72222222222222221</c:v>
                      </c:pt>
                      <c:pt idx="2">
                        <c:v>0.55555555555555558</c:v>
                      </c:pt>
                      <c:pt idx="3">
                        <c:v>0.22222222222222221</c:v>
                      </c:pt>
                      <c:pt idx="4">
                        <c:v>0.1111111111111111</c:v>
                      </c:pt>
                      <c:pt idx="5">
                        <c:v>0.1111111111111111</c:v>
                      </c:pt>
                      <c:pt idx="6">
                        <c:v>0</c:v>
                      </c:pt>
                      <c:pt idx="7">
                        <c:v>0.22222222222222221</c:v>
                      </c:pt>
                      <c:pt idx="8">
                        <c:v>0.1111111111111111</c:v>
                      </c:pt>
                      <c:pt idx="9">
                        <c:v>0.22222222222222221</c:v>
                      </c:pt>
                      <c:pt idx="10">
                        <c:v>0.27777777777777779</c:v>
                      </c:pt>
                      <c:pt idx="11">
                        <c:v>0.1111111111111111</c:v>
                      </c:pt>
                      <c:pt idx="12">
                        <c:v>0.33333333333333331</c:v>
                      </c:pt>
                      <c:pt idx="13">
                        <c:v>5.5555555555555552E-2</c:v>
                      </c:pt>
                      <c:pt idx="14">
                        <c:v>0.22222222222222221</c:v>
                      </c:pt>
                      <c:pt idx="15">
                        <c:v>0.16666666666666666</c:v>
                      </c:pt>
                      <c:pt idx="16">
                        <c:v>0.1111111111111111</c:v>
                      </c:pt>
                      <c:pt idx="17">
                        <c:v>0.33333333333333331</c:v>
                      </c:pt>
                      <c:pt idx="18">
                        <c:v>0.16666666666666666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124-4C5C-A9EC-8ADA392A93D4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Trocadores</a:t>
            </a:r>
            <a:r>
              <a:rPr lang="pt-BR" sz="1800" b="1" baseline="0"/>
              <a:t> de Tintas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Dados!$J$4</c:f>
              <c:strCache>
                <c:ptCount val="1"/>
                <c:pt idx="0">
                  <c:v>Troca de cor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Dados!$G$5:$G$24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  <c:extLst xmlns:c15="http://schemas.microsoft.com/office/drawing/2012/chart"/>
            </c:strRef>
          </c:cat>
          <c:val>
            <c:numRef>
              <c:f>Dados!$J$5:$J$24</c:f>
              <c:numCache>
                <c:formatCode>#,##0.00</c:formatCode>
                <c:ptCount val="20"/>
                <c:pt idx="0" formatCode="#,##0">
                  <c:v>1</c:v>
                </c:pt>
                <c:pt idx="1">
                  <c:v>0.61111111111111116</c:v>
                </c:pt>
                <c:pt idx="2">
                  <c:v>0.33333333333333331</c:v>
                </c:pt>
                <c:pt idx="3">
                  <c:v>0.1111111111111111</c:v>
                </c:pt>
                <c:pt idx="4">
                  <c:v>0.1111111111111111</c:v>
                </c:pt>
                <c:pt idx="5">
                  <c:v>0.1111111111111111</c:v>
                </c:pt>
                <c:pt idx="6">
                  <c:v>0</c:v>
                </c:pt>
                <c:pt idx="7">
                  <c:v>5.5555555555555552E-2</c:v>
                </c:pt>
                <c:pt idx="8">
                  <c:v>0.16666666666666666</c:v>
                </c:pt>
                <c:pt idx="9">
                  <c:v>0.27777777777777779</c:v>
                </c:pt>
                <c:pt idx="10">
                  <c:v>5.5555555555555552E-2</c:v>
                </c:pt>
                <c:pt idx="11">
                  <c:v>0.16666666666666666</c:v>
                </c:pt>
                <c:pt idx="12">
                  <c:v>0.1111111111111111</c:v>
                </c:pt>
                <c:pt idx="13">
                  <c:v>5.5555555555555552E-2</c:v>
                </c:pt>
                <c:pt idx="14">
                  <c:v>0.1111111111111111</c:v>
                </c:pt>
                <c:pt idx="15">
                  <c:v>0.16666666666666666</c:v>
                </c:pt>
                <c:pt idx="16">
                  <c:v>0.1111111111111111</c:v>
                </c:pt>
                <c:pt idx="17">
                  <c:v>0.16666666666666666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156-4F8A-BB27-8E221FFB63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Dados!$I$4</c15:sqref>
                        </c15:formulaRef>
                      </c:ext>
                    </c:extLst>
                    <c:strCache>
                      <c:ptCount val="1"/>
                      <c:pt idx="0">
                        <c:v>Telas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Dados!$G$5:$G$24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Dados!$I$5:$I$24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1</c:v>
                      </c:pt>
                      <c:pt idx="1">
                        <c:v>1.6666666666666667</c:v>
                      </c:pt>
                      <c:pt idx="2">
                        <c:v>1.3333333333333333</c:v>
                      </c:pt>
                      <c:pt idx="3">
                        <c:v>1</c:v>
                      </c:pt>
                      <c:pt idx="4">
                        <c:v>1.3333333333333333</c:v>
                      </c:pt>
                      <c:pt idx="5">
                        <c:v>1</c:v>
                      </c:pt>
                      <c:pt idx="6">
                        <c:v>0.2</c:v>
                      </c:pt>
                      <c:pt idx="7">
                        <c:v>1.5333333333333334</c:v>
                      </c:pt>
                      <c:pt idx="8">
                        <c:v>0.73333333333333328</c:v>
                      </c:pt>
                      <c:pt idx="9">
                        <c:v>1.2</c:v>
                      </c:pt>
                      <c:pt idx="10">
                        <c:v>0.8</c:v>
                      </c:pt>
                      <c:pt idx="11">
                        <c:v>0.8666666666666667</c:v>
                      </c:pt>
                      <c:pt idx="12">
                        <c:v>0.4</c:v>
                      </c:pt>
                      <c:pt idx="13">
                        <c:v>1</c:v>
                      </c:pt>
                      <c:pt idx="14">
                        <c:v>0.46666666666666667</c:v>
                      </c:pt>
                      <c:pt idx="15">
                        <c:v>1.1333333333333333</c:v>
                      </c:pt>
                      <c:pt idx="16">
                        <c:v>1.2</c:v>
                      </c:pt>
                      <c:pt idx="17">
                        <c:v>0.73333333333333328</c:v>
                      </c:pt>
                      <c:pt idx="18">
                        <c:v>0.53333333333333333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E156-4F8A-BB27-8E221FFB633F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Conferente de Componentes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Dados!$H$4</c:f>
              <c:strCache>
                <c:ptCount val="1"/>
                <c:pt idx="0">
                  <c:v>Conferente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Dados!$G$5:$G$25</c:f>
              <c:strCache>
                <c:ptCount val="21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  <c:pt idx="20">
                  <c:v>Média</c:v>
                </c:pt>
              </c:strCache>
            </c:strRef>
          </c:cat>
          <c:val>
            <c:numRef>
              <c:f>Dados!$H$5:$H$25</c:f>
              <c:numCache>
                <c:formatCode>#,##0.00</c:formatCode>
                <c:ptCount val="21"/>
                <c:pt idx="0" formatCode="#,##0">
                  <c:v>1</c:v>
                </c:pt>
                <c:pt idx="1">
                  <c:v>2.7791666666666668</c:v>
                </c:pt>
                <c:pt idx="2">
                  <c:v>1.7250000000000001</c:v>
                </c:pt>
                <c:pt idx="3">
                  <c:v>0.86250000000000004</c:v>
                </c:pt>
                <c:pt idx="4">
                  <c:v>1.2458333333333333</c:v>
                </c:pt>
                <c:pt idx="5">
                  <c:v>0.47916666666666669</c:v>
                </c:pt>
                <c:pt idx="6">
                  <c:v>9.583333333333334E-2</c:v>
                </c:pt>
                <c:pt idx="7">
                  <c:v>1.0541666666666667</c:v>
                </c:pt>
                <c:pt idx="8">
                  <c:v>0.67083333333333328</c:v>
                </c:pt>
                <c:pt idx="9">
                  <c:v>0.95833333333333337</c:v>
                </c:pt>
                <c:pt idx="10">
                  <c:v>0.67083333333333328</c:v>
                </c:pt>
                <c:pt idx="11">
                  <c:v>0.67083333333333328</c:v>
                </c:pt>
                <c:pt idx="12">
                  <c:v>0.67083333333333328</c:v>
                </c:pt>
                <c:pt idx="13">
                  <c:v>0.76666666666666672</c:v>
                </c:pt>
                <c:pt idx="14">
                  <c:v>0.38333333333333336</c:v>
                </c:pt>
                <c:pt idx="15">
                  <c:v>0.86250000000000004</c:v>
                </c:pt>
                <c:pt idx="16">
                  <c:v>0.86250000000000004</c:v>
                </c:pt>
                <c:pt idx="17">
                  <c:v>0.86250000000000004</c:v>
                </c:pt>
                <c:pt idx="18">
                  <c:v>0.76666666666666672</c:v>
                </c:pt>
                <c:pt idx="19">
                  <c:v>0</c:v>
                </c:pt>
                <c:pt idx="20">
                  <c:v>0.86249999999999993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C94-4E6F-BE3D-2E775BE11E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/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Trocadores de Tintas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Dados!$T$4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Dados!$Q$5:$Q$24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</c:strRef>
          </c:cat>
          <c:val>
            <c:numRef>
              <c:f>Dados!$T$5:$T$24</c:f>
              <c:numCache>
                <c:formatCode>#,##0.00</c:formatCode>
                <c:ptCount val="20"/>
                <c:pt idx="0" formatCode="#,##0">
                  <c:v>1</c:v>
                </c:pt>
                <c:pt idx="1">
                  <c:v>0.72222222222222221</c:v>
                </c:pt>
                <c:pt idx="2">
                  <c:v>0.55555555555555558</c:v>
                </c:pt>
                <c:pt idx="3">
                  <c:v>0.22222222222222221</c:v>
                </c:pt>
                <c:pt idx="4">
                  <c:v>0.1111111111111111</c:v>
                </c:pt>
                <c:pt idx="5">
                  <c:v>0.1111111111111111</c:v>
                </c:pt>
                <c:pt idx="6">
                  <c:v>0</c:v>
                </c:pt>
                <c:pt idx="7">
                  <c:v>0.22222222222222221</c:v>
                </c:pt>
                <c:pt idx="8">
                  <c:v>0.1111111111111111</c:v>
                </c:pt>
                <c:pt idx="9">
                  <c:v>0.22222222222222221</c:v>
                </c:pt>
                <c:pt idx="10">
                  <c:v>0.27777777777777779</c:v>
                </c:pt>
                <c:pt idx="11">
                  <c:v>0.1111111111111111</c:v>
                </c:pt>
                <c:pt idx="12">
                  <c:v>0.33333333333333331</c:v>
                </c:pt>
                <c:pt idx="13">
                  <c:v>5.5555555555555552E-2</c:v>
                </c:pt>
                <c:pt idx="14">
                  <c:v>0.22222222222222221</c:v>
                </c:pt>
                <c:pt idx="15">
                  <c:v>0.16666666666666666</c:v>
                </c:pt>
                <c:pt idx="16">
                  <c:v>0.1111111111111111</c:v>
                </c:pt>
                <c:pt idx="17">
                  <c:v>0.33333333333333331</c:v>
                </c:pt>
                <c:pt idx="18">
                  <c:v>0.16666666666666666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31-4945-AE64-F78E06AC216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Dados!$S$4</c15:sqref>
                        </c15:formulaRef>
                      </c:ext>
                    </c:extLst>
                    <c:strCache>
                      <c:ptCount val="1"/>
                      <c:pt idx="0">
                        <c:v>Telas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Dados!$Q$5:$Q$24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Dados!$S$5:$S$24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2</c:v>
                      </c:pt>
                      <c:pt idx="1">
                        <c:v>2</c:v>
                      </c:pt>
                      <c:pt idx="2">
                        <c:v>3.5333333333333332</c:v>
                      </c:pt>
                      <c:pt idx="3">
                        <c:v>1.6</c:v>
                      </c:pt>
                      <c:pt idx="4">
                        <c:v>1.5333333333333334</c:v>
                      </c:pt>
                      <c:pt idx="5">
                        <c:v>1.0666666666666667</c:v>
                      </c:pt>
                      <c:pt idx="6">
                        <c:v>0</c:v>
                      </c:pt>
                      <c:pt idx="7">
                        <c:v>0.8666666666666667</c:v>
                      </c:pt>
                      <c:pt idx="8">
                        <c:v>0.53333333333333333</c:v>
                      </c:pt>
                      <c:pt idx="9">
                        <c:v>1.0666666666666667</c:v>
                      </c:pt>
                      <c:pt idx="10">
                        <c:v>1.6</c:v>
                      </c:pt>
                      <c:pt idx="11">
                        <c:v>1.9333333333333333</c:v>
                      </c:pt>
                      <c:pt idx="12">
                        <c:v>1.9333333333333333</c:v>
                      </c:pt>
                      <c:pt idx="13">
                        <c:v>0.93333333333333335</c:v>
                      </c:pt>
                      <c:pt idx="14">
                        <c:v>1.2666666666666666</c:v>
                      </c:pt>
                      <c:pt idx="15">
                        <c:v>1.2</c:v>
                      </c:pt>
                      <c:pt idx="16">
                        <c:v>1.4666666666666666</c:v>
                      </c:pt>
                      <c:pt idx="17">
                        <c:v>2.2666666666666666</c:v>
                      </c:pt>
                      <c:pt idx="18">
                        <c:v>1.2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731-4945-AE64-F78E06AC216D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Conferente de Componentes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Dados!$R$4</c:f>
              <c:strCache>
                <c:ptCount val="1"/>
                <c:pt idx="0">
                  <c:v>Conferente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Dados!$Q$5:$Q$25</c:f>
              <c:strCache>
                <c:ptCount val="21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  <c:pt idx="20">
                  <c:v>Média</c:v>
                </c:pt>
              </c:strCache>
            </c:strRef>
          </c:cat>
          <c:val>
            <c:numRef>
              <c:f>Dados!$R$5:$R$25</c:f>
              <c:numCache>
                <c:formatCode>#,##0.00</c:formatCode>
                <c:ptCount val="21"/>
                <c:pt idx="0" formatCode="#,##0">
                  <c:v>2</c:v>
                </c:pt>
                <c:pt idx="1">
                  <c:v>3.45</c:v>
                </c:pt>
                <c:pt idx="2">
                  <c:v>2.6833333333333331</c:v>
                </c:pt>
                <c:pt idx="3">
                  <c:v>1.0541666666666667</c:v>
                </c:pt>
                <c:pt idx="4">
                  <c:v>1.4375</c:v>
                </c:pt>
                <c:pt idx="5">
                  <c:v>1.2458333333333333</c:v>
                </c:pt>
                <c:pt idx="6">
                  <c:v>0</c:v>
                </c:pt>
                <c:pt idx="7">
                  <c:v>1.2458333333333333</c:v>
                </c:pt>
                <c:pt idx="8">
                  <c:v>0.86250000000000004</c:v>
                </c:pt>
                <c:pt idx="9">
                  <c:v>1.3416666666666666</c:v>
                </c:pt>
                <c:pt idx="10">
                  <c:v>1.6291666666666667</c:v>
                </c:pt>
                <c:pt idx="11">
                  <c:v>1.4375</c:v>
                </c:pt>
                <c:pt idx="12">
                  <c:v>1.9166666666666667</c:v>
                </c:pt>
                <c:pt idx="13">
                  <c:v>0.86250000000000004</c:v>
                </c:pt>
                <c:pt idx="14">
                  <c:v>0.67083333333333328</c:v>
                </c:pt>
                <c:pt idx="15">
                  <c:v>1.1499999999999999</c:v>
                </c:pt>
                <c:pt idx="16">
                  <c:v>1.1499999999999999</c:v>
                </c:pt>
                <c:pt idx="17">
                  <c:v>1.9166666666666667</c:v>
                </c:pt>
                <c:pt idx="18">
                  <c:v>1.0541666666666667</c:v>
                </c:pt>
                <c:pt idx="19">
                  <c:v>0</c:v>
                </c:pt>
                <c:pt idx="20">
                  <c:v>1.3214912280701756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D-435E-8F29-0D4DFE4A2E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Trocadores de Tintas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Dados!$AD$4</c:f>
              <c:strCache>
                <c:ptCount val="1"/>
                <c:pt idx="0">
                  <c:v>Troca de cor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Dados!$AA$5:$AA$24</c:f>
              <c:strCache>
                <c:ptCount val="20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</c:strCache>
            </c:strRef>
          </c:cat>
          <c:val>
            <c:numRef>
              <c:f>Dados!$AD$5:$AD$24</c:f>
              <c:numCache>
                <c:formatCode>#,##0.00</c:formatCode>
                <c:ptCount val="20"/>
                <c:pt idx="0" formatCode="#,##0">
                  <c:v>1</c:v>
                </c:pt>
                <c:pt idx="1">
                  <c:v>0.5</c:v>
                </c:pt>
                <c:pt idx="2">
                  <c:v>0.94444444444444442</c:v>
                </c:pt>
                <c:pt idx="3">
                  <c:v>0.3888888888888889</c:v>
                </c:pt>
                <c:pt idx="4">
                  <c:v>0.3888888888888889</c:v>
                </c:pt>
                <c:pt idx="5">
                  <c:v>0.5</c:v>
                </c:pt>
                <c:pt idx="6">
                  <c:v>5.5555555555555552E-2</c:v>
                </c:pt>
                <c:pt idx="7">
                  <c:v>0.22222222222222221</c:v>
                </c:pt>
                <c:pt idx="8">
                  <c:v>0</c:v>
                </c:pt>
                <c:pt idx="9">
                  <c:v>0.3888888888888889</c:v>
                </c:pt>
                <c:pt idx="10">
                  <c:v>0.16666666666666666</c:v>
                </c:pt>
                <c:pt idx="11">
                  <c:v>0.33333333333333331</c:v>
                </c:pt>
                <c:pt idx="12">
                  <c:v>0.16666666666666666</c:v>
                </c:pt>
                <c:pt idx="13">
                  <c:v>0.27777777777777779</c:v>
                </c:pt>
                <c:pt idx="14">
                  <c:v>5.5555555555555552E-2</c:v>
                </c:pt>
                <c:pt idx="15">
                  <c:v>0.1111111111111111</c:v>
                </c:pt>
                <c:pt idx="16">
                  <c:v>0.27777777777777779</c:v>
                </c:pt>
                <c:pt idx="17">
                  <c:v>0.1111111111111111</c:v>
                </c:pt>
                <c:pt idx="18">
                  <c:v>0.27777777777777779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C6-4762-BB59-DAFC45572E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Dados!$AC$4</c15:sqref>
                        </c15:formulaRef>
                      </c:ext>
                    </c:extLst>
                    <c:strCache>
                      <c:ptCount val="1"/>
                      <c:pt idx="0">
                        <c:v>Telas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Dados!$AA$5:$AA$24</c15:sqref>
                        </c15:formulaRef>
                      </c:ext>
                    </c:extLst>
                    <c:strCache>
                      <c:ptCount val="20"/>
                      <c:pt idx="0">
                        <c:v>Efetivo</c:v>
                      </c:pt>
                      <c:pt idx="1">
                        <c:v>6h</c:v>
                      </c:pt>
                      <c:pt idx="2">
                        <c:v>7h</c:v>
                      </c:pt>
                      <c:pt idx="3">
                        <c:v>8h</c:v>
                      </c:pt>
                      <c:pt idx="4">
                        <c:v>9h</c:v>
                      </c:pt>
                      <c:pt idx="5">
                        <c:v>10h</c:v>
                      </c:pt>
                      <c:pt idx="6">
                        <c:v>11h</c:v>
                      </c:pt>
                      <c:pt idx="7">
                        <c:v>12h</c:v>
                      </c:pt>
                      <c:pt idx="8">
                        <c:v>13h</c:v>
                      </c:pt>
                      <c:pt idx="9">
                        <c:v>14h</c:v>
                      </c:pt>
                      <c:pt idx="10">
                        <c:v>15h</c:v>
                      </c:pt>
                      <c:pt idx="11">
                        <c:v>16h</c:v>
                      </c:pt>
                      <c:pt idx="12">
                        <c:v>17h</c:v>
                      </c:pt>
                      <c:pt idx="13">
                        <c:v>18h</c:v>
                      </c:pt>
                      <c:pt idx="14">
                        <c:v>19h</c:v>
                      </c:pt>
                      <c:pt idx="15">
                        <c:v>20h</c:v>
                      </c:pt>
                      <c:pt idx="16">
                        <c:v>21h</c:v>
                      </c:pt>
                      <c:pt idx="17">
                        <c:v>22h</c:v>
                      </c:pt>
                      <c:pt idx="18">
                        <c:v>23h</c:v>
                      </c:pt>
                      <c:pt idx="19">
                        <c:v>0h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Dados!$AC$5:$AC$24</c15:sqref>
                        </c15:formulaRef>
                      </c:ext>
                    </c:extLst>
                    <c:numCache>
                      <c:formatCode>#,##0.00</c:formatCode>
                      <c:ptCount val="20"/>
                      <c:pt idx="0" formatCode="#,##0">
                        <c:v>2</c:v>
                      </c:pt>
                      <c:pt idx="1">
                        <c:v>2.4</c:v>
                      </c:pt>
                      <c:pt idx="2">
                        <c:v>3.0666666666666669</c:v>
                      </c:pt>
                      <c:pt idx="3">
                        <c:v>1.3333333333333333</c:v>
                      </c:pt>
                      <c:pt idx="4">
                        <c:v>1.8</c:v>
                      </c:pt>
                      <c:pt idx="5">
                        <c:v>2.3333333333333335</c:v>
                      </c:pt>
                      <c:pt idx="6">
                        <c:v>0</c:v>
                      </c:pt>
                      <c:pt idx="7">
                        <c:v>1.4666666666666666</c:v>
                      </c:pt>
                      <c:pt idx="8">
                        <c:v>1</c:v>
                      </c:pt>
                      <c:pt idx="9">
                        <c:v>1.3333333333333333</c:v>
                      </c:pt>
                      <c:pt idx="10">
                        <c:v>2.2000000000000002</c:v>
                      </c:pt>
                      <c:pt idx="11">
                        <c:v>2.0666666666666669</c:v>
                      </c:pt>
                      <c:pt idx="12">
                        <c:v>1.7333333333333334</c:v>
                      </c:pt>
                      <c:pt idx="13">
                        <c:v>1.2666666666666666</c:v>
                      </c:pt>
                      <c:pt idx="14">
                        <c:v>1.1333333333333333</c:v>
                      </c:pt>
                      <c:pt idx="15">
                        <c:v>0.46666666666666667</c:v>
                      </c:pt>
                      <c:pt idx="16">
                        <c:v>1.2666666666666666</c:v>
                      </c:pt>
                      <c:pt idx="17">
                        <c:v>2</c:v>
                      </c:pt>
                      <c:pt idx="18">
                        <c:v>0.93333333333333335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EC6-4762-BB59-DAFC45572EDD}"/>
                  </c:ext>
                </c:extLst>
              </c15:ser>
            </c15:filteredBarSeries>
          </c:ext>
        </c:extLst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Conferente de Componentes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Dados!$AB$4</c:f>
              <c:strCache>
                <c:ptCount val="1"/>
                <c:pt idx="0">
                  <c:v>Conferente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Dados!$AA$5:$AA$25</c:f>
              <c:strCache>
                <c:ptCount val="21"/>
                <c:pt idx="0">
                  <c:v>Efetivo</c:v>
                </c:pt>
                <c:pt idx="1">
                  <c:v>6h</c:v>
                </c:pt>
                <c:pt idx="2">
                  <c:v>7h</c:v>
                </c:pt>
                <c:pt idx="3">
                  <c:v>8h</c:v>
                </c:pt>
                <c:pt idx="4">
                  <c:v>9h</c:v>
                </c:pt>
                <c:pt idx="5">
                  <c:v>10h</c:v>
                </c:pt>
                <c:pt idx="6">
                  <c:v>11h</c:v>
                </c:pt>
                <c:pt idx="7">
                  <c:v>12h</c:v>
                </c:pt>
                <c:pt idx="8">
                  <c:v>13h</c:v>
                </c:pt>
                <c:pt idx="9">
                  <c:v>14h</c:v>
                </c:pt>
                <c:pt idx="10">
                  <c:v>15h</c:v>
                </c:pt>
                <c:pt idx="11">
                  <c:v>16h</c:v>
                </c:pt>
                <c:pt idx="12">
                  <c:v>17h</c:v>
                </c:pt>
                <c:pt idx="13">
                  <c:v>18h</c:v>
                </c:pt>
                <c:pt idx="14">
                  <c:v>19h</c:v>
                </c:pt>
                <c:pt idx="15">
                  <c:v>20h</c:v>
                </c:pt>
                <c:pt idx="16">
                  <c:v>21h</c:v>
                </c:pt>
                <c:pt idx="17">
                  <c:v>22h</c:v>
                </c:pt>
                <c:pt idx="18">
                  <c:v>23h</c:v>
                </c:pt>
                <c:pt idx="19">
                  <c:v>0h</c:v>
                </c:pt>
                <c:pt idx="20">
                  <c:v>Média</c:v>
                </c:pt>
              </c:strCache>
            </c:strRef>
          </c:cat>
          <c:val>
            <c:numRef>
              <c:f>Dados!$AB$5:$AB$25</c:f>
              <c:numCache>
                <c:formatCode>#,##0.00</c:formatCode>
                <c:ptCount val="21"/>
                <c:pt idx="0" formatCode="#,##0">
                  <c:v>2</c:v>
                </c:pt>
                <c:pt idx="1">
                  <c:v>2.9708333333333332</c:v>
                </c:pt>
                <c:pt idx="2">
                  <c:v>4.3125</c:v>
                </c:pt>
                <c:pt idx="3">
                  <c:v>2.5874999999999999</c:v>
                </c:pt>
                <c:pt idx="4">
                  <c:v>2.2999999999999998</c:v>
                </c:pt>
                <c:pt idx="5">
                  <c:v>1.8208333333333333</c:v>
                </c:pt>
                <c:pt idx="6">
                  <c:v>9.583333333333334E-2</c:v>
                </c:pt>
                <c:pt idx="7">
                  <c:v>2.0125000000000002</c:v>
                </c:pt>
                <c:pt idx="8">
                  <c:v>1.1499999999999999</c:v>
                </c:pt>
                <c:pt idx="9">
                  <c:v>1.7250000000000001</c:v>
                </c:pt>
                <c:pt idx="10">
                  <c:v>1.6291666666666667</c:v>
                </c:pt>
                <c:pt idx="11">
                  <c:v>2.4916666666666667</c:v>
                </c:pt>
                <c:pt idx="12">
                  <c:v>2.0125000000000002</c:v>
                </c:pt>
                <c:pt idx="13">
                  <c:v>1.9166666666666667</c:v>
                </c:pt>
                <c:pt idx="14">
                  <c:v>0.95833333333333337</c:v>
                </c:pt>
                <c:pt idx="15">
                  <c:v>0.95833333333333337</c:v>
                </c:pt>
                <c:pt idx="16">
                  <c:v>2.2041666666666666</c:v>
                </c:pt>
                <c:pt idx="17">
                  <c:v>2.2999999999999998</c:v>
                </c:pt>
                <c:pt idx="18">
                  <c:v>1.3416666666666666</c:v>
                </c:pt>
                <c:pt idx="19">
                  <c:v>0</c:v>
                </c:pt>
                <c:pt idx="20">
                  <c:v>1.8309210526315791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6-4224-9208-D2C2D1E10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1497487"/>
        <c:axId val="1371493647"/>
      </c:barChart>
      <c:catAx>
        <c:axId val="137149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1493647"/>
        <c:crosses val="autoZero"/>
        <c:auto val="1"/>
        <c:lblAlgn val="ctr"/>
        <c:lblOffset val="100"/>
        <c:noMultiLvlLbl val="0"/>
      </c:catAx>
      <c:valAx>
        <c:axId val="13714936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149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G$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26894</xdr:colOff>
      <xdr:row>0</xdr:row>
      <xdr:rowOff>38100</xdr:rowOff>
    </xdr:from>
    <xdr:to>
      <xdr:col>21</xdr:col>
      <xdr:colOff>17369</xdr:colOff>
      <xdr:row>0</xdr:row>
      <xdr:rowOff>533400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F7C0EFF-A2C3-4BDB-951A-5B39C5989512}"/>
            </a:ext>
          </a:extLst>
        </xdr:cNvPr>
        <xdr:cNvSpPr/>
      </xdr:nvSpPr>
      <xdr:spPr>
        <a:xfrm>
          <a:off x="5500106" y="38100"/>
          <a:ext cx="7573840" cy="495300"/>
        </a:xfrm>
        <a:prstGeom prst="roundRect">
          <a:avLst/>
        </a:prstGeom>
        <a:solidFill>
          <a:schemeClr val="accent6">
            <a:lumMod val="20000"/>
            <a:lumOff val="80000"/>
            <a:alpha val="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200025</xdr:rowOff>
        </xdr:from>
        <xdr:to>
          <xdr:col>6</xdr:col>
          <xdr:colOff>9525</xdr:colOff>
          <xdr:row>0</xdr:row>
          <xdr:rowOff>533401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C8A9E384-53B2-464B-B6B8-FB4066C30947}"/>
                </a:ext>
              </a:extLst>
            </xdr:cNvPr>
            <xdr:cNvGrpSpPr/>
          </xdr:nvGrpSpPr>
          <xdr:grpSpPr>
            <a:xfrm>
              <a:off x="3124200" y="200025"/>
              <a:ext cx="914400" cy="333376"/>
              <a:chOff x="3838574" y="76200"/>
              <a:chExt cx="838200" cy="333374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025" name="Option 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3838575" y="76200"/>
                <a:ext cx="834999" cy="173313"/>
              </a:xfrm>
              <a:prstGeom prst="rect">
                <a:avLst/>
              </a:prstGeom>
              <a:solidFill>
                <a:srgbClr val="D8D8D8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Componente</a:t>
                </a:r>
              </a:p>
            </xdr:txBody>
          </xdr:sp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38574" y="238124"/>
                <a:ext cx="838200" cy="171450"/>
              </a:xfrm>
              <a:prstGeom prst="rect">
                <a:avLst/>
              </a:prstGeom>
              <a:solidFill>
                <a:srgbClr val="D8D8D8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Matriz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38100</xdr:rowOff>
        </xdr:from>
        <xdr:to>
          <xdr:col>6</xdr:col>
          <xdr:colOff>9525</xdr:colOff>
          <xdr:row>0</xdr:row>
          <xdr:rowOff>209550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8D8D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Máquina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95251</xdr:colOff>
      <xdr:row>0</xdr:row>
      <xdr:rowOff>180973</xdr:rowOff>
    </xdr:from>
    <xdr:to>
      <xdr:col>20</xdr:col>
      <xdr:colOff>76201</xdr:colOff>
      <xdr:row>0</xdr:row>
      <xdr:rowOff>409575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F6A1625-CDD3-4A69-99FE-FA5C3BC2B0C9}"/>
            </a:ext>
          </a:extLst>
        </xdr:cNvPr>
        <xdr:cNvSpPr/>
      </xdr:nvSpPr>
      <xdr:spPr>
        <a:xfrm>
          <a:off x="5568463" y="180973"/>
          <a:ext cx="6809642" cy="228602"/>
        </a:xfrm>
        <a:prstGeom prst="roundRect">
          <a:avLst/>
        </a:prstGeom>
        <a:solidFill>
          <a:schemeClr val="accent1">
            <a:lumMod val="20000"/>
            <a:lumOff val="80000"/>
            <a:alpha val="53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95250</xdr:colOff>
      <xdr:row>0</xdr:row>
      <xdr:rowOff>9525</xdr:rowOff>
    </xdr:from>
    <xdr:to>
      <xdr:col>12</xdr:col>
      <xdr:colOff>962025</xdr:colOff>
      <xdr:row>0</xdr:row>
      <xdr:rowOff>190500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1FA318A-215C-4B91-9C26-E0E0E0A36206}"/>
            </a:ext>
          </a:extLst>
        </xdr:cNvPr>
        <xdr:cNvSpPr/>
      </xdr:nvSpPr>
      <xdr:spPr>
        <a:xfrm>
          <a:off x="5586132" y="9525"/>
          <a:ext cx="2054599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50000"/>
                </a:schemeClr>
              </a:solidFill>
            </a:rPr>
            <a:t>Código modelo base</a:t>
          </a:r>
        </a:p>
      </xdr:txBody>
    </xdr:sp>
    <xdr:clientData/>
  </xdr:twoCellAnchor>
  <xdr:twoCellAnchor>
    <xdr:from>
      <xdr:col>13</xdr:col>
      <xdr:colOff>342900</xdr:colOff>
      <xdr:row>0</xdr:row>
      <xdr:rowOff>0</xdr:rowOff>
    </xdr:from>
    <xdr:to>
      <xdr:col>15</xdr:col>
      <xdr:colOff>28574</xdr:colOff>
      <xdr:row>0</xdr:row>
      <xdr:rowOff>200025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0C44C11-BF1C-409B-8A84-494A22D40877}"/>
            </a:ext>
          </a:extLst>
        </xdr:cNvPr>
        <xdr:cNvSpPr/>
      </xdr:nvSpPr>
      <xdr:spPr>
        <a:xfrm>
          <a:off x="8108576" y="0"/>
          <a:ext cx="1007969" cy="2000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50000"/>
                </a:schemeClr>
              </a:solidFill>
            </a:rPr>
            <a:t>Pasta</a:t>
          </a:r>
        </a:p>
      </xdr:txBody>
    </xdr:sp>
    <xdr:clientData/>
  </xdr:twoCellAnchor>
  <xdr:twoCellAnchor>
    <xdr:from>
      <xdr:col>15</xdr:col>
      <xdr:colOff>104775</xdr:colOff>
      <xdr:row>0</xdr:row>
      <xdr:rowOff>9526</xdr:rowOff>
    </xdr:from>
    <xdr:to>
      <xdr:col>17</xdr:col>
      <xdr:colOff>247650</xdr:colOff>
      <xdr:row>0</xdr:row>
      <xdr:rowOff>180976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D8B72F4B-FF27-4700-9CCC-7802E0F544F5}"/>
            </a:ext>
          </a:extLst>
        </xdr:cNvPr>
        <xdr:cNvSpPr/>
      </xdr:nvSpPr>
      <xdr:spPr>
        <a:xfrm>
          <a:off x="9192746" y="9526"/>
          <a:ext cx="1151404" cy="1714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50000"/>
                </a:schemeClr>
              </a:solidFill>
            </a:rPr>
            <a:t>Descrição</a:t>
          </a:r>
        </a:p>
      </xdr:txBody>
    </xdr:sp>
    <xdr:clientData/>
  </xdr:twoCellAnchor>
  <xdr:twoCellAnchor editAs="oneCell">
    <xdr:from>
      <xdr:col>0</xdr:col>
      <xdr:colOff>57150</xdr:colOff>
      <xdr:row>0</xdr:row>
      <xdr:rowOff>0</xdr:rowOff>
    </xdr:from>
    <xdr:to>
      <xdr:col>0</xdr:col>
      <xdr:colOff>591766</xdr:colOff>
      <xdr:row>0</xdr:row>
      <xdr:rowOff>543430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9EE6434-82A6-4A50-9A3E-ADC9D7325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534616" cy="543430"/>
        </a:xfrm>
        <a:prstGeom prst="rect">
          <a:avLst/>
        </a:prstGeom>
      </xdr:spPr>
    </xdr:pic>
    <xdr:clientData/>
  </xdr:twoCellAnchor>
  <xdr:twoCellAnchor editAs="oneCell">
    <xdr:from>
      <xdr:col>0</xdr:col>
      <xdr:colOff>612509</xdr:colOff>
      <xdr:row>0</xdr:row>
      <xdr:rowOff>81701</xdr:rowOff>
    </xdr:from>
    <xdr:to>
      <xdr:col>3</xdr:col>
      <xdr:colOff>701201</xdr:colOff>
      <xdr:row>0</xdr:row>
      <xdr:rowOff>465402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8D9FB277-E26C-4C4E-BCF5-7F49E23547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474" t="43791" r="8842" b="43367"/>
        <a:stretch/>
      </xdr:blipFill>
      <xdr:spPr>
        <a:xfrm>
          <a:off x="612509" y="81701"/>
          <a:ext cx="2431437" cy="383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</xdr:colOff>
      <xdr:row>160</xdr:row>
      <xdr:rowOff>9601</xdr:rowOff>
    </xdr:from>
    <xdr:to>
      <xdr:col>4</xdr:col>
      <xdr:colOff>0</xdr:colOff>
      <xdr:row>160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4ED590-5412-4BC8-BD3F-8734D9F0CA7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52219" y="32042100"/>
          <a:ext cx="629031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62820</xdr:colOff>
      <xdr:row>2</xdr:row>
      <xdr:rowOff>419100</xdr:rowOff>
    </xdr:from>
    <xdr:to>
      <xdr:col>25</xdr:col>
      <xdr:colOff>19049</xdr:colOff>
      <xdr:row>12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58A864-5F1B-4F58-8F64-AA9F5D8DB2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6</xdr:col>
      <xdr:colOff>9525</xdr:colOff>
      <xdr:row>12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EA092B2-F9E9-478F-AB2E-1A879A5A6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81643</xdr:colOff>
      <xdr:row>57</xdr:row>
      <xdr:rowOff>68036</xdr:rowOff>
    </xdr:from>
    <xdr:to>
      <xdr:col>6</xdr:col>
      <xdr:colOff>91168</xdr:colOff>
      <xdr:row>67</xdr:row>
      <xdr:rowOff>48986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F4ACD1-727A-42D6-AE08-E957CDB91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138793</xdr:colOff>
      <xdr:row>57</xdr:row>
      <xdr:rowOff>68036</xdr:rowOff>
    </xdr:from>
    <xdr:to>
      <xdr:col>25</xdr:col>
      <xdr:colOff>95022</xdr:colOff>
      <xdr:row>67</xdr:row>
      <xdr:rowOff>50279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96A20D-8D29-4BEA-828B-D01DB2C47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40821</xdr:colOff>
      <xdr:row>108</xdr:row>
      <xdr:rowOff>421822</xdr:rowOff>
    </xdr:from>
    <xdr:to>
      <xdr:col>6</xdr:col>
      <xdr:colOff>50346</xdr:colOff>
      <xdr:row>118</xdr:row>
      <xdr:rowOff>157843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6F84C6-B3F6-42C5-B15F-EB6F1B679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115365</xdr:colOff>
      <xdr:row>108</xdr:row>
      <xdr:rowOff>421822</xdr:rowOff>
    </xdr:from>
    <xdr:to>
      <xdr:col>25</xdr:col>
      <xdr:colOff>71594</xdr:colOff>
      <xdr:row>118</xdr:row>
      <xdr:rowOff>160431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D753EA9-1992-4F69-9E42-5FBEF3701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59870</xdr:colOff>
      <xdr:row>119</xdr:row>
      <xdr:rowOff>34018</xdr:rowOff>
    </xdr:from>
    <xdr:to>
      <xdr:col>25</xdr:col>
      <xdr:colOff>107495</xdr:colOff>
      <xdr:row>131</xdr:row>
      <xdr:rowOff>14968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CB268B3-C9A3-4DF8-9E3F-DB23C6766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612320</xdr:colOff>
      <xdr:row>13</xdr:row>
      <xdr:rowOff>85725</xdr:rowOff>
    </xdr:from>
    <xdr:to>
      <xdr:col>25</xdr:col>
      <xdr:colOff>-1</xdr:colOff>
      <xdr:row>25</xdr:row>
      <xdr:rowOff>66675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7FA1EB0-FF5C-419A-A3EF-C7661FDA9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81643</xdr:colOff>
      <xdr:row>67</xdr:row>
      <xdr:rowOff>153761</xdr:rowOff>
    </xdr:from>
    <xdr:to>
      <xdr:col>25</xdr:col>
      <xdr:colOff>129268</xdr:colOff>
      <xdr:row>79</xdr:row>
      <xdr:rowOff>134711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2849196-2301-4BE3-AAFC-BA7B19E71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612320</xdr:colOff>
      <xdr:row>26</xdr:row>
      <xdr:rowOff>1</xdr:rowOff>
    </xdr:from>
    <xdr:to>
      <xdr:col>25</xdr:col>
      <xdr:colOff>-1</xdr:colOff>
      <xdr:row>37</xdr:row>
      <xdr:rowOff>171451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6336D98D-6268-4A09-B5BB-8D5F76A8B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13607</xdr:colOff>
      <xdr:row>38</xdr:row>
      <xdr:rowOff>108857</xdr:rowOff>
    </xdr:from>
    <xdr:to>
      <xdr:col>25</xdr:col>
      <xdr:colOff>13607</xdr:colOff>
      <xdr:row>50</xdr:row>
      <xdr:rowOff>89807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8838A0A-AAA1-4458-8982-FAAE8EFC1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81643</xdr:colOff>
      <xdr:row>80</xdr:row>
      <xdr:rowOff>68036</xdr:rowOff>
    </xdr:from>
    <xdr:to>
      <xdr:col>25</xdr:col>
      <xdr:colOff>129268</xdr:colOff>
      <xdr:row>92</xdr:row>
      <xdr:rowOff>48986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302E1BE-4B32-431F-A121-3DDEF19A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81643</xdr:colOff>
      <xdr:row>92</xdr:row>
      <xdr:rowOff>149679</xdr:rowOff>
    </xdr:from>
    <xdr:to>
      <xdr:col>25</xdr:col>
      <xdr:colOff>129268</xdr:colOff>
      <xdr:row>104</xdr:row>
      <xdr:rowOff>130629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83580A6-5D84-40B9-A0E0-1E995A26C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85725</xdr:colOff>
      <xdr:row>132</xdr:row>
      <xdr:rowOff>0</xdr:rowOff>
    </xdr:from>
    <xdr:to>
      <xdr:col>25</xdr:col>
      <xdr:colOff>133350</xdr:colOff>
      <xdr:row>143</xdr:row>
      <xdr:rowOff>171450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D3D7927-3407-4992-B44B-5BB92CFA4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95250</xdr:colOff>
      <xdr:row>144</xdr:row>
      <xdr:rowOff>123825</xdr:rowOff>
    </xdr:from>
    <xdr:to>
      <xdr:col>25</xdr:col>
      <xdr:colOff>142875</xdr:colOff>
      <xdr:row>156</xdr:row>
      <xdr:rowOff>104775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6F3CD1-E502-4765-9474-EF2F40E54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316666</xdr:colOff>
      <xdr:row>15</xdr:row>
      <xdr:rowOff>9925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6ED3FC-0382-106A-1258-9A7470FD9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6775866" cy="2867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114300</xdr:rowOff>
    </xdr:from>
    <xdr:to>
      <xdr:col>27</xdr:col>
      <xdr:colOff>240456</xdr:colOff>
      <xdr:row>32</xdr:row>
      <xdr:rowOff>162384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B389002-5EE1-1452-8E77-84BB657B2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71800"/>
          <a:ext cx="16699656" cy="328658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CF3A95CB-FD85-48BA-AA57-335C0FE53C0F}" autoFormatId="16" applyNumberFormats="0" applyBorderFormats="0" applyFontFormats="0" applyPatternFormats="0" applyAlignmentFormats="0" applyWidthHeightFormats="0">
  <queryTableRefresh nextId="8">
    <queryTableFields count="5">
      <queryTableField id="4" name="Fábrica" tableColumnId="4"/>
      <queryTableField id="1" name="Modelo" tableColumnId="1"/>
      <queryTableField id="2" name="Combinação TOTVS" tableColumnId="2"/>
      <queryTableField id="5" name="Subequipamentos" tableColumnId="5"/>
      <queryTableField id="3" name="Tota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B7EB2A-DC3E-4116-A0E0-F820C2FF2BDF}" name="Base_Custos__Mesa_Ser3" displayName="Base_Custos__Mesa_Ser3" ref="A1:E5034" tableType="queryTable" totalsRowShown="0">
  <autoFilter ref="A1:E5034" xr:uid="{4AC48769-ECA1-4BC7-B179-9EB39A52CC50}">
    <filterColumn colId="0">
      <filters>
        <filter val="SOB_20_7507_F7"/>
      </filters>
    </filterColumn>
  </autoFilter>
  <tableColumns count="5">
    <tableColumn id="4" xr3:uid="{47223F30-E068-40F9-9183-D32312F81EF6}" uniqueName="4" name="Fábrica" queryTableFieldId="4" dataDxfId="14"/>
    <tableColumn id="1" xr3:uid="{14780925-99F1-47FF-9E5E-9072AC2304D1}" uniqueName="1" name="Modelo" queryTableFieldId="1"/>
    <tableColumn id="2" xr3:uid="{10BF3B11-A75C-496E-8409-2E8EF06E3646}" uniqueName="2" name="Combinação TOTVS" queryTableFieldId="2" dataDxfId="13"/>
    <tableColumn id="5" xr3:uid="{9A36AE1D-53E6-4632-9D0D-776B8F8D924E}" uniqueName="5" name="Subequipamentos" queryTableFieldId="5" dataDxfId="12"/>
    <tableColumn id="3" xr3:uid="{8767E158-1384-4B5B-8B21-16E581277722}" uniqueName="3" name="Total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52B43C-F9CD-4762-8D95-740C24F7D490}" name="Tabela3" displayName="Tabela3" ref="B4:E24" totalsRowShown="0" headerRowDxfId="11">
  <tableColumns count="4">
    <tableColumn id="1" xr3:uid="{E60BD73D-AB11-4F3C-9FEB-A75273D1ED4A}" name="Hora" dataDxfId="10"/>
    <tableColumn id="2" xr3:uid="{ACDA3BAE-C324-4B9C-9D6A-EA25B6C8DAFB}" name="Trocas"/>
    <tableColumn id="3" xr3:uid="{1AD59765-1C11-4457-8622-B85E0A3D155E}" name="Telas"/>
    <tableColumn id="4" xr3:uid="{4E618EBE-FB8E-4B46-AF7E-122F548DFA57}" name="Troca de cor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496E88-AA1E-417A-8B0E-03B5637121F5}" name="Tabela35" displayName="Tabela35" ref="L4:O24" totalsRowShown="0" headerRowDxfId="9">
  <autoFilter ref="L4:O24" xr:uid="{99496E88-AA1E-417A-8B0E-03B5637121F5}"/>
  <tableColumns count="4">
    <tableColumn id="1" xr3:uid="{C0858F7F-840D-4B23-92CF-592D13DA2ADB}" name="Hora" dataDxfId="8"/>
    <tableColumn id="2" xr3:uid="{6AEFB098-0C18-4971-9C3F-4CAECBFC02CF}" name="Trocas" dataDxfId="7">
      <calculatedColumnFormula>SUMIFS(Resumo_Trocas!$C:$C,Resumo_Trocas!$G:$G,"Montagem",Resumo_Trocas!$H:$H,$L5)</calculatedColumnFormula>
    </tableColumn>
    <tableColumn id="3" xr3:uid="{D1E4A68D-0E32-451C-B256-79879DEC943D}" name="Telas" dataDxfId="6">
      <calculatedColumnFormula>SUMIFS(Resumo_Trocas!$D:$D,Resumo_Trocas!$G:$G,"Montagem",Resumo_Trocas!$H:$H,$L5)</calculatedColumnFormula>
    </tableColumn>
    <tableColumn id="4" xr3:uid="{44C963FB-4436-4472-B928-D02986BC352F}" name="Troca de cor" dataDxfId="5">
      <calculatedColumnFormula>SUMIFS(Resumo_Trocas!$E:$E,Resumo_Trocas!$G:$G,"Montagem",Resumo_Trocas!$H:$H,$L5)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DC5739-10E4-4A39-97CD-1811D4B03DC4}" name="Tabela356" displayName="Tabela356" ref="V4:Y24" totalsRowShown="0" headerRowDxfId="4">
  <autoFilter ref="V4:Y24" xr:uid="{26DC5739-10E4-4A39-97CD-1811D4B03DC4}"/>
  <tableColumns count="4">
    <tableColumn id="1" xr3:uid="{A99C1F96-290B-4E9B-AB66-A62E17C6D801}" name="Hora" dataDxfId="3"/>
    <tableColumn id="2" xr3:uid="{592B2AAF-D3D6-4DB9-AFC9-35D1EF5673A5}" name="Trocas" dataDxfId="2">
      <calculatedColumnFormula>SUMIFS(Resumo_Trocas!$C:$C,Resumo_Trocas!$G:$G,"Serigrafia",Resumo_Trocas!$H:$H,$V5)</calculatedColumnFormula>
    </tableColumn>
    <tableColumn id="3" xr3:uid="{64AA1854-884C-490C-8729-F7F19C9E4CA2}" name="Telas" dataDxfId="1">
      <calculatedColumnFormula>SUMIFS(Resumo_Trocas!$D:$D,Resumo_Trocas!$G:$G,"Serigrafia",Resumo_Trocas!$H:$H,$V5)</calculatedColumnFormula>
    </tableColumn>
    <tableColumn id="4" xr3:uid="{3BC9359C-9FA6-4C18-8120-256DEC5B1CEB}" name="Troca de co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9ED1-0E63-4823-BB32-F81A6D68008C}">
  <sheetPr codeName="wsCargaRegistrada"/>
  <dimension ref="A1:J18259"/>
  <sheetViews>
    <sheetView showGridLines="0" zoomScaleNormal="100" workbookViewId="0"/>
  </sheetViews>
  <sheetFormatPr defaultColWidth="9.140625" defaultRowHeight="15.75" x14ac:dyDescent="0.25"/>
  <cols>
    <col min="1" max="1" width="12.85546875" style="1" bestFit="1" customWidth="1"/>
    <col min="2" max="2" width="20" style="2" bestFit="1" customWidth="1"/>
    <col min="3" max="3" width="21.42578125" style="2" bestFit="1" customWidth="1"/>
    <col min="4" max="4" width="17.5703125" style="1" bestFit="1" customWidth="1"/>
    <col min="5" max="5" width="10.7109375" style="1" bestFit="1" customWidth="1"/>
    <col min="6" max="6" width="15.42578125" style="1" customWidth="1"/>
    <col min="7" max="7" width="24" style="4" bestFit="1" customWidth="1"/>
    <col min="8" max="8" width="16.28515625" style="3" customWidth="1"/>
    <col min="9" max="9" width="24.28515625" style="1" customWidth="1"/>
    <col min="10" max="10" width="16" style="1" customWidth="1"/>
    <col min="11" max="16384" width="9.140625" style="1"/>
  </cols>
  <sheetData>
    <row r="1" spans="1:10" ht="30" customHeight="1" x14ac:dyDescent="0.25">
      <c r="A1" s="39" t="s">
        <v>0</v>
      </c>
      <c r="B1" s="40" t="s">
        <v>1</v>
      </c>
      <c r="C1" s="40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41" t="s">
        <v>7</v>
      </c>
      <c r="I1" s="39" t="s">
        <v>8</v>
      </c>
      <c r="J1" s="39" t="s">
        <v>9</v>
      </c>
    </row>
    <row r="2" spans="1:10" s="42" customFormat="1" ht="15" x14ac:dyDescent="0.25">
      <c r="A2" s="42" t="s">
        <v>10</v>
      </c>
      <c r="B2" s="42">
        <v>140552</v>
      </c>
      <c r="C2" s="42">
        <v>53</v>
      </c>
      <c r="D2" s="42" t="s">
        <v>11</v>
      </c>
      <c r="E2" s="42">
        <v>1358</v>
      </c>
      <c r="F2" s="42">
        <v>1916723</v>
      </c>
      <c r="G2" s="42" t="s">
        <v>12</v>
      </c>
      <c r="H2" s="42">
        <v>171</v>
      </c>
      <c r="I2" s="42">
        <v>540</v>
      </c>
      <c r="J2" s="52">
        <v>0.19930555555555554</v>
      </c>
    </row>
    <row r="3" spans="1:10" s="42" customFormat="1" ht="15" x14ac:dyDescent="0.25">
      <c r="A3" s="42" t="s">
        <v>10</v>
      </c>
      <c r="B3" s="42">
        <v>140552</v>
      </c>
      <c r="C3" s="42">
        <v>53</v>
      </c>
      <c r="D3" s="42" t="s">
        <v>11</v>
      </c>
      <c r="E3" s="42">
        <v>1358</v>
      </c>
      <c r="F3" s="42">
        <v>1916723</v>
      </c>
      <c r="G3" s="42" t="s">
        <v>12</v>
      </c>
      <c r="H3" s="42">
        <v>227</v>
      </c>
      <c r="I3" s="42">
        <v>540</v>
      </c>
      <c r="J3" s="52">
        <v>0</v>
      </c>
    </row>
    <row r="4" spans="1:10" s="42" customFormat="1" ht="15" x14ac:dyDescent="0.25">
      <c r="A4" s="42" t="s">
        <v>10</v>
      </c>
      <c r="B4" s="42">
        <v>141211</v>
      </c>
      <c r="C4" s="42">
        <v>6</v>
      </c>
      <c r="D4" s="42" t="s">
        <v>11</v>
      </c>
      <c r="E4" s="42">
        <v>1418</v>
      </c>
      <c r="F4" s="42">
        <v>3446222</v>
      </c>
      <c r="G4" s="42" t="s">
        <v>13</v>
      </c>
      <c r="H4" s="42">
        <v>1001</v>
      </c>
      <c r="I4" s="42">
        <v>19</v>
      </c>
      <c r="J4" s="52">
        <v>9.7222222222222224E-3</v>
      </c>
    </row>
    <row r="5" spans="1:10" s="42" customFormat="1" ht="15" x14ac:dyDescent="0.25">
      <c r="A5" s="42" t="s">
        <v>10</v>
      </c>
      <c r="B5" s="42">
        <v>141212</v>
      </c>
      <c r="C5" s="42">
        <v>6</v>
      </c>
      <c r="D5" s="42" t="s">
        <v>11</v>
      </c>
      <c r="E5" s="42">
        <v>16536</v>
      </c>
      <c r="F5" s="42">
        <v>3446222</v>
      </c>
      <c r="G5" s="42" t="s">
        <v>13</v>
      </c>
      <c r="H5" s="42">
        <v>1001</v>
      </c>
      <c r="I5" s="42">
        <v>27</v>
      </c>
      <c r="J5" s="52">
        <v>1.5277777777777777E-2</v>
      </c>
    </row>
    <row r="6" spans="1:10" s="42" customFormat="1" ht="15" x14ac:dyDescent="0.25">
      <c r="A6" s="42" t="s">
        <v>10</v>
      </c>
      <c r="B6" s="42">
        <v>141212</v>
      </c>
      <c r="C6" s="42">
        <v>6</v>
      </c>
      <c r="D6" s="42" t="s">
        <v>11</v>
      </c>
      <c r="E6" s="42">
        <v>16536</v>
      </c>
      <c r="F6" s="42">
        <v>3446222</v>
      </c>
      <c r="G6" s="42" t="s">
        <v>13</v>
      </c>
      <c r="H6" s="42">
        <v>1002</v>
      </c>
      <c r="I6" s="42">
        <v>27</v>
      </c>
      <c r="J6" s="52">
        <v>0</v>
      </c>
    </row>
    <row r="7" spans="1:10" s="42" customFormat="1" ht="15" x14ac:dyDescent="0.25">
      <c r="A7" s="42" t="s">
        <v>10</v>
      </c>
      <c r="B7" s="42">
        <v>141255</v>
      </c>
      <c r="C7" s="42">
        <v>15</v>
      </c>
      <c r="D7" s="42" t="s">
        <v>11</v>
      </c>
      <c r="E7" s="42">
        <v>1003</v>
      </c>
      <c r="F7" s="42">
        <v>1908602</v>
      </c>
      <c r="G7" s="42" t="s">
        <v>14</v>
      </c>
      <c r="H7" s="42">
        <v>334</v>
      </c>
      <c r="I7" s="42">
        <v>200</v>
      </c>
      <c r="J7" s="52">
        <v>6.6666666666666666E-2</v>
      </c>
    </row>
    <row r="8" spans="1:10" s="42" customFormat="1" ht="15" x14ac:dyDescent="0.25">
      <c r="A8" s="42" t="s">
        <v>10</v>
      </c>
      <c r="B8" s="42">
        <v>141376</v>
      </c>
      <c r="C8" s="42">
        <v>14</v>
      </c>
      <c r="D8" s="42" t="s">
        <v>11</v>
      </c>
      <c r="E8" s="42">
        <v>1651</v>
      </c>
      <c r="F8" s="42">
        <v>2731102</v>
      </c>
      <c r="G8" s="42" t="s">
        <v>15</v>
      </c>
      <c r="H8" s="42">
        <v>178</v>
      </c>
      <c r="I8" s="42">
        <v>30</v>
      </c>
      <c r="J8" s="52">
        <v>2.7777777777777779E-3</v>
      </c>
    </row>
    <row r="9" spans="1:10" s="42" customFormat="1" ht="15" x14ac:dyDescent="0.25">
      <c r="A9" s="42" t="s">
        <v>10</v>
      </c>
      <c r="B9" s="42">
        <v>141376</v>
      </c>
      <c r="C9" s="42">
        <v>15</v>
      </c>
      <c r="D9" s="42" t="s">
        <v>11</v>
      </c>
      <c r="E9" s="42">
        <v>1651</v>
      </c>
      <c r="F9" s="42">
        <v>2731102</v>
      </c>
      <c r="G9" s="42" t="s">
        <v>15</v>
      </c>
      <c r="H9" s="42">
        <v>190</v>
      </c>
      <c r="I9" s="42">
        <v>40</v>
      </c>
      <c r="J9" s="52">
        <v>4.1666666666666666E-3</v>
      </c>
    </row>
    <row r="10" spans="1:10" s="42" customFormat="1" ht="15" x14ac:dyDescent="0.25">
      <c r="A10" s="42" t="s">
        <v>10</v>
      </c>
      <c r="B10" s="42">
        <v>141377</v>
      </c>
      <c r="C10" s="42">
        <v>12</v>
      </c>
      <c r="D10" s="42" t="s">
        <v>11</v>
      </c>
      <c r="E10" s="42">
        <v>6725</v>
      </c>
      <c r="F10" s="42">
        <v>2731102</v>
      </c>
      <c r="G10" s="42" t="s">
        <v>15</v>
      </c>
      <c r="H10" s="42">
        <v>190</v>
      </c>
      <c r="I10" s="42">
        <v>68</v>
      </c>
      <c r="J10" s="52">
        <v>6.9444444444444441E-3</v>
      </c>
    </row>
    <row r="11" spans="1:10" s="42" customFormat="1" ht="15" x14ac:dyDescent="0.25">
      <c r="A11" s="42" t="s">
        <v>10</v>
      </c>
      <c r="B11" s="42">
        <v>141514</v>
      </c>
      <c r="C11" s="42">
        <v>21</v>
      </c>
      <c r="D11" s="42" t="s">
        <v>11</v>
      </c>
      <c r="E11" s="42">
        <v>10647</v>
      </c>
      <c r="F11" s="42">
        <v>1908602</v>
      </c>
      <c r="G11" s="42" t="s">
        <v>14</v>
      </c>
      <c r="H11" s="42">
        <v>334</v>
      </c>
      <c r="I11" s="42">
        <v>60</v>
      </c>
      <c r="J11" s="52">
        <v>2.013888888888889E-2</v>
      </c>
    </row>
    <row r="12" spans="1:10" s="42" customFormat="1" ht="15" x14ac:dyDescent="0.25">
      <c r="A12" s="42" t="s">
        <v>10</v>
      </c>
      <c r="B12" s="42">
        <v>141514</v>
      </c>
      <c r="C12" s="42">
        <v>21</v>
      </c>
      <c r="D12" s="42" t="s">
        <v>11</v>
      </c>
      <c r="E12" s="42">
        <v>10647</v>
      </c>
      <c r="F12" s="42">
        <v>1908602</v>
      </c>
      <c r="G12" s="42" t="s">
        <v>14</v>
      </c>
      <c r="H12" s="42">
        <v>394</v>
      </c>
      <c r="I12" s="42">
        <v>46</v>
      </c>
      <c r="J12" s="52">
        <v>0</v>
      </c>
    </row>
    <row r="13" spans="1:10" s="42" customFormat="1" ht="15" x14ac:dyDescent="0.25">
      <c r="A13" s="42" t="s">
        <v>10</v>
      </c>
      <c r="B13" s="42">
        <v>141515</v>
      </c>
      <c r="C13" s="42">
        <v>21</v>
      </c>
      <c r="D13" s="42" t="s">
        <v>11</v>
      </c>
      <c r="E13" s="42">
        <v>1003</v>
      </c>
      <c r="F13" s="42">
        <v>1908602</v>
      </c>
      <c r="G13" s="42" t="s">
        <v>14</v>
      </c>
      <c r="H13" s="42">
        <v>334</v>
      </c>
      <c r="I13" s="42">
        <v>90</v>
      </c>
      <c r="J13" s="52">
        <v>2.9861111111111113E-2</v>
      </c>
    </row>
    <row r="14" spans="1:10" s="42" customFormat="1" ht="15" x14ac:dyDescent="0.25">
      <c r="A14" s="42" t="s">
        <v>10</v>
      </c>
      <c r="B14" s="42">
        <v>141515</v>
      </c>
      <c r="C14" s="42">
        <v>21</v>
      </c>
      <c r="D14" s="42" t="s">
        <v>11</v>
      </c>
      <c r="E14" s="42">
        <v>1003</v>
      </c>
      <c r="F14" s="42">
        <v>1908602</v>
      </c>
      <c r="G14" s="42" t="s">
        <v>14</v>
      </c>
      <c r="H14" s="42">
        <v>394</v>
      </c>
      <c r="I14" s="42">
        <v>90</v>
      </c>
      <c r="J14" s="52">
        <v>0</v>
      </c>
    </row>
    <row r="15" spans="1:10" s="42" customFormat="1" ht="15" x14ac:dyDescent="0.25">
      <c r="A15" s="42" t="s">
        <v>10</v>
      </c>
      <c r="B15" s="42">
        <v>141516</v>
      </c>
      <c r="C15" s="42">
        <v>21</v>
      </c>
      <c r="D15" s="42" t="s">
        <v>11</v>
      </c>
      <c r="E15" s="42">
        <v>16601</v>
      </c>
      <c r="F15" s="42">
        <v>1908602</v>
      </c>
      <c r="G15" s="42" t="s">
        <v>14</v>
      </c>
      <c r="H15" s="42">
        <v>334</v>
      </c>
      <c r="I15" s="42">
        <v>72</v>
      </c>
      <c r="J15" s="52">
        <v>0</v>
      </c>
    </row>
    <row r="16" spans="1:10" s="42" customFormat="1" ht="15" x14ac:dyDescent="0.25">
      <c r="A16" s="42" t="s">
        <v>10</v>
      </c>
      <c r="B16" s="42">
        <v>141516</v>
      </c>
      <c r="C16" s="42">
        <v>21</v>
      </c>
      <c r="D16" s="42" t="s">
        <v>11</v>
      </c>
      <c r="E16" s="42">
        <v>16601</v>
      </c>
      <c r="F16" s="42">
        <v>1908602</v>
      </c>
      <c r="G16" s="42" t="s">
        <v>14</v>
      </c>
      <c r="H16" s="42">
        <v>394</v>
      </c>
      <c r="I16" s="42">
        <v>82</v>
      </c>
      <c r="J16" s="52">
        <v>2.7083333333333334E-2</v>
      </c>
    </row>
    <row r="17" spans="1:10" s="42" customFormat="1" ht="15" x14ac:dyDescent="0.25">
      <c r="A17" s="42" t="s">
        <v>10</v>
      </c>
      <c r="B17" s="42">
        <v>141517</v>
      </c>
      <c r="C17" s="42">
        <v>21</v>
      </c>
      <c r="D17" s="42" t="s">
        <v>11</v>
      </c>
      <c r="E17" s="42">
        <v>19701</v>
      </c>
      <c r="F17" s="42">
        <v>1908602</v>
      </c>
      <c r="G17" s="42" t="s">
        <v>14</v>
      </c>
      <c r="H17" s="42">
        <v>334</v>
      </c>
      <c r="I17" s="42">
        <v>66</v>
      </c>
      <c r="J17" s="52">
        <v>2.2222222222222223E-2</v>
      </c>
    </row>
    <row r="18" spans="1:10" s="42" customFormat="1" ht="15" x14ac:dyDescent="0.25">
      <c r="A18" s="42" t="s">
        <v>10</v>
      </c>
      <c r="B18" s="42">
        <v>141517</v>
      </c>
      <c r="C18" s="42">
        <v>21</v>
      </c>
      <c r="D18" s="42" t="s">
        <v>11</v>
      </c>
      <c r="E18" s="42">
        <v>19701</v>
      </c>
      <c r="F18" s="42">
        <v>1908602</v>
      </c>
      <c r="G18" s="42" t="s">
        <v>14</v>
      </c>
      <c r="H18" s="42">
        <v>394</v>
      </c>
      <c r="I18" s="42">
        <v>50</v>
      </c>
      <c r="J18" s="52">
        <v>0</v>
      </c>
    </row>
    <row r="19" spans="1:10" s="42" customFormat="1" ht="15" x14ac:dyDescent="0.25">
      <c r="A19" s="42" t="s">
        <v>10</v>
      </c>
      <c r="B19" s="42">
        <v>141518</v>
      </c>
      <c r="C19" s="42">
        <v>21</v>
      </c>
      <c r="D19" s="42" t="s">
        <v>11</v>
      </c>
      <c r="E19" s="42">
        <v>1003</v>
      </c>
      <c r="F19" s="42">
        <v>1908602</v>
      </c>
      <c r="G19" s="42" t="s">
        <v>14</v>
      </c>
      <c r="H19" s="42">
        <v>334</v>
      </c>
      <c r="I19" s="42">
        <v>120</v>
      </c>
      <c r="J19" s="52">
        <v>4.027777777777778E-2</v>
      </c>
    </row>
    <row r="20" spans="1:10" s="42" customFormat="1" ht="15" x14ac:dyDescent="0.25">
      <c r="A20" s="42" t="s">
        <v>10</v>
      </c>
      <c r="B20" s="42">
        <v>141518</v>
      </c>
      <c r="C20" s="42">
        <v>21</v>
      </c>
      <c r="D20" s="42" t="s">
        <v>11</v>
      </c>
      <c r="E20" s="42">
        <v>1003</v>
      </c>
      <c r="F20" s="42">
        <v>1908602</v>
      </c>
      <c r="G20" s="42" t="s">
        <v>14</v>
      </c>
      <c r="H20" s="42">
        <v>394</v>
      </c>
      <c r="I20" s="42">
        <v>88</v>
      </c>
      <c r="J20" s="52">
        <v>0</v>
      </c>
    </row>
    <row r="21" spans="1:10" s="42" customFormat="1" ht="15" x14ac:dyDescent="0.25">
      <c r="A21" s="42" t="s">
        <v>10</v>
      </c>
      <c r="B21" s="42">
        <v>141519</v>
      </c>
      <c r="C21" s="42">
        <v>21</v>
      </c>
      <c r="D21" s="42" t="s">
        <v>11</v>
      </c>
      <c r="E21" s="42">
        <v>16367</v>
      </c>
      <c r="F21" s="42">
        <v>1908602</v>
      </c>
      <c r="G21" s="42" t="s">
        <v>14</v>
      </c>
      <c r="H21" s="42">
        <v>334</v>
      </c>
      <c r="I21" s="42">
        <v>76</v>
      </c>
      <c r="J21" s="52">
        <v>2.4999999999999998E-2</v>
      </c>
    </row>
    <row r="22" spans="1:10" s="42" customFormat="1" ht="15" x14ac:dyDescent="0.25">
      <c r="A22" s="42" t="s">
        <v>10</v>
      </c>
      <c r="B22" s="42">
        <v>141914</v>
      </c>
      <c r="C22" s="42">
        <v>22</v>
      </c>
      <c r="D22" s="42" t="s">
        <v>11</v>
      </c>
      <c r="E22" s="42">
        <v>16332</v>
      </c>
      <c r="F22" s="42">
        <v>8366604</v>
      </c>
      <c r="G22" s="42" t="s">
        <v>16</v>
      </c>
      <c r="H22" s="42">
        <v>410</v>
      </c>
      <c r="I22" s="42">
        <v>15</v>
      </c>
      <c r="J22" s="52">
        <v>5.5555555555555558E-3</v>
      </c>
    </row>
    <row r="23" spans="1:10" s="42" customFormat="1" ht="15" x14ac:dyDescent="0.25">
      <c r="A23" s="42" t="s">
        <v>10</v>
      </c>
      <c r="B23" s="42">
        <v>141924</v>
      </c>
      <c r="C23" s="42">
        <v>19</v>
      </c>
      <c r="D23" s="42" t="s">
        <v>11</v>
      </c>
      <c r="E23" s="42">
        <v>1457</v>
      </c>
      <c r="F23" s="42">
        <v>8370802</v>
      </c>
      <c r="G23" s="42" t="s">
        <v>17</v>
      </c>
      <c r="H23" s="42">
        <v>410</v>
      </c>
      <c r="I23" s="42">
        <v>14</v>
      </c>
      <c r="J23" s="52">
        <v>5.5555555555555558E-3</v>
      </c>
    </row>
    <row r="24" spans="1:10" s="42" customFormat="1" ht="15" x14ac:dyDescent="0.25">
      <c r="A24" s="42" t="s">
        <v>10</v>
      </c>
      <c r="B24" s="42">
        <v>141924</v>
      </c>
      <c r="C24" s="42">
        <v>34</v>
      </c>
      <c r="D24" s="42" t="s">
        <v>11</v>
      </c>
      <c r="E24" s="42">
        <v>1457</v>
      </c>
      <c r="F24" s="42">
        <v>8370804</v>
      </c>
      <c r="G24" s="42" t="s">
        <v>16</v>
      </c>
      <c r="H24" s="42">
        <v>410</v>
      </c>
      <c r="I24" s="42">
        <v>14</v>
      </c>
      <c r="J24" s="52">
        <v>4.8611111111111112E-3</v>
      </c>
    </row>
    <row r="25" spans="1:10" s="42" customFormat="1" ht="15" x14ac:dyDescent="0.25">
      <c r="A25" s="42" t="s">
        <v>10</v>
      </c>
      <c r="B25" s="42">
        <v>141925</v>
      </c>
      <c r="C25" s="42">
        <v>19</v>
      </c>
      <c r="D25" s="42" t="s">
        <v>11</v>
      </c>
      <c r="E25" s="42">
        <v>1003</v>
      </c>
      <c r="F25" s="42">
        <v>8370802</v>
      </c>
      <c r="G25" s="42" t="s">
        <v>17</v>
      </c>
      <c r="H25" s="42">
        <v>410</v>
      </c>
      <c r="I25" s="42">
        <v>27</v>
      </c>
      <c r="J25" s="52">
        <v>1.1111111111111112E-2</v>
      </c>
    </row>
    <row r="26" spans="1:10" s="42" customFormat="1" ht="15" x14ac:dyDescent="0.25">
      <c r="A26" s="42" t="s">
        <v>10</v>
      </c>
      <c r="B26" s="42">
        <v>141925</v>
      </c>
      <c r="C26" s="42">
        <v>34</v>
      </c>
      <c r="D26" s="42" t="s">
        <v>11</v>
      </c>
      <c r="E26" s="42">
        <v>1003</v>
      </c>
      <c r="F26" s="42">
        <v>8370804</v>
      </c>
      <c r="G26" s="42" t="s">
        <v>16</v>
      </c>
      <c r="H26" s="42">
        <v>410</v>
      </c>
      <c r="I26" s="42">
        <v>27</v>
      </c>
      <c r="J26" s="52">
        <v>9.7222222222222224E-3</v>
      </c>
    </row>
    <row r="27" spans="1:10" s="42" customFormat="1" ht="15" x14ac:dyDescent="0.25">
      <c r="A27" s="42" t="s">
        <v>18</v>
      </c>
      <c r="B27" s="42">
        <v>141492</v>
      </c>
      <c r="C27" s="42">
        <v>31</v>
      </c>
      <c r="D27" s="42" t="s">
        <v>11</v>
      </c>
      <c r="E27" s="42">
        <v>1187</v>
      </c>
      <c r="F27" s="42">
        <v>1221224</v>
      </c>
      <c r="G27" s="42" t="s">
        <v>19</v>
      </c>
      <c r="H27" s="42">
        <v>5</v>
      </c>
      <c r="I27" s="53">
        <v>4094</v>
      </c>
      <c r="J27" s="52">
        <v>0.41597222222222219</v>
      </c>
    </row>
    <row r="28" spans="1:10" s="42" customFormat="1" ht="15" x14ac:dyDescent="0.25">
      <c r="A28" s="42" t="s">
        <v>18</v>
      </c>
      <c r="B28" s="42">
        <v>141495</v>
      </c>
      <c r="C28" s="42">
        <v>31</v>
      </c>
      <c r="D28" s="42" t="s">
        <v>11</v>
      </c>
      <c r="E28" s="42">
        <v>16602</v>
      </c>
      <c r="F28" s="42">
        <v>1221225</v>
      </c>
      <c r="G28" s="42" t="s">
        <v>19</v>
      </c>
      <c r="H28" s="42">
        <v>5</v>
      </c>
      <c r="I28" s="42">
        <v>472</v>
      </c>
      <c r="J28" s="52">
        <v>4.7222222222222221E-2</v>
      </c>
    </row>
    <row r="29" spans="1:10" s="42" customFormat="1" ht="15" x14ac:dyDescent="0.25">
      <c r="A29" s="42" t="s">
        <v>18</v>
      </c>
      <c r="B29" s="42">
        <v>142453</v>
      </c>
      <c r="C29" s="42">
        <v>59</v>
      </c>
      <c r="D29" s="42" t="s">
        <v>11</v>
      </c>
      <c r="E29" s="42">
        <v>14500</v>
      </c>
      <c r="F29" s="42">
        <v>3585324</v>
      </c>
      <c r="G29" s="42" t="s">
        <v>20</v>
      </c>
      <c r="H29" s="42">
        <v>5</v>
      </c>
      <c r="I29" s="42">
        <v>969</v>
      </c>
      <c r="J29" s="52">
        <v>8.1944444444444445E-2</v>
      </c>
    </row>
    <row r="30" spans="1:10" s="42" customFormat="1" ht="15" x14ac:dyDescent="0.25">
      <c r="A30" s="42" t="s">
        <v>18</v>
      </c>
      <c r="B30" s="42">
        <v>142465</v>
      </c>
      <c r="C30" s="42">
        <v>39</v>
      </c>
      <c r="D30" s="42" t="s">
        <v>11</v>
      </c>
      <c r="E30" s="42">
        <v>14500</v>
      </c>
      <c r="F30" s="42">
        <v>3585324</v>
      </c>
      <c r="G30" s="42" t="s">
        <v>20</v>
      </c>
      <c r="H30" s="42">
        <v>5</v>
      </c>
      <c r="I30" s="42">
        <v>650</v>
      </c>
      <c r="J30" s="52">
        <v>5.486111111111111E-2</v>
      </c>
    </row>
    <row r="31" spans="1:10" s="42" customFormat="1" ht="15" x14ac:dyDescent="0.25">
      <c r="A31" s="42" t="s">
        <v>18</v>
      </c>
      <c r="B31" s="42">
        <v>147463</v>
      </c>
      <c r="C31" s="42">
        <v>12</v>
      </c>
      <c r="D31" s="42" t="s">
        <v>11</v>
      </c>
      <c r="E31" s="42">
        <v>19683</v>
      </c>
      <c r="F31" s="42">
        <v>8365323</v>
      </c>
      <c r="G31" s="42" t="s">
        <v>21</v>
      </c>
      <c r="H31" s="42">
        <v>371</v>
      </c>
      <c r="I31" s="42">
        <v>11</v>
      </c>
      <c r="J31" s="52">
        <v>5.5555555555555558E-3</v>
      </c>
    </row>
    <row r="32" spans="1:10" s="42" customFormat="1" ht="15" x14ac:dyDescent="0.25">
      <c r="A32" s="42" t="s">
        <v>22</v>
      </c>
      <c r="B32" s="42">
        <v>121604</v>
      </c>
      <c r="C32" s="42">
        <v>98</v>
      </c>
      <c r="D32" s="42" t="s">
        <v>11</v>
      </c>
      <c r="E32" s="42">
        <v>1452</v>
      </c>
      <c r="F32" s="42">
        <v>3611724</v>
      </c>
      <c r="G32" s="42" t="s">
        <v>23</v>
      </c>
      <c r="H32" s="42">
        <v>268</v>
      </c>
      <c r="I32" s="42">
        <v>156</v>
      </c>
      <c r="J32" s="52">
        <v>1.8749999999999999E-2</v>
      </c>
    </row>
    <row r="33" spans="1:10" s="42" customFormat="1" ht="15" x14ac:dyDescent="0.25">
      <c r="A33" s="42" t="s">
        <v>22</v>
      </c>
      <c r="B33" s="42">
        <v>121605</v>
      </c>
      <c r="C33" s="42">
        <v>98</v>
      </c>
      <c r="D33" s="42" t="s">
        <v>11</v>
      </c>
      <c r="E33" s="42">
        <v>16331</v>
      </c>
      <c r="F33" s="42">
        <v>3611724</v>
      </c>
      <c r="G33" s="42" t="s">
        <v>23</v>
      </c>
      <c r="H33" s="42">
        <v>268</v>
      </c>
      <c r="I33" s="42">
        <v>424</v>
      </c>
      <c r="J33" s="52">
        <v>5.0694444444444452E-2</v>
      </c>
    </row>
    <row r="34" spans="1:10" s="42" customFormat="1" ht="15" x14ac:dyDescent="0.25">
      <c r="A34" s="42" t="s">
        <v>22</v>
      </c>
      <c r="B34" s="42">
        <v>121607</v>
      </c>
      <c r="C34" s="42">
        <v>98</v>
      </c>
      <c r="D34" s="42" t="s">
        <v>11</v>
      </c>
      <c r="E34" s="42">
        <v>16597</v>
      </c>
      <c r="F34" s="42">
        <v>3611724</v>
      </c>
      <c r="G34" s="42" t="s">
        <v>23</v>
      </c>
      <c r="H34" s="42">
        <v>268</v>
      </c>
      <c r="I34" s="42">
        <v>300</v>
      </c>
      <c r="J34" s="52">
        <v>3.6111111111111115E-2</v>
      </c>
    </row>
    <row r="35" spans="1:10" s="42" customFormat="1" ht="15" x14ac:dyDescent="0.25">
      <c r="A35" s="42" t="s">
        <v>22</v>
      </c>
      <c r="B35" s="42">
        <v>127284</v>
      </c>
      <c r="C35" s="42">
        <v>98</v>
      </c>
      <c r="D35" s="42" t="s">
        <v>11</v>
      </c>
      <c r="E35" s="42">
        <v>1452</v>
      </c>
      <c r="F35" s="42">
        <v>3611724</v>
      </c>
      <c r="G35" s="42" t="s">
        <v>23</v>
      </c>
      <c r="H35" s="42">
        <v>268</v>
      </c>
      <c r="I35" s="42">
        <v>208</v>
      </c>
      <c r="J35" s="52">
        <v>2.4999999999999998E-2</v>
      </c>
    </row>
    <row r="36" spans="1:10" s="42" customFormat="1" ht="15" x14ac:dyDescent="0.25">
      <c r="A36" s="42" t="s">
        <v>22</v>
      </c>
      <c r="B36" s="42">
        <v>127287</v>
      </c>
      <c r="C36" s="42">
        <v>98</v>
      </c>
      <c r="D36" s="42" t="s">
        <v>11</v>
      </c>
      <c r="E36" s="42">
        <v>16597</v>
      </c>
      <c r="F36" s="42">
        <v>3611724</v>
      </c>
      <c r="G36" s="42" t="s">
        <v>23</v>
      </c>
      <c r="H36" s="42">
        <v>268</v>
      </c>
      <c r="I36" s="42">
        <v>456</v>
      </c>
      <c r="J36" s="52">
        <v>5.486111111111111E-2</v>
      </c>
    </row>
    <row r="37" spans="1:10" s="42" customFormat="1" ht="15" x14ac:dyDescent="0.25">
      <c r="A37" s="42" t="s">
        <v>22</v>
      </c>
      <c r="B37" s="42">
        <v>132025</v>
      </c>
      <c r="C37" s="42">
        <v>61</v>
      </c>
      <c r="D37" s="42" t="s">
        <v>11</v>
      </c>
      <c r="E37" s="42">
        <v>16331</v>
      </c>
      <c r="F37" s="42">
        <v>3611624</v>
      </c>
      <c r="G37" s="42" t="s">
        <v>23</v>
      </c>
      <c r="H37" s="42">
        <v>5</v>
      </c>
      <c r="I37" s="53">
        <v>3000</v>
      </c>
      <c r="J37" s="52">
        <v>0.36041666666666666</v>
      </c>
    </row>
    <row r="38" spans="1:10" s="42" customFormat="1" ht="15" x14ac:dyDescent="0.25">
      <c r="A38" s="42" t="s">
        <v>22</v>
      </c>
      <c r="B38" s="42">
        <v>132027</v>
      </c>
      <c r="C38" s="42">
        <v>61</v>
      </c>
      <c r="D38" s="42" t="s">
        <v>11</v>
      </c>
      <c r="E38" s="42">
        <v>16572</v>
      </c>
      <c r="F38" s="42">
        <v>3611624</v>
      </c>
      <c r="G38" s="42" t="s">
        <v>23</v>
      </c>
      <c r="H38" s="42">
        <v>5</v>
      </c>
      <c r="I38" s="53">
        <v>1860</v>
      </c>
      <c r="J38" s="52">
        <v>0.22361111111111109</v>
      </c>
    </row>
    <row r="39" spans="1:10" s="42" customFormat="1" ht="15" x14ac:dyDescent="0.25">
      <c r="A39" s="42" t="s">
        <v>22</v>
      </c>
      <c r="B39" s="42">
        <v>146067</v>
      </c>
      <c r="C39" s="42">
        <v>50</v>
      </c>
      <c r="D39" s="42" t="s">
        <v>11</v>
      </c>
      <c r="E39" s="42">
        <v>16478</v>
      </c>
      <c r="F39" s="42">
        <v>2332204</v>
      </c>
      <c r="G39" s="42" t="s">
        <v>24</v>
      </c>
      <c r="H39" s="42">
        <v>340</v>
      </c>
      <c r="I39" s="42">
        <v>70</v>
      </c>
      <c r="J39" s="52">
        <v>3.0555555555555555E-2</v>
      </c>
    </row>
    <row r="40" spans="1:10" s="42" customFormat="1" ht="15" x14ac:dyDescent="0.25">
      <c r="A40" s="42" t="s">
        <v>22</v>
      </c>
      <c r="B40" s="42">
        <v>146068</v>
      </c>
      <c r="C40" s="42">
        <v>51</v>
      </c>
      <c r="D40" s="42" t="s">
        <v>11</v>
      </c>
      <c r="E40" s="42">
        <v>14358</v>
      </c>
      <c r="F40" s="42">
        <v>2332204</v>
      </c>
      <c r="G40" s="42" t="s">
        <v>24</v>
      </c>
      <c r="H40" s="42">
        <v>234</v>
      </c>
      <c r="I40" s="42">
        <v>64</v>
      </c>
      <c r="J40" s="52">
        <v>0</v>
      </c>
    </row>
    <row r="41" spans="1:10" s="42" customFormat="1" ht="15" x14ac:dyDescent="0.25">
      <c r="A41" s="42" t="s">
        <v>22</v>
      </c>
      <c r="B41" s="42">
        <v>146068</v>
      </c>
      <c r="C41" s="42">
        <v>51</v>
      </c>
      <c r="D41" s="42" t="s">
        <v>11</v>
      </c>
      <c r="E41" s="42">
        <v>14358</v>
      </c>
      <c r="F41" s="42">
        <v>2332204</v>
      </c>
      <c r="G41" s="42" t="s">
        <v>24</v>
      </c>
      <c r="H41" s="42">
        <v>340</v>
      </c>
      <c r="I41" s="42">
        <v>236</v>
      </c>
      <c r="J41" s="52">
        <v>0.10347222222222223</v>
      </c>
    </row>
    <row r="42" spans="1:10" s="42" customFormat="1" ht="15" x14ac:dyDescent="0.25">
      <c r="A42" s="42" t="s">
        <v>22</v>
      </c>
      <c r="B42" s="42">
        <v>146068</v>
      </c>
      <c r="C42" s="42">
        <v>55</v>
      </c>
      <c r="D42" s="42" t="s">
        <v>11</v>
      </c>
      <c r="E42" s="42">
        <v>14358</v>
      </c>
      <c r="F42" s="42">
        <v>2332204</v>
      </c>
      <c r="G42" s="42" t="s">
        <v>24</v>
      </c>
      <c r="H42" s="42">
        <v>290</v>
      </c>
      <c r="I42" s="42">
        <v>180</v>
      </c>
      <c r="J42" s="52">
        <v>7.013888888888889E-2</v>
      </c>
    </row>
    <row r="43" spans="1:10" s="42" customFormat="1" ht="15" x14ac:dyDescent="0.25">
      <c r="A43" s="42" t="s">
        <v>22</v>
      </c>
      <c r="B43" s="42">
        <v>146069</v>
      </c>
      <c r="C43" s="42">
        <v>51</v>
      </c>
      <c r="D43" s="42" t="s">
        <v>11</v>
      </c>
      <c r="E43" s="42">
        <v>3512</v>
      </c>
      <c r="F43" s="42">
        <v>2332204</v>
      </c>
      <c r="G43" s="42" t="s">
        <v>24</v>
      </c>
      <c r="H43" s="42">
        <v>234</v>
      </c>
      <c r="I43" s="42">
        <v>26</v>
      </c>
      <c r="J43" s="52">
        <v>0</v>
      </c>
    </row>
    <row r="44" spans="1:10" s="42" customFormat="1" ht="15" x14ac:dyDescent="0.25">
      <c r="A44" s="42" t="s">
        <v>22</v>
      </c>
      <c r="B44" s="42">
        <v>146069</v>
      </c>
      <c r="C44" s="42">
        <v>51</v>
      </c>
      <c r="D44" s="42" t="s">
        <v>11</v>
      </c>
      <c r="E44" s="42">
        <v>3512</v>
      </c>
      <c r="F44" s="42">
        <v>2332204</v>
      </c>
      <c r="G44" s="42" t="s">
        <v>24</v>
      </c>
      <c r="H44" s="42">
        <v>340</v>
      </c>
      <c r="I44" s="42">
        <v>52</v>
      </c>
      <c r="J44" s="52">
        <v>2.2916666666666669E-2</v>
      </c>
    </row>
    <row r="45" spans="1:10" s="42" customFormat="1" ht="15" x14ac:dyDescent="0.25">
      <c r="A45" s="42" t="s">
        <v>22</v>
      </c>
      <c r="B45" s="42">
        <v>146069</v>
      </c>
      <c r="C45" s="42">
        <v>55</v>
      </c>
      <c r="D45" s="42" t="s">
        <v>11</v>
      </c>
      <c r="E45" s="42">
        <v>3512</v>
      </c>
      <c r="F45" s="42">
        <v>2332204</v>
      </c>
      <c r="G45" s="42" t="s">
        <v>24</v>
      </c>
      <c r="H45" s="42">
        <v>290</v>
      </c>
      <c r="I45" s="42">
        <v>58</v>
      </c>
      <c r="J45" s="52">
        <v>2.2916666666666669E-2</v>
      </c>
    </row>
    <row r="46" spans="1:10" s="42" customFormat="1" ht="15" x14ac:dyDescent="0.25">
      <c r="A46" s="42" t="s">
        <v>22</v>
      </c>
      <c r="B46" s="42">
        <v>146070</v>
      </c>
      <c r="C46" s="42">
        <v>50</v>
      </c>
      <c r="D46" s="42" t="s">
        <v>11</v>
      </c>
      <c r="E46" s="42">
        <v>1255</v>
      </c>
      <c r="F46" s="42">
        <v>2332204</v>
      </c>
      <c r="G46" s="42" t="s">
        <v>24</v>
      </c>
      <c r="H46" s="42">
        <v>340</v>
      </c>
      <c r="I46" s="42">
        <v>46</v>
      </c>
      <c r="J46" s="52">
        <v>2.013888888888889E-2</v>
      </c>
    </row>
    <row r="47" spans="1:10" s="42" customFormat="1" ht="15" x14ac:dyDescent="0.25">
      <c r="A47" s="42" t="s">
        <v>25</v>
      </c>
      <c r="B47" s="42">
        <v>135574</v>
      </c>
      <c r="C47" s="42">
        <v>23</v>
      </c>
      <c r="D47" s="42" t="s">
        <v>11</v>
      </c>
      <c r="E47" s="42">
        <v>1003</v>
      </c>
      <c r="F47" s="42">
        <v>1239702</v>
      </c>
      <c r="G47" s="42" t="s">
        <v>26</v>
      </c>
      <c r="H47" s="42">
        <v>394</v>
      </c>
      <c r="I47" s="42">
        <v>440</v>
      </c>
      <c r="J47" s="52">
        <v>0</v>
      </c>
    </row>
    <row r="48" spans="1:10" s="42" customFormat="1" ht="15" x14ac:dyDescent="0.25">
      <c r="A48" s="42" t="s">
        <v>25</v>
      </c>
      <c r="B48" s="42">
        <v>135574</v>
      </c>
      <c r="C48" s="42">
        <v>23</v>
      </c>
      <c r="D48" s="42" t="s">
        <v>11</v>
      </c>
      <c r="E48" s="42">
        <v>1003</v>
      </c>
      <c r="F48" s="42">
        <v>1239702</v>
      </c>
      <c r="G48" s="42" t="s">
        <v>26</v>
      </c>
      <c r="H48" s="42">
        <v>412</v>
      </c>
      <c r="I48" s="42">
        <v>500</v>
      </c>
      <c r="J48" s="52">
        <v>0.23680555555555557</v>
      </c>
    </row>
    <row r="49" spans="1:10" s="42" customFormat="1" ht="15" x14ac:dyDescent="0.25">
      <c r="A49" s="42" t="s">
        <v>25</v>
      </c>
      <c r="B49" s="42">
        <v>135575</v>
      </c>
      <c r="C49" s="42">
        <v>23</v>
      </c>
      <c r="D49" s="42" t="s">
        <v>11</v>
      </c>
      <c r="E49" s="42">
        <v>1375</v>
      </c>
      <c r="F49" s="42">
        <v>1239702</v>
      </c>
      <c r="G49" s="42" t="s">
        <v>26</v>
      </c>
      <c r="H49" s="42">
        <v>394</v>
      </c>
      <c r="I49" s="42">
        <v>230</v>
      </c>
      <c r="J49" s="52">
        <v>0</v>
      </c>
    </row>
    <row r="50" spans="1:10" s="42" customFormat="1" ht="15" x14ac:dyDescent="0.25">
      <c r="A50" s="42" t="s">
        <v>25</v>
      </c>
      <c r="B50" s="42">
        <v>135575</v>
      </c>
      <c r="C50" s="42">
        <v>23</v>
      </c>
      <c r="D50" s="42" t="s">
        <v>11</v>
      </c>
      <c r="E50" s="42">
        <v>1375</v>
      </c>
      <c r="F50" s="42">
        <v>1239702</v>
      </c>
      <c r="G50" s="42" t="s">
        <v>26</v>
      </c>
      <c r="H50" s="42">
        <v>412</v>
      </c>
      <c r="I50" s="42">
        <v>430</v>
      </c>
      <c r="J50" s="52">
        <v>0.20347222222222219</v>
      </c>
    </row>
    <row r="51" spans="1:10" s="42" customFormat="1" ht="15" x14ac:dyDescent="0.25">
      <c r="A51" s="42" t="s">
        <v>25</v>
      </c>
      <c r="B51" s="42">
        <v>135575</v>
      </c>
      <c r="C51" s="42">
        <v>32</v>
      </c>
      <c r="D51" s="42" t="s">
        <v>11</v>
      </c>
      <c r="E51" s="42">
        <v>1375</v>
      </c>
      <c r="F51" s="42">
        <v>1239722</v>
      </c>
      <c r="G51" s="42" t="s">
        <v>27</v>
      </c>
      <c r="H51" s="42">
        <v>394</v>
      </c>
      <c r="I51" s="42">
        <v>600</v>
      </c>
      <c r="J51" s="52">
        <v>0.28402777777777777</v>
      </c>
    </row>
    <row r="52" spans="1:10" s="42" customFormat="1" ht="15" x14ac:dyDescent="0.25">
      <c r="A52" s="42" t="s">
        <v>25</v>
      </c>
      <c r="B52" s="42">
        <v>135575</v>
      </c>
      <c r="C52" s="42">
        <v>32</v>
      </c>
      <c r="D52" s="42" t="s">
        <v>11</v>
      </c>
      <c r="E52" s="42">
        <v>1375</v>
      </c>
      <c r="F52" s="42">
        <v>1239722</v>
      </c>
      <c r="G52" s="42" t="s">
        <v>27</v>
      </c>
      <c r="H52" s="42">
        <v>412</v>
      </c>
      <c r="I52" s="42">
        <v>400</v>
      </c>
      <c r="J52" s="52">
        <v>0</v>
      </c>
    </row>
    <row r="53" spans="1:10" s="42" customFormat="1" ht="15" x14ac:dyDescent="0.25">
      <c r="A53" s="42" t="s">
        <v>25</v>
      </c>
      <c r="B53" s="42">
        <v>141445</v>
      </c>
      <c r="C53" s="42">
        <v>23</v>
      </c>
      <c r="D53" s="42" t="s">
        <v>11</v>
      </c>
      <c r="E53" s="42">
        <v>1667</v>
      </c>
      <c r="F53" s="42">
        <v>1239702</v>
      </c>
      <c r="G53" s="42" t="s">
        <v>26</v>
      </c>
      <c r="H53" s="42">
        <v>394</v>
      </c>
      <c r="I53" s="42">
        <v>490</v>
      </c>
      <c r="J53" s="52">
        <v>0</v>
      </c>
    </row>
    <row r="54" spans="1:10" s="42" customFormat="1" ht="15" x14ac:dyDescent="0.25">
      <c r="A54" s="42" t="s">
        <v>25</v>
      </c>
      <c r="B54" s="42">
        <v>141445</v>
      </c>
      <c r="C54" s="42">
        <v>23</v>
      </c>
      <c r="D54" s="42" t="s">
        <v>11</v>
      </c>
      <c r="E54" s="42">
        <v>1667</v>
      </c>
      <c r="F54" s="42">
        <v>1239702</v>
      </c>
      <c r="G54" s="42" t="s">
        <v>26</v>
      </c>
      <c r="H54" s="42">
        <v>412</v>
      </c>
      <c r="I54" s="42">
        <v>550</v>
      </c>
      <c r="J54" s="52">
        <v>0.26041666666666669</v>
      </c>
    </row>
    <row r="55" spans="1:10" s="42" customFormat="1" ht="15" x14ac:dyDescent="0.25">
      <c r="A55" s="42" t="s">
        <v>25</v>
      </c>
      <c r="B55" s="42">
        <v>141445</v>
      </c>
      <c r="C55" s="42">
        <v>32</v>
      </c>
      <c r="D55" s="42" t="s">
        <v>11</v>
      </c>
      <c r="E55" s="42">
        <v>1667</v>
      </c>
      <c r="F55" s="42">
        <v>1239722</v>
      </c>
      <c r="G55" s="42" t="s">
        <v>27</v>
      </c>
      <c r="H55" s="42">
        <v>394</v>
      </c>
      <c r="I55" s="42">
        <v>170</v>
      </c>
      <c r="J55" s="52">
        <v>8.0555555555555561E-2</v>
      </c>
    </row>
    <row r="56" spans="1:10" s="42" customFormat="1" ht="15" x14ac:dyDescent="0.25">
      <c r="A56" s="42" t="s">
        <v>28</v>
      </c>
      <c r="B56" s="42">
        <v>141207</v>
      </c>
      <c r="C56" s="42">
        <v>6</v>
      </c>
      <c r="D56" s="42" t="s">
        <v>11</v>
      </c>
      <c r="E56" s="42">
        <v>14367</v>
      </c>
      <c r="F56" s="42">
        <v>3443323</v>
      </c>
      <c r="G56" s="42" t="s">
        <v>29</v>
      </c>
      <c r="H56" s="42">
        <v>1001</v>
      </c>
      <c r="I56" s="42">
        <v>24</v>
      </c>
      <c r="J56" s="52">
        <v>8.3333333333333332E-3</v>
      </c>
    </row>
    <row r="57" spans="1:10" s="42" customFormat="1" ht="15" x14ac:dyDescent="0.25">
      <c r="A57" s="42" t="s">
        <v>28</v>
      </c>
      <c r="B57" s="42">
        <v>141207</v>
      </c>
      <c r="C57" s="42">
        <v>6</v>
      </c>
      <c r="D57" s="42" t="s">
        <v>11</v>
      </c>
      <c r="E57" s="42">
        <v>14367</v>
      </c>
      <c r="F57" s="42">
        <v>3443323</v>
      </c>
      <c r="G57" s="42" t="s">
        <v>29</v>
      </c>
      <c r="H57" s="42">
        <v>1002</v>
      </c>
      <c r="I57" s="42">
        <v>24</v>
      </c>
      <c r="J57" s="52">
        <v>0</v>
      </c>
    </row>
    <row r="58" spans="1:10" s="42" customFormat="1" ht="15" x14ac:dyDescent="0.25">
      <c r="A58" s="42" t="s">
        <v>28</v>
      </c>
      <c r="B58" s="42">
        <v>141207</v>
      </c>
      <c r="C58" s="42">
        <v>16</v>
      </c>
      <c r="D58" s="42" t="s">
        <v>11</v>
      </c>
      <c r="E58" s="42">
        <v>1457</v>
      </c>
      <c r="F58" s="42">
        <v>3443326</v>
      </c>
      <c r="G58" s="42" t="s">
        <v>30</v>
      </c>
      <c r="H58" s="42">
        <v>5</v>
      </c>
      <c r="I58" s="42">
        <v>24</v>
      </c>
      <c r="J58" s="52">
        <v>4.8611111111111112E-3</v>
      </c>
    </row>
    <row r="59" spans="1:10" s="42" customFormat="1" ht="15" x14ac:dyDescent="0.25">
      <c r="A59" s="42" t="s">
        <v>28</v>
      </c>
      <c r="B59" s="42">
        <v>141208</v>
      </c>
      <c r="C59" s="42">
        <v>6</v>
      </c>
      <c r="D59" s="42" t="s">
        <v>11</v>
      </c>
      <c r="E59" s="42">
        <v>14363</v>
      </c>
      <c r="F59" s="42">
        <v>3443323</v>
      </c>
      <c r="G59" s="42" t="s">
        <v>29</v>
      </c>
      <c r="H59" s="42">
        <v>1001</v>
      </c>
      <c r="I59" s="42">
        <v>38</v>
      </c>
      <c r="J59" s="52">
        <v>1.3194444444444444E-2</v>
      </c>
    </row>
    <row r="60" spans="1:10" s="42" customFormat="1" ht="15" x14ac:dyDescent="0.25">
      <c r="A60" s="42" t="s">
        <v>28</v>
      </c>
      <c r="B60" s="42">
        <v>141208</v>
      </c>
      <c r="C60" s="42">
        <v>6</v>
      </c>
      <c r="D60" s="42" t="s">
        <v>11</v>
      </c>
      <c r="E60" s="42">
        <v>14363</v>
      </c>
      <c r="F60" s="42">
        <v>3443323</v>
      </c>
      <c r="G60" s="42" t="s">
        <v>29</v>
      </c>
      <c r="H60" s="42">
        <v>1002</v>
      </c>
      <c r="I60" s="42">
        <v>38</v>
      </c>
      <c r="J60" s="52">
        <v>0</v>
      </c>
    </row>
    <row r="61" spans="1:10" s="42" customFormat="1" ht="15" x14ac:dyDescent="0.25">
      <c r="A61" s="42" t="s">
        <v>28</v>
      </c>
      <c r="B61" s="42">
        <v>141208</v>
      </c>
      <c r="C61" s="42">
        <v>16</v>
      </c>
      <c r="D61" s="42" t="s">
        <v>11</v>
      </c>
      <c r="E61" s="42">
        <v>1306</v>
      </c>
      <c r="F61" s="42">
        <v>3443326</v>
      </c>
      <c r="G61" s="42" t="s">
        <v>30</v>
      </c>
      <c r="H61" s="42">
        <v>5</v>
      </c>
      <c r="I61" s="42">
        <v>38</v>
      </c>
      <c r="J61" s="52">
        <v>7.6388888888888886E-3</v>
      </c>
    </row>
    <row r="62" spans="1:10" s="42" customFormat="1" ht="15" x14ac:dyDescent="0.25">
      <c r="A62" s="42" t="s">
        <v>28</v>
      </c>
      <c r="B62" s="42">
        <v>141209</v>
      </c>
      <c r="C62" s="42">
        <v>6</v>
      </c>
      <c r="D62" s="42" t="s">
        <v>11</v>
      </c>
      <c r="E62" s="42">
        <v>14445</v>
      </c>
      <c r="F62" s="42">
        <v>3443323</v>
      </c>
      <c r="G62" s="42" t="s">
        <v>29</v>
      </c>
      <c r="H62" s="42">
        <v>1001</v>
      </c>
      <c r="I62" s="42">
        <v>72</v>
      </c>
      <c r="J62" s="52">
        <v>2.4305555555555556E-2</v>
      </c>
    </row>
    <row r="63" spans="1:10" s="42" customFormat="1" ht="15" x14ac:dyDescent="0.25">
      <c r="A63" s="42" t="s">
        <v>28</v>
      </c>
      <c r="B63" s="42">
        <v>141209</v>
      </c>
      <c r="C63" s="42">
        <v>6</v>
      </c>
      <c r="D63" s="42" t="s">
        <v>11</v>
      </c>
      <c r="E63" s="42">
        <v>14445</v>
      </c>
      <c r="F63" s="42">
        <v>3443323</v>
      </c>
      <c r="G63" s="42" t="s">
        <v>29</v>
      </c>
      <c r="H63" s="42">
        <v>1002</v>
      </c>
      <c r="I63" s="42">
        <v>72</v>
      </c>
      <c r="J63" s="52">
        <v>0</v>
      </c>
    </row>
    <row r="64" spans="1:10" s="42" customFormat="1" ht="15" x14ac:dyDescent="0.25">
      <c r="A64" s="42" t="s">
        <v>28</v>
      </c>
      <c r="B64" s="42">
        <v>141209</v>
      </c>
      <c r="C64" s="42">
        <v>16</v>
      </c>
      <c r="D64" s="42" t="s">
        <v>11</v>
      </c>
      <c r="E64" s="42">
        <v>1276</v>
      </c>
      <c r="F64" s="42">
        <v>3443326</v>
      </c>
      <c r="G64" s="42" t="s">
        <v>30</v>
      </c>
      <c r="H64" s="42">
        <v>5</v>
      </c>
      <c r="I64" s="42">
        <v>72</v>
      </c>
      <c r="J64" s="52">
        <v>1.3888888888888888E-2</v>
      </c>
    </row>
    <row r="65" spans="1:10" s="42" customFormat="1" ht="15" x14ac:dyDescent="0.25">
      <c r="A65" s="42" t="s">
        <v>28</v>
      </c>
      <c r="B65" s="42">
        <v>141210</v>
      </c>
      <c r="C65" s="42">
        <v>6</v>
      </c>
      <c r="D65" s="42" t="s">
        <v>11</v>
      </c>
      <c r="E65" s="42">
        <v>14345</v>
      </c>
      <c r="F65" s="42">
        <v>3443323</v>
      </c>
      <c r="G65" s="42" t="s">
        <v>29</v>
      </c>
      <c r="H65" s="42">
        <v>1001</v>
      </c>
      <c r="I65" s="42">
        <v>43</v>
      </c>
      <c r="J65" s="52">
        <v>1.4583333333333332E-2</v>
      </c>
    </row>
    <row r="66" spans="1:10" s="42" customFormat="1" ht="15" x14ac:dyDescent="0.25">
      <c r="A66" s="42" t="s">
        <v>28</v>
      </c>
      <c r="B66" s="42">
        <v>141210</v>
      </c>
      <c r="C66" s="42">
        <v>6</v>
      </c>
      <c r="D66" s="42" t="s">
        <v>11</v>
      </c>
      <c r="E66" s="42">
        <v>14345</v>
      </c>
      <c r="F66" s="42">
        <v>3443323</v>
      </c>
      <c r="G66" s="42" t="s">
        <v>29</v>
      </c>
      <c r="H66" s="42">
        <v>1002</v>
      </c>
      <c r="I66" s="42">
        <v>43</v>
      </c>
      <c r="J66" s="52">
        <v>0</v>
      </c>
    </row>
    <row r="67" spans="1:10" s="42" customFormat="1" ht="15" x14ac:dyDescent="0.25">
      <c r="A67" s="42" t="s">
        <v>28</v>
      </c>
      <c r="B67" s="42">
        <v>141210</v>
      </c>
      <c r="C67" s="42">
        <v>16</v>
      </c>
      <c r="D67" s="42" t="s">
        <v>11</v>
      </c>
      <c r="E67" s="42">
        <v>16458</v>
      </c>
      <c r="F67" s="42">
        <v>3443326</v>
      </c>
      <c r="G67" s="42" t="s">
        <v>30</v>
      </c>
      <c r="H67" s="42">
        <v>5</v>
      </c>
      <c r="I67" s="42">
        <v>43</v>
      </c>
      <c r="J67" s="52">
        <v>8.3333333333333332E-3</v>
      </c>
    </row>
    <row r="68" spans="1:10" s="42" customFormat="1" ht="15" x14ac:dyDescent="0.25">
      <c r="A68" s="42" t="s">
        <v>28</v>
      </c>
      <c r="B68" s="42">
        <v>141213</v>
      </c>
      <c r="C68" s="42">
        <v>6</v>
      </c>
      <c r="D68" s="42" t="s">
        <v>11</v>
      </c>
      <c r="E68" s="42">
        <v>1371</v>
      </c>
      <c r="F68" s="42">
        <v>3447622</v>
      </c>
      <c r="G68" s="42" t="s">
        <v>31</v>
      </c>
      <c r="H68" s="42">
        <v>5</v>
      </c>
      <c r="I68" s="42">
        <v>14</v>
      </c>
      <c r="J68" s="52">
        <v>2.7777777777777779E-3</v>
      </c>
    </row>
    <row r="69" spans="1:10" s="42" customFormat="1" ht="15" x14ac:dyDescent="0.25">
      <c r="A69" s="42" t="s">
        <v>28</v>
      </c>
      <c r="B69" s="42">
        <v>141214</v>
      </c>
      <c r="C69" s="42">
        <v>6</v>
      </c>
      <c r="D69" s="42" t="s">
        <v>11</v>
      </c>
      <c r="E69" s="42">
        <v>30007</v>
      </c>
      <c r="F69" s="42">
        <v>3447622</v>
      </c>
      <c r="G69" s="42" t="s">
        <v>31</v>
      </c>
      <c r="H69" s="42">
        <v>5</v>
      </c>
      <c r="I69" s="42">
        <v>31</v>
      </c>
      <c r="J69" s="52">
        <v>6.2499999999999995E-3</v>
      </c>
    </row>
    <row r="70" spans="1:10" s="42" customFormat="1" ht="15" x14ac:dyDescent="0.25">
      <c r="A70" s="42" t="s">
        <v>32</v>
      </c>
      <c r="B70" s="42">
        <v>141222</v>
      </c>
      <c r="C70" s="42">
        <v>6</v>
      </c>
      <c r="D70" s="42" t="s">
        <v>11</v>
      </c>
      <c r="E70" s="42">
        <v>30007</v>
      </c>
      <c r="F70" s="42">
        <v>3443323</v>
      </c>
      <c r="G70" s="42" t="s">
        <v>29</v>
      </c>
      <c r="H70" s="42">
        <v>1001</v>
      </c>
      <c r="I70" s="42">
        <v>160</v>
      </c>
      <c r="J70" s="52">
        <v>5.4166666666666669E-2</v>
      </c>
    </row>
    <row r="71" spans="1:10" s="42" customFormat="1" ht="15" x14ac:dyDescent="0.25">
      <c r="A71" s="42" t="s">
        <v>32</v>
      </c>
      <c r="B71" s="42">
        <v>141222</v>
      </c>
      <c r="C71" s="42">
        <v>6</v>
      </c>
      <c r="D71" s="42" t="s">
        <v>11</v>
      </c>
      <c r="E71" s="42">
        <v>30007</v>
      </c>
      <c r="F71" s="42">
        <v>3443323</v>
      </c>
      <c r="G71" s="42" t="s">
        <v>29</v>
      </c>
      <c r="H71" s="42">
        <v>1002</v>
      </c>
      <c r="I71" s="42">
        <v>160</v>
      </c>
      <c r="J71" s="52">
        <v>0</v>
      </c>
    </row>
    <row r="72" spans="1:10" s="42" customFormat="1" ht="15" x14ac:dyDescent="0.25">
      <c r="A72" s="42" t="s">
        <v>28</v>
      </c>
      <c r="B72" s="42">
        <v>141222</v>
      </c>
      <c r="C72" s="42">
        <v>16</v>
      </c>
      <c r="D72" s="42" t="s">
        <v>11</v>
      </c>
      <c r="E72" s="42">
        <v>30007</v>
      </c>
      <c r="F72" s="42">
        <v>3443326</v>
      </c>
      <c r="G72" s="42" t="s">
        <v>30</v>
      </c>
      <c r="H72" s="42">
        <v>5</v>
      </c>
      <c r="I72" s="42">
        <v>160</v>
      </c>
      <c r="J72" s="52">
        <v>3.125E-2</v>
      </c>
    </row>
    <row r="73" spans="1:10" s="42" customFormat="1" ht="15" x14ac:dyDescent="0.25">
      <c r="A73" s="42" t="s">
        <v>28</v>
      </c>
      <c r="B73" s="42">
        <v>141584</v>
      </c>
      <c r="C73" s="42">
        <v>41</v>
      </c>
      <c r="D73" s="42" t="s">
        <v>11</v>
      </c>
      <c r="E73" s="42">
        <v>1003</v>
      </c>
      <c r="F73" s="42">
        <v>8370124</v>
      </c>
      <c r="G73" s="42" t="s">
        <v>33</v>
      </c>
      <c r="H73" s="42">
        <v>5</v>
      </c>
      <c r="I73" s="53">
        <v>1664</v>
      </c>
      <c r="J73" s="52">
        <v>0.33333333333333331</v>
      </c>
    </row>
    <row r="74" spans="1:10" s="42" customFormat="1" ht="15" x14ac:dyDescent="0.25">
      <c r="A74" s="42" t="s">
        <v>34</v>
      </c>
      <c r="B74" s="42">
        <v>141163</v>
      </c>
      <c r="C74" s="42">
        <v>72</v>
      </c>
      <c r="D74" s="42" t="s">
        <v>35</v>
      </c>
      <c r="E74" s="42">
        <v>11081</v>
      </c>
      <c r="F74" s="42">
        <v>3950502</v>
      </c>
      <c r="G74" s="42" t="s">
        <v>36</v>
      </c>
      <c r="H74" s="42">
        <v>360</v>
      </c>
      <c r="I74" s="42">
        <v>80</v>
      </c>
      <c r="J74" s="52">
        <v>3.888888888888889E-2</v>
      </c>
    </row>
    <row r="75" spans="1:10" s="42" customFormat="1" ht="15" x14ac:dyDescent="0.25">
      <c r="A75" s="42" t="s">
        <v>34</v>
      </c>
      <c r="B75" s="42">
        <v>141163</v>
      </c>
      <c r="C75" s="42">
        <v>73</v>
      </c>
      <c r="D75" s="42" t="s">
        <v>11</v>
      </c>
      <c r="E75" s="42">
        <v>11081</v>
      </c>
      <c r="F75" s="42">
        <v>3950502</v>
      </c>
      <c r="G75" s="42" t="s">
        <v>36</v>
      </c>
      <c r="H75" s="42">
        <v>370</v>
      </c>
      <c r="I75" s="42">
        <v>16</v>
      </c>
      <c r="J75" s="52">
        <v>7.6388888888888886E-3</v>
      </c>
    </row>
    <row r="76" spans="1:10" s="42" customFormat="1" ht="15" x14ac:dyDescent="0.25">
      <c r="A76" s="42" t="s">
        <v>34</v>
      </c>
      <c r="B76" s="42">
        <v>141178</v>
      </c>
      <c r="C76" s="42">
        <v>66</v>
      </c>
      <c r="D76" s="42" t="s">
        <v>11</v>
      </c>
      <c r="E76" s="42">
        <v>19577</v>
      </c>
      <c r="F76" s="42">
        <v>3950502</v>
      </c>
      <c r="G76" s="42" t="s">
        <v>36</v>
      </c>
      <c r="H76" s="42">
        <v>380</v>
      </c>
      <c r="I76" s="42">
        <v>44</v>
      </c>
      <c r="J76" s="52">
        <v>2.1527777777777781E-2</v>
      </c>
    </row>
    <row r="77" spans="1:10" s="42" customFormat="1" ht="15" x14ac:dyDescent="0.25">
      <c r="A77" s="42" t="s">
        <v>34</v>
      </c>
      <c r="B77" s="42">
        <v>141190</v>
      </c>
      <c r="C77" s="42">
        <v>72</v>
      </c>
      <c r="D77" s="42" t="s">
        <v>11</v>
      </c>
      <c r="E77" s="42">
        <v>11081</v>
      </c>
      <c r="F77" s="42">
        <v>3950502</v>
      </c>
      <c r="G77" s="42" t="s">
        <v>36</v>
      </c>
      <c r="H77" s="42">
        <v>360</v>
      </c>
      <c r="I77" s="42">
        <v>216</v>
      </c>
      <c r="J77" s="52">
        <v>0.10486111111111111</v>
      </c>
    </row>
    <row r="78" spans="1:10" s="42" customFormat="1" ht="15" x14ac:dyDescent="0.25">
      <c r="A78" s="42" t="s">
        <v>34</v>
      </c>
      <c r="B78" s="42">
        <v>141190</v>
      </c>
      <c r="C78" s="42">
        <v>73</v>
      </c>
      <c r="D78" s="42" t="s">
        <v>11</v>
      </c>
      <c r="E78" s="42">
        <v>11081</v>
      </c>
      <c r="F78" s="42">
        <v>3950502</v>
      </c>
      <c r="G78" s="42" t="s">
        <v>36</v>
      </c>
      <c r="H78" s="42">
        <v>370</v>
      </c>
      <c r="I78" s="42">
        <v>220</v>
      </c>
      <c r="J78" s="52">
        <v>0.10625</v>
      </c>
    </row>
    <row r="79" spans="1:10" s="42" customFormat="1" ht="15" x14ac:dyDescent="0.25">
      <c r="A79" s="42" t="s">
        <v>34</v>
      </c>
      <c r="B79" s="42">
        <v>141191</v>
      </c>
      <c r="C79" s="42">
        <v>72</v>
      </c>
      <c r="D79" s="42" t="s">
        <v>35</v>
      </c>
      <c r="E79" s="42">
        <v>11081</v>
      </c>
      <c r="F79" s="42">
        <v>3950502</v>
      </c>
      <c r="G79" s="42" t="s">
        <v>36</v>
      </c>
      <c r="H79" s="42">
        <v>360</v>
      </c>
      <c r="I79" s="42">
        <v>128</v>
      </c>
      <c r="J79" s="52">
        <v>6.1805555555555558E-2</v>
      </c>
    </row>
    <row r="80" spans="1:10" s="42" customFormat="1" ht="15" x14ac:dyDescent="0.25">
      <c r="A80" s="42" t="s">
        <v>34</v>
      </c>
      <c r="B80" s="42">
        <v>141191</v>
      </c>
      <c r="C80" s="42">
        <v>73</v>
      </c>
      <c r="D80" s="42" t="s">
        <v>11</v>
      </c>
      <c r="E80" s="42">
        <v>11081</v>
      </c>
      <c r="F80" s="42">
        <v>3950502</v>
      </c>
      <c r="G80" s="42" t="s">
        <v>36</v>
      </c>
      <c r="H80" s="42">
        <v>370</v>
      </c>
      <c r="I80" s="42">
        <v>160</v>
      </c>
      <c r="J80" s="52">
        <v>7.7777777777777779E-2</v>
      </c>
    </row>
    <row r="81" spans="1:10" s="42" customFormat="1" ht="15" x14ac:dyDescent="0.25">
      <c r="A81" s="42" t="s">
        <v>34</v>
      </c>
      <c r="B81" s="42">
        <v>141192</v>
      </c>
      <c r="C81" s="42">
        <v>66</v>
      </c>
      <c r="D81" s="42" t="s">
        <v>11</v>
      </c>
      <c r="E81" s="42">
        <v>19577</v>
      </c>
      <c r="F81" s="42">
        <v>3950502</v>
      </c>
      <c r="G81" s="42" t="s">
        <v>36</v>
      </c>
      <c r="H81" s="42">
        <v>380</v>
      </c>
      <c r="I81" s="42">
        <v>56</v>
      </c>
      <c r="J81" s="52">
        <v>2.7083333333333334E-2</v>
      </c>
    </row>
    <row r="82" spans="1:10" s="42" customFormat="1" ht="15" x14ac:dyDescent="0.25">
      <c r="A82" s="42" t="s">
        <v>34</v>
      </c>
      <c r="B82" s="42">
        <v>141193</v>
      </c>
      <c r="C82" s="42">
        <v>66</v>
      </c>
      <c r="D82" s="42" t="s">
        <v>11</v>
      </c>
      <c r="E82" s="42">
        <v>19577</v>
      </c>
      <c r="F82" s="42">
        <v>3950502</v>
      </c>
      <c r="G82" s="42" t="s">
        <v>36</v>
      </c>
      <c r="H82" s="42">
        <v>380</v>
      </c>
      <c r="I82" s="42">
        <v>60</v>
      </c>
      <c r="J82" s="52">
        <v>2.9166666666666664E-2</v>
      </c>
    </row>
    <row r="83" spans="1:10" s="42" customFormat="1" ht="15" x14ac:dyDescent="0.25">
      <c r="A83" s="42" t="s">
        <v>34</v>
      </c>
      <c r="B83" s="42">
        <v>141224</v>
      </c>
      <c r="C83" s="42">
        <v>25</v>
      </c>
      <c r="D83" s="42" t="s">
        <v>11</v>
      </c>
      <c r="E83" s="42">
        <v>1003</v>
      </c>
      <c r="F83" s="42">
        <v>1211804</v>
      </c>
      <c r="G83" s="42" t="s">
        <v>37</v>
      </c>
      <c r="H83" s="42">
        <v>190</v>
      </c>
      <c r="I83" s="42">
        <v>246</v>
      </c>
      <c r="J83" s="52">
        <v>8.3333333333333329E-2</v>
      </c>
    </row>
    <row r="84" spans="1:10" s="42" customFormat="1" ht="15" x14ac:dyDescent="0.25">
      <c r="A84" s="42" t="s">
        <v>34</v>
      </c>
      <c r="B84" s="42">
        <v>141359</v>
      </c>
      <c r="C84" s="42">
        <v>14</v>
      </c>
      <c r="D84" s="42" t="s">
        <v>11</v>
      </c>
      <c r="E84" s="42">
        <v>16589</v>
      </c>
      <c r="F84" s="42">
        <v>2724802</v>
      </c>
      <c r="G84" s="42" t="s">
        <v>15</v>
      </c>
      <c r="H84" s="42">
        <v>178</v>
      </c>
      <c r="I84" s="42">
        <v>72</v>
      </c>
      <c r="J84" s="52">
        <v>0</v>
      </c>
    </row>
    <row r="85" spans="1:10" s="42" customFormat="1" ht="15" x14ac:dyDescent="0.25">
      <c r="A85" s="42" t="s">
        <v>34</v>
      </c>
      <c r="B85" s="42">
        <v>141359</v>
      </c>
      <c r="C85" s="42">
        <v>14</v>
      </c>
      <c r="D85" s="42" t="s">
        <v>11</v>
      </c>
      <c r="E85" s="42">
        <v>16589</v>
      </c>
      <c r="F85" s="42">
        <v>2724802</v>
      </c>
      <c r="G85" s="42" t="s">
        <v>15</v>
      </c>
      <c r="H85" s="42">
        <v>234</v>
      </c>
      <c r="I85" s="42">
        <v>156</v>
      </c>
      <c r="J85" s="52">
        <v>5.1388888888888894E-2</v>
      </c>
    </row>
    <row r="86" spans="1:10" s="42" customFormat="1" ht="15" x14ac:dyDescent="0.25">
      <c r="A86" s="42" t="s">
        <v>34</v>
      </c>
      <c r="B86" s="42">
        <v>147978</v>
      </c>
      <c r="C86" s="42">
        <v>1</v>
      </c>
      <c r="D86" s="42" t="s">
        <v>11</v>
      </c>
      <c r="E86" s="42">
        <v>19577</v>
      </c>
      <c r="F86" s="42">
        <v>3950502</v>
      </c>
      <c r="G86" s="42" t="s">
        <v>36</v>
      </c>
      <c r="H86" s="42">
        <v>380</v>
      </c>
      <c r="I86" s="42">
        <v>10</v>
      </c>
      <c r="J86" s="52">
        <v>4.8611111111111112E-3</v>
      </c>
    </row>
    <row r="87" spans="1:10" s="42" customFormat="1" ht="15" x14ac:dyDescent="0.25">
      <c r="A87" s="42" t="s">
        <v>38</v>
      </c>
      <c r="B87" s="42">
        <v>119867</v>
      </c>
      <c r="C87" s="42">
        <v>29</v>
      </c>
      <c r="D87" s="42" t="s">
        <v>11</v>
      </c>
      <c r="E87" s="42">
        <v>1333</v>
      </c>
      <c r="F87" s="42">
        <v>8361504</v>
      </c>
      <c r="G87" s="42" t="s">
        <v>16</v>
      </c>
      <c r="H87" s="42">
        <v>190</v>
      </c>
      <c r="I87" s="42">
        <v>330</v>
      </c>
      <c r="J87" s="52">
        <v>0.13194444444444445</v>
      </c>
    </row>
    <row r="88" spans="1:10" s="42" customFormat="1" ht="15" x14ac:dyDescent="0.25">
      <c r="A88" s="42" t="s">
        <v>38</v>
      </c>
      <c r="B88" s="42">
        <v>119867</v>
      </c>
      <c r="C88" s="42">
        <v>29</v>
      </c>
      <c r="D88" s="42" t="s">
        <v>11</v>
      </c>
      <c r="E88" s="42">
        <v>1333</v>
      </c>
      <c r="F88" s="42">
        <v>8361504</v>
      </c>
      <c r="G88" s="42" t="s">
        <v>16</v>
      </c>
      <c r="H88" s="42">
        <v>250</v>
      </c>
      <c r="I88" s="42">
        <v>240</v>
      </c>
      <c r="J88" s="52">
        <v>0</v>
      </c>
    </row>
    <row r="89" spans="1:10" s="42" customFormat="1" ht="15" x14ac:dyDescent="0.25">
      <c r="A89" s="42" t="s">
        <v>38</v>
      </c>
      <c r="B89" s="42">
        <v>119885</v>
      </c>
      <c r="C89" s="42">
        <v>29</v>
      </c>
      <c r="D89" s="42" t="s">
        <v>11</v>
      </c>
      <c r="E89" s="42">
        <v>16580</v>
      </c>
      <c r="F89" s="42">
        <v>8361504</v>
      </c>
      <c r="G89" s="42" t="s">
        <v>16</v>
      </c>
      <c r="H89" s="42">
        <v>190</v>
      </c>
      <c r="I89" s="42">
        <v>370</v>
      </c>
      <c r="J89" s="52">
        <v>0.14791666666666667</v>
      </c>
    </row>
    <row r="90" spans="1:10" s="42" customFormat="1" ht="15" x14ac:dyDescent="0.25">
      <c r="A90" s="42" t="s">
        <v>38</v>
      </c>
      <c r="B90" s="42">
        <v>119885</v>
      </c>
      <c r="C90" s="42">
        <v>29</v>
      </c>
      <c r="D90" s="42" t="s">
        <v>11</v>
      </c>
      <c r="E90" s="42">
        <v>16580</v>
      </c>
      <c r="F90" s="42">
        <v>8361504</v>
      </c>
      <c r="G90" s="42" t="s">
        <v>16</v>
      </c>
      <c r="H90" s="42">
        <v>250</v>
      </c>
      <c r="I90" s="42">
        <v>280</v>
      </c>
      <c r="J90" s="52">
        <v>0</v>
      </c>
    </row>
    <row r="91" spans="1:10" s="42" customFormat="1" ht="15" x14ac:dyDescent="0.25">
      <c r="A91" s="42" t="s">
        <v>38</v>
      </c>
      <c r="B91" s="42">
        <v>119886</v>
      </c>
      <c r="C91" s="42">
        <v>29</v>
      </c>
      <c r="D91" s="42" t="s">
        <v>11</v>
      </c>
      <c r="E91" s="42">
        <v>1572</v>
      </c>
      <c r="F91" s="42">
        <v>8361504</v>
      </c>
      <c r="G91" s="42" t="s">
        <v>16</v>
      </c>
      <c r="H91" s="42">
        <v>190</v>
      </c>
      <c r="I91" s="42">
        <v>214</v>
      </c>
      <c r="J91" s="52">
        <v>8.5416666666666655E-2</v>
      </c>
    </row>
    <row r="92" spans="1:10" s="42" customFormat="1" ht="15" x14ac:dyDescent="0.25">
      <c r="A92" s="42" t="s">
        <v>38</v>
      </c>
      <c r="B92" s="42">
        <v>119886</v>
      </c>
      <c r="C92" s="42">
        <v>29</v>
      </c>
      <c r="D92" s="42" t="s">
        <v>11</v>
      </c>
      <c r="E92" s="42">
        <v>1572</v>
      </c>
      <c r="F92" s="42">
        <v>8361504</v>
      </c>
      <c r="G92" s="42" t="s">
        <v>16</v>
      </c>
      <c r="H92" s="42">
        <v>250</v>
      </c>
      <c r="I92" s="42">
        <v>194</v>
      </c>
      <c r="J92" s="52">
        <v>0</v>
      </c>
    </row>
    <row r="93" spans="1:10" s="42" customFormat="1" ht="15" x14ac:dyDescent="0.25">
      <c r="A93" s="42" t="s">
        <v>38</v>
      </c>
      <c r="B93" s="42">
        <v>121604</v>
      </c>
      <c r="C93" s="42">
        <v>70</v>
      </c>
      <c r="D93" s="42" t="s">
        <v>11</v>
      </c>
      <c r="E93" s="42">
        <v>1452</v>
      </c>
      <c r="F93" s="42">
        <v>3611702</v>
      </c>
      <c r="G93" s="42" t="s">
        <v>39</v>
      </c>
      <c r="H93" s="42">
        <v>220</v>
      </c>
      <c r="I93" s="42">
        <v>76</v>
      </c>
      <c r="J93" s="52">
        <v>3.4722222222222224E-2</v>
      </c>
    </row>
    <row r="94" spans="1:10" s="42" customFormat="1" ht="15" x14ac:dyDescent="0.25">
      <c r="A94" s="42" t="s">
        <v>38</v>
      </c>
      <c r="B94" s="42">
        <v>121604</v>
      </c>
      <c r="C94" s="42">
        <v>72</v>
      </c>
      <c r="D94" s="42" t="s">
        <v>11</v>
      </c>
      <c r="E94" s="42">
        <v>1452</v>
      </c>
      <c r="F94" s="42">
        <v>3611702</v>
      </c>
      <c r="G94" s="42" t="s">
        <v>39</v>
      </c>
      <c r="H94" s="42">
        <v>250</v>
      </c>
      <c r="I94" s="42">
        <v>60</v>
      </c>
      <c r="J94" s="52">
        <v>2.7777777777777776E-2</v>
      </c>
    </row>
    <row r="95" spans="1:10" s="42" customFormat="1" ht="15" x14ac:dyDescent="0.25">
      <c r="A95" s="42" t="s">
        <v>38</v>
      </c>
      <c r="B95" s="42">
        <v>121605</v>
      </c>
      <c r="C95" s="42">
        <v>70</v>
      </c>
      <c r="D95" s="42" t="s">
        <v>11</v>
      </c>
      <c r="E95" s="42">
        <v>16331</v>
      </c>
      <c r="F95" s="42">
        <v>3611702</v>
      </c>
      <c r="G95" s="42" t="s">
        <v>39</v>
      </c>
      <c r="H95" s="42">
        <v>220</v>
      </c>
      <c r="I95" s="42">
        <v>148</v>
      </c>
      <c r="J95" s="52">
        <v>6.805555555555555E-2</v>
      </c>
    </row>
    <row r="96" spans="1:10" s="42" customFormat="1" ht="15" x14ac:dyDescent="0.25">
      <c r="A96" s="42" t="s">
        <v>38</v>
      </c>
      <c r="B96" s="42">
        <v>121607</v>
      </c>
      <c r="C96" s="42">
        <v>70</v>
      </c>
      <c r="D96" s="42" t="s">
        <v>11</v>
      </c>
      <c r="E96" s="42">
        <v>16597</v>
      </c>
      <c r="F96" s="42">
        <v>3611702</v>
      </c>
      <c r="G96" s="42" t="s">
        <v>39</v>
      </c>
      <c r="H96" s="42">
        <v>220</v>
      </c>
      <c r="I96" s="42">
        <v>110</v>
      </c>
      <c r="J96" s="52">
        <v>5.0694444444444452E-2</v>
      </c>
    </row>
    <row r="97" spans="1:10" s="42" customFormat="1" ht="15" x14ac:dyDescent="0.25">
      <c r="A97" s="42" t="s">
        <v>38</v>
      </c>
      <c r="B97" s="42">
        <v>121607</v>
      </c>
      <c r="C97" s="42">
        <v>72</v>
      </c>
      <c r="D97" s="42" t="s">
        <v>11</v>
      </c>
      <c r="E97" s="42">
        <v>16597</v>
      </c>
      <c r="F97" s="42">
        <v>3611702</v>
      </c>
      <c r="G97" s="42" t="s">
        <v>39</v>
      </c>
      <c r="H97" s="42">
        <v>250</v>
      </c>
      <c r="I97" s="42">
        <v>108</v>
      </c>
      <c r="J97" s="52">
        <v>4.9305555555555554E-2</v>
      </c>
    </row>
    <row r="98" spans="1:10" s="42" customFormat="1" ht="15" x14ac:dyDescent="0.25">
      <c r="A98" s="42" t="s">
        <v>38</v>
      </c>
      <c r="B98" s="42">
        <v>127284</v>
      </c>
      <c r="C98" s="42">
        <v>70</v>
      </c>
      <c r="D98" s="42" t="s">
        <v>11</v>
      </c>
      <c r="E98" s="42">
        <v>1452</v>
      </c>
      <c r="F98" s="42">
        <v>3611702</v>
      </c>
      <c r="G98" s="42" t="s">
        <v>39</v>
      </c>
      <c r="H98" s="42">
        <v>220</v>
      </c>
      <c r="I98" s="42">
        <v>86</v>
      </c>
      <c r="J98" s="52">
        <v>3.9583333333333331E-2</v>
      </c>
    </row>
    <row r="99" spans="1:10" s="42" customFormat="1" ht="15" x14ac:dyDescent="0.25">
      <c r="A99" s="42" t="s">
        <v>38</v>
      </c>
      <c r="B99" s="42">
        <v>127284</v>
      </c>
      <c r="C99" s="42">
        <v>72</v>
      </c>
      <c r="D99" s="42" t="s">
        <v>11</v>
      </c>
      <c r="E99" s="42">
        <v>1452</v>
      </c>
      <c r="F99" s="42">
        <v>3611702</v>
      </c>
      <c r="G99" s="42" t="s">
        <v>39</v>
      </c>
      <c r="H99" s="42">
        <v>250</v>
      </c>
      <c r="I99" s="42">
        <v>84</v>
      </c>
      <c r="J99" s="52">
        <v>3.8194444444444441E-2</v>
      </c>
    </row>
    <row r="100" spans="1:10" s="42" customFormat="1" ht="15" x14ac:dyDescent="0.25">
      <c r="A100" s="42" t="s">
        <v>38</v>
      </c>
      <c r="B100" s="42">
        <v>127287</v>
      </c>
      <c r="C100" s="42">
        <v>70</v>
      </c>
      <c r="D100" s="42" t="s">
        <v>11</v>
      </c>
      <c r="E100" s="42">
        <v>16597</v>
      </c>
      <c r="F100" s="42">
        <v>3611702</v>
      </c>
      <c r="G100" s="42" t="s">
        <v>39</v>
      </c>
      <c r="H100" s="42">
        <v>220</v>
      </c>
      <c r="I100" s="42">
        <v>168</v>
      </c>
      <c r="J100" s="52">
        <v>7.7083333333333337E-2</v>
      </c>
    </row>
    <row r="101" spans="1:10" s="42" customFormat="1" ht="15" x14ac:dyDescent="0.25">
      <c r="A101" s="42" t="s">
        <v>38</v>
      </c>
      <c r="B101" s="42">
        <v>127287</v>
      </c>
      <c r="C101" s="42">
        <v>72</v>
      </c>
      <c r="D101" s="42" t="s">
        <v>11</v>
      </c>
      <c r="E101" s="42">
        <v>16597</v>
      </c>
      <c r="F101" s="42">
        <v>3611702</v>
      </c>
      <c r="G101" s="42" t="s">
        <v>39</v>
      </c>
      <c r="H101" s="42">
        <v>250</v>
      </c>
      <c r="I101" s="42">
        <v>160</v>
      </c>
      <c r="J101" s="52">
        <v>7.2916666666666671E-2</v>
      </c>
    </row>
    <row r="102" spans="1:10" s="42" customFormat="1" ht="15" x14ac:dyDescent="0.25">
      <c r="A102" s="42" t="s">
        <v>40</v>
      </c>
      <c r="B102" s="42">
        <v>141500</v>
      </c>
      <c r="C102" s="42">
        <v>20</v>
      </c>
      <c r="D102" s="42" t="s">
        <v>11</v>
      </c>
      <c r="E102" s="42">
        <v>14075</v>
      </c>
      <c r="F102" s="42">
        <v>1876302</v>
      </c>
      <c r="G102" s="42" t="s">
        <v>41</v>
      </c>
      <c r="H102" s="42">
        <v>310</v>
      </c>
      <c r="I102" s="42">
        <v>218</v>
      </c>
      <c r="J102" s="52">
        <v>9.0277777777777776E-2</v>
      </c>
    </row>
    <row r="103" spans="1:10" s="42" customFormat="1" ht="15" x14ac:dyDescent="0.25">
      <c r="A103" s="42" t="s">
        <v>40</v>
      </c>
      <c r="B103" s="42">
        <v>141500</v>
      </c>
      <c r="C103" s="42">
        <v>20</v>
      </c>
      <c r="D103" s="42" t="s">
        <v>11</v>
      </c>
      <c r="E103" s="42">
        <v>14075</v>
      </c>
      <c r="F103" s="42">
        <v>1876302</v>
      </c>
      <c r="G103" s="42" t="s">
        <v>41</v>
      </c>
      <c r="H103" s="42">
        <v>320</v>
      </c>
      <c r="I103" s="42">
        <v>182</v>
      </c>
      <c r="J103" s="52">
        <v>0</v>
      </c>
    </row>
    <row r="104" spans="1:10" s="42" customFormat="1" ht="15" x14ac:dyDescent="0.25">
      <c r="A104" s="42" t="s">
        <v>40</v>
      </c>
      <c r="B104" s="42">
        <v>141501</v>
      </c>
      <c r="C104" s="42">
        <v>20</v>
      </c>
      <c r="D104" s="42" t="s">
        <v>11</v>
      </c>
      <c r="E104" s="42">
        <v>14432</v>
      </c>
      <c r="F104" s="42">
        <v>1876302</v>
      </c>
      <c r="G104" s="42" t="s">
        <v>41</v>
      </c>
      <c r="H104" s="42">
        <v>310</v>
      </c>
      <c r="I104" s="42">
        <v>214</v>
      </c>
      <c r="J104" s="52">
        <v>8.819444444444445E-2</v>
      </c>
    </row>
    <row r="105" spans="1:10" s="42" customFormat="1" ht="15" x14ac:dyDescent="0.25">
      <c r="A105" s="42" t="s">
        <v>40</v>
      </c>
      <c r="B105" s="42">
        <v>141501</v>
      </c>
      <c r="C105" s="42">
        <v>20</v>
      </c>
      <c r="D105" s="42" t="s">
        <v>11</v>
      </c>
      <c r="E105" s="42">
        <v>14432</v>
      </c>
      <c r="F105" s="42">
        <v>1876302</v>
      </c>
      <c r="G105" s="42" t="s">
        <v>41</v>
      </c>
      <c r="H105" s="42">
        <v>320</v>
      </c>
      <c r="I105" s="42">
        <v>192</v>
      </c>
      <c r="J105" s="52">
        <v>0</v>
      </c>
    </row>
    <row r="106" spans="1:10" s="42" customFormat="1" ht="15" x14ac:dyDescent="0.25">
      <c r="A106" s="42" t="s">
        <v>40</v>
      </c>
      <c r="B106" s="42">
        <v>141502</v>
      </c>
      <c r="C106" s="42">
        <v>20</v>
      </c>
      <c r="D106" s="42" t="s">
        <v>11</v>
      </c>
      <c r="E106" s="42">
        <v>14383</v>
      </c>
      <c r="F106" s="42">
        <v>1876302</v>
      </c>
      <c r="G106" s="42" t="s">
        <v>41</v>
      </c>
      <c r="H106" s="42">
        <v>310</v>
      </c>
      <c r="I106" s="42">
        <v>298</v>
      </c>
      <c r="J106" s="52">
        <v>0.12291666666666667</v>
      </c>
    </row>
    <row r="107" spans="1:10" s="42" customFormat="1" ht="15" x14ac:dyDescent="0.25">
      <c r="A107" s="42" t="s">
        <v>40</v>
      </c>
      <c r="B107" s="42">
        <v>141502</v>
      </c>
      <c r="C107" s="42">
        <v>20</v>
      </c>
      <c r="D107" s="42" t="s">
        <v>11</v>
      </c>
      <c r="E107" s="42">
        <v>14383</v>
      </c>
      <c r="F107" s="42">
        <v>1876302</v>
      </c>
      <c r="G107" s="42" t="s">
        <v>41</v>
      </c>
      <c r="H107" s="42">
        <v>320</v>
      </c>
      <c r="I107" s="42">
        <v>214</v>
      </c>
      <c r="J107" s="52">
        <v>0</v>
      </c>
    </row>
    <row r="108" spans="1:10" s="42" customFormat="1" ht="15" x14ac:dyDescent="0.25">
      <c r="A108" s="42" t="s">
        <v>40</v>
      </c>
      <c r="B108" s="42">
        <v>142136</v>
      </c>
      <c r="C108" s="42">
        <v>30</v>
      </c>
      <c r="D108" s="42" t="s">
        <v>11</v>
      </c>
      <c r="E108" s="42">
        <v>16486</v>
      </c>
      <c r="F108" s="42">
        <v>2313202</v>
      </c>
      <c r="G108" s="42" t="s">
        <v>42</v>
      </c>
      <c r="H108" s="42">
        <v>250</v>
      </c>
      <c r="I108" s="42">
        <v>118</v>
      </c>
      <c r="J108" s="52">
        <v>5.2083333333333336E-2</v>
      </c>
    </row>
    <row r="109" spans="1:10" s="42" customFormat="1" ht="15" x14ac:dyDescent="0.25">
      <c r="A109" s="42" t="s">
        <v>40</v>
      </c>
      <c r="B109" s="42">
        <v>142136</v>
      </c>
      <c r="C109" s="42">
        <v>30</v>
      </c>
      <c r="D109" s="42" t="s">
        <v>11</v>
      </c>
      <c r="E109" s="42">
        <v>16486</v>
      </c>
      <c r="F109" s="42">
        <v>2313202</v>
      </c>
      <c r="G109" s="42" t="s">
        <v>42</v>
      </c>
      <c r="H109" s="42">
        <v>340</v>
      </c>
      <c r="I109" s="42">
        <v>96</v>
      </c>
      <c r="J109" s="52">
        <v>0</v>
      </c>
    </row>
    <row r="110" spans="1:10" s="42" customFormat="1" ht="15" x14ac:dyDescent="0.25">
      <c r="A110" s="42" t="s">
        <v>40</v>
      </c>
      <c r="B110" s="42">
        <v>142136</v>
      </c>
      <c r="C110" s="42">
        <v>30</v>
      </c>
      <c r="D110" s="42" t="s">
        <v>11</v>
      </c>
      <c r="E110" s="42">
        <v>16486</v>
      </c>
      <c r="F110" s="42">
        <v>2313202</v>
      </c>
      <c r="G110" s="42" t="s">
        <v>42</v>
      </c>
      <c r="H110" s="42">
        <v>356</v>
      </c>
      <c r="I110" s="42">
        <v>48</v>
      </c>
      <c r="J110" s="52">
        <v>0</v>
      </c>
    </row>
    <row r="111" spans="1:10" s="42" customFormat="1" ht="15" x14ac:dyDescent="0.25">
      <c r="A111" s="42" t="s">
        <v>40</v>
      </c>
      <c r="B111" s="42">
        <v>142136</v>
      </c>
      <c r="C111" s="42">
        <v>31</v>
      </c>
      <c r="D111" s="42" t="s">
        <v>11</v>
      </c>
      <c r="E111" s="42">
        <v>16486</v>
      </c>
      <c r="F111" s="42">
        <v>2313202</v>
      </c>
      <c r="G111" s="42" t="s">
        <v>42</v>
      </c>
      <c r="H111" s="42">
        <v>267</v>
      </c>
      <c r="I111" s="42">
        <v>258</v>
      </c>
      <c r="J111" s="52">
        <v>0</v>
      </c>
    </row>
    <row r="112" spans="1:10" s="42" customFormat="1" ht="15" x14ac:dyDescent="0.25">
      <c r="A112" s="42" t="s">
        <v>40</v>
      </c>
      <c r="B112" s="42">
        <v>142136</v>
      </c>
      <c r="C112" s="42">
        <v>31</v>
      </c>
      <c r="D112" s="42" t="s">
        <v>11</v>
      </c>
      <c r="E112" s="42">
        <v>16486</v>
      </c>
      <c r="F112" s="42">
        <v>2313202</v>
      </c>
      <c r="G112" s="42" t="s">
        <v>42</v>
      </c>
      <c r="H112" s="42">
        <v>310</v>
      </c>
      <c r="I112" s="42">
        <v>266</v>
      </c>
      <c r="J112" s="52">
        <v>0.11666666666666665</v>
      </c>
    </row>
    <row r="113" spans="1:10" s="42" customFormat="1" ht="15" x14ac:dyDescent="0.25">
      <c r="A113" s="42" t="s">
        <v>40</v>
      </c>
      <c r="B113" s="42">
        <v>142136</v>
      </c>
      <c r="C113" s="42">
        <v>31</v>
      </c>
      <c r="D113" s="42" t="s">
        <v>11</v>
      </c>
      <c r="E113" s="42">
        <v>16486</v>
      </c>
      <c r="F113" s="42">
        <v>2313202</v>
      </c>
      <c r="G113" s="42" t="s">
        <v>42</v>
      </c>
      <c r="H113" s="42">
        <v>323</v>
      </c>
      <c r="I113" s="42">
        <v>182</v>
      </c>
      <c r="J113" s="52">
        <v>0</v>
      </c>
    </row>
    <row r="114" spans="1:10" s="42" customFormat="1" ht="15" x14ac:dyDescent="0.25">
      <c r="A114" s="42" t="s">
        <v>40</v>
      </c>
      <c r="B114" s="42">
        <v>142136</v>
      </c>
      <c r="C114" s="42">
        <v>32</v>
      </c>
      <c r="D114" s="42" t="s">
        <v>11</v>
      </c>
      <c r="E114" s="42">
        <v>16486</v>
      </c>
      <c r="F114" s="42">
        <v>2313202</v>
      </c>
      <c r="G114" s="42" t="s">
        <v>42</v>
      </c>
      <c r="H114" s="42">
        <v>280</v>
      </c>
      <c r="I114" s="42">
        <v>258</v>
      </c>
      <c r="J114" s="52">
        <v>0</v>
      </c>
    </row>
    <row r="115" spans="1:10" s="42" customFormat="1" ht="15" x14ac:dyDescent="0.25">
      <c r="A115" s="42" t="s">
        <v>40</v>
      </c>
      <c r="B115" s="42">
        <v>142136</v>
      </c>
      <c r="C115" s="42">
        <v>32</v>
      </c>
      <c r="D115" s="42" t="s">
        <v>11</v>
      </c>
      <c r="E115" s="42">
        <v>16486</v>
      </c>
      <c r="F115" s="42">
        <v>2313202</v>
      </c>
      <c r="G115" s="42" t="s">
        <v>42</v>
      </c>
      <c r="H115" s="42">
        <v>290</v>
      </c>
      <c r="I115" s="42">
        <v>264</v>
      </c>
      <c r="J115" s="52">
        <v>0</v>
      </c>
    </row>
    <row r="116" spans="1:10" s="42" customFormat="1" ht="15" x14ac:dyDescent="0.25">
      <c r="A116" s="42" t="s">
        <v>40</v>
      </c>
      <c r="B116" s="42">
        <v>142136</v>
      </c>
      <c r="C116" s="42">
        <v>32</v>
      </c>
      <c r="D116" s="42" t="s">
        <v>11</v>
      </c>
      <c r="E116" s="42">
        <v>16486</v>
      </c>
      <c r="F116" s="42">
        <v>2313202</v>
      </c>
      <c r="G116" s="42" t="s">
        <v>42</v>
      </c>
      <c r="H116" s="42">
        <v>300</v>
      </c>
      <c r="I116" s="42">
        <v>284</v>
      </c>
      <c r="J116" s="52">
        <v>0.12430555555555556</v>
      </c>
    </row>
    <row r="117" spans="1:10" s="42" customFormat="1" ht="15" x14ac:dyDescent="0.25">
      <c r="A117" s="42" t="s">
        <v>40</v>
      </c>
      <c r="B117" s="42">
        <v>142140</v>
      </c>
      <c r="C117" s="42">
        <v>30</v>
      </c>
      <c r="D117" s="42" t="s">
        <v>11</v>
      </c>
      <c r="E117" s="42">
        <v>16311</v>
      </c>
      <c r="F117" s="42">
        <v>2313202</v>
      </c>
      <c r="G117" s="42" t="s">
        <v>42</v>
      </c>
      <c r="H117" s="42">
        <v>250</v>
      </c>
      <c r="I117" s="42">
        <v>54</v>
      </c>
      <c r="J117" s="52">
        <v>2.361111111111111E-2</v>
      </c>
    </row>
    <row r="118" spans="1:10" s="42" customFormat="1" ht="15" x14ac:dyDescent="0.25">
      <c r="A118" s="42" t="s">
        <v>40</v>
      </c>
      <c r="B118" s="42">
        <v>142140</v>
      </c>
      <c r="C118" s="42">
        <v>30</v>
      </c>
      <c r="D118" s="42" t="s">
        <v>11</v>
      </c>
      <c r="E118" s="42">
        <v>16311</v>
      </c>
      <c r="F118" s="42">
        <v>2313202</v>
      </c>
      <c r="G118" s="42" t="s">
        <v>42</v>
      </c>
      <c r="H118" s="42">
        <v>340</v>
      </c>
      <c r="I118" s="42">
        <v>42</v>
      </c>
      <c r="J118" s="52">
        <v>0</v>
      </c>
    </row>
    <row r="119" spans="1:10" s="42" customFormat="1" ht="15" x14ac:dyDescent="0.25">
      <c r="A119" s="42" t="s">
        <v>40</v>
      </c>
      <c r="B119" s="42">
        <v>142140</v>
      </c>
      <c r="C119" s="42">
        <v>30</v>
      </c>
      <c r="D119" s="42" t="s">
        <v>11</v>
      </c>
      <c r="E119" s="42">
        <v>16311</v>
      </c>
      <c r="F119" s="42">
        <v>2313202</v>
      </c>
      <c r="G119" s="42" t="s">
        <v>42</v>
      </c>
      <c r="H119" s="42">
        <v>356</v>
      </c>
      <c r="I119" s="42">
        <v>24</v>
      </c>
      <c r="J119" s="52">
        <v>0</v>
      </c>
    </row>
    <row r="120" spans="1:10" s="42" customFormat="1" ht="15" x14ac:dyDescent="0.25">
      <c r="A120" s="42" t="s">
        <v>40</v>
      </c>
      <c r="B120" s="42">
        <v>142140</v>
      </c>
      <c r="C120" s="42">
        <v>31</v>
      </c>
      <c r="D120" s="42" t="s">
        <v>11</v>
      </c>
      <c r="E120" s="42">
        <v>16311</v>
      </c>
      <c r="F120" s="42">
        <v>2313202</v>
      </c>
      <c r="G120" s="42" t="s">
        <v>42</v>
      </c>
      <c r="H120" s="42">
        <v>267</v>
      </c>
      <c r="I120" s="42">
        <v>84</v>
      </c>
      <c r="J120" s="52">
        <v>3.6805555555555557E-2</v>
      </c>
    </row>
    <row r="121" spans="1:10" s="42" customFormat="1" ht="15" x14ac:dyDescent="0.25">
      <c r="A121" s="42" t="s">
        <v>40</v>
      </c>
      <c r="B121" s="42">
        <v>142140</v>
      </c>
      <c r="C121" s="42">
        <v>31</v>
      </c>
      <c r="D121" s="42" t="s">
        <v>11</v>
      </c>
      <c r="E121" s="42">
        <v>16311</v>
      </c>
      <c r="F121" s="42">
        <v>2313202</v>
      </c>
      <c r="G121" s="42" t="s">
        <v>42</v>
      </c>
      <c r="H121" s="42">
        <v>310</v>
      </c>
      <c r="I121" s="42">
        <v>72</v>
      </c>
      <c r="J121" s="52">
        <v>0</v>
      </c>
    </row>
    <row r="122" spans="1:10" s="42" customFormat="1" ht="15" x14ac:dyDescent="0.25">
      <c r="A122" s="42" t="s">
        <v>40</v>
      </c>
      <c r="B122" s="42">
        <v>142140</v>
      </c>
      <c r="C122" s="42">
        <v>31</v>
      </c>
      <c r="D122" s="42" t="s">
        <v>11</v>
      </c>
      <c r="E122" s="42">
        <v>16311</v>
      </c>
      <c r="F122" s="42">
        <v>2313202</v>
      </c>
      <c r="G122" s="42" t="s">
        <v>42</v>
      </c>
      <c r="H122" s="42">
        <v>323</v>
      </c>
      <c r="I122" s="42">
        <v>60</v>
      </c>
      <c r="J122" s="52">
        <v>0</v>
      </c>
    </row>
    <row r="123" spans="1:10" s="42" customFormat="1" ht="15" x14ac:dyDescent="0.25">
      <c r="A123" s="42" t="s">
        <v>40</v>
      </c>
      <c r="B123" s="42">
        <v>142140</v>
      </c>
      <c r="C123" s="42">
        <v>32</v>
      </c>
      <c r="D123" s="42" t="s">
        <v>11</v>
      </c>
      <c r="E123" s="42">
        <v>16311</v>
      </c>
      <c r="F123" s="42">
        <v>2313202</v>
      </c>
      <c r="G123" s="42" t="s">
        <v>42</v>
      </c>
      <c r="H123" s="42">
        <v>280</v>
      </c>
      <c r="I123" s="42">
        <v>86</v>
      </c>
      <c r="J123" s="52">
        <v>0</v>
      </c>
    </row>
    <row r="124" spans="1:10" s="42" customFormat="1" ht="15" x14ac:dyDescent="0.25">
      <c r="A124" s="42" t="s">
        <v>40</v>
      </c>
      <c r="B124" s="42">
        <v>142140</v>
      </c>
      <c r="C124" s="42">
        <v>32</v>
      </c>
      <c r="D124" s="42" t="s">
        <v>11</v>
      </c>
      <c r="E124" s="42">
        <v>16311</v>
      </c>
      <c r="F124" s="42">
        <v>2313202</v>
      </c>
      <c r="G124" s="42" t="s">
        <v>42</v>
      </c>
      <c r="H124" s="42">
        <v>290</v>
      </c>
      <c r="I124" s="42">
        <v>88</v>
      </c>
      <c r="J124" s="52">
        <v>0</v>
      </c>
    </row>
    <row r="125" spans="1:10" s="42" customFormat="1" ht="15" x14ac:dyDescent="0.25">
      <c r="A125" s="42" t="s">
        <v>40</v>
      </c>
      <c r="B125" s="42">
        <v>142140</v>
      </c>
      <c r="C125" s="42">
        <v>32</v>
      </c>
      <c r="D125" s="42" t="s">
        <v>11</v>
      </c>
      <c r="E125" s="42">
        <v>16311</v>
      </c>
      <c r="F125" s="42">
        <v>2313202</v>
      </c>
      <c r="G125" s="42" t="s">
        <v>42</v>
      </c>
      <c r="H125" s="42">
        <v>300</v>
      </c>
      <c r="I125" s="42">
        <v>90</v>
      </c>
      <c r="J125" s="52">
        <v>3.9583333333333331E-2</v>
      </c>
    </row>
    <row r="126" spans="1:10" s="42" customFormat="1" ht="15" x14ac:dyDescent="0.25">
      <c r="A126" s="42" t="s">
        <v>40</v>
      </c>
      <c r="B126" s="42">
        <v>142146</v>
      </c>
      <c r="C126" s="42">
        <v>30</v>
      </c>
      <c r="D126" s="42" t="s">
        <v>11</v>
      </c>
      <c r="E126" s="42">
        <v>1003</v>
      </c>
      <c r="F126" s="42">
        <v>2313202</v>
      </c>
      <c r="G126" s="42" t="s">
        <v>42</v>
      </c>
      <c r="H126" s="42">
        <v>250</v>
      </c>
      <c r="I126" s="42">
        <v>22</v>
      </c>
      <c r="J126" s="52">
        <v>0</v>
      </c>
    </row>
    <row r="127" spans="1:10" s="42" customFormat="1" ht="15" x14ac:dyDescent="0.25">
      <c r="A127" s="42" t="s">
        <v>40</v>
      </c>
      <c r="B127" s="42">
        <v>142146</v>
      </c>
      <c r="C127" s="42">
        <v>30</v>
      </c>
      <c r="D127" s="42" t="s">
        <v>11</v>
      </c>
      <c r="E127" s="42">
        <v>1003</v>
      </c>
      <c r="F127" s="42">
        <v>2313202</v>
      </c>
      <c r="G127" s="42" t="s">
        <v>42</v>
      </c>
      <c r="H127" s="42">
        <v>340</v>
      </c>
      <c r="I127" s="42">
        <v>28</v>
      </c>
      <c r="J127" s="52">
        <v>1.2499999999999999E-2</v>
      </c>
    </row>
    <row r="128" spans="1:10" s="42" customFormat="1" ht="15" x14ac:dyDescent="0.25">
      <c r="A128" s="42" t="s">
        <v>40</v>
      </c>
      <c r="B128" s="42">
        <v>142146</v>
      </c>
      <c r="C128" s="42">
        <v>30</v>
      </c>
      <c r="D128" s="42" t="s">
        <v>11</v>
      </c>
      <c r="E128" s="42">
        <v>1003</v>
      </c>
      <c r="F128" s="42">
        <v>2313202</v>
      </c>
      <c r="G128" s="42" t="s">
        <v>42</v>
      </c>
      <c r="H128" s="42">
        <v>356</v>
      </c>
      <c r="I128" s="42">
        <v>20</v>
      </c>
      <c r="J128" s="52">
        <v>0</v>
      </c>
    </row>
    <row r="129" spans="1:10" s="42" customFormat="1" ht="15" x14ac:dyDescent="0.25">
      <c r="A129" s="42" t="s">
        <v>40</v>
      </c>
      <c r="B129" s="42">
        <v>142146</v>
      </c>
      <c r="C129" s="42">
        <v>31</v>
      </c>
      <c r="D129" s="42" t="s">
        <v>11</v>
      </c>
      <c r="E129" s="42">
        <v>1003</v>
      </c>
      <c r="F129" s="42">
        <v>2313202</v>
      </c>
      <c r="G129" s="42" t="s">
        <v>42</v>
      </c>
      <c r="H129" s="42">
        <v>267</v>
      </c>
      <c r="I129" s="42">
        <v>34</v>
      </c>
      <c r="J129" s="52">
        <v>1.4583333333333332E-2</v>
      </c>
    </row>
    <row r="130" spans="1:10" s="42" customFormat="1" ht="15" x14ac:dyDescent="0.25">
      <c r="A130" s="42" t="s">
        <v>40</v>
      </c>
      <c r="B130" s="42">
        <v>142146</v>
      </c>
      <c r="C130" s="42">
        <v>31</v>
      </c>
      <c r="D130" s="42" t="s">
        <v>11</v>
      </c>
      <c r="E130" s="42">
        <v>1003</v>
      </c>
      <c r="F130" s="42">
        <v>2313202</v>
      </c>
      <c r="G130" s="42" t="s">
        <v>42</v>
      </c>
      <c r="H130" s="42">
        <v>310</v>
      </c>
      <c r="I130" s="42">
        <v>30</v>
      </c>
      <c r="J130" s="52">
        <v>0</v>
      </c>
    </row>
    <row r="131" spans="1:10" s="42" customFormat="1" ht="15" x14ac:dyDescent="0.25">
      <c r="A131" s="42" t="s">
        <v>40</v>
      </c>
      <c r="B131" s="42">
        <v>142146</v>
      </c>
      <c r="C131" s="42">
        <v>31</v>
      </c>
      <c r="D131" s="42" t="s">
        <v>11</v>
      </c>
      <c r="E131" s="42">
        <v>1003</v>
      </c>
      <c r="F131" s="42">
        <v>2313202</v>
      </c>
      <c r="G131" s="42" t="s">
        <v>42</v>
      </c>
      <c r="H131" s="42">
        <v>323</v>
      </c>
      <c r="I131" s="42">
        <v>24</v>
      </c>
      <c r="J131" s="52">
        <v>0</v>
      </c>
    </row>
    <row r="132" spans="1:10" s="42" customFormat="1" ht="15" x14ac:dyDescent="0.25">
      <c r="A132" s="42" t="s">
        <v>40</v>
      </c>
      <c r="B132" s="42">
        <v>142146</v>
      </c>
      <c r="C132" s="42">
        <v>32</v>
      </c>
      <c r="D132" s="42" t="s">
        <v>11</v>
      </c>
      <c r="E132" s="42">
        <v>1003</v>
      </c>
      <c r="F132" s="42">
        <v>2313202</v>
      </c>
      <c r="G132" s="42" t="s">
        <v>42</v>
      </c>
      <c r="H132" s="42">
        <v>280</v>
      </c>
      <c r="I132" s="42">
        <v>32</v>
      </c>
      <c r="J132" s="52">
        <v>1.3888888888888888E-2</v>
      </c>
    </row>
    <row r="133" spans="1:10" s="42" customFormat="1" ht="15" x14ac:dyDescent="0.25">
      <c r="A133" s="42" t="s">
        <v>40</v>
      </c>
      <c r="B133" s="42">
        <v>142146</v>
      </c>
      <c r="C133" s="42">
        <v>32</v>
      </c>
      <c r="D133" s="42" t="s">
        <v>11</v>
      </c>
      <c r="E133" s="42">
        <v>1003</v>
      </c>
      <c r="F133" s="42">
        <v>2313202</v>
      </c>
      <c r="G133" s="42" t="s">
        <v>42</v>
      </c>
      <c r="H133" s="42">
        <v>290</v>
      </c>
      <c r="I133" s="42">
        <v>32</v>
      </c>
      <c r="J133" s="52">
        <v>0</v>
      </c>
    </row>
    <row r="134" spans="1:10" s="42" customFormat="1" ht="15" x14ac:dyDescent="0.25">
      <c r="A134" s="42" t="s">
        <v>40</v>
      </c>
      <c r="B134" s="42">
        <v>142146</v>
      </c>
      <c r="C134" s="42">
        <v>32</v>
      </c>
      <c r="D134" s="42" t="s">
        <v>11</v>
      </c>
      <c r="E134" s="42">
        <v>1003</v>
      </c>
      <c r="F134" s="42">
        <v>2313202</v>
      </c>
      <c r="G134" s="42" t="s">
        <v>42</v>
      </c>
      <c r="H134" s="42">
        <v>300</v>
      </c>
      <c r="I134" s="42">
        <v>32</v>
      </c>
      <c r="J134" s="52">
        <v>0</v>
      </c>
    </row>
    <row r="135" spans="1:10" s="42" customFormat="1" ht="15" x14ac:dyDescent="0.25">
      <c r="A135" s="42" t="s">
        <v>43</v>
      </c>
      <c r="B135" s="42">
        <v>119867</v>
      </c>
      <c r="C135" s="42">
        <v>28</v>
      </c>
      <c r="D135" s="42" t="s">
        <v>11</v>
      </c>
      <c r="E135" s="42">
        <v>1333</v>
      </c>
      <c r="F135" s="42">
        <v>8361504</v>
      </c>
      <c r="G135" s="42" t="s">
        <v>16</v>
      </c>
      <c r="H135" s="42">
        <v>178</v>
      </c>
      <c r="I135" s="42">
        <v>150</v>
      </c>
      <c r="J135" s="52">
        <v>0</v>
      </c>
    </row>
    <row r="136" spans="1:10" s="42" customFormat="1" ht="15" x14ac:dyDescent="0.25">
      <c r="A136" s="42" t="s">
        <v>43</v>
      </c>
      <c r="B136" s="42">
        <v>119867</v>
      </c>
      <c r="C136" s="42">
        <v>28</v>
      </c>
      <c r="D136" s="42" t="s">
        <v>11</v>
      </c>
      <c r="E136" s="42">
        <v>1333</v>
      </c>
      <c r="F136" s="42">
        <v>8361504</v>
      </c>
      <c r="G136" s="42" t="s">
        <v>16</v>
      </c>
      <c r="H136" s="42">
        <v>267</v>
      </c>
      <c r="I136" s="42">
        <v>162</v>
      </c>
      <c r="J136" s="52">
        <v>6.458333333333334E-2</v>
      </c>
    </row>
    <row r="137" spans="1:10" s="42" customFormat="1" ht="15" x14ac:dyDescent="0.25">
      <c r="A137" s="42" t="s">
        <v>43</v>
      </c>
      <c r="B137" s="42">
        <v>119876</v>
      </c>
      <c r="C137" s="42">
        <v>28</v>
      </c>
      <c r="D137" s="42" t="s">
        <v>11</v>
      </c>
      <c r="E137" s="42">
        <v>16380</v>
      </c>
      <c r="F137" s="42">
        <v>8361504</v>
      </c>
      <c r="G137" s="42" t="s">
        <v>16</v>
      </c>
      <c r="H137" s="42">
        <v>178</v>
      </c>
      <c r="I137" s="42">
        <v>104</v>
      </c>
      <c r="J137" s="52">
        <v>4.1666666666666664E-2</v>
      </c>
    </row>
    <row r="138" spans="1:10" s="42" customFormat="1" ht="15" x14ac:dyDescent="0.25">
      <c r="A138" s="42" t="s">
        <v>43</v>
      </c>
      <c r="B138" s="42">
        <v>119876</v>
      </c>
      <c r="C138" s="42">
        <v>28</v>
      </c>
      <c r="D138" s="42" t="s">
        <v>11</v>
      </c>
      <c r="E138" s="42">
        <v>16380</v>
      </c>
      <c r="F138" s="42">
        <v>8361504</v>
      </c>
      <c r="G138" s="42" t="s">
        <v>16</v>
      </c>
      <c r="H138" s="42">
        <v>267</v>
      </c>
      <c r="I138" s="42">
        <v>102</v>
      </c>
      <c r="J138" s="52">
        <v>0</v>
      </c>
    </row>
    <row r="139" spans="1:10" s="42" customFormat="1" ht="15" x14ac:dyDescent="0.25">
      <c r="A139" s="42" t="s">
        <v>43</v>
      </c>
      <c r="B139" s="42">
        <v>119876</v>
      </c>
      <c r="C139" s="42">
        <v>31</v>
      </c>
      <c r="D139" s="42" t="s">
        <v>11</v>
      </c>
      <c r="E139" s="42">
        <v>16380</v>
      </c>
      <c r="F139" s="42">
        <v>8361504</v>
      </c>
      <c r="G139" s="42" t="s">
        <v>16</v>
      </c>
      <c r="H139" s="42">
        <v>234</v>
      </c>
      <c r="I139" s="42">
        <v>220</v>
      </c>
      <c r="J139" s="52">
        <v>4.4444444444444446E-2</v>
      </c>
    </row>
    <row r="140" spans="1:10" s="42" customFormat="1" ht="15" x14ac:dyDescent="0.25">
      <c r="A140" s="42" t="s">
        <v>43</v>
      </c>
      <c r="B140" s="42">
        <v>121604</v>
      </c>
      <c r="C140" s="42">
        <v>67</v>
      </c>
      <c r="D140" s="42" t="s">
        <v>11</v>
      </c>
      <c r="E140" s="42">
        <v>1452</v>
      </c>
      <c r="F140" s="42">
        <v>3611702</v>
      </c>
      <c r="G140" s="42" t="s">
        <v>39</v>
      </c>
      <c r="H140" s="42">
        <v>178</v>
      </c>
      <c r="I140" s="42">
        <v>54</v>
      </c>
      <c r="J140" s="52">
        <v>2.4999999999999998E-2</v>
      </c>
    </row>
    <row r="141" spans="1:10" s="42" customFormat="1" ht="15" x14ac:dyDescent="0.25">
      <c r="A141" s="42" t="s">
        <v>43</v>
      </c>
      <c r="B141" s="42">
        <v>121604</v>
      </c>
      <c r="C141" s="42">
        <v>71</v>
      </c>
      <c r="D141" s="42" t="s">
        <v>11</v>
      </c>
      <c r="E141" s="42">
        <v>1452</v>
      </c>
      <c r="F141" s="42">
        <v>3611702</v>
      </c>
      <c r="G141" s="42" t="s">
        <v>39</v>
      </c>
      <c r="H141" s="42">
        <v>234</v>
      </c>
      <c r="I141" s="42">
        <v>80</v>
      </c>
      <c r="J141" s="52">
        <v>3.6805555555555557E-2</v>
      </c>
    </row>
    <row r="142" spans="1:10" s="42" customFormat="1" ht="15" x14ac:dyDescent="0.25">
      <c r="A142" s="42" t="s">
        <v>43</v>
      </c>
      <c r="B142" s="42">
        <v>121604</v>
      </c>
      <c r="C142" s="42">
        <v>74</v>
      </c>
      <c r="D142" s="42" t="s">
        <v>11</v>
      </c>
      <c r="E142" s="42">
        <v>1452</v>
      </c>
      <c r="F142" s="42">
        <v>3611702</v>
      </c>
      <c r="G142" s="42" t="s">
        <v>39</v>
      </c>
      <c r="H142" s="42">
        <v>280</v>
      </c>
      <c r="I142" s="42">
        <v>36</v>
      </c>
      <c r="J142" s="52">
        <v>1.6666666666666666E-2</v>
      </c>
    </row>
    <row r="143" spans="1:10" s="42" customFormat="1" ht="15" x14ac:dyDescent="0.25">
      <c r="A143" s="42" t="s">
        <v>43</v>
      </c>
      <c r="B143" s="42">
        <v>121605</v>
      </c>
      <c r="C143" s="42">
        <v>67</v>
      </c>
      <c r="D143" s="42" t="s">
        <v>11</v>
      </c>
      <c r="E143" s="42">
        <v>16331</v>
      </c>
      <c r="F143" s="42">
        <v>3611702</v>
      </c>
      <c r="G143" s="42" t="s">
        <v>39</v>
      </c>
      <c r="H143" s="42">
        <v>178</v>
      </c>
      <c r="I143" s="42">
        <v>94</v>
      </c>
      <c r="J143" s="52">
        <v>4.3055555555555562E-2</v>
      </c>
    </row>
    <row r="144" spans="1:10" s="42" customFormat="1" ht="15" x14ac:dyDescent="0.25">
      <c r="A144" s="42" t="s">
        <v>43</v>
      </c>
      <c r="B144" s="42">
        <v>121605</v>
      </c>
      <c r="C144" s="42">
        <v>71</v>
      </c>
      <c r="D144" s="42" t="s">
        <v>11</v>
      </c>
      <c r="E144" s="42">
        <v>16331</v>
      </c>
      <c r="F144" s="42">
        <v>3611702</v>
      </c>
      <c r="G144" s="42" t="s">
        <v>39</v>
      </c>
      <c r="H144" s="42">
        <v>234</v>
      </c>
      <c r="I144" s="42">
        <v>164</v>
      </c>
      <c r="J144" s="52">
        <v>7.4999999999999997E-2</v>
      </c>
    </row>
    <row r="145" spans="1:10" s="42" customFormat="1" ht="15" x14ac:dyDescent="0.25">
      <c r="A145" s="42" t="s">
        <v>43</v>
      </c>
      <c r="B145" s="42">
        <v>121605</v>
      </c>
      <c r="C145" s="42">
        <v>74</v>
      </c>
      <c r="D145" s="42" t="s">
        <v>11</v>
      </c>
      <c r="E145" s="42">
        <v>16331</v>
      </c>
      <c r="F145" s="42">
        <v>3611702</v>
      </c>
      <c r="G145" s="42" t="s">
        <v>39</v>
      </c>
      <c r="H145" s="42">
        <v>280</v>
      </c>
      <c r="I145" s="42">
        <v>96</v>
      </c>
      <c r="J145" s="52">
        <v>4.3750000000000004E-2</v>
      </c>
    </row>
    <row r="146" spans="1:10" s="42" customFormat="1" ht="15" x14ac:dyDescent="0.25">
      <c r="A146" s="42" t="s">
        <v>43</v>
      </c>
      <c r="B146" s="42">
        <v>121607</v>
      </c>
      <c r="C146" s="42">
        <v>71</v>
      </c>
      <c r="D146" s="42" t="s">
        <v>11</v>
      </c>
      <c r="E146" s="42">
        <v>16597</v>
      </c>
      <c r="F146" s="42">
        <v>3611702</v>
      </c>
      <c r="G146" s="42" t="s">
        <v>39</v>
      </c>
      <c r="H146" s="42">
        <v>234</v>
      </c>
      <c r="I146" s="42">
        <v>120</v>
      </c>
      <c r="J146" s="52">
        <v>5.486111111111111E-2</v>
      </c>
    </row>
    <row r="147" spans="1:10" s="42" customFormat="1" ht="15" x14ac:dyDescent="0.25">
      <c r="A147" s="42" t="s">
        <v>43</v>
      </c>
      <c r="B147" s="42">
        <v>121607</v>
      </c>
      <c r="C147" s="42">
        <v>74</v>
      </c>
      <c r="D147" s="42" t="s">
        <v>11</v>
      </c>
      <c r="E147" s="42">
        <v>16597</v>
      </c>
      <c r="F147" s="42">
        <v>3611702</v>
      </c>
      <c r="G147" s="42" t="s">
        <v>39</v>
      </c>
      <c r="H147" s="42">
        <v>280</v>
      </c>
      <c r="I147" s="42">
        <v>70</v>
      </c>
      <c r="J147" s="52">
        <v>3.1944444444444449E-2</v>
      </c>
    </row>
    <row r="148" spans="1:10" s="42" customFormat="1" ht="15" x14ac:dyDescent="0.25">
      <c r="A148" s="42" t="s">
        <v>43</v>
      </c>
      <c r="B148" s="42">
        <v>123127</v>
      </c>
      <c r="C148" s="42">
        <v>28</v>
      </c>
      <c r="D148" s="42" t="s">
        <v>11</v>
      </c>
      <c r="E148" s="42">
        <v>1651</v>
      </c>
      <c r="F148" s="42">
        <v>8361504</v>
      </c>
      <c r="G148" s="42" t="s">
        <v>16</v>
      </c>
      <c r="H148" s="42">
        <v>178</v>
      </c>
      <c r="I148" s="42">
        <v>148</v>
      </c>
      <c r="J148" s="52">
        <v>0</v>
      </c>
    </row>
    <row r="149" spans="1:10" s="42" customFormat="1" ht="15" x14ac:dyDescent="0.25">
      <c r="A149" s="42" t="s">
        <v>43</v>
      </c>
      <c r="B149" s="42">
        <v>123127</v>
      </c>
      <c r="C149" s="42">
        <v>28</v>
      </c>
      <c r="D149" s="42" t="s">
        <v>11</v>
      </c>
      <c r="E149" s="42">
        <v>1651</v>
      </c>
      <c r="F149" s="42">
        <v>8361504</v>
      </c>
      <c r="G149" s="42" t="s">
        <v>16</v>
      </c>
      <c r="H149" s="42">
        <v>267</v>
      </c>
      <c r="I149" s="42">
        <v>224</v>
      </c>
      <c r="J149" s="52">
        <v>8.9583333333333334E-2</v>
      </c>
    </row>
    <row r="150" spans="1:10" s="42" customFormat="1" ht="15" x14ac:dyDescent="0.25">
      <c r="A150" s="42" t="s">
        <v>43</v>
      </c>
      <c r="B150" s="42">
        <v>127284</v>
      </c>
      <c r="C150" s="42">
        <v>67</v>
      </c>
      <c r="D150" s="42" t="s">
        <v>11</v>
      </c>
      <c r="E150" s="42">
        <v>1452</v>
      </c>
      <c r="F150" s="42">
        <v>3611702</v>
      </c>
      <c r="G150" s="42" t="s">
        <v>39</v>
      </c>
      <c r="H150" s="42">
        <v>178</v>
      </c>
      <c r="I150" s="42">
        <v>50</v>
      </c>
      <c r="J150" s="52">
        <v>2.2916666666666669E-2</v>
      </c>
    </row>
    <row r="151" spans="1:10" s="42" customFormat="1" ht="15" x14ac:dyDescent="0.25">
      <c r="A151" s="42" t="s">
        <v>43</v>
      </c>
      <c r="B151" s="42">
        <v>127284</v>
      </c>
      <c r="C151" s="42">
        <v>71</v>
      </c>
      <c r="D151" s="42" t="s">
        <v>11</v>
      </c>
      <c r="E151" s="42">
        <v>1452</v>
      </c>
      <c r="F151" s="42">
        <v>3611702</v>
      </c>
      <c r="G151" s="42" t="s">
        <v>39</v>
      </c>
      <c r="H151" s="42">
        <v>234</v>
      </c>
      <c r="I151" s="42">
        <v>88</v>
      </c>
      <c r="J151" s="52">
        <v>4.027777777777778E-2</v>
      </c>
    </row>
    <row r="152" spans="1:10" s="42" customFormat="1" ht="15" x14ac:dyDescent="0.25">
      <c r="A152" s="42" t="s">
        <v>43</v>
      </c>
      <c r="B152" s="42">
        <v>127284</v>
      </c>
      <c r="C152" s="42">
        <v>74</v>
      </c>
      <c r="D152" s="42" t="s">
        <v>11</v>
      </c>
      <c r="E152" s="42">
        <v>1452</v>
      </c>
      <c r="F152" s="42">
        <v>3611702</v>
      </c>
      <c r="G152" s="42" t="s">
        <v>39</v>
      </c>
      <c r="H152" s="42">
        <v>280</v>
      </c>
      <c r="I152" s="42">
        <v>50</v>
      </c>
      <c r="J152" s="52">
        <v>2.2916666666666669E-2</v>
      </c>
    </row>
    <row r="153" spans="1:10" s="42" customFormat="1" ht="15" x14ac:dyDescent="0.25">
      <c r="A153" s="42" t="s">
        <v>43</v>
      </c>
      <c r="B153" s="42">
        <v>127287</v>
      </c>
      <c r="C153" s="42">
        <v>67</v>
      </c>
      <c r="D153" s="42" t="s">
        <v>11</v>
      </c>
      <c r="E153" s="42">
        <v>16597</v>
      </c>
      <c r="F153" s="42">
        <v>3611702</v>
      </c>
      <c r="G153" s="42" t="s">
        <v>39</v>
      </c>
      <c r="H153" s="42">
        <v>178</v>
      </c>
      <c r="I153" s="42">
        <v>104</v>
      </c>
      <c r="J153" s="52">
        <v>4.7916666666666663E-2</v>
      </c>
    </row>
    <row r="154" spans="1:10" s="42" customFormat="1" ht="15" x14ac:dyDescent="0.25">
      <c r="A154" s="42" t="s">
        <v>43</v>
      </c>
      <c r="B154" s="42">
        <v>127287</v>
      </c>
      <c r="C154" s="42">
        <v>71</v>
      </c>
      <c r="D154" s="42" t="s">
        <v>11</v>
      </c>
      <c r="E154" s="42">
        <v>16597</v>
      </c>
      <c r="F154" s="42">
        <v>3611702</v>
      </c>
      <c r="G154" s="42" t="s">
        <v>39</v>
      </c>
      <c r="H154" s="42">
        <v>234</v>
      </c>
      <c r="I154" s="42">
        <v>178</v>
      </c>
      <c r="J154" s="52">
        <v>8.1250000000000003E-2</v>
      </c>
    </row>
    <row r="155" spans="1:10" s="42" customFormat="1" ht="15" x14ac:dyDescent="0.25">
      <c r="A155" s="42" t="s">
        <v>43</v>
      </c>
      <c r="B155" s="42">
        <v>127287</v>
      </c>
      <c r="C155" s="42">
        <v>74</v>
      </c>
      <c r="D155" s="42" t="s">
        <v>11</v>
      </c>
      <c r="E155" s="42">
        <v>16597</v>
      </c>
      <c r="F155" s="42">
        <v>3611702</v>
      </c>
      <c r="G155" s="42" t="s">
        <v>39</v>
      </c>
      <c r="H155" s="42">
        <v>280</v>
      </c>
      <c r="I155" s="42">
        <v>100</v>
      </c>
      <c r="J155" s="52">
        <v>4.5833333333333337E-2</v>
      </c>
    </row>
    <row r="156" spans="1:10" s="42" customFormat="1" ht="15" x14ac:dyDescent="0.25">
      <c r="A156" s="42" t="s">
        <v>44</v>
      </c>
      <c r="B156" s="42">
        <v>119876</v>
      </c>
      <c r="C156" s="42">
        <v>25</v>
      </c>
      <c r="D156" s="42" t="s">
        <v>11</v>
      </c>
      <c r="E156" s="42">
        <v>16571</v>
      </c>
      <c r="F156" s="42">
        <v>8361502</v>
      </c>
      <c r="G156" s="42" t="s">
        <v>33</v>
      </c>
      <c r="H156" s="42">
        <v>5</v>
      </c>
      <c r="I156" s="53">
        <v>1986</v>
      </c>
      <c r="J156" s="52">
        <v>0.21180555555555555</v>
      </c>
    </row>
    <row r="157" spans="1:10" s="42" customFormat="1" ht="15" x14ac:dyDescent="0.25">
      <c r="A157" s="42" t="s">
        <v>44</v>
      </c>
      <c r="B157" s="42">
        <v>123127</v>
      </c>
      <c r="C157" s="42">
        <v>25</v>
      </c>
      <c r="D157" s="42" t="s">
        <v>11</v>
      </c>
      <c r="E157" s="42">
        <v>16311</v>
      </c>
      <c r="F157" s="42">
        <v>8361502</v>
      </c>
      <c r="G157" s="42" t="s">
        <v>33</v>
      </c>
      <c r="H157" s="42">
        <v>5</v>
      </c>
      <c r="I157" s="53">
        <v>2794</v>
      </c>
      <c r="J157" s="52">
        <v>0.29791666666666666</v>
      </c>
    </row>
    <row r="158" spans="1:10" s="42" customFormat="1" ht="15" x14ac:dyDescent="0.25">
      <c r="A158" s="42" t="s">
        <v>44</v>
      </c>
      <c r="B158" s="42">
        <v>141444</v>
      </c>
      <c r="C158" s="42">
        <v>25</v>
      </c>
      <c r="D158" s="42" t="s">
        <v>11</v>
      </c>
      <c r="E158" s="42">
        <v>1375</v>
      </c>
      <c r="F158" s="42">
        <v>1239702</v>
      </c>
      <c r="G158" s="42" t="s">
        <v>26</v>
      </c>
      <c r="H158" s="42">
        <v>378</v>
      </c>
      <c r="I158" s="42">
        <v>134</v>
      </c>
      <c r="J158" s="52">
        <v>6.3194444444444442E-2</v>
      </c>
    </row>
    <row r="159" spans="1:10" s="42" customFormat="1" ht="15" x14ac:dyDescent="0.25">
      <c r="A159" s="42" t="s">
        <v>44</v>
      </c>
      <c r="B159" s="42">
        <v>141444</v>
      </c>
      <c r="C159" s="42">
        <v>25</v>
      </c>
      <c r="D159" s="42" t="s">
        <v>11</v>
      </c>
      <c r="E159" s="42">
        <v>1375</v>
      </c>
      <c r="F159" s="42">
        <v>1239702</v>
      </c>
      <c r="G159" s="42" t="s">
        <v>26</v>
      </c>
      <c r="H159" s="42">
        <v>434</v>
      </c>
      <c r="I159" s="42">
        <v>30</v>
      </c>
      <c r="J159" s="52">
        <v>0</v>
      </c>
    </row>
    <row r="160" spans="1:10" s="42" customFormat="1" ht="15" x14ac:dyDescent="0.25">
      <c r="A160" s="42" t="s">
        <v>44</v>
      </c>
      <c r="B160" s="42">
        <v>145799</v>
      </c>
      <c r="C160" s="42">
        <v>1</v>
      </c>
      <c r="D160" s="42" t="s">
        <v>11</v>
      </c>
      <c r="E160" s="42">
        <v>1276</v>
      </c>
      <c r="F160" s="42">
        <v>3580622</v>
      </c>
      <c r="G160" s="42" t="s">
        <v>45</v>
      </c>
      <c r="H160" s="42">
        <v>1001</v>
      </c>
      <c r="I160" s="42">
        <v>38</v>
      </c>
      <c r="J160" s="52">
        <v>7.6388888888888886E-3</v>
      </c>
    </row>
    <row r="161" spans="1:10" s="42" customFormat="1" ht="15" x14ac:dyDescent="0.25">
      <c r="A161" s="42" t="s">
        <v>44</v>
      </c>
      <c r="B161" s="42">
        <v>145800</v>
      </c>
      <c r="C161" s="42">
        <v>1</v>
      </c>
      <c r="D161" s="42" t="s">
        <v>11</v>
      </c>
      <c r="E161" s="42">
        <v>1276</v>
      </c>
      <c r="F161" s="42">
        <v>3580622</v>
      </c>
      <c r="G161" s="42" t="s">
        <v>45</v>
      </c>
      <c r="H161" s="42">
        <v>1002</v>
      </c>
      <c r="I161" s="42">
        <v>38</v>
      </c>
      <c r="J161" s="52">
        <v>7.6388888888888886E-3</v>
      </c>
    </row>
    <row r="162" spans="1:10" s="42" customFormat="1" ht="15" x14ac:dyDescent="0.25">
      <c r="A162" s="42" t="s">
        <v>46</v>
      </c>
      <c r="B162" s="42">
        <v>132020</v>
      </c>
      <c r="C162" s="42">
        <v>72</v>
      </c>
      <c r="D162" s="42" t="s">
        <v>11</v>
      </c>
      <c r="E162" s="42">
        <v>16331</v>
      </c>
      <c r="F162" s="42">
        <v>3611424</v>
      </c>
      <c r="G162" s="42" t="s">
        <v>47</v>
      </c>
      <c r="H162" s="42">
        <v>5</v>
      </c>
      <c r="I162" s="42">
        <v>736</v>
      </c>
      <c r="J162" s="52">
        <v>8.2638888888888887E-2</v>
      </c>
    </row>
    <row r="163" spans="1:10" s="42" customFormat="1" ht="15" x14ac:dyDescent="0.25">
      <c r="A163" s="42" t="s">
        <v>46</v>
      </c>
      <c r="B163" s="42">
        <v>132021</v>
      </c>
      <c r="C163" s="42">
        <v>72</v>
      </c>
      <c r="D163" s="42" t="s">
        <v>11</v>
      </c>
      <c r="E163" s="42">
        <v>16572</v>
      </c>
      <c r="F163" s="42">
        <v>3611424</v>
      </c>
      <c r="G163" s="42" t="s">
        <v>47</v>
      </c>
      <c r="H163" s="42">
        <v>5</v>
      </c>
      <c r="I163" s="53">
        <v>1736</v>
      </c>
      <c r="J163" s="52">
        <v>0.19513888888888889</v>
      </c>
    </row>
    <row r="164" spans="1:10" s="42" customFormat="1" ht="15" x14ac:dyDescent="0.25">
      <c r="A164" s="42" t="s">
        <v>46</v>
      </c>
      <c r="B164" s="42">
        <v>132022</v>
      </c>
      <c r="C164" s="42">
        <v>72</v>
      </c>
      <c r="D164" s="42" t="s">
        <v>11</v>
      </c>
      <c r="E164" s="42">
        <v>7761</v>
      </c>
      <c r="F164" s="42">
        <v>3611424</v>
      </c>
      <c r="G164" s="42" t="s">
        <v>47</v>
      </c>
      <c r="H164" s="42">
        <v>5</v>
      </c>
      <c r="I164" s="53">
        <v>2128</v>
      </c>
      <c r="J164" s="52">
        <v>0.2388888888888889</v>
      </c>
    </row>
    <row r="165" spans="1:10" s="42" customFormat="1" ht="15" x14ac:dyDescent="0.25">
      <c r="A165" s="42" t="s">
        <v>46</v>
      </c>
      <c r="B165" s="42">
        <v>132023</v>
      </c>
      <c r="C165" s="42">
        <v>72</v>
      </c>
      <c r="D165" s="42" t="s">
        <v>11</v>
      </c>
      <c r="E165" s="42">
        <v>1177</v>
      </c>
      <c r="F165" s="42">
        <v>3611424</v>
      </c>
      <c r="G165" s="42" t="s">
        <v>47</v>
      </c>
      <c r="H165" s="42">
        <v>5</v>
      </c>
      <c r="I165" s="53">
        <v>1424</v>
      </c>
      <c r="J165" s="52">
        <v>0.15972222222222224</v>
      </c>
    </row>
    <row r="166" spans="1:10" s="42" customFormat="1" ht="15" x14ac:dyDescent="0.25">
      <c r="A166" s="42" t="s">
        <v>46</v>
      </c>
      <c r="B166" s="42">
        <v>142251</v>
      </c>
      <c r="C166" s="42">
        <v>72</v>
      </c>
      <c r="D166" s="42" t="s">
        <v>11</v>
      </c>
      <c r="E166" s="42">
        <v>16572</v>
      </c>
      <c r="F166" s="42">
        <v>3611424</v>
      </c>
      <c r="G166" s="42" t="s">
        <v>47</v>
      </c>
      <c r="H166" s="42">
        <v>5</v>
      </c>
      <c r="I166" s="53">
        <v>1352</v>
      </c>
      <c r="J166" s="52">
        <v>0.15208333333333332</v>
      </c>
    </row>
    <row r="167" spans="1:10" s="42" customFormat="1" ht="15" x14ac:dyDescent="0.25">
      <c r="A167" s="42" t="s">
        <v>46</v>
      </c>
      <c r="B167" s="42">
        <v>143854</v>
      </c>
      <c r="C167" s="42">
        <v>72</v>
      </c>
      <c r="D167" s="42" t="s">
        <v>11</v>
      </c>
      <c r="E167" s="42">
        <v>16331</v>
      </c>
      <c r="F167" s="42">
        <v>3611424</v>
      </c>
      <c r="G167" s="42" t="s">
        <v>47</v>
      </c>
      <c r="H167" s="42">
        <v>5</v>
      </c>
      <c r="I167" s="53">
        <v>1156</v>
      </c>
      <c r="J167" s="52">
        <v>0.12986111111111112</v>
      </c>
    </row>
    <row r="168" spans="1:10" s="42" customFormat="1" ht="15" x14ac:dyDescent="0.25">
      <c r="A168" s="42" t="s">
        <v>48</v>
      </c>
      <c r="B168" s="42">
        <v>141384</v>
      </c>
      <c r="C168" s="42">
        <v>21</v>
      </c>
      <c r="D168" s="42" t="s">
        <v>11</v>
      </c>
      <c r="E168" s="42">
        <v>1255</v>
      </c>
      <c r="F168" s="42">
        <v>2731902</v>
      </c>
      <c r="G168" s="42" t="s">
        <v>15</v>
      </c>
      <c r="H168" s="42">
        <v>278</v>
      </c>
      <c r="I168" s="42">
        <v>600</v>
      </c>
      <c r="J168" s="52">
        <v>0.13958333333333334</v>
      </c>
    </row>
    <row r="169" spans="1:10" s="42" customFormat="1" ht="15" x14ac:dyDescent="0.25">
      <c r="A169" s="42" t="s">
        <v>48</v>
      </c>
      <c r="B169" s="42">
        <v>141384</v>
      </c>
      <c r="C169" s="42">
        <v>21</v>
      </c>
      <c r="D169" s="42" t="s">
        <v>11</v>
      </c>
      <c r="E169" s="42">
        <v>1255</v>
      </c>
      <c r="F169" s="42">
        <v>2731902</v>
      </c>
      <c r="G169" s="42" t="s">
        <v>15</v>
      </c>
      <c r="H169" s="42">
        <v>293</v>
      </c>
      <c r="I169" s="42">
        <v>320</v>
      </c>
      <c r="J169" s="52">
        <v>0</v>
      </c>
    </row>
    <row r="170" spans="1:10" s="42" customFormat="1" ht="15" x14ac:dyDescent="0.25">
      <c r="A170" s="42" t="s">
        <v>48</v>
      </c>
      <c r="B170" s="42">
        <v>141386</v>
      </c>
      <c r="C170" s="42">
        <v>21</v>
      </c>
      <c r="D170" s="42" t="s">
        <v>11</v>
      </c>
      <c r="E170" s="42">
        <v>1003</v>
      </c>
      <c r="F170" s="42">
        <v>2731902</v>
      </c>
      <c r="G170" s="42" t="s">
        <v>15</v>
      </c>
      <c r="H170" s="42">
        <v>278</v>
      </c>
      <c r="I170" s="42">
        <v>126</v>
      </c>
      <c r="J170" s="52">
        <v>0</v>
      </c>
    </row>
    <row r="171" spans="1:10" s="42" customFormat="1" ht="15" x14ac:dyDescent="0.25">
      <c r="A171" s="42" t="s">
        <v>48</v>
      </c>
      <c r="B171" s="42">
        <v>141386</v>
      </c>
      <c r="C171" s="42">
        <v>21</v>
      </c>
      <c r="D171" s="42" t="s">
        <v>11</v>
      </c>
      <c r="E171" s="42">
        <v>1003</v>
      </c>
      <c r="F171" s="42">
        <v>2731902</v>
      </c>
      <c r="G171" s="42" t="s">
        <v>15</v>
      </c>
      <c r="H171" s="42">
        <v>293</v>
      </c>
      <c r="I171" s="42">
        <v>134</v>
      </c>
      <c r="J171" s="52">
        <v>0</v>
      </c>
    </row>
    <row r="172" spans="1:10" s="42" customFormat="1" ht="15" x14ac:dyDescent="0.25">
      <c r="A172" s="42" t="s">
        <v>48</v>
      </c>
      <c r="B172" s="42">
        <v>141386</v>
      </c>
      <c r="C172" s="42">
        <v>21</v>
      </c>
      <c r="D172" s="42" t="s">
        <v>11</v>
      </c>
      <c r="E172" s="42">
        <v>1003</v>
      </c>
      <c r="F172" s="42">
        <v>2731902</v>
      </c>
      <c r="G172" s="42" t="s">
        <v>15</v>
      </c>
      <c r="H172" s="42">
        <v>312</v>
      </c>
      <c r="I172" s="42">
        <v>142</v>
      </c>
      <c r="J172" s="52">
        <v>3.3333333333333333E-2</v>
      </c>
    </row>
    <row r="173" spans="1:10" s="42" customFormat="1" ht="15" x14ac:dyDescent="0.25">
      <c r="A173" s="42" t="s">
        <v>48</v>
      </c>
      <c r="B173" s="42">
        <v>145690</v>
      </c>
      <c r="C173" s="42">
        <v>18</v>
      </c>
      <c r="D173" s="42" t="s">
        <v>11</v>
      </c>
      <c r="E173" s="42">
        <v>10868</v>
      </c>
      <c r="F173" s="42">
        <v>2731902</v>
      </c>
      <c r="G173" s="42" t="s">
        <v>15</v>
      </c>
      <c r="H173" s="42">
        <v>293</v>
      </c>
      <c r="I173" s="42">
        <v>30</v>
      </c>
      <c r="J173" s="52">
        <v>6.9444444444444441E-3</v>
      </c>
    </row>
    <row r="174" spans="1:10" s="42" customFormat="1" ht="15" x14ac:dyDescent="0.25">
      <c r="A174" s="42" t="s">
        <v>48</v>
      </c>
      <c r="B174" s="42">
        <v>145690</v>
      </c>
      <c r="C174" s="42">
        <v>18</v>
      </c>
      <c r="D174" s="42" t="s">
        <v>11</v>
      </c>
      <c r="E174" s="42">
        <v>10868</v>
      </c>
      <c r="F174" s="42">
        <v>2731902</v>
      </c>
      <c r="G174" s="42" t="s">
        <v>15</v>
      </c>
      <c r="H174" s="42">
        <v>312</v>
      </c>
      <c r="I174" s="42">
        <v>30</v>
      </c>
      <c r="J174" s="52">
        <v>0</v>
      </c>
    </row>
    <row r="175" spans="1:10" s="42" customFormat="1" ht="15" x14ac:dyDescent="0.25">
      <c r="A175" s="42" t="s">
        <v>48</v>
      </c>
      <c r="B175" s="42">
        <v>145696</v>
      </c>
      <c r="C175" s="42">
        <v>21</v>
      </c>
      <c r="D175" s="42" t="s">
        <v>11</v>
      </c>
      <c r="E175" s="42">
        <v>14481</v>
      </c>
      <c r="F175" s="42">
        <v>2731902</v>
      </c>
      <c r="G175" s="42" t="s">
        <v>15</v>
      </c>
      <c r="H175" s="42">
        <v>278</v>
      </c>
      <c r="I175" s="42">
        <v>230</v>
      </c>
      <c r="J175" s="52">
        <v>0</v>
      </c>
    </row>
    <row r="176" spans="1:10" s="42" customFormat="1" ht="15" x14ac:dyDescent="0.25">
      <c r="A176" s="42" t="s">
        <v>48</v>
      </c>
      <c r="B176" s="42">
        <v>145696</v>
      </c>
      <c r="C176" s="42">
        <v>21</v>
      </c>
      <c r="D176" s="42" t="s">
        <v>11</v>
      </c>
      <c r="E176" s="42">
        <v>14481</v>
      </c>
      <c r="F176" s="42">
        <v>2731902</v>
      </c>
      <c r="G176" s="42" t="s">
        <v>15</v>
      </c>
      <c r="H176" s="42">
        <v>293</v>
      </c>
      <c r="I176" s="42">
        <v>230</v>
      </c>
      <c r="J176" s="52">
        <v>0</v>
      </c>
    </row>
    <row r="177" spans="1:10" s="42" customFormat="1" ht="15" x14ac:dyDescent="0.25">
      <c r="A177" s="42" t="s">
        <v>48</v>
      </c>
      <c r="B177" s="42">
        <v>145696</v>
      </c>
      <c r="C177" s="42">
        <v>21</v>
      </c>
      <c r="D177" s="42" t="s">
        <v>11</v>
      </c>
      <c r="E177" s="42">
        <v>14481</v>
      </c>
      <c r="F177" s="42">
        <v>2731902</v>
      </c>
      <c r="G177" s="42" t="s">
        <v>15</v>
      </c>
      <c r="H177" s="42">
        <v>312</v>
      </c>
      <c r="I177" s="42">
        <v>234</v>
      </c>
      <c r="J177" s="52">
        <v>5.4166666666666669E-2</v>
      </c>
    </row>
    <row r="178" spans="1:10" s="42" customFormat="1" ht="15" x14ac:dyDescent="0.25">
      <c r="A178" s="42" t="s">
        <v>48</v>
      </c>
      <c r="B178" s="42">
        <v>145728</v>
      </c>
      <c r="C178" s="42">
        <v>21</v>
      </c>
      <c r="D178" s="42" t="s">
        <v>11</v>
      </c>
      <c r="E178" s="42">
        <v>1255</v>
      </c>
      <c r="F178" s="42">
        <v>2731902</v>
      </c>
      <c r="G178" s="42" t="s">
        <v>15</v>
      </c>
      <c r="H178" s="42">
        <v>278</v>
      </c>
      <c r="I178" s="53">
        <v>1338</v>
      </c>
      <c r="J178" s="52">
        <v>0</v>
      </c>
    </row>
    <row r="179" spans="1:10" s="42" customFormat="1" ht="15" x14ac:dyDescent="0.25">
      <c r="A179" s="42" t="s">
        <v>48</v>
      </c>
      <c r="B179" s="42">
        <v>145728</v>
      </c>
      <c r="C179" s="42">
        <v>21</v>
      </c>
      <c r="D179" s="42" t="s">
        <v>11</v>
      </c>
      <c r="E179" s="42">
        <v>1255</v>
      </c>
      <c r="F179" s="42">
        <v>2731902</v>
      </c>
      <c r="G179" s="42" t="s">
        <v>15</v>
      </c>
      <c r="H179" s="42">
        <v>293</v>
      </c>
      <c r="I179" s="53">
        <v>1720</v>
      </c>
      <c r="J179" s="52">
        <v>0.40069444444444446</v>
      </c>
    </row>
    <row r="180" spans="1:10" s="42" customFormat="1" ht="15" x14ac:dyDescent="0.25">
      <c r="A180" s="42" t="s">
        <v>48</v>
      </c>
      <c r="B180" s="42">
        <v>145728</v>
      </c>
      <c r="C180" s="42">
        <v>21</v>
      </c>
      <c r="D180" s="42" t="s">
        <v>11</v>
      </c>
      <c r="E180" s="42">
        <v>1255</v>
      </c>
      <c r="F180" s="42">
        <v>2731902</v>
      </c>
      <c r="G180" s="42" t="s">
        <v>15</v>
      </c>
      <c r="H180" s="42">
        <v>312</v>
      </c>
      <c r="I180" s="53">
        <v>1624</v>
      </c>
      <c r="J180" s="52">
        <v>0</v>
      </c>
    </row>
    <row r="181" spans="1:10" s="42" customFormat="1" ht="15" x14ac:dyDescent="0.25">
      <c r="A181" s="42" t="s">
        <v>48</v>
      </c>
      <c r="B181" s="42">
        <v>145734</v>
      </c>
      <c r="C181" s="42">
        <v>21</v>
      </c>
      <c r="D181" s="42" t="s">
        <v>11</v>
      </c>
      <c r="E181" s="42">
        <v>16331</v>
      </c>
      <c r="F181" s="42">
        <v>2731902</v>
      </c>
      <c r="G181" s="42" t="s">
        <v>15</v>
      </c>
      <c r="H181" s="42">
        <v>278</v>
      </c>
      <c r="I181" s="53">
        <v>1148</v>
      </c>
      <c r="J181" s="52">
        <v>0</v>
      </c>
    </row>
    <row r="182" spans="1:10" s="42" customFormat="1" ht="15" x14ac:dyDescent="0.25">
      <c r="A182" s="42" t="s">
        <v>48</v>
      </c>
      <c r="B182" s="42">
        <v>145734</v>
      </c>
      <c r="C182" s="42">
        <v>21</v>
      </c>
      <c r="D182" s="42" t="s">
        <v>11</v>
      </c>
      <c r="E182" s="42">
        <v>16331</v>
      </c>
      <c r="F182" s="42">
        <v>2731902</v>
      </c>
      <c r="G182" s="42" t="s">
        <v>15</v>
      </c>
      <c r="H182" s="42">
        <v>293</v>
      </c>
      <c r="I182" s="53">
        <v>1453</v>
      </c>
      <c r="J182" s="52">
        <v>0.33819444444444446</v>
      </c>
    </row>
    <row r="183" spans="1:10" s="42" customFormat="1" ht="15" x14ac:dyDescent="0.25">
      <c r="A183" s="42" t="s">
        <v>48</v>
      </c>
      <c r="B183" s="42">
        <v>145734</v>
      </c>
      <c r="C183" s="42">
        <v>21</v>
      </c>
      <c r="D183" s="42" t="s">
        <v>11</v>
      </c>
      <c r="E183" s="42">
        <v>16331</v>
      </c>
      <c r="F183" s="42">
        <v>2731902</v>
      </c>
      <c r="G183" s="42" t="s">
        <v>15</v>
      </c>
      <c r="H183" s="42">
        <v>312</v>
      </c>
      <c r="I183" s="53">
        <v>1389</v>
      </c>
      <c r="J183" s="52">
        <v>0</v>
      </c>
    </row>
    <row r="184" spans="1:10" s="42" customFormat="1" ht="15" x14ac:dyDescent="0.25">
      <c r="A184" s="42" t="s">
        <v>48</v>
      </c>
      <c r="B184" s="42">
        <v>145742</v>
      </c>
      <c r="C184" s="42">
        <v>21</v>
      </c>
      <c r="D184" s="42" t="s">
        <v>11</v>
      </c>
      <c r="E184" s="42">
        <v>1003</v>
      </c>
      <c r="F184" s="42">
        <v>2731902</v>
      </c>
      <c r="G184" s="42" t="s">
        <v>15</v>
      </c>
      <c r="H184" s="42">
        <v>278</v>
      </c>
      <c r="I184" s="42">
        <v>109</v>
      </c>
      <c r="J184" s="52">
        <v>2.5694444444444447E-2</v>
      </c>
    </row>
    <row r="185" spans="1:10" s="42" customFormat="1" ht="15" x14ac:dyDescent="0.25">
      <c r="A185" s="42" t="s">
        <v>48</v>
      </c>
      <c r="B185" s="42">
        <v>145742</v>
      </c>
      <c r="C185" s="42">
        <v>21</v>
      </c>
      <c r="D185" s="42" t="s">
        <v>11</v>
      </c>
      <c r="E185" s="42">
        <v>1003</v>
      </c>
      <c r="F185" s="42">
        <v>2731902</v>
      </c>
      <c r="G185" s="42" t="s">
        <v>15</v>
      </c>
      <c r="H185" s="42">
        <v>293</v>
      </c>
      <c r="I185" s="42">
        <v>106</v>
      </c>
      <c r="J185" s="52">
        <v>0</v>
      </c>
    </row>
    <row r="186" spans="1:10" s="42" customFormat="1" ht="15" x14ac:dyDescent="0.25">
      <c r="A186" s="42" t="s">
        <v>48</v>
      </c>
      <c r="B186" s="42">
        <v>145742</v>
      </c>
      <c r="C186" s="42">
        <v>21</v>
      </c>
      <c r="D186" s="42" t="s">
        <v>11</v>
      </c>
      <c r="E186" s="42">
        <v>1003</v>
      </c>
      <c r="F186" s="42">
        <v>2731902</v>
      </c>
      <c r="G186" s="42" t="s">
        <v>15</v>
      </c>
      <c r="H186" s="42">
        <v>312</v>
      </c>
      <c r="I186" s="42">
        <v>97</v>
      </c>
      <c r="J186" s="52">
        <v>0</v>
      </c>
    </row>
    <row r="187" spans="1:10" s="42" customFormat="1" ht="15" x14ac:dyDescent="0.25">
      <c r="A187" s="42" t="s">
        <v>49</v>
      </c>
      <c r="B187" s="42">
        <v>137597</v>
      </c>
      <c r="C187" s="42">
        <v>23</v>
      </c>
      <c r="D187" s="42" t="s">
        <v>11</v>
      </c>
      <c r="E187" s="42">
        <v>16422</v>
      </c>
      <c r="F187" s="42">
        <v>1913002</v>
      </c>
      <c r="G187" s="42" t="s">
        <v>50</v>
      </c>
      <c r="H187" s="42">
        <v>360</v>
      </c>
      <c r="I187" s="42">
        <v>172</v>
      </c>
      <c r="J187" s="52">
        <v>8.9583333333333334E-2</v>
      </c>
    </row>
    <row r="188" spans="1:10" s="42" customFormat="1" ht="15" x14ac:dyDescent="0.25">
      <c r="A188" s="42" t="s">
        <v>49</v>
      </c>
      <c r="B188" s="42">
        <v>137598</v>
      </c>
      <c r="C188" s="42">
        <v>23</v>
      </c>
      <c r="D188" s="42" t="s">
        <v>11</v>
      </c>
      <c r="E188" s="42">
        <v>1457</v>
      </c>
      <c r="F188" s="42">
        <v>1913002</v>
      </c>
      <c r="G188" s="42" t="s">
        <v>50</v>
      </c>
      <c r="H188" s="42">
        <v>360</v>
      </c>
      <c r="I188" s="42">
        <v>150</v>
      </c>
      <c r="J188" s="52">
        <v>7.8472222222222221E-2</v>
      </c>
    </row>
    <row r="189" spans="1:10" s="42" customFormat="1" ht="15" x14ac:dyDescent="0.25">
      <c r="A189" s="42" t="s">
        <v>49</v>
      </c>
      <c r="B189" s="42">
        <v>137599</v>
      </c>
      <c r="C189" s="42">
        <v>23</v>
      </c>
      <c r="D189" s="42" t="s">
        <v>11</v>
      </c>
      <c r="E189" s="42">
        <v>1664</v>
      </c>
      <c r="F189" s="42">
        <v>1913002</v>
      </c>
      <c r="G189" s="42" t="s">
        <v>50</v>
      </c>
      <c r="H189" s="42">
        <v>360</v>
      </c>
      <c r="I189" s="42">
        <v>180</v>
      </c>
      <c r="J189" s="52">
        <v>9.375E-2</v>
      </c>
    </row>
    <row r="190" spans="1:10" s="42" customFormat="1" ht="15" x14ac:dyDescent="0.25">
      <c r="A190" s="42" t="s">
        <v>49</v>
      </c>
      <c r="B190" s="42">
        <v>137601</v>
      </c>
      <c r="C190" s="42">
        <v>23</v>
      </c>
      <c r="D190" s="42" t="s">
        <v>11</v>
      </c>
      <c r="E190" s="42">
        <v>1003</v>
      </c>
      <c r="F190" s="42">
        <v>1913002</v>
      </c>
      <c r="G190" s="42" t="s">
        <v>50</v>
      </c>
      <c r="H190" s="42">
        <v>360</v>
      </c>
      <c r="I190" s="42">
        <v>324</v>
      </c>
      <c r="J190" s="52">
        <v>0.16874999999999998</v>
      </c>
    </row>
    <row r="191" spans="1:10" s="42" customFormat="1" ht="15" x14ac:dyDescent="0.25">
      <c r="A191" s="42" t="s">
        <v>49</v>
      </c>
      <c r="B191" s="42">
        <v>137601</v>
      </c>
      <c r="C191" s="42">
        <v>24</v>
      </c>
      <c r="D191" s="42" t="s">
        <v>11</v>
      </c>
      <c r="E191" s="42">
        <v>1003</v>
      </c>
      <c r="F191" s="42">
        <v>1913002</v>
      </c>
      <c r="G191" s="42" t="s">
        <v>50</v>
      </c>
      <c r="H191" s="42">
        <v>370</v>
      </c>
      <c r="I191" s="42">
        <v>392</v>
      </c>
      <c r="J191" s="52">
        <v>0.20694444444444446</v>
      </c>
    </row>
    <row r="192" spans="1:10" s="42" customFormat="1" ht="15" x14ac:dyDescent="0.25">
      <c r="A192" s="42" t="s">
        <v>51</v>
      </c>
      <c r="B192" s="42">
        <v>146221</v>
      </c>
      <c r="C192" s="42">
        <v>49</v>
      </c>
      <c r="D192" s="42" t="s">
        <v>11</v>
      </c>
      <c r="E192" s="42">
        <v>19685</v>
      </c>
      <c r="F192" s="42">
        <v>1903204</v>
      </c>
      <c r="G192" s="42" t="s">
        <v>52</v>
      </c>
      <c r="H192" s="42">
        <v>360</v>
      </c>
      <c r="I192" s="42">
        <v>99</v>
      </c>
      <c r="J192" s="52">
        <v>4.3055555555555562E-2</v>
      </c>
    </row>
    <row r="193" spans="1:10" s="42" customFormat="1" ht="15" x14ac:dyDescent="0.25">
      <c r="A193" s="42" t="s">
        <v>51</v>
      </c>
      <c r="B193" s="42">
        <v>146221</v>
      </c>
      <c r="C193" s="42">
        <v>49</v>
      </c>
      <c r="D193" s="42" t="s">
        <v>11</v>
      </c>
      <c r="E193" s="42">
        <v>19685</v>
      </c>
      <c r="F193" s="42">
        <v>1903204</v>
      </c>
      <c r="G193" s="42" t="s">
        <v>52</v>
      </c>
      <c r="H193" s="42">
        <v>370</v>
      </c>
      <c r="I193" s="42">
        <v>66</v>
      </c>
      <c r="J193" s="52">
        <v>0</v>
      </c>
    </row>
    <row r="194" spans="1:10" s="42" customFormat="1" ht="15" x14ac:dyDescent="0.25">
      <c r="A194" s="42" t="s">
        <v>51</v>
      </c>
      <c r="B194" s="42">
        <v>146541</v>
      </c>
      <c r="C194" s="42">
        <v>49</v>
      </c>
      <c r="D194" s="42" t="s">
        <v>11</v>
      </c>
      <c r="E194" s="42">
        <v>19684</v>
      </c>
      <c r="F194" s="42">
        <v>1903204</v>
      </c>
      <c r="G194" s="42" t="s">
        <v>52</v>
      </c>
      <c r="H194" s="42">
        <v>360</v>
      </c>
      <c r="I194" s="42">
        <v>97</v>
      </c>
      <c r="J194" s="52">
        <v>4.2361111111111106E-2</v>
      </c>
    </row>
    <row r="195" spans="1:10" s="42" customFormat="1" ht="15" x14ac:dyDescent="0.25">
      <c r="A195" s="42" t="s">
        <v>51</v>
      </c>
      <c r="B195" s="42">
        <v>146541</v>
      </c>
      <c r="C195" s="42">
        <v>49</v>
      </c>
      <c r="D195" s="42" t="s">
        <v>11</v>
      </c>
      <c r="E195" s="42">
        <v>19684</v>
      </c>
      <c r="F195" s="42">
        <v>1903204</v>
      </c>
      <c r="G195" s="42" t="s">
        <v>52</v>
      </c>
      <c r="H195" s="42">
        <v>370</v>
      </c>
      <c r="I195" s="42">
        <v>85</v>
      </c>
      <c r="J195" s="52">
        <v>0</v>
      </c>
    </row>
    <row r="196" spans="1:10" s="42" customFormat="1" ht="15" x14ac:dyDescent="0.25">
      <c r="A196" s="42" t="s">
        <v>51</v>
      </c>
      <c r="B196" s="42">
        <v>146543</v>
      </c>
      <c r="C196" s="42">
        <v>50</v>
      </c>
      <c r="D196" s="42" t="s">
        <v>11</v>
      </c>
      <c r="E196" s="42">
        <v>19682</v>
      </c>
      <c r="F196" s="42">
        <v>1903204</v>
      </c>
      <c r="G196" s="42" t="s">
        <v>52</v>
      </c>
      <c r="H196" s="42">
        <v>360</v>
      </c>
      <c r="I196" s="42">
        <v>216</v>
      </c>
      <c r="J196" s="52">
        <v>9.375E-2</v>
      </c>
    </row>
    <row r="197" spans="1:10" s="42" customFormat="1" ht="15" x14ac:dyDescent="0.25">
      <c r="A197" s="42" t="s">
        <v>51</v>
      </c>
      <c r="B197" s="42">
        <v>146543</v>
      </c>
      <c r="C197" s="42">
        <v>50</v>
      </c>
      <c r="D197" s="42" t="s">
        <v>11</v>
      </c>
      <c r="E197" s="42">
        <v>19682</v>
      </c>
      <c r="F197" s="42">
        <v>1903204</v>
      </c>
      <c r="G197" s="42" t="s">
        <v>52</v>
      </c>
      <c r="H197" s="42">
        <v>370</v>
      </c>
      <c r="I197" s="42">
        <v>210</v>
      </c>
      <c r="J197" s="52">
        <v>0</v>
      </c>
    </row>
    <row r="198" spans="1:10" s="42" customFormat="1" ht="15" x14ac:dyDescent="0.25">
      <c r="A198" s="42" t="s">
        <v>53</v>
      </c>
      <c r="B198" s="42">
        <v>137597</v>
      </c>
      <c r="C198" s="42">
        <v>26</v>
      </c>
      <c r="D198" s="42" t="s">
        <v>11</v>
      </c>
      <c r="E198" s="42">
        <v>16422</v>
      </c>
      <c r="F198" s="42">
        <v>1913002</v>
      </c>
      <c r="G198" s="42" t="s">
        <v>50</v>
      </c>
      <c r="H198" s="42">
        <v>394</v>
      </c>
      <c r="I198" s="42">
        <v>60</v>
      </c>
      <c r="J198" s="52">
        <v>3.1944444444444449E-2</v>
      </c>
    </row>
    <row r="199" spans="1:10" s="42" customFormat="1" ht="15" x14ac:dyDescent="0.25">
      <c r="A199" s="42" t="s">
        <v>53</v>
      </c>
      <c r="B199" s="42">
        <v>137598</v>
      </c>
      <c r="C199" s="42">
        <v>25</v>
      </c>
      <c r="D199" s="42" t="s">
        <v>11</v>
      </c>
      <c r="E199" s="42">
        <v>1457</v>
      </c>
      <c r="F199" s="42">
        <v>1913002</v>
      </c>
      <c r="G199" s="42" t="s">
        <v>50</v>
      </c>
      <c r="H199" s="42">
        <v>380</v>
      </c>
      <c r="I199" s="42">
        <v>130</v>
      </c>
      <c r="J199" s="52">
        <v>6.8749999999999992E-2</v>
      </c>
    </row>
    <row r="200" spans="1:10" s="42" customFormat="1" ht="15" x14ac:dyDescent="0.25">
      <c r="A200" s="42" t="s">
        <v>53</v>
      </c>
      <c r="B200" s="42">
        <v>137598</v>
      </c>
      <c r="C200" s="42">
        <v>26</v>
      </c>
      <c r="D200" s="42" t="s">
        <v>11</v>
      </c>
      <c r="E200" s="42">
        <v>1457</v>
      </c>
      <c r="F200" s="42">
        <v>1913002</v>
      </c>
      <c r="G200" s="42" t="s">
        <v>50</v>
      </c>
      <c r="H200" s="42">
        <v>394</v>
      </c>
      <c r="I200" s="42">
        <v>60</v>
      </c>
      <c r="J200" s="52">
        <v>3.1944444444444449E-2</v>
      </c>
    </row>
    <row r="201" spans="1:10" s="42" customFormat="1" ht="15" x14ac:dyDescent="0.25">
      <c r="A201" s="42" t="s">
        <v>53</v>
      </c>
      <c r="B201" s="42">
        <v>137599</v>
      </c>
      <c r="C201" s="42">
        <v>26</v>
      </c>
      <c r="D201" s="42" t="s">
        <v>11</v>
      </c>
      <c r="E201" s="42">
        <v>1664</v>
      </c>
      <c r="F201" s="42">
        <v>1913002</v>
      </c>
      <c r="G201" s="42" t="s">
        <v>50</v>
      </c>
      <c r="H201" s="42">
        <v>394</v>
      </c>
      <c r="I201" s="42">
        <v>154</v>
      </c>
      <c r="J201" s="52">
        <v>8.1944444444444445E-2</v>
      </c>
    </row>
    <row r="202" spans="1:10" s="42" customFormat="1" ht="15" x14ac:dyDescent="0.25">
      <c r="A202" s="42" t="s">
        <v>53</v>
      </c>
      <c r="B202" s="42">
        <v>137600</v>
      </c>
      <c r="C202" s="42">
        <v>25</v>
      </c>
      <c r="D202" s="42" t="s">
        <v>11</v>
      </c>
      <c r="E202" s="42">
        <v>16605</v>
      </c>
      <c r="F202" s="42">
        <v>1913002</v>
      </c>
      <c r="G202" s="42" t="s">
        <v>50</v>
      </c>
      <c r="H202" s="42">
        <v>380</v>
      </c>
      <c r="I202" s="42">
        <v>78</v>
      </c>
      <c r="J202" s="52">
        <v>4.0972222222222222E-2</v>
      </c>
    </row>
    <row r="203" spans="1:10" s="42" customFormat="1" ht="15" x14ac:dyDescent="0.25">
      <c r="A203" s="42" t="s">
        <v>53</v>
      </c>
      <c r="B203" s="42">
        <v>137600</v>
      </c>
      <c r="C203" s="42">
        <v>26</v>
      </c>
      <c r="D203" s="42" t="s">
        <v>11</v>
      </c>
      <c r="E203" s="42">
        <v>16605</v>
      </c>
      <c r="F203" s="42">
        <v>1913002</v>
      </c>
      <c r="G203" s="42" t="s">
        <v>50</v>
      </c>
      <c r="H203" s="42">
        <v>394</v>
      </c>
      <c r="I203" s="42">
        <v>64</v>
      </c>
      <c r="J203" s="52">
        <v>3.4027777777777775E-2</v>
      </c>
    </row>
    <row r="204" spans="1:10" s="42" customFormat="1" ht="15" x14ac:dyDescent="0.25">
      <c r="A204" s="42" t="s">
        <v>53</v>
      </c>
      <c r="B204" s="42">
        <v>137601</v>
      </c>
      <c r="C204" s="42">
        <v>25</v>
      </c>
      <c r="D204" s="42" t="s">
        <v>11</v>
      </c>
      <c r="E204" s="42">
        <v>1003</v>
      </c>
      <c r="F204" s="42">
        <v>1913002</v>
      </c>
      <c r="G204" s="42" t="s">
        <v>50</v>
      </c>
      <c r="H204" s="42">
        <v>380</v>
      </c>
      <c r="I204" s="42">
        <v>244</v>
      </c>
      <c r="J204" s="52">
        <v>0.12847222222222224</v>
      </c>
    </row>
    <row r="205" spans="1:10" s="42" customFormat="1" ht="15" x14ac:dyDescent="0.25">
      <c r="A205" s="42" t="s">
        <v>53</v>
      </c>
      <c r="B205" s="42">
        <v>137601</v>
      </c>
      <c r="C205" s="42">
        <v>26</v>
      </c>
      <c r="D205" s="42" t="s">
        <v>11</v>
      </c>
      <c r="E205" s="42">
        <v>1003</v>
      </c>
      <c r="F205" s="42">
        <v>1913002</v>
      </c>
      <c r="G205" s="42" t="s">
        <v>50</v>
      </c>
      <c r="H205" s="42">
        <v>394</v>
      </c>
      <c r="I205" s="42">
        <v>174</v>
      </c>
      <c r="J205" s="52">
        <v>9.3055555555555558E-2</v>
      </c>
    </row>
    <row r="206" spans="1:10" s="42" customFormat="1" ht="15" x14ac:dyDescent="0.25">
      <c r="A206" s="42" t="s">
        <v>53</v>
      </c>
      <c r="B206" s="42">
        <v>141256</v>
      </c>
      <c r="C206" s="42">
        <v>26</v>
      </c>
      <c r="D206" s="42" t="s">
        <v>11</v>
      </c>
      <c r="E206" s="42">
        <v>16422</v>
      </c>
      <c r="F206" s="42">
        <v>1913002</v>
      </c>
      <c r="G206" s="42" t="s">
        <v>50</v>
      </c>
      <c r="H206" s="42">
        <v>394</v>
      </c>
      <c r="I206" s="42">
        <v>70</v>
      </c>
      <c r="J206" s="52">
        <v>3.7499999999999999E-2</v>
      </c>
    </row>
    <row r="207" spans="1:10" s="42" customFormat="1" ht="15" x14ac:dyDescent="0.25">
      <c r="A207" s="42" t="s">
        <v>53</v>
      </c>
      <c r="B207" s="42">
        <v>141258</v>
      </c>
      <c r="C207" s="42">
        <v>26</v>
      </c>
      <c r="D207" s="42" t="s">
        <v>11</v>
      </c>
      <c r="E207" s="42">
        <v>1457</v>
      </c>
      <c r="F207" s="42">
        <v>1913002</v>
      </c>
      <c r="G207" s="42" t="s">
        <v>50</v>
      </c>
      <c r="H207" s="42">
        <v>394</v>
      </c>
      <c r="I207" s="42">
        <v>50</v>
      </c>
      <c r="J207" s="52">
        <v>2.6388888888888889E-2</v>
      </c>
    </row>
    <row r="208" spans="1:10" s="42" customFormat="1" ht="15" x14ac:dyDescent="0.25">
      <c r="A208" s="42" t="s">
        <v>53</v>
      </c>
      <c r="B208" s="42">
        <v>141259</v>
      </c>
      <c r="C208" s="42">
        <v>26</v>
      </c>
      <c r="D208" s="42" t="s">
        <v>11</v>
      </c>
      <c r="E208" s="42">
        <v>1664</v>
      </c>
      <c r="F208" s="42">
        <v>1913002</v>
      </c>
      <c r="G208" s="42" t="s">
        <v>50</v>
      </c>
      <c r="H208" s="42">
        <v>394</v>
      </c>
      <c r="I208" s="42">
        <v>100</v>
      </c>
      <c r="J208" s="52">
        <v>5.347222222222222E-2</v>
      </c>
    </row>
    <row r="209" spans="1:10" s="42" customFormat="1" ht="15" x14ac:dyDescent="0.25">
      <c r="A209" s="42" t="s">
        <v>53</v>
      </c>
      <c r="B209" s="42">
        <v>141260</v>
      </c>
      <c r="C209" s="42">
        <v>26</v>
      </c>
      <c r="D209" s="42" t="s">
        <v>11</v>
      </c>
      <c r="E209" s="42">
        <v>16605</v>
      </c>
      <c r="F209" s="42">
        <v>1913002</v>
      </c>
      <c r="G209" s="42" t="s">
        <v>50</v>
      </c>
      <c r="H209" s="42">
        <v>394</v>
      </c>
      <c r="I209" s="42">
        <v>30</v>
      </c>
      <c r="J209" s="52">
        <v>1.5972222222222224E-2</v>
      </c>
    </row>
    <row r="210" spans="1:10" s="42" customFormat="1" ht="15" x14ac:dyDescent="0.25">
      <c r="A210" s="42" t="s">
        <v>53</v>
      </c>
      <c r="B210" s="42">
        <v>141261</v>
      </c>
      <c r="C210" s="42">
        <v>26</v>
      </c>
      <c r="D210" s="42" t="s">
        <v>11</v>
      </c>
      <c r="E210" s="42">
        <v>1003</v>
      </c>
      <c r="F210" s="42">
        <v>1913002</v>
      </c>
      <c r="G210" s="42" t="s">
        <v>50</v>
      </c>
      <c r="H210" s="42">
        <v>394</v>
      </c>
      <c r="I210" s="42">
        <v>110</v>
      </c>
      <c r="J210" s="52">
        <v>5.9027777777777783E-2</v>
      </c>
    </row>
    <row r="211" spans="1:10" s="42" customFormat="1" ht="15" x14ac:dyDescent="0.25">
      <c r="A211" s="42" t="s">
        <v>54</v>
      </c>
      <c r="B211" s="42">
        <v>114502</v>
      </c>
      <c r="C211" s="42">
        <v>22</v>
      </c>
      <c r="D211" s="42" t="s">
        <v>35</v>
      </c>
      <c r="E211" s="42">
        <v>30007</v>
      </c>
      <c r="F211" s="42">
        <v>3634202</v>
      </c>
      <c r="G211" s="42" t="s">
        <v>39</v>
      </c>
      <c r="H211" s="42">
        <v>250</v>
      </c>
      <c r="I211" s="42">
        <v>192</v>
      </c>
      <c r="J211" s="52">
        <v>0.16666666666666666</v>
      </c>
    </row>
    <row r="212" spans="1:10" s="42" customFormat="1" ht="15" x14ac:dyDescent="0.25">
      <c r="A212" s="42" t="s">
        <v>54</v>
      </c>
      <c r="B212" s="42">
        <v>114503</v>
      </c>
      <c r="C212" s="42">
        <v>22</v>
      </c>
      <c r="D212" s="42" t="s">
        <v>11</v>
      </c>
      <c r="E212" s="42">
        <v>3855</v>
      </c>
      <c r="F212" s="42">
        <v>3634202</v>
      </c>
      <c r="G212" s="42" t="s">
        <v>39</v>
      </c>
      <c r="H212" s="42">
        <v>250</v>
      </c>
      <c r="I212" s="42">
        <v>248</v>
      </c>
      <c r="J212" s="52">
        <v>0.21527777777777779</v>
      </c>
    </row>
    <row r="213" spans="1:10" s="42" customFormat="1" ht="15" x14ac:dyDescent="0.25">
      <c r="A213" s="42" t="s">
        <v>54</v>
      </c>
      <c r="B213" s="42">
        <v>114506</v>
      </c>
      <c r="C213" s="42">
        <v>22</v>
      </c>
      <c r="D213" s="42" t="s">
        <v>11</v>
      </c>
      <c r="E213" s="42">
        <v>14363</v>
      </c>
      <c r="F213" s="42">
        <v>3634202</v>
      </c>
      <c r="G213" s="42" t="s">
        <v>39</v>
      </c>
      <c r="H213" s="42">
        <v>250</v>
      </c>
      <c r="I213" s="42">
        <v>274</v>
      </c>
      <c r="J213" s="52">
        <v>0.23750000000000002</v>
      </c>
    </row>
    <row r="214" spans="1:10" s="42" customFormat="1" ht="15" x14ac:dyDescent="0.25">
      <c r="A214" s="42" t="s">
        <v>54</v>
      </c>
      <c r="B214" s="42">
        <v>146071</v>
      </c>
      <c r="C214" s="42">
        <v>16</v>
      </c>
      <c r="D214" s="42" t="s">
        <v>11</v>
      </c>
      <c r="E214" s="42">
        <v>14211</v>
      </c>
      <c r="F214" s="42">
        <v>2332302</v>
      </c>
      <c r="G214" s="42" t="s">
        <v>55</v>
      </c>
      <c r="H214" s="42">
        <v>210</v>
      </c>
      <c r="I214" s="42">
        <v>176</v>
      </c>
      <c r="J214" s="52">
        <v>0.12430555555555556</v>
      </c>
    </row>
    <row r="215" spans="1:10" s="42" customFormat="1" ht="15" x14ac:dyDescent="0.25">
      <c r="A215" s="42" t="s">
        <v>54</v>
      </c>
      <c r="B215" s="42">
        <v>146071</v>
      </c>
      <c r="C215" s="42">
        <v>18</v>
      </c>
      <c r="D215" s="42" t="s">
        <v>11</v>
      </c>
      <c r="E215" s="42">
        <v>14211</v>
      </c>
      <c r="F215" s="42">
        <v>2332302</v>
      </c>
      <c r="G215" s="42" t="s">
        <v>55</v>
      </c>
      <c r="H215" s="42">
        <v>234</v>
      </c>
      <c r="I215" s="42">
        <v>194</v>
      </c>
      <c r="J215" s="52">
        <v>0.14166666666666666</v>
      </c>
    </row>
    <row r="216" spans="1:10" s="42" customFormat="1" ht="15" x14ac:dyDescent="0.25">
      <c r="A216" s="42" t="s">
        <v>54</v>
      </c>
      <c r="B216" s="42">
        <v>146073</v>
      </c>
      <c r="C216" s="42">
        <v>18</v>
      </c>
      <c r="D216" s="42" t="s">
        <v>11</v>
      </c>
      <c r="E216" s="42">
        <v>6008</v>
      </c>
      <c r="F216" s="42">
        <v>2332302</v>
      </c>
      <c r="G216" s="42" t="s">
        <v>55</v>
      </c>
      <c r="H216" s="42">
        <v>234</v>
      </c>
      <c r="I216" s="42">
        <v>70</v>
      </c>
      <c r="J216" s="52">
        <v>5.1388888888888894E-2</v>
      </c>
    </row>
    <row r="217" spans="1:10" s="42" customFormat="1" ht="15" x14ac:dyDescent="0.25">
      <c r="A217" s="42" t="s">
        <v>56</v>
      </c>
      <c r="B217" s="42">
        <v>133536</v>
      </c>
      <c r="C217" s="42">
        <v>24</v>
      </c>
      <c r="D217" s="42" t="s">
        <v>11</v>
      </c>
      <c r="E217" s="42">
        <v>3941</v>
      </c>
      <c r="F217" s="42">
        <v>3626102</v>
      </c>
      <c r="G217" s="42" t="s">
        <v>39</v>
      </c>
      <c r="H217" s="42">
        <v>280</v>
      </c>
      <c r="I217" s="42">
        <v>26</v>
      </c>
      <c r="J217" s="52">
        <v>2.2916666666666669E-2</v>
      </c>
    </row>
    <row r="218" spans="1:10" s="42" customFormat="1" ht="15" x14ac:dyDescent="0.25">
      <c r="A218" s="42" t="s">
        <v>56</v>
      </c>
      <c r="B218" s="42">
        <v>140933</v>
      </c>
      <c r="C218" s="42">
        <v>24</v>
      </c>
      <c r="D218" s="42" t="s">
        <v>11</v>
      </c>
      <c r="E218" s="42">
        <v>3941</v>
      </c>
      <c r="F218" s="42">
        <v>3626102</v>
      </c>
      <c r="G218" s="42" t="s">
        <v>39</v>
      </c>
      <c r="H218" s="42">
        <v>280</v>
      </c>
      <c r="I218" s="42">
        <v>80</v>
      </c>
      <c r="J218" s="52">
        <v>7.0833333333333331E-2</v>
      </c>
    </row>
    <row r="219" spans="1:10" s="42" customFormat="1" ht="15" x14ac:dyDescent="0.25">
      <c r="A219" s="42" t="s">
        <v>57</v>
      </c>
      <c r="B219" s="42">
        <v>133373</v>
      </c>
      <c r="C219" s="42">
        <v>23</v>
      </c>
      <c r="D219" s="42" t="s">
        <v>11</v>
      </c>
      <c r="E219" s="42">
        <v>30007</v>
      </c>
      <c r="F219" s="42">
        <v>3626102</v>
      </c>
      <c r="G219" s="42" t="s">
        <v>39</v>
      </c>
      <c r="H219" s="42">
        <v>267</v>
      </c>
      <c r="I219" s="42">
        <v>80</v>
      </c>
      <c r="J219" s="52">
        <v>6.805555555555555E-2</v>
      </c>
    </row>
    <row r="220" spans="1:10" s="42" customFormat="1" ht="15" x14ac:dyDescent="0.25">
      <c r="A220" s="42" t="s">
        <v>57</v>
      </c>
      <c r="B220" s="42">
        <v>133395</v>
      </c>
      <c r="C220" s="42">
        <v>23</v>
      </c>
      <c r="D220" s="42" t="s">
        <v>11</v>
      </c>
      <c r="E220" s="42">
        <v>1276</v>
      </c>
      <c r="F220" s="42">
        <v>3626102</v>
      </c>
      <c r="G220" s="42" t="s">
        <v>39</v>
      </c>
      <c r="H220" s="42">
        <v>267</v>
      </c>
      <c r="I220" s="42">
        <v>110</v>
      </c>
      <c r="J220" s="52">
        <v>9.375E-2</v>
      </c>
    </row>
    <row r="221" spans="1:10" s="42" customFormat="1" ht="15" x14ac:dyDescent="0.25">
      <c r="A221" s="42" t="s">
        <v>57</v>
      </c>
      <c r="B221" s="42">
        <v>141501</v>
      </c>
      <c r="C221" s="42">
        <v>31</v>
      </c>
      <c r="D221" s="42" t="s">
        <v>11</v>
      </c>
      <c r="E221" s="42">
        <v>1276</v>
      </c>
      <c r="F221" s="42">
        <v>1876304</v>
      </c>
      <c r="G221" s="42" t="s">
        <v>58</v>
      </c>
      <c r="H221" s="42">
        <v>280</v>
      </c>
      <c r="I221" s="42">
        <v>128</v>
      </c>
      <c r="J221" s="52">
        <v>0</v>
      </c>
    </row>
    <row r="222" spans="1:10" s="42" customFormat="1" ht="15" x14ac:dyDescent="0.25">
      <c r="A222" s="42" t="s">
        <v>57</v>
      </c>
      <c r="B222" s="42">
        <v>141501</v>
      </c>
      <c r="C222" s="42">
        <v>31</v>
      </c>
      <c r="D222" s="42" t="s">
        <v>11</v>
      </c>
      <c r="E222" s="42">
        <v>1276</v>
      </c>
      <c r="F222" s="42">
        <v>1876304</v>
      </c>
      <c r="G222" s="42" t="s">
        <v>58</v>
      </c>
      <c r="H222" s="42">
        <v>300</v>
      </c>
      <c r="I222" s="42">
        <v>206</v>
      </c>
      <c r="J222" s="52">
        <v>8.3333333333333329E-2</v>
      </c>
    </row>
    <row r="223" spans="1:10" s="42" customFormat="1" ht="15" x14ac:dyDescent="0.25">
      <c r="A223" s="42" t="s">
        <v>57</v>
      </c>
      <c r="B223" s="42">
        <v>141502</v>
      </c>
      <c r="C223" s="42">
        <v>31</v>
      </c>
      <c r="D223" s="42" t="s">
        <v>11</v>
      </c>
      <c r="E223" s="42">
        <v>16536</v>
      </c>
      <c r="F223" s="42">
        <v>1876304</v>
      </c>
      <c r="G223" s="42" t="s">
        <v>58</v>
      </c>
      <c r="H223" s="42">
        <v>280</v>
      </c>
      <c r="I223" s="42">
        <v>166</v>
      </c>
      <c r="J223" s="52">
        <v>0</v>
      </c>
    </row>
    <row r="224" spans="1:10" s="42" customFormat="1" ht="15" x14ac:dyDescent="0.25">
      <c r="A224" s="42" t="s">
        <v>57</v>
      </c>
      <c r="B224" s="42">
        <v>141502</v>
      </c>
      <c r="C224" s="42">
        <v>31</v>
      </c>
      <c r="D224" s="42" t="s">
        <v>11</v>
      </c>
      <c r="E224" s="42">
        <v>16536</v>
      </c>
      <c r="F224" s="42">
        <v>1876304</v>
      </c>
      <c r="G224" s="42" t="s">
        <v>58</v>
      </c>
      <c r="H224" s="42">
        <v>300</v>
      </c>
      <c r="I224" s="42">
        <v>300</v>
      </c>
      <c r="J224" s="52">
        <v>0.12152777777777778</v>
      </c>
    </row>
    <row r="225" spans="1:10" s="42" customFormat="1" ht="15" x14ac:dyDescent="0.25">
      <c r="A225" s="42" t="s">
        <v>59</v>
      </c>
      <c r="B225" s="42">
        <v>133535</v>
      </c>
      <c r="C225" s="42">
        <v>24</v>
      </c>
      <c r="D225" s="42" t="s">
        <v>11</v>
      </c>
      <c r="E225" s="42">
        <v>30007</v>
      </c>
      <c r="F225" s="42">
        <v>3626102</v>
      </c>
      <c r="G225" s="42" t="s">
        <v>39</v>
      </c>
      <c r="H225" s="42">
        <v>280</v>
      </c>
      <c r="I225" s="42">
        <v>26</v>
      </c>
      <c r="J225" s="52">
        <v>2.2916666666666669E-2</v>
      </c>
    </row>
    <row r="226" spans="1:10" s="42" customFormat="1" ht="15" x14ac:dyDescent="0.25">
      <c r="A226" s="42" t="s">
        <v>59</v>
      </c>
      <c r="B226" s="42">
        <v>140928</v>
      </c>
      <c r="C226" s="42">
        <v>24</v>
      </c>
      <c r="D226" s="42" t="s">
        <v>11</v>
      </c>
      <c r="E226" s="42">
        <v>19746</v>
      </c>
      <c r="F226" s="42">
        <v>3626102</v>
      </c>
      <c r="G226" s="42" t="s">
        <v>39</v>
      </c>
      <c r="H226" s="42">
        <v>280</v>
      </c>
      <c r="I226" s="42">
        <v>180</v>
      </c>
      <c r="J226" s="52">
        <v>0.15972222222222224</v>
      </c>
    </row>
    <row r="227" spans="1:10" s="42" customFormat="1" ht="15" x14ac:dyDescent="0.25">
      <c r="A227" s="42" t="s">
        <v>59</v>
      </c>
      <c r="B227" s="42">
        <v>140930</v>
      </c>
      <c r="C227" s="42">
        <v>24</v>
      </c>
      <c r="D227" s="42" t="s">
        <v>11</v>
      </c>
      <c r="E227" s="42">
        <v>6473</v>
      </c>
      <c r="F227" s="42">
        <v>3626102</v>
      </c>
      <c r="G227" s="42" t="s">
        <v>39</v>
      </c>
      <c r="H227" s="42">
        <v>280</v>
      </c>
      <c r="I227" s="42">
        <v>58</v>
      </c>
      <c r="J227" s="52">
        <v>5.1388888888888894E-2</v>
      </c>
    </row>
    <row r="228" spans="1:10" s="42" customFormat="1" ht="15" x14ac:dyDescent="0.25">
      <c r="A228" s="42" t="s">
        <v>59</v>
      </c>
      <c r="B228" s="42">
        <v>140934</v>
      </c>
      <c r="C228" s="42">
        <v>24</v>
      </c>
      <c r="D228" s="42" t="s">
        <v>11</v>
      </c>
      <c r="E228" s="42">
        <v>1276</v>
      </c>
      <c r="F228" s="42">
        <v>3626102</v>
      </c>
      <c r="G228" s="42" t="s">
        <v>39</v>
      </c>
      <c r="H228" s="42">
        <v>280</v>
      </c>
      <c r="I228" s="42">
        <v>142</v>
      </c>
      <c r="J228" s="52">
        <v>0.12569444444444444</v>
      </c>
    </row>
    <row r="229" spans="1:10" s="42" customFormat="1" ht="15" x14ac:dyDescent="0.25">
      <c r="A229" s="42" t="s">
        <v>59</v>
      </c>
      <c r="B229" s="42">
        <v>140992</v>
      </c>
      <c r="C229" s="42">
        <v>24</v>
      </c>
      <c r="D229" s="42" t="s">
        <v>11</v>
      </c>
      <c r="E229" s="42">
        <v>30007</v>
      </c>
      <c r="F229" s="42">
        <v>3626102</v>
      </c>
      <c r="G229" s="42" t="s">
        <v>39</v>
      </c>
      <c r="H229" s="42">
        <v>280</v>
      </c>
      <c r="I229" s="42">
        <v>22</v>
      </c>
      <c r="J229" s="52">
        <v>1.9444444444444445E-2</v>
      </c>
    </row>
    <row r="230" spans="1:10" s="42" customFormat="1" ht="15" x14ac:dyDescent="0.25">
      <c r="A230" s="42" t="s">
        <v>59</v>
      </c>
      <c r="B230" s="42">
        <v>143875</v>
      </c>
      <c r="C230" s="42">
        <v>24</v>
      </c>
      <c r="D230" s="42" t="s">
        <v>11</v>
      </c>
      <c r="E230" s="42">
        <v>6473</v>
      </c>
      <c r="F230" s="42">
        <v>3626102</v>
      </c>
      <c r="G230" s="42" t="s">
        <v>39</v>
      </c>
      <c r="H230" s="42">
        <v>280</v>
      </c>
      <c r="I230" s="42">
        <v>42</v>
      </c>
      <c r="J230" s="52">
        <v>3.7499999999999999E-2</v>
      </c>
    </row>
    <row r="231" spans="1:10" s="42" customFormat="1" ht="15" x14ac:dyDescent="0.25">
      <c r="A231" s="42" t="s">
        <v>59</v>
      </c>
      <c r="B231" s="42">
        <v>143879</v>
      </c>
      <c r="C231" s="42">
        <v>24</v>
      </c>
      <c r="D231" s="42" t="s">
        <v>11</v>
      </c>
      <c r="E231" s="42">
        <v>1276</v>
      </c>
      <c r="F231" s="42">
        <v>3626102</v>
      </c>
      <c r="G231" s="42" t="s">
        <v>39</v>
      </c>
      <c r="H231" s="42">
        <v>280</v>
      </c>
      <c r="I231" s="42">
        <v>164</v>
      </c>
      <c r="J231" s="52">
        <v>0.1451388888888889</v>
      </c>
    </row>
    <row r="232" spans="1:10" s="42" customFormat="1" ht="15" x14ac:dyDescent="0.25">
      <c r="A232" s="42" t="s">
        <v>59</v>
      </c>
      <c r="B232" s="42">
        <v>143887</v>
      </c>
      <c r="C232" s="42">
        <v>24</v>
      </c>
      <c r="D232" s="42" t="s">
        <v>11</v>
      </c>
      <c r="E232" s="42">
        <v>6473</v>
      </c>
      <c r="F232" s="42">
        <v>3626102</v>
      </c>
      <c r="G232" s="42" t="s">
        <v>39</v>
      </c>
      <c r="H232" s="42">
        <v>280</v>
      </c>
      <c r="I232" s="42">
        <v>50</v>
      </c>
      <c r="J232" s="52">
        <v>4.4444444444444446E-2</v>
      </c>
    </row>
    <row r="233" spans="1:10" s="42" customFormat="1" ht="15" x14ac:dyDescent="0.25">
      <c r="A233" s="42" t="s">
        <v>60</v>
      </c>
      <c r="B233" s="42">
        <v>136441</v>
      </c>
      <c r="C233" s="42">
        <v>14</v>
      </c>
      <c r="D233" s="42" t="s">
        <v>11</v>
      </c>
      <c r="E233" s="42">
        <v>16575</v>
      </c>
      <c r="F233" s="42">
        <v>1215804</v>
      </c>
      <c r="G233" s="42" t="s">
        <v>26</v>
      </c>
      <c r="H233" s="42">
        <v>394</v>
      </c>
      <c r="I233" s="42">
        <v>40</v>
      </c>
      <c r="J233" s="52">
        <v>1.8055555555555557E-2</v>
      </c>
    </row>
    <row r="234" spans="1:10" s="42" customFormat="1" ht="15" x14ac:dyDescent="0.25">
      <c r="A234" s="42" t="s">
        <v>60</v>
      </c>
      <c r="B234" s="42">
        <v>136441</v>
      </c>
      <c r="C234" s="42">
        <v>14</v>
      </c>
      <c r="D234" s="42" t="s">
        <v>11</v>
      </c>
      <c r="E234" s="42">
        <v>16575</v>
      </c>
      <c r="F234" s="42">
        <v>1215804</v>
      </c>
      <c r="G234" s="42" t="s">
        <v>26</v>
      </c>
      <c r="H234" s="42">
        <v>412</v>
      </c>
      <c r="I234" s="42">
        <v>40</v>
      </c>
      <c r="J234" s="52">
        <v>0</v>
      </c>
    </row>
    <row r="235" spans="1:10" s="42" customFormat="1" ht="15" x14ac:dyDescent="0.25">
      <c r="A235" s="42" t="s">
        <v>60</v>
      </c>
      <c r="B235" s="42">
        <v>136441</v>
      </c>
      <c r="C235" s="42">
        <v>41</v>
      </c>
      <c r="D235" s="42" t="s">
        <v>11</v>
      </c>
      <c r="E235" s="42">
        <v>16575</v>
      </c>
      <c r="F235" s="42">
        <v>1215823</v>
      </c>
      <c r="G235" s="42" t="s">
        <v>26</v>
      </c>
      <c r="H235" s="42">
        <v>394</v>
      </c>
      <c r="I235" s="42">
        <v>40</v>
      </c>
      <c r="J235" s="52">
        <v>1.8055555555555557E-2</v>
      </c>
    </row>
    <row r="236" spans="1:10" s="42" customFormat="1" ht="15" x14ac:dyDescent="0.25">
      <c r="A236" s="42" t="s">
        <v>60</v>
      </c>
      <c r="B236" s="42">
        <v>136441</v>
      </c>
      <c r="C236" s="42">
        <v>41</v>
      </c>
      <c r="D236" s="42" t="s">
        <v>11</v>
      </c>
      <c r="E236" s="42">
        <v>16575</v>
      </c>
      <c r="F236" s="42">
        <v>1215823</v>
      </c>
      <c r="G236" s="42" t="s">
        <v>26</v>
      </c>
      <c r="H236" s="42">
        <v>412</v>
      </c>
      <c r="I236" s="42">
        <v>40</v>
      </c>
      <c r="J236" s="52">
        <v>0</v>
      </c>
    </row>
    <row r="237" spans="1:10" s="42" customFormat="1" ht="15" x14ac:dyDescent="0.25">
      <c r="A237" s="42" t="s">
        <v>60</v>
      </c>
      <c r="B237" s="42">
        <v>145698</v>
      </c>
      <c r="C237" s="42">
        <v>38</v>
      </c>
      <c r="D237" s="42" t="s">
        <v>11</v>
      </c>
      <c r="E237" s="42">
        <v>1682</v>
      </c>
      <c r="F237" s="42">
        <v>1228702</v>
      </c>
      <c r="G237" s="42" t="s">
        <v>61</v>
      </c>
      <c r="H237" s="42">
        <v>394</v>
      </c>
      <c r="I237" s="42">
        <v>140</v>
      </c>
      <c r="J237" s="52">
        <v>0</v>
      </c>
    </row>
    <row r="238" spans="1:10" s="42" customFormat="1" ht="15" x14ac:dyDescent="0.25">
      <c r="A238" s="42" t="s">
        <v>60</v>
      </c>
      <c r="B238" s="42">
        <v>145698</v>
      </c>
      <c r="C238" s="42">
        <v>38</v>
      </c>
      <c r="D238" s="42" t="s">
        <v>11</v>
      </c>
      <c r="E238" s="42">
        <v>1682</v>
      </c>
      <c r="F238" s="42">
        <v>1228702</v>
      </c>
      <c r="G238" s="42" t="s">
        <v>61</v>
      </c>
      <c r="H238" s="42">
        <v>412</v>
      </c>
      <c r="I238" s="42">
        <v>230</v>
      </c>
      <c r="J238" s="52">
        <v>0.10208333333333335</v>
      </c>
    </row>
    <row r="239" spans="1:10" s="42" customFormat="1" ht="15" x14ac:dyDescent="0.25">
      <c r="A239" s="42" t="s">
        <v>60</v>
      </c>
      <c r="B239" s="42">
        <v>145698</v>
      </c>
      <c r="C239" s="42">
        <v>60</v>
      </c>
      <c r="D239" s="42" t="s">
        <v>11</v>
      </c>
      <c r="E239" s="42">
        <v>1682</v>
      </c>
      <c r="F239" s="42">
        <v>1228722</v>
      </c>
      <c r="G239" s="42" t="s">
        <v>61</v>
      </c>
      <c r="H239" s="42">
        <v>394</v>
      </c>
      <c r="I239" s="42">
        <v>280</v>
      </c>
      <c r="J239" s="52">
        <v>0.12430555555555556</v>
      </c>
    </row>
    <row r="240" spans="1:10" s="42" customFormat="1" ht="15" x14ac:dyDescent="0.25">
      <c r="A240" s="42" t="s">
        <v>60</v>
      </c>
      <c r="B240" s="42">
        <v>145698</v>
      </c>
      <c r="C240" s="42">
        <v>60</v>
      </c>
      <c r="D240" s="42" t="s">
        <v>11</v>
      </c>
      <c r="E240" s="42">
        <v>1682</v>
      </c>
      <c r="F240" s="42">
        <v>1228722</v>
      </c>
      <c r="G240" s="42" t="s">
        <v>61</v>
      </c>
      <c r="H240" s="42">
        <v>412</v>
      </c>
      <c r="I240" s="42">
        <v>170</v>
      </c>
      <c r="J240" s="52">
        <v>0</v>
      </c>
    </row>
    <row r="241" spans="1:10" s="42" customFormat="1" ht="15" x14ac:dyDescent="0.25">
      <c r="A241" s="42" t="s">
        <v>60</v>
      </c>
      <c r="B241" s="42">
        <v>145722</v>
      </c>
      <c r="C241" s="42">
        <v>52</v>
      </c>
      <c r="D241" s="42" t="s">
        <v>11</v>
      </c>
      <c r="E241" s="42">
        <v>16575</v>
      </c>
      <c r="F241" s="42">
        <v>1228702</v>
      </c>
      <c r="G241" s="42" t="s">
        <v>61</v>
      </c>
      <c r="H241" s="42">
        <v>394</v>
      </c>
      <c r="I241" s="42">
        <v>448</v>
      </c>
      <c r="J241" s="52">
        <v>0</v>
      </c>
    </row>
    <row r="242" spans="1:10" s="42" customFormat="1" ht="15" x14ac:dyDescent="0.25">
      <c r="A242" s="42" t="s">
        <v>60</v>
      </c>
      <c r="B242" s="42">
        <v>145722</v>
      </c>
      <c r="C242" s="42">
        <v>52</v>
      </c>
      <c r="D242" s="42" t="s">
        <v>11</v>
      </c>
      <c r="E242" s="42">
        <v>16575</v>
      </c>
      <c r="F242" s="42">
        <v>1228702</v>
      </c>
      <c r="G242" s="42" t="s">
        <v>61</v>
      </c>
      <c r="H242" s="42">
        <v>412</v>
      </c>
      <c r="I242" s="42">
        <v>622</v>
      </c>
      <c r="J242" s="52">
        <v>0.27569444444444446</v>
      </c>
    </row>
    <row r="243" spans="1:10" s="42" customFormat="1" ht="15" x14ac:dyDescent="0.25">
      <c r="A243" s="42" t="s">
        <v>60</v>
      </c>
      <c r="B243" s="42">
        <v>145722</v>
      </c>
      <c r="C243" s="42">
        <v>85</v>
      </c>
      <c r="D243" s="42" t="s">
        <v>11</v>
      </c>
      <c r="E243" s="42">
        <v>16575</v>
      </c>
      <c r="F243" s="42">
        <v>1228722</v>
      </c>
      <c r="G243" s="42" t="s">
        <v>61</v>
      </c>
      <c r="H243" s="42">
        <v>394</v>
      </c>
      <c r="I243" s="42">
        <v>498</v>
      </c>
      <c r="J243" s="52">
        <v>0.22083333333333333</v>
      </c>
    </row>
    <row r="244" spans="1:10" s="42" customFormat="1" ht="15" x14ac:dyDescent="0.25">
      <c r="A244" s="42" t="s">
        <v>60</v>
      </c>
      <c r="B244" s="42">
        <v>145722</v>
      </c>
      <c r="C244" s="42">
        <v>85</v>
      </c>
      <c r="D244" s="42" t="s">
        <v>11</v>
      </c>
      <c r="E244" s="42">
        <v>16575</v>
      </c>
      <c r="F244" s="42">
        <v>1228722</v>
      </c>
      <c r="G244" s="42" t="s">
        <v>61</v>
      </c>
      <c r="H244" s="42">
        <v>412</v>
      </c>
      <c r="I244" s="42">
        <v>448</v>
      </c>
      <c r="J244" s="52">
        <v>0</v>
      </c>
    </row>
    <row r="245" spans="1:10" s="42" customFormat="1" ht="15" x14ac:dyDescent="0.25">
      <c r="A245" s="42" t="s">
        <v>60</v>
      </c>
      <c r="B245" s="42">
        <v>145735</v>
      </c>
      <c r="C245" s="42">
        <v>51</v>
      </c>
      <c r="D245" s="42" t="s">
        <v>11</v>
      </c>
      <c r="E245" s="42">
        <v>1375</v>
      </c>
      <c r="F245" s="42">
        <v>1228702</v>
      </c>
      <c r="G245" s="42" t="s">
        <v>61</v>
      </c>
      <c r="H245" s="42">
        <v>394</v>
      </c>
      <c r="I245" s="42">
        <v>82</v>
      </c>
      <c r="J245" s="52">
        <v>0</v>
      </c>
    </row>
    <row r="246" spans="1:10" s="42" customFormat="1" ht="15" x14ac:dyDescent="0.25">
      <c r="A246" s="42" t="s">
        <v>60</v>
      </c>
      <c r="B246" s="42">
        <v>145735</v>
      </c>
      <c r="C246" s="42">
        <v>51</v>
      </c>
      <c r="D246" s="42" t="s">
        <v>11</v>
      </c>
      <c r="E246" s="42">
        <v>1375</v>
      </c>
      <c r="F246" s="42">
        <v>1228702</v>
      </c>
      <c r="G246" s="42" t="s">
        <v>61</v>
      </c>
      <c r="H246" s="42">
        <v>412</v>
      </c>
      <c r="I246" s="42">
        <v>230</v>
      </c>
      <c r="J246" s="52">
        <v>0.10208333333333335</v>
      </c>
    </row>
    <row r="247" spans="1:10" s="42" customFormat="1" ht="15" x14ac:dyDescent="0.25">
      <c r="A247" s="42" t="s">
        <v>62</v>
      </c>
      <c r="B247" s="42">
        <v>146007</v>
      </c>
      <c r="C247" s="42">
        <v>41</v>
      </c>
      <c r="D247" s="42" t="s">
        <v>11</v>
      </c>
      <c r="E247" s="42">
        <v>1682</v>
      </c>
      <c r="F247" s="42">
        <v>1248102</v>
      </c>
      <c r="G247" s="42" t="s">
        <v>63</v>
      </c>
      <c r="H247" s="42">
        <v>390</v>
      </c>
      <c r="I247" s="42">
        <v>60</v>
      </c>
      <c r="J247" s="52">
        <v>2.7083333333333334E-2</v>
      </c>
    </row>
    <row r="248" spans="1:10" s="42" customFormat="1" ht="15" x14ac:dyDescent="0.25">
      <c r="A248" s="42" t="s">
        <v>62</v>
      </c>
      <c r="B248" s="42">
        <v>146007</v>
      </c>
      <c r="C248" s="42">
        <v>43</v>
      </c>
      <c r="D248" s="42" t="s">
        <v>11</v>
      </c>
      <c r="E248" s="42">
        <v>1682</v>
      </c>
      <c r="F248" s="42">
        <v>1248102</v>
      </c>
      <c r="G248" s="42" t="s">
        <v>63</v>
      </c>
      <c r="H248" s="42">
        <v>410</v>
      </c>
      <c r="I248" s="42">
        <v>60</v>
      </c>
      <c r="J248" s="52">
        <v>2.7777777777777776E-2</v>
      </c>
    </row>
    <row r="249" spans="1:10" s="42" customFormat="1" ht="15" x14ac:dyDescent="0.25">
      <c r="A249" s="42" t="s">
        <v>62</v>
      </c>
      <c r="B249" s="42">
        <v>146007</v>
      </c>
      <c r="C249" s="42">
        <v>44</v>
      </c>
      <c r="D249" s="42" t="s">
        <v>11</v>
      </c>
      <c r="E249" s="42">
        <v>1682</v>
      </c>
      <c r="F249" s="42">
        <v>1248102</v>
      </c>
      <c r="G249" s="42" t="s">
        <v>63</v>
      </c>
      <c r="H249" s="42">
        <v>420</v>
      </c>
      <c r="I249" s="42">
        <v>30</v>
      </c>
      <c r="J249" s="52">
        <v>1.3888888888888888E-2</v>
      </c>
    </row>
    <row r="250" spans="1:10" s="42" customFormat="1" ht="15" x14ac:dyDescent="0.25">
      <c r="A250" s="42" t="s">
        <v>62</v>
      </c>
      <c r="B250" s="42">
        <v>146009</v>
      </c>
      <c r="C250" s="42">
        <v>43</v>
      </c>
      <c r="D250" s="42" t="s">
        <v>11</v>
      </c>
      <c r="E250" s="42">
        <v>6110</v>
      </c>
      <c r="F250" s="42">
        <v>1248102</v>
      </c>
      <c r="G250" s="42" t="s">
        <v>63</v>
      </c>
      <c r="H250" s="42">
        <v>410</v>
      </c>
      <c r="I250" s="42">
        <v>98</v>
      </c>
      <c r="J250" s="52">
        <v>4.5138888888888888E-2</v>
      </c>
    </row>
    <row r="251" spans="1:10" s="42" customFormat="1" ht="15" x14ac:dyDescent="0.25">
      <c r="A251" s="42" t="s">
        <v>62</v>
      </c>
      <c r="B251" s="42">
        <v>146009</v>
      </c>
      <c r="C251" s="42">
        <v>44</v>
      </c>
      <c r="D251" s="42" t="s">
        <v>11</v>
      </c>
      <c r="E251" s="42">
        <v>6110</v>
      </c>
      <c r="F251" s="42">
        <v>1248102</v>
      </c>
      <c r="G251" s="42" t="s">
        <v>63</v>
      </c>
      <c r="H251" s="42">
        <v>420</v>
      </c>
      <c r="I251" s="42">
        <v>294</v>
      </c>
      <c r="J251" s="52">
        <v>0.13472222222222222</v>
      </c>
    </row>
    <row r="252" spans="1:10" s="42" customFormat="1" ht="15" x14ac:dyDescent="0.25">
      <c r="A252" s="42" t="s">
        <v>62</v>
      </c>
      <c r="B252" s="42">
        <v>146010</v>
      </c>
      <c r="C252" s="42">
        <v>41</v>
      </c>
      <c r="D252" s="42" t="s">
        <v>11</v>
      </c>
      <c r="E252" s="42">
        <v>1456</v>
      </c>
      <c r="F252" s="42">
        <v>1248102</v>
      </c>
      <c r="G252" s="42" t="s">
        <v>63</v>
      </c>
      <c r="H252" s="42">
        <v>390</v>
      </c>
      <c r="I252" s="42">
        <v>120</v>
      </c>
      <c r="J252" s="52">
        <v>5.347222222222222E-2</v>
      </c>
    </row>
    <row r="253" spans="1:10" s="42" customFormat="1" ht="15" x14ac:dyDescent="0.25">
      <c r="A253" s="42" t="s">
        <v>62</v>
      </c>
      <c r="B253" s="42">
        <v>146010</v>
      </c>
      <c r="C253" s="42">
        <v>43</v>
      </c>
      <c r="D253" s="42" t="s">
        <v>11</v>
      </c>
      <c r="E253" s="42">
        <v>1456</v>
      </c>
      <c r="F253" s="42">
        <v>1248102</v>
      </c>
      <c r="G253" s="42" t="s">
        <v>63</v>
      </c>
      <c r="H253" s="42">
        <v>410</v>
      </c>
      <c r="I253" s="42">
        <v>40</v>
      </c>
      <c r="J253" s="52">
        <v>1.8055555555555557E-2</v>
      </c>
    </row>
    <row r="254" spans="1:10" s="42" customFormat="1" ht="15" x14ac:dyDescent="0.25">
      <c r="A254" s="42" t="s">
        <v>62</v>
      </c>
      <c r="B254" s="42">
        <v>146010</v>
      </c>
      <c r="C254" s="42">
        <v>44</v>
      </c>
      <c r="D254" s="42" t="s">
        <v>11</v>
      </c>
      <c r="E254" s="42">
        <v>1456</v>
      </c>
      <c r="F254" s="42">
        <v>1248102</v>
      </c>
      <c r="G254" s="42" t="s">
        <v>63</v>
      </c>
      <c r="H254" s="42">
        <v>420</v>
      </c>
      <c r="I254" s="42">
        <v>120</v>
      </c>
      <c r="J254" s="52">
        <v>5.486111111111111E-2</v>
      </c>
    </row>
    <row r="255" spans="1:10" s="42" customFormat="1" ht="15" x14ac:dyDescent="0.25">
      <c r="A255" s="42" t="s">
        <v>62</v>
      </c>
      <c r="B255" s="42">
        <v>146035</v>
      </c>
      <c r="C255" s="42">
        <v>37</v>
      </c>
      <c r="D255" s="42" t="s">
        <v>11</v>
      </c>
      <c r="E255" s="42">
        <v>1371</v>
      </c>
      <c r="F255" s="42">
        <v>1243389</v>
      </c>
      <c r="G255" s="42" t="s">
        <v>64</v>
      </c>
      <c r="H255" s="42">
        <v>400</v>
      </c>
      <c r="I255" s="42">
        <v>150</v>
      </c>
      <c r="J255" s="52">
        <v>0</v>
      </c>
    </row>
    <row r="256" spans="1:10" s="42" customFormat="1" ht="15" x14ac:dyDescent="0.25">
      <c r="A256" s="42" t="s">
        <v>62</v>
      </c>
      <c r="B256" s="42">
        <v>146035</v>
      </c>
      <c r="C256" s="42">
        <v>37</v>
      </c>
      <c r="D256" s="42" t="s">
        <v>11</v>
      </c>
      <c r="E256" s="42">
        <v>1371</v>
      </c>
      <c r="F256" s="42">
        <v>1243389</v>
      </c>
      <c r="G256" s="42" t="s">
        <v>64</v>
      </c>
      <c r="H256" s="42">
        <v>410</v>
      </c>
      <c r="I256" s="42">
        <v>160</v>
      </c>
      <c r="J256" s="52">
        <v>0.1451388888888889</v>
      </c>
    </row>
    <row r="257" spans="1:10" s="42" customFormat="1" ht="15" x14ac:dyDescent="0.25">
      <c r="A257" s="42" t="s">
        <v>62</v>
      </c>
      <c r="B257" s="42">
        <v>146036</v>
      </c>
      <c r="C257" s="42">
        <v>35</v>
      </c>
      <c r="D257" s="42" t="s">
        <v>11</v>
      </c>
      <c r="E257" s="42">
        <v>12003</v>
      </c>
      <c r="F257" s="42">
        <v>1243389</v>
      </c>
      <c r="G257" s="42" t="s">
        <v>64</v>
      </c>
      <c r="H257" s="42">
        <v>378</v>
      </c>
      <c r="I257" s="42">
        <v>30</v>
      </c>
      <c r="J257" s="52">
        <v>0</v>
      </c>
    </row>
    <row r="258" spans="1:10" s="42" customFormat="1" ht="15" x14ac:dyDescent="0.25">
      <c r="A258" s="42" t="s">
        <v>62</v>
      </c>
      <c r="B258" s="42">
        <v>146036</v>
      </c>
      <c r="C258" s="42">
        <v>35</v>
      </c>
      <c r="D258" s="42" t="s">
        <v>11</v>
      </c>
      <c r="E258" s="42">
        <v>12003</v>
      </c>
      <c r="F258" s="42">
        <v>1243389</v>
      </c>
      <c r="G258" s="42" t="s">
        <v>64</v>
      </c>
      <c r="H258" s="42">
        <v>434</v>
      </c>
      <c r="I258" s="42">
        <v>50</v>
      </c>
      <c r="J258" s="52">
        <v>4.5138888888888888E-2</v>
      </c>
    </row>
    <row r="259" spans="1:10" s="42" customFormat="1" ht="15" x14ac:dyDescent="0.25">
      <c r="A259" s="42" t="s">
        <v>62</v>
      </c>
      <c r="B259" s="42">
        <v>146036</v>
      </c>
      <c r="C259" s="42">
        <v>37</v>
      </c>
      <c r="D259" s="42" t="s">
        <v>11</v>
      </c>
      <c r="E259" s="42">
        <v>12003</v>
      </c>
      <c r="F259" s="42">
        <v>1243389</v>
      </c>
      <c r="G259" s="42" t="s">
        <v>64</v>
      </c>
      <c r="H259" s="42">
        <v>400</v>
      </c>
      <c r="I259" s="42">
        <v>30</v>
      </c>
      <c r="J259" s="52">
        <v>0</v>
      </c>
    </row>
    <row r="260" spans="1:10" s="42" customFormat="1" ht="15" x14ac:dyDescent="0.25">
      <c r="A260" s="42" t="s">
        <v>62</v>
      </c>
      <c r="B260" s="42">
        <v>146036</v>
      </c>
      <c r="C260" s="42">
        <v>37</v>
      </c>
      <c r="D260" s="42" t="s">
        <v>11</v>
      </c>
      <c r="E260" s="42">
        <v>12003</v>
      </c>
      <c r="F260" s="42">
        <v>1243389</v>
      </c>
      <c r="G260" s="42" t="s">
        <v>64</v>
      </c>
      <c r="H260" s="42">
        <v>410</v>
      </c>
      <c r="I260" s="42">
        <v>90</v>
      </c>
      <c r="J260" s="52">
        <v>8.1250000000000003E-2</v>
      </c>
    </row>
    <row r="261" spans="1:10" s="42" customFormat="1" ht="15" x14ac:dyDescent="0.25">
      <c r="A261" s="42" t="s">
        <v>62</v>
      </c>
      <c r="B261" s="42">
        <v>147867</v>
      </c>
      <c r="C261" s="42">
        <v>13</v>
      </c>
      <c r="D261" s="42" t="s">
        <v>11</v>
      </c>
      <c r="E261" s="42">
        <v>1101</v>
      </c>
      <c r="F261" s="42">
        <v>1243389</v>
      </c>
      <c r="G261" s="42" t="s">
        <v>64</v>
      </c>
      <c r="H261" s="42">
        <v>434</v>
      </c>
      <c r="I261" s="42">
        <v>60</v>
      </c>
      <c r="J261" s="52">
        <v>5.4166666666666669E-2</v>
      </c>
    </row>
    <row r="262" spans="1:10" s="42" customFormat="1" ht="15" x14ac:dyDescent="0.25">
      <c r="A262" s="42" t="s">
        <v>65</v>
      </c>
      <c r="B262" s="42">
        <v>137766</v>
      </c>
      <c r="C262" s="42">
        <v>19</v>
      </c>
      <c r="D262" s="42" t="s">
        <v>11</v>
      </c>
      <c r="E262" s="42">
        <v>1656</v>
      </c>
      <c r="F262" s="42">
        <v>1906902</v>
      </c>
      <c r="G262" s="42" t="s">
        <v>66</v>
      </c>
      <c r="H262" s="42">
        <v>360</v>
      </c>
      <c r="I262" s="42">
        <v>200</v>
      </c>
      <c r="J262" s="52">
        <v>0.10277777777777779</v>
      </c>
    </row>
    <row r="263" spans="1:10" s="42" customFormat="1" ht="15" x14ac:dyDescent="0.25">
      <c r="A263" s="42" t="s">
        <v>65</v>
      </c>
      <c r="B263" s="42">
        <v>137769</v>
      </c>
      <c r="C263" s="42">
        <v>19</v>
      </c>
      <c r="D263" s="42" t="s">
        <v>11</v>
      </c>
      <c r="E263" s="42">
        <v>1003</v>
      </c>
      <c r="F263" s="42">
        <v>1906902</v>
      </c>
      <c r="G263" s="42" t="s">
        <v>66</v>
      </c>
      <c r="H263" s="42">
        <v>360</v>
      </c>
      <c r="I263" s="42">
        <v>64</v>
      </c>
      <c r="J263" s="52">
        <v>3.2638888888888891E-2</v>
      </c>
    </row>
    <row r="264" spans="1:10" s="42" customFormat="1" ht="15" x14ac:dyDescent="0.25">
      <c r="A264" s="42" t="s">
        <v>65</v>
      </c>
      <c r="B264" s="42">
        <v>141155</v>
      </c>
      <c r="C264" s="42">
        <v>19</v>
      </c>
      <c r="D264" s="42" t="s">
        <v>11</v>
      </c>
      <c r="E264" s="42">
        <v>1127</v>
      </c>
      <c r="F264" s="42">
        <v>1906902</v>
      </c>
      <c r="G264" s="42" t="s">
        <v>66</v>
      </c>
      <c r="H264" s="42">
        <v>360</v>
      </c>
      <c r="I264" s="42">
        <v>64</v>
      </c>
      <c r="J264" s="52">
        <v>3.2638888888888891E-2</v>
      </c>
    </row>
    <row r="265" spans="1:10" s="42" customFormat="1" ht="15" x14ac:dyDescent="0.25">
      <c r="A265" s="42" t="s">
        <v>65</v>
      </c>
      <c r="B265" s="42">
        <v>141156</v>
      </c>
      <c r="C265" s="42">
        <v>19</v>
      </c>
      <c r="D265" s="42" t="s">
        <v>11</v>
      </c>
      <c r="E265" s="42">
        <v>16422</v>
      </c>
      <c r="F265" s="42">
        <v>1906902</v>
      </c>
      <c r="G265" s="42" t="s">
        <v>66</v>
      </c>
      <c r="H265" s="42">
        <v>360</v>
      </c>
      <c r="I265" s="42">
        <v>48</v>
      </c>
      <c r="J265" s="52">
        <v>2.4999999999999998E-2</v>
      </c>
    </row>
    <row r="266" spans="1:10" s="42" customFormat="1" ht="15" x14ac:dyDescent="0.25">
      <c r="A266" s="42" t="s">
        <v>65</v>
      </c>
      <c r="B266" s="42">
        <v>141453</v>
      </c>
      <c r="C266" s="42">
        <v>18</v>
      </c>
      <c r="D266" s="42" t="s">
        <v>11</v>
      </c>
      <c r="E266" s="42">
        <v>1656</v>
      </c>
      <c r="F266" s="42">
        <v>1906902</v>
      </c>
      <c r="G266" s="42" t="s">
        <v>66</v>
      </c>
      <c r="H266" s="42">
        <v>350</v>
      </c>
      <c r="I266" s="42">
        <v>180</v>
      </c>
      <c r="J266" s="52">
        <v>9.1666666666666674E-2</v>
      </c>
    </row>
    <row r="267" spans="1:10" s="42" customFormat="1" ht="15" x14ac:dyDescent="0.25">
      <c r="A267" s="42" t="s">
        <v>65</v>
      </c>
      <c r="B267" s="42">
        <v>141453</v>
      </c>
      <c r="C267" s="42">
        <v>19</v>
      </c>
      <c r="D267" s="42" t="s">
        <v>11</v>
      </c>
      <c r="E267" s="42">
        <v>1656</v>
      </c>
      <c r="F267" s="42">
        <v>1906902</v>
      </c>
      <c r="G267" s="42" t="s">
        <v>66</v>
      </c>
      <c r="H267" s="42">
        <v>360</v>
      </c>
      <c r="I267" s="42">
        <v>270</v>
      </c>
      <c r="J267" s="52">
        <v>0.1388888888888889</v>
      </c>
    </row>
    <row r="268" spans="1:10" s="42" customFormat="1" ht="15" x14ac:dyDescent="0.25">
      <c r="A268" s="42" t="s">
        <v>65</v>
      </c>
      <c r="B268" s="42">
        <v>141453</v>
      </c>
      <c r="C268" s="42">
        <v>20</v>
      </c>
      <c r="D268" s="42" t="s">
        <v>11</v>
      </c>
      <c r="E268" s="42">
        <v>1656</v>
      </c>
      <c r="F268" s="42">
        <v>1906902</v>
      </c>
      <c r="G268" s="42" t="s">
        <v>66</v>
      </c>
      <c r="H268" s="42">
        <v>370</v>
      </c>
      <c r="I268" s="42">
        <v>270</v>
      </c>
      <c r="J268" s="52">
        <v>0.1388888888888889</v>
      </c>
    </row>
    <row r="269" spans="1:10" s="42" customFormat="1" ht="15" x14ac:dyDescent="0.25">
      <c r="A269" s="42" t="s">
        <v>65</v>
      </c>
      <c r="B269" s="42">
        <v>141453</v>
      </c>
      <c r="C269" s="42">
        <v>21</v>
      </c>
      <c r="D269" s="42" t="s">
        <v>11</v>
      </c>
      <c r="E269" s="42">
        <v>1656</v>
      </c>
      <c r="F269" s="42">
        <v>1906902</v>
      </c>
      <c r="G269" s="42" t="s">
        <v>66</v>
      </c>
      <c r="H269" s="42">
        <v>380</v>
      </c>
      <c r="I269" s="42">
        <v>180</v>
      </c>
      <c r="J269" s="52">
        <v>9.2361111111111116E-2</v>
      </c>
    </row>
    <row r="270" spans="1:10" s="42" customFormat="1" ht="15" x14ac:dyDescent="0.25">
      <c r="A270" s="42" t="s">
        <v>65</v>
      </c>
      <c r="B270" s="42">
        <v>141453</v>
      </c>
      <c r="C270" s="42">
        <v>22</v>
      </c>
      <c r="D270" s="42" t="s">
        <v>11</v>
      </c>
      <c r="E270" s="42">
        <v>1656</v>
      </c>
      <c r="F270" s="42">
        <v>1906902</v>
      </c>
      <c r="G270" s="42" t="s">
        <v>66</v>
      </c>
      <c r="H270" s="42">
        <v>394</v>
      </c>
      <c r="I270" s="42">
        <v>90</v>
      </c>
      <c r="J270" s="52">
        <v>4.7222222222222221E-2</v>
      </c>
    </row>
    <row r="271" spans="1:10" s="42" customFormat="1" ht="15" x14ac:dyDescent="0.25">
      <c r="A271" s="42" t="s">
        <v>65</v>
      </c>
      <c r="B271" s="42">
        <v>145811</v>
      </c>
      <c r="C271" s="42">
        <v>60</v>
      </c>
      <c r="D271" s="42" t="s">
        <v>11</v>
      </c>
      <c r="E271" s="42">
        <v>1003</v>
      </c>
      <c r="F271" s="42">
        <v>1249602</v>
      </c>
      <c r="G271" s="42" t="s">
        <v>67</v>
      </c>
      <c r="H271" s="42">
        <v>378</v>
      </c>
      <c r="I271" s="42">
        <v>170</v>
      </c>
      <c r="J271" s="52">
        <v>8.0555555555555561E-2</v>
      </c>
    </row>
    <row r="272" spans="1:10" s="42" customFormat="1" ht="15" x14ac:dyDescent="0.25">
      <c r="A272" s="42" t="s">
        <v>65</v>
      </c>
      <c r="B272" s="42">
        <v>145811</v>
      </c>
      <c r="C272" s="42">
        <v>60</v>
      </c>
      <c r="D272" s="42" t="s">
        <v>11</v>
      </c>
      <c r="E272" s="42">
        <v>1003</v>
      </c>
      <c r="F272" s="42">
        <v>1249602</v>
      </c>
      <c r="G272" s="42" t="s">
        <v>67</v>
      </c>
      <c r="H272" s="42">
        <v>434</v>
      </c>
      <c r="I272" s="42">
        <v>120</v>
      </c>
      <c r="J272" s="52">
        <v>0</v>
      </c>
    </row>
    <row r="273" spans="1:10" s="42" customFormat="1" ht="15" x14ac:dyDescent="0.25">
      <c r="A273" s="42" t="s">
        <v>65</v>
      </c>
      <c r="B273" s="42">
        <v>145816</v>
      </c>
      <c r="C273" s="42">
        <v>52</v>
      </c>
      <c r="D273" s="42" t="s">
        <v>11</v>
      </c>
      <c r="E273" s="42">
        <v>1003</v>
      </c>
      <c r="F273" s="42">
        <v>1249602</v>
      </c>
      <c r="G273" s="42" t="s">
        <v>67</v>
      </c>
      <c r="H273" s="42">
        <v>378</v>
      </c>
      <c r="I273" s="42">
        <v>40</v>
      </c>
      <c r="J273" s="52">
        <v>1.8749999999999999E-2</v>
      </c>
    </row>
    <row r="274" spans="1:10" s="42" customFormat="1" ht="15" x14ac:dyDescent="0.25">
      <c r="A274" s="42" t="s">
        <v>65</v>
      </c>
      <c r="B274" s="42">
        <v>145816</v>
      </c>
      <c r="C274" s="42">
        <v>52</v>
      </c>
      <c r="D274" s="42" t="s">
        <v>11</v>
      </c>
      <c r="E274" s="42">
        <v>1003</v>
      </c>
      <c r="F274" s="42">
        <v>1249602</v>
      </c>
      <c r="G274" s="42" t="s">
        <v>67</v>
      </c>
      <c r="H274" s="42">
        <v>434</v>
      </c>
      <c r="I274" s="42">
        <v>20</v>
      </c>
      <c r="J274" s="52">
        <v>0</v>
      </c>
    </row>
    <row r="275" spans="1:10" s="42" customFormat="1" ht="15" x14ac:dyDescent="0.25">
      <c r="A275" s="42" t="s">
        <v>65</v>
      </c>
      <c r="B275" s="42">
        <v>145821</v>
      </c>
      <c r="C275" s="42">
        <v>47</v>
      </c>
      <c r="D275" s="42" t="s">
        <v>11</v>
      </c>
      <c r="E275" s="42">
        <v>1456</v>
      </c>
      <c r="F275" s="42">
        <v>1249602</v>
      </c>
      <c r="G275" s="42" t="s">
        <v>67</v>
      </c>
      <c r="H275" s="42">
        <v>378</v>
      </c>
      <c r="I275" s="42">
        <v>30</v>
      </c>
      <c r="J275" s="52">
        <v>0</v>
      </c>
    </row>
    <row r="276" spans="1:10" s="42" customFormat="1" ht="15" x14ac:dyDescent="0.25">
      <c r="A276" s="42" t="s">
        <v>65</v>
      </c>
      <c r="B276" s="42">
        <v>145821</v>
      </c>
      <c r="C276" s="42">
        <v>47</v>
      </c>
      <c r="D276" s="42" t="s">
        <v>11</v>
      </c>
      <c r="E276" s="42">
        <v>1456</v>
      </c>
      <c r="F276" s="42">
        <v>1249602</v>
      </c>
      <c r="G276" s="42" t="s">
        <v>67</v>
      </c>
      <c r="H276" s="42">
        <v>434</v>
      </c>
      <c r="I276" s="42">
        <v>90</v>
      </c>
      <c r="J276" s="52">
        <v>4.2361111111111106E-2</v>
      </c>
    </row>
    <row r="277" spans="1:10" s="42" customFormat="1" ht="15" x14ac:dyDescent="0.25">
      <c r="A277" s="42" t="s">
        <v>65</v>
      </c>
      <c r="B277" s="42">
        <v>145827</v>
      </c>
      <c r="C277" s="42">
        <v>60</v>
      </c>
      <c r="D277" s="42" t="s">
        <v>11</v>
      </c>
      <c r="E277" s="42">
        <v>1682</v>
      </c>
      <c r="F277" s="42">
        <v>1249602</v>
      </c>
      <c r="G277" s="42" t="s">
        <v>67</v>
      </c>
      <c r="H277" s="42">
        <v>378</v>
      </c>
      <c r="I277" s="42">
        <v>100</v>
      </c>
      <c r="J277" s="52">
        <v>0</v>
      </c>
    </row>
    <row r="278" spans="1:10" s="42" customFormat="1" ht="15" x14ac:dyDescent="0.25">
      <c r="A278" s="42" t="s">
        <v>65</v>
      </c>
      <c r="B278" s="42">
        <v>145827</v>
      </c>
      <c r="C278" s="42">
        <v>60</v>
      </c>
      <c r="D278" s="42" t="s">
        <v>11</v>
      </c>
      <c r="E278" s="42">
        <v>1682</v>
      </c>
      <c r="F278" s="42">
        <v>1249602</v>
      </c>
      <c r="G278" s="42" t="s">
        <v>67</v>
      </c>
      <c r="H278" s="42">
        <v>434</v>
      </c>
      <c r="I278" s="42">
        <v>120</v>
      </c>
      <c r="J278" s="52">
        <v>5.6944444444444443E-2</v>
      </c>
    </row>
    <row r="279" spans="1:10" s="42" customFormat="1" ht="15" x14ac:dyDescent="0.25">
      <c r="A279" s="42" t="s">
        <v>68</v>
      </c>
      <c r="B279" s="42">
        <v>141237</v>
      </c>
      <c r="C279" s="42">
        <v>35</v>
      </c>
      <c r="D279" s="42" t="s">
        <v>11</v>
      </c>
      <c r="E279" s="42">
        <v>1003</v>
      </c>
      <c r="F279" s="42">
        <v>1237202</v>
      </c>
      <c r="G279" s="42" t="s">
        <v>69</v>
      </c>
      <c r="H279" s="42">
        <v>340</v>
      </c>
      <c r="I279" s="42">
        <v>205</v>
      </c>
      <c r="J279" s="52">
        <v>0.10555555555555556</v>
      </c>
    </row>
    <row r="280" spans="1:10" s="42" customFormat="1" ht="15" x14ac:dyDescent="0.25">
      <c r="A280" s="42" t="s">
        <v>68</v>
      </c>
      <c r="B280" s="42">
        <v>141237</v>
      </c>
      <c r="C280" s="42">
        <v>35</v>
      </c>
      <c r="D280" s="42" t="s">
        <v>11</v>
      </c>
      <c r="E280" s="42">
        <v>1003</v>
      </c>
      <c r="F280" s="42">
        <v>1237202</v>
      </c>
      <c r="G280" s="42" t="s">
        <v>69</v>
      </c>
      <c r="H280" s="42">
        <v>356</v>
      </c>
      <c r="I280" s="42">
        <v>205</v>
      </c>
      <c r="J280" s="52">
        <v>0</v>
      </c>
    </row>
    <row r="281" spans="1:10" s="42" customFormat="1" ht="15" x14ac:dyDescent="0.25">
      <c r="A281" s="42" t="s">
        <v>68</v>
      </c>
      <c r="B281" s="42">
        <v>146034</v>
      </c>
      <c r="C281" s="42">
        <v>22</v>
      </c>
      <c r="D281" s="42" t="s">
        <v>35</v>
      </c>
      <c r="E281" s="42">
        <v>1101</v>
      </c>
      <c r="F281" s="42">
        <v>1243389</v>
      </c>
      <c r="G281" s="42" t="s">
        <v>64</v>
      </c>
      <c r="H281" s="42">
        <v>390</v>
      </c>
      <c r="I281" s="42">
        <v>40</v>
      </c>
      <c r="J281" s="52">
        <v>3.6111111111111115E-2</v>
      </c>
    </row>
    <row r="282" spans="1:10" s="42" customFormat="1" ht="15" x14ac:dyDescent="0.25">
      <c r="A282" s="42" t="s">
        <v>68</v>
      </c>
      <c r="B282" s="42">
        <v>146034</v>
      </c>
      <c r="C282" s="42">
        <v>22</v>
      </c>
      <c r="D282" s="42" t="s">
        <v>35</v>
      </c>
      <c r="E282" s="42">
        <v>1101</v>
      </c>
      <c r="F282" s="42">
        <v>1243389</v>
      </c>
      <c r="G282" s="42" t="s">
        <v>64</v>
      </c>
      <c r="H282" s="42">
        <v>420</v>
      </c>
      <c r="I282" s="42">
        <v>20</v>
      </c>
      <c r="J282" s="52">
        <v>0</v>
      </c>
    </row>
    <row r="283" spans="1:10" s="42" customFormat="1" ht="15" x14ac:dyDescent="0.25">
      <c r="A283" s="42" t="s">
        <v>68</v>
      </c>
      <c r="B283" s="42">
        <v>146034</v>
      </c>
      <c r="C283" s="42">
        <v>23</v>
      </c>
      <c r="D283" s="42" t="s">
        <v>11</v>
      </c>
      <c r="E283" s="42">
        <v>1101</v>
      </c>
      <c r="F283" s="42">
        <v>1243389</v>
      </c>
      <c r="G283" s="42" t="s">
        <v>64</v>
      </c>
      <c r="H283" s="42">
        <v>400</v>
      </c>
      <c r="I283" s="42">
        <v>180</v>
      </c>
      <c r="J283" s="52">
        <v>0</v>
      </c>
    </row>
    <row r="284" spans="1:10" s="42" customFormat="1" ht="15" x14ac:dyDescent="0.25">
      <c r="A284" s="42" t="s">
        <v>68</v>
      </c>
      <c r="B284" s="42">
        <v>146034</v>
      </c>
      <c r="C284" s="42">
        <v>23</v>
      </c>
      <c r="D284" s="42" t="s">
        <v>11</v>
      </c>
      <c r="E284" s="42">
        <v>1101</v>
      </c>
      <c r="F284" s="42">
        <v>1243389</v>
      </c>
      <c r="G284" s="42" t="s">
        <v>64</v>
      </c>
      <c r="H284" s="42">
        <v>410</v>
      </c>
      <c r="I284" s="42">
        <v>190</v>
      </c>
      <c r="J284" s="52">
        <v>0.17222222222222225</v>
      </c>
    </row>
    <row r="285" spans="1:10" s="42" customFormat="1" ht="15" x14ac:dyDescent="0.25">
      <c r="A285" s="42" t="s">
        <v>68</v>
      </c>
      <c r="B285" s="42">
        <v>146036</v>
      </c>
      <c r="C285" s="42">
        <v>36</v>
      </c>
      <c r="D285" s="42" t="s">
        <v>11</v>
      </c>
      <c r="E285" s="42">
        <v>12003</v>
      </c>
      <c r="F285" s="42">
        <v>1243389</v>
      </c>
      <c r="G285" s="42" t="s">
        <v>64</v>
      </c>
      <c r="H285" s="42">
        <v>390</v>
      </c>
      <c r="I285" s="42">
        <v>50</v>
      </c>
      <c r="J285" s="52">
        <v>4.5138888888888888E-2</v>
      </c>
    </row>
    <row r="286" spans="1:10" s="42" customFormat="1" ht="15" x14ac:dyDescent="0.25">
      <c r="A286" s="42" t="s">
        <v>68</v>
      </c>
      <c r="B286" s="42">
        <v>146036</v>
      </c>
      <c r="C286" s="42">
        <v>36</v>
      </c>
      <c r="D286" s="42" t="s">
        <v>11</v>
      </c>
      <c r="E286" s="42">
        <v>12003</v>
      </c>
      <c r="F286" s="42">
        <v>1243389</v>
      </c>
      <c r="G286" s="42" t="s">
        <v>64</v>
      </c>
      <c r="H286" s="42">
        <v>420</v>
      </c>
      <c r="I286" s="42">
        <v>50</v>
      </c>
      <c r="J286" s="52">
        <v>0</v>
      </c>
    </row>
    <row r="287" spans="1:10" s="42" customFormat="1" ht="15" x14ac:dyDescent="0.25">
      <c r="A287" s="42" t="s">
        <v>68</v>
      </c>
      <c r="B287" s="42">
        <v>147867</v>
      </c>
      <c r="C287" s="42">
        <v>12</v>
      </c>
      <c r="D287" s="42" t="s">
        <v>11</v>
      </c>
      <c r="E287" s="42">
        <v>1101</v>
      </c>
      <c r="F287" s="42">
        <v>1243389</v>
      </c>
      <c r="G287" s="42" t="s">
        <v>64</v>
      </c>
      <c r="H287" s="42">
        <v>420</v>
      </c>
      <c r="I287" s="42">
        <v>100</v>
      </c>
      <c r="J287" s="52">
        <v>9.0277777777777776E-2</v>
      </c>
    </row>
    <row r="288" spans="1:10" s="42" customFormat="1" ht="15" x14ac:dyDescent="0.25">
      <c r="A288" s="42" t="s">
        <v>70</v>
      </c>
      <c r="B288" s="42">
        <v>146007</v>
      </c>
      <c r="C288" s="42">
        <v>42</v>
      </c>
      <c r="D288" s="42" t="s">
        <v>11</v>
      </c>
      <c r="E288" s="42">
        <v>1682</v>
      </c>
      <c r="F288" s="42">
        <v>1248102</v>
      </c>
      <c r="G288" s="42" t="s">
        <v>63</v>
      </c>
      <c r="H288" s="42">
        <v>400</v>
      </c>
      <c r="I288" s="42">
        <v>90</v>
      </c>
      <c r="J288" s="52">
        <v>4.0972222222222222E-2</v>
      </c>
    </row>
    <row r="289" spans="1:10" s="42" customFormat="1" ht="15" x14ac:dyDescent="0.25">
      <c r="A289" s="42" t="s">
        <v>70</v>
      </c>
      <c r="B289" s="42">
        <v>146009</v>
      </c>
      <c r="C289" s="42">
        <v>42</v>
      </c>
      <c r="D289" s="42" t="s">
        <v>11</v>
      </c>
      <c r="E289" s="42">
        <v>6110</v>
      </c>
      <c r="F289" s="42">
        <v>1248102</v>
      </c>
      <c r="G289" s="42" t="s">
        <v>63</v>
      </c>
      <c r="H289" s="42">
        <v>400</v>
      </c>
      <c r="I289" s="42">
        <v>196</v>
      </c>
      <c r="J289" s="52">
        <v>8.8888888888888892E-2</v>
      </c>
    </row>
    <row r="290" spans="1:10" s="42" customFormat="1" ht="15" x14ac:dyDescent="0.25">
      <c r="A290" s="42" t="s">
        <v>70</v>
      </c>
      <c r="B290" s="42">
        <v>146010</v>
      </c>
      <c r="C290" s="42">
        <v>40</v>
      </c>
      <c r="D290" s="42" t="s">
        <v>11</v>
      </c>
      <c r="E290" s="42">
        <v>1456</v>
      </c>
      <c r="F290" s="42">
        <v>1248102</v>
      </c>
      <c r="G290" s="42" t="s">
        <v>63</v>
      </c>
      <c r="H290" s="42">
        <v>378</v>
      </c>
      <c r="I290" s="42">
        <v>80</v>
      </c>
      <c r="J290" s="52">
        <v>3.5416666666666666E-2</v>
      </c>
    </row>
    <row r="291" spans="1:10" s="42" customFormat="1" ht="15" x14ac:dyDescent="0.25">
      <c r="A291" s="42" t="s">
        <v>70</v>
      </c>
      <c r="B291" s="42">
        <v>146010</v>
      </c>
      <c r="C291" s="42">
        <v>42</v>
      </c>
      <c r="D291" s="42" t="s">
        <v>11</v>
      </c>
      <c r="E291" s="42">
        <v>1456</v>
      </c>
      <c r="F291" s="42">
        <v>1248102</v>
      </c>
      <c r="G291" s="42" t="s">
        <v>63</v>
      </c>
      <c r="H291" s="42">
        <v>400</v>
      </c>
      <c r="I291" s="42">
        <v>40</v>
      </c>
      <c r="J291" s="52">
        <v>1.8055555555555557E-2</v>
      </c>
    </row>
    <row r="292" spans="1:10" s="42" customFormat="1" ht="15" x14ac:dyDescent="0.25">
      <c r="A292" s="42" t="s">
        <v>71</v>
      </c>
      <c r="B292" s="42">
        <v>136418</v>
      </c>
      <c r="C292" s="42">
        <v>16</v>
      </c>
      <c r="D292" s="42" t="s">
        <v>11</v>
      </c>
      <c r="E292" s="42">
        <v>1682</v>
      </c>
      <c r="F292" s="42">
        <v>1215804</v>
      </c>
      <c r="G292" s="42" t="s">
        <v>26</v>
      </c>
      <c r="H292" s="42">
        <v>394</v>
      </c>
      <c r="I292" s="42">
        <v>200</v>
      </c>
      <c r="J292" s="52">
        <v>9.1666666666666674E-2</v>
      </c>
    </row>
    <row r="293" spans="1:10" s="42" customFormat="1" ht="15" x14ac:dyDescent="0.25">
      <c r="A293" s="42" t="s">
        <v>71</v>
      </c>
      <c r="B293" s="42">
        <v>136418</v>
      </c>
      <c r="C293" s="42">
        <v>16</v>
      </c>
      <c r="D293" s="42" t="s">
        <v>11</v>
      </c>
      <c r="E293" s="42">
        <v>1682</v>
      </c>
      <c r="F293" s="42">
        <v>1215804</v>
      </c>
      <c r="G293" s="42" t="s">
        <v>26</v>
      </c>
      <c r="H293" s="42">
        <v>412</v>
      </c>
      <c r="I293" s="42">
        <v>200</v>
      </c>
      <c r="J293" s="52">
        <v>0</v>
      </c>
    </row>
    <row r="294" spans="1:10" s="42" customFormat="1" ht="15" x14ac:dyDescent="0.25">
      <c r="A294" s="42" t="s">
        <v>71</v>
      </c>
      <c r="B294" s="42">
        <v>136418</v>
      </c>
      <c r="C294" s="42">
        <v>49</v>
      </c>
      <c r="D294" s="42" t="s">
        <v>11</v>
      </c>
      <c r="E294" s="42">
        <v>1682</v>
      </c>
      <c r="F294" s="42">
        <v>1215823</v>
      </c>
      <c r="G294" s="42" t="s">
        <v>26</v>
      </c>
      <c r="H294" s="42">
        <v>394</v>
      </c>
      <c r="I294" s="42">
        <v>200</v>
      </c>
      <c r="J294" s="52">
        <v>9.1666666666666674E-2</v>
      </c>
    </row>
    <row r="295" spans="1:10" s="42" customFormat="1" ht="15" x14ac:dyDescent="0.25">
      <c r="A295" s="42" t="s">
        <v>71</v>
      </c>
      <c r="B295" s="42">
        <v>136418</v>
      </c>
      <c r="C295" s="42">
        <v>49</v>
      </c>
      <c r="D295" s="42" t="s">
        <v>11</v>
      </c>
      <c r="E295" s="42">
        <v>1682</v>
      </c>
      <c r="F295" s="42">
        <v>1215823</v>
      </c>
      <c r="G295" s="42" t="s">
        <v>26</v>
      </c>
      <c r="H295" s="42">
        <v>412</v>
      </c>
      <c r="I295" s="42">
        <v>200</v>
      </c>
      <c r="J295" s="52">
        <v>0</v>
      </c>
    </row>
    <row r="296" spans="1:10" s="42" customFormat="1" ht="15" x14ac:dyDescent="0.25">
      <c r="A296" s="42" t="s">
        <v>71</v>
      </c>
      <c r="B296" s="42">
        <v>136419</v>
      </c>
      <c r="C296" s="42">
        <v>16</v>
      </c>
      <c r="D296" s="42" t="s">
        <v>11</v>
      </c>
      <c r="E296" s="42">
        <v>1456</v>
      </c>
      <c r="F296" s="42">
        <v>1215804</v>
      </c>
      <c r="G296" s="42" t="s">
        <v>26</v>
      </c>
      <c r="H296" s="42">
        <v>412</v>
      </c>
      <c r="I296" s="42">
        <v>100</v>
      </c>
      <c r="J296" s="52">
        <v>4.5833333333333337E-2</v>
      </c>
    </row>
    <row r="297" spans="1:10" s="42" customFormat="1" ht="15" x14ac:dyDescent="0.25">
      <c r="A297" s="42" t="s">
        <v>72</v>
      </c>
      <c r="B297" s="42">
        <v>145821</v>
      </c>
      <c r="C297" s="42">
        <v>48</v>
      </c>
      <c r="D297" s="42" t="s">
        <v>11</v>
      </c>
      <c r="E297" s="42">
        <v>1456</v>
      </c>
      <c r="F297" s="42">
        <v>1249602</v>
      </c>
      <c r="G297" s="42" t="s">
        <v>67</v>
      </c>
      <c r="H297" s="42">
        <v>394</v>
      </c>
      <c r="I297" s="42">
        <v>90</v>
      </c>
      <c r="J297" s="52">
        <v>0</v>
      </c>
    </row>
    <row r="298" spans="1:10" s="42" customFormat="1" ht="15" x14ac:dyDescent="0.25">
      <c r="A298" s="42" t="s">
        <v>72</v>
      </c>
      <c r="B298" s="42">
        <v>145821</v>
      </c>
      <c r="C298" s="42">
        <v>48</v>
      </c>
      <c r="D298" s="42" t="s">
        <v>11</v>
      </c>
      <c r="E298" s="42">
        <v>1456</v>
      </c>
      <c r="F298" s="42">
        <v>1249602</v>
      </c>
      <c r="G298" s="42" t="s">
        <v>67</v>
      </c>
      <c r="H298" s="42">
        <v>412</v>
      </c>
      <c r="I298" s="42">
        <v>180</v>
      </c>
      <c r="J298" s="52">
        <v>8.5416666666666655E-2</v>
      </c>
    </row>
    <row r="299" spans="1:10" s="42" customFormat="1" ht="15" x14ac:dyDescent="0.25">
      <c r="A299" s="42" t="s">
        <v>72</v>
      </c>
      <c r="B299" s="42">
        <v>145821</v>
      </c>
      <c r="C299" s="42">
        <v>75</v>
      </c>
      <c r="D299" s="42" t="s">
        <v>11</v>
      </c>
      <c r="E299" s="42">
        <v>1456</v>
      </c>
      <c r="F299" s="42">
        <v>1249622</v>
      </c>
      <c r="G299" s="42" t="s">
        <v>67</v>
      </c>
      <c r="H299" s="42">
        <v>394</v>
      </c>
      <c r="I299" s="42">
        <v>180</v>
      </c>
      <c r="J299" s="52">
        <v>8.5416666666666655E-2</v>
      </c>
    </row>
    <row r="300" spans="1:10" s="42" customFormat="1" ht="15" x14ac:dyDescent="0.25">
      <c r="A300" s="42" t="s">
        <v>72</v>
      </c>
      <c r="B300" s="42">
        <v>145821</v>
      </c>
      <c r="C300" s="42">
        <v>75</v>
      </c>
      <c r="D300" s="42" t="s">
        <v>11</v>
      </c>
      <c r="E300" s="42">
        <v>1456</v>
      </c>
      <c r="F300" s="42">
        <v>1249622</v>
      </c>
      <c r="G300" s="42" t="s">
        <v>67</v>
      </c>
      <c r="H300" s="42">
        <v>412</v>
      </c>
      <c r="I300" s="42">
        <v>150</v>
      </c>
      <c r="J300" s="52">
        <v>0</v>
      </c>
    </row>
    <row r="301" spans="1:10" s="42" customFormat="1" ht="15" x14ac:dyDescent="0.25">
      <c r="A301" s="42" t="s">
        <v>72</v>
      </c>
      <c r="B301" s="42">
        <v>145823</v>
      </c>
      <c r="C301" s="42">
        <v>99</v>
      </c>
      <c r="D301" s="42" t="s">
        <v>11</v>
      </c>
      <c r="E301" s="42">
        <v>1039</v>
      </c>
      <c r="F301" s="42">
        <v>1249622</v>
      </c>
      <c r="G301" s="42" t="s">
        <v>67</v>
      </c>
      <c r="H301" s="42">
        <v>394</v>
      </c>
      <c r="I301" s="42">
        <v>84</v>
      </c>
      <c r="J301" s="52">
        <v>0</v>
      </c>
    </row>
    <row r="302" spans="1:10" s="42" customFormat="1" ht="15" x14ac:dyDescent="0.25">
      <c r="A302" s="42" t="s">
        <v>72</v>
      </c>
      <c r="B302" s="42">
        <v>145823</v>
      </c>
      <c r="C302" s="42">
        <v>99</v>
      </c>
      <c r="D302" s="42" t="s">
        <v>11</v>
      </c>
      <c r="E302" s="42">
        <v>1039</v>
      </c>
      <c r="F302" s="42">
        <v>1249622</v>
      </c>
      <c r="G302" s="42" t="s">
        <v>67</v>
      </c>
      <c r="H302" s="42">
        <v>412</v>
      </c>
      <c r="I302" s="42">
        <v>314</v>
      </c>
      <c r="J302" s="52">
        <v>0.14861111111111111</v>
      </c>
    </row>
    <row r="303" spans="1:10" s="42" customFormat="1" ht="15" x14ac:dyDescent="0.25">
      <c r="A303" s="42" t="s">
        <v>72</v>
      </c>
      <c r="B303" s="42">
        <v>145829</v>
      </c>
      <c r="C303" s="42">
        <v>97</v>
      </c>
      <c r="D303" s="42" t="s">
        <v>11</v>
      </c>
      <c r="E303" s="42">
        <v>1039</v>
      </c>
      <c r="F303" s="42">
        <v>1249622</v>
      </c>
      <c r="G303" s="42" t="s">
        <v>67</v>
      </c>
      <c r="H303" s="42">
        <v>394</v>
      </c>
      <c r="I303" s="42">
        <v>40</v>
      </c>
      <c r="J303" s="52">
        <v>1.8749999999999999E-2</v>
      </c>
    </row>
    <row r="304" spans="1:10" s="42" customFormat="1" ht="15" x14ac:dyDescent="0.25">
      <c r="A304" s="42" t="s">
        <v>72</v>
      </c>
      <c r="B304" s="42">
        <v>145829</v>
      </c>
      <c r="C304" s="42">
        <v>97</v>
      </c>
      <c r="D304" s="42" t="s">
        <v>11</v>
      </c>
      <c r="E304" s="42">
        <v>1039</v>
      </c>
      <c r="F304" s="42">
        <v>1249622</v>
      </c>
      <c r="G304" s="42" t="s">
        <v>67</v>
      </c>
      <c r="H304" s="42">
        <v>412</v>
      </c>
      <c r="I304" s="42">
        <v>40</v>
      </c>
      <c r="J304" s="52">
        <v>0</v>
      </c>
    </row>
    <row r="305" spans="1:10" s="42" customFormat="1" ht="15" x14ac:dyDescent="0.25">
      <c r="A305" s="42" t="s">
        <v>73</v>
      </c>
      <c r="B305" s="42">
        <v>127127</v>
      </c>
      <c r="C305" s="42">
        <v>160</v>
      </c>
      <c r="D305" s="42" t="s">
        <v>11</v>
      </c>
      <c r="E305" s="42">
        <v>16623</v>
      </c>
      <c r="F305" s="42">
        <v>3950102</v>
      </c>
      <c r="G305" s="42" t="s">
        <v>74</v>
      </c>
      <c r="H305" s="42">
        <v>360</v>
      </c>
      <c r="I305" s="42">
        <v>120</v>
      </c>
      <c r="J305" s="52">
        <v>0.10902777777777778</v>
      </c>
    </row>
    <row r="306" spans="1:10" s="42" customFormat="1" ht="15" x14ac:dyDescent="0.25">
      <c r="A306" s="42" t="s">
        <v>73</v>
      </c>
      <c r="B306" s="42">
        <v>127127</v>
      </c>
      <c r="C306" s="42">
        <v>162</v>
      </c>
      <c r="D306" s="42" t="s">
        <v>11</v>
      </c>
      <c r="E306" s="42">
        <v>16623</v>
      </c>
      <c r="F306" s="42">
        <v>3950102</v>
      </c>
      <c r="G306" s="42" t="s">
        <v>74</v>
      </c>
      <c r="H306" s="42">
        <v>380</v>
      </c>
      <c r="I306" s="42">
        <v>60</v>
      </c>
      <c r="J306" s="52">
        <v>5.4166666666666669E-2</v>
      </c>
    </row>
    <row r="307" spans="1:10" s="42" customFormat="1" ht="15" x14ac:dyDescent="0.25">
      <c r="A307" s="42" t="s">
        <v>73</v>
      </c>
      <c r="B307" s="42">
        <v>127127</v>
      </c>
      <c r="C307" s="42">
        <v>164</v>
      </c>
      <c r="D307" s="42" t="s">
        <v>11</v>
      </c>
      <c r="E307" s="42">
        <v>16623</v>
      </c>
      <c r="F307" s="42">
        <v>3950102</v>
      </c>
      <c r="G307" s="42" t="s">
        <v>74</v>
      </c>
      <c r="H307" s="42">
        <v>400</v>
      </c>
      <c r="I307" s="42">
        <v>20</v>
      </c>
      <c r="J307" s="52">
        <v>1.8055555555555557E-2</v>
      </c>
    </row>
    <row r="308" spans="1:10" s="42" customFormat="1" ht="15" x14ac:dyDescent="0.25">
      <c r="A308" s="42" t="s">
        <v>73</v>
      </c>
      <c r="B308" s="42">
        <v>127128</v>
      </c>
      <c r="C308" s="42">
        <v>160</v>
      </c>
      <c r="D308" s="42" t="s">
        <v>11</v>
      </c>
      <c r="E308" s="42">
        <v>16623</v>
      </c>
      <c r="F308" s="42">
        <v>3950102</v>
      </c>
      <c r="G308" s="42" t="s">
        <v>74</v>
      </c>
      <c r="H308" s="42">
        <v>360</v>
      </c>
      <c r="I308" s="42">
        <v>148</v>
      </c>
      <c r="J308" s="52">
        <v>0.13402777777777777</v>
      </c>
    </row>
    <row r="309" spans="1:10" s="42" customFormat="1" ht="15" x14ac:dyDescent="0.25">
      <c r="A309" s="42" t="s">
        <v>73</v>
      </c>
      <c r="B309" s="42">
        <v>127128</v>
      </c>
      <c r="C309" s="42">
        <v>162</v>
      </c>
      <c r="D309" s="42" t="s">
        <v>11</v>
      </c>
      <c r="E309" s="42">
        <v>16623</v>
      </c>
      <c r="F309" s="42">
        <v>3950102</v>
      </c>
      <c r="G309" s="42" t="s">
        <v>74</v>
      </c>
      <c r="H309" s="42">
        <v>380</v>
      </c>
      <c r="I309" s="42">
        <v>80</v>
      </c>
      <c r="J309" s="52">
        <v>7.2222222222222229E-2</v>
      </c>
    </row>
    <row r="310" spans="1:10" s="42" customFormat="1" ht="15" x14ac:dyDescent="0.25">
      <c r="A310" s="42" t="s">
        <v>73</v>
      </c>
      <c r="B310" s="42">
        <v>127128</v>
      </c>
      <c r="C310" s="42">
        <v>164</v>
      </c>
      <c r="D310" s="42" t="s">
        <v>11</v>
      </c>
      <c r="E310" s="42">
        <v>16623</v>
      </c>
      <c r="F310" s="42">
        <v>3950102</v>
      </c>
      <c r="G310" s="42" t="s">
        <v>74</v>
      </c>
      <c r="H310" s="42">
        <v>400</v>
      </c>
      <c r="I310" s="42">
        <v>20</v>
      </c>
      <c r="J310" s="52">
        <v>1.8055555555555557E-2</v>
      </c>
    </row>
    <row r="311" spans="1:10" s="42" customFormat="1" ht="15" x14ac:dyDescent="0.25">
      <c r="A311" s="42" t="s">
        <v>73</v>
      </c>
      <c r="B311" s="42">
        <v>127130</v>
      </c>
      <c r="C311" s="42">
        <v>160</v>
      </c>
      <c r="D311" s="42" t="s">
        <v>11</v>
      </c>
      <c r="E311" s="42">
        <v>16622</v>
      </c>
      <c r="F311" s="42">
        <v>3950102</v>
      </c>
      <c r="G311" s="42" t="s">
        <v>74</v>
      </c>
      <c r="H311" s="42">
        <v>360</v>
      </c>
      <c r="I311" s="42">
        <v>68</v>
      </c>
      <c r="J311" s="52">
        <v>6.1805555555555558E-2</v>
      </c>
    </row>
    <row r="312" spans="1:10" s="42" customFormat="1" ht="15" x14ac:dyDescent="0.25">
      <c r="A312" s="42" t="s">
        <v>73</v>
      </c>
      <c r="B312" s="42">
        <v>127130</v>
      </c>
      <c r="C312" s="42">
        <v>162</v>
      </c>
      <c r="D312" s="42" t="s">
        <v>11</v>
      </c>
      <c r="E312" s="42">
        <v>16622</v>
      </c>
      <c r="F312" s="42">
        <v>3950102</v>
      </c>
      <c r="G312" s="42" t="s">
        <v>74</v>
      </c>
      <c r="H312" s="42">
        <v>380</v>
      </c>
      <c r="I312" s="42">
        <v>40</v>
      </c>
      <c r="J312" s="52">
        <v>3.6111111111111115E-2</v>
      </c>
    </row>
    <row r="313" spans="1:10" s="42" customFormat="1" ht="15" x14ac:dyDescent="0.25">
      <c r="A313" s="42" t="s">
        <v>73</v>
      </c>
      <c r="B313" s="42">
        <v>127130</v>
      </c>
      <c r="C313" s="42">
        <v>164</v>
      </c>
      <c r="D313" s="42" t="s">
        <v>11</v>
      </c>
      <c r="E313" s="42">
        <v>16622</v>
      </c>
      <c r="F313" s="42">
        <v>3950102</v>
      </c>
      <c r="G313" s="42" t="s">
        <v>74</v>
      </c>
      <c r="H313" s="42">
        <v>400</v>
      </c>
      <c r="I313" s="42">
        <v>12</v>
      </c>
      <c r="J313" s="52">
        <v>1.1111111111111112E-2</v>
      </c>
    </row>
    <row r="314" spans="1:10" s="42" customFormat="1" ht="15" x14ac:dyDescent="0.25">
      <c r="A314" s="42" t="s">
        <v>73</v>
      </c>
      <c r="B314" s="42">
        <v>127131</v>
      </c>
      <c r="C314" s="42">
        <v>160</v>
      </c>
      <c r="D314" s="42" t="s">
        <v>11</v>
      </c>
      <c r="E314" s="42">
        <v>16622</v>
      </c>
      <c r="F314" s="42">
        <v>3950102</v>
      </c>
      <c r="G314" s="42" t="s">
        <v>74</v>
      </c>
      <c r="H314" s="42">
        <v>360</v>
      </c>
      <c r="I314" s="42">
        <v>108</v>
      </c>
      <c r="J314" s="52">
        <v>9.7916666666666666E-2</v>
      </c>
    </row>
    <row r="315" spans="1:10" s="42" customFormat="1" ht="15" x14ac:dyDescent="0.25">
      <c r="A315" s="42" t="s">
        <v>73</v>
      </c>
      <c r="B315" s="42">
        <v>127131</v>
      </c>
      <c r="C315" s="42">
        <v>162</v>
      </c>
      <c r="D315" s="42" t="s">
        <v>11</v>
      </c>
      <c r="E315" s="42">
        <v>16622</v>
      </c>
      <c r="F315" s="42">
        <v>3950102</v>
      </c>
      <c r="G315" s="42" t="s">
        <v>74</v>
      </c>
      <c r="H315" s="42">
        <v>380</v>
      </c>
      <c r="I315" s="42">
        <v>64</v>
      </c>
      <c r="J315" s="52">
        <v>5.7638888888888885E-2</v>
      </c>
    </row>
    <row r="316" spans="1:10" s="42" customFormat="1" ht="15" x14ac:dyDescent="0.25">
      <c r="A316" s="42" t="s">
        <v>73</v>
      </c>
      <c r="B316" s="42">
        <v>127131</v>
      </c>
      <c r="C316" s="42">
        <v>164</v>
      </c>
      <c r="D316" s="42" t="s">
        <v>11</v>
      </c>
      <c r="E316" s="42">
        <v>16622</v>
      </c>
      <c r="F316" s="42">
        <v>3950102</v>
      </c>
      <c r="G316" s="42" t="s">
        <v>74</v>
      </c>
      <c r="H316" s="42">
        <v>400</v>
      </c>
      <c r="I316" s="42">
        <v>12</v>
      </c>
      <c r="J316" s="52">
        <v>1.1111111111111112E-2</v>
      </c>
    </row>
    <row r="317" spans="1:10" s="42" customFormat="1" ht="15" x14ac:dyDescent="0.25">
      <c r="A317" s="42" t="s">
        <v>75</v>
      </c>
      <c r="B317" s="42">
        <v>127584</v>
      </c>
      <c r="C317" s="42">
        <v>17</v>
      </c>
      <c r="D317" s="42" t="s">
        <v>11</v>
      </c>
      <c r="E317" s="42">
        <v>1620</v>
      </c>
      <c r="F317" s="42">
        <v>8369204</v>
      </c>
      <c r="G317" s="42" t="s">
        <v>16</v>
      </c>
      <c r="H317" s="42">
        <v>360</v>
      </c>
      <c r="I317" s="42">
        <v>364</v>
      </c>
      <c r="J317" s="52">
        <v>7.2916666666666671E-2</v>
      </c>
    </row>
    <row r="318" spans="1:10" s="42" customFormat="1" ht="15" x14ac:dyDescent="0.25">
      <c r="A318" s="42" t="s">
        <v>75</v>
      </c>
      <c r="B318" s="42">
        <v>128524</v>
      </c>
      <c r="C318" s="42">
        <v>19</v>
      </c>
      <c r="D318" s="42" t="s">
        <v>11</v>
      </c>
      <c r="E318" s="42">
        <v>16541</v>
      </c>
      <c r="F318" s="42">
        <v>8369204</v>
      </c>
      <c r="G318" s="42" t="s">
        <v>16</v>
      </c>
      <c r="H318" s="42">
        <v>360</v>
      </c>
      <c r="I318" s="42">
        <v>648</v>
      </c>
      <c r="J318" s="52">
        <v>0.12986111111111112</v>
      </c>
    </row>
    <row r="319" spans="1:10" s="42" customFormat="1" ht="15" x14ac:dyDescent="0.25">
      <c r="A319" s="42" t="s">
        <v>75</v>
      </c>
      <c r="B319" s="42">
        <v>141275</v>
      </c>
      <c r="C319" s="42">
        <v>27</v>
      </c>
      <c r="D319" s="42" t="s">
        <v>11</v>
      </c>
      <c r="E319" s="42">
        <v>16581</v>
      </c>
      <c r="F319" s="42">
        <v>2726804</v>
      </c>
      <c r="G319" s="42" t="s">
        <v>16</v>
      </c>
      <c r="H319" s="42">
        <v>360</v>
      </c>
      <c r="I319" s="42">
        <v>20</v>
      </c>
      <c r="J319" s="52">
        <v>4.1666666666666666E-3</v>
      </c>
    </row>
    <row r="320" spans="1:10" s="42" customFormat="1" ht="15" x14ac:dyDescent="0.25">
      <c r="A320" s="42" t="s">
        <v>75</v>
      </c>
      <c r="B320" s="42">
        <v>141568</v>
      </c>
      <c r="C320" s="42">
        <v>28</v>
      </c>
      <c r="D320" s="42" t="s">
        <v>11</v>
      </c>
      <c r="E320" s="42">
        <v>1457</v>
      </c>
      <c r="F320" s="42">
        <v>2726804</v>
      </c>
      <c r="G320" s="42" t="s">
        <v>16</v>
      </c>
      <c r="H320" s="42">
        <v>360</v>
      </c>
      <c r="I320" s="42">
        <v>234</v>
      </c>
      <c r="J320" s="52">
        <v>4.7222222222222221E-2</v>
      </c>
    </row>
    <row r="321" spans="1:10" s="42" customFormat="1" ht="15" x14ac:dyDescent="0.25">
      <c r="A321" s="42" t="s">
        <v>75</v>
      </c>
      <c r="B321" s="42">
        <v>141570</v>
      </c>
      <c r="C321" s="42">
        <v>27</v>
      </c>
      <c r="D321" s="42" t="s">
        <v>11</v>
      </c>
      <c r="E321" s="42">
        <v>16311</v>
      </c>
      <c r="F321" s="42">
        <v>2726804</v>
      </c>
      <c r="G321" s="42" t="s">
        <v>16</v>
      </c>
      <c r="H321" s="42">
        <v>360</v>
      </c>
      <c r="I321" s="42">
        <v>240</v>
      </c>
      <c r="J321" s="52">
        <v>4.7916666666666663E-2</v>
      </c>
    </row>
    <row r="322" spans="1:10" s="42" customFormat="1" ht="15" x14ac:dyDescent="0.25">
      <c r="A322" s="42" t="s">
        <v>75</v>
      </c>
      <c r="B322" s="42">
        <v>141586</v>
      </c>
      <c r="C322" s="42">
        <v>27</v>
      </c>
      <c r="D322" s="42" t="s">
        <v>11</v>
      </c>
      <c r="E322" s="42">
        <v>1086</v>
      </c>
      <c r="F322" s="42">
        <v>8370104</v>
      </c>
      <c r="G322" s="42" t="s">
        <v>16</v>
      </c>
      <c r="H322" s="42">
        <v>360</v>
      </c>
      <c r="I322" s="42">
        <v>212</v>
      </c>
      <c r="J322" s="52">
        <v>4.2361111111111106E-2</v>
      </c>
    </row>
    <row r="323" spans="1:10" s="42" customFormat="1" ht="15" x14ac:dyDescent="0.25">
      <c r="A323" s="42" t="s">
        <v>75</v>
      </c>
      <c r="B323" s="42">
        <v>141587</v>
      </c>
      <c r="C323" s="42">
        <v>27</v>
      </c>
      <c r="D323" s="42" t="s">
        <v>11</v>
      </c>
      <c r="E323" s="42">
        <v>1674</v>
      </c>
      <c r="F323" s="42">
        <v>8370104</v>
      </c>
      <c r="G323" s="42" t="s">
        <v>16</v>
      </c>
      <c r="H323" s="42">
        <v>360</v>
      </c>
      <c r="I323" s="42">
        <v>430</v>
      </c>
      <c r="J323" s="52">
        <v>8.6111111111111124E-2</v>
      </c>
    </row>
    <row r="324" spans="1:10" s="42" customFormat="1" ht="15" x14ac:dyDescent="0.25">
      <c r="A324" s="42" t="s">
        <v>75</v>
      </c>
      <c r="B324" s="42">
        <v>141588</v>
      </c>
      <c r="C324" s="42">
        <v>27</v>
      </c>
      <c r="D324" s="42" t="s">
        <v>11</v>
      </c>
      <c r="E324" s="42">
        <v>16558</v>
      </c>
      <c r="F324" s="42">
        <v>8370104</v>
      </c>
      <c r="G324" s="42" t="s">
        <v>16</v>
      </c>
      <c r="H324" s="42">
        <v>360</v>
      </c>
      <c r="I324" s="42">
        <v>318</v>
      </c>
      <c r="J324" s="52">
        <v>6.3888888888888884E-2</v>
      </c>
    </row>
    <row r="325" spans="1:10" s="42" customFormat="1" ht="15" x14ac:dyDescent="0.25">
      <c r="A325" s="42" t="s">
        <v>75</v>
      </c>
      <c r="B325" s="42">
        <v>141589</v>
      </c>
      <c r="C325" s="42">
        <v>27</v>
      </c>
      <c r="D325" s="42" t="s">
        <v>11</v>
      </c>
      <c r="E325" s="42">
        <v>1457</v>
      </c>
      <c r="F325" s="42">
        <v>8370104</v>
      </c>
      <c r="G325" s="42" t="s">
        <v>16</v>
      </c>
      <c r="H325" s="42">
        <v>360</v>
      </c>
      <c r="I325" s="42">
        <v>338</v>
      </c>
      <c r="J325" s="52">
        <v>6.805555555555555E-2</v>
      </c>
    </row>
    <row r="326" spans="1:10" s="42" customFormat="1" ht="15" x14ac:dyDescent="0.25">
      <c r="A326" s="42" t="s">
        <v>75</v>
      </c>
      <c r="B326" s="42">
        <v>141590</v>
      </c>
      <c r="C326" s="42">
        <v>26</v>
      </c>
      <c r="D326" s="42" t="s">
        <v>11</v>
      </c>
      <c r="E326" s="42">
        <v>1674</v>
      </c>
      <c r="F326" s="42">
        <v>8370804</v>
      </c>
      <c r="G326" s="42" t="s">
        <v>16</v>
      </c>
      <c r="H326" s="42">
        <v>360</v>
      </c>
      <c r="I326" s="42">
        <v>416</v>
      </c>
      <c r="J326" s="52">
        <v>8.3333333333333329E-2</v>
      </c>
    </row>
    <row r="327" spans="1:10" s="42" customFormat="1" ht="15" x14ac:dyDescent="0.25">
      <c r="A327" s="42" t="s">
        <v>75</v>
      </c>
      <c r="B327" s="42">
        <v>141591</v>
      </c>
      <c r="C327" s="42">
        <v>26</v>
      </c>
      <c r="D327" s="42" t="s">
        <v>11</v>
      </c>
      <c r="E327" s="42">
        <v>1572</v>
      </c>
      <c r="F327" s="42">
        <v>8370804</v>
      </c>
      <c r="G327" s="42" t="s">
        <v>16</v>
      </c>
      <c r="H327" s="42">
        <v>360</v>
      </c>
      <c r="I327" s="42">
        <v>86</v>
      </c>
      <c r="J327" s="52">
        <v>1.7361111111111112E-2</v>
      </c>
    </row>
    <row r="328" spans="1:10" s="42" customFormat="1" ht="15" x14ac:dyDescent="0.25">
      <c r="A328" s="42" t="s">
        <v>75</v>
      </c>
      <c r="B328" s="42">
        <v>141914</v>
      </c>
      <c r="C328" s="42">
        <v>20</v>
      </c>
      <c r="D328" s="42" t="s">
        <v>11</v>
      </c>
      <c r="E328" s="42">
        <v>16332</v>
      </c>
      <c r="F328" s="42">
        <v>8366604</v>
      </c>
      <c r="G328" s="42" t="s">
        <v>16</v>
      </c>
      <c r="H328" s="42">
        <v>360</v>
      </c>
      <c r="I328" s="42">
        <v>344</v>
      </c>
      <c r="J328" s="52">
        <v>6.8749999999999992E-2</v>
      </c>
    </row>
    <row r="329" spans="1:10" s="42" customFormat="1" ht="15" x14ac:dyDescent="0.25">
      <c r="A329" s="42" t="s">
        <v>75</v>
      </c>
      <c r="B329" s="42">
        <v>141915</v>
      </c>
      <c r="C329" s="42">
        <v>5</v>
      </c>
      <c r="D329" s="42" t="s">
        <v>11</v>
      </c>
      <c r="E329" s="42">
        <v>16336</v>
      </c>
      <c r="F329" s="42">
        <v>8366604</v>
      </c>
      <c r="G329" s="42" t="s">
        <v>16</v>
      </c>
      <c r="H329" s="42">
        <v>360</v>
      </c>
      <c r="I329" s="42">
        <v>10</v>
      </c>
      <c r="J329" s="52">
        <v>2.0833333333333333E-3</v>
      </c>
    </row>
    <row r="330" spans="1:10" s="42" customFormat="1" ht="15" x14ac:dyDescent="0.25">
      <c r="A330" s="42" t="s">
        <v>75</v>
      </c>
      <c r="B330" s="42">
        <v>141924</v>
      </c>
      <c r="C330" s="42">
        <v>32</v>
      </c>
      <c r="D330" s="42" t="s">
        <v>11</v>
      </c>
      <c r="E330" s="42">
        <v>1457</v>
      </c>
      <c r="F330" s="42">
        <v>8370804</v>
      </c>
      <c r="G330" s="42" t="s">
        <v>16</v>
      </c>
      <c r="H330" s="42">
        <v>360</v>
      </c>
      <c r="I330" s="42">
        <v>281</v>
      </c>
      <c r="J330" s="52">
        <v>5.6250000000000001E-2</v>
      </c>
    </row>
    <row r="331" spans="1:10" s="42" customFormat="1" ht="15" x14ac:dyDescent="0.25">
      <c r="A331" s="42" t="s">
        <v>76</v>
      </c>
      <c r="B331" s="42">
        <v>127127</v>
      </c>
      <c r="C331" s="42">
        <v>64</v>
      </c>
      <c r="D331" s="42" t="s">
        <v>11</v>
      </c>
      <c r="E331" s="42">
        <v>1867</v>
      </c>
      <c r="F331" s="42">
        <v>3950136</v>
      </c>
      <c r="G331" s="42" t="s">
        <v>77</v>
      </c>
      <c r="H331" s="42">
        <v>360</v>
      </c>
      <c r="I331" s="42">
        <v>120</v>
      </c>
      <c r="J331" s="52">
        <v>8.9583333333333334E-2</v>
      </c>
    </row>
    <row r="332" spans="1:10" s="42" customFormat="1" ht="15" x14ac:dyDescent="0.25">
      <c r="A332" s="42" t="s">
        <v>76</v>
      </c>
      <c r="B332" s="42">
        <v>127128</v>
      </c>
      <c r="C332" s="42">
        <v>64</v>
      </c>
      <c r="D332" s="42" t="s">
        <v>11</v>
      </c>
      <c r="E332" s="42">
        <v>1867</v>
      </c>
      <c r="F332" s="42">
        <v>3950136</v>
      </c>
      <c r="G332" s="42" t="s">
        <v>77</v>
      </c>
      <c r="H332" s="42">
        <v>360</v>
      </c>
      <c r="I332" s="42">
        <v>148</v>
      </c>
      <c r="J332" s="52">
        <v>0.11041666666666666</v>
      </c>
    </row>
    <row r="333" spans="1:10" s="42" customFormat="1" ht="15" x14ac:dyDescent="0.25">
      <c r="A333" s="42" t="s">
        <v>76</v>
      </c>
      <c r="B333" s="42">
        <v>127128</v>
      </c>
      <c r="C333" s="42">
        <v>66</v>
      </c>
      <c r="D333" s="42" t="s">
        <v>11</v>
      </c>
      <c r="E333" s="42">
        <v>1867</v>
      </c>
      <c r="F333" s="42">
        <v>3950136</v>
      </c>
      <c r="G333" s="42" t="s">
        <v>77</v>
      </c>
      <c r="H333" s="42">
        <v>380</v>
      </c>
      <c r="I333" s="42">
        <v>80</v>
      </c>
      <c r="J333" s="52">
        <v>6.1805555555555558E-2</v>
      </c>
    </row>
    <row r="334" spans="1:10" s="42" customFormat="1" ht="15" x14ac:dyDescent="0.25">
      <c r="A334" s="42" t="s">
        <v>76</v>
      </c>
      <c r="B334" s="42">
        <v>127129</v>
      </c>
      <c r="C334" s="42">
        <v>66</v>
      </c>
      <c r="D334" s="42" t="s">
        <v>11</v>
      </c>
      <c r="E334" s="42">
        <v>1867</v>
      </c>
      <c r="F334" s="42">
        <v>3950136</v>
      </c>
      <c r="G334" s="42" t="s">
        <v>77</v>
      </c>
      <c r="H334" s="42">
        <v>380</v>
      </c>
      <c r="I334" s="42">
        <v>48</v>
      </c>
      <c r="J334" s="52">
        <v>3.6805555555555557E-2</v>
      </c>
    </row>
    <row r="335" spans="1:10" s="42" customFormat="1" ht="15" x14ac:dyDescent="0.25">
      <c r="A335" s="42" t="s">
        <v>76</v>
      </c>
      <c r="B335" s="42">
        <v>127131</v>
      </c>
      <c r="C335" s="42">
        <v>64</v>
      </c>
      <c r="D335" s="42" t="s">
        <v>11</v>
      </c>
      <c r="E335" s="42">
        <v>1998</v>
      </c>
      <c r="F335" s="42">
        <v>3950136</v>
      </c>
      <c r="G335" s="42" t="s">
        <v>77</v>
      </c>
      <c r="H335" s="42">
        <v>360</v>
      </c>
      <c r="I335" s="42">
        <v>36</v>
      </c>
      <c r="J335" s="52">
        <v>2.7083333333333334E-2</v>
      </c>
    </row>
    <row r="336" spans="1:10" s="42" customFormat="1" ht="15" x14ac:dyDescent="0.25">
      <c r="A336" s="42" t="s">
        <v>76</v>
      </c>
      <c r="B336" s="42">
        <v>127135</v>
      </c>
      <c r="C336" s="42">
        <v>64</v>
      </c>
      <c r="D336" s="42" t="s">
        <v>11</v>
      </c>
      <c r="E336" s="42">
        <v>1867</v>
      </c>
      <c r="F336" s="42">
        <v>3950136</v>
      </c>
      <c r="G336" s="42" t="s">
        <v>77</v>
      </c>
      <c r="H336" s="42">
        <v>360</v>
      </c>
      <c r="I336" s="42">
        <v>48</v>
      </c>
      <c r="J336" s="52">
        <v>3.5416666666666666E-2</v>
      </c>
    </row>
    <row r="337" spans="1:10" s="42" customFormat="1" ht="15" x14ac:dyDescent="0.25">
      <c r="A337" s="42" t="s">
        <v>76</v>
      </c>
      <c r="B337" s="42">
        <v>127135</v>
      </c>
      <c r="C337" s="42">
        <v>66</v>
      </c>
      <c r="D337" s="42" t="s">
        <v>11</v>
      </c>
      <c r="E337" s="42">
        <v>1867</v>
      </c>
      <c r="F337" s="42">
        <v>3950136</v>
      </c>
      <c r="G337" s="42" t="s">
        <v>77</v>
      </c>
      <c r="H337" s="42">
        <v>380</v>
      </c>
      <c r="I337" s="42">
        <v>28</v>
      </c>
      <c r="J337" s="52">
        <v>2.1527777777777781E-2</v>
      </c>
    </row>
    <row r="338" spans="1:10" s="42" customFormat="1" ht="15" x14ac:dyDescent="0.25">
      <c r="A338" s="42" t="s">
        <v>78</v>
      </c>
      <c r="B338" s="42">
        <v>127196</v>
      </c>
      <c r="C338" s="42">
        <v>15</v>
      </c>
      <c r="D338" s="42" t="s">
        <v>11</v>
      </c>
      <c r="E338" s="42">
        <v>16418</v>
      </c>
      <c r="F338" s="42">
        <v>8369204</v>
      </c>
      <c r="G338" s="42" t="s">
        <v>16</v>
      </c>
      <c r="H338" s="42">
        <v>394</v>
      </c>
      <c r="I338" s="42">
        <v>70</v>
      </c>
      <c r="J338" s="52">
        <v>2.8472222222222222E-2</v>
      </c>
    </row>
    <row r="339" spans="1:10" s="42" customFormat="1" ht="15" x14ac:dyDescent="0.25">
      <c r="A339" s="42" t="s">
        <v>78</v>
      </c>
      <c r="B339" s="42">
        <v>127584</v>
      </c>
      <c r="C339" s="42">
        <v>15</v>
      </c>
      <c r="D339" s="42" t="s">
        <v>11</v>
      </c>
      <c r="E339" s="42">
        <v>1620</v>
      </c>
      <c r="F339" s="42">
        <v>8369204</v>
      </c>
      <c r="G339" s="42" t="s">
        <v>16</v>
      </c>
      <c r="H339" s="42">
        <v>334</v>
      </c>
      <c r="I339" s="42">
        <v>90</v>
      </c>
      <c r="J339" s="52">
        <v>0</v>
      </c>
    </row>
    <row r="340" spans="1:10" s="42" customFormat="1" ht="15" x14ac:dyDescent="0.25">
      <c r="A340" s="42" t="s">
        <v>78</v>
      </c>
      <c r="B340" s="42">
        <v>127584</v>
      </c>
      <c r="C340" s="42">
        <v>15</v>
      </c>
      <c r="D340" s="42" t="s">
        <v>11</v>
      </c>
      <c r="E340" s="42">
        <v>1620</v>
      </c>
      <c r="F340" s="42">
        <v>8369204</v>
      </c>
      <c r="G340" s="42" t="s">
        <v>16</v>
      </c>
      <c r="H340" s="42">
        <v>394</v>
      </c>
      <c r="I340" s="42">
        <v>108</v>
      </c>
      <c r="J340" s="52">
        <v>4.3750000000000004E-2</v>
      </c>
    </row>
    <row r="341" spans="1:10" s="42" customFormat="1" ht="15" x14ac:dyDescent="0.25">
      <c r="A341" s="42" t="s">
        <v>78</v>
      </c>
      <c r="B341" s="42">
        <v>127585</v>
      </c>
      <c r="C341" s="42">
        <v>15</v>
      </c>
      <c r="D341" s="42" t="s">
        <v>11</v>
      </c>
      <c r="E341" s="42">
        <v>16367</v>
      </c>
      <c r="F341" s="42">
        <v>8369204</v>
      </c>
      <c r="G341" s="42" t="s">
        <v>16</v>
      </c>
      <c r="H341" s="42">
        <v>334</v>
      </c>
      <c r="I341" s="42">
        <v>56</v>
      </c>
      <c r="J341" s="52">
        <v>0</v>
      </c>
    </row>
    <row r="342" spans="1:10" s="42" customFormat="1" ht="15" x14ac:dyDescent="0.25">
      <c r="A342" s="42" t="s">
        <v>78</v>
      </c>
      <c r="B342" s="42">
        <v>127585</v>
      </c>
      <c r="C342" s="42">
        <v>15</v>
      </c>
      <c r="D342" s="42" t="s">
        <v>11</v>
      </c>
      <c r="E342" s="42">
        <v>16367</v>
      </c>
      <c r="F342" s="42">
        <v>8369204</v>
      </c>
      <c r="G342" s="42" t="s">
        <v>16</v>
      </c>
      <c r="H342" s="42">
        <v>394</v>
      </c>
      <c r="I342" s="42">
        <v>98</v>
      </c>
      <c r="J342" s="52">
        <v>3.9583333333333331E-2</v>
      </c>
    </row>
    <row r="343" spans="1:10" s="42" customFormat="1" ht="15" x14ac:dyDescent="0.25">
      <c r="A343" s="42" t="s">
        <v>78</v>
      </c>
      <c r="B343" s="42">
        <v>128524</v>
      </c>
      <c r="C343" s="42">
        <v>17</v>
      </c>
      <c r="D343" s="42" t="s">
        <v>11</v>
      </c>
      <c r="E343" s="42">
        <v>16541</v>
      </c>
      <c r="F343" s="42">
        <v>8369204</v>
      </c>
      <c r="G343" s="42" t="s">
        <v>16</v>
      </c>
      <c r="H343" s="42">
        <v>334</v>
      </c>
      <c r="I343" s="42">
        <v>158</v>
      </c>
      <c r="J343" s="52">
        <v>0</v>
      </c>
    </row>
    <row r="344" spans="1:10" s="42" customFormat="1" ht="15" x14ac:dyDescent="0.25">
      <c r="A344" s="42" t="s">
        <v>78</v>
      </c>
      <c r="B344" s="42">
        <v>128524</v>
      </c>
      <c r="C344" s="42">
        <v>17</v>
      </c>
      <c r="D344" s="42" t="s">
        <v>11</v>
      </c>
      <c r="E344" s="42">
        <v>16541</v>
      </c>
      <c r="F344" s="42">
        <v>8369204</v>
      </c>
      <c r="G344" s="42" t="s">
        <v>16</v>
      </c>
      <c r="H344" s="42">
        <v>394</v>
      </c>
      <c r="I344" s="42">
        <v>314</v>
      </c>
      <c r="J344" s="52">
        <v>0.12708333333333333</v>
      </c>
    </row>
    <row r="345" spans="1:10" s="42" customFormat="1" ht="15" x14ac:dyDescent="0.25">
      <c r="A345" s="42" t="s">
        <v>78</v>
      </c>
      <c r="B345" s="42">
        <v>128525</v>
      </c>
      <c r="C345" s="42">
        <v>18</v>
      </c>
      <c r="D345" s="42" t="s">
        <v>11</v>
      </c>
      <c r="E345" s="42">
        <v>1003</v>
      </c>
      <c r="F345" s="42">
        <v>8369204</v>
      </c>
      <c r="G345" s="42" t="s">
        <v>16</v>
      </c>
      <c r="H345" s="42">
        <v>334</v>
      </c>
      <c r="I345" s="42">
        <v>218</v>
      </c>
      <c r="J345" s="52">
        <v>0</v>
      </c>
    </row>
    <row r="346" spans="1:10" s="42" customFormat="1" ht="15" x14ac:dyDescent="0.25">
      <c r="A346" s="42" t="s">
        <v>78</v>
      </c>
      <c r="B346" s="42">
        <v>128525</v>
      </c>
      <c r="C346" s="42">
        <v>18</v>
      </c>
      <c r="D346" s="42" t="s">
        <v>11</v>
      </c>
      <c r="E346" s="42">
        <v>1003</v>
      </c>
      <c r="F346" s="42">
        <v>8369204</v>
      </c>
      <c r="G346" s="42" t="s">
        <v>16</v>
      </c>
      <c r="H346" s="42">
        <v>394</v>
      </c>
      <c r="I346" s="42">
        <v>521</v>
      </c>
      <c r="J346" s="52">
        <v>0.21041666666666667</v>
      </c>
    </row>
    <row r="347" spans="1:10" s="42" customFormat="1" ht="15" x14ac:dyDescent="0.25">
      <c r="A347" s="42" t="s">
        <v>78</v>
      </c>
      <c r="B347" s="42">
        <v>141567</v>
      </c>
      <c r="C347" s="42">
        <v>26</v>
      </c>
      <c r="D347" s="42" t="s">
        <v>11</v>
      </c>
      <c r="E347" s="42">
        <v>1003</v>
      </c>
      <c r="F347" s="42">
        <v>2726804</v>
      </c>
      <c r="G347" s="42" t="s">
        <v>16</v>
      </c>
      <c r="H347" s="42">
        <v>334</v>
      </c>
      <c r="I347" s="42">
        <v>188</v>
      </c>
      <c r="J347" s="52">
        <v>0</v>
      </c>
    </row>
    <row r="348" spans="1:10" s="42" customFormat="1" ht="15" x14ac:dyDescent="0.25">
      <c r="A348" s="42" t="s">
        <v>78</v>
      </c>
      <c r="B348" s="42">
        <v>141567</v>
      </c>
      <c r="C348" s="42">
        <v>26</v>
      </c>
      <c r="D348" s="42" t="s">
        <v>11</v>
      </c>
      <c r="E348" s="42">
        <v>1003</v>
      </c>
      <c r="F348" s="42">
        <v>2726804</v>
      </c>
      <c r="G348" s="42" t="s">
        <v>16</v>
      </c>
      <c r="H348" s="42">
        <v>394</v>
      </c>
      <c r="I348" s="42">
        <v>214</v>
      </c>
      <c r="J348" s="52">
        <v>8.6805555555555566E-2</v>
      </c>
    </row>
    <row r="349" spans="1:10" s="42" customFormat="1" ht="15" x14ac:dyDescent="0.25">
      <c r="A349" s="42" t="s">
        <v>78</v>
      </c>
      <c r="B349" s="42">
        <v>141584</v>
      </c>
      <c r="C349" s="42">
        <v>25</v>
      </c>
      <c r="D349" s="42" t="s">
        <v>11</v>
      </c>
      <c r="E349" s="42">
        <v>1003</v>
      </c>
      <c r="F349" s="42">
        <v>8370104</v>
      </c>
      <c r="G349" s="42" t="s">
        <v>16</v>
      </c>
      <c r="H349" s="42">
        <v>334</v>
      </c>
      <c r="I349" s="42">
        <v>210</v>
      </c>
      <c r="J349" s="52">
        <v>0</v>
      </c>
    </row>
    <row r="350" spans="1:10" s="42" customFormat="1" ht="15" x14ac:dyDescent="0.25">
      <c r="A350" s="42" t="s">
        <v>78</v>
      </c>
      <c r="B350" s="42">
        <v>141584</v>
      </c>
      <c r="C350" s="42">
        <v>25</v>
      </c>
      <c r="D350" s="42" t="s">
        <v>11</v>
      </c>
      <c r="E350" s="42">
        <v>1003</v>
      </c>
      <c r="F350" s="42">
        <v>8370104</v>
      </c>
      <c r="G350" s="42" t="s">
        <v>16</v>
      </c>
      <c r="H350" s="42">
        <v>394</v>
      </c>
      <c r="I350" s="42">
        <v>228</v>
      </c>
      <c r="J350" s="52">
        <v>9.2361111111111116E-2</v>
      </c>
    </row>
    <row r="351" spans="1:10" s="42" customFormat="1" ht="15" x14ac:dyDescent="0.25">
      <c r="A351" s="42" t="s">
        <v>78</v>
      </c>
      <c r="B351" s="42">
        <v>141925</v>
      </c>
      <c r="C351" s="42">
        <v>30</v>
      </c>
      <c r="D351" s="42" t="s">
        <v>11</v>
      </c>
      <c r="E351" s="42">
        <v>1003</v>
      </c>
      <c r="F351" s="42">
        <v>8370804</v>
      </c>
      <c r="G351" s="42" t="s">
        <v>16</v>
      </c>
      <c r="H351" s="42">
        <v>334</v>
      </c>
      <c r="I351" s="42">
        <v>227</v>
      </c>
      <c r="J351" s="52">
        <v>0</v>
      </c>
    </row>
    <row r="352" spans="1:10" s="42" customFormat="1" ht="15" x14ac:dyDescent="0.25">
      <c r="A352" s="42" t="s">
        <v>78</v>
      </c>
      <c r="B352" s="42">
        <v>141925</v>
      </c>
      <c r="C352" s="42">
        <v>30</v>
      </c>
      <c r="D352" s="42" t="s">
        <v>11</v>
      </c>
      <c r="E352" s="42">
        <v>1003</v>
      </c>
      <c r="F352" s="42">
        <v>8370804</v>
      </c>
      <c r="G352" s="42" t="s">
        <v>16</v>
      </c>
      <c r="H352" s="42">
        <v>394</v>
      </c>
      <c r="I352" s="42">
        <v>375</v>
      </c>
      <c r="J352" s="52">
        <v>0.15138888888888888</v>
      </c>
    </row>
    <row r="353" spans="1:10" s="42" customFormat="1" ht="15" x14ac:dyDescent="0.25">
      <c r="A353" s="42" t="s">
        <v>78</v>
      </c>
      <c r="B353" s="42">
        <v>146069</v>
      </c>
      <c r="C353" s="42">
        <v>24</v>
      </c>
      <c r="D353" s="42" t="s">
        <v>11</v>
      </c>
      <c r="E353" s="42">
        <v>6008</v>
      </c>
      <c r="F353" s="42">
        <v>2332202</v>
      </c>
      <c r="G353" s="42" t="s">
        <v>55</v>
      </c>
      <c r="H353" s="42">
        <v>280</v>
      </c>
      <c r="I353" s="42">
        <v>33</v>
      </c>
      <c r="J353" s="52">
        <v>2.361111111111111E-2</v>
      </c>
    </row>
    <row r="354" spans="1:10" s="42" customFormat="1" ht="15" x14ac:dyDescent="0.25">
      <c r="A354" s="42" t="s">
        <v>79</v>
      </c>
      <c r="B354" s="42">
        <v>133533</v>
      </c>
      <c r="C354" s="42">
        <v>22</v>
      </c>
      <c r="D354" s="42" t="s">
        <v>11</v>
      </c>
      <c r="E354" s="42">
        <v>19746</v>
      </c>
      <c r="F354" s="42">
        <v>3626102</v>
      </c>
      <c r="G354" s="42" t="s">
        <v>39</v>
      </c>
      <c r="H354" s="42">
        <v>250</v>
      </c>
      <c r="I354" s="42">
        <v>84</v>
      </c>
      <c r="J354" s="52">
        <v>7.013888888888889E-2</v>
      </c>
    </row>
    <row r="355" spans="1:10" s="42" customFormat="1" ht="15" x14ac:dyDescent="0.25">
      <c r="A355" s="42" t="s">
        <v>79</v>
      </c>
      <c r="B355" s="42">
        <v>133535</v>
      </c>
      <c r="C355" s="42">
        <v>22</v>
      </c>
      <c r="D355" s="42" t="s">
        <v>11</v>
      </c>
      <c r="E355" s="42">
        <v>30007</v>
      </c>
      <c r="F355" s="42">
        <v>3626102</v>
      </c>
      <c r="G355" s="42" t="s">
        <v>39</v>
      </c>
      <c r="H355" s="42">
        <v>250</v>
      </c>
      <c r="I355" s="42">
        <v>192</v>
      </c>
      <c r="J355" s="52">
        <v>0.15972222222222224</v>
      </c>
    </row>
    <row r="356" spans="1:10" s="42" customFormat="1" ht="15" x14ac:dyDescent="0.25">
      <c r="A356" s="42" t="s">
        <v>79</v>
      </c>
      <c r="B356" s="42">
        <v>133537</v>
      </c>
      <c r="C356" s="42">
        <v>22</v>
      </c>
      <c r="D356" s="42" t="s">
        <v>11</v>
      </c>
      <c r="E356" s="42">
        <v>1276</v>
      </c>
      <c r="F356" s="42">
        <v>3626102</v>
      </c>
      <c r="G356" s="42" t="s">
        <v>39</v>
      </c>
      <c r="H356" s="42">
        <v>250</v>
      </c>
      <c r="I356" s="42">
        <v>174</v>
      </c>
      <c r="J356" s="52">
        <v>0.1451388888888889</v>
      </c>
    </row>
    <row r="357" spans="1:10" s="42" customFormat="1" ht="15" x14ac:dyDescent="0.25">
      <c r="A357" s="42" t="s">
        <v>79</v>
      </c>
      <c r="B357" s="42">
        <v>140992</v>
      </c>
      <c r="C357" s="42">
        <v>22</v>
      </c>
      <c r="D357" s="42" t="s">
        <v>11</v>
      </c>
      <c r="E357" s="42">
        <v>30007</v>
      </c>
      <c r="F357" s="42">
        <v>3626102</v>
      </c>
      <c r="G357" s="42" t="s">
        <v>39</v>
      </c>
      <c r="H357" s="42">
        <v>250</v>
      </c>
      <c r="I357" s="42">
        <v>34</v>
      </c>
      <c r="J357" s="52">
        <v>2.8472222222222222E-2</v>
      </c>
    </row>
    <row r="358" spans="1:10" s="42" customFormat="1" ht="15" x14ac:dyDescent="0.25">
      <c r="A358" s="42" t="s">
        <v>79</v>
      </c>
      <c r="B358" s="42">
        <v>140993</v>
      </c>
      <c r="C358" s="42">
        <v>22</v>
      </c>
      <c r="D358" s="42" t="s">
        <v>11</v>
      </c>
      <c r="E358" s="42">
        <v>1276</v>
      </c>
      <c r="F358" s="42">
        <v>3626102</v>
      </c>
      <c r="G358" s="42" t="s">
        <v>39</v>
      </c>
      <c r="H358" s="42">
        <v>250</v>
      </c>
      <c r="I358" s="42">
        <v>48</v>
      </c>
      <c r="J358" s="52">
        <v>4.027777777777778E-2</v>
      </c>
    </row>
    <row r="359" spans="1:10" s="42" customFormat="1" ht="15" x14ac:dyDescent="0.25">
      <c r="A359" s="42" t="s">
        <v>80</v>
      </c>
      <c r="B359" s="42">
        <v>133371</v>
      </c>
      <c r="C359" s="42">
        <v>20</v>
      </c>
      <c r="D359" s="42" t="s">
        <v>11</v>
      </c>
      <c r="E359" s="42">
        <v>6473</v>
      </c>
      <c r="F359" s="42">
        <v>3626102</v>
      </c>
      <c r="G359" s="42" t="s">
        <v>39</v>
      </c>
      <c r="H359" s="42">
        <v>220</v>
      </c>
      <c r="I359" s="42">
        <v>22</v>
      </c>
      <c r="J359" s="52">
        <v>1.7361111111111112E-2</v>
      </c>
    </row>
    <row r="360" spans="1:10" s="42" customFormat="1" ht="15" x14ac:dyDescent="0.25">
      <c r="A360" s="42" t="s">
        <v>80</v>
      </c>
      <c r="B360" s="42">
        <v>133394</v>
      </c>
      <c r="C360" s="42">
        <v>20</v>
      </c>
      <c r="D360" s="42" t="s">
        <v>11</v>
      </c>
      <c r="E360" s="42">
        <v>3941</v>
      </c>
      <c r="F360" s="42">
        <v>3626102</v>
      </c>
      <c r="G360" s="42" t="s">
        <v>39</v>
      </c>
      <c r="H360" s="42">
        <v>220</v>
      </c>
      <c r="I360" s="42">
        <v>48</v>
      </c>
      <c r="J360" s="52">
        <v>3.8194444444444441E-2</v>
      </c>
    </row>
    <row r="361" spans="1:10" s="42" customFormat="1" ht="15" x14ac:dyDescent="0.25">
      <c r="A361" s="42" t="s">
        <v>80</v>
      </c>
      <c r="B361" s="42">
        <v>133533</v>
      </c>
      <c r="C361" s="42">
        <v>20</v>
      </c>
      <c r="D361" s="42" t="s">
        <v>11</v>
      </c>
      <c r="E361" s="42">
        <v>19746</v>
      </c>
      <c r="F361" s="42">
        <v>3626102</v>
      </c>
      <c r="G361" s="42" t="s">
        <v>39</v>
      </c>
      <c r="H361" s="42">
        <v>220</v>
      </c>
      <c r="I361" s="42">
        <v>222</v>
      </c>
      <c r="J361" s="52">
        <v>0.17777777777777778</v>
      </c>
    </row>
    <row r="362" spans="1:10" s="42" customFormat="1" ht="15" x14ac:dyDescent="0.25">
      <c r="A362" s="42" t="s">
        <v>80</v>
      </c>
      <c r="B362" s="42">
        <v>133534</v>
      </c>
      <c r="C362" s="42">
        <v>20</v>
      </c>
      <c r="D362" s="42" t="s">
        <v>11</v>
      </c>
      <c r="E362" s="42">
        <v>6473</v>
      </c>
      <c r="F362" s="42">
        <v>3626102</v>
      </c>
      <c r="G362" s="42" t="s">
        <v>39</v>
      </c>
      <c r="H362" s="42">
        <v>220</v>
      </c>
      <c r="I362" s="42">
        <v>70</v>
      </c>
      <c r="J362" s="52">
        <v>5.6250000000000001E-2</v>
      </c>
    </row>
    <row r="363" spans="1:10" s="42" customFormat="1" ht="15" x14ac:dyDescent="0.25">
      <c r="A363" s="42" t="s">
        <v>80</v>
      </c>
      <c r="B363" s="42">
        <v>133535</v>
      </c>
      <c r="C363" s="42">
        <v>20</v>
      </c>
      <c r="D363" s="42" t="s">
        <v>11</v>
      </c>
      <c r="E363" s="42">
        <v>30007</v>
      </c>
      <c r="F363" s="42">
        <v>3626102</v>
      </c>
      <c r="G363" s="42" t="s">
        <v>39</v>
      </c>
      <c r="H363" s="42">
        <v>220</v>
      </c>
      <c r="I363" s="42">
        <v>212</v>
      </c>
      <c r="J363" s="52">
        <v>0.17013888888888887</v>
      </c>
    </row>
    <row r="364" spans="1:10" s="42" customFormat="1" ht="15" x14ac:dyDescent="0.25">
      <c r="A364" s="42" t="s">
        <v>80</v>
      </c>
      <c r="B364" s="42">
        <v>133536</v>
      </c>
      <c r="C364" s="42">
        <v>20</v>
      </c>
      <c r="D364" s="42" t="s">
        <v>11</v>
      </c>
      <c r="E364" s="42">
        <v>3941</v>
      </c>
      <c r="F364" s="42">
        <v>3626102</v>
      </c>
      <c r="G364" s="42" t="s">
        <v>39</v>
      </c>
      <c r="H364" s="42">
        <v>220</v>
      </c>
      <c r="I364" s="42">
        <v>40</v>
      </c>
      <c r="J364" s="52">
        <v>3.1944444444444449E-2</v>
      </c>
    </row>
    <row r="365" spans="1:10" s="42" customFormat="1" ht="15" x14ac:dyDescent="0.25">
      <c r="A365" s="42" t="s">
        <v>80</v>
      </c>
      <c r="B365" s="42">
        <v>133537</v>
      </c>
      <c r="C365" s="42">
        <v>20</v>
      </c>
      <c r="D365" s="42" t="s">
        <v>11</v>
      </c>
      <c r="E365" s="42">
        <v>1276</v>
      </c>
      <c r="F365" s="42">
        <v>3626102</v>
      </c>
      <c r="G365" s="42" t="s">
        <v>39</v>
      </c>
      <c r="H365" s="42">
        <v>220</v>
      </c>
      <c r="I365" s="42">
        <v>198</v>
      </c>
      <c r="J365" s="52">
        <v>0.15833333333333333</v>
      </c>
    </row>
    <row r="366" spans="1:10" s="42" customFormat="1" ht="15" x14ac:dyDescent="0.25">
      <c r="A366" s="42" t="s">
        <v>80</v>
      </c>
      <c r="B366" s="42">
        <v>140932</v>
      </c>
      <c r="C366" s="42">
        <v>20</v>
      </c>
      <c r="D366" s="42" t="s">
        <v>11</v>
      </c>
      <c r="E366" s="42">
        <v>30007</v>
      </c>
      <c r="F366" s="42">
        <v>3626102</v>
      </c>
      <c r="G366" s="42" t="s">
        <v>39</v>
      </c>
      <c r="H366" s="42">
        <v>220</v>
      </c>
      <c r="I366" s="42">
        <v>30</v>
      </c>
      <c r="J366" s="52">
        <v>2.4305555555555556E-2</v>
      </c>
    </row>
    <row r="367" spans="1:10" s="42" customFormat="1" ht="15" x14ac:dyDescent="0.25">
      <c r="A367" s="42" t="s">
        <v>80</v>
      </c>
      <c r="B367" s="42">
        <v>140933</v>
      </c>
      <c r="C367" s="42">
        <v>20</v>
      </c>
      <c r="D367" s="42" t="s">
        <v>11</v>
      </c>
      <c r="E367" s="42">
        <v>3941</v>
      </c>
      <c r="F367" s="42">
        <v>3626102</v>
      </c>
      <c r="G367" s="42" t="s">
        <v>39</v>
      </c>
      <c r="H367" s="42">
        <v>220</v>
      </c>
      <c r="I367" s="42">
        <v>238</v>
      </c>
      <c r="J367" s="52">
        <v>0.19097222222222221</v>
      </c>
    </row>
    <row r="368" spans="1:10" s="42" customFormat="1" ht="15" x14ac:dyDescent="0.25">
      <c r="A368" s="42" t="s">
        <v>80</v>
      </c>
      <c r="B368" s="42">
        <v>140989</v>
      </c>
      <c r="C368" s="42">
        <v>20</v>
      </c>
      <c r="D368" s="42" t="s">
        <v>11</v>
      </c>
      <c r="E368" s="42">
        <v>19746</v>
      </c>
      <c r="F368" s="42">
        <v>3626102</v>
      </c>
      <c r="G368" s="42" t="s">
        <v>39</v>
      </c>
      <c r="H368" s="42">
        <v>220</v>
      </c>
      <c r="I368" s="42">
        <v>46</v>
      </c>
      <c r="J368" s="52">
        <v>3.6805555555555557E-2</v>
      </c>
    </row>
    <row r="369" spans="1:10" s="42" customFormat="1" ht="15" x14ac:dyDescent="0.25">
      <c r="A369" s="42" t="s">
        <v>80</v>
      </c>
      <c r="B369" s="42">
        <v>140990</v>
      </c>
      <c r="C369" s="42">
        <v>20</v>
      </c>
      <c r="D369" s="42" t="s">
        <v>11</v>
      </c>
      <c r="E369" s="42">
        <v>6473</v>
      </c>
      <c r="F369" s="42">
        <v>3626102</v>
      </c>
      <c r="G369" s="42" t="s">
        <v>39</v>
      </c>
      <c r="H369" s="42">
        <v>220</v>
      </c>
      <c r="I369" s="42">
        <v>32</v>
      </c>
      <c r="J369" s="52">
        <v>2.5694444444444447E-2</v>
      </c>
    </row>
    <row r="370" spans="1:10" s="42" customFormat="1" ht="15" x14ac:dyDescent="0.25">
      <c r="A370" s="42" t="s">
        <v>80</v>
      </c>
      <c r="B370" s="42">
        <v>140992</v>
      </c>
      <c r="C370" s="42">
        <v>20</v>
      </c>
      <c r="D370" s="42" t="s">
        <v>11</v>
      </c>
      <c r="E370" s="42">
        <v>30007</v>
      </c>
      <c r="F370" s="42">
        <v>3626102</v>
      </c>
      <c r="G370" s="42" t="s">
        <v>39</v>
      </c>
      <c r="H370" s="42">
        <v>220</v>
      </c>
      <c r="I370" s="42">
        <v>32</v>
      </c>
      <c r="J370" s="52">
        <v>2.5694444444444447E-2</v>
      </c>
    </row>
    <row r="371" spans="1:10" s="42" customFormat="1" ht="15" x14ac:dyDescent="0.25">
      <c r="A371" s="42" t="s">
        <v>80</v>
      </c>
      <c r="B371" s="42">
        <v>140993</v>
      </c>
      <c r="C371" s="42">
        <v>20</v>
      </c>
      <c r="D371" s="42" t="s">
        <v>11</v>
      </c>
      <c r="E371" s="42">
        <v>1276</v>
      </c>
      <c r="F371" s="42">
        <v>3626102</v>
      </c>
      <c r="G371" s="42" t="s">
        <v>39</v>
      </c>
      <c r="H371" s="42">
        <v>220</v>
      </c>
      <c r="I371" s="42">
        <v>46</v>
      </c>
      <c r="J371" s="52">
        <v>3.6805555555555557E-2</v>
      </c>
    </row>
    <row r="372" spans="1:10" s="42" customFormat="1" ht="15" x14ac:dyDescent="0.25">
      <c r="A372" s="42" t="s">
        <v>81</v>
      </c>
      <c r="B372" s="42">
        <v>114502</v>
      </c>
      <c r="C372" s="42">
        <v>17</v>
      </c>
      <c r="D372" s="42" t="s">
        <v>11</v>
      </c>
      <c r="E372" s="42">
        <v>30007</v>
      </c>
      <c r="F372" s="42">
        <v>3634202</v>
      </c>
      <c r="G372" s="42" t="s">
        <v>39</v>
      </c>
      <c r="H372" s="42">
        <v>178</v>
      </c>
      <c r="I372" s="42">
        <v>124</v>
      </c>
      <c r="J372" s="52">
        <v>0.10555555555555556</v>
      </c>
    </row>
    <row r="373" spans="1:10" s="42" customFormat="1" ht="15" x14ac:dyDescent="0.25">
      <c r="A373" s="42" t="s">
        <v>81</v>
      </c>
      <c r="B373" s="42">
        <v>114503</v>
      </c>
      <c r="C373" s="42">
        <v>17</v>
      </c>
      <c r="D373" s="42" t="s">
        <v>11</v>
      </c>
      <c r="E373" s="42">
        <v>3855</v>
      </c>
      <c r="F373" s="42">
        <v>3634202</v>
      </c>
      <c r="G373" s="42" t="s">
        <v>39</v>
      </c>
      <c r="H373" s="42">
        <v>178</v>
      </c>
      <c r="I373" s="42">
        <v>154</v>
      </c>
      <c r="J373" s="52">
        <v>0.13125000000000001</v>
      </c>
    </row>
    <row r="374" spans="1:10" s="42" customFormat="1" ht="15" x14ac:dyDescent="0.25">
      <c r="A374" s="42" t="s">
        <v>81</v>
      </c>
      <c r="B374" s="42">
        <v>114503</v>
      </c>
      <c r="C374" s="42">
        <v>24</v>
      </c>
      <c r="D374" s="42" t="s">
        <v>11</v>
      </c>
      <c r="E374" s="42">
        <v>3855</v>
      </c>
      <c r="F374" s="42">
        <v>3634202</v>
      </c>
      <c r="G374" s="42" t="s">
        <v>39</v>
      </c>
      <c r="H374" s="42">
        <v>280</v>
      </c>
      <c r="I374" s="42">
        <v>140</v>
      </c>
      <c r="J374" s="52">
        <v>0.12430555555555556</v>
      </c>
    </row>
    <row r="375" spans="1:10" s="42" customFormat="1" ht="15" x14ac:dyDescent="0.25">
      <c r="A375" s="42" t="s">
        <v>81</v>
      </c>
      <c r="B375" s="42">
        <v>114506</v>
      </c>
      <c r="C375" s="42">
        <v>17</v>
      </c>
      <c r="D375" s="42" t="s">
        <v>11</v>
      </c>
      <c r="E375" s="42">
        <v>14363</v>
      </c>
      <c r="F375" s="42">
        <v>3634202</v>
      </c>
      <c r="G375" s="42" t="s">
        <v>39</v>
      </c>
      <c r="H375" s="42">
        <v>178</v>
      </c>
      <c r="I375" s="42">
        <v>170</v>
      </c>
      <c r="J375" s="52">
        <v>0.14444444444444446</v>
      </c>
    </row>
    <row r="376" spans="1:10" s="42" customFormat="1" ht="15" x14ac:dyDescent="0.25">
      <c r="A376" s="42" t="s">
        <v>81</v>
      </c>
      <c r="B376" s="42">
        <v>114506</v>
      </c>
      <c r="C376" s="42">
        <v>24</v>
      </c>
      <c r="D376" s="42" t="s">
        <v>11</v>
      </c>
      <c r="E376" s="42">
        <v>14363</v>
      </c>
      <c r="F376" s="42">
        <v>3634202</v>
      </c>
      <c r="G376" s="42" t="s">
        <v>39</v>
      </c>
      <c r="H376" s="42">
        <v>280</v>
      </c>
      <c r="I376" s="42">
        <v>42</v>
      </c>
      <c r="J376" s="52">
        <v>3.7499999999999999E-2</v>
      </c>
    </row>
    <row r="377" spans="1:10" s="42" customFormat="1" ht="15" x14ac:dyDescent="0.25">
      <c r="A377" s="42" t="s">
        <v>81</v>
      </c>
      <c r="B377" s="42">
        <v>133535</v>
      </c>
      <c r="C377" s="42">
        <v>17</v>
      </c>
      <c r="D377" s="42" t="s">
        <v>11</v>
      </c>
      <c r="E377" s="42">
        <v>30007</v>
      </c>
      <c r="F377" s="42">
        <v>3626102</v>
      </c>
      <c r="G377" s="42" t="s">
        <v>39</v>
      </c>
      <c r="H377" s="42">
        <v>178</v>
      </c>
      <c r="I377" s="42">
        <v>110</v>
      </c>
      <c r="J377" s="52">
        <v>8.3333333333333329E-2</v>
      </c>
    </row>
    <row r="378" spans="1:10" s="42" customFormat="1" ht="15" x14ac:dyDescent="0.25">
      <c r="A378" s="42" t="s">
        <v>81</v>
      </c>
      <c r="B378" s="42">
        <v>140992</v>
      </c>
      <c r="C378" s="42">
        <v>17</v>
      </c>
      <c r="D378" s="42" t="s">
        <v>11</v>
      </c>
      <c r="E378" s="42">
        <v>30007</v>
      </c>
      <c r="F378" s="42">
        <v>3626102</v>
      </c>
      <c r="G378" s="42" t="s">
        <v>39</v>
      </c>
      <c r="H378" s="42">
        <v>178</v>
      </c>
      <c r="I378" s="42">
        <v>12</v>
      </c>
      <c r="J378" s="52">
        <v>9.0277777777777787E-3</v>
      </c>
    </row>
    <row r="379" spans="1:10" s="42" customFormat="1" ht="15" x14ac:dyDescent="0.25">
      <c r="A379" s="42" t="s">
        <v>82</v>
      </c>
      <c r="B379" s="42">
        <v>143878</v>
      </c>
      <c r="C379" s="42">
        <v>17</v>
      </c>
      <c r="D379" s="42" t="s">
        <v>11</v>
      </c>
      <c r="E379" s="42">
        <v>30007</v>
      </c>
      <c r="F379" s="42">
        <v>3626102</v>
      </c>
      <c r="G379" s="42" t="s">
        <v>39</v>
      </c>
      <c r="H379" s="42">
        <v>178</v>
      </c>
      <c r="I379" s="42">
        <v>74</v>
      </c>
      <c r="J379" s="52">
        <v>5.6250000000000001E-2</v>
      </c>
    </row>
    <row r="380" spans="1:10" s="42" customFormat="1" ht="15" x14ac:dyDescent="0.25">
      <c r="A380" s="42" t="s">
        <v>83</v>
      </c>
      <c r="B380" s="42">
        <v>133369</v>
      </c>
      <c r="C380" s="42">
        <v>23</v>
      </c>
      <c r="D380" s="42" t="s">
        <v>11</v>
      </c>
      <c r="E380" s="42">
        <v>19746</v>
      </c>
      <c r="F380" s="42">
        <v>3626102</v>
      </c>
      <c r="G380" s="42" t="s">
        <v>39</v>
      </c>
      <c r="H380" s="42">
        <v>267</v>
      </c>
      <c r="I380" s="42">
        <v>116</v>
      </c>
      <c r="J380" s="52">
        <v>9.8611111111111108E-2</v>
      </c>
    </row>
    <row r="381" spans="1:10" s="42" customFormat="1" ht="15" x14ac:dyDescent="0.25">
      <c r="A381" s="42" t="s">
        <v>83</v>
      </c>
      <c r="B381" s="42">
        <v>133371</v>
      </c>
      <c r="C381" s="42">
        <v>23</v>
      </c>
      <c r="D381" s="42" t="s">
        <v>11</v>
      </c>
      <c r="E381" s="42">
        <v>6473</v>
      </c>
      <c r="F381" s="42">
        <v>3626102</v>
      </c>
      <c r="G381" s="42" t="s">
        <v>39</v>
      </c>
      <c r="H381" s="42">
        <v>267</v>
      </c>
      <c r="I381" s="42">
        <v>28</v>
      </c>
      <c r="J381" s="52">
        <v>2.361111111111111E-2</v>
      </c>
    </row>
    <row r="382" spans="1:10" s="42" customFormat="1" ht="15" x14ac:dyDescent="0.25">
      <c r="A382" s="42" t="s">
        <v>83</v>
      </c>
      <c r="B382" s="42">
        <v>133533</v>
      </c>
      <c r="C382" s="42">
        <v>23</v>
      </c>
      <c r="D382" s="42" t="s">
        <v>11</v>
      </c>
      <c r="E382" s="42">
        <v>19746</v>
      </c>
      <c r="F382" s="42">
        <v>3626102</v>
      </c>
      <c r="G382" s="42" t="s">
        <v>39</v>
      </c>
      <c r="H382" s="42">
        <v>267</v>
      </c>
      <c r="I382" s="42">
        <v>132</v>
      </c>
      <c r="J382" s="52">
        <v>0.1125</v>
      </c>
    </row>
    <row r="383" spans="1:10" s="42" customFormat="1" ht="15" x14ac:dyDescent="0.25">
      <c r="A383" s="42" t="s">
        <v>83</v>
      </c>
      <c r="B383" s="42">
        <v>133534</v>
      </c>
      <c r="C383" s="42">
        <v>23</v>
      </c>
      <c r="D383" s="42" t="s">
        <v>11</v>
      </c>
      <c r="E383" s="42">
        <v>6473</v>
      </c>
      <c r="F383" s="42">
        <v>3626102</v>
      </c>
      <c r="G383" s="42" t="s">
        <v>39</v>
      </c>
      <c r="H383" s="42">
        <v>267</v>
      </c>
      <c r="I383" s="42">
        <v>48</v>
      </c>
      <c r="J383" s="52">
        <v>4.0972222222222222E-2</v>
      </c>
    </row>
    <row r="384" spans="1:10" s="42" customFormat="1" ht="15" x14ac:dyDescent="0.25">
      <c r="A384" s="42" t="s">
        <v>83</v>
      </c>
      <c r="B384" s="42">
        <v>140989</v>
      </c>
      <c r="C384" s="42">
        <v>23</v>
      </c>
      <c r="D384" s="42" t="s">
        <v>35</v>
      </c>
      <c r="E384" s="42">
        <v>19746</v>
      </c>
      <c r="F384" s="42">
        <v>3626102</v>
      </c>
      <c r="G384" s="42" t="s">
        <v>39</v>
      </c>
      <c r="H384" s="42">
        <v>267</v>
      </c>
      <c r="I384" s="42">
        <v>14</v>
      </c>
      <c r="J384" s="52">
        <v>1.1805555555555555E-2</v>
      </c>
    </row>
    <row r="385" spans="1:10" s="42" customFormat="1" ht="15" x14ac:dyDescent="0.25">
      <c r="A385" s="42" t="s">
        <v>83</v>
      </c>
      <c r="B385" s="42">
        <v>140990</v>
      </c>
      <c r="C385" s="42">
        <v>23</v>
      </c>
      <c r="D385" s="42" t="s">
        <v>11</v>
      </c>
      <c r="E385" s="42">
        <v>6473</v>
      </c>
      <c r="F385" s="42">
        <v>3626102</v>
      </c>
      <c r="G385" s="42" t="s">
        <v>39</v>
      </c>
      <c r="H385" s="42">
        <v>267</v>
      </c>
      <c r="I385" s="42">
        <v>22</v>
      </c>
      <c r="J385" s="52">
        <v>1.8749999999999999E-2</v>
      </c>
    </row>
    <row r="386" spans="1:10" s="42" customFormat="1" ht="15" x14ac:dyDescent="0.25">
      <c r="A386" s="42" t="s">
        <v>83</v>
      </c>
      <c r="B386" s="42">
        <v>146221</v>
      </c>
      <c r="C386" s="42">
        <v>47</v>
      </c>
      <c r="D386" s="42" t="s">
        <v>11</v>
      </c>
      <c r="E386" s="42">
        <v>19685</v>
      </c>
      <c r="F386" s="42">
        <v>1903204</v>
      </c>
      <c r="G386" s="42" t="s">
        <v>52</v>
      </c>
      <c r="H386" s="42">
        <v>334</v>
      </c>
      <c r="I386" s="42">
        <v>33</v>
      </c>
      <c r="J386" s="52">
        <v>1.4583333333333332E-2</v>
      </c>
    </row>
    <row r="387" spans="1:10" s="42" customFormat="1" ht="15" x14ac:dyDescent="0.25">
      <c r="A387" s="42" t="s">
        <v>83</v>
      </c>
      <c r="B387" s="42">
        <v>146221</v>
      </c>
      <c r="C387" s="42">
        <v>47</v>
      </c>
      <c r="D387" s="42" t="s">
        <v>11</v>
      </c>
      <c r="E387" s="42">
        <v>19685</v>
      </c>
      <c r="F387" s="42">
        <v>1903204</v>
      </c>
      <c r="G387" s="42" t="s">
        <v>52</v>
      </c>
      <c r="H387" s="42">
        <v>394</v>
      </c>
      <c r="I387" s="42">
        <v>33</v>
      </c>
      <c r="J387" s="52">
        <v>0</v>
      </c>
    </row>
    <row r="388" spans="1:10" s="42" customFormat="1" ht="15" x14ac:dyDescent="0.25">
      <c r="A388" s="42" t="s">
        <v>83</v>
      </c>
      <c r="B388" s="42">
        <v>146221</v>
      </c>
      <c r="C388" s="42">
        <v>48</v>
      </c>
      <c r="D388" s="42" t="s">
        <v>11</v>
      </c>
      <c r="E388" s="42">
        <v>19685</v>
      </c>
      <c r="F388" s="42">
        <v>1903204</v>
      </c>
      <c r="G388" s="42" t="s">
        <v>52</v>
      </c>
      <c r="H388" s="42">
        <v>350</v>
      </c>
      <c r="I388" s="42">
        <v>99</v>
      </c>
      <c r="J388" s="52">
        <v>4.3055555555555562E-2</v>
      </c>
    </row>
    <row r="389" spans="1:10" s="42" customFormat="1" ht="15" x14ac:dyDescent="0.25">
      <c r="A389" s="42" t="s">
        <v>83</v>
      </c>
      <c r="B389" s="42">
        <v>146221</v>
      </c>
      <c r="C389" s="42">
        <v>48</v>
      </c>
      <c r="D389" s="42" t="s">
        <v>11</v>
      </c>
      <c r="E389" s="42">
        <v>19685</v>
      </c>
      <c r="F389" s="42">
        <v>1903204</v>
      </c>
      <c r="G389" s="42" t="s">
        <v>52</v>
      </c>
      <c r="H389" s="42">
        <v>380</v>
      </c>
      <c r="I389" s="42">
        <v>33</v>
      </c>
      <c r="J389" s="52">
        <v>0</v>
      </c>
    </row>
    <row r="390" spans="1:10" s="42" customFormat="1" ht="15" x14ac:dyDescent="0.25">
      <c r="A390" s="42" t="s">
        <v>83</v>
      </c>
      <c r="B390" s="42">
        <v>146541</v>
      </c>
      <c r="C390" s="42">
        <v>47</v>
      </c>
      <c r="D390" s="42" t="s">
        <v>11</v>
      </c>
      <c r="E390" s="42">
        <v>19684</v>
      </c>
      <c r="F390" s="42">
        <v>1903204</v>
      </c>
      <c r="G390" s="42" t="s">
        <v>52</v>
      </c>
      <c r="H390" s="42">
        <v>334</v>
      </c>
      <c r="I390" s="42">
        <v>56</v>
      </c>
      <c r="J390" s="52">
        <v>2.4305555555555556E-2</v>
      </c>
    </row>
    <row r="391" spans="1:10" s="42" customFormat="1" ht="15" x14ac:dyDescent="0.25">
      <c r="A391" s="42" t="s">
        <v>83</v>
      </c>
      <c r="B391" s="42">
        <v>146541</v>
      </c>
      <c r="C391" s="42">
        <v>47</v>
      </c>
      <c r="D391" s="42" t="s">
        <v>11</v>
      </c>
      <c r="E391" s="42">
        <v>19684</v>
      </c>
      <c r="F391" s="42">
        <v>1903204</v>
      </c>
      <c r="G391" s="42" t="s">
        <v>52</v>
      </c>
      <c r="H391" s="42">
        <v>394</v>
      </c>
      <c r="I391" s="42">
        <v>29</v>
      </c>
      <c r="J391" s="52">
        <v>0</v>
      </c>
    </row>
    <row r="392" spans="1:10" s="42" customFormat="1" ht="15" x14ac:dyDescent="0.25">
      <c r="A392" s="42" t="s">
        <v>83</v>
      </c>
      <c r="B392" s="42">
        <v>146541</v>
      </c>
      <c r="C392" s="42">
        <v>48</v>
      </c>
      <c r="D392" s="42" t="s">
        <v>11</v>
      </c>
      <c r="E392" s="42">
        <v>19684</v>
      </c>
      <c r="F392" s="42">
        <v>1903204</v>
      </c>
      <c r="G392" s="42" t="s">
        <v>52</v>
      </c>
      <c r="H392" s="42">
        <v>350</v>
      </c>
      <c r="I392" s="42">
        <v>87</v>
      </c>
      <c r="J392" s="52">
        <v>3.7499999999999999E-2</v>
      </c>
    </row>
    <row r="393" spans="1:10" s="42" customFormat="1" ht="15" x14ac:dyDescent="0.25">
      <c r="A393" s="42" t="s">
        <v>83</v>
      </c>
      <c r="B393" s="42">
        <v>146541</v>
      </c>
      <c r="C393" s="42">
        <v>48</v>
      </c>
      <c r="D393" s="42" t="s">
        <v>11</v>
      </c>
      <c r="E393" s="42">
        <v>19684</v>
      </c>
      <c r="F393" s="42">
        <v>1903204</v>
      </c>
      <c r="G393" s="42" t="s">
        <v>52</v>
      </c>
      <c r="H393" s="42">
        <v>380</v>
      </c>
      <c r="I393" s="42">
        <v>41</v>
      </c>
      <c r="J393" s="52">
        <v>0</v>
      </c>
    </row>
    <row r="394" spans="1:10" s="42" customFormat="1" ht="15" x14ac:dyDescent="0.25">
      <c r="A394" s="42" t="s">
        <v>83</v>
      </c>
      <c r="B394" s="42">
        <v>146543</v>
      </c>
      <c r="C394" s="42">
        <v>48</v>
      </c>
      <c r="D394" s="42" t="s">
        <v>11</v>
      </c>
      <c r="E394" s="42">
        <v>19682</v>
      </c>
      <c r="F394" s="42">
        <v>1903204</v>
      </c>
      <c r="G394" s="42" t="s">
        <v>52</v>
      </c>
      <c r="H394" s="42">
        <v>334</v>
      </c>
      <c r="I394" s="42">
        <v>109</v>
      </c>
      <c r="J394" s="52">
        <v>4.7222222222222221E-2</v>
      </c>
    </row>
    <row r="395" spans="1:10" s="42" customFormat="1" ht="15" x14ac:dyDescent="0.25">
      <c r="A395" s="42" t="s">
        <v>83</v>
      </c>
      <c r="B395" s="42">
        <v>146543</v>
      </c>
      <c r="C395" s="42">
        <v>48</v>
      </c>
      <c r="D395" s="42" t="s">
        <v>11</v>
      </c>
      <c r="E395" s="42">
        <v>19682</v>
      </c>
      <c r="F395" s="42">
        <v>1903204</v>
      </c>
      <c r="G395" s="42" t="s">
        <v>52</v>
      </c>
      <c r="H395" s="42">
        <v>394</v>
      </c>
      <c r="I395" s="42">
        <v>64</v>
      </c>
      <c r="J395" s="52">
        <v>0</v>
      </c>
    </row>
    <row r="396" spans="1:10" s="42" customFormat="1" ht="15" x14ac:dyDescent="0.25">
      <c r="A396" s="42" t="s">
        <v>83</v>
      </c>
      <c r="B396" s="42">
        <v>146543</v>
      </c>
      <c r="C396" s="42">
        <v>49</v>
      </c>
      <c r="D396" s="42" t="s">
        <v>11</v>
      </c>
      <c r="E396" s="42">
        <v>19682</v>
      </c>
      <c r="F396" s="42">
        <v>1903204</v>
      </c>
      <c r="G396" s="42" t="s">
        <v>52</v>
      </c>
      <c r="H396" s="42">
        <v>350</v>
      </c>
      <c r="I396" s="42">
        <v>208</v>
      </c>
      <c r="J396" s="52">
        <v>9.0277777777777776E-2</v>
      </c>
    </row>
    <row r="397" spans="1:10" s="42" customFormat="1" ht="15" x14ac:dyDescent="0.25">
      <c r="A397" s="42" t="s">
        <v>83</v>
      </c>
      <c r="B397" s="42">
        <v>146543</v>
      </c>
      <c r="C397" s="42">
        <v>49</v>
      </c>
      <c r="D397" s="42" t="s">
        <v>11</v>
      </c>
      <c r="E397" s="42">
        <v>19682</v>
      </c>
      <c r="F397" s="42">
        <v>1903204</v>
      </c>
      <c r="G397" s="42" t="s">
        <v>52</v>
      </c>
      <c r="H397" s="42">
        <v>380</v>
      </c>
      <c r="I397" s="42">
        <v>128</v>
      </c>
      <c r="J397" s="52">
        <v>0</v>
      </c>
    </row>
    <row r="398" spans="1:10" s="42" customFormat="1" ht="15" x14ac:dyDescent="0.25">
      <c r="A398" s="42" t="s">
        <v>84</v>
      </c>
      <c r="B398" s="42">
        <v>133533</v>
      </c>
      <c r="C398" s="42">
        <v>19</v>
      </c>
      <c r="D398" s="42" t="s">
        <v>11</v>
      </c>
      <c r="E398" s="42">
        <v>19746</v>
      </c>
      <c r="F398" s="42">
        <v>3626102</v>
      </c>
      <c r="G398" s="42" t="s">
        <v>39</v>
      </c>
      <c r="H398" s="42">
        <v>201</v>
      </c>
      <c r="I398" s="42">
        <v>210</v>
      </c>
      <c r="J398" s="52">
        <v>0.16527777777777777</v>
      </c>
    </row>
    <row r="399" spans="1:10" s="42" customFormat="1" ht="15" x14ac:dyDescent="0.25">
      <c r="A399" s="42" t="s">
        <v>84</v>
      </c>
      <c r="B399" s="42">
        <v>133534</v>
      </c>
      <c r="C399" s="42">
        <v>19</v>
      </c>
      <c r="D399" s="42" t="s">
        <v>11</v>
      </c>
      <c r="E399" s="42">
        <v>6473</v>
      </c>
      <c r="F399" s="42">
        <v>3626102</v>
      </c>
      <c r="G399" s="42" t="s">
        <v>39</v>
      </c>
      <c r="H399" s="42">
        <v>201</v>
      </c>
      <c r="I399" s="42">
        <v>66</v>
      </c>
      <c r="J399" s="52">
        <v>5.2083333333333336E-2</v>
      </c>
    </row>
    <row r="400" spans="1:10" s="42" customFormat="1" ht="15" x14ac:dyDescent="0.25">
      <c r="A400" s="42" t="s">
        <v>84</v>
      </c>
      <c r="B400" s="42">
        <v>133536</v>
      </c>
      <c r="C400" s="42">
        <v>19</v>
      </c>
      <c r="D400" s="42" t="s">
        <v>11</v>
      </c>
      <c r="E400" s="42">
        <v>3941</v>
      </c>
      <c r="F400" s="42">
        <v>3626102</v>
      </c>
      <c r="G400" s="42" t="s">
        <v>39</v>
      </c>
      <c r="H400" s="42">
        <v>201</v>
      </c>
      <c r="I400" s="42">
        <v>40</v>
      </c>
      <c r="J400" s="52">
        <v>3.125E-2</v>
      </c>
    </row>
    <row r="401" spans="1:10" s="42" customFormat="1" ht="15" x14ac:dyDescent="0.25">
      <c r="A401" s="42" t="s">
        <v>84</v>
      </c>
      <c r="B401" s="42">
        <v>140928</v>
      </c>
      <c r="C401" s="42">
        <v>19</v>
      </c>
      <c r="D401" s="42" t="s">
        <v>11</v>
      </c>
      <c r="E401" s="42">
        <v>19746</v>
      </c>
      <c r="F401" s="42">
        <v>3626102</v>
      </c>
      <c r="G401" s="42" t="s">
        <v>39</v>
      </c>
      <c r="H401" s="42">
        <v>201</v>
      </c>
      <c r="I401" s="42">
        <v>168</v>
      </c>
      <c r="J401" s="52">
        <v>0.13194444444444445</v>
      </c>
    </row>
    <row r="402" spans="1:10" s="42" customFormat="1" ht="15" x14ac:dyDescent="0.25">
      <c r="A402" s="42" t="s">
        <v>84</v>
      </c>
      <c r="B402" s="42">
        <v>140933</v>
      </c>
      <c r="C402" s="42">
        <v>19</v>
      </c>
      <c r="D402" s="42" t="s">
        <v>11</v>
      </c>
      <c r="E402" s="42">
        <v>3941</v>
      </c>
      <c r="F402" s="42">
        <v>3626102</v>
      </c>
      <c r="G402" s="42" t="s">
        <v>39</v>
      </c>
      <c r="H402" s="42">
        <v>201</v>
      </c>
      <c r="I402" s="42">
        <v>230</v>
      </c>
      <c r="J402" s="52">
        <v>0.18055555555555555</v>
      </c>
    </row>
    <row r="403" spans="1:10" s="42" customFormat="1" ht="15" x14ac:dyDescent="0.25">
      <c r="A403" s="42" t="s">
        <v>84</v>
      </c>
      <c r="B403" s="42">
        <v>140934</v>
      </c>
      <c r="C403" s="42">
        <v>19</v>
      </c>
      <c r="D403" s="42" t="s">
        <v>11</v>
      </c>
      <c r="E403" s="42">
        <v>1276</v>
      </c>
      <c r="F403" s="42">
        <v>3626102</v>
      </c>
      <c r="G403" s="42" t="s">
        <v>39</v>
      </c>
      <c r="H403" s="42">
        <v>201</v>
      </c>
      <c r="I403" s="42">
        <v>69</v>
      </c>
      <c r="J403" s="52">
        <v>5.4166666666666669E-2</v>
      </c>
    </row>
    <row r="404" spans="1:10" s="42" customFormat="1" ht="15" x14ac:dyDescent="0.25">
      <c r="A404" s="42" t="s">
        <v>84</v>
      </c>
      <c r="B404" s="42">
        <v>140989</v>
      </c>
      <c r="C404" s="42">
        <v>19</v>
      </c>
      <c r="D404" s="42" t="s">
        <v>11</v>
      </c>
      <c r="E404" s="42">
        <v>19746</v>
      </c>
      <c r="F404" s="42">
        <v>3626102</v>
      </c>
      <c r="G404" s="42" t="s">
        <v>39</v>
      </c>
      <c r="H404" s="42">
        <v>201</v>
      </c>
      <c r="I404" s="42">
        <v>46</v>
      </c>
      <c r="J404" s="52">
        <v>3.6111111111111115E-2</v>
      </c>
    </row>
    <row r="405" spans="1:10" s="42" customFormat="1" ht="15" x14ac:dyDescent="0.25">
      <c r="A405" s="42" t="s">
        <v>84</v>
      </c>
      <c r="B405" s="42">
        <v>140990</v>
      </c>
      <c r="C405" s="42">
        <v>19</v>
      </c>
      <c r="D405" s="42" t="s">
        <v>11</v>
      </c>
      <c r="E405" s="42">
        <v>6473</v>
      </c>
      <c r="F405" s="42">
        <v>3626102</v>
      </c>
      <c r="G405" s="42" t="s">
        <v>39</v>
      </c>
      <c r="H405" s="42">
        <v>201</v>
      </c>
      <c r="I405" s="42">
        <v>34</v>
      </c>
      <c r="J405" s="52">
        <v>2.6388888888888889E-2</v>
      </c>
    </row>
    <row r="406" spans="1:10" s="42" customFormat="1" ht="15" x14ac:dyDescent="0.25">
      <c r="A406" s="42" t="s">
        <v>85</v>
      </c>
      <c r="B406" s="42">
        <v>114502</v>
      </c>
      <c r="C406" s="42">
        <v>20</v>
      </c>
      <c r="D406" s="42" t="s">
        <v>11</v>
      </c>
      <c r="E406" s="42">
        <v>30007</v>
      </c>
      <c r="F406" s="42">
        <v>3634202</v>
      </c>
      <c r="G406" s="42" t="s">
        <v>39</v>
      </c>
      <c r="H406" s="42">
        <v>220</v>
      </c>
      <c r="I406" s="42">
        <v>164</v>
      </c>
      <c r="J406" s="52">
        <v>0.1423611111111111</v>
      </c>
    </row>
    <row r="407" spans="1:10" s="42" customFormat="1" ht="15" x14ac:dyDescent="0.25">
      <c r="A407" s="42" t="s">
        <v>85</v>
      </c>
      <c r="B407" s="42">
        <v>114502</v>
      </c>
      <c r="C407" s="42">
        <v>23</v>
      </c>
      <c r="D407" s="42" t="s">
        <v>11</v>
      </c>
      <c r="E407" s="42">
        <v>30007</v>
      </c>
      <c r="F407" s="42">
        <v>3634202</v>
      </c>
      <c r="G407" s="42" t="s">
        <v>39</v>
      </c>
      <c r="H407" s="42">
        <v>267</v>
      </c>
      <c r="I407" s="42">
        <v>134</v>
      </c>
      <c r="J407" s="52">
        <v>0.11666666666666665</v>
      </c>
    </row>
    <row r="408" spans="1:10" s="42" customFormat="1" ht="15" x14ac:dyDescent="0.25">
      <c r="A408" s="42" t="s">
        <v>85</v>
      </c>
      <c r="B408" s="42">
        <v>114503</v>
      </c>
      <c r="C408" s="42">
        <v>23</v>
      </c>
      <c r="D408" s="42" t="s">
        <v>11</v>
      </c>
      <c r="E408" s="42">
        <v>3855</v>
      </c>
      <c r="F408" s="42">
        <v>3634202</v>
      </c>
      <c r="G408" s="42" t="s">
        <v>39</v>
      </c>
      <c r="H408" s="42">
        <v>267</v>
      </c>
      <c r="I408" s="42">
        <v>164</v>
      </c>
      <c r="J408" s="52">
        <v>0.1423611111111111</v>
      </c>
    </row>
    <row r="409" spans="1:10" s="42" customFormat="1" ht="15" x14ac:dyDescent="0.25">
      <c r="A409" s="42" t="s">
        <v>85</v>
      </c>
      <c r="B409" s="42">
        <v>114506</v>
      </c>
      <c r="C409" s="42">
        <v>23</v>
      </c>
      <c r="D409" s="42" t="s">
        <v>11</v>
      </c>
      <c r="E409" s="42">
        <v>14363</v>
      </c>
      <c r="F409" s="42">
        <v>3634202</v>
      </c>
      <c r="G409" s="42" t="s">
        <v>39</v>
      </c>
      <c r="H409" s="42">
        <v>267</v>
      </c>
      <c r="I409" s="42">
        <v>182</v>
      </c>
      <c r="J409" s="52">
        <v>0.15833333333333333</v>
      </c>
    </row>
    <row r="410" spans="1:10" s="42" customFormat="1" ht="15" x14ac:dyDescent="0.25">
      <c r="A410" s="42" t="s">
        <v>85</v>
      </c>
      <c r="B410" s="42">
        <v>133533</v>
      </c>
      <c r="C410" s="42">
        <v>18</v>
      </c>
      <c r="D410" s="42" t="s">
        <v>11</v>
      </c>
      <c r="E410" s="42">
        <v>19746</v>
      </c>
      <c r="F410" s="42">
        <v>3626102</v>
      </c>
      <c r="G410" s="42" t="s">
        <v>39</v>
      </c>
      <c r="H410" s="42">
        <v>190</v>
      </c>
      <c r="I410" s="42">
        <v>158</v>
      </c>
      <c r="J410" s="52">
        <v>0.12222222222222223</v>
      </c>
    </row>
    <row r="411" spans="1:10" s="42" customFormat="1" ht="15" x14ac:dyDescent="0.25">
      <c r="A411" s="42" t="s">
        <v>85</v>
      </c>
      <c r="B411" s="42">
        <v>133534</v>
      </c>
      <c r="C411" s="42">
        <v>18</v>
      </c>
      <c r="D411" s="42" t="s">
        <v>11</v>
      </c>
      <c r="E411" s="42">
        <v>6473</v>
      </c>
      <c r="F411" s="42">
        <v>3626102</v>
      </c>
      <c r="G411" s="42" t="s">
        <v>39</v>
      </c>
      <c r="H411" s="42">
        <v>190</v>
      </c>
      <c r="I411" s="42">
        <v>21</v>
      </c>
      <c r="J411" s="52">
        <v>1.5972222222222224E-2</v>
      </c>
    </row>
    <row r="412" spans="1:10" s="42" customFormat="1" ht="15" x14ac:dyDescent="0.25">
      <c r="A412" s="42" t="s">
        <v>85</v>
      </c>
      <c r="B412" s="42">
        <v>133536</v>
      </c>
      <c r="C412" s="42">
        <v>18</v>
      </c>
      <c r="D412" s="42" t="s">
        <v>11</v>
      </c>
      <c r="E412" s="42">
        <v>3941</v>
      </c>
      <c r="F412" s="42">
        <v>3626102</v>
      </c>
      <c r="G412" s="42" t="s">
        <v>39</v>
      </c>
      <c r="H412" s="42">
        <v>190</v>
      </c>
      <c r="I412" s="42">
        <v>26</v>
      </c>
      <c r="J412" s="52">
        <v>2.013888888888889E-2</v>
      </c>
    </row>
    <row r="413" spans="1:10" s="42" customFormat="1" ht="15" x14ac:dyDescent="0.25">
      <c r="A413" s="42" t="s">
        <v>85</v>
      </c>
      <c r="B413" s="42">
        <v>133537</v>
      </c>
      <c r="C413" s="42">
        <v>18</v>
      </c>
      <c r="D413" s="42" t="s">
        <v>11</v>
      </c>
      <c r="E413" s="42">
        <v>1276</v>
      </c>
      <c r="F413" s="42">
        <v>3626102</v>
      </c>
      <c r="G413" s="42" t="s">
        <v>39</v>
      </c>
      <c r="H413" s="42">
        <v>190</v>
      </c>
      <c r="I413" s="42">
        <v>110</v>
      </c>
      <c r="J413" s="52">
        <v>8.4722222222222213E-2</v>
      </c>
    </row>
    <row r="414" spans="1:10" s="42" customFormat="1" ht="15" x14ac:dyDescent="0.25">
      <c r="A414" s="42" t="s">
        <v>85</v>
      </c>
      <c r="B414" s="42">
        <v>140933</v>
      </c>
      <c r="C414" s="42">
        <v>18</v>
      </c>
      <c r="D414" s="42" t="s">
        <v>11</v>
      </c>
      <c r="E414" s="42">
        <v>3941</v>
      </c>
      <c r="F414" s="42">
        <v>3626102</v>
      </c>
      <c r="G414" s="42" t="s">
        <v>39</v>
      </c>
      <c r="H414" s="42">
        <v>190</v>
      </c>
      <c r="I414" s="42">
        <v>144</v>
      </c>
      <c r="J414" s="52">
        <v>0.1111111111111111</v>
      </c>
    </row>
    <row r="415" spans="1:10" s="42" customFormat="1" ht="15" x14ac:dyDescent="0.25">
      <c r="A415" s="42" t="s">
        <v>85</v>
      </c>
      <c r="B415" s="42">
        <v>140993</v>
      </c>
      <c r="C415" s="42">
        <v>18</v>
      </c>
      <c r="D415" s="42" t="s">
        <v>11</v>
      </c>
      <c r="E415" s="42">
        <v>1276</v>
      </c>
      <c r="F415" s="42">
        <v>3626102</v>
      </c>
      <c r="G415" s="42" t="s">
        <v>39</v>
      </c>
      <c r="H415" s="42">
        <v>190</v>
      </c>
      <c r="I415" s="42">
        <v>30</v>
      </c>
      <c r="J415" s="52">
        <v>2.2916666666666669E-2</v>
      </c>
    </row>
    <row r="416" spans="1:10" s="42" customFormat="1" ht="15" x14ac:dyDescent="0.25">
      <c r="A416" s="42" t="s">
        <v>86</v>
      </c>
      <c r="B416" s="42">
        <v>133373</v>
      </c>
      <c r="C416" s="42">
        <v>21</v>
      </c>
      <c r="D416" s="42" t="s">
        <v>11</v>
      </c>
      <c r="E416" s="42">
        <v>30007</v>
      </c>
      <c r="F416" s="42">
        <v>3626102</v>
      </c>
      <c r="G416" s="42" t="s">
        <v>39</v>
      </c>
      <c r="H416" s="42">
        <v>234</v>
      </c>
      <c r="I416" s="42">
        <v>112</v>
      </c>
      <c r="J416" s="52">
        <v>9.1666666666666674E-2</v>
      </c>
    </row>
    <row r="417" spans="1:10" s="42" customFormat="1" ht="15" x14ac:dyDescent="0.25">
      <c r="A417" s="42" t="s">
        <v>86</v>
      </c>
      <c r="B417" s="42">
        <v>133373</v>
      </c>
      <c r="C417" s="42">
        <v>22</v>
      </c>
      <c r="D417" s="42" t="s">
        <v>11</v>
      </c>
      <c r="E417" s="42">
        <v>30007</v>
      </c>
      <c r="F417" s="42">
        <v>3626102</v>
      </c>
      <c r="G417" s="42" t="s">
        <v>39</v>
      </c>
      <c r="H417" s="42">
        <v>250</v>
      </c>
      <c r="I417" s="42">
        <v>104</v>
      </c>
      <c r="J417" s="52">
        <v>8.6805555555555566E-2</v>
      </c>
    </row>
    <row r="418" spans="1:10" s="42" customFormat="1" ht="15" x14ac:dyDescent="0.25">
      <c r="A418" s="42" t="s">
        <v>86</v>
      </c>
      <c r="B418" s="42">
        <v>133533</v>
      </c>
      <c r="C418" s="42">
        <v>21</v>
      </c>
      <c r="D418" s="42" t="s">
        <v>11</v>
      </c>
      <c r="E418" s="42">
        <v>19746</v>
      </c>
      <c r="F418" s="42">
        <v>3626102</v>
      </c>
      <c r="G418" s="42" t="s">
        <v>39</v>
      </c>
      <c r="H418" s="42">
        <v>234</v>
      </c>
      <c r="I418" s="42">
        <v>236</v>
      </c>
      <c r="J418" s="52">
        <v>0.19305555555555554</v>
      </c>
    </row>
    <row r="419" spans="1:10" s="42" customFormat="1" ht="15" x14ac:dyDescent="0.25">
      <c r="A419" s="42" t="s">
        <v>86</v>
      </c>
      <c r="B419" s="42">
        <v>133534</v>
      </c>
      <c r="C419" s="42">
        <v>21</v>
      </c>
      <c r="D419" s="42" t="s">
        <v>11</v>
      </c>
      <c r="E419" s="42">
        <v>6473</v>
      </c>
      <c r="F419" s="42">
        <v>3626102</v>
      </c>
      <c r="G419" s="42" t="s">
        <v>39</v>
      </c>
      <c r="H419" s="42">
        <v>234</v>
      </c>
      <c r="I419" s="42">
        <v>94</v>
      </c>
      <c r="J419" s="52">
        <v>7.7083333333333337E-2</v>
      </c>
    </row>
    <row r="420" spans="1:10" s="42" customFormat="1" ht="15" x14ac:dyDescent="0.25">
      <c r="A420" s="42" t="s">
        <v>86</v>
      </c>
      <c r="B420" s="42">
        <v>133535</v>
      </c>
      <c r="C420" s="42">
        <v>21</v>
      </c>
      <c r="D420" s="42" t="s">
        <v>11</v>
      </c>
      <c r="E420" s="42">
        <v>30007</v>
      </c>
      <c r="F420" s="42">
        <v>3626102</v>
      </c>
      <c r="G420" s="42" t="s">
        <v>39</v>
      </c>
      <c r="H420" s="42">
        <v>234</v>
      </c>
      <c r="I420" s="42">
        <v>120</v>
      </c>
      <c r="J420" s="52">
        <v>9.7916666666666666E-2</v>
      </c>
    </row>
    <row r="421" spans="1:10" s="42" customFormat="1" ht="15" x14ac:dyDescent="0.25">
      <c r="A421" s="42" t="s">
        <v>86</v>
      </c>
      <c r="B421" s="42">
        <v>133536</v>
      </c>
      <c r="C421" s="42">
        <v>21</v>
      </c>
      <c r="D421" s="42" t="s">
        <v>11</v>
      </c>
      <c r="E421" s="42">
        <v>3941</v>
      </c>
      <c r="F421" s="42">
        <v>3626102</v>
      </c>
      <c r="G421" s="42" t="s">
        <v>39</v>
      </c>
      <c r="H421" s="42">
        <v>234</v>
      </c>
      <c r="I421" s="42">
        <v>14</v>
      </c>
      <c r="J421" s="52">
        <v>1.1111111111111112E-2</v>
      </c>
    </row>
    <row r="422" spans="1:10" s="42" customFormat="1" ht="15" x14ac:dyDescent="0.25">
      <c r="A422" s="42" t="s">
        <v>86</v>
      </c>
      <c r="B422" s="42">
        <v>133537</v>
      </c>
      <c r="C422" s="42">
        <v>21</v>
      </c>
      <c r="D422" s="42" t="s">
        <v>11</v>
      </c>
      <c r="E422" s="42">
        <v>1276</v>
      </c>
      <c r="F422" s="42">
        <v>3626102</v>
      </c>
      <c r="G422" s="42" t="s">
        <v>39</v>
      </c>
      <c r="H422" s="42">
        <v>234</v>
      </c>
      <c r="I422" s="42">
        <v>220</v>
      </c>
      <c r="J422" s="52">
        <v>0.17986111111111111</v>
      </c>
    </row>
    <row r="423" spans="1:10" s="42" customFormat="1" ht="15" x14ac:dyDescent="0.25">
      <c r="A423" s="42" t="s">
        <v>86</v>
      </c>
      <c r="B423" s="42">
        <v>140933</v>
      </c>
      <c r="C423" s="42">
        <v>21</v>
      </c>
      <c r="D423" s="42" t="s">
        <v>11</v>
      </c>
      <c r="E423" s="42">
        <v>3941</v>
      </c>
      <c r="F423" s="42">
        <v>3626102</v>
      </c>
      <c r="G423" s="42" t="s">
        <v>39</v>
      </c>
      <c r="H423" s="42">
        <v>234</v>
      </c>
      <c r="I423" s="42">
        <v>254</v>
      </c>
      <c r="J423" s="52">
        <v>0.2076388888888889</v>
      </c>
    </row>
    <row r="424" spans="1:10" s="42" customFormat="1" ht="15" x14ac:dyDescent="0.25">
      <c r="A424" s="42" t="s">
        <v>86</v>
      </c>
      <c r="B424" s="42">
        <v>140989</v>
      </c>
      <c r="C424" s="42">
        <v>21</v>
      </c>
      <c r="D424" s="42" t="s">
        <v>11</v>
      </c>
      <c r="E424" s="42">
        <v>19746</v>
      </c>
      <c r="F424" s="42">
        <v>3626102</v>
      </c>
      <c r="G424" s="42" t="s">
        <v>39</v>
      </c>
      <c r="H424" s="42">
        <v>234</v>
      </c>
      <c r="I424" s="42">
        <v>52</v>
      </c>
      <c r="J424" s="52">
        <v>4.2361111111111106E-2</v>
      </c>
    </row>
    <row r="425" spans="1:10" s="42" customFormat="1" ht="15" x14ac:dyDescent="0.25">
      <c r="A425" s="42" t="s">
        <v>86</v>
      </c>
      <c r="B425" s="42">
        <v>140990</v>
      </c>
      <c r="C425" s="42">
        <v>21</v>
      </c>
      <c r="D425" s="42" t="s">
        <v>11</v>
      </c>
      <c r="E425" s="42">
        <v>6473</v>
      </c>
      <c r="F425" s="42">
        <v>3626102</v>
      </c>
      <c r="G425" s="42" t="s">
        <v>39</v>
      </c>
      <c r="H425" s="42">
        <v>234</v>
      </c>
      <c r="I425" s="42">
        <v>36</v>
      </c>
      <c r="J425" s="52">
        <v>2.9166666666666664E-2</v>
      </c>
    </row>
    <row r="426" spans="1:10" s="42" customFormat="1" ht="15" x14ac:dyDescent="0.25">
      <c r="A426" s="42" t="s">
        <v>86</v>
      </c>
      <c r="B426" s="42">
        <v>140992</v>
      </c>
      <c r="C426" s="42">
        <v>21</v>
      </c>
      <c r="D426" s="42" t="s">
        <v>11</v>
      </c>
      <c r="E426" s="42">
        <v>30007</v>
      </c>
      <c r="F426" s="42">
        <v>3626102</v>
      </c>
      <c r="G426" s="42" t="s">
        <v>39</v>
      </c>
      <c r="H426" s="42">
        <v>234</v>
      </c>
      <c r="I426" s="42">
        <v>36</v>
      </c>
      <c r="J426" s="52">
        <v>2.9166666666666664E-2</v>
      </c>
    </row>
    <row r="427" spans="1:10" s="42" customFormat="1" ht="15" x14ac:dyDescent="0.25">
      <c r="A427" s="42" t="s">
        <v>86</v>
      </c>
      <c r="B427" s="42">
        <v>140993</v>
      </c>
      <c r="C427" s="42">
        <v>21</v>
      </c>
      <c r="D427" s="42" t="s">
        <v>11</v>
      </c>
      <c r="E427" s="42">
        <v>1276</v>
      </c>
      <c r="F427" s="42">
        <v>3626102</v>
      </c>
      <c r="G427" s="42" t="s">
        <v>39</v>
      </c>
      <c r="H427" s="42">
        <v>234</v>
      </c>
      <c r="I427" s="42">
        <v>52</v>
      </c>
      <c r="J427" s="52">
        <v>4.2361111111111106E-2</v>
      </c>
    </row>
    <row r="428" spans="1:10" s="42" customFormat="1" ht="15" x14ac:dyDescent="0.25">
      <c r="A428" s="42" t="s">
        <v>87</v>
      </c>
      <c r="B428" s="42">
        <v>127275</v>
      </c>
      <c r="C428" s="42">
        <v>51</v>
      </c>
      <c r="D428" s="42" t="s">
        <v>11</v>
      </c>
      <c r="E428" s="42">
        <v>16331</v>
      </c>
      <c r="F428" s="42">
        <v>3611402</v>
      </c>
      <c r="G428" s="42" t="s">
        <v>88</v>
      </c>
      <c r="H428" s="42">
        <v>334</v>
      </c>
      <c r="I428" s="42">
        <v>68</v>
      </c>
      <c r="J428" s="52">
        <v>3.2638888888888891E-2</v>
      </c>
    </row>
    <row r="429" spans="1:10" s="42" customFormat="1" ht="15" x14ac:dyDescent="0.25">
      <c r="A429" s="42" t="s">
        <v>87</v>
      </c>
      <c r="B429" s="42">
        <v>127275</v>
      </c>
      <c r="C429" s="42">
        <v>53</v>
      </c>
      <c r="D429" s="42" t="s">
        <v>11</v>
      </c>
      <c r="E429" s="42">
        <v>16331</v>
      </c>
      <c r="F429" s="42">
        <v>3611402</v>
      </c>
      <c r="G429" s="42" t="s">
        <v>88</v>
      </c>
      <c r="H429" s="42">
        <v>360</v>
      </c>
      <c r="I429" s="42">
        <v>146</v>
      </c>
      <c r="J429" s="52">
        <v>7.2222222222222229E-2</v>
      </c>
    </row>
    <row r="430" spans="1:10" s="42" customFormat="1" ht="15" x14ac:dyDescent="0.25">
      <c r="A430" s="42" t="s">
        <v>87</v>
      </c>
      <c r="B430" s="42">
        <v>127276</v>
      </c>
      <c r="C430" s="42">
        <v>51</v>
      </c>
      <c r="D430" s="42" t="s">
        <v>11</v>
      </c>
      <c r="E430" s="42">
        <v>16572</v>
      </c>
      <c r="F430" s="42">
        <v>3611402</v>
      </c>
      <c r="G430" s="42" t="s">
        <v>88</v>
      </c>
      <c r="H430" s="42">
        <v>334</v>
      </c>
      <c r="I430" s="42">
        <v>118</v>
      </c>
      <c r="J430" s="52">
        <v>5.6944444444444443E-2</v>
      </c>
    </row>
    <row r="431" spans="1:10" s="42" customFormat="1" ht="15" x14ac:dyDescent="0.25">
      <c r="A431" s="42" t="s">
        <v>87</v>
      </c>
      <c r="B431" s="42">
        <v>133659</v>
      </c>
      <c r="C431" s="42">
        <v>52</v>
      </c>
      <c r="D431" s="42" t="s">
        <v>11</v>
      </c>
      <c r="E431" s="42">
        <v>1101</v>
      </c>
      <c r="F431" s="42">
        <v>1222622</v>
      </c>
      <c r="G431" s="42" t="s">
        <v>89</v>
      </c>
      <c r="H431" s="42">
        <v>356</v>
      </c>
      <c r="I431" s="42">
        <v>30</v>
      </c>
      <c r="J431" s="52">
        <v>1.1805555555555555E-2</v>
      </c>
    </row>
    <row r="432" spans="1:10" s="42" customFormat="1" ht="15" x14ac:dyDescent="0.25">
      <c r="A432" s="42" t="s">
        <v>87</v>
      </c>
      <c r="B432" s="42">
        <v>145811</v>
      </c>
      <c r="C432" s="42">
        <v>62</v>
      </c>
      <c r="D432" s="42" t="s">
        <v>11</v>
      </c>
      <c r="E432" s="42">
        <v>1003</v>
      </c>
      <c r="F432" s="42">
        <v>1249602</v>
      </c>
      <c r="G432" s="42" t="s">
        <v>67</v>
      </c>
      <c r="H432" s="42">
        <v>450</v>
      </c>
      <c r="I432" s="42">
        <v>40</v>
      </c>
      <c r="J432" s="52">
        <v>0</v>
      </c>
    </row>
    <row r="433" spans="1:10" s="42" customFormat="1" ht="15" x14ac:dyDescent="0.25">
      <c r="A433" s="42" t="s">
        <v>87</v>
      </c>
      <c r="B433" s="42">
        <v>145811</v>
      </c>
      <c r="C433" s="42">
        <v>62</v>
      </c>
      <c r="D433" s="42" t="s">
        <v>11</v>
      </c>
      <c r="E433" s="42">
        <v>1003</v>
      </c>
      <c r="F433" s="42">
        <v>1249602</v>
      </c>
      <c r="G433" s="42" t="s">
        <v>67</v>
      </c>
      <c r="H433" s="42">
        <v>467</v>
      </c>
      <c r="I433" s="42">
        <v>70</v>
      </c>
      <c r="J433" s="52">
        <v>3.3333333333333333E-2</v>
      </c>
    </row>
    <row r="434" spans="1:10" s="42" customFormat="1" ht="15" x14ac:dyDescent="0.25">
      <c r="A434" s="42" t="s">
        <v>87</v>
      </c>
      <c r="B434" s="42">
        <v>145814</v>
      </c>
      <c r="C434" s="42">
        <v>41</v>
      </c>
      <c r="D434" s="42" t="s">
        <v>11</v>
      </c>
      <c r="E434" s="42">
        <v>1039</v>
      </c>
      <c r="F434" s="42">
        <v>1249602</v>
      </c>
      <c r="G434" s="42" t="s">
        <v>67</v>
      </c>
      <c r="H434" s="42">
        <v>467</v>
      </c>
      <c r="I434" s="42">
        <v>20</v>
      </c>
      <c r="J434" s="52">
        <v>9.7222222222222224E-3</v>
      </c>
    </row>
    <row r="435" spans="1:10" s="42" customFormat="1" ht="15" x14ac:dyDescent="0.25">
      <c r="A435" s="42" t="s">
        <v>87</v>
      </c>
      <c r="B435" s="42">
        <v>145816</v>
      </c>
      <c r="C435" s="42">
        <v>54</v>
      </c>
      <c r="D435" s="42" t="s">
        <v>11</v>
      </c>
      <c r="E435" s="42">
        <v>1003</v>
      </c>
      <c r="F435" s="42">
        <v>1249602</v>
      </c>
      <c r="G435" s="42" t="s">
        <v>67</v>
      </c>
      <c r="H435" s="42">
        <v>467</v>
      </c>
      <c r="I435" s="42">
        <v>40</v>
      </c>
      <c r="J435" s="52">
        <v>1.8749999999999999E-2</v>
      </c>
    </row>
    <row r="436" spans="1:10" s="42" customFormat="1" ht="15" x14ac:dyDescent="0.25">
      <c r="A436" s="42" t="s">
        <v>87</v>
      </c>
      <c r="B436" s="42">
        <v>145823</v>
      </c>
      <c r="C436" s="42">
        <v>62</v>
      </c>
      <c r="D436" s="42" t="s">
        <v>11</v>
      </c>
      <c r="E436" s="42">
        <v>1039</v>
      </c>
      <c r="F436" s="42">
        <v>1249602</v>
      </c>
      <c r="G436" s="42" t="s">
        <v>67</v>
      </c>
      <c r="H436" s="42">
        <v>450</v>
      </c>
      <c r="I436" s="42">
        <v>60</v>
      </c>
      <c r="J436" s="52">
        <v>0</v>
      </c>
    </row>
    <row r="437" spans="1:10" s="42" customFormat="1" ht="15" x14ac:dyDescent="0.25">
      <c r="A437" s="42" t="s">
        <v>87</v>
      </c>
      <c r="B437" s="42">
        <v>145823</v>
      </c>
      <c r="C437" s="42">
        <v>62</v>
      </c>
      <c r="D437" s="42" t="s">
        <v>11</v>
      </c>
      <c r="E437" s="42">
        <v>1039</v>
      </c>
      <c r="F437" s="42">
        <v>1249602</v>
      </c>
      <c r="G437" s="42" t="s">
        <v>67</v>
      </c>
      <c r="H437" s="42">
        <v>467</v>
      </c>
      <c r="I437" s="42">
        <v>132</v>
      </c>
      <c r="J437" s="52">
        <v>6.25E-2</v>
      </c>
    </row>
    <row r="438" spans="1:10" s="42" customFormat="1" ht="15" x14ac:dyDescent="0.25">
      <c r="A438" s="42" t="s">
        <v>87</v>
      </c>
      <c r="B438" s="42">
        <v>145827</v>
      </c>
      <c r="C438" s="42">
        <v>62</v>
      </c>
      <c r="D438" s="42" t="s">
        <v>11</v>
      </c>
      <c r="E438" s="42">
        <v>1682</v>
      </c>
      <c r="F438" s="42">
        <v>1249602</v>
      </c>
      <c r="G438" s="42" t="s">
        <v>67</v>
      </c>
      <c r="H438" s="42">
        <v>450</v>
      </c>
      <c r="I438" s="42">
        <v>50</v>
      </c>
      <c r="J438" s="52">
        <v>2.361111111111111E-2</v>
      </c>
    </row>
    <row r="439" spans="1:10" s="42" customFormat="1" ht="15" x14ac:dyDescent="0.25">
      <c r="A439" s="42" t="s">
        <v>87</v>
      </c>
      <c r="B439" s="42">
        <v>145827</v>
      </c>
      <c r="C439" s="42">
        <v>62</v>
      </c>
      <c r="D439" s="42" t="s">
        <v>11</v>
      </c>
      <c r="E439" s="42">
        <v>1682</v>
      </c>
      <c r="F439" s="42">
        <v>1249602</v>
      </c>
      <c r="G439" s="42" t="s">
        <v>67</v>
      </c>
      <c r="H439" s="42">
        <v>467</v>
      </c>
      <c r="I439" s="42">
        <v>30</v>
      </c>
      <c r="J439" s="52">
        <v>0</v>
      </c>
    </row>
    <row r="440" spans="1:10" s="42" customFormat="1" ht="15" x14ac:dyDescent="0.25">
      <c r="A440" s="42" t="s">
        <v>87</v>
      </c>
      <c r="B440" s="42">
        <v>145829</v>
      </c>
      <c r="C440" s="42">
        <v>60</v>
      </c>
      <c r="D440" s="42" t="s">
        <v>11</v>
      </c>
      <c r="E440" s="42">
        <v>1039</v>
      </c>
      <c r="F440" s="42">
        <v>1249602</v>
      </c>
      <c r="G440" s="42" t="s">
        <v>67</v>
      </c>
      <c r="H440" s="42">
        <v>450</v>
      </c>
      <c r="I440" s="42">
        <v>20</v>
      </c>
      <c r="J440" s="52">
        <v>9.7222222222222224E-3</v>
      </c>
    </row>
    <row r="441" spans="1:10" s="42" customFormat="1" ht="15" x14ac:dyDescent="0.25">
      <c r="A441" s="42" t="s">
        <v>87</v>
      </c>
      <c r="B441" s="42">
        <v>145829</v>
      </c>
      <c r="C441" s="42">
        <v>60</v>
      </c>
      <c r="D441" s="42" t="s">
        <v>11</v>
      </c>
      <c r="E441" s="42">
        <v>1039</v>
      </c>
      <c r="F441" s="42">
        <v>1249602</v>
      </c>
      <c r="G441" s="42" t="s">
        <v>67</v>
      </c>
      <c r="H441" s="42">
        <v>467</v>
      </c>
      <c r="I441" s="42">
        <v>20</v>
      </c>
      <c r="J441" s="52">
        <v>0</v>
      </c>
    </row>
    <row r="442" spans="1:10" s="42" customFormat="1" ht="15" x14ac:dyDescent="0.25">
      <c r="A442" s="42" t="s">
        <v>87</v>
      </c>
      <c r="B442" s="42">
        <v>145901</v>
      </c>
      <c r="C442" s="42">
        <v>314</v>
      </c>
      <c r="D442" s="42" t="s">
        <v>11</v>
      </c>
      <c r="E442" s="42">
        <v>1101</v>
      </c>
      <c r="F442" s="42">
        <v>1222602</v>
      </c>
      <c r="G442" s="42" t="s">
        <v>89</v>
      </c>
      <c r="H442" s="42">
        <v>356</v>
      </c>
      <c r="I442" s="42">
        <v>50</v>
      </c>
      <c r="J442" s="52">
        <v>1.9444444444444445E-2</v>
      </c>
    </row>
    <row r="443" spans="1:10" s="42" customFormat="1" ht="15" x14ac:dyDescent="0.25">
      <c r="A443" s="42" t="s">
        <v>87</v>
      </c>
      <c r="B443" s="42">
        <v>145901</v>
      </c>
      <c r="C443" s="42">
        <v>351</v>
      </c>
      <c r="D443" s="42" t="s">
        <v>11</v>
      </c>
      <c r="E443" s="42">
        <v>1101</v>
      </c>
      <c r="F443" s="42">
        <v>1222622</v>
      </c>
      <c r="G443" s="42" t="s">
        <v>89</v>
      </c>
      <c r="H443" s="42">
        <v>356</v>
      </c>
      <c r="I443" s="42">
        <v>40</v>
      </c>
      <c r="J443" s="52">
        <v>1.5972222222222224E-2</v>
      </c>
    </row>
    <row r="444" spans="1:10" s="42" customFormat="1" ht="15" x14ac:dyDescent="0.25">
      <c r="A444" s="42" t="s">
        <v>87</v>
      </c>
      <c r="B444" s="42">
        <v>146067</v>
      </c>
      <c r="C444" s="42">
        <v>19</v>
      </c>
      <c r="D444" s="42" t="s">
        <v>11</v>
      </c>
      <c r="E444" s="42">
        <v>14211</v>
      </c>
      <c r="F444" s="42">
        <v>2332202</v>
      </c>
      <c r="G444" s="42" t="s">
        <v>55</v>
      </c>
      <c r="H444" s="42">
        <v>250</v>
      </c>
      <c r="I444" s="42">
        <v>112</v>
      </c>
      <c r="J444" s="52">
        <v>7.9166666666666663E-2</v>
      </c>
    </row>
    <row r="445" spans="1:10" s="42" customFormat="1" ht="15" x14ac:dyDescent="0.25">
      <c r="A445" s="42" t="s">
        <v>87</v>
      </c>
      <c r="B445" s="42">
        <v>146067</v>
      </c>
      <c r="C445" s="42">
        <v>51</v>
      </c>
      <c r="D445" s="42" t="s">
        <v>11</v>
      </c>
      <c r="E445" s="42">
        <v>16478</v>
      </c>
      <c r="F445" s="42">
        <v>2332204</v>
      </c>
      <c r="G445" s="42" t="s">
        <v>24</v>
      </c>
      <c r="H445" s="42">
        <v>356</v>
      </c>
      <c r="I445" s="42">
        <v>26</v>
      </c>
      <c r="J445" s="52">
        <v>1.0416666666666666E-2</v>
      </c>
    </row>
    <row r="446" spans="1:10" s="42" customFormat="1" ht="15" x14ac:dyDescent="0.25">
      <c r="A446" s="42" t="s">
        <v>87</v>
      </c>
      <c r="B446" s="42">
        <v>146068</v>
      </c>
      <c r="C446" s="42">
        <v>21</v>
      </c>
      <c r="D446" s="42" t="s">
        <v>11</v>
      </c>
      <c r="E446" s="42">
        <v>1255</v>
      </c>
      <c r="F446" s="42">
        <v>2332202</v>
      </c>
      <c r="G446" s="42" t="s">
        <v>55</v>
      </c>
      <c r="H446" s="42">
        <v>234</v>
      </c>
      <c r="I446" s="42">
        <v>64</v>
      </c>
      <c r="J446" s="52">
        <v>4.5138888888888888E-2</v>
      </c>
    </row>
    <row r="447" spans="1:10" s="42" customFormat="1" ht="15" x14ac:dyDescent="0.25">
      <c r="A447" s="42" t="s">
        <v>87</v>
      </c>
      <c r="B447" s="42">
        <v>146068</v>
      </c>
      <c r="C447" s="42">
        <v>22</v>
      </c>
      <c r="D447" s="42" t="s">
        <v>11</v>
      </c>
      <c r="E447" s="42">
        <v>1255</v>
      </c>
      <c r="F447" s="42">
        <v>2332202</v>
      </c>
      <c r="G447" s="42" t="s">
        <v>55</v>
      </c>
      <c r="H447" s="42">
        <v>250</v>
      </c>
      <c r="I447" s="42">
        <v>260</v>
      </c>
      <c r="J447" s="52">
        <v>0.18333333333333335</v>
      </c>
    </row>
    <row r="448" spans="1:10" s="42" customFormat="1" ht="15" x14ac:dyDescent="0.25">
      <c r="A448" s="42" t="s">
        <v>87</v>
      </c>
      <c r="B448" s="42">
        <v>146068</v>
      </c>
      <c r="C448" s="42">
        <v>56</v>
      </c>
      <c r="D448" s="42" t="s">
        <v>11</v>
      </c>
      <c r="E448" s="42">
        <v>14358</v>
      </c>
      <c r="F448" s="42">
        <v>2332204</v>
      </c>
      <c r="G448" s="42" t="s">
        <v>24</v>
      </c>
      <c r="H448" s="42">
        <v>356</v>
      </c>
      <c r="I448" s="42">
        <v>114</v>
      </c>
      <c r="J448" s="52">
        <v>4.5833333333333337E-2</v>
      </c>
    </row>
    <row r="449" spans="1:10" s="42" customFormat="1" ht="15" x14ac:dyDescent="0.25">
      <c r="A449" s="42" t="s">
        <v>87</v>
      </c>
      <c r="B449" s="42">
        <v>146069</v>
      </c>
      <c r="C449" s="42">
        <v>21</v>
      </c>
      <c r="D449" s="42" t="s">
        <v>11</v>
      </c>
      <c r="E449" s="42">
        <v>6008</v>
      </c>
      <c r="F449" s="42">
        <v>2332202</v>
      </c>
      <c r="G449" s="42" t="s">
        <v>55</v>
      </c>
      <c r="H449" s="42">
        <v>234</v>
      </c>
      <c r="I449" s="42">
        <v>26</v>
      </c>
      <c r="J449" s="52">
        <v>1.8055555555555557E-2</v>
      </c>
    </row>
    <row r="450" spans="1:10" s="42" customFormat="1" ht="15" x14ac:dyDescent="0.25">
      <c r="A450" s="42" t="s">
        <v>87</v>
      </c>
      <c r="B450" s="42">
        <v>146069</v>
      </c>
      <c r="C450" s="42">
        <v>22</v>
      </c>
      <c r="D450" s="42" t="s">
        <v>11</v>
      </c>
      <c r="E450" s="42">
        <v>6008</v>
      </c>
      <c r="F450" s="42">
        <v>2332202</v>
      </c>
      <c r="G450" s="42" t="s">
        <v>55</v>
      </c>
      <c r="H450" s="42">
        <v>250</v>
      </c>
      <c r="I450" s="42">
        <v>36</v>
      </c>
      <c r="J450" s="52">
        <v>2.5694444444444447E-2</v>
      </c>
    </row>
    <row r="451" spans="1:10" s="42" customFormat="1" ht="15" x14ac:dyDescent="0.25">
      <c r="A451" s="42" t="s">
        <v>87</v>
      </c>
      <c r="B451" s="42">
        <v>146070</v>
      </c>
      <c r="C451" s="42">
        <v>19</v>
      </c>
      <c r="D451" s="42" t="s">
        <v>11</v>
      </c>
      <c r="E451" s="42">
        <v>16536</v>
      </c>
      <c r="F451" s="42">
        <v>2332202</v>
      </c>
      <c r="G451" s="42" t="s">
        <v>55</v>
      </c>
      <c r="H451" s="42">
        <v>250</v>
      </c>
      <c r="I451" s="42">
        <v>48</v>
      </c>
      <c r="J451" s="52">
        <v>3.4027777777777775E-2</v>
      </c>
    </row>
    <row r="452" spans="1:10" s="42" customFormat="1" ht="15" x14ac:dyDescent="0.25">
      <c r="A452" s="42" t="s">
        <v>87</v>
      </c>
      <c r="B452" s="42">
        <v>146070</v>
      </c>
      <c r="C452" s="42">
        <v>51</v>
      </c>
      <c r="D452" s="42" t="s">
        <v>11</v>
      </c>
      <c r="E452" s="42">
        <v>1255</v>
      </c>
      <c r="F452" s="42">
        <v>2332204</v>
      </c>
      <c r="G452" s="42" t="s">
        <v>24</v>
      </c>
      <c r="H452" s="42">
        <v>356</v>
      </c>
      <c r="I452" s="42">
        <v>38</v>
      </c>
      <c r="J452" s="52">
        <v>1.5277777777777777E-2</v>
      </c>
    </row>
    <row r="453" spans="1:10" s="42" customFormat="1" ht="15" x14ac:dyDescent="0.25">
      <c r="A453" s="42" t="s">
        <v>87</v>
      </c>
      <c r="B453" s="42">
        <v>149233</v>
      </c>
      <c r="C453" s="42">
        <v>1</v>
      </c>
      <c r="D453" s="42" t="s">
        <v>11</v>
      </c>
      <c r="E453" s="42">
        <v>1127</v>
      </c>
      <c r="F453" s="42">
        <v>8354304</v>
      </c>
      <c r="G453" s="42" t="s">
        <v>90</v>
      </c>
      <c r="H453" s="42">
        <v>312</v>
      </c>
      <c r="I453" s="42">
        <v>200</v>
      </c>
      <c r="J453" s="52">
        <v>9.375E-2</v>
      </c>
    </row>
    <row r="454" spans="1:10" s="42" customFormat="1" ht="15" x14ac:dyDescent="0.25">
      <c r="A454" s="42" t="s">
        <v>87</v>
      </c>
      <c r="B454" s="42">
        <v>149235</v>
      </c>
      <c r="C454" s="42">
        <v>1</v>
      </c>
      <c r="D454" s="42" t="s">
        <v>11</v>
      </c>
      <c r="E454" s="42">
        <v>1127</v>
      </c>
      <c r="F454" s="42">
        <v>8354304</v>
      </c>
      <c r="G454" s="42" t="s">
        <v>90</v>
      </c>
      <c r="H454" s="42">
        <v>293</v>
      </c>
      <c r="I454" s="42">
        <v>210</v>
      </c>
      <c r="J454" s="52">
        <v>9.8611111111111108E-2</v>
      </c>
    </row>
    <row r="455" spans="1:10" s="42" customFormat="1" ht="15" x14ac:dyDescent="0.25">
      <c r="A455" s="42" t="s">
        <v>91</v>
      </c>
      <c r="B455" s="42">
        <v>132254</v>
      </c>
      <c r="C455" s="42">
        <v>38</v>
      </c>
      <c r="D455" s="42" t="s">
        <v>11</v>
      </c>
      <c r="E455" s="42">
        <v>1276</v>
      </c>
      <c r="F455" s="42">
        <v>8284204</v>
      </c>
      <c r="G455" s="42" t="s">
        <v>92</v>
      </c>
      <c r="H455" s="42">
        <v>360</v>
      </c>
      <c r="I455" s="42">
        <v>510</v>
      </c>
      <c r="J455" s="52">
        <v>0</v>
      </c>
    </row>
    <row r="456" spans="1:10" s="42" customFormat="1" ht="15" x14ac:dyDescent="0.25">
      <c r="A456" s="42" t="s">
        <v>91</v>
      </c>
      <c r="B456" s="42">
        <v>132254</v>
      </c>
      <c r="C456" s="42">
        <v>38</v>
      </c>
      <c r="D456" s="42" t="s">
        <v>11</v>
      </c>
      <c r="E456" s="42">
        <v>1276</v>
      </c>
      <c r="F456" s="42">
        <v>8284204</v>
      </c>
      <c r="G456" s="42" t="s">
        <v>92</v>
      </c>
      <c r="H456" s="42">
        <v>370</v>
      </c>
      <c r="I456" s="42">
        <v>518</v>
      </c>
      <c r="J456" s="52">
        <v>0.23472222222222219</v>
      </c>
    </row>
    <row r="457" spans="1:10" s="42" customFormat="1" ht="15" x14ac:dyDescent="0.25">
      <c r="A457" s="42" t="s">
        <v>91</v>
      </c>
      <c r="B457" s="42">
        <v>133472</v>
      </c>
      <c r="C457" s="42">
        <v>22</v>
      </c>
      <c r="D457" s="42" t="s">
        <v>11</v>
      </c>
      <c r="E457" s="42">
        <v>6559</v>
      </c>
      <c r="F457" s="42">
        <v>8284202</v>
      </c>
      <c r="G457" s="42" t="s">
        <v>93</v>
      </c>
      <c r="H457" s="42">
        <v>350</v>
      </c>
      <c r="I457" s="42">
        <v>166</v>
      </c>
      <c r="J457" s="52">
        <v>8.1250000000000003E-2</v>
      </c>
    </row>
    <row r="458" spans="1:10" s="42" customFormat="1" ht="15" x14ac:dyDescent="0.25">
      <c r="A458" s="42" t="s">
        <v>91</v>
      </c>
      <c r="B458" s="42">
        <v>133472</v>
      </c>
      <c r="C458" s="42">
        <v>22</v>
      </c>
      <c r="D458" s="42" t="s">
        <v>11</v>
      </c>
      <c r="E458" s="42">
        <v>6559</v>
      </c>
      <c r="F458" s="42">
        <v>8284202</v>
      </c>
      <c r="G458" s="42" t="s">
        <v>93</v>
      </c>
      <c r="H458" s="42">
        <v>380</v>
      </c>
      <c r="I458" s="42">
        <v>134</v>
      </c>
      <c r="J458" s="52">
        <v>0</v>
      </c>
    </row>
    <row r="459" spans="1:10" s="42" customFormat="1" ht="15" x14ac:dyDescent="0.25">
      <c r="A459" s="42" t="s">
        <v>91</v>
      </c>
      <c r="B459" s="42">
        <v>133472</v>
      </c>
      <c r="C459" s="42">
        <v>36</v>
      </c>
      <c r="D459" s="42" t="s">
        <v>11</v>
      </c>
      <c r="E459" s="42">
        <v>16354</v>
      </c>
      <c r="F459" s="42">
        <v>8284204</v>
      </c>
      <c r="G459" s="42" t="s">
        <v>92</v>
      </c>
      <c r="H459" s="42">
        <v>334</v>
      </c>
      <c r="I459" s="42">
        <v>80</v>
      </c>
      <c r="J459" s="52">
        <v>3.6111111111111115E-2</v>
      </c>
    </row>
    <row r="460" spans="1:10" s="42" customFormat="1" ht="15" x14ac:dyDescent="0.25">
      <c r="A460" s="42" t="s">
        <v>91</v>
      </c>
      <c r="B460" s="42">
        <v>133472</v>
      </c>
      <c r="C460" s="42">
        <v>36</v>
      </c>
      <c r="D460" s="42" t="s">
        <v>11</v>
      </c>
      <c r="E460" s="42">
        <v>16354</v>
      </c>
      <c r="F460" s="42">
        <v>8284204</v>
      </c>
      <c r="G460" s="42" t="s">
        <v>92</v>
      </c>
      <c r="H460" s="42">
        <v>394</v>
      </c>
      <c r="I460" s="42">
        <v>56</v>
      </c>
      <c r="J460" s="52">
        <v>0</v>
      </c>
    </row>
    <row r="461" spans="1:10" s="42" customFormat="1" ht="15" x14ac:dyDescent="0.25">
      <c r="A461" s="42" t="s">
        <v>91</v>
      </c>
      <c r="B461" s="42">
        <v>133472</v>
      </c>
      <c r="C461" s="42">
        <v>38</v>
      </c>
      <c r="D461" s="42" t="s">
        <v>11</v>
      </c>
      <c r="E461" s="42">
        <v>16354</v>
      </c>
      <c r="F461" s="42">
        <v>8284204</v>
      </c>
      <c r="G461" s="42" t="s">
        <v>92</v>
      </c>
      <c r="H461" s="42">
        <v>360</v>
      </c>
      <c r="I461" s="42">
        <v>236</v>
      </c>
      <c r="J461" s="52">
        <v>0.10694444444444444</v>
      </c>
    </row>
    <row r="462" spans="1:10" s="42" customFormat="1" ht="15" x14ac:dyDescent="0.25">
      <c r="A462" s="42" t="s">
        <v>91</v>
      </c>
      <c r="B462" s="42">
        <v>133472</v>
      </c>
      <c r="C462" s="42">
        <v>38</v>
      </c>
      <c r="D462" s="42" t="s">
        <v>11</v>
      </c>
      <c r="E462" s="42">
        <v>16354</v>
      </c>
      <c r="F462" s="42">
        <v>8284204</v>
      </c>
      <c r="G462" s="42" t="s">
        <v>92</v>
      </c>
      <c r="H462" s="42">
        <v>370</v>
      </c>
      <c r="I462" s="42">
        <v>230</v>
      </c>
      <c r="J462" s="52">
        <v>0</v>
      </c>
    </row>
    <row r="463" spans="1:10" s="42" customFormat="1" ht="15" x14ac:dyDescent="0.25">
      <c r="A463" s="42" t="s">
        <v>94</v>
      </c>
      <c r="B463" s="42">
        <v>145815</v>
      </c>
      <c r="C463" s="42">
        <v>16</v>
      </c>
      <c r="D463" s="42" t="s">
        <v>11</v>
      </c>
      <c r="E463" s="42">
        <v>1039</v>
      </c>
      <c r="F463" s="42">
        <v>1226802</v>
      </c>
      <c r="G463" s="42" t="s">
        <v>26</v>
      </c>
      <c r="H463" s="42">
        <v>394</v>
      </c>
      <c r="I463" s="42">
        <v>64</v>
      </c>
      <c r="J463" s="52">
        <v>0</v>
      </c>
    </row>
    <row r="464" spans="1:10" s="42" customFormat="1" ht="15" x14ac:dyDescent="0.25">
      <c r="A464" s="42" t="s">
        <v>94</v>
      </c>
      <c r="B464" s="42">
        <v>145815</v>
      </c>
      <c r="C464" s="42">
        <v>16</v>
      </c>
      <c r="D464" s="42" t="s">
        <v>11</v>
      </c>
      <c r="E464" s="42">
        <v>1039</v>
      </c>
      <c r="F464" s="42">
        <v>1226802</v>
      </c>
      <c r="G464" s="42" t="s">
        <v>26</v>
      </c>
      <c r="H464" s="42">
        <v>412</v>
      </c>
      <c r="I464" s="42">
        <v>128</v>
      </c>
      <c r="J464" s="52">
        <v>4.7222222222222221E-2</v>
      </c>
    </row>
    <row r="465" spans="1:10" s="42" customFormat="1" ht="15" x14ac:dyDescent="0.25">
      <c r="A465" s="42" t="s">
        <v>94</v>
      </c>
      <c r="B465" s="42">
        <v>145815</v>
      </c>
      <c r="C465" s="42">
        <v>35</v>
      </c>
      <c r="D465" s="42" t="s">
        <v>11</v>
      </c>
      <c r="E465" s="42">
        <v>1039</v>
      </c>
      <c r="F465" s="42">
        <v>1226822</v>
      </c>
      <c r="G465" s="42" t="s">
        <v>26</v>
      </c>
      <c r="H465" s="42">
        <v>394</v>
      </c>
      <c r="I465" s="42">
        <v>64</v>
      </c>
      <c r="J465" s="52">
        <v>0</v>
      </c>
    </row>
    <row r="466" spans="1:10" s="42" customFormat="1" ht="15" x14ac:dyDescent="0.25">
      <c r="A466" s="42" t="s">
        <v>94</v>
      </c>
      <c r="B466" s="42">
        <v>145815</v>
      </c>
      <c r="C466" s="42">
        <v>35</v>
      </c>
      <c r="D466" s="42" t="s">
        <v>11</v>
      </c>
      <c r="E466" s="42">
        <v>1039</v>
      </c>
      <c r="F466" s="42">
        <v>1226822</v>
      </c>
      <c r="G466" s="42" t="s">
        <v>26</v>
      </c>
      <c r="H466" s="42">
        <v>412</v>
      </c>
      <c r="I466" s="42">
        <v>96</v>
      </c>
      <c r="J466" s="52">
        <v>3.5416666666666666E-2</v>
      </c>
    </row>
    <row r="467" spans="1:10" s="42" customFormat="1" ht="15" x14ac:dyDescent="0.25">
      <c r="A467" s="42" t="s">
        <v>94</v>
      </c>
      <c r="B467" s="42">
        <v>145820</v>
      </c>
      <c r="C467" s="42">
        <v>16</v>
      </c>
      <c r="D467" s="42" t="s">
        <v>11</v>
      </c>
      <c r="E467" s="42">
        <v>1682</v>
      </c>
      <c r="F467" s="42">
        <v>1226802</v>
      </c>
      <c r="G467" s="42" t="s">
        <v>26</v>
      </c>
      <c r="H467" s="42">
        <v>394</v>
      </c>
      <c r="I467" s="42">
        <v>486</v>
      </c>
      <c r="J467" s="52">
        <v>0</v>
      </c>
    </row>
    <row r="468" spans="1:10" s="42" customFormat="1" ht="15" x14ac:dyDescent="0.25">
      <c r="A468" s="42" t="s">
        <v>94</v>
      </c>
      <c r="B468" s="42">
        <v>145820</v>
      </c>
      <c r="C468" s="42">
        <v>16</v>
      </c>
      <c r="D468" s="42" t="s">
        <v>11</v>
      </c>
      <c r="E468" s="42">
        <v>1682</v>
      </c>
      <c r="F468" s="42">
        <v>1226802</v>
      </c>
      <c r="G468" s="42" t="s">
        <v>26</v>
      </c>
      <c r="H468" s="42">
        <v>412</v>
      </c>
      <c r="I468" s="42">
        <v>896</v>
      </c>
      <c r="J468" s="52">
        <v>0.33055555555555555</v>
      </c>
    </row>
    <row r="469" spans="1:10" s="42" customFormat="1" ht="15" x14ac:dyDescent="0.25">
      <c r="A469" s="42" t="s">
        <v>94</v>
      </c>
      <c r="B469" s="42">
        <v>145820</v>
      </c>
      <c r="C469" s="42">
        <v>35</v>
      </c>
      <c r="D469" s="42" t="s">
        <v>11</v>
      </c>
      <c r="E469" s="42">
        <v>1682</v>
      </c>
      <c r="F469" s="42">
        <v>1226822</v>
      </c>
      <c r="G469" s="42" t="s">
        <v>26</v>
      </c>
      <c r="H469" s="42">
        <v>394</v>
      </c>
      <c r="I469" s="42">
        <v>896</v>
      </c>
      <c r="J469" s="52">
        <v>0.33055555555555555</v>
      </c>
    </row>
    <row r="470" spans="1:10" s="42" customFormat="1" ht="15" x14ac:dyDescent="0.25">
      <c r="A470" s="42" t="s">
        <v>94</v>
      </c>
      <c r="B470" s="42">
        <v>145820</v>
      </c>
      <c r="C470" s="42">
        <v>35</v>
      </c>
      <c r="D470" s="42" t="s">
        <v>11</v>
      </c>
      <c r="E470" s="42">
        <v>1682</v>
      </c>
      <c r="F470" s="42">
        <v>1226822</v>
      </c>
      <c r="G470" s="42" t="s">
        <v>26</v>
      </c>
      <c r="H470" s="42">
        <v>412</v>
      </c>
      <c r="I470" s="42">
        <v>672</v>
      </c>
      <c r="J470" s="52">
        <v>0</v>
      </c>
    </row>
    <row r="471" spans="1:10" s="42" customFormat="1" ht="15" x14ac:dyDescent="0.25">
      <c r="A471" s="42" t="s">
        <v>94</v>
      </c>
      <c r="B471" s="42">
        <v>145824</v>
      </c>
      <c r="C471" s="42">
        <v>16</v>
      </c>
      <c r="D471" s="42" t="s">
        <v>11</v>
      </c>
      <c r="E471" s="42">
        <v>1003</v>
      </c>
      <c r="F471" s="42">
        <v>1226802</v>
      </c>
      <c r="G471" s="42" t="s">
        <v>26</v>
      </c>
      <c r="H471" s="42">
        <v>394</v>
      </c>
      <c r="I471" s="42">
        <v>400</v>
      </c>
      <c r="J471" s="52">
        <v>0.14722222222222223</v>
      </c>
    </row>
    <row r="472" spans="1:10" s="42" customFormat="1" ht="15" x14ac:dyDescent="0.25">
      <c r="A472" s="42" t="s">
        <v>94</v>
      </c>
      <c r="B472" s="42">
        <v>145824</v>
      </c>
      <c r="C472" s="42">
        <v>16</v>
      </c>
      <c r="D472" s="42" t="s">
        <v>11</v>
      </c>
      <c r="E472" s="42">
        <v>1003</v>
      </c>
      <c r="F472" s="42">
        <v>1226802</v>
      </c>
      <c r="G472" s="42" t="s">
        <v>26</v>
      </c>
      <c r="H472" s="42">
        <v>412</v>
      </c>
      <c r="I472" s="42">
        <v>300</v>
      </c>
      <c r="J472" s="52">
        <v>0</v>
      </c>
    </row>
    <row r="473" spans="1:10" s="42" customFormat="1" ht="15" x14ac:dyDescent="0.25">
      <c r="A473" s="42" t="s">
        <v>94</v>
      </c>
      <c r="B473" s="42">
        <v>145824</v>
      </c>
      <c r="C473" s="42">
        <v>35</v>
      </c>
      <c r="D473" s="42" t="s">
        <v>11</v>
      </c>
      <c r="E473" s="42">
        <v>1003</v>
      </c>
      <c r="F473" s="42">
        <v>1226822</v>
      </c>
      <c r="G473" s="42" t="s">
        <v>26</v>
      </c>
      <c r="H473" s="42">
        <v>394</v>
      </c>
      <c r="I473" s="42">
        <v>50</v>
      </c>
      <c r="J473" s="52">
        <v>0</v>
      </c>
    </row>
    <row r="474" spans="1:10" s="42" customFormat="1" ht="15" x14ac:dyDescent="0.25">
      <c r="A474" s="42" t="s">
        <v>94</v>
      </c>
      <c r="B474" s="42">
        <v>145824</v>
      </c>
      <c r="C474" s="42">
        <v>35</v>
      </c>
      <c r="D474" s="42" t="s">
        <v>11</v>
      </c>
      <c r="E474" s="42">
        <v>1003</v>
      </c>
      <c r="F474" s="42">
        <v>1226822</v>
      </c>
      <c r="G474" s="42" t="s">
        <v>26</v>
      </c>
      <c r="H474" s="42">
        <v>412</v>
      </c>
      <c r="I474" s="42">
        <v>110</v>
      </c>
      <c r="J474" s="52">
        <v>4.027777777777778E-2</v>
      </c>
    </row>
    <row r="475" spans="1:10" s="42" customFormat="1" ht="15" x14ac:dyDescent="0.25">
      <c r="A475" s="42" t="s">
        <v>94</v>
      </c>
      <c r="B475" s="42">
        <v>145828</v>
      </c>
      <c r="C475" s="42">
        <v>14</v>
      </c>
      <c r="D475" s="42" t="s">
        <v>11</v>
      </c>
      <c r="E475" s="42">
        <v>1039</v>
      </c>
      <c r="F475" s="42">
        <v>1226802</v>
      </c>
      <c r="G475" s="42" t="s">
        <v>26</v>
      </c>
      <c r="H475" s="42">
        <v>394</v>
      </c>
      <c r="I475" s="42">
        <v>84</v>
      </c>
      <c r="J475" s="52">
        <v>3.125E-2</v>
      </c>
    </row>
    <row r="476" spans="1:10" s="42" customFormat="1" ht="15" x14ac:dyDescent="0.25">
      <c r="A476" s="42" t="s">
        <v>94</v>
      </c>
      <c r="B476" s="42">
        <v>145828</v>
      </c>
      <c r="C476" s="42">
        <v>14</v>
      </c>
      <c r="D476" s="42" t="s">
        <v>11</v>
      </c>
      <c r="E476" s="42">
        <v>1039</v>
      </c>
      <c r="F476" s="42">
        <v>1226802</v>
      </c>
      <c r="G476" s="42" t="s">
        <v>26</v>
      </c>
      <c r="H476" s="42">
        <v>412</v>
      </c>
      <c r="I476" s="42">
        <v>50</v>
      </c>
      <c r="J476" s="52">
        <v>0</v>
      </c>
    </row>
    <row r="477" spans="1:10" s="42" customFormat="1" ht="15" x14ac:dyDescent="0.25">
      <c r="A477" s="42" t="s">
        <v>94</v>
      </c>
      <c r="B477" s="42">
        <v>145828</v>
      </c>
      <c r="C477" s="42">
        <v>27</v>
      </c>
      <c r="D477" s="42" t="s">
        <v>11</v>
      </c>
      <c r="E477" s="42">
        <v>1039</v>
      </c>
      <c r="F477" s="42">
        <v>1226822</v>
      </c>
      <c r="G477" s="42" t="s">
        <v>26</v>
      </c>
      <c r="H477" s="42">
        <v>394</v>
      </c>
      <c r="I477" s="42">
        <v>112</v>
      </c>
      <c r="J477" s="52">
        <v>4.0972222222222222E-2</v>
      </c>
    </row>
    <row r="478" spans="1:10" s="42" customFormat="1" ht="15" x14ac:dyDescent="0.25">
      <c r="A478" s="42" t="s">
        <v>94</v>
      </c>
      <c r="B478" s="42">
        <v>145828</v>
      </c>
      <c r="C478" s="42">
        <v>27</v>
      </c>
      <c r="D478" s="42" t="s">
        <v>11</v>
      </c>
      <c r="E478" s="42">
        <v>1039</v>
      </c>
      <c r="F478" s="42">
        <v>1226822</v>
      </c>
      <c r="G478" s="42" t="s">
        <v>26</v>
      </c>
      <c r="H478" s="42">
        <v>412</v>
      </c>
      <c r="I478" s="42">
        <v>62</v>
      </c>
      <c r="J478" s="52">
        <v>0</v>
      </c>
    </row>
    <row r="479" spans="1:10" s="42" customFormat="1" ht="15" x14ac:dyDescent="0.25">
      <c r="A479" s="42" t="s">
        <v>95</v>
      </c>
      <c r="B479" s="42">
        <v>141567</v>
      </c>
      <c r="C479" s="42">
        <v>27</v>
      </c>
      <c r="D479" s="42" t="s">
        <v>11</v>
      </c>
      <c r="E479" s="42">
        <v>1003</v>
      </c>
      <c r="F479" s="42">
        <v>2726804</v>
      </c>
      <c r="G479" s="42" t="s">
        <v>16</v>
      </c>
      <c r="H479" s="42">
        <v>350</v>
      </c>
      <c r="I479" s="42">
        <v>300</v>
      </c>
      <c r="J479" s="52">
        <v>0.12222222222222223</v>
      </c>
    </row>
    <row r="480" spans="1:10" s="42" customFormat="1" ht="15" x14ac:dyDescent="0.25">
      <c r="A480" s="42" t="s">
        <v>95</v>
      </c>
      <c r="B480" s="42">
        <v>141567</v>
      </c>
      <c r="C480" s="42">
        <v>27</v>
      </c>
      <c r="D480" s="42" t="s">
        <v>11</v>
      </c>
      <c r="E480" s="42">
        <v>1003</v>
      </c>
      <c r="F480" s="42">
        <v>2726804</v>
      </c>
      <c r="G480" s="42" t="s">
        <v>16</v>
      </c>
      <c r="H480" s="42">
        <v>380</v>
      </c>
      <c r="I480" s="42">
        <v>300</v>
      </c>
      <c r="J480" s="52">
        <v>0</v>
      </c>
    </row>
    <row r="481" spans="1:10" s="42" customFormat="1" ht="15" x14ac:dyDescent="0.25">
      <c r="A481" s="42" t="s">
        <v>95</v>
      </c>
      <c r="B481" s="42">
        <v>141584</v>
      </c>
      <c r="C481" s="42">
        <v>26</v>
      </c>
      <c r="D481" s="42" t="s">
        <v>11</v>
      </c>
      <c r="E481" s="42">
        <v>1003</v>
      </c>
      <c r="F481" s="42">
        <v>8370104</v>
      </c>
      <c r="G481" s="42" t="s">
        <v>16</v>
      </c>
      <c r="H481" s="42">
        <v>350</v>
      </c>
      <c r="I481" s="42">
        <v>520</v>
      </c>
      <c r="J481" s="52">
        <v>0.21249999999999999</v>
      </c>
    </row>
    <row r="482" spans="1:10" s="42" customFormat="1" ht="15" x14ac:dyDescent="0.25">
      <c r="A482" s="42" t="s">
        <v>95</v>
      </c>
      <c r="B482" s="42">
        <v>141584</v>
      </c>
      <c r="C482" s="42">
        <v>26</v>
      </c>
      <c r="D482" s="42" t="s">
        <v>11</v>
      </c>
      <c r="E482" s="42">
        <v>1003</v>
      </c>
      <c r="F482" s="42">
        <v>8370104</v>
      </c>
      <c r="G482" s="42" t="s">
        <v>16</v>
      </c>
      <c r="H482" s="42">
        <v>380</v>
      </c>
      <c r="I482" s="42">
        <v>410</v>
      </c>
      <c r="J482" s="52">
        <v>0</v>
      </c>
    </row>
    <row r="483" spans="1:10" s="42" customFormat="1" ht="15" x14ac:dyDescent="0.25">
      <c r="A483" s="42" t="s">
        <v>95</v>
      </c>
      <c r="B483" s="42">
        <v>141587</v>
      </c>
      <c r="C483" s="42">
        <v>26</v>
      </c>
      <c r="D483" s="42" t="s">
        <v>11</v>
      </c>
      <c r="E483" s="42">
        <v>1674</v>
      </c>
      <c r="F483" s="42">
        <v>8370104</v>
      </c>
      <c r="G483" s="42" t="s">
        <v>16</v>
      </c>
      <c r="H483" s="42">
        <v>350</v>
      </c>
      <c r="I483" s="42">
        <v>342</v>
      </c>
      <c r="J483" s="52">
        <v>0</v>
      </c>
    </row>
    <row r="484" spans="1:10" s="42" customFormat="1" ht="15" x14ac:dyDescent="0.25">
      <c r="A484" s="42" t="s">
        <v>95</v>
      </c>
      <c r="B484" s="42">
        <v>141587</v>
      </c>
      <c r="C484" s="42">
        <v>26</v>
      </c>
      <c r="D484" s="42" t="s">
        <v>11</v>
      </c>
      <c r="E484" s="42">
        <v>1674</v>
      </c>
      <c r="F484" s="42">
        <v>8370104</v>
      </c>
      <c r="G484" s="42" t="s">
        <v>16</v>
      </c>
      <c r="H484" s="42">
        <v>380</v>
      </c>
      <c r="I484" s="42">
        <v>348</v>
      </c>
      <c r="J484" s="52">
        <v>0.1423611111111111</v>
      </c>
    </row>
    <row r="485" spans="1:10" s="42" customFormat="1" ht="15" x14ac:dyDescent="0.25">
      <c r="A485" s="42" t="s">
        <v>95</v>
      </c>
      <c r="B485" s="42">
        <v>141590</v>
      </c>
      <c r="C485" s="42">
        <v>25</v>
      </c>
      <c r="D485" s="42" t="s">
        <v>11</v>
      </c>
      <c r="E485" s="42">
        <v>1674</v>
      </c>
      <c r="F485" s="42">
        <v>8370804</v>
      </c>
      <c r="G485" s="42" t="s">
        <v>16</v>
      </c>
      <c r="H485" s="42">
        <v>350</v>
      </c>
      <c r="I485" s="42">
        <v>334</v>
      </c>
      <c r="J485" s="52">
        <v>0.1361111111111111</v>
      </c>
    </row>
    <row r="486" spans="1:10" s="42" customFormat="1" ht="15" x14ac:dyDescent="0.25">
      <c r="A486" s="42" t="s">
        <v>95</v>
      </c>
      <c r="B486" s="42">
        <v>141590</v>
      </c>
      <c r="C486" s="42">
        <v>25</v>
      </c>
      <c r="D486" s="42" t="s">
        <v>11</v>
      </c>
      <c r="E486" s="42">
        <v>1674</v>
      </c>
      <c r="F486" s="42">
        <v>8370804</v>
      </c>
      <c r="G486" s="42" t="s">
        <v>16</v>
      </c>
      <c r="H486" s="42">
        <v>380</v>
      </c>
      <c r="I486" s="42">
        <v>238</v>
      </c>
      <c r="J486" s="52">
        <v>0</v>
      </c>
    </row>
    <row r="487" spans="1:10" s="42" customFormat="1" ht="15" x14ac:dyDescent="0.25">
      <c r="A487" s="42" t="s">
        <v>95</v>
      </c>
      <c r="B487" s="42">
        <v>141925</v>
      </c>
      <c r="C487" s="42">
        <v>31</v>
      </c>
      <c r="D487" s="42" t="s">
        <v>11</v>
      </c>
      <c r="E487" s="42">
        <v>1003</v>
      </c>
      <c r="F487" s="42">
        <v>8370804</v>
      </c>
      <c r="G487" s="42" t="s">
        <v>16</v>
      </c>
      <c r="H487" s="42">
        <v>350</v>
      </c>
      <c r="I487" s="42">
        <v>545</v>
      </c>
      <c r="J487" s="52">
        <v>0</v>
      </c>
    </row>
    <row r="488" spans="1:10" s="42" customFormat="1" ht="15" x14ac:dyDescent="0.25">
      <c r="A488" s="42" t="s">
        <v>95</v>
      </c>
      <c r="B488" s="42">
        <v>141925</v>
      </c>
      <c r="C488" s="42">
        <v>31</v>
      </c>
      <c r="D488" s="42" t="s">
        <v>11</v>
      </c>
      <c r="E488" s="42">
        <v>1003</v>
      </c>
      <c r="F488" s="42">
        <v>8370804</v>
      </c>
      <c r="G488" s="42" t="s">
        <v>16</v>
      </c>
      <c r="H488" s="42">
        <v>380</v>
      </c>
      <c r="I488" s="42">
        <v>571</v>
      </c>
      <c r="J488" s="52">
        <v>0.23333333333333331</v>
      </c>
    </row>
    <row r="489" spans="1:10" s="42" customFormat="1" ht="15" x14ac:dyDescent="0.25">
      <c r="A489" s="42" t="s">
        <v>95</v>
      </c>
      <c r="B489" s="42">
        <v>149615</v>
      </c>
      <c r="C489" s="42">
        <v>1</v>
      </c>
      <c r="D489" s="42" t="s">
        <v>11</v>
      </c>
      <c r="E489" s="42">
        <v>1333</v>
      </c>
      <c r="F489" s="42">
        <v>8365804</v>
      </c>
      <c r="G489" s="42" t="s">
        <v>16</v>
      </c>
      <c r="H489" s="42">
        <v>350</v>
      </c>
      <c r="I489" s="42">
        <v>24</v>
      </c>
      <c r="J489" s="52">
        <v>9.7222222222222224E-3</v>
      </c>
    </row>
    <row r="490" spans="1:10" s="42" customFormat="1" ht="15" x14ac:dyDescent="0.25">
      <c r="A490" s="42" t="s">
        <v>96</v>
      </c>
      <c r="B490" s="42">
        <v>132253</v>
      </c>
      <c r="C490" s="42">
        <v>37</v>
      </c>
      <c r="D490" s="42" t="s">
        <v>11</v>
      </c>
      <c r="E490" s="42">
        <v>1003</v>
      </c>
      <c r="F490" s="42">
        <v>8284204</v>
      </c>
      <c r="G490" s="42" t="s">
        <v>92</v>
      </c>
      <c r="H490" s="42">
        <v>350</v>
      </c>
      <c r="I490" s="42">
        <v>700</v>
      </c>
      <c r="J490" s="52">
        <v>0.31736111111111115</v>
      </c>
    </row>
    <row r="491" spans="1:10" s="42" customFormat="1" ht="15" x14ac:dyDescent="0.25">
      <c r="A491" s="42" t="s">
        <v>96</v>
      </c>
      <c r="B491" s="42">
        <v>132253</v>
      </c>
      <c r="C491" s="42">
        <v>37</v>
      </c>
      <c r="D491" s="42" t="s">
        <v>11</v>
      </c>
      <c r="E491" s="42">
        <v>1003</v>
      </c>
      <c r="F491" s="42">
        <v>8284204</v>
      </c>
      <c r="G491" s="42" t="s">
        <v>92</v>
      </c>
      <c r="H491" s="42">
        <v>380</v>
      </c>
      <c r="I491" s="42">
        <v>700</v>
      </c>
      <c r="J491" s="52">
        <v>0</v>
      </c>
    </row>
    <row r="492" spans="1:10" s="42" customFormat="1" ht="15" x14ac:dyDescent="0.25">
      <c r="A492" s="42" t="s">
        <v>96</v>
      </c>
      <c r="B492" s="42">
        <v>132254</v>
      </c>
      <c r="C492" s="42">
        <v>37</v>
      </c>
      <c r="D492" s="42" t="s">
        <v>11</v>
      </c>
      <c r="E492" s="42">
        <v>1276</v>
      </c>
      <c r="F492" s="42">
        <v>8284204</v>
      </c>
      <c r="G492" s="42" t="s">
        <v>92</v>
      </c>
      <c r="H492" s="42">
        <v>350</v>
      </c>
      <c r="I492" s="42">
        <v>372</v>
      </c>
      <c r="J492" s="52">
        <v>0</v>
      </c>
    </row>
    <row r="493" spans="1:10" s="42" customFormat="1" ht="15" x14ac:dyDescent="0.25">
      <c r="A493" s="42" t="s">
        <v>96</v>
      </c>
      <c r="B493" s="42">
        <v>132254</v>
      </c>
      <c r="C493" s="42">
        <v>37</v>
      </c>
      <c r="D493" s="42" t="s">
        <v>11</v>
      </c>
      <c r="E493" s="42">
        <v>1276</v>
      </c>
      <c r="F493" s="42">
        <v>8284204</v>
      </c>
      <c r="G493" s="42" t="s">
        <v>92</v>
      </c>
      <c r="H493" s="42">
        <v>380</v>
      </c>
      <c r="I493" s="42">
        <v>392</v>
      </c>
      <c r="J493" s="52">
        <v>0.17777777777777778</v>
      </c>
    </row>
    <row r="494" spans="1:10" s="42" customFormat="1" ht="15" x14ac:dyDescent="0.25">
      <c r="A494" s="42" t="s">
        <v>96</v>
      </c>
      <c r="B494" s="42">
        <v>133416</v>
      </c>
      <c r="C494" s="42">
        <v>38</v>
      </c>
      <c r="D494" s="42" t="s">
        <v>35</v>
      </c>
      <c r="E494" s="42">
        <v>1003</v>
      </c>
      <c r="F494" s="42">
        <v>8284204</v>
      </c>
      <c r="G494" s="42" t="s">
        <v>92</v>
      </c>
      <c r="H494" s="42">
        <v>350</v>
      </c>
      <c r="I494" s="42">
        <v>56</v>
      </c>
      <c r="J494" s="52">
        <v>0</v>
      </c>
    </row>
    <row r="495" spans="1:10" s="42" customFormat="1" ht="15" x14ac:dyDescent="0.25">
      <c r="A495" s="42" t="s">
        <v>96</v>
      </c>
      <c r="B495" s="42">
        <v>133416</v>
      </c>
      <c r="C495" s="42">
        <v>38</v>
      </c>
      <c r="D495" s="42" t="s">
        <v>35</v>
      </c>
      <c r="E495" s="42">
        <v>1003</v>
      </c>
      <c r="F495" s="42">
        <v>8284204</v>
      </c>
      <c r="G495" s="42" t="s">
        <v>92</v>
      </c>
      <c r="H495" s="42">
        <v>380</v>
      </c>
      <c r="I495" s="42">
        <v>199</v>
      </c>
      <c r="J495" s="52">
        <v>9.0277777777777776E-2</v>
      </c>
    </row>
    <row r="496" spans="1:10" s="42" customFormat="1" ht="15" x14ac:dyDescent="0.25">
      <c r="A496" s="42" t="s">
        <v>96</v>
      </c>
      <c r="B496" s="42">
        <v>133472</v>
      </c>
      <c r="C496" s="42">
        <v>37</v>
      </c>
      <c r="D496" s="42" t="s">
        <v>11</v>
      </c>
      <c r="E496" s="42">
        <v>16354</v>
      </c>
      <c r="F496" s="42">
        <v>8284204</v>
      </c>
      <c r="G496" s="42" t="s">
        <v>92</v>
      </c>
      <c r="H496" s="42">
        <v>350</v>
      </c>
      <c r="I496" s="42">
        <v>166</v>
      </c>
      <c r="J496" s="52">
        <v>7.4999999999999997E-2</v>
      </c>
    </row>
    <row r="497" spans="1:10" s="42" customFormat="1" ht="15" x14ac:dyDescent="0.25">
      <c r="A497" s="42" t="s">
        <v>96</v>
      </c>
      <c r="B497" s="42">
        <v>133472</v>
      </c>
      <c r="C497" s="42">
        <v>37</v>
      </c>
      <c r="D497" s="42" t="s">
        <v>11</v>
      </c>
      <c r="E497" s="42">
        <v>16354</v>
      </c>
      <c r="F497" s="42">
        <v>8284204</v>
      </c>
      <c r="G497" s="42" t="s">
        <v>92</v>
      </c>
      <c r="H497" s="42">
        <v>380</v>
      </c>
      <c r="I497" s="42">
        <v>134</v>
      </c>
      <c r="J497" s="52">
        <v>0</v>
      </c>
    </row>
    <row r="498" spans="1:10" s="42" customFormat="1" ht="15" x14ac:dyDescent="0.25">
      <c r="A498" s="42" t="s">
        <v>96</v>
      </c>
      <c r="B498" s="42">
        <v>141456</v>
      </c>
      <c r="C498" s="42">
        <v>14</v>
      </c>
      <c r="D498" s="42" t="s">
        <v>11</v>
      </c>
      <c r="E498" s="42">
        <v>1664</v>
      </c>
      <c r="F498" s="42">
        <v>1915102</v>
      </c>
      <c r="G498" s="42" t="s">
        <v>97</v>
      </c>
      <c r="H498" s="42">
        <v>334</v>
      </c>
      <c r="I498" s="42">
        <v>16</v>
      </c>
      <c r="J498" s="52">
        <v>7.6388888888888886E-3</v>
      </c>
    </row>
    <row r="499" spans="1:10" s="42" customFormat="1" ht="15" x14ac:dyDescent="0.25">
      <c r="A499" s="42" t="s">
        <v>96</v>
      </c>
      <c r="B499" s="42">
        <v>141457</v>
      </c>
      <c r="C499" s="42">
        <v>14</v>
      </c>
      <c r="D499" s="42" t="s">
        <v>11</v>
      </c>
      <c r="E499" s="42">
        <v>16332</v>
      </c>
      <c r="F499" s="42">
        <v>1915102</v>
      </c>
      <c r="G499" s="42" t="s">
        <v>97</v>
      </c>
      <c r="H499" s="42">
        <v>334</v>
      </c>
      <c r="I499" s="42">
        <v>18</v>
      </c>
      <c r="J499" s="52">
        <v>8.3333333333333332E-3</v>
      </c>
    </row>
    <row r="500" spans="1:10" s="42" customFormat="1" ht="15" x14ac:dyDescent="0.25">
      <c r="A500" s="42" t="s">
        <v>96</v>
      </c>
      <c r="B500" s="42">
        <v>141458</v>
      </c>
      <c r="C500" s="42">
        <v>16</v>
      </c>
      <c r="D500" s="42" t="s">
        <v>11</v>
      </c>
      <c r="E500" s="42">
        <v>1003</v>
      </c>
      <c r="F500" s="42">
        <v>1915102</v>
      </c>
      <c r="G500" s="42" t="s">
        <v>97</v>
      </c>
      <c r="H500" s="42">
        <v>334</v>
      </c>
      <c r="I500" s="42">
        <v>78</v>
      </c>
      <c r="J500" s="52">
        <v>0</v>
      </c>
    </row>
    <row r="501" spans="1:10" s="42" customFormat="1" ht="15" x14ac:dyDescent="0.25">
      <c r="A501" s="42" t="s">
        <v>96</v>
      </c>
      <c r="B501" s="42">
        <v>141458</v>
      </c>
      <c r="C501" s="42">
        <v>16</v>
      </c>
      <c r="D501" s="42" t="s">
        <v>11</v>
      </c>
      <c r="E501" s="42">
        <v>1003</v>
      </c>
      <c r="F501" s="42">
        <v>1915102</v>
      </c>
      <c r="G501" s="42" t="s">
        <v>97</v>
      </c>
      <c r="H501" s="42">
        <v>394</v>
      </c>
      <c r="I501" s="42">
        <v>144</v>
      </c>
      <c r="J501" s="52">
        <v>6.5972222222222224E-2</v>
      </c>
    </row>
    <row r="502" spans="1:10" s="42" customFormat="1" ht="15" x14ac:dyDescent="0.25">
      <c r="A502" s="42" t="s">
        <v>96</v>
      </c>
      <c r="B502" s="42">
        <v>141459</v>
      </c>
      <c r="C502" s="42">
        <v>16</v>
      </c>
      <c r="D502" s="42" t="s">
        <v>11</v>
      </c>
      <c r="E502" s="42">
        <v>1576</v>
      </c>
      <c r="F502" s="42">
        <v>1915102</v>
      </c>
      <c r="G502" s="42" t="s">
        <v>97</v>
      </c>
      <c r="H502" s="42">
        <v>334</v>
      </c>
      <c r="I502" s="42">
        <v>82</v>
      </c>
      <c r="J502" s="52">
        <v>3.7499999999999999E-2</v>
      </c>
    </row>
    <row r="503" spans="1:10" s="42" customFormat="1" ht="15" x14ac:dyDescent="0.25">
      <c r="A503" s="42" t="s">
        <v>96</v>
      </c>
      <c r="B503" s="42">
        <v>141459</v>
      </c>
      <c r="C503" s="42">
        <v>16</v>
      </c>
      <c r="D503" s="42" t="s">
        <v>11</v>
      </c>
      <c r="E503" s="42">
        <v>1576</v>
      </c>
      <c r="F503" s="42">
        <v>1915102</v>
      </c>
      <c r="G503" s="42" t="s">
        <v>97</v>
      </c>
      <c r="H503" s="42">
        <v>394</v>
      </c>
      <c r="I503" s="42">
        <v>34</v>
      </c>
      <c r="J503" s="52">
        <v>0</v>
      </c>
    </row>
    <row r="504" spans="1:10" s="42" customFormat="1" ht="15" x14ac:dyDescent="0.25">
      <c r="A504" s="42" t="s">
        <v>96</v>
      </c>
      <c r="B504" s="42">
        <v>141460</v>
      </c>
      <c r="C504" s="42">
        <v>16</v>
      </c>
      <c r="D504" s="42" t="s">
        <v>11</v>
      </c>
      <c r="E504" s="42">
        <v>1664</v>
      </c>
      <c r="F504" s="42">
        <v>1915102</v>
      </c>
      <c r="G504" s="42" t="s">
        <v>97</v>
      </c>
      <c r="H504" s="42">
        <v>334</v>
      </c>
      <c r="I504" s="42">
        <v>32</v>
      </c>
      <c r="J504" s="52">
        <v>1.4583333333333332E-2</v>
      </c>
    </row>
    <row r="505" spans="1:10" s="42" customFormat="1" ht="15" x14ac:dyDescent="0.25">
      <c r="A505" s="42" t="s">
        <v>96</v>
      </c>
      <c r="B505" s="42">
        <v>141460</v>
      </c>
      <c r="C505" s="42">
        <v>16</v>
      </c>
      <c r="D505" s="42" t="s">
        <v>11</v>
      </c>
      <c r="E505" s="42">
        <v>1664</v>
      </c>
      <c r="F505" s="42">
        <v>1915102</v>
      </c>
      <c r="G505" s="42" t="s">
        <v>97</v>
      </c>
      <c r="H505" s="42">
        <v>394</v>
      </c>
      <c r="I505" s="42">
        <v>22</v>
      </c>
      <c r="J505" s="52">
        <v>0</v>
      </c>
    </row>
    <row r="506" spans="1:10" s="42" customFormat="1" ht="15" x14ac:dyDescent="0.25">
      <c r="A506" s="42" t="s">
        <v>96</v>
      </c>
      <c r="B506" s="42">
        <v>141463</v>
      </c>
      <c r="C506" s="42">
        <v>16</v>
      </c>
      <c r="D506" s="42" t="s">
        <v>11</v>
      </c>
      <c r="E506" s="42">
        <v>1664</v>
      </c>
      <c r="F506" s="42">
        <v>1915102</v>
      </c>
      <c r="G506" s="42" t="s">
        <v>97</v>
      </c>
      <c r="H506" s="42">
        <v>334</v>
      </c>
      <c r="I506" s="42">
        <v>60</v>
      </c>
      <c r="J506" s="52">
        <v>0</v>
      </c>
    </row>
    <row r="507" spans="1:10" s="42" customFormat="1" ht="15" x14ac:dyDescent="0.25">
      <c r="A507" s="42" t="s">
        <v>96</v>
      </c>
      <c r="B507" s="42">
        <v>141463</v>
      </c>
      <c r="C507" s="42">
        <v>16</v>
      </c>
      <c r="D507" s="42" t="s">
        <v>11</v>
      </c>
      <c r="E507" s="42">
        <v>1664</v>
      </c>
      <c r="F507" s="42">
        <v>1915102</v>
      </c>
      <c r="G507" s="42" t="s">
        <v>97</v>
      </c>
      <c r="H507" s="42">
        <v>394</v>
      </c>
      <c r="I507" s="42">
        <v>74</v>
      </c>
      <c r="J507" s="52">
        <v>3.4027777777777775E-2</v>
      </c>
    </row>
    <row r="508" spans="1:10" s="42" customFormat="1" ht="15" x14ac:dyDescent="0.25">
      <c r="A508" s="42" t="s">
        <v>98</v>
      </c>
      <c r="B508" s="42">
        <v>146548</v>
      </c>
      <c r="C508" s="42">
        <v>23</v>
      </c>
      <c r="D508" s="42" t="s">
        <v>11</v>
      </c>
      <c r="E508" s="42">
        <v>1576</v>
      </c>
      <c r="F508" s="42">
        <v>1903602</v>
      </c>
      <c r="G508" s="42" t="s">
        <v>99</v>
      </c>
      <c r="H508" s="42">
        <v>360</v>
      </c>
      <c r="I508" s="42">
        <v>50</v>
      </c>
      <c r="J508" s="52">
        <v>2.7083333333333334E-2</v>
      </c>
    </row>
    <row r="509" spans="1:10" s="42" customFormat="1" ht="15" x14ac:dyDescent="0.25">
      <c r="A509" s="42" t="s">
        <v>98</v>
      </c>
      <c r="B509" s="42">
        <v>146548</v>
      </c>
      <c r="C509" s="42">
        <v>23</v>
      </c>
      <c r="D509" s="42" t="s">
        <v>11</v>
      </c>
      <c r="E509" s="42">
        <v>1576</v>
      </c>
      <c r="F509" s="42">
        <v>1903602</v>
      </c>
      <c r="G509" s="42" t="s">
        <v>99</v>
      </c>
      <c r="H509" s="42">
        <v>370</v>
      </c>
      <c r="I509" s="42">
        <v>50</v>
      </c>
      <c r="J509" s="52">
        <v>0</v>
      </c>
    </row>
    <row r="510" spans="1:10" s="42" customFormat="1" ht="15" x14ac:dyDescent="0.25">
      <c r="A510" s="42" t="s">
        <v>98</v>
      </c>
      <c r="B510" s="42">
        <v>146927</v>
      </c>
      <c r="C510" s="42">
        <v>66</v>
      </c>
      <c r="D510" s="42" t="s">
        <v>11</v>
      </c>
      <c r="E510" s="42">
        <v>16332</v>
      </c>
      <c r="F510" s="42">
        <v>1915423</v>
      </c>
      <c r="G510" s="42" t="s">
        <v>100</v>
      </c>
      <c r="H510" s="42">
        <v>356</v>
      </c>
      <c r="I510" s="42">
        <v>259</v>
      </c>
      <c r="J510" s="52">
        <v>0.11458333333333333</v>
      </c>
    </row>
    <row r="511" spans="1:10" s="42" customFormat="1" ht="15" x14ac:dyDescent="0.25">
      <c r="A511" s="42" t="s">
        <v>98</v>
      </c>
      <c r="B511" s="42">
        <v>146927</v>
      </c>
      <c r="C511" s="42">
        <v>66</v>
      </c>
      <c r="D511" s="42" t="s">
        <v>11</v>
      </c>
      <c r="E511" s="42">
        <v>16332</v>
      </c>
      <c r="F511" s="42">
        <v>1915423</v>
      </c>
      <c r="G511" s="42" t="s">
        <v>100</v>
      </c>
      <c r="H511" s="42">
        <v>378</v>
      </c>
      <c r="I511" s="42">
        <v>214</v>
      </c>
      <c r="J511" s="52">
        <v>0</v>
      </c>
    </row>
    <row r="512" spans="1:10" s="42" customFormat="1" ht="15" x14ac:dyDescent="0.25">
      <c r="A512" s="42" t="s">
        <v>98</v>
      </c>
      <c r="B512" s="42">
        <v>146929</v>
      </c>
      <c r="C512" s="42">
        <v>71</v>
      </c>
      <c r="D512" s="42" t="s">
        <v>11</v>
      </c>
      <c r="E512" s="42">
        <v>19701</v>
      </c>
      <c r="F512" s="42">
        <v>1915423</v>
      </c>
      <c r="G512" s="42" t="s">
        <v>100</v>
      </c>
      <c r="H512" s="42">
        <v>356</v>
      </c>
      <c r="I512" s="42">
        <v>441</v>
      </c>
      <c r="J512" s="52">
        <v>0.19513888888888889</v>
      </c>
    </row>
    <row r="513" spans="1:10" s="42" customFormat="1" ht="15" x14ac:dyDescent="0.25">
      <c r="A513" s="42" t="s">
        <v>98</v>
      </c>
      <c r="B513" s="42">
        <v>146929</v>
      </c>
      <c r="C513" s="42">
        <v>71</v>
      </c>
      <c r="D513" s="42" t="s">
        <v>11</v>
      </c>
      <c r="E513" s="42">
        <v>19701</v>
      </c>
      <c r="F513" s="42">
        <v>1915423</v>
      </c>
      <c r="G513" s="42" t="s">
        <v>100</v>
      </c>
      <c r="H513" s="42">
        <v>378</v>
      </c>
      <c r="I513" s="42">
        <v>229</v>
      </c>
      <c r="J513" s="52">
        <v>0</v>
      </c>
    </row>
    <row r="514" spans="1:10" s="42" customFormat="1" ht="15" x14ac:dyDescent="0.25">
      <c r="A514" s="42" t="s">
        <v>98</v>
      </c>
      <c r="B514" s="42">
        <v>146930</v>
      </c>
      <c r="C514" s="42">
        <v>44</v>
      </c>
      <c r="D514" s="42" t="s">
        <v>11</v>
      </c>
      <c r="E514" s="42">
        <v>19701</v>
      </c>
      <c r="F514" s="42">
        <v>1915423</v>
      </c>
      <c r="G514" s="42" t="s">
        <v>100</v>
      </c>
      <c r="H514" s="42">
        <v>356</v>
      </c>
      <c r="I514" s="42">
        <v>198</v>
      </c>
      <c r="J514" s="52">
        <v>8.7500000000000008E-2</v>
      </c>
    </row>
    <row r="515" spans="1:10" s="42" customFormat="1" ht="15" x14ac:dyDescent="0.25">
      <c r="A515" s="42" t="s">
        <v>98</v>
      </c>
      <c r="B515" s="42">
        <v>146930</v>
      </c>
      <c r="C515" s="42">
        <v>44</v>
      </c>
      <c r="D515" s="42" t="s">
        <v>11</v>
      </c>
      <c r="E515" s="42">
        <v>19701</v>
      </c>
      <c r="F515" s="42">
        <v>1915423</v>
      </c>
      <c r="G515" s="42" t="s">
        <v>100</v>
      </c>
      <c r="H515" s="42">
        <v>378</v>
      </c>
      <c r="I515" s="42">
        <v>182</v>
      </c>
      <c r="J515" s="52">
        <v>0</v>
      </c>
    </row>
    <row r="516" spans="1:10" s="42" customFormat="1" ht="15" x14ac:dyDescent="0.25">
      <c r="A516" s="42" t="s">
        <v>98</v>
      </c>
      <c r="B516" s="42">
        <v>146931</v>
      </c>
      <c r="C516" s="42">
        <v>75</v>
      </c>
      <c r="D516" s="42" t="s">
        <v>11</v>
      </c>
      <c r="E516" s="42">
        <v>19701</v>
      </c>
      <c r="F516" s="42">
        <v>1915423</v>
      </c>
      <c r="G516" s="42" t="s">
        <v>100</v>
      </c>
      <c r="H516" s="42">
        <v>356</v>
      </c>
      <c r="I516" s="42">
        <v>307</v>
      </c>
      <c r="J516" s="52">
        <v>0.1361111111111111</v>
      </c>
    </row>
    <row r="517" spans="1:10" s="42" customFormat="1" ht="15" x14ac:dyDescent="0.25">
      <c r="A517" s="42" t="s">
        <v>98</v>
      </c>
      <c r="B517" s="42">
        <v>146931</v>
      </c>
      <c r="C517" s="42">
        <v>75</v>
      </c>
      <c r="D517" s="42" t="s">
        <v>11</v>
      </c>
      <c r="E517" s="42">
        <v>19701</v>
      </c>
      <c r="F517" s="42">
        <v>1915423</v>
      </c>
      <c r="G517" s="42" t="s">
        <v>100</v>
      </c>
      <c r="H517" s="42">
        <v>378</v>
      </c>
      <c r="I517" s="42">
        <v>244</v>
      </c>
      <c r="J517" s="52">
        <v>0</v>
      </c>
    </row>
    <row r="518" spans="1:10" s="42" customFormat="1" ht="15" x14ac:dyDescent="0.25">
      <c r="A518" s="42" t="s">
        <v>98</v>
      </c>
      <c r="B518" s="42">
        <v>146932</v>
      </c>
      <c r="C518" s="42">
        <v>43</v>
      </c>
      <c r="D518" s="42" t="s">
        <v>11</v>
      </c>
      <c r="E518" s="42">
        <v>1459</v>
      </c>
      <c r="F518" s="42">
        <v>1915424</v>
      </c>
      <c r="G518" s="42" t="s">
        <v>101</v>
      </c>
      <c r="H518" s="42">
        <v>356</v>
      </c>
      <c r="I518" s="42">
        <v>336</v>
      </c>
      <c r="J518" s="52">
        <v>0.14861111111111111</v>
      </c>
    </row>
    <row r="519" spans="1:10" s="42" customFormat="1" ht="15" x14ac:dyDescent="0.25">
      <c r="A519" s="42" t="s">
        <v>98</v>
      </c>
      <c r="B519" s="42">
        <v>146932</v>
      </c>
      <c r="C519" s="42">
        <v>43</v>
      </c>
      <c r="D519" s="42" t="s">
        <v>11</v>
      </c>
      <c r="E519" s="42">
        <v>1459</v>
      </c>
      <c r="F519" s="42">
        <v>1915424</v>
      </c>
      <c r="G519" s="42" t="s">
        <v>101</v>
      </c>
      <c r="H519" s="42">
        <v>378</v>
      </c>
      <c r="I519" s="42">
        <v>264</v>
      </c>
      <c r="J519" s="52">
        <v>0</v>
      </c>
    </row>
    <row r="520" spans="1:10" s="42" customFormat="1" ht="15" x14ac:dyDescent="0.25">
      <c r="A520" s="42" t="s">
        <v>98</v>
      </c>
      <c r="B520" s="42">
        <v>146936</v>
      </c>
      <c r="C520" s="42">
        <v>43</v>
      </c>
      <c r="D520" s="42" t="s">
        <v>11</v>
      </c>
      <c r="E520" s="42">
        <v>1576</v>
      </c>
      <c r="F520" s="42">
        <v>1915424</v>
      </c>
      <c r="G520" s="42" t="s">
        <v>101</v>
      </c>
      <c r="H520" s="42">
        <v>356</v>
      </c>
      <c r="I520" s="42">
        <v>68</v>
      </c>
      <c r="J520" s="52">
        <v>0</v>
      </c>
    </row>
    <row r="521" spans="1:10" s="42" customFormat="1" ht="15" x14ac:dyDescent="0.25">
      <c r="A521" s="42" t="s">
        <v>98</v>
      </c>
      <c r="B521" s="42">
        <v>146936</v>
      </c>
      <c r="C521" s="42">
        <v>43</v>
      </c>
      <c r="D521" s="42" t="s">
        <v>11</v>
      </c>
      <c r="E521" s="42">
        <v>1576</v>
      </c>
      <c r="F521" s="42">
        <v>1915424</v>
      </c>
      <c r="G521" s="42" t="s">
        <v>101</v>
      </c>
      <c r="H521" s="42">
        <v>378</v>
      </c>
      <c r="I521" s="42">
        <v>78</v>
      </c>
      <c r="J521" s="52">
        <v>3.4722222222222224E-2</v>
      </c>
    </row>
    <row r="522" spans="1:10" s="42" customFormat="1" ht="15" x14ac:dyDescent="0.25">
      <c r="A522" s="42" t="s">
        <v>98</v>
      </c>
      <c r="B522" s="42">
        <v>146937</v>
      </c>
      <c r="C522" s="42">
        <v>43</v>
      </c>
      <c r="D522" s="42" t="s">
        <v>11</v>
      </c>
      <c r="E522" s="42">
        <v>1576</v>
      </c>
      <c r="F522" s="42">
        <v>1915424</v>
      </c>
      <c r="G522" s="42" t="s">
        <v>101</v>
      </c>
      <c r="H522" s="42">
        <v>356</v>
      </c>
      <c r="I522" s="42">
        <v>155</v>
      </c>
      <c r="J522" s="52">
        <v>6.8749999999999992E-2</v>
      </c>
    </row>
    <row r="523" spans="1:10" s="42" customFormat="1" ht="15" x14ac:dyDescent="0.25">
      <c r="A523" s="42" t="s">
        <v>98</v>
      </c>
      <c r="B523" s="42">
        <v>146937</v>
      </c>
      <c r="C523" s="42">
        <v>43</v>
      </c>
      <c r="D523" s="42" t="s">
        <v>11</v>
      </c>
      <c r="E523" s="42">
        <v>1576</v>
      </c>
      <c r="F523" s="42">
        <v>1915424</v>
      </c>
      <c r="G523" s="42" t="s">
        <v>101</v>
      </c>
      <c r="H523" s="42">
        <v>378</v>
      </c>
      <c r="I523" s="42">
        <v>130</v>
      </c>
      <c r="J523" s="52">
        <v>0</v>
      </c>
    </row>
    <row r="524" spans="1:10" s="42" customFormat="1" ht="15" x14ac:dyDescent="0.25">
      <c r="A524" s="42" t="s">
        <v>98</v>
      </c>
      <c r="B524" s="42">
        <v>147579</v>
      </c>
      <c r="C524" s="42">
        <v>4</v>
      </c>
      <c r="D524" s="42" t="s">
        <v>11</v>
      </c>
      <c r="E524" s="42">
        <v>16458</v>
      </c>
      <c r="F524" s="42">
        <v>1234802</v>
      </c>
      <c r="G524" s="42" t="s">
        <v>102</v>
      </c>
      <c r="H524" s="42">
        <v>250</v>
      </c>
      <c r="I524" s="42">
        <v>8</v>
      </c>
      <c r="J524" s="52">
        <v>4.1666666666666666E-3</v>
      </c>
    </row>
    <row r="525" spans="1:10" s="42" customFormat="1" ht="15" x14ac:dyDescent="0.25">
      <c r="A525" s="42" t="s">
        <v>98</v>
      </c>
      <c r="B525" s="42">
        <v>148285</v>
      </c>
      <c r="C525" s="42">
        <v>65</v>
      </c>
      <c r="D525" s="42" t="s">
        <v>11</v>
      </c>
      <c r="E525" s="42">
        <v>19701</v>
      </c>
      <c r="F525" s="42">
        <v>1915423</v>
      </c>
      <c r="G525" s="42" t="s">
        <v>100</v>
      </c>
      <c r="H525" s="42">
        <v>334</v>
      </c>
      <c r="I525" s="42">
        <v>53</v>
      </c>
      <c r="J525" s="52">
        <v>2.361111111111111E-2</v>
      </c>
    </row>
    <row r="526" spans="1:10" s="42" customFormat="1" ht="15" x14ac:dyDescent="0.25">
      <c r="A526" s="42" t="s">
        <v>98</v>
      </c>
      <c r="B526" s="42">
        <v>148285</v>
      </c>
      <c r="C526" s="42">
        <v>66</v>
      </c>
      <c r="D526" s="42" t="s">
        <v>11</v>
      </c>
      <c r="E526" s="42">
        <v>19701</v>
      </c>
      <c r="F526" s="42">
        <v>1915423</v>
      </c>
      <c r="G526" s="42" t="s">
        <v>100</v>
      </c>
      <c r="H526" s="42">
        <v>356</v>
      </c>
      <c r="I526" s="42">
        <v>348</v>
      </c>
      <c r="J526" s="52">
        <v>0.15416666666666667</v>
      </c>
    </row>
    <row r="527" spans="1:10" s="42" customFormat="1" ht="15" x14ac:dyDescent="0.25">
      <c r="A527" s="42" t="s">
        <v>98</v>
      </c>
      <c r="B527" s="42">
        <v>148285</v>
      </c>
      <c r="C527" s="42">
        <v>66</v>
      </c>
      <c r="D527" s="42" t="s">
        <v>11</v>
      </c>
      <c r="E527" s="42">
        <v>19701</v>
      </c>
      <c r="F527" s="42">
        <v>1915423</v>
      </c>
      <c r="G527" s="42" t="s">
        <v>100</v>
      </c>
      <c r="H527" s="42">
        <v>378</v>
      </c>
      <c r="I527" s="42">
        <v>219</v>
      </c>
      <c r="J527" s="52">
        <v>0</v>
      </c>
    </row>
    <row r="528" spans="1:10" s="42" customFormat="1" ht="15" x14ac:dyDescent="0.25">
      <c r="A528" s="42" t="s">
        <v>103</v>
      </c>
      <c r="B528" s="42">
        <v>145695</v>
      </c>
      <c r="C528" s="42">
        <v>17</v>
      </c>
      <c r="D528" s="42" t="s">
        <v>11</v>
      </c>
      <c r="E528" s="42">
        <v>1003</v>
      </c>
      <c r="F528" s="42">
        <v>2700504</v>
      </c>
      <c r="G528" s="42" t="s">
        <v>15</v>
      </c>
      <c r="H528" s="42">
        <v>334</v>
      </c>
      <c r="I528" s="42">
        <v>144</v>
      </c>
      <c r="J528" s="52">
        <v>0</v>
      </c>
    </row>
    <row r="529" spans="1:10" s="42" customFormat="1" ht="15" x14ac:dyDescent="0.25">
      <c r="A529" s="42" t="s">
        <v>103</v>
      </c>
      <c r="B529" s="42">
        <v>145695</v>
      </c>
      <c r="C529" s="42">
        <v>17</v>
      </c>
      <c r="D529" s="42" t="s">
        <v>11</v>
      </c>
      <c r="E529" s="42">
        <v>1003</v>
      </c>
      <c r="F529" s="42">
        <v>2700504</v>
      </c>
      <c r="G529" s="42" t="s">
        <v>15</v>
      </c>
      <c r="H529" s="42">
        <v>350</v>
      </c>
      <c r="I529" s="42">
        <v>322</v>
      </c>
      <c r="J529" s="52">
        <v>0</v>
      </c>
    </row>
    <row r="530" spans="1:10" s="42" customFormat="1" ht="15" x14ac:dyDescent="0.25">
      <c r="A530" s="42" t="s">
        <v>103</v>
      </c>
      <c r="B530" s="42">
        <v>145695</v>
      </c>
      <c r="C530" s="42">
        <v>17</v>
      </c>
      <c r="D530" s="42" t="s">
        <v>11</v>
      </c>
      <c r="E530" s="42">
        <v>1003</v>
      </c>
      <c r="F530" s="42">
        <v>2700504</v>
      </c>
      <c r="G530" s="42" t="s">
        <v>15</v>
      </c>
      <c r="H530" s="42">
        <v>360</v>
      </c>
      <c r="I530" s="42">
        <v>498</v>
      </c>
      <c r="J530" s="52">
        <v>0.32916666666666666</v>
      </c>
    </row>
    <row r="531" spans="1:10" s="42" customFormat="1" ht="15" x14ac:dyDescent="0.25">
      <c r="A531" s="42" t="s">
        <v>103</v>
      </c>
      <c r="B531" s="42">
        <v>145695</v>
      </c>
      <c r="C531" s="42">
        <v>17</v>
      </c>
      <c r="D531" s="42" t="s">
        <v>11</v>
      </c>
      <c r="E531" s="42">
        <v>1003</v>
      </c>
      <c r="F531" s="42">
        <v>2700504</v>
      </c>
      <c r="G531" s="42" t="s">
        <v>15</v>
      </c>
      <c r="H531" s="42">
        <v>378</v>
      </c>
      <c r="I531" s="42">
        <v>656</v>
      </c>
      <c r="J531" s="52">
        <v>0</v>
      </c>
    </row>
    <row r="532" spans="1:10" s="42" customFormat="1" ht="15" x14ac:dyDescent="0.25">
      <c r="A532" s="42" t="s">
        <v>103</v>
      </c>
      <c r="B532" s="42">
        <v>145695</v>
      </c>
      <c r="C532" s="42">
        <v>17</v>
      </c>
      <c r="D532" s="42" t="s">
        <v>11</v>
      </c>
      <c r="E532" s="42">
        <v>1003</v>
      </c>
      <c r="F532" s="42">
        <v>2700504</v>
      </c>
      <c r="G532" s="42" t="s">
        <v>15</v>
      </c>
      <c r="H532" s="42">
        <v>394</v>
      </c>
      <c r="I532" s="42">
        <v>328</v>
      </c>
      <c r="J532" s="52">
        <v>0</v>
      </c>
    </row>
    <row r="533" spans="1:10" s="42" customFormat="1" ht="15" x14ac:dyDescent="0.25">
      <c r="A533" s="42" t="s">
        <v>103</v>
      </c>
      <c r="B533" s="42">
        <v>146335</v>
      </c>
      <c r="C533" s="42">
        <v>11</v>
      </c>
      <c r="D533" s="42" t="s">
        <v>11</v>
      </c>
      <c r="E533" s="42">
        <v>1003</v>
      </c>
      <c r="F533" s="42">
        <v>2660302</v>
      </c>
      <c r="G533" s="42" t="s">
        <v>104</v>
      </c>
      <c r="H533" s="42">
        <v>360</v>
      </c>
      <c r="I533" s="42">
        <v>912</v>
      </c>
      <c r="J533" s="52">
        <v>0.56736111111111109</v>
      </c>
    </row>
    <row r="534" spans="1:10" s="42" customFormat="1" ht="15" x14ac:dyDescent="0.25">
      <c r="A534" s="42" t="s">
        <v>103</v>
      </c>
      <c r="B534" s="42">
        <v>146335</v>
      </c>
      <c r="C534" s="42">
        <v>11</v>
      </c>
      <c r="D534" s="42" t="s">
        <v>11</v>
      </c>
      <c r="E534" s="42">
        <v>1003</v>
      </c>
      <c r="F534" s="42">
        <v>2660302</v>
      </c>
      <c r="G534" s="42" t="s">
        <v>104</v>
      </c>
      <c r="H534" s="42">
        <v>378</v>
      </c>
      <c r="I534" s="53">
        <v>1468</v>
      </c>
      <c r="J534" s="52">
        <v>0</v>
      </c>
    </row>
    <row r="535" spans="1:10" s="42" customFormat="1" ht="15" x14ac:dyDescent="0.25">
      <c r="A535" s="42" t="s">
        <v>103</v>
      </c>
      <c r="B535" s="42">
        <v>146335</v>
      </c>
      <c r="C535" s="42">
        <v>11</v>
      </c>
      <c r="D535" s="42" t="s">
        <v>11</v>
      </c>
      <c r="E535" s="42">
        <v>1003</v>
      </c>
      <c r="F535" s="42">
        <v>2660302</v>
      </c>
      <c r="G535" s="42" t="s">
        <v>104</v>
      </c>
      <c r="H535" s="42">
        <v>394</v>
      </c>
      <c r="I535" s="42">
        <v>774</v>
      </c>
      <c r="J535" s="52">
        <v>0</v>
      </c>
    </row>
    <row r="536" spans="1:10" s="42" customFormat="1" ht="15" x14ac:dyDescent="0.25">
      <c r="A536" s="42" t="s">
        <v>103</v>
      </c>
      <c r="B536" s="42">
        <v>146358</v>
      </c>
      <c r="C536" s="42">
        <v>17</v>
      </c>
      <c r="D536" s="42" t="s">
        <v>11</v>
      </c>
      <c r="E536" s="42">
        <v>1003</v>
      </c>
      <c r="F536" s="42">
        <v>2703602</v>
      </c>
      <c r="G536" s="42" t="s">
        <v>15</v>
      </c>
      <c r="H536" s="42">
        <v>378</v>
      </c>
      <c r="I536" s="42">
        <v>184</v>
      </c>
      <c r="J536" s="52">
        <v>6.1111111111111116E-2</v>
      </c>
    </row>
    <row r="537" spans="1:10" s="42" customFormat="1" ht="15" x14ac:dyDescent="0.25">
      <c r="A537" s="42" t="s">
        <v>103</v>
      </c>
      <c r="B537" s="42">
        <v>146360</v>
      </c>
      <c r="C537" s="42">
        <v>17</v>
      </c>
      <c r="D537" s="42" t="s">
        <v>11</v>
      </c>
      <c r="E537" s="42">
        <v>1003</v>
      </c>
      <c r="F537" s="42">
        <v>2703602</v>
      </c>
      <c r="G537" s="42" t="s">
        <v>15</v>
      </c>
      <c r="H537" s="42">
        <v>334</v>
      </c>
      <c r="I537" s="42">
        <v>264</v>
      </c>
      <c r="J537" s="52">
        <v>0</v>
      </c>
    </row>
    <row r="538" spans="1:10" s="42" customFormat="1" ht="15" x14ac:dyDescent="0.25">
      <c r="A538" s="42" t="s">
        <v>103</v>
      </c>
      <c r="B538" s="42">
        <v>146360</v>
      </c>
      <c r="C538" s="42">
        <v>17</v>
      </c>
      <c r="D538" s="42" t="s">
        <v>11</v>
      </c>
      <c r="E538" s="42">
        <v>1003</v>
      </c>
      <c r="F538" s="42">
        <v>2703602</v>
      </c>
      <c r="G538" s="42" t="s">
        <v>15</v>
      </c>
      <c r="H538" s="42">
        <v>378</v>
      </c>
      <c r="I538" s="42">
        <v>488</v>
      </c>
      <c r="J538" s="52">
        <v>0</v>
      </c>
    </row>
    <row r="539" spans="1:10" s="42" customFormat="1" ht="15" x14ac:dyDescent="0.25">
      <c r="A539" s="42" t="s">
        <v>103</v>
      </c>
      <c r="B539" s="42">
        <v>146360</v>
      </c>
      <c r="C539" s="42">
        <v>17</v>
      </c>
      <c r="D539" s="42" t="s">
        <v>11</v>
      </c>
      <c r="E539" s="42">
        <v>1003</v>
      </c>
      <c r="F539" s="42">
        <v>2703602</v>
      </c>
      <c r="G539" s="42" t="s">
        <v>15</v>
      </c>
      <c r="H539" s="42">
        <v>394</v>
      </c>
      <c r="I539" s="42">
        <v>290</v>
      </c>
      <c r="J539" s="52">
        <v>0.19166666666666665</v>
      </c>
    </row>
    <row r="540" spans="1:10" s="42" customFormat="1" ht="15" x14ac:dyDescent="0.25">
      <c r="A540" s="42" t="s">
        <v>103</v>
      </c>
      <c r="B540" s="42">
        <v>146430</v>
      </c>
      <c r="C540" s="42">
        <v>16</v>
      </c>
      <c r="D540" s="42" t="s">
        <v>11</v>
      </c>
      <c r="E540" s="42">
        <v>1003</v>
      </c>
      <c r="F540" s="42">
        <v>2735702</v>
      </c>
      <c r="G540" s="42" t="s">
        <v>15</v>
      </c>
      <c r="H540" s="42">
        <v>334</v>
      </c>
      <c r="I540" s="42">
        <v>30</v>
      </c>
      <c r="J540" s="52">
        <v>0</v>
      </c>
    </row>
    <row r="541" spans="1:10" s="42" customFormat="1" ht="15" x14ac:dyDescent="0.25">
      <c r="A541" s="42" t="s">
        <v>103</v>
      </c>
      <c r="B541" s="42">
        <v>146430</v>
      </c>
      <c r="C541" s="42">
        <v>16</v>
      </c>
      <c r="D541" s="42" t="s">
        <v>11</v>
      </c>
      <c r="E541" s="42">
        <v>1003</v>
      </c>
      <c r="F541" s="42">
        <v>2735702</v>
      </c>
      <c r="G541" s="42" t="s">
        <v>15</v>
      </c>
      <c r="H541" s="42">
        <v>350</v>
      </c>
      <c r="I541" s="42">
        <v>84</v>
      </c>
      <c r="J541" s="52">
        <v>5.5555555555555552E-2</v>
      </c>
    </row>
    <row r="542" spans="1:10" s="42" customFormat="1" ht="15" x14ac:dyDescent="0.25">
      <c r="A542" s="42" t="s">
        <v>103</v>
      </c>
      <c r="B542" s="42">
        <v>146430</v>
      </c>
      <c r="C542" s="42">
        <v>16</v>
      </c>
      <c r="D542" s="42" t="s">
        <v>11</v>
      </c>
      <c r="E542" s="42">
        <v>1003</v>
      </c>
      <c r="F542" s="42">
        <v>2735702</v>
      </c>
      <c r="G542" s="42" t="s">
        <v>15</v>
      </c>
      <c r="H542" s="42">
        <v>360</v>
      </c>
      <c r="I542" s="42">
        <v>60</v>
      </c>
      <c r="J542" s="52">
        <v>0</v>
      </c>
    </row>
    <row r="543" spans="1:10" s="42" customFormat="1" ht="15" x14ac:dyDescent="0.25">
      <c r="A543" s="42" t="s">
        <v>103</v>
      </c>
      <c r="B543" s="42">
        <v>146430</v>
      </c>
      <c r="C543" s="42">
        <v>16</v>
      </c>
      <c r="D543" s="42" t="s">
        <v>11</v>
      </c>
      <c r="E543" s="42">
        <v>1003</v>
      </c>
      <c r="F543" s="42">
        <v>2735702</v>
      </c>
      <c r="G543" s="42" t="s">
        <v>15</v>
      </c>
      <c r="H543" s="42">
        <v>378</v>
      </c>
      <c r="I543" s="42">
        <v>60</v>
      </c>
      <c r="J543" s="52">
        <v>0</v>
      </c>
    </row>
    <row r="544" spans="1:10" s="42" customFormat="1" ht="15" x14ac:dyDescent="0.25">
      <c r="A544" s="42" t="s">
        <v>103</v>
      </c>
      <c r="B544" s="42">
        <v>146430</v>
      </c>
      <c r="C544" s="42">
        <v>16</v>
      </c>
      <c r="D544" s="42" t="s">
        <v>11</v>
      </c>
      <c r="E544" s="42">
        <v>1003</v>
      </c>
      <c r="F544" s="42">
        <v>2735702</v>
      </c>
      <c r="G544" s="42" t="s">
        <v>15</v>
      </c>
      <c r="H544" s="42">
        <v>394</v>
      </c>
      <c r="I544" s="42">
        <v>40</v>
      </c>
      <c r="J544" s="52">
        <v>0</v>
      </c>
    </row>
    <row r="545" spans="1:10" s="42" customFormat="1" ht="15" x14ac:dyDescent="0.25">
      <c r="A545" s="42" t="s">
        <v>103</v>
      </c>
      <c r="B545" s="42">
        <v>146430</v>
      </c>
      <c r="C545" s="42">
        <v>39</v>
      </c>
      <c r="D545" s="42" t="s">
        <v>11</v>
      </c>
      <c r="E545" s="42">
        <v>1003</v>
      </c>
      <c r="F545" s="42">
        <v>2735722</v>
      </c>
      <c r="G545" s="42" t="s">
        <v>15</v>
      </c>
      <c r="H545" s="42">
        <v>378</v>
      </c>
      <c r="I545" s="42">
        <v>30</v>
      </c>
      <c r="J545" s="52">
        <v>9.7222222222222224E-3</v>
      </c>
    </row>
    <row r="546" spans="1:10" s="42" customFormat="1" ht="15" x14ac:dyDescent="0.25">
      <c r="A546" s="42" t="s">
        <v>105</v>
      </c>
      <c r="B546" s="42">
        <v>141267</v>
      </c>
      <c r="C546" s="42">
        <v>24</v>
      </c>
      <c r="D546" s="42" t="s">
        <v>11</v>
      </c>
      <c r="E546" s="42">
        <v>16575</v>
      </c>
      <c r="F546" s="42">
        <v>2316002</v>
      </c>
      <c r="G546" s="42" t="s">
        <v>106</v>
      </c>
      <c r="H546" s="42">
        <v>267</v>
      </c>
      <c r="I546" s="42">
        <v>326</v>
      </c>
      <c r="J546" s="52">
        <v>0.16180555555555556</v>
      </c>
    </row>
    <row r="547" spans="1:10" s="42" customFormat="1" ht="15" x14ac:dyDescent="0.25">
      <c r="A547" s="42" t="s">
        <v>105</v>
      </c>
      <c r="B547" s="42">
        <v>141269</v>
      </c>
      <c r="C547" s="42">
        <v>24</v>
      </c>
      <c r="D547" s="42" t="s">
        <v>11</v>
      </c>
      <c r="E547" s="42">
        <v>16536</v>
      </c>
      <c r="F547" s="42">
        <v>2316002</v>
      </c>
      <c r="G547" s="42" t="s">
        <v>106</v>
      </c>
      <c r="H547" s="42">
        <v>267</v>
      </c>
      <c r="I547" s="42">
        <v>44</v>
      </c>
      <c r="J547" s="52">
        <v>2.1527777777777781E-2</v>
      </c>
    </row>
    <row r="548" spans="1:10" s="42" customFormat="1" ht="15" x14ac:dyDescent="0.25">
      <c r="A548" s="42" t="s">
        <v>105</v>
      </c>
      <c r="B548" s="42">
        <v>141270</v>
      </c>
      <c r="C548" s="42">
        <v>16</v>
      </c>
      <c r="D548" s="42" t="s">
        <v>11</v>
      </c>
      <c r="E548" s="42">
        <v>1370</v>
      </c>
      <c r="F548" s="42">
        <v>2316002</v>
      </c>
      <c r="G548" s="42" t="s">
        <v>106</v>
      </c>
      <c r="H548" s="42">
        <v>250</v>
      </c>
      <c r="I548" s="42">
        <v>20</v>
      </c>
      <c r="J548" s="52">
        <v>9.7222222222222224E-3</v>
      </c>
    </row>
    <row r="549" spans="1:10" s="42" customFormat="1" ht="15" x14ac:dyDescent="0.25">
      <c r="A549" s="42" t="s">
        <v>105</v>
      </c>
      <c r="B549" s="42">
        <v>141270</v>
      </c>
      <c r="C549" s="42">
        <v>17</v>
      </c>
      <c r="D549" s="42" t="s">
        <v>11</v>
      </c>
      <c r="E549" s="42">
        <v>1370</v>
      </c>
      <c r="F549" s="42">
        <v>2316002</v>
      </c>
      <c r="G549" s="42" t="s">
        <v>106</v>
      </c>
      <c r="H549" s="42">
        <v>267</v>
      </c>
      <c r="I549" s="42">
        <v>20</v>
      </c>
      <c r="J549" s="52">
        <v>9.7222222222222224E-3</v>
      </c>
    </row>
    <row r="550" spans="1:10" s="42" customFormat="1" ht="15" x14ac:dyDescent="0.25">
      <c r="A550" s="42" t="s">
        <v>105</v>
      </c>
      <c r="B550" s="42">
        <v>143659</v>
      </c>
      <c r="C550" s="42">
        <v>24</v>
      </c>
      <c r="D550" s="42" t="s">
        <v>11</v>
      </c>
      <c r="E550" s="42">
        <v>1364</v>
      </c>
      <c r="F550" s="42">
        <v>2316002</v>
      </c>
      <c r="G550" s="42" t="s">
        <v>106</v>
      </c>
      <c r="H550" s="42">
        <v>178</v>
      </c>
      <c r="I550" s="42">
        <v>20</v>
      </c>
      <c r="J550" s="52">
        <v>9.7222222222222224E-3</v>
      </c>
    </row>
    <row r="551" spans="1:10" s="42" customFormat="1" ht="15" x14ac:dyDescent="0.25">
      <c r="A551" s="42" t="s">
        <v>105</v>
      </c>
      <c r="B551" s="42">
        <v>143659</v>
      </c>
      <c r="C551" s="42">
        <v>24</v>
      </c>
      <c r="D551" s="42" t="s">
        <v>11</v>
      </c>
      <c r="E551" s="42">
        <v>1364</v>
      </c>
      <c r="F551" s="42">
        <v>2316002</v>
      </c>
      <c r="G551" s="42" t="s">
        <v>106</v>
      </c>
      <c r="H551" s="42">
        <v>267</v>
      </c>
      <c r="I551" s="42">
        <v>20</v>
      </c>
      <c r="J551" s="52">
        <v>0</v>
      </c>
    </row>
    <row r="552" spans="1:10" s="42" customFormat="1" ht="15" x14ac:dyDescent="0.25">
      <c r="A552" s="42" t="s">
        <v>105</v>
      </c>
      <c r="B552" s="42">
        <v>143659</v>
      </c>
      <c r="C552" s="42">
        <v>27</v>
      </c>
      <c r="D552" s="42" t="s">
        <v>11</v>
      </c>
      <c r="E552" s="42">
        <v>1364</v>
      </c>
      <c r="F552" s="42">
        <v>2316002</v>
      </c>
      <c r="G552" s="42" t="s">
        <v>106</v>
      </c>
      <c r="H552" s="42">
        <v>234</v>
      </c>
      <c r="I552" s="42">
        <v>40</v>
      </c>
      <c r="J552" s="52">
        <v>2.013888888888889E-2</v>
      </c>
    </row>
    <row r="553" spans="1:10" s="42" customFormat="1" ht="15" x14ac:dyDescent="0.25">
      <c r="A553" s="42" t="s">
        <v>105</v>
      </c>
      <c r="B553" s="42">
        <v>143659</v>
      </c>
      <c r="C553" s="42">
        <v>27</v>
      </c>
      <c r="D553" s="42" t="s">
        <v>11</v>
      </c>
      <c r="E553" s="42">
        <v>1364</v>
      </c>
      <c r="F553" s="42">
        <v>2316002</v>
      </c>
      <c r="G553" s="42" t="s">
        <v>106</v>
      </c>
      <c r="H553" s="42">
        <v>250</v>
      </c>
      <c r="I553" s="42">
        <v>30</v>
      </c>
      <c r="J553" s="52">
        <v>0</v>
      </c>
    </row>
    <row r="554" spans="1:10" s="42" customFormat="1" ht="15" x14ac:dyDescent="0.25">
      <c r="A554" s="42" t="s">
        <v>105</v>
      </c>
      <c r="B554" s="42">
        <v>146470</v>
      </c>
      <c r="C554" s="42">
        <v>19</v>
      </c>
      <c r="D554" s="42" t="s">
        <v>11</v>
      </c>
      <c r="E554" s="42">
        <v>1003</v>
      </c>
      <c r="F554" s="42">
        <v>1231802</v>
      </c>
      <c r="G554" s="42" t="s">
        <v>107</v>
      </c>
      <c r="H554" s="42">
        <v>394</v>
      </c>
      <c r="I554" s="53">
        <v>1500</v>
      </c>
      <c r="J554" s="52">
        <v>0.13125000000000001</v>
      </c>
    </row>
    <row r="555" spans="1:10" s="42" customFormat="1" ht="15" x14ac:dyDescent="0.25">
      <c r="A555" s="42" t="s">
        <v>105</v>
      </c>
      <c r="B555" s="42">
        <v>146472</v>
      </c>
      <c r="C555" s="42">
        <v>19</v>
      </c>
      <c r="D555" s="42" t="s">
        <v>11</v>
      </c>
      <c r="E555" s="42">
        <v>1003</v>
      </c>
      <c r="F555" s="42">
        <v>1231802</v>
      </c>
      <c r="G555" s="42" t="s">
        <v>107</v>
      </c>
      <c r="H555" s="42">
        <v>394</v>
      </c>
      <c r="I555" s="42">
        <v>510</v>
      </c>
      <c r="J555" s="52">
        <v>4.4444444444444446E-2</v>
      </c>
    </row>
    <row r="556" spans="1:10" s="42" customFormat="1" ht="15" x14ac:dyDescent="0.25">
      <c r="A556" s="42" t="s">
        <v>105</v>
      </c>
      <c r="B556" s="42">
        <v>146473</v>
      </c>
      <c r="C556" s="42">
        <v>19</v>
      </c>
      <c r="D556" s="42" t="s">
        <v>11</v>
      </c>
      <c r="E556" s="42">
        <v>1101</v>
      </c>
      <c r="F556" s="42">
        <v>1231802</v>
      </c>
      <c r="G556" s="42" t="s">
        <v>107</v>
      </c>
      <c r="H556" s="42">
        <v>394</v>
      </c>
      <c r="I556" s="42">
        <v>278</v>
      </c>
      <c r="J556" s="52">
        <v>2.4305555555555556E-2</v>
      </c>
    </row>
    <row r="557" spans="1:10" s="42" customFormat="1" ht="15" x14ac:dyDescent="0.25">
      <c r="A557" s="42" t="s">
        <v>105</v>
      </c>
      <c r="B557" s="42">
        <v>146474</v>
      </c>
      <c r="C557" s="42">
        <v>19</v>
      </c>
      <c r="D557" s="42" t="s">
        <v>11</v>
      </c>
      <c r="E557" s="42">
        <v>16311</v>
      </c>
      <c r="F557" s="42">
        <v>1231802</v>
      </c>
      <c r="G557" s="42" t="s">
        <v>107</v>
      </c>
      <c r="H557" s="42">
        <v>394</v>
      </c>
      <c r="I557" s="42">
        <v>516</v>
      </c>
      <c r="J557" s="52">
        <v>4.5138888888888888E-2</v>
      </c>
    </row>
    <row r="558" spans="1:10" s="42" customFormat="1" ht="15" x14ac:dyDescent="0.25">
      <c r="A558" s="42" t="s">
        <v>105</v>
      </c>
      <c r="B558" s="42">
        <v>146475</v>
      </c>
      <c r="C558" s="42">
        <v>19</v>
      </c>
      <c r="D558" s="42" t="s">
        <v>11</v>
      </c>
      <c r="E558" s="42">
        <v>1667</v>
      </c>
      <c r="F558" s="42">
        <v>1231802</v>
      </c>
      <c r="G558" s="42" t="s">
        <v>107</v>
      </c>
      <c r="H558" s="42">
        <v>394</v>
      </c>
      <c r="I558" s="42">
        <v>980</v>
      </c>
      <c r="J558" s="52">
        <v>8.6111111111111124E-2</v>
      </c>
    </row>
    <row r="559" spans="1:10" s="42" customFormat="1" ht="15" x14ac:dyDescent="0.25">
      <c r="A559" s="42" t="s">
        <v>105</v>
      </c>
      <c r="B559" s="42">
        <v>146476</v>
      </c>
      <c r="C559" s="42">
        <v>19</v>
      </c>
      <c r="D559" s="42" t="s">
        <v>11</v>
      </c>
      <c r="E559" s="42">
        <v>1003</v>
      </c>
      <c r="F559" s="42">
        <v>1231802</v>
      </c>
      <c r="G559" s="42" t="s">
        <v>107</v>
      </c>
      <c r="H559" s="42">
        <v>394</v>
      </c>
      <c r="I559" s="53">
        <v>1150</v>
      </c>
      <c r="J559" s="52">
        <v>0.10069444444444443</v>
      </c>
    </row>
    <row r="560" spans="1:10" s="42" customFormat="1" ht="15" x14ac:dyDescent="0.25">
      <c r="A560" s="42" t="s">
        <v>105</v>
      </c>
      <c r="B560" s="42">
        <v>146477</v>
      </c>
      <c r="C560" s="42">
        <v>19</v>
      </c>
      <c r="D560" s="42" t="s">
        <v>11</v>
      </c>
      <c r="E560" s="42">
        <v>16575</v>
      </c>
      <c r="F560" s="42">
        <v>1231802</v>
      </c>
      <c r="G560" s="42" t="s">
        <v>107</v>
      </c>
      <c r="H560" s="42">
        <v>394</v>
      </c>
      <c r="I560" s="42">
        <v>868</v>
      </c>
      <c r="J560" s="52">
        <v>7.5694444444444439E-2</v>
      </c>
    </row>
    <row r="561" spans="1:10" s="42" customFormat="1" ht="15" x14ac:dyDescent="0.25">
      <c r="A561" s="42" t="s">
        <v>105</v>
      </c>
      <c r="B561" s="42">
        <v>146479</v>
      </c>
      <c r="C561" s="42">
        <v>19</v>
      </c>
      <c r="D561" s="42" t="s">
        <v>11</v>
      </c>
      <c r="E561" s="42">
        <v>1101</v>
      </c>
      <c r="F561" s="42">
        <v>1231802</v>
      </c>
      <c r="G561" s="42" t="s">
        <v>107</v>
      </c>
      <c r="H561" s="42">
        <v>394</v>
      </c>
      <c r="I561" s="53">
        <v>1178</v>
      </c>
      <c r="J561" s="52">
        <v>0.10277777777777779</v>
      </c>
    </row>
    <row r="562" spans="1:10" s="42" customFormat="1" ht="15" x14ac:dyDescent="0.25">
      <c r="A562" s="42" t="s">
        <v>108</v>
      </c>
      <c r="B562" s="42">
        <v>146244</v>
      </c>
      <c r="C562" s="42">
        <v>16</v>
      </c>
      <c r="D562" s="42" t="s">
        <v>11</v>
      </c>
      <c r="E562" s="42">
        <v>1370</v>
      </c>
      <c r="F562" s="42">
        <v>1916902</v>
      </c>
      <c r="G562" s="42" t="s">
        <v>109</v>
      </c>
      <c r="H562" s="42">
        <v>334</v>
      </c>
      <c r="I562" s="42">
        <v>94</v>
      </c>
      <c r="J562" s="52">
        <v>0</v>
      </c>
    </row>
    <row r="563" spans="1:10" s="42" customFormat="1" ht="15" x14ac:dyDescent="0.25">
      <c r="A563" s="42" t="s">
        <v>108</v>
      </c>
      <c r="B563" s="42">
        <v>146244</v>
      </c>
      <c r="C563" s="42">
        <v>16</v>
      </c>
      <c r="D563" s="42" t="s">
        <v>11</v>
      </c>
      <c r="E563" s="42">
        <v>1370</v>
      </c>
      <c r="F563" s="42">
        <v>1916902</v>
      </c>
      <c r="G563" s="42" t="s">
        <v>109</v>
      </c>
      <c r="H563" s="42">
        <v>394</v>
      </c>
      <c r="I563" s="42">
        <v>152</v>
      </c>
      <c r="J563" s="52">
        <v>9.5833333333333326E-2</v>
      </c>
    </row>
    <row r="564" spans="1:10" s="42" customFormat="1" ht="15" x14ac:dyDescent="0.25">
      <c r="A564" s="42" t="s">
        <v>108</v>
      </c>
      <c r="B564" s="42">
        <v>146245</v>
      </c>
      <c r="C564" s="42">
        <v>16</v>
      </c>
      <c r="D564" s="42" t="s">
        <v>11</v>
      </c>
      <c r="E564" s="42">
        <v>1370</v>
      </c>
      <c r="F564" s="42">
        <v>1916902</v>
      </c>
      <c r="G564" s="42" t="s">
        <v>109</v>
      </c>
      <c r="H564" s="42">
        <v>334</v>
      </c>
      <c r="I564" s="42">
        <v>160</v>
      </c>
      <c r="J564" s="52">
        <v>0</v>
      </c>
    </row>
    <row r="565" spans="1:10" s="42" customFormat="1" ht="15" x14ac:dyDescent="0.25">
      <c r="A565" s="42" t="s">
        <v>108</v>
      </c>
      <c r="B565" s="42">
        <v>146245</v>
      </c>
      <c r="C565" s="42">
        <v>16</v>
      </c>
      <c r="D565" s="42" t="s">
        <v>11</v>
      </c>
      <c r="E565" s="42">
        <v>1370</v>
      </c>
      <c r="F565" s="42">
        <v>1916902</v>
      </c>
      <c r="G565" s="42" t="s">
        <v>109</v>
      </c>
      <c r="H565" s="42">
        <v>394</v>
      </c>
      <c r="I565" s="42">
        <v>192</v>
      </c>
      <c r="J565" s="52">
        <v>0.12152777777777778</v>
      </c>
    </row>
    <row r="566" spans="1:10" s="42" customFormat="1" ht="15" x14ac:dyDescent="0.25">
      <c r="A566" s="42" t="s">
        <v>110</v>
      </c>
      <c r="B566" s="42">
        <v>146246</v>
      </c>
      <c r="C566" s="42">
        <v>16</v>
      </c>
      <c r="D566" s="42" t="s">
        <v>11</v>
      </c>
      <c r="E566" s="42">
        <v>1664</v>
      </c>
      <c r="F566" s="42">
        <v>1916902</v>
      </c>
      <c r="G566" s="42" t="s">
        <v>109</v>
      </c>
      <c r="H566" s="42">
        <v>334</v>
      </c>
      <c r="I566" s="42">
        <v>84</v>
      </c>
      <c r="J566" s="52">
        <v>0</v>
      </c>
    </row>
    <row r="567" spans="1:10" s="42" customFormat="1" ht="15" x14ac:dyDescent="0.25">
      <c r="A567" s="42" t="s">
        <v>110</v>
      </c>
      <c r="B567" s="42">
        <v>146246</v>
      </c>
      <c r="C567" s="42">
        <v>16</v>
      </c>
      <c r="D567" s="42" t="s">
        <v>11</v>
      </c>
      <c r="E567" s="42">
        <v>1664</v>
      </c>
      <c r="F567" s="42">
        <v>1916902</v>
      </c>
      <c r="G567" s="42" t="s">
        <v>109</v>
      </c>
      <c r="H567" s="42">
        <v>394</v>
      </c>
      <c r="I567" s="42">
        <v>140</v>
      </c>
      <c r="J567" s="52">
        <v>8.819444444444445E-2</v>
      </c>
    </row>
    <row r="568" spans="1:10" s="42" customFormat="1" ht="15" x14ac:dyDescent="0.25">
      <c r="A568" s="42" t="s">
        <v>108</v>
      </c>
      <c r="B568" s="42">
        <v>146246</v>
      </c>
      <c r="C568" s="42">
        <v>17</v>
      </c>
      <c r="D568" s="42" t="s">
        <v>11</v>
      </c>
      <c r="E568" s="42">
        <v>1664</v>
      </c>
      <c r="F568" s="42">
        <v>1916902</v>
      </c>
      <c r="G568" s="42" t="s">
        <v>109</v>
      </c>
      <c r="H568" s="42">
        <v>350</v>
      </c>
      <c r="I568" s="42">
        <v>188</v>
      </c>
      <c r="J568" s="52">
        <v>0.11875000000000001</v>
      </c>
    </row>
    <row r="569" spans="1:10" s="42" customFormat="1" ht="15" x14ac:dyDescent="0.25">
      <c r="A569" s="42" t="s">
        <v>108</v>
      </c>
      <c r="B569" s="42">
        <v>146246</v>
      </c>
      <c r="C569" s="42">
        <v>17</v>
      </c>
      <c r="D569" s="42" t="s">
        <v>11</v>
      </c>
      <c r="E569" s="42">
        <v>1664</v>
      </c>
      <c r="F569" s="42">
        <v>1916902</v>
      </c>
      <c r="G569" s="42" t="s">
        <v>109</v>
      </c>
      <c r="H569" s="42">
        <v>380</v>
      </c>
      <c r="I569" s="42">
        <v>154</v>
      </c>
      <c r="J569" s="52">
        <v>0</v>
      </c>
    </row>
    <row r="570" spans="1:10" s="42" customFormat="1" ht="15" x14ac:dyDescent="0.25">
      <c r="A570" s="42" t="s">
        <v>108</v>
      </c>
      <c r="B570" s="42">
        <v>146247</v>
      </c>
      <c r="C570" s="42">
        <v>16</v>
      </c>
      <c r="D570" s="42" t="s">
        <v>11</v>
      </c>
      <c r="E570" s="42">
        <v>1003</v>
      </c>
      <c r="F570" s="42">
        <v>1916902</v>
      </c>
      <c r="G570" s="42" t="s">
        <v>109</v>
      </c>
      <c r="H570" s="42">
        <v>334</v>
      </c>
      <c r="I570" s="42">
        <v>172</v>
      </c>
      <c r="J570" s="52">
        <v>0</v>
      </c>
    </row>
    <row r="571" spans="1:10" s="42" customFormat="1" ht="15" x14ac:dyDescent="0.25">
      <c r="A571" s="42" t="s">
        <v>108</v>
      </c>
      <c r="B571" s="42">
        <v>146247</v>
      </c>
      <c r="C571" s="42">
        <v>16</v>
      </c>
      <c r="D571" s="42" t="s">
        <v>11</v>
      </c>
      <c r="E571" s="42">
        <v>1003</v>
      </c>
      <c r="F571" s="42">
        <v>1916902</v>
      </c>
      <c r="G571" s="42" t="s">
        <v>109</v>
      </c>
      <c r="H571" s="42">
        <v>394</v>
      </c>
      <c r="I571" s="42">
        <v>180</v>
      </c>
      <c r="J571" s="52">
        <v>0.11388888888888889</v>
      </c>
    </row>
    <row r="572" spans="1:10" s="42" customFormat="1" ht="15" x14ac:dyDescent="0.25">
      <c r="A572" s="42" t="s">
        <v>108</v>
      </c>
      <c r="B572" s="42">
        <v>146247</v>
      </c>
      <c r="C572" s="42">
        <v>17</v>
      </c>
      <c r="D572" s="42" t="s">
        <v>11</v>
      </c>
      <c r="E572" s="42">
        <v>1003</v>
      </c>
      <c r="F572" s="42">
        <v>1916902</v>
      </c>
      <c r="G572" s="42" t="s">
        <v>109</v>
      </c>
      <c r="H572" s="42">
        <v>350</v>
      </c>
      <c r="I572" s="42">
        <v>208</v>
      </c>
      <c r="J572" s="52">
        <v>0.13125000000000001</v>
      </c>
    </row>
    <row r="573" spans="1:10" s="42" customFormat="1" ht="15" x14ac:dyDescent="0.25">
      <c r="A573" s="42" t="s">
        <v>108</v>
      </c>
      <c r="B573" s="42">
        <v>146247</v>
      </c>
      <c r="C573" s="42">
        <v>17</v>
      </c>
      <c r="D573" s="42" t="s">
        <v>11</v>
      </c>
      <c r="E573" s="42">
        <v>1003</v>
      </c>
      <c r="F573" s="42">
        <v>1916902</v>
      </c>
      <c r="G573" s="42" t="s">
        <v>109</v>
      </c>
      <c r="H573" s="42">
        <v>380</v>
      </c>
      <c r="I573" s="42">
        <v>182</v>
      </c>
      <c r="J573" s="52">
        <v>0</v>
      </c>
    </row>
    <row r="574" spans="1:10" s="42" customFormat="1" ht="15" x14ac:dyDescent="0.25">
      <c r="A574" s="42" t="s">
        <v>111</v>
      </c>
      <c r="B574" s="42">
        <v>141268</v>
      </c>
      <c r="C574" s="42">
        <v>5</v>
      </c>
      <c r="D574" s="42" t="s">
        <v>11</v>
      </c>
      <c r="E574" s="42">
        <v>1375</v>
      </c>
      <c r="F574" s="42">
        <v>1184002</v>
      </c>
      <c r="G574" s="42" t="s">
        <v>112</v>
      </c>
      <c r="H574" s="42">
        <v>378</v>
      </c>
      <c r="I574" s="42">
        <v>400</v>
      </c>
      <c r="J574" s="52">
        <v>6.5277777777777782E-2</v>
      </c>
    </row>
    <row r="575" spans="1:10" s="42" customFormat="1" ht="15" x14ac:dyDescent="0.25">
      <c r="A575" s="42" t="s">
        <v>111</v>
      </c>
      <c r="B575" s="42">
        <v>141424</v>
      </c>
      <c r="C575" s="42">
        <v>17</v>
      </c>
      <c r="D575" s="42" t="s">
        <v>11</v>
      </c>
      <c r="E575" s="42">
        <v>1456</v>
      </c>
      <c r="F575" s="42">
        <v>1184002</v>
      </c>
      <c r="G575" s="42" t="s">
        <v>112</v>
      </c>
      <c r="H575" s="42">
        <v>390</v>
      </c>
      <c r="I575" s="53">
        <v>1424</v>
      </c>
      <c r="J575" s="52">
        <v>0.17777777777777778</v>
      </c>
    </row>
    <row r="576" spans="1:10" s="42" customFormat="1" ht="15" x14ac:dyDescent="0.25">
      <c r="A576" s="42" t="s">
        <v>111</v>
      </c>
      <c r="B576" s="42">
        <v>141424</v>
      </c>
      <c r="C576" s="42">
        <v>18</v>
      </c>
      <c r="D576" s="42" t="s">
        <v>11</v>
      </c>
      <c r="E576" s="42">
        <v>1456</v>
      </c>
      <c r="F576" s="42">
        <v>1184002</v>
      </c>
      <c r="G576" s="42" t="s">
        <v>112</v>
      </c>
      <c r="H576" s="42">
        <v>400</v>
      </c>
      <c r="I576" s="53">
        <v>1652</v>
      </c>
      <c r="J576" s="52">
        <v>0.20625000000000002</v>
      </c>
    </row>
    <row r="577" spans="1:10" s="42" customFormat="1" ht="15" x14ac:dyDescent="0.25">
      <c r="A577" s="42" t="s">
        <v>111</v>
      </c>
      <c r="B577" s="42">
        <v>141424</v>
      </c>
      <c r="C577" s="42">
        <v>19</v>
      </c>
      <c r="D577" s="42" t="s">
        <v>11</v>
      </c>
      <c r="E577" s="42">
        <v>1456</v>
      </c>
      <c r="F577" s="42">
        <v>1184002</v>
      </c>
      <c r="G577" s="42" t="s">
        <v>112</v>
      </c>
      <c r="H577" s="42">
        <v>410</v>
      </c>
      <c r="I577" s="53">
        <v>1604</v>
      </c>
      <c r="J577" s="52">
        <v>0.19999999999999998</v>
      </c>
    </row>
    <row r="578" spans="1:10" s="42" customFormat="1" ht="15" x14ac:dyDescent="0.25">
      <c r="A578" s="42" t="s">
        <v>111</v>
      </c>
      <c r="B578" s="42">
        <v>141424</v>
      </c>
      <c r="C578" s="42">
        <v>21</v>
      </c>
      <c r="D578" s="42" t="s">
        <v>11</v>
      </c>
      <c r="E578" s="42">
        <v>1456</v>
      </c>
      <c r="F578" s="42">
        <v>1184002</v>
      </c>
      <c r="G578" s="42" t="s">
        <v>112</v>
      </c>
      <c r="H578" s="42">
        <v>434</v>
      </c>
      <c r="I578" s="53">
        <v>1722</v>
      </c>
      <c r="J578" s="52">
        <v>0.28263888888888888</v>
      </c>
    </row>
    <row r="579" spans="1:10" s="42" customFormat="1" ht="15" x14ac:dyDescent="0.25">
      <c r="A579" s="42" t="s">
        <v>113</v>
      </c>
      <c r="B579" s="42">
        <v>146012</v>
      </c>
      <c r="C579" s="42">
        <v>51</v>
      </c>
      <c r="D579" s="42" t="s">
        <v>11</v>
      </c>
      <c r="E579" s="42">
        <v>1003</v>
      </c>
      <c r="F579" s="42">
        <v>1249702</v>
      </c>
      <c r="G579" s="42" t="s">
        <v>61</v>
      </c>
      <c r="H579" s="42">
        <v>267</v>
      </c>
      <c r="I579" s="42">
        <v>80</v>
      </c>
      <c r="J579" s="52">
        <v>0</v>
      </c>
    </row>
    <row r="580" spans="1:10" s="42" customFormat="1" ht="15" x14ac:dyDescent="0.25">
      <c r="A580" s="42" t="s">
        <v>113</v>
      </c>
      <c r="B580" s="42">
        <v>146012</v>
      </c>
      <c r="C580" s="42">
        <v>51</v>
      </c>
      <c r="D580" s="42" t="s">
        <v>11</v>
      </c>
      <c r="E580" s="42">
        <v>1003</v>
      </c>
      <c r="F580" s="42">
        <v>1249702</v>
      </c>
      <c r="G580" s="42" t="s">
        <v>61</v>
      </c>
      <c r="H580" s="42">
        <v>323</v>
      </c>
      <c r="I580" s="42">
        <v>200</v>
      </c>
      <c r="J580" s="52">
        <v>9.4444444444444442E-2</v>
      </c>
    </row>
    <row r="581" spans="1:10" s="42" customFormat="1" ht="15" x14ac:dyDescent="0.25">
      <c r="A581" s="42" t="s">
        <v>113</v>
      </c>
      <c r="B581" s="42">
        <v>146012</v>
      </c>
      <c r="C581" s="42">
        <v>53</v>
      </c>
      <c r="D581" s="42" t="s">
        <v>11</v>
      </c>
      <c r="E581" s="42">
        <v>1003</v>
      </c>
      <c r="F581" s="42">
        <v>1249702</v>
      </c>
      <c r="G581" s="42" t="s">
        <v>61</v>
      </c>
      <c r="H581" s="42">
        <v>356</v>
      </c>
      <c r="I581" s="42">
        <v>300</v>
      </c>
      <c r="J581" s="52">
        <v>0.1423611111111111</v>
      </c>
    </row>
    <row r="582" spans="1:10" s="42" customFormat="1" ht="15" x14ac:dyDescent="0.25">
      <c r="A582" s="42" t="s">
        <v>114</v>
      </c>
      <c r="B582" s="42">
        <v>146012</v>
      </c>
      <c r="C582" s="42">
        <v>85</v>
      </c>
      <c r="D582" s="42" t="s">
        <v>11</v>
      </c>
      <c r="E582" s="42">
        <v>1003</v>
      </c>
      <c r="F582" s="42">
        <v>1249722</v>
      </c>
      <c r="G582" s="42" t="s">
        <v>61</v>
      </c>
      <c r="H582" s="42">
        <v>289</v>
      </c>
      <c r="I582" s="42">
        <v>150</v>
      </c>
      <c r="J582" s="52">
        <v>7.0833333333333331E-2</v>
      </c>
    </row>
    <row r="583" spans="1:10" s="42" customFormat="1" ht="15" x14ac:dyDescent="0.25">
      <c r="A583" s="42" t="s">
        <v>113</v>
      </c>
      <c r="B583" s="42">
        <v>146013</v>
      </c>
      <c r="C583" s="42">
        <v>45</v>
      </c>
      <c r="D583" s="42" t="s">
        <v>11</v>
      </c>
      <c r="E583" s="42">
        <v>1682</v>
      </c>
      <c r="F583" s="42">
        <v>1249702</v>
      </c>
      <c r="G583" s="42" t="s">
        <v>61</v>
      </c>
      <c r="H583" s="42">
        <v>267</v>
      </c>
      <c r="I583" s="42">
        <v>50</v>
      </c>
      <c r="J583" s="52">
        <v>0</v>
      </c>
    </row>
    <row r="584" spans="1:10" s="42" customFormat="1" ht="15" x14ac:dyDescent="0.25">
      <c r="A584" s="42" t="s">
        <v>113</v>
      </c>
      <c r="B584" s="42">
        <v>146013</v>
      </c>
      <c r="C584" s="42">
        <v>45</v>
      </c>
      <c r="D584" s="42" t="s">
        <v>11</v>
      </c>
      <c r="E584" s="42">
        <v>1682</v>
      </c>
      <c r="F584" s="42">
        <v>1249702</v>
      </c>
      <c r="G584" s="42" t="s">
        <v>61</v>
      </c>
      <c r="H584" s="42">
        <v>323</v>
      </c>
      <c r="I584" s="42">
        <v>100</v>
      </c>
      <c r="J584" s="52">
        <v>4.7222222222222221E-2</v>
      </c>
    </row>
    <row r="585" spans="1:10" s="42" customFormat="1" ht="15" x14ac:dyDescent="0.25">
      <c r="A585" s="42" t="s">
        <v>114</v>
      </c>
      <c r="B585" s="42">
        <v>146013</v>
      </c>
      <c r="C585" s="42">
        <v>46</v>
      </c>
      <c r="D585" s="42" t="s">
        <v>11</v>
      </c>
      <c r="E585" s="42">
        <v>1682</v>
      </c>
      <c r="F585" s="42">
        <v>1249702</v>
      </c>
      <c r="G585" s="42" t="s">
        <v>61</v>
      </c>
      <c r="H585" s="42">
        <v>289</v>
      </c>
      <c r="I585" s="42">
        <v>100</v>
      </c>
      <c r="J585" s="52">
        <v>4.7222222222222221E-2</v>
      </c>
    </row>
    <row r="586" spans="1:10" s="42" customFormat="1" ht="15" x14ac:dyDescent="0.25">
      <c r="A586" s="42" t="s">
        <v>114</v>
      </c>
      <c r="B586" s="42">
        <v>146013</v>
      </c>
      <c r="C586" s="42">
        <v>74</v>
      </c>
      <c r="D586" s="42" t="s">
        <v>11</v>
      </c>
      <c r="E586" s="42">
        <v>1682</v>
      </c>
      <c r="F586" s="42">
        <v>1249722</v>
      </c>
      <c r="G586" s="42" t="s">
        <v>61</v>
      </c>
      <c r="H586" s="42">
        <v>289</v>
      </c>
      <c r="I586" s="42">
        <v>50</v>
      </c>
      <c r="J586" s="52">
        <v>2.361111111111111E-2</v>
      </c>
    </row>
    <row r="587" spans="1:10" s="42" customFormat="1" ht="15" x14ac:dyDescent="0.25">
      <c r="A587" s="42" t="s">
        <v>113</v>
      </c>
      <c r="B587" s="42">
        <v>146015</v>
      </c>
      <c r="C587" s="42">
        <v>57</v>
      </c>
      <c r="D587" s="42" t="s">
        <v>11</v>
      </c>
      <c r="E587" s="42">
        <v>1456</v>
      </c>
      <c r="F587" s="42">
        <v>1249702</v>
      </c>
      <c r="G587" s="42" t="s">
        <v>61</v>
      </c>
      <c r="H587" s="42">
        <v>267</v>
      </c>
      <c r="I587" s="42">
        <v>80</v>
      </c>
      <c r="J587" s="52">
        <v>0</v>
      </c>
    </row>
    <row r="588" spans="1:10" s="42" customFormat="1" ht="15" x14ac:dyDescent="0.25">
      <c r="A588" s="42" t="s">
        <v>113</v>
      </c>
      <c r="B588" s="42">
        <v>146015</v>
      </c>
      <c r="C588" s="42">
        <v>57</v>
      </c>
      <c r="D588" s="42" t="s">
        <v>11</v>
      </c>
      <c r="E588" s="42">
        <v>1456</v>
      </c>
      <c r="F588" s="42">
        <v>1249702</v>
      </c>
      <c r="G588" s="42" t="s">
        <v>61</v>
      </c>
      <c r="H588" s="42">
        <v>323</v>
      </c>
      <c r="I588" s="42">
        <v>160</v>
      </c>
      <c r="J588" s="52">
        <v>7.5694444444444439E-2</v>
      </c>
    </row>
    <row r="589" spans="1:10" s="42" customFormat="1" ht="15" x14ac:dyDescent="0.25">
      <c r="A589" s="42" t="s">
        <v>114</v>
      </c>
      <c r="B589" s="42">
        <v>146015</v>
      </c>
      <c r="C589" s="42">
        <v>58</v>
      </c>
      <c r="D589" s="42" t="s">
        <v>11</v>
      </c>
      <c r="E589" s="42">
        <v>1456</v>
      </c>
      <c r="F589" s="42">
        <v>1249702</v>
      </c>
      <c r="G589" s="42" t="s">
        <v>61</v>
      </c>
      <c r="H589" s="42">
        <v>289</v>
      </c>
      <c r="I589" s="42">
        <v>80</v>
      </c>
      <c r="J589" s="52">
        <v>0</v>
      </c>
    </row>
    <row r="590" spans="1:10" s="42" customFormat="1" ht="15" x14ac:dyDescent="0.25">
      <c r="A590" s="42" t="s">
        <v>114</v>
      </c>
      <c r="B590" s="42">
        <v>146015</v>
      </c>
      <c r="C590" s="42">
        <v>58</v>
      </c>
      <c r="D590" s="42" t="s">
        <v>11</v>
      </c>
      <c r="E590" s="42">
        <v>1456</v>
      </c>
      <c r="F590" s="42">
        <v>1249702</v>
      </c>
      <c r="G590" s="42" t="s">
        <v>61</v>
      </c>
      <c r="H590" s="42">
        <v>356</v>
      </c>
      <c r="I590" s="42">
        <v>160</v>
      </c>
      <c r="J590" s="52">
        <v>7.5694444444444439E-2</v>
      </c>
    </row>
    <row r="591" spans="1:10" s="42" customFormat="1" ht="15" x14ac:dyDescent="0.25">
      <c r="A591" s="42" t="s">
        <v>114</v>
      </c>
      <c r="B591" s="42">
        <v>146015</v>
      </c>
      <c r="C591" s="42">
        <v>96</v>
      </c>
      <c r="D591" s="42" t="s">
        <v>11</v>
      </c>
      <c r="E591" s="42">
        <v>1456</v>
      </c>
      <c r="F591" s="42">
        <v>1249722</v>
      </c>
      <c r="G591" s="42" t="s">
        <v>61</v>
      </c>
      <c r="H591" s="42">
        <v>289</v>
      </c>
      <c r="I591" s="42">
        <v>80</v>
      </c>
      <c r="J591" s="52">
        <v>3.8194444444444441E-2</v>
      </c>
    </row>
    <row r="592" spans="1:10" s="42" customFormat="1" ht="15" x14ac:dyDescent="0.25">
      <c r="A592" s="42" t="s">
        <v>113</v>
      </c>
      <c r="B592" s="42">
        <v>146016</v>
      </c>
      <c r="C592" s="42">
        <v>57</v>
      </c>
      <c r="D592" s="42" t="s">
        <v>11</v>
      </c>
      <c r="E592" s="42">
        <v>1039</v>
      </c>
      <c r="F592" s="42">
        <v>1249702</v>
      </c>
      <c r="G592" s="42" t="s">
        <v>61</v>
      </c>
      <c r="H592" s="42">
        <v>267</v>
      </c>
      <c r="I592" s="42">
        <v>60</v>
      </c>
      <c r="J592" s="52">
        <v>0</v>
      </c>
    </row>
    <row r="593" spans="1:10" s="42" customFormat="1" ht="15" x14ac:dyDescent="0.25">
      <c r="A593" s="42" t="s">
        <v>113</v>
      </c>
      <c r="B593" s="42">
        <v>146016</v>
      </c>
      <c r="C593" s="42">
        <v>57</v>
      </c>
      <c r="D593" s="42" t="s">
        <v>11</v>
      </c>
      <c r="E593" s="42">
        <v>1039</v>
      </c>
      <c r="F593" s="42">
        <v>1249702</v>
      </c>
      <c r="G593" s="42" t="s">
        <v>61</v>
      </c>
      <c r="H593" s="42">
        <v>323</v>
      </c>
      <c r="I593" s="42">
        <v>120</v>
      </c>
      <c r="J593" s="52">
        <v>5.6944444444444443E-2</v>
      </c>
    </row>
    <row r="594" spans="1:10" s="42" customFormat="1" ht="15" x14ac:dyDescent="0.25">
      <c r="A594" s="42" t="s">
        <v>114</v>
      </c>
      <c r="B594" s="42">
        <v>146016</v>
      </c>
      <c r="C594" s="42">
        <v>58</v>
      </c>
      <c r="D594" s="42" t="s">
        <v>11</v>
      </c>
      <c r="E594" s="42">
        <v>1039</v>
      </c>
      <c r="F594" s="42">
        <v>1249702</v>
      </c>
      <c r="G594" s="42" t="s">
        <v>61</v>
      </c>
      <c r="H594" s="42">
        <v>289</v>
      </c>
      <c r="I594" s="42">
        <v>60</v>
      </c>
      <c r="J594" s="52">
        <v>2.8472222222222222E-2</v>
      </c>
    </row>
    <row r="595" spans="1:10" s="42" customFormat="1" ht="15" x14ac:dyDescent="0.25">
      <c r="A595" s="42" t="s">
        <v>114</v>
      </c>
      <c r="B595" s="42">
        <v>146016</v>
      </c>
      <c r="C595" s="42">
        <v>58</v>
      </c>
      <c r="D595" s="42" t="s">
        <v>11</v>
      </c>
      <c r="E595" s="42">
        <v>1039</v>
      </c>
      <c r="F595" s="42">
        <v>1249702</v>
      </c>
      <c r="G595" s="42" t="s">
        <v>61</v>
      </c>
      <c r="H595" s="42">
        <v>356</v>
      </c>
      <c r="I595" s="42">
        <v>60</v>
      </c>
      <c r="J595" s="52">
        <v>0</v>
      </c>
    </row>
    <row r="596" spans="1:10" s="42" customFormat="1" ht="15" x14ac:dyDescent="0.25">
      <c r="A596" s="42" t="s">
        <v>114</v>
      </c>
      <c r="B596" s="42">
        <v>146016</v>
      </c>
      <c r="C596" s="42">
        <v>59</v>
      </c>
      <c r="D596" s="42" t="s">
        <v>11</v>
      </c>
      <c r="E596" s="42">
        <v>1039</v>
      </c>
      <c r="F596" s="42">
        <v>1249702</v>
      </c>
      <c r="G596" s="42" t="s">
        <v>61</v>
      </c>
      <c r="H596" s="42">
        <v>301</v>
      </c>
      <c r="I596" s="42">
        <v>120</v>
      </c>
      <c r="J596" s="52">
        <v>5.6944444444444443E-2</v>
      </c>
    </row>
    <row r="597" spans="1:10" s="42" customFormat="1" ht="15" x14ac:dyDescent="0.25">
      <c r="A597" s="42" t="s">
        <v>114</v>
      </c>
      <c r="B597" s="42">
        <v>146016</v>
      </c>
      <c r="C597" s="42">
        <v>59</v>
      </c>
      <c r="D597" s="42" t="s">
        <v>11</v>
      </c>
      <c r="E597" s="42">
        <v>1039</v>
      </c>
      <c r="F597" s="42">
        <v>1249702</v>
      </c>
      <c r="G597" s="42" t="s">
        <v>61</v>
      </c>
      <c r="H597" s="42">
        <v>340</v>
      </c>
      <c r="I597" s="42">
        <v>60</v>
      </c>
      <c r="J597" s="52">
        <v>0</v>
      </c>
    </row>
    <row r="598" spans="1:10" s="42" customFormat="1" ht="15" x14ac:dyDescent="0.25">
      <c r="A598" s="42" t="s">
        <v>114</v>
      </c>
      <c r="B598" s="42">
        <v>146016</v>
      </c>
      <c r="C598" s="42">
        <v>96</v>
      </c>
      <c r="D598" s="42" t="s">
        <v>11</v>
      </c>
      <c r="E598" s="42">
        <v>1039</v>
      </c>
      <c r="F598" s="42">
        <v>1249722</v>
      </c>
      <c r="G598" s="42" t="s">
        <v>61</v>
      </c>
      <c r="H598" s="42">
        <v>289</v>
      </c>
      <c r="I598" s="42">
        <v>60</v>
      </c>
      <c r="J598" s="52">
        <v>2.8472222222222222E-2</v>
      </c>
    </row>
    <row r="599" spans="1:10" s="42" customFormat="1" ht="15" x14ac:dyDescent="0.25">
      <c r="A599" s="42" t="s">
        <v>114</v>
      </c>
      <c r="B599" s="42">
        <v>146018</v>
      </c>
      <c r="C599" s="42">
        <v>16</v>
      </c>
      <c r="D599" s="42" t="s">
        <v>11</v>
      </c>
      <c r="E599" s="42">
        <v>1039</v>
      </c>
      <c r="F599" s="42">
        <v>1249722</v>
      </c>
      <c r="G599" s="42" t="s">
        <v>61</v>
      </c>
      <c r="H599" s="42">
        <v>289</v>
      </c>
      <c r="I599" s="42">
        <v>20</v>
      </c>
      <c r="J599" s="52">
        <v>9.7222222222222224E-3</v>
      </c>
    </row>
    <row r="600" spans="1:10" s="42" customFormat="1" ht="15" x14ac:dyDescent="0.25">
      <c r="A600" s="42" t="s">
        <v>114</v>
      </c>
      <c r="B600" s="42">
        <v>146198</v>
      </c>
      <c r="C600" s="42">
        <v>34</v>
      </c>
      <c r="D600" s="42" t="s">
        <v>11</v>
      </c>
      <c r="E600" s="42">
        <v>16576</v>
      </c>
      <c r="F600" s="42">
        <v>1245102</v>
      </c>
      <c r="G600" s="42" t="s">
        <v>115</v>
      </c>
      <c r="H600" s="42">
        <v>178</v>
      </c>
      <c r="I600" s="42">
        <v>130</v>
      </c>
      <c r="J600" s="52">
        <v>0</v>
      </c>
    </row>
    <row r="601" spans="1:10" s="42" customFormat="1" ht="15" x14ac:dyDescent="0.25">
      <c r="A601" s="42" t="s">
        <v>114</v>
      </c>
      <c r="B601" s="42">
        <v>146198</v>
      </c>
      <c r="C601" s="42">
        <v>34</v>
      </c>
      <c r="D601" s="42" t="s">
        <v>11</v>
      </c>
      <c r="E601" s="42">
        <v>16576</v>
      </c>
      <c r="F601" s="42">
        <v>1245102</v>
      </c>
      <c r="G601" s="42" t="s">
        <v>115</v>
      </c>
      <c r="H601" s="42">
        <v>190</v>
      </c>
      <c r="I601" s="42">
        <v>200</v>
      </c>
      <c r="J601" s="52">
        <v>9.5833333333333326E-2</v>
      </c>
    </row>
    <row r="602" spans="1:10" s="42" customFormat="1" ht="15" x14ac:dyDescent="0.25">
      <c r="A602" s="42" t="s">
        <v>114</v>
      </c>
      <c r="B602" s="42">
        <v>146198</v>
      </c>
      <c r="C602" s="42">
        <v>35</v>
      </c>
      <c r="D602" s="42" t="s">
        <v>11</v>
      </c>
      <c r="E602" s="42">
        <v>16576</v>
      </c>
      <c r="F602" s="42">
        <v>1245102</v>
      </c>
      <c r="G602" s="42" t="s">
        <v>115</v>
      </c>
      <c r="H602" s="42">
        <v>201</v>
      </c>
      <c r="I602" s="42">
        <v>264</v>
      </c>
      <c r="J602" s="52">
        <v>0.12638888888888888</v>
      </c>
    </row>
    <row r="603" spans="1:10" s="42" customFormat="1" ht="15" x14ac:dyDescent="0.25">
      <c r="A603" s="42" t="s">
        <v>114</v>
      </c>
      <c r="B603" s="42">
        <v>146198</v>
      </c>
      <c r="C603" s="42">
        <v>35</v>
      </c>
      <c r="D603" s="42" t="s">
        <v>11</v>
      </c>
      <c r="E603" s="42">
        <v>16576</v>
      </c>
      <c r="F603" s="42">
        <v>1245102</v>
      </c>
      <c r="G603" s="42" t="s">
        <v>115</v>
      </c>
      <c r="H603" s="42">
        <v>234</v>
      </c>
      <c r="I603" s="42">
        <v>230</v>
      </c>
      <c r="J603" s="52">
        <v>0</v>
      </c>
    </row>
    <row r="604" spans="1:10" s="42" customFormat="1" ht="15" x14ac:dyDescent="0.25">
      <c r="A604" s="42" t="s">
        <v>113</v>
      </c>
      <c r="B604" s="42">
        <v>146198</v>
      </c>
      <c r="C604" s="42">
        <v>36</v>
      </c>
      <c r="D604" s="42" t="s">
        <v>11</v>
      </c>
      <c r="E604" s="42">
        <v>16576</v>
      </c>
      <c r="F604" s="42">
        <v>1245102</v>
      </c>
      <c r="G604" s="42" t="s">
        <v>115</v>
      </c>
      <c r="H604" s="42">
        <v>220</v>
      </c>
      <c r="I604" s="42">
        <v>320</v>
      </c>
      <c r="J604" s="52">
        <v>0.15347222222222223</v>
      </c>
    </row>
    <row r="605" spans="1:10" s="42" customFormat="1" ht="15" x14ac:dyDescent="0.25">
      <c r="A605" s="42" t="s">
        <v>113</v>
      </c>
      <c r="B605" s="42">
        <v>146198</v>
      </c>
      <c r="C605" s="42">
        <v>36</v>
      </c>
      <c r="D605" s="42" t="s">
        <v>11</v>
      </c>
      <c r="E605" s="42">
        <v>16576</v>
      </c>
      <c r="F605" s="42">
        <v>1245102</v>
      </c>
      <c r="G605" s="42" t="s">
        <v>115</v>
      </c>
      <c r="H605" s="42">
        <v>250</v>
      </c>
      <c r="I605" s="42">
        <v>190</v>
      </c>
      <c r="J605" s="52">
        <v>0</v>
      </c>
    </row>
    <row r="606" spans="1:10" s="42" customFormat="1" ht="15" x14ac:dyDescent="0.25">
      <c r="A606" s="42" t="s">
        <v>116</v>
      </c>
      <c r="B606" s="42">
        <v>145896</v>
      </c>
      <c r="C606" s="42">
        <v>301</v>
      </c>
      <c r="D606" s="42" t="s">
        <v>11</v>
      </c>
      <c r="E606" s="42">
        <v>16437</v>
      </c>
      <c r="F606" s="42">
        <v>1222602</v>
      </c>
      <c r="G606" s="42" t="s">
        <v>89</v>
      </c>
      <c r="H606" s="42">
        <v>378</v>
      </c>
      <c r="I606" s="42">
        <v>50</v>
      </c>
      <c r="J606" s="52">
        <v>2.2222222222222223E-2</v>
      </c>
    </row>
    <row r="607" spans="1:10" s="42" customFormat="1" ht="15" x14ac:dyDescent="0.25">
      <c r="A607" s="42" t="s">
        <v>116</v>
      </c>
      <c r="B607" s="42">
        <v>145896</v>
      </c>
      <c r="C607" s="42">
        <v>301</v>
      </c>
      <c r="D607" s="42" t="s">
        <v>11</v>
      </c>
      <c r="E607" s="42">
        <v>16437</v>
      </c>
      <c r="F607" s="42">
        <v>1222602</v>
      </c>
      <c r="G607" s="42" t="s">
        <v>89</v>
      </c>
      <c r="H607" s="42">
        <v>434</v>
      </c>
      <c r="I607" s="42">
        <v>30</v>
      </c>
      <c r="J607" s="52">
        <v>0</v>
      </c>
    </row>
    <row r="608" spans="1:10" s="42" customFormat="1" ht="15" x14ac:dyDescent="0.25">
      <c r="A608" s="42" t="s">
        <v>116</v>
      </c>
      <c r="B608" s="42">
        <v>145896</v>
      </c>
      <c r="C608" s="42">
        <v>302</v>
      </c>
      <c r="D608" s="42" t="s">
        <v>11</v>
      </c>
      <c r="E608" s="42">
        <v>16437</v>
      </c>
      <c r="F608" s="42">
        <v>1222602</v>
      </c>
      <c r="G608" s="42" t="s">
        <v>89</v>
      </c>
      <c r="H608" s="42">
        <v>394</v>
      </c>
      <c r="I608" s="42">
        <v>120</v>
      </c>
      <c r="J608" s="52">
        <v>0</v>
      </c>
    </row>
    <row r="609" spans="1:10" s="42" customFormat="1" ht="15" x14ac:dyDescent="0.25">
      <c r="A609" s="42" t="s">
        <v>116</v>
      </c>
      <c r="B609" s="42">
        <v>145896</v>
      </c>
      <c r="C609" s="42">
        <v>302</v>
      </c>
      <c r="D609" s="42" t="s">
        <v>11</v>
      </c>
      <c r="E609" s="42">
        <v>16437</v>
      </c>
      <c r="F609" s="42">
        <v>1222602</v>
      </c>
      <c r="G609" s="42" t="s">
        <v>89</v>
      </c>
      <c r="H609" s="42">
        <v>412</v>
      </c>
      <c r="I609" s="42">
        <v>150</v>
      </c>
      <c r="J609" s="52">
        <v>6.6666666666666666E-2</v>
      </c>
    </row>
    <row r="610" spans="1:10" s="42" customFormat="1" ht="15" x14ac:dyDescent="0.25">
      <c r="A610" s="42" t="s">
        <v>116</v>
      </c>
      <c r="B610" s="42">
        <v>145896</v>
      </c>
      <c r="C610" s="42">
        <v>329</v>
      </c>
      <c r="D610" s="42" t="s">
        <v>11</v>
      </c>
      <c r="E610" s="42">
        <v>16437</v>
      </c>
      <c r="F610" s="42">
        <v>1222622</v>
      </c>
      <c r="G610" s="42" t="s">
        <v>89</v>
      </c>
      <c r="H610" s="42">
        <v>394</v>
      </c>
      <c r="I610" s="42">
        <v>200</v>
      </c>
      <c r="J610" s="52">
        <v>8.8888888888888892E-2</v>
      </c>
    </row>
    <row r="611" spans="1:10" s="42" customFormat="1" ht="15" x14ac:dyDescent="0.25">
      <c r="A611" s="42" t="s">
        <v>116</v>
      </c>
      <c r="B611" s="42">
        <v>145896</v>
      </c>
      <c r="C611" s="42">
        <v>329</v>
      </c>
      <c r="D611" s="42" t="s">
        <v>11</v>
      </c>
      <c r="E611" s="42">
        <v>16437</v>
      </c>
      <c r="F611" s="42">
        <v>1222622</v>
      </c>
      <c r="G611" s="42" t="s">
        <v>89</v>
      </c>
      <c r="H611" s="42">
        <v>412</v>
      </c>
      <c r="I611" s="42">
        <v>60</v>
      </c>
      <c r="J611" s="52">
        <v>0</v>
      </c>
    </row>
    <row r="612" spans="1:10" s="42" customFormat="1" ht="15" x14ac:dyDescent="0.25">
      <c r="A612" s="42" t="s">
        <v>116</v>
      </c>
      <c r="B612" s="42">
        <v>145898</v>
      </c>
      <c r="C612" s="42">
        <v>349</v>
      </c>
      <c r="D612" s="42" t="s">
        <v>11</v>
      </c>
      <c r="E612" s="42">
        <v>1003</v>
      </c>
      <c r="F612" s="42">
        <v>1222602</v>
      </c>
      <c r="G612" s="42" t="s">
        <v>89</v>
      </c>
      <c r="H612" s="42">
        <v>378</v>
      </c>
      <c r="I612" s="42">
        <v>100</v>
      </c>
      <c r="J612" s="52">
        <v>4.4444444444444446E-2</v>
      </c>
    </row>
    <row r="613" spans="1:10" s="42" customFormat="1" ht="15" x14ac:dyDescent="0.25">
      <c r="A613" s="42" t="s">
        <v>116</v>
      </c>
      <c r="B613" s="42">
        <v>145898</v>
      </c>
      <c r="C613" s="42">
        <v>349</v>
      </c>
      <c r="D613" s="42" t="s">
        <v>11</v>
      </c>
      <c r="E613" s="42">
        <v>1003</v>
      </c>
      <c r="F613" s="42">
        <v>1222602</v>
      </c>
      <c r="G613" s="42" t="s">
        <v>89</v>
      </c>
      <c r="H613" s="42">
        <v>434</v>
      </c>
      <c r="I613" s="42">
        <v>100</v>
      </c>
      <c r="J613" s="52">
        <v>0</v>
      </c>
    </row>
    <row r="614" spans="1:10" s="42" customFormat="1" ht="15" x14ac:dyDescent="0.25">
      <c r="A614" s="42" t="s">
        <v>116</v>
      </c>
      <c r="B614" s="42">
        <v>145898</v>
      </c>
      <c r="C614" s="42">
        <v>350</v>
      </c>
      <c r="D614" s="42" t="s">
        <v>11</v>
      </c>
      <c r="E614" s="42">
        <v>1003</v>
      </c>
      <c r="F614" s="42">
        <v>1222602</v>
      </c>
      <c r="G614" s="42" t="s">
        <v>89</v>
      </c>
      <c r="H614" s="42">
        <v>394</v>
      </c>
      <c r="I614" s="42">
        <v>180</v>
      </c>
      <c r="J614" s="52">
        <v>0</v>
      </c>
    </row>
    <row r="615" spans="1:10" s="42" customFormat="1" ht="15" x14ac:dyDescent="0.25">
      <c r="A615" s="42" t="s">
        <v>116</v>
      </c>
      <c r="B615" s="42">
        <v>145898</v>
      </c>
      <c r="C615" s="42">
        <v>350</v>
      </c>
      <c r="D615" s="42" t="s">
        <v>11</v>
      </c>
      <c r="E615" s="42">
        <v>1003</v>
      </c>
      <c r="F615" s="42">
        <v>1222602</v>
      </c>
      <c r="G615" s="42" t="s">
        <v>89</v>
      </c>
      <c r="H615" s="42">
        <v>412</v>
      </c>
      <c r="I615" s="42">
        <v>250</v>
      </c>
      <c r="J615" s="52">
        <v>0.1111111111111111</v>
      </c>
    </row>
    <row r="616" spans="1:10" s="42" customFormat="1" ht="15" x14ac:dyDescent="0.25">
      <c r="A616" s="42" t="s">
        <v>116</v>
      </c>
      <c r="B616" s="42">
        <v>145898</v>
      </c>
      <c r="C616" s="42">
        <v>377</v>
      </c>
      <c r="D616" s="42" t="s">
        <v>11</v>
      </c>
      <c r="E616" s="42">
        <v>1003</v>
      </c>
      <c r="F616" s="42">
        <v>1222622</v>
      </c>
      <c r="G616" s="42" t="s">
        <v>89</v>
      </c>
      <c r="H616" s="42">
        <v>394</v>
      </c>
      <c r="I616" s="42">
        <v>250</v>
      </c>
      <c r="J616" s="52">
        <v>0.1111111111111111</v>
      </c>
    </row>
    <row r="617" spans="1:10" s="42" customFormat="1" ht="15" x14ac:dyDescent="0.25">
      <c r="A617" s="42" t="s">
        <v>116</v>
      </c>
      <c r="B617" s="42">
        <v>145898</v>
      </c>
      <c r="C617" s="42">
        <v>377</v>
      </c>
      <c r="D617" s="42" t="s">
        <v>11</v>
      </c>
      <c r="E617" s="42">
        <v>1003</v>
      </c>
      <c r="F617" s="42">
        <v>1222622</v>
      </c>
      <c r="G617" s="42" t="s">
        <v>89</v>
      </c>
      <c r="H617" s="42">
        <v>412</v>
      </c>
      <c r="I617" s="42">
        <v>150</v>
      </c>
      <c r="J617" s="52">
        <v>0</v>
      </c>
    </row>
    <row r="618" spans="1:10" s="42" customFormat="1" ht="15" x14ac:dyDescent="0.25">
      <c r="A618" s="42" t="s">
        <v>116</v>
      </c>
      <c r="B618" s="42">
        <v>145901</v>
      </c>
      <c r="C618" s="42">
        <v>315</v>
      </c>
      <c r="D618" s="42" t="s">
        <v>11</v>
      </c>
      <c r="E618" s="42">
        <v>1101</v>
      </c>
      <c r="F618" s="42">
        <v>1222602</v>
      </c>
      <c r="G618" s="42" t="s">
        <v>89</v>
      </c>
      <c r="H618" s="42">
        <v>378</v>
      </c>
      <c r="I618" s="42">
        <v>50</v>
      </c>
      <c r="J618" s="52">
        <v>2.2222222222222223E-2</v>
      </c>
    </row>
    <row r="619" spans="1:10" s="42" customFormat="1" ht="15" x14ac:dyDescent="0.25">
      <c r="A619" s="42" t="s">
        <v>116</v>
      </c>
      <c r="B619" s="42">
        <v>145901</v>
      </c>
      <c r="C619" s="42">
        <v>315</v>
      </c>
      <c r="D619" s="42" t="s">
        <v>11</v>
      </c>
      <c r="E619" s="42">
        <v>1101</v>
      </c>
      <c r="F619" s="42">
        <v>1222602</v>
      </c>
      <c r="G619" s="42" t="s">
        <v>89</v>
      </c>
      <c r="H619" s="42">
        <v>434</v>
      </c>
      <c r="I619" s="42">
        <v>50</v>
      </c>
      <c r="J619" s="52">
        <v>0</v>
      </c>
    </row>
    <row r="620" spans="1:10" s="42" customFormat="1" ht="15" x14ac:dyDescent="0.25">
      <c r="A620" s="42" t="s">
        <v>116</v>
      </c>
      <c r="B620" s="42">
        <v>145901</v>
      </c>
      <c r="C620" s="42">
        <v>316</v>
      </c>
      <c r="D620" s="42" t="s">
        <v>11</v>
      </c>
      <c r="E620" s="42">
        <v>1101</v>
      </c>
      <c r="F620" s="42">
        <v>1222602</v>
      </c>
      <c r="G620" s="42" t="s">
        <v>89</v>
      </c>
      <c r="H620" s="42">
        <v>394</v>
      </c>
      <c r="I620" s="42">
        <v>50</v>
      </c>
      <c r="J620" s="52">
        <v>2.2222222222222223E-2</v>
      </c>
    </row>
    <row r="621" spans="1:10" s="42" customFormat="1" ht="15" x14ac:dyDescent="0.25">
      <c r="A621" s="42" t="s">
        <v>116</v>
      </c>
      <c r="B621" s="42">
        <v>145901</v>
      </c>
      <c r="C621" s="42">
        <v>316</v>
      </c>
      <c r="D621" s="42" t="s">
        <v>11</v>
      </c>
      <c r="E621" s="42">
        <v>1101</v>
      </c>
      <c r="F621" s="42">
        <v>1222602</v>
      </c>
      <c r="G621" s="42" t="s">
        <v>89</v>
      </c>
      <c r="H621" s="42">
        <v>412</v>
      </c>
      <c r="I621" s="42">
        <v>50</v>
      </c>
      <c r="J621" s="52">
        <v>0</v>
      </c>
    </row>
    <row r="622" spans="1:10" s="42" customFormat="1" ht="15" x14ac:dyDescent="0.25">
      <c r="A622" s="42" t="s">
        <v>116</v>
      </c>
      <c r="B622" s="42">
        <v>145901</v>
      </c>
      <c r="C622" s="42">
        <v>352</v>
      </c>
      <c r="D622" s="42" t="s">
        <v>11</v>
      </c>
      <c r="E622" s="42">
        <v>1101</v>
      </c>
      <c r="F622" s="42">
        <v>1222622</v>
      </c>
      <c r="G622" s="42" t="s">
        <v>89</v>
      </c>
      <c r="H622" s="42">
        <v>394</v>
      </c>
      <c r="I622" s="42">
        <v>30</v>
      </c>
      <c r="J622" s="52">
        <v>1.3194444444444444E-2</v>
      </c>
    </row>
    <row r="623" spans="1:10" s="42" customFormat="1" ht="15" x14ac:dyDescent="0.25">
      <c r="A623" s="42" t="s">
        <v>116</v>
      </c>
      <c r="B623" s="42">
        <v>145901</v>
      </c>
      <c r="C623" s="42">
        <v>352</v>
      </c>
      <c r="D623" s="42" t="s">
        <v>11</v>
      </c>
      <c r="E623" s="42">
        <v>1101</v>
      </c>
      <c r="F623" s="42">
        <v>1222622</v>
      </c>
      <c r="G623" s="42" t="s">
        <v>89</v>
      </c>
      <c r="H623" s="42">
        <v>412</v>
      </c>
      <c r="I623" s="42">
        <v>30</v>
      </c>
      <c r="J623" s="52">
        <v>0</v>
      </c>
    </row>
    <row r="624" spans="1:10" s="42" customFormat="1" ht="15" x14ac:dyDescent="0.25">
      <c r="A624" s="42" t="s">
        <v>116</v>
      </c>
      <c r="B624" s="42">
        <v>145920</v>
      </c>
      <c r="C624" s="42">
        <v>161</v>
      </c>
      <c r="D624" s="42" t="s">
        <v>11</v>
      </c>
      <c r="E624" s="42">
        <v>1003</v>
      </c>
      <c r="F624" s="42">
        <v>1222602</v>
      </c>
      <c r="G624" s="42" t="s">
        <v>89</v>
      </c>
      <c r="H624" s="42">
        <v>378</v>
      </c>
      <c r="I624" s="42">
        <v>30</v>
      </c>
      <c r="J624" s="52">
        <v>1.3194444444444444E-2</v>
      </c>
    </row>
    <row r="625" spans="1:10" s="42" customFormat="1" ht="15" x14ac:dyDescent="0.25">
      <c r="A625" s="42" t="s">
        <v>116</v>
      </c>
      <c r="B625" s="42">
        <v>145920</v>
      </c>
      <c r="C625" s="42">
        <v>161</v>
      </c>
      <c r="D625" s="42" t="s">
        <v>11</v>
      </c>
      <c r="E625" s="42">
        <v>1003</v>
      </c>
      <c r="F625" s="42">
        <v>1222602</v>
      </c>
      <c r="G625" s="42" t="s">
        <v>89</v>
      </c>
      <c r="H625" s="42">
        <v>434</v>
      </c>
      <c r="I625" s="42">
        <v>30</v>
      </c>
      <c r="J625" s="52">
        <v>0</v>
      </c>
    </row>
    <row r="626" spans="1:10" s="42" customFormat="1" ht="15" x14ac:dyDescent="0.25">
      <c r="A626" s="42" t="s">
        <v>116</v>
      </c>
      <c r="B626" s="42">
        <v>145920</v>
      </c>
      <c r="C626" s="42">
        <v>162</v>
      </c>
      <c r="D626" s="42" t="s">
        <v>11</v>
      </c>
      <c r="E626" s="42">
        <v>1003</v>
      </c>
      <c r="F626" s="42">
        <v>1222602</v>
      </c>
      <c r="G626" s="42" t="s">
        <v>89</v>
      </c>
      <c r="H626" s="42">
        <v>394</v>
      </c>
      <c r="I626" s="42">
        <v>30</v>
      </c>
      <c r="J626" s="52">
        <v>1.3194444444444444E-2</v>
      </c>
    </row>
    <row r="627" spans="1:10" s="42" customFormat="1" ht="15" x14ac:dyDescent="0.25">
      <c r="A627" s="42" t="s">
        <v>116</v>
      </c>
      <c r="B627" s="42">
        <v>145920</v>
      </c>
      <c r="C627" s="42">
        <v>162</v>
      </c>
      <c r="D627" s="42" t="s">
        <v>11</v>
      </c>
      <c r="E627" s="42">
        <v>1003</v>
      </c>
      <c r="F627" s="42">
        <v>1222602</v>
      </c>
      <c r="G627" s="42" t="s">
        <v>89</v>
      </c>
      <c r="H627" s="42">
        <v>412</v>
      </c>
      <c r="I627" s="42">
        <v>30</v>
      </c>
      <c r="J627" s="52">
        <v>0</v>
      </c>
    </row>
    <row r="628" spans="1:10" s="42" customFormat="1" ht="15" x14ac:dyDescent="0.25">
      <c r="A628" s="42" t="s">
        <v>116</v>
      </c>
      <c r="B628" s="42">
        <v>145920</v>
      </c>
      <c r="C628" s="42">
        <v>189</v>
      </c>
      <c r="D628" s="42" t="s">
        <v>11</v>
      </c>
      <c r="E628" s="42">
        <v>1003</v>
      </c>
      <c r="F628" s="42">
        <v>1222622</v>
      </c>
      <c r="G628" s="42" t="s">
        <v>89</v>
      </c>
      <c r="H628" s="42">
        <v>394</v>
      </c>
      <c r="I628" s="42">
        <v>30</v>
      </c>
      <c r="J628" s="52">
        <v>1.3194444444444444E-2</v>
      </c>
    </row>
    <row r="629" spans="1:10" s="42" customFormat="1" ht="15" x14ac:dyDescent="0.25">
      <c r="A629" s="42" t="s">
        <v>116</v>
      </c>
      <c r="B629" s="42">
        <v>145920</v>
      </c>
      <c r="C629" s="42">
        <v>189</v>
      </c>
      <c r="D629" s="42" t="s">
        <v>11</v>
      </c>
      <c r="E629" s="42">
        <v>1003</v>
      </c>
      <c r="F629" s="42">
        <v>1222622</v>
      </c>
      <c r="G629" s="42" t="s">
        <v>89</v>
      </c>
      <c r="H629" s="42">
        <v>412</v>
      </c>
      <c r="I629" s="42">
        <v>30</v>
      </c>
      <c r="J629" s="52">
        <v>0</v>
      </c>
    </row>
    <row r="630" spans="1:10" s="42" customFormat="1" ht="15" x14ac:dyDescent="0.25">
      <c r="A630" s="42" t="s">
        <v>116</v>
      </c>
      <c r="B630" s="42">
        <v>145967</v>
      </c>
      <c r="C630" s="42">
        <v>62</v>
      </c>
      <c r="D630" s="42" t="s">
        <v>11</v>
      </c>
      <c r="E630" s="42">
        <v>1003</v>
      </c>
      <c r="F630" s="42">
        <v>1237102</v>
      </c>
      <c r="G630" s="42" t="s">
        <v>117</v>
      </c>
      <c r="H630" s="42">
        <v>300</v>
      </c>
      <c r="I630" s="42">
        <v>16</v>
      </c>
      <c r="J630" s="52">
        <v>6.9444444444444441E-3</v>
      </c>
    </row>
    <row r="631" spans="1:10" s="42" customFormat="1" ht="15" x14ac:dyDescent="0.25">
      <c r="A631" s="42" t="s">
        <v>116</v>
      </c>
      <c r="B631" s="42">
        <v>145967</v>
      </c>
      <c r="C631" s="42">
        <v>63</v>
      </c>
      <c r="D631" s="42" t="s">
        <v>11</v>
      </c>
      <c r="E631" s="42">
        <v>1003</v>
      </c>
      <c r="F631" s="42">
        <v>1237102</v>
      </c>
      <c r="G631" s="42" t="s">
        <v>117</v>
      </c>
      <c r="H631" s="42">
        <v>310</v>
      </c>
      <c r="I631" s="42">
        <v>16</v>
      </c>
      <c r="J631" s="52">
        <v>6.9444444444444441E-3</v>
      </c>
    </row>
    <row r="632" spans="1:10" s="42" customFormat="1" ht="15" x14ac:dyDescent="0.25">
      <c r="A632" s="42" t="s">
        <v>116</v>
      </c>
      <c r="B632" s="42">
        <v>145967</v>
      </c>
      <c r="C632" s="42">
        <v>64</v>
      </c>
      <c r="D632" s="42" t="s">
        <v>11</v>
      </c>
      <c r="E632" s="42">
        <v>1003</v>
      </c>
      <c r="F632" s="42">
        <v>1237102</v>
      </c>
      <c r="G632" s="42" t="s">
        <v>117</v>
      </c>
      <c r="H632" s="42">
        <v>323</v>
      </c>
      <c r="I632" s="42">
        <v>16</v>
      </c>
      <c r="J632" s="52">
        <v>6.9444444444444441E-3</v>
      </c>
    </row>
    <row r="633" spans="1:10" s="42" customFormat="1" ht="15" x14ac:dyDescent="0.25">
      <c r="A633" s="42" t="s">
        <v>116</v>
      </c>
      <c r="B633" s="42">
        <v>145967</v>
      </c>
      <c r="C633" s="42">
        <v>65</v>
      </c>
      <c r="D633" s="42" t="s">
        <v>11</v>
      </c>
      <c r="E633" s="42">
        <v>1003</v>
      </c>
      <c r="F633" s="42">
        <v>1237102</v>
      </c>
      <c r="G633" s="42" t="s">
        <v>117</v>
      </c>
      <c r="H633" s="42">
        <v>340</v>
      </c>
      <c r="I633" s="42">
        <v>16</v>
      </c>
      <c r="J633" s="52">
        <v>6.9444444444444441E-3</v>
      </c>
    </row>
    <row r="634" spans="1:10" s="42" customFormat="1" ht="15" x14ac:dyDescent="0.25">
      <c r="A634" s="42" t="s">
        <v>116</v>
      </c>
      <c r="B634" s="42">
        <v>145967</v>
      </c>
      <c r="C634" s="42">
        <v>66</v>
      </c>
      <c r="D634" s="42" t="s">
        <v>11</v>
      </c>
      <c r="E634" s="42">
        <v>1003</v>
      </c>
      <c r="F634" s="42">
        <v>1237102</v>
      </c>
      <c r="G634" s="42" t="s">
        <v>117</v>
      </c>
      <c r="H634" s="42">
        <v>350</v>
      </c>
      <c r="I634" s="42">
        <v>16</v>
      </c>
      <c r="J634" s="52">
        <v>7.6388888888888886E-3</v>
      </c>
    </row>
    <row r="635" spans="1:10" s="42" customFormat="1" ht="15" x14ac:dyDescent="0.25">
      <c r="A635" s="42" t="s">
        <v>116</v>
      </c>
      <c r="B635" s="42">
        <v>145969</v>
      </c>
      <c r="C635" s="42">
        <v>90</v>
      </c>
      <c r="D635" s="42" t="s">
        <v>11</v>
      </c>
      <c r="E635" s="42">
        <v>1003</v>
      </c>
      <c r="F635" s="42">
        <v>1239902</v>
      </c>
      <c r="G635" s="42" t="s">
        <v>61</v>
      </c>
      <c r="H635" s="42">
        <v>378</v>
      </c>
      <c r="I635" s="42">
        <v>40</v>
      </c>
      <c r="J635" s="52">
        <v>2.013888888888889E-2</v>
      </c>
    </row>
    <row r="636" spans="1:10" s="42" customFormat="1" ht="15" x14ac:dyDescent="0.25">
      <c r="A636" s="42" t="s">
        <v>116</v>
      </c>
      <c r="B636" s="42">
        <v>145969</v>
      </c>
      <c r="C636" s="42">
        <v>90</v>
      </c>
      <c r="D636" s="42" t="s">
        <v>11</v>
      </c>
      <c r="E636" s="42">
        <v>1003</v>
      </c>
      <c r="F636" s="42">
        <v>1239902</v>
      </c>
      <c r="G636" s="42" t="s">
        <v>61</v>
      </c>
      <c r="H636" s="42">
        <v>434</v>
      </c>
      <c r="I636" s="42">
        <v>40</v>
      </c>
      <c r="J636" s="52">
        <v>0</v>
      </c>
    </row>
    <row r="637" spans="1:10" s="42" customFormat="1" ht="15" x14ac:dyDescent="0.25">
      <c r="A637" s="42" t="s">
        <v>116</v>
      </c>
      <c r="B637" s="42">
        <v>145969</v>
      </c>
      <c r="C637" s="42">
        <v>91</v>
      </c>
      <c r="D637" s="42" t="s">
        <v>11</v>
      </c>
      <c r="E637" s="42">
        <v>1003</v>
      </c>
      <c r="F637" s="42">
        <v>1239902</v>
      </c>
      <c r="G637" s="42" t="s">
        <v>61</v>
      </c>
      <c r="H637" s="42">
        <v>394</v>
      </c>
      <c r="I637" s="42">
        <v>80</v>
      </c>
      <c r="J637" s="52">
        <v>0</v>
      </c>
    </row>
    <row r="638" spans="1:10" s="42" customFormat="1" ht="15" x14ac:dyDescent="0.25">
      <c r="A638" s="42" t="s">
        <v>116</v>
      </c>
      <c r="B638" s="42">
        <v>145969</v>
      </c>
      <c r="C638" s="42">
        <v>91</v>
      </c>
      <c r="D638" s="42" t="s">
        <v>11</v>
      </c>
      <c r="E638" s="42">
        <v>1003</v>
      </c>
      <c r="F638" s="42">
        <v>1239902</v>
      </c>
      <c r="G638" s="42" t="s">
        <v>61</v>
      </c>
      <c r="H638" s="42">
        <v>412</v>
      </c>
      <c r="I638" s="42">
        <v>120</v>
      </c>
      <c r="J638" s="52">
        <v>6.0416666666666667E-2</v>
      </c>
    </row>
    <row r="639" spans="1:10" s="42" customFormat="1" ht="15" x14ac:dyDescent="0.25">
      <c r="A639" s="42" t="s">
        <v>116</v>
      </c>
      <c r="B639" s="42">
        <v>145969</v>
      </c>
      <c r="C639" s="42">
        <v>118</v>
      </c>
      <c r="D639" s="42" t="s">
        <v>11</v>
      </c>
      <c r="E639" s="42">
        <v>1003</v>
      </c>
      <c r="F639" s="42">
        <v>1239922</v>
      </c>
      <c r="G639" s="42" t="s">
        <v>61</v>
      </c>
      <c r="H639" s="42">
        <v>394</v>
      </c>
      <c r="I639" s="42">
        <v>120</v>
      </c>
      <c r="J639" s="52">
        <v>6.0416666666666667E-2</v>
      </c>
    </row>
    <row r="640" spans="1:10" s="42" customFormat="1" ht="15" x14ac:dyDescent="0.25">
      <c r="A640" s="42" t="s">
        <v>116</v>
      </c>
      <c r="B640" s="42">
        <v>145972</v>
      </c>
      <c r="C640" s="42">
        <v>103</v>
      </c>
      <c r="D640" s="42" t="s">
        <v>11</v>
      </c>
      <c r="E640" s="42">
        <v>1456</v>
      </c>
      <c r="F640" s="42">
        <v>1239902</v>
      </c>
      <c r="G640" s="42" t="s">
        <v>61</v>
      </c>
      <c r="H640" s="42">
        <v>378</v>
      </c>
      <c r="I640" s="42">
        <v>100</v>
      </c>
      <c r="J640" s="52">
        <v>4.9999999999999996E-2</v>
      </c>
    </row>
    <row r="641" spans="1:10" s="42" customFormat="1" ht="15" x14ac:dyDescent="0.25">
      <c r="A641" s="42" t="s">
        <v>116</v>
      </c>
      <c r="B641" s="42">
        <v>145972</v>
      </c>
      <c r="C641" s="42">
        <v>103</v>
      </c>
      <c r="D641" s="42" t="s">
        <v>11</v>
      </c>
      <c r="E641" s="42">
        <v>1456</v>
      </c>
      <c r="F641" s="42">
        <v>1239902</v>
      </c>
      <c r="G641" s="42" t="s">
        <v>61</v>
      </c>
      <c r="H641" s="42">
        <v>434</v>
      </c>
      <c r="I641" s="42">
        <v>100</v>
      </c>
      <c r="J641" s="52">
        <v>0</v>
      </c>
    </row>
    <row r="642" spans="1:10" s="42" customFormat="1" ht="15" x14ac:dyDescent="0.25">
      <c r="A642" s="42" t="s">
        <v>116</v>
      </c>
      <c r="B642" s="42">
        <v>145972</v>
      </c>
      <c r="C642" s="42">
        <v>105</v>
      </c>
      <c r="D642" s="42" t="s">
        <v>11</v>
      </c>
      <c r="E642" s="42">
        <v>1456</v>
      </c>
      <c r="F642" s="42">
        <v>1239902</v>
      </c>
      <c r="G642" s="42" t="s">
        <v>61</v>
      </c>
      <c r="H642" s="42">
        <v>450</v>
      </c>
      <c r="I642" s="42">
        <v>50</v>
      </c>
      <c r="J642" s="52">
        <v>2.1527777777777781E-2</v>
      </c>
    </row>
    <row r="643" spans="1:10" s="42" customFormat="1" ht="15" x14ac:dyDescent="0.25">
      <c r="A643" s="42" t="s">
        <v>116</v>
      </c>
      <c r="B643" s="42">
        <v>146003</v>
      </c>
      <c r="C643" s="42">
        <v>90</v>
      </c>
      <c r="D643" s="42" t="s">
        <v>11</v>
      </c>
      <c r="E643" s="42">
        <v>1456</v>
      </c>
      <c r="F643" s="42">
        <v>1239902</v>
      </c>
      <c r="G643" s="42" t="s">
        <v>61</v>
      </c>
      <c r="H643" s="42">
        <v>378</v>
      </c>
      <c r="I643" s="42">
        <v>120</v>
      </c>
      <c r="J643" s="52">
        <v>6.0416666666666667E-2</v>
      </c>
    </row>
    <row r="644" spans="1:10" s="42" customFormat="1" ht="15" x14ac:dyDescent="0.25">
      <c r="A644" s="42" t="s">
        <v>116</v>
      </c>
      <c r="B644" s="42">
        <v>146003</v>
      </c>
      <c r="C644" s="42">
        <v>90</v>
      </c>
      <c r="D644" s="42" t="s">
        <v>11</v>
      </c>
      <c r="E644" s="42">
        <v>1456</v>
      </c>
      <c r="F644" s="42">
        <v>1239902</v>
      </c>
      <c r="G644" s="42" t="s">
        <v>61</v>
      </c>
      <c r="H644" s="42">
        <v>434</v>
      </c>
      <c r="I644" s="42">
        <v>120</v>
      </c>
      <c r="J644" s="52">
        <v>0</v>
      </c>
    </row>
    <row r="645" spans="1:10" s="42" customFormat="1" ht="15" x14ac:dyDescent="0.25">
      <c r="A645" s="42" t="s">
        <v>116</v>
      </c>
      <c r="B645" s="42">
        <v>146004</v>
      </c>
      <c r="C645" s="42">
        <v>90</v>
      </c>
      <c r="D645" s="42" t="s">
        <v>11</v>
      </c>
      <c r="E645" s="42">
        <v>1003</v>
      </c>
      <c r="F645" s="42">
        <v>1239902</v>
      </c>
      <c r="G645" s="42" t="s">
        <v>61</v>
      </c>
      <c r="H645" s="42">
        <v>378</v>
      </c>
      <c r="I645" s="42">
        <v>30</v>
      </c>
      <c r="J645" s="52">
        <v>0</v>
      </c>
    </row>
    <row r="646" spans="1:10" s="42" customFormat="1" ht="15" x14ac:dyDescent="0.25">
      <c r="A646" s="42" t="s">
        <v>116</v>
      </c>
      <c r="B646" s="42">
        <v>146004</v>
      </c>
      <c r="C646" s="42">
        <v>90</v>
      </c>
      <c r="D646" s="42" t="s">
        <v>11</v>
      </c>
      <c r="E646" s="42">
        <v>1003</v>
      </c>
      <c r="F646" s="42">
        <v>1239902</v>
      </c>
      <c r="G646" s="42" t="s">
        <v>61</v>
      </c>
      <c r="H646" s="42">
        <v>434</v>
      </c>
      <c r="I646" s="42">
        <v>60</v>
      </c>
      <c r="J646" s="52">
        <v>2.9861111111111113E-2</v>
      </c>
    </row>
    <row r="647" spans="1:10" s="42" customFormat="1" ht="15" x14ac:dyDescent="0.25">
      <c r="A647" s="42" t="s">
        <v>116</v>
      </c>
      <c r="B647" s="42">
        <v>146004</v>
      </c>
      <c r="C647" s="42">
        <v>91</v>
      </c>
      <c r="D647" s="42" t="s">
        <v>11</v>
      </c>
      <c r="E647" s="42">
        <v>1003</v>
      </c>
      <c r="F647" s="42">
        <v>1239902</v>
      </c>
      <c r="G647" s="42" t="s">
        <v>61</v>
      </c>
      <c r="H647" s="42">
        <v>394</v>
      </c>
      <c r="I647" s="42">
        <v>30</v>
      </c>
      <c r="J647" s="52">
        <v>0</v>
      </c>
    </row>
    <row r="648" spans="1:10" s="42" customFormat="1" ht="15" x14ac:dyDescent="0.25">
      <c r="A648" s="42" t="s">
        <v>116</v>
      </c>
      <c r="B648" s="42">
        <v>146004</v>
      </c>
      <c r="C648" s="42">
        <v>91</v>
      </c>
      <c r="D648" s="42" t="s">
        <v>11</v>
      </c>
      <c r="E648" s="42">
        <v>1003</v>
      </c>
      <c r="F648" s="42">
        <v>1239902</v>
      </c>
      <c r="G648" s="42" t="s">
        <v>61</v>
      </c>
      <c r="H648" s="42">
        <v>412</v>
      </c>
      <c r="I648" s="42">
        <v>90</v>
      </c>
      <c r="J648" s="52">
        <v>4.5138888888888888E-2</v>
      </c>
    </row>
    <row r="649" spans="1:10" s="42" customFormat="1" ht="15" x14ac:dyDescent="0.25">
      <c r="A649" s="42" t="s">
        <v>116</v>
      </c>
      <c r="B649" s="42">
        <v>147948</v>
      </c>
      <c r="C649" s="42">
        <v>1</v>
      </c>
      <c r="D649" s="42" t="s">
        <v>11</v>
      </c>
      <c r="E649" s="42">
        <v>16437</v>
      </c>
      <c r="F649" s="42">
        <v>1222622</v>
      </c>
      <c r="G649" s="42" t="s">
        <v>89</v>
      </c>
      <c r="H649" s="42">
        <v>412</v>
      </c>
      <c r="I649" s="42">
        <v>10</v>
      </c>
      <c r="J649" s="52">
        <v>4.1666666666666666E-3</v>
      </c>
    </row>
    <row r="650" spans="1:10" s="42" customFormat="1" ht="15" x14ac:dyDescent="0.25">
      <c r="A650" s="42" t="s">
        <v>118</v>
      </c>
      <c r="B650" s="42">
        <v>145745</v>
      </c>
      <c r="C650" s="42">
        <v>24</v>
      </c>
      <c r="D650" s="42" t="s">
        <v>11</v>
      </c>
      <c r="E650" s="42">
        <v>1371</v>
      </c>
      <c r="F650" s="42">
        <v>1195702</v>
      </c>
      <c r="G650" s="42" t="s">
        <v>119</v>
      </c>
      <c r="H650" s="42">
        <v>310</v>
      </c>
      <c r="I650" s="42">
        <v>236</v>
      </c>
      <c r="J650" s="52">
        <v>8.9583333333333334E-2</v>
      </c>
    </row>
    <row r="651" spans="1:10" s="42" customFormat="1" ht="15" x14ac:dyDescent="0.25">
      <c r="A651" s="42" t="s">
        <v>118</v>
      </c>
      <c r="B651" s="42">
        <v>145745</v>
      </c>
      <c r="C651" s="42">
        <v>24</v>
      </c>
      <c r="D651" s="42" t="s">
        <v>11</v>
      </c>
      <c r="E651" s="42">
        <v>1371</v>
      </c>
      <c r="F651" s="42">
        <v>1195702</v>
      </c>
      <c r="G651" s="42" t="s">
        <v>119</v>
      </c>
      <c r="H651" s="42">
        <v>323</v>
      </c>
      <c r="I651" s="42">
        <v>230</v>
      </c>
      <c r="J651" s="52">
        <v>0</v>
      </c>
    </row>
    <row r="652" spans="1:10" s="42" customFormat="1" ht="15" x14ac:dyDescent="0.25">
      <c r="A652" s="42" t="s">
        <v>118</v>
      </c>
      <c r="B652" s="42">
        <v>145772</v>
      </c>
      <c r="C652" s="42">
        <v>19</v>
      </c>
      <c r="D652" s="42" t="s">
        <v>11</v>
      </c>
      <c r="E652" s="42">
        <v>1003</v>
      </c>
      <c r="F652" s="42">
        <v>1195702</v>
      </c>
      <c r="G652" s="42" t="s">
        <v>119</v>
      </c>
      <c r="H652" s="42">
        <v>310</v>
      </c>
      <c r="I652" s="42">
        <v>264</v>
      </c>
      <c r="J652" s="52">
        <v>0</v>
      </c>
    </row>
    <row r="653" spans="1:10" s="42" customFormat="1" ht="15" x14ac:dyDescent="0.25">
      <c r="A653" s="42" t="s">
        <v>118</v>
      </c>
      <c r="B653" s="42">
        <v>145772</v>
      </c>
      <c r="C653" s="42">
        <v>19</v>
      </c>
      <c r="D653" s="42" t="s">
        <v>11</v>
      </c>
      <c r="E653" s="42">
        <v>1003</v>
      </c>
      <c r="F653" s="42">
        <v>1195702</v>
      </c>
      <c r="G653" s="42" t="s">
        <v>119</v>
      </c>
      <c r="H653" s="42">
        <v>323</v>
      </c>
      <c r="I653" s="42">
        <v>394</v>
      </c>
      <c r="J653" s="52">
        <v>0.14930555555555555</v>
      </c>
    </row>
    <row r="654" spans="1:10" s="42" customFormat="1" ht="15" x14ac:dyDescent="0.25">
      <c r="A654" s="42" t="s">
        <v>118</v>
      </c>
      <c r="B654" s="42">
        <v>145775</v>
      </c>
      <c r="C654" s="42">
        <v>16</v>
      </c>
      <c r="D654" s="42" t="s">
        <v>11</v>
      </c>
      <c r="E654" s="42">
        <v>16319</v>
      </c>
      <c r="F654" s="42">
        <v>1195702</v>
      </c>
      <c r="G654" s="42" t="s">
        <v>119</v>
      </c>
      <c r="H654" s="42">
        <v>310</v>
      </c>
      <c r="I654" s="42">
        <v>298</v>
      </c>
      <c r="J654" s="52">
        <v>0.11319444444444444</v>
      </c>
    </row>
    <row r="655" spans="1:10" s="42" customFormat="1" ht="15" x14ac:dyDescent="0.25">
      <c r="A655" s="42" t="s">
        <v>118</v>
      </c>
      <c r="B655" s="42">
        <v>145775</v>
      </c>
      <c r="C655" s="42">
        <v>16</v>
      </c>
      <c r="D655" s="42" t="s">
        <v>11</v>
      </c>
      <c r="E655" s="42">
        <v>16319</v>
      </c>
      <c r="F655" s="42">
        <v>1195702</v>
      </c>
      <c r="G655" s="42" t="s">
        <v>119</v>
      </c>
      <c r="H655" s="42">
        <v>323</v>
      </c>
      <c r="I655" s="42">
        <v>294</v>
      </c>
      <c r="J655" s="52">
        <v>0</v>
      </c>
    </row>
    <row r="656" spans="1:10" s="42" customFormat="1" ht="15" x14ac:dyDescent="0.25">
      <c r="A656" s="42" t="s">
        <v>118</v>
      </c>
      <c r="B656" s="42">
        <v>145778</v>
      </c>
      <c r="C656" s="42">
        <v>19</v>
      </c>
      <c r="D656" s="42" t="s">
        <v>11</v>
      </c>
      <c r="E656" s="42">
        <v>1003</v>
      </c>
      <c r="F656" s="42">
        <v>1195702</v>
      </c>
      <c r="G656" s="42" t="s">
        <v>119</v>
      </c>
      <c r="H656" s="42">
        <v>310</v>
      </c>
      <c r="I656" s="42">
        <v>266</v>
      </c>
      <c r="J656" s="52">
        <v>0</v>
      </c>
    </row>
    <row r="657" spans="1:10" s="42" customFormat="1" ht="15" x14ac:dyDescent="0.25">
      <c r="A657" s="42" t="s">
        <v>118</v>
      </c>
      <c r="B657" s="42">
        <v>145778</v>
      </c>
      <c r="C657" s="42">
        <v>19</v>
      </c>
      <c r="D657" s="42" t="s">
        <v>11</v>
      </c>
      <c r="E657" s="42">
        <v>1003</v>
      </c>
      <c r="F657" s="42">
        <v>1195702</v>
      </c>
      <c r="G657" s="42" t="s">
        <v>119</v>
      </c>
      <c r="H657" s="42">
        <v>323</v>
      </c>
      <c r="I657" s="42">
        <v>374</v>
      </c>
      <c r="J657" s="52">
        <v>0.14166666666666666</v>
      </c>
    </row>
    <row r="658" spans="1:10" s="42" customFormat="1" ht="15" x14ac:dyDescent="0.25">
      <c r="A658" s="42" t="s">
        <v>118</v>
      </c>
      <c r="B658" s="42">
        <v>146111</v>
      </c>
      <c r="C658" s="42">
        <v>25</v>
      </c>
      <c r="D658" s="42" t="s">
        <v>11</v>
      </c>
      <c r="E658" s="42">
        <v>16575</v>
      </c>
      <c r="F658" s="42">
        <v>2323602</v>
      </c>
      <c r="G658" s="42" t="s">
        <v>120</v>
      </c>
      <c r="H658" s="42">
        <v>250</v>
      </c>
      <c r="I658" s="42">
        <v>30</v>
      </c>
      <c r="J658" s="52">
        <v>1.2499999999999999E-2</v>
      </c>
    </row>
    <row r="659" spans="1:10" s="42" customFormat="1" ht="15" x14ac:dyDescent="0.25">
      <c r="A659" s="42" t="s">
        <v>118</v>
      </c>
      <c r="B659" s="42">
        <v>146111</v>
      </c>
      <c r="C659" s="42">
        <v>26</v>
      </c>
      <c r="D659" s="42" t="s">
        <v>11</v>
      </c>
      <c r="E659" s="42">
        <v>16575</v>
      </c>
      <c r="F659" s="42">
        <v>2323602</v>
      </c>
      <c r="G659" s="42" t="s">
        <v>120</v>
      </c>
      <c r="H659" s="42">
        <v>267</v>
      </c>
      <c r="I659" s="42">
        <v>30</v>
      </c>
      <c r="J659" s="52">
        <v>1.2499999999999999E-2</v>
      </c>
    </row>
    <row r="660" spans="1:10" s="42" customFormat="1" ht="15" x14ac:dyDescent="0.25">
      <c r="A660" s="42" t="s">
        <v>118</v>
      </c>
      <c r="B660" s="42">
        <v>146592</v>
      </c>
      <c r="C660" s="42">
        <v>25</v>
      </c>
      <c r="D660" s="42" t="s">
        <v>11</v>
      </c>
      <c r="E660" s="42">
        <v>16311</v>
      </c>
      <c r="F660" s="42">
        <v>2323602</v>
      </c>
      <c r="G660" s="42" t="s">
        <v>120</v>
      </c>
      <c r="H660" s="42">
        <v>250</v>
      </c>
      <c r="I660" s="42">
        <v>122</v>
      </c>
      <c r="J660" s="52">
        <v>4.9999999999999996E-2</v>
      </c>
    </row>
    <row r="661" spans="1:10" s="42" customFormat="1" ht="15" x14ac:dyDescent="0.25">
      <c r="A661" s="42" t="s">
        <v>118</v>
      </c>
      <c r="B661" s="42">
        <v>146592</v>
      </c>
      <c r="C661" s="42">
        <v>26</v>
      </c>
      <c r="D661" s="42" t="s">
        <v>11</v>
      </c>
      <c r="E661" s="42">
        <v>16311</v>
      </c>
      <c r="F661" s="42">
        <v>2323602</v>
      </c>
      <c r="G661" s="42" t="s">
        <v>120</v>
      </c>
      <c r="H661" s="42">
        <v>267</v>
      </c>
      <c r="I661" s="42">
        <v>154</v>
      </c>
      <c r="J661" s="52">
        <v>6.3194444444444442E-2</v>
      </c>
    </row>
    <row r="662" spans="1:10" s="42" customFormat="1" ht="15" x14ac:dyDescent="0.25">
      <c r="A662" s="42" t="s">
        <v>118</v>
      </c>
      <c r="B662" s="42">
        <v>146593</v>
      </c>
      <c r="C662" s="42">
        <v>25</v>
      </c>
      <c r="D662" s="42" t="s">
        <v>11</v>
      </c>
      <c r="E662" s="42">
        <v>1003</v>
      </c>
      <c r="F662" s="42">
        <v>2323602</v>
      </c>
      <c r="G662" s="42" t="s">
        <v>120</v>
      </c>
      <c r="H662" s="42">
        <v>250</v>
      </c>
      <c r="I662" s="42">
        <v>360</v>
      </c>
      <c r="J662" s="52">
        <v>0.14861111111111111</v>
      </c>
    </row>
    <row r="663" spans="1:10" s="42" customFormat="1" ht="15" x14ac:dyDescent="0.25">
      <c r="A663" s="42" t="s">
        <v>118</v>
      </c>
      <c r="B663" s="42">
        <v>146593</v>
      </c>
      <c r="C663" s="42">
        <v>26</v>
      </c>
      <c r="D663" s="42" t="s">
        <v>11</v>
      </c>
      <c r="E663" s="42">
        <v>1003</v>
      </c>
      <c r="F663" s="42">
        <v>2323602</v>
      </c>
      <c r="G663" s="42" t="s">
        <v>120</v>
      </c>
      <c r="H663" s="42">
        <v>267</v>
      </c>
      <c r="I663" s="42">
        <v>418</v>
      </c>
      <c r="J663" s="52">
        <v>0.17222222222222225</v>
      </c>
    </row>
    <row r="664" spans="1:10" s="42" customFormat="1" ht="15" x14ac:dyDescent="0.25">
      <c r="A664" s="42" t="s">
        <v>118</v>
      </c>
      <c r="B664" s="42">
        <v>149258</v>
      </c>
      <c r="C664" s="42">
        <v>1</v>
      </c>
      <c r="D664" s="42" t="s">
        <v>11</v>
      </c>
      <c r="E664" s="42">
        <v>1572</v>
      </c>
      <c r="F664" s="42">
        <v>2735702</v>
      </c>
      <c r="G664" s="42" t="s">
        <v>15</v>
      </c>
      <c r="H664" s="42">
        <v>360</v>
      </c>
      <c r="I664" s="42">
        <v>190</v>
      </c>
      <c r="J664" s="52">
        <v>0.12569444444444444</v>
      </c>
    </row>
    <row r="665" spans="1:10" s="42" customFormat="1" ht="15" x14ac:dyDescent="0.25">
      <c r="A665" s="42" t="s">
        <v>118</v>
      </c>
      <c r="B665" s="42">
        <v>149259</v>
      </c>
      <c r="C665" s="42">
        <v>1</v>
      </c>
      <c r="D665" s="42" t="s">
        <v>11</v>
      </c>
      <c r="E665" s="42">
        <v>1572</v>
      </c>
      <c r="F665" s="42">
        <v>2735722</v>
      </c>
      <c r="G665" s="42" t="s">
        <v>15</v>
      </c>
      <c r="H665" s="42">
        <v>378</v>
      </c>
      <c r="I665" s="42">
        <v>15</v>
      </c>
      <c r="J665" s="52">
        <v>4.8611111111111112E-3</v>
      </c>
    </row>
    <row r="666" spans="1:10" s="42" customFormat="1" ht="15" x14ac:dyDescent="0.25">
      <c r="A666" s="42" t="s">
        <v>121</v>
      </c>
      <c r="B666" s="42">
        <v>133663</v>
      </c>
      <c r="C666" s="42">
        <v>39</v>
      </c>
      <c r="D666" s="42" t="s">
        <v>11</v>
      </c>
      <c r="E666" s="42">
        <v>6005</v>
      </c>
      <c r="F666" s="42">
        <v>1222624</v>
      </c>
      <c r="G666" s="42" t="s">
        <v>122</v>
      </c>
      <c r="H666" s="42">
        <v>400</v>
      </c>
      <c r="I666" s="42">
        <v>266</v>
      </c>
      <c r="J666" s="52">
        <v>0</v>
      </c>
    </row>
    <row r="667" spans="1:10" s="42" customFormat="1" ht="15" x14ac:dyDescent="0.25">
      <c r="A667" s="42" t="s">
        <v>121</v>
      </c>
      <c r="B667" s="42">
        <v>133663</v>
      </c>
      <c r="C667" s="42">
        <v>39</v>
      </c>
      <c r="D667" s="42" t="s">
        <v>11</v>
      </c>
      <c r="E667" s="42">
        <v>6005</v>
      </c>
      <c r="F667" s="42">
        <v>1222624</v>
      </c>
      <c r="G667" s="42" t="s">
        <v>122</v>
      </c>
      <c r="H667" s="42">
        <v>410</v>
      </c>
      <c r="I667" s="42">
        <v>270</v>
      </c>
      <c r="J667" s="52">
        <v>0.16805555555555554</v>
      </c>
    </row>
    <row r="668" spans="1:10" s="42" customFormat="1" ht="15" x14ac:dyDescent="0.25">
      <c r="A668" s="42" t="s">
        <v>121</v>
      </c>
      <c r="B668" s="42">
        <v>133663</v>
      </c>
      <c r="C668" s="42">
        <v>39</v>
      </c>
      <c r="D668" s="42" t="s">
        <v>11</v>
      </c>
      <c r="E668" s="42">
        <v>6005</v>
      </c>
      <c r="F668" s="42">
        <v>1222624</v>
      </c>
      <c r="G668" s="42" t="s">
        <v>122</v>
      </c>
      <c r="H668" s="42">
        <v>420</v>
      </c>
      <c r="I668" s="42">
        <v>270</v>
      </c>
      <c r="J668" s="52">
        <v>0</v>
      </c>
    </row>
    <row r="669" spans="1:10" s="42" customFormat="1" ht="15" x14ac:dyDescent="0.25">
      <c r="A669" s="42" t="s">
        <v>121</v>
      </c>
      <c r="B669" s="42">
        <v>145694</v>
      </c>
      <c r="C669" s="42">
        <v>51</v>
      </c>
      <c r="D669" s="42" t="s">
        <v>11</v>
      </c>
      <c r="E669" s="42">
        <v>1003</v>
      </c>
      <c r="F669" s="42">
        <v>1228702</v>
      </c>
      <c r="G669" s="42" t="s">
        <v>61</v>
      </c>
      <c r="H669" s="42">
        <v>378</v>
      </c>
      <c r="I669" s="42">
        <v>70</v>
      </c>
      <c r="J669" s="52">
        <v>0</v>
      </c>
    </row>
    <row r="670" spans="1:10" s="42" customFormat="1" ht="15" x14ac:dyDescent="0.25">
      <c r="A670" s="42" t="s">
        <v>121</v>
      </c>
      <c r="B670" s="42">
        <v>145694</v>
      </c>
      <c r="C670" s="42">
        <v>51</v>
      </c>
      <c r="D670" s="42" t="s">
        <v>11</v>
      </c>
      <c r="E670" s="42">
        <v>1003</v>
      </c>
      <c r="F670" s="42">
        <v>1228702</v>
      </c>
      <c r="G670" s="42" t="s">
        <v>61</v>
      </c>
      <c r="H670" s="42">
        <v>434</v>
      </c>
      <c r="I670" s="42">
        <v>536</v>
      </c>
      <c r="J670" s="52">
        <v>0.23750000000000002</v>
      </c>
    </row>
    <row r="671" spans="1:10" s="42" customFormat="1" ht="15" x14ac:dyDescent="0.25">
      <c r="A671" s="42" t="s">
        <v>121</v>
      </c>
      <c r="B671" s="42">
        <v>145694</v>
      </c>
      <c r="C671" s="42">
        <v>53</v>
      </c>
      <c r="D671" s="42" t="s">
        <v>11</v>
      </c>
      <c r="E671" s="42">
        <v>1003</v>
      </c>
      <c r="F671" s="42">
        <v>1228702</v>
      </c>
      <c r="G671" s="42" t="s">
        <v>61</v>
      </c>
      <c r="H671" s="42">
        <v>450</v>
      </c>
      <c r="I671" s="42">
        <v>218</v>
      </c>
      <c r="J671" s="52">
        <v>9.1666666666666674E-2</v>
      </c>
    </row>
    <row r="672" spans="1:10" s="42" customFormat="1" ht="15" x14ac:dyDescent="0.25">
      <c r="A672" s="42" t="s">
        <v>121</v>
      </c>
      <c r="B672" s="42">
        <v>145698</v>
      </c>
      <c r="C672" s="42">
        <v>37</v>
      </c>
      <c r="D672" s="42" t="s">
        <v>11</v>
      </c>
      <c r="E672" s="42">
        <v>1682</v>
      </c>
      <c r="F672" s="42">
        <v>1228702</v>
      </c>
      <c r="G672" s="42" t="s">
        <v>61</v>
      </c>
      <c r="H672" s="42">
        <v>378</v>
      </c>
      <c r="I672" s="42">
        <v>100</v>
      </c>
      <c r="J672" s="52">
        <v>4.4444444444444446E-2</v>
      </c>
    </row>
    <row r="673" spans="1:10" s="42" customFormat="1" ht="15" x14ac:dyDescent="0.25">
      <c r="A673" s="42" t="s">
        <v>121</v>
      </c>
      <c r="B673" s="42">
        <v>145722</v>
      </c>
      <c r="C673" s="42">
        <v>51</v>
      </c>
      <c r="D673" s="42" t="s">
        <v>11</v>
      </c>
      <c r="E673" s="42">
        <v>16575</v>
      </c>
      <c r="F673" s="42">
        <v>1228702</v>
      </c>
      <c r="G673" s="42" t="s">
        <v>61</v>
      </c>
      <c r="H673" s="42">
        <v>378</v>
      </c>
      <c r="I673" s="42">
        <v>274</v>
      </c>
      <c r="J673" s="52">
        <v>0.12152777777777778</v>
      </c>
    </row>
    <row r="674" spans="1:10" s="42" customFormat="1" ht="15" x14ac:dyDescent="0.25">
      <c r="A674" s="42" t="s">
        <v>121</v>
      </c>
      <c r="B674" s="42">
        <v>145722</v>
      </c>
      <c r="C674" s="42">
        <v>51</v>
      </c>
      <c r="D674" s="42" t="s">
        <v>11</v>
      </c>
      <c r="E674" s="42">
        <v>16575</v>
      </c>
      <c r="F674" s="42">
        <v>1228702</v>
      </c>
      <c r="G674" s="42" t="s">
        <v>61</v>
      </c>
      <c r="H674" s="42">
        <v>434</v>
      </c>
      <c r="I674" s="42">
        <v>224</v>
      </c>
      <c r="J674" s="52">
        <v>0</v>
      </c>
    </row>
    <row r="675" spans="1:10" s="42" customFormat="1" ht="15" x14ac:dyDescent="0.25">
      <c r="A675" s="42" t="s">
        <v>121</v>
      </c>
      <c r="B675" s="42">
        <v>145722</v>
      </c>
      <c r="C675" s="42">
        <v>53</v>
      </c>
      <c r="D675" s="42" t="s">
        <v>11</v>
      </c>
      <c r="E675" s="42">
        <v>16575</v>
      </c>
      <c r="F675" s="42">
        <v>1228702</v>
      </c>
      <c r="G675" s="42" t="s">
        <v>61</v>
      </c>
      <c r="H675" s="42">
        <v>450</v>
      </c>
      <c r="I675" s="42">
        <v>180</v>
      </c>
      <c r="J675" s="52">
        <v>7.5694444444444439E-2</v>
      </c>
    </row>
    <row r="676" spans="1:10" s="42" customFormat="1" ht="15" x14ac:dyDescent="0.25">
      <c r="A676" s="42" t="s">
        <v>121</v>
      </c>
      <c r="B676" s="42">
        <v>145735</v>
      </c>
      <c r="C676" s="42">
        <v>50</v>
      </c>
      <c r="D676" s="42" t="s">
        <v>11</v>
      </c>
      <c r="E676" s="42">
        <v>1375</v>
      </c>
      <c r="F676" s="42">
        <v>1228702</v>
      </c>
      <c r="G676" s="42" t="s">
        <v>61</v>
      </c>
      <c r="H676" s="42">
        <v>378</v>
      </c>
      <c r="I676" s="42">
        <v>182</v>
      </c>
      <c r="J676" s="52">
        <v>0</v>
      </c>
    </row>
    <row r="677" spans="1:10" s="42" customFormat="1" ht="15" x14ac:dyDescent="0.25">
      <c r="A677" s="42" t="s">
        <v>121</v>
      </c>
      <c r="B677" s="42">
        <v>145735</v>
      </c>
      <c r="C677" s="42">
        <v>50</v>
      </c>
      <c r="D677" s="42" t="s">
        <v>11</v>
      </c>
      <c r="E677" s="42">
        <v>1375</v>
      </c>
      <c r="F677" s="42">
        <v>1228702</v>
      </c>
      <c r="G677" s="42" t="s">
        <v>61</v>
      </c>
      <c r="H677" s="42">
        <v>434</v>
      </c>
      <c r="I677" s="42">
        <v>244</v>
      </c>
      <c r="J677" s="52">
        <v>0.10833333333333334</v>
      </c>
    </row>
    <row r="678" spans="1:10" s="42" customFormat="1" ht="15" x14ac:dyDescent="0.25">
      <c r="A678" s="42" t="s">
        <v>121</v>
      </c>
      <c r="B678" s="42">
        <v>145735</v>
      </c>
      <c r="C678" s="42">
        <v>52</v>
      </c>
      <c r="D678" s="42" t="s">
        <v>11</v>
      </c>
      <c r="E678" s="42">
        <v>1375</v>
      </c>
      <c r="F678" s="42">
        <v>1228702</v>
      </c>
      <c r="G678" s="42" t="s">
        <v>61</v>
      </c>
      <c r="H678" s="42">
        <v>450</v>
      </c>
      <c r="I678" s="42">
        <v>122</v>
      </c>
      <c r="J678" s="52">
        <v>5.1388888888888894E-2</v>
      </c>
    </row>
    <row r="679" spans="1:10" s="42" customFormat="1" ht="15" x14ac:dyDescent="0.25">
      <c r="A679" s="42" t="s">
        <v>121</v>
      </c>
      <c r="B679" s="42">
        <v>148222</v>
      </c>
      <c r="C679" s="42">
        <v>1</v>
      </c>
      <c r="D679" s="42" t="s">
        <v>11</v>
      </c>
      <c r="E679" s="42">
        <v>1039</v>
      </c>
      <c r="F679" s="42">
        <v>1228702</v>
      </c>
      <c r="G679" s="42" t="s">
        <v>61</v>
      </c>
      <c r="H679" s="42">
        <v>434</v>
      </c>
      <c r="I679" s="42">
        <v>204</v>
      </c>
      <c r="J679" s="52">
        <v>9.0277777777777776E-2</v>
      </c>
    </row>
    <row r="680" spans="1:10" s="42" customFormat="1" ht="15" x14ac:dyDescent="0.25">
      <c r="A680" s="42" t="s">
        <v>123</v>
      </c>
      <c r="B680" s="42">
        <v>136567</v>
      </c>
      <c r="C680" s="42">
        <v>20</v>
      </c>
      <c r="D680" s="42" t="s">
        <v>11</v>
      </c>
      <c r="E680" s="42">
        <v>1682</v>
      </c>
      <c r="F680" s="42">
        <v>1246202</v>
      </c>
      <c r="G680" s="42" t="s">
        <v>124</v>
      </c>
      <c r="H680" s="42">
        <v>310</v>
      </c>
      <c r="I680" s="42">
        <v>100</v>
      </c>
      <c r="J680" s="52">
        <v>4.7222222222222221E-2</v>
      </c>
    </row>
    <row r="681" spans="1:10" s="42" customFormat="1" ht="15" x14ac:dyDescent="0.25">
      <c r="A681" s="42" t="s">
        <v>123</v>
      </c>
      <c r="B681" s="42">
        <v>136567</v>
      </c>
      <c r="C681" s="42">
        <v>21</v>
      </c>
      <c r="D681" s="42" t="s">
        <v>11</v>
      </c>
      <c r="E681" s="42">
        <v>1682</v>
      </c>
      <c r="F681" s="42">
        <v>1246202</v>
      </c>
      <c r="G681" s="42" t="s">
        <v>124</v>
      </c>
      <c r="H681" s="42">
        <v>323</v>
      </c>
      <c r="I681" s="42">
        <v>100</v>
      </c>
      <c r="J681" s="52">
        <v>4.7916666666666663E-2</v>
      </c>
    </row>
    <row r="682" spans="1:10" s="42" customFormat="1" ht="15" x14ac:dyDescent="0.25">
      <c r="A682" s="42" t="s">
        <v>123</v>
      </c>
      <c r="B682" s="42">
        <v>136578</v>
      </c>
      <c r="C682" s="42">
        <v>23</v>
      </c>
      <c r="D682" s="42" t="s">
        <v>11</v>
      </c>
      <c r="E682" s="42">
        <v>1039</v>
      </c>
      <c r="F682" s="42">
        <v>1246202</v>
      </c>
      <c r="G682" s="42" t="s">
        <v>124</v>
      </c>
      <c r="H682" s="42">
        <v>310</v>
      </c>
      <c r="I682" s="42">
        <v>100</v>
      </c>
      <c r="J682" s="52">
        <v>4.7222222222222221E-2</v>
      </c>
    </row>
    <row r="683" spans="1:10" s="42" customFormat="1" ht="15" x14ac:dyDescent="0.25">
      <c r="A683" s="42" t="s">
        <v>123</v>
      </c>
      <c r="B683" s="42">
        <v>136578</v>
      </c>
      <c r="C683" s="42">
        <v>24</v>
      </c>
      <c r="D683" s="42" t="s">
        <v>11</v>
      </c>
      <c r="E683" s="42">
        <v>1039</v>
      </c>
      <c r="F683" s="42">
        <v>1246202</v>
      </c>
      <c r="G683" s="42" t="s">
        <v>124</v>
      </c>
      <c r="H683" s="42">
        <v>323</v>
      </c>
      <c r="I683" s="42">
        <v>100</v>
      </c>
      <c r="J683" s="52">
        <v>4.7916666666666663E-2</v>
      </c>
    </row>
    <row r="684" spans="1:10" s="42" customFormat="1" ht="15" x14ac:dyDescent="0.25">
      <c r="A684" s="42" t="s">
        <v>123</v>
      </c>
      <c r="B684" s="42">
        <v>136602</v>
      </c>
      <c r="C684" s="42">
        <v>23</v>
      </c>
      <c r="D684" s="42" t="s">
        <v>11</v>
      </c>
      <c r="E684" s="42">
        <v>1003</v>
      </c>
      <c r="F684" s="42">
        <v>1246202</v>
      </c>
      <c r="G684" s="42" t="s">
        <v>124</v>
      </c>
      <c r="H684" s="42">
        <v>310</v>
      </c>
      <c r="I684" s="42">
        <v>90</v>
      </c>
      <c r="J684" s="52">
        <v>4.2361111111111106E-2</v>
      </c>
    </row>
    <row r="685" spans="1:10" s="42" customFormat="1" ht="15" x14ac:dyDescent="0.25">
      <c r="A685" s="42" t="s">
        <v>123</v>
      </c>
      <c r="B685" s="42">
        <v>136602</v>
      </c>
      <c r="C685" s="42">
        <v>24</v>
      </c>
      <c r="D685" s="42" t="s">
        <v>11</v>
      </c>
      <c r="E685" s="42">
        <v>1003</v>
      </c>
      <c r="F685" s="42">
        <v>1246202</v>
      </c>
      <c r="G685" s="42" t="s">
        <v>124</v>
      </c>
      <c r="H685" s="42">
        <v>323</v>
      </c>
      <c r="I685" s="42">
        <v>90</v>
      </c>
      <c r="J685" s="52">
        <v>4.3055555555555562E-2</v>
      </c>
    </row>
    <row r="686" spans="1:10" s="42" customFormat="1" ht="15" x14ac:dyDescent="0.25">
      <c r="A686" s="42" t="s">
        <v>123</v>
      </c>
      <c r="B686" s="42">
        <v>136614</v>
      </c>
      <c r="C686" s="42">
        <v>23</v>
      </c>
      <c r="D686" s="42" t="s">
        <v>11</v>
      </c>
      <c r="E686" s="42">
        <v>1003</v>
      </c>
      <c r="F686" s="42">
        <v>1246202</v>
      </c>
      <c r="G686" s="42" t="s">
        <v>124</v>
      </c>
      <c r="H686" s="42">
        <v>310</v>
      </c>
      <c r="I686" s="42">
        <v>100</v>
      </c>
      <c r="J686" s="52">
        <v>4.7222222222222221E-2</v>
      </c>
    </row>
    <row r="687" spans="1:10" s="42" customFormat="1" ht="15" x14ac:dyDescent="0.25">
      <c r="A687" s="42" t="s">
        <v>123</v>
      </c>
      <c r="B687" s="42">
        <v>136614</v>
      </c>
      <c r="C687" s="42">
        <v>24</v>
      </c>
      <c r="D687" s="42" t="s">
        <v>11</v>
      </c>
      <c r="E687" s="42">
        <v>1003</v>
      </c>
      <c r="F687" s="42">
        <v>1246202</v>
      </c>
      <c r="G687" s="42" t="s">
        <v>124</v>
      </c>
      <c r="H687" s="42">
        <v>323</v>
      </c>
      <c r="I687" s="42">
        <v>100</v>
      </c>
      <c r="J687" s="52">
        <v>4.7916666666666663E-2</v>
      </c>
    </row>
    <row r="688" spans="1:10" s="42" customFormat="1" ht="15" x14ac:dyDescent="0.25">
      <c r="A688" s="42" t="s">
        <v>123</v>
      </c>
      <c r="B688" s="42">
        <v>146089</v>
      </c>
      <c r="C688" s="42">
        <v>24</v>
      </c>
      <c r="D688" s="42" t="s">
        <v>11</v>
      </c>
      <c r="E688" s="42">
        <v>1456</v>
      </c>
      <c r="F688" s="42">
        <v>1132622</v>
      </c>
      <c r="G688" s="42" t="s">
        <v>125</v>
      </c>
      <c r="H688" s="42">
        <v>390</v>
      </c>
      <c r="I688" s="42">
        <v>48</v>
      </c>
      <c r="J688" s="52">
        <v>0</v>
      </c>
    </row>
    <row r="689" spans="1:10" s="42" customFormat="1" ht="15" x14ac:dyDescent="0.25">
      <c r="A689" s="42" t="s">
        <v>123</v>
      </c>
      <c r="B689" s="42">
        <v>146089</v>
      </c>
      <c r="C689" s="42">
        <v>24</v>
      </c>
      <c r="D689" s="42" t="s">
        <v>11</v>
      </c>
      <c r="E689" s="42">
        <v>1456</v>
      </c>
      <c r="F689" s="42">
        <v>1132622</v>
      </c>
      <c r="G689" s="42" t="s">
        <v>125</v>
      </c>
      <c r="H689" s="42">
        <v>420</v>
      </c>
      <c r="I689" s="42">
        <v>66</v>
      </c>
      <c r="J689" s="52">
        <v>2.8472222222222222E-2</v>
      </c>
    </row>
    <row r="690" spans="1:10" s="42" customFormat="1" ht="15" x14ac:dyDescent="0.25">
      <c r="A690" s="42" t="s">
        <v>123</v>
      </c>
      <c r="B690" s="42">
        <v>146511</v>
      </c>
      <c r="C690" s="42">
        <v>36</v>
      </c>
      <c r="D690" s="42" t="s">
        <v>11</v>
      </c>
      <c r="E690" s="42">
        <v>1039</v>
      </c>
      <c r="F690" s="42">
        <v>1132622</v>
      </c>
      <c r="G690" s="42" t="s">
        <v>125</v>
      </c>
      <c r="H690" s="42">
        <v>390</v>
      </c>
      <c r="I690" s="42">
        <v>288</v>
      </c>
      <c r="J690" s="52">
        <v>0</v>
      </c>
    </row>
    <row r="691" spans="1:10" s="42" customFormat="1" ht="15" x14ac:dyDescent="0.25">
      <c r="A691" s="42" t="s">
        <v>123</v>
      </c>
      <c r="B691" s="42">
        <v>146511</v>
      </c>
      <c r="C691" s="42">
        <v>36</v>
      </c>
      <c r="D691" s="42" t="s">
        <v>11</v>
      </c>
      <c r="E691" s="42">
        <v>1039</v>
      </c>
      <c r="F691" s="42">
        <v>1132622</v>
      </c>
      <c r="G691" s="42" t="s">
        <v>125</v>
      </c>
      <c r="H691" s="42">
        <v>420</v>
      </c>
      <c r="I691" s="42">
        <v>300</v>
      </c>
      <c r="J691" s="52">
        <v>0.12916666666666668</v>
      </c>
    </row>
    <row r="692" spans="1:10" s="42" customFormat="1" ht="15" x14ac:dyDescent="0.25">
      <c r="A692" s="42" t="s">
        <v>123</v>
      </c>
      <c r="B692" s="42">
        <v>146512</v>
      </c>
      <c r="C692" s="42">
        <v>36</v>
      </c>
      <c r="D692" s="42" t="s">
        <v>11</v>
      </c>
      <c r="E692" s="42">
        <v>1003</v>
      </c>
      <c r="F692" s="42">
        <v>1132622</v>
      </c>
      <c r="G692" s="42" t="s">
        <v>125</v>
      </c>
      <c r="H692" s="42">
        <v>390</v>
      </c>
      <c r="I692" s="42">
        <v>384</v>
      </c>
      <c r="J692" s="52">
        <v>0.16527777777777777</v>
      </c>
    </row>
    <row r="693" spans="1:10" s="42" customFormat="1" ht="15" x14ac:dyDescent="0.25">
      <c r="A693" s="42" t="s">
        <v>123</v>
      </c>
      <c r="B693" s="42">
        <v>146512</v>
      </c>
      <c r="C693" s="42">
        <v>36</v>
      </c>
      <c r="D693" s="42" t="s">
        <v>11</v>
      </c>
      <c r="E693" s="42">
        <v>1003</v>
      </c>
      <c r="F693" s="42">
        <v>1132622</v>
      </c>
      <c r="G693" s="42" t="s">
        <v>125</v>
      </c>
      <c r="H693" s="42">
        <v>420</v>
      </c>
      <c r="I693" s="42">
        <v>330</v>
      </c>
      <c r="J693" s="52">
        <v>0</v>
      </c>
    </row>
    <row r="694" spans="1:10" s="42" customFormat="1" ht="15" x14ac:dyDescent="0.25">
      <c r="A694" s="42" t="s">
        <v>123</v>
      </c>
      <c r="B694" s="42">
        <v>146512</v>
      </c>
      <c r="C694" s="42">
        <v>37</v>
      </c>
      <c r="D694" s="42" t="s">
        <v>11</v>
      </c>
      <c r="E694" s="42">
        <v>1003</v>
      </c>
      <c r="F694" s="42">
        <v>1132622</v>
      </c>
      <c r="G694" s="42" t="s">
        <v>125</v>
      </c>
      <c r="H694" s="42">
        <v>400</v>
      </c>
      <c r="I694" s="42">
        <v>360</v>
      </c>
      <c r="J694" s="52">
        <v>0.15486111111111112</v>
      </c>
    </row>
    <row r="695" spans="1:10" s="42" customFormat="1" ht="15" x14ac:dyDescent="0.25">
      <c r="A695" s="42" t="s">
        <v>123</v>
      </c>
      <c r="B695" s="42">
        <v>146512</v>
      </c>
      <c r="C695" s="42">
        <v>37</v>
      </c>
      <c r="D695" s="42" t="s">
        <v>11</v>
      </c>
      <c r="E695" s="42">
        <v>1003</v>
      </c>
      <c r="F695" s="42">
        <v>1132622</v>
      </c>
      <c r="G695" s="42" t="s">
        <v>125</v>
      </c>
      <c r="H695" s="42">
        <v>410</v>
      </c>
      <c r="I695" s="42">
        <v>300</v>
      </c>
      <c r="J695" s="52">
        <v>0</v>
      </c>
    </row>
    <row r="696" spans="1:10" s="42" customFormat="1" ht="15" x14ac:dyDescent="0.25">
      <c r="A696" s="42" t="s">
        <v>123</v>
      </c>
      <c r="B696" s="42">
        <v>146513</v>
      </c>
      <c r="C696" s="42">
        <v>36</v>
      </c>
      <c r="D696" s="42" t="s">
        <v>11</v>
      </c>
      <c r="E696" s="42">
        <v>1375</v>
      </c>
      <c r="F696" s="42">
        <v>1132622</v>
      </c>
      <c r="G696" s="42" t="s">
        <v>125</v>
      </c>
      <c r="H696" s="42">
        <v>390</v>
      </c>
      <c r="I696" s="42">
        <v>182</v>
      </c>
      <c r="J696" s="52">
        <v>0</v>
      </c>
    </row>
    <row r="697" spans="1:10" s="42" customFormat="1" ht="15" x14ac:dyDescent="0.25">
      <c r="A697" s="42" t="s">
        <v>123</v>
      </c>
      <c r="B697" s="42">
        <v>146513</v>
      </c>
      <c r="C697" s="42">
        <v>36</v>
      </c>
      <c r="D697" s="42" t="s">
        <v>11</v>
      </c>
      <c r="E697" s="42">
        <v>1375</v>
      </c>
      <c r="F697" s="42">
        <v>1132622</v>
      </c>
      <c r="G697" s="42" t="s">
        <v>125</v>
      </c>
      <c r="H697" s="42">
        <v>420</v>
      </c>
      <c r="I697" s="42">
        <v>188</v>
      </c>
      <c r="J697" s="52">
        <v>8.0555555555555561E-2</v>
      </c>
    </row>
    <row r="698" spans="1:10" s="42" customFormat="1" ht="15" x14ac:dyDescent="0.25">
      <c r="A698" s="42" t="s">
        <v>126</v>
      </c>
      <c r="B698" s="42">
        <v>133232</v>
      </c>
      <c r="C698" s="42">
        <v>18</v>
      </c>
      <c r="D698" s="42" t="s">
        <v>11</v>
      </c>
      <c r="E698" s="42">
        <v>1276</v>
      </c>
      <c r="F698" s="42">
        <v>1916702</v>
      </c>
      <c r="G698" s="42" t="s">
        <v>127</v>
      </c>
      <c r="H698" s="42">
        <v>190</v>
      </c>
      <c r="I698" s="42">
        <v>82</v>
      </c>
      <c r="J698" s="52">
        <v>4.0972222222222222E-2</v>
      </c>
    </row>
    <row r="699" spans="1:10" s="42" customFormat="1" ht="15" x14ac:dyDescent="0.25">
      <c r="A699" s="42" t="s">
        <v>126</v>
      </c>
      <c r="B699" s="42">
        <v>133232</v>
      </c>
      <c r="C699" s="42">
        <v>18</v>
      </c>
      <c r="D699" s="42" t="s">
        <v>11</v>
      </c>
      <c r="E699" s="42">
        <v>1276</v>
      </c>
      <c r="F699" s="42">
        <v>1916702</v>
      </c>
      <c r="G699" s="42" t="s">
        <v>127</v>
      </c>
      <c r="H699" s="42">
        <v>200</v>
      </c>
      <c r="I699" s="42">
        <v>60</v>
      </c>
      <c r="J699" s="52">
        <v>0</v>
      </c>
    </row>
    <row r="700" spans="1:10" s="42" customFormat="1" ht="15" x14ac:dyDescent="0.25">
      <c r="A700" s="42" t="s">
        <v>126</v>
      </c>
      <c r="B700" s="42">
        <v>133232</v>
      </c>
      <c r="C700" s="42">
        <v>20</v>
      </c>
      <c r="D700" s="42" t="s">
        <v>11</v>
      </c>
      <c r="E700" s="42">
        <v>1276</v>
      </c>
      <c r="F700" s="42">
        <v>1916702</v>
      </c>
      <c r="G700" s="42" t="s">
        <v>127</v>
      </c>
      <c r="H700" s="42">
        <v>234</v>
      </c>
      <c r="I700" s="42">
        <v>250</v>
      </c>
      <c r="J700" s="52">
        <v>0.12569444444444444</v>
      </c>
    </row>
    <row r="701" spans="1:10" s="42" customFormat="1" ht="15" x14ac:dyDescent="0.25">
      <c r="A701" s="42" t="s">
        <v>126</v>
      </c>
      <c r="B701" s="42">
        <v>133232</v>
      </c>
      <c r="C701" s="42">
        <v>20</v>
      </c>
      <c r="D701" s="42" t="s">
        <v>11</v>
      </c>
      <c r="E701" s="42">
        <v>1276</v>
      </c>
      <c r="F701" s="42">
        <v>1916702</v>
      </c>
      <c r="G701" s="42" t="s">
        <v>127</v>
      </c>
      <c r="H701" s="42">
        <v>250</v>
      </c>
      <c r="I701" s="42">
        <v>200</v>
      </c>
      <c r="J701" s="52">
        <v>0</v>
      </c>
    </row>
    <row r="702" spans="1:10" s="42" customFormat="1" ht="15" x14ac:dyDescent="0.25">
      <c r="A702" s="42" t="s">
        <v>126</v>
      </c>
      <c r="B702" s="42">
        <v>133233</v>
      </c>
      <c r="C702" s="42">
        <v>20</v>
      </c>
      <c r="D702" s="42" t="s">
        <v>11</v>
      </c>
      <c r="E702" s="42">
        <v>16589</v>
      </c>
      <c r="F702" s="42">
        <v>1916702</v>
      </c>
      <c r="G702" s="42" t="s">
        <v>127</v>
      </c>
      <c r="H702" s="42">
        <v>234</v>
      </c>
      <c r="I702" s="42">
        <v>90</v>
      </c>
      <c r="J702" s="52">
        <v>4.5138888888888888E-2</v>
      </c>
    </row>
    <row r="703" spans="1:10" s="42" customFormat="1" ht="15" x14ac:dyDescent="0.25">
      <c r="A703" s="42" t="s">
        <v>126</v>
      </c>
      <c r="B703" s="42">
        <v>133233</v>
      </c>
      <c r="C703" s="42">
        <v>20</v>
      </c>
      <c r="D703" s="42" t="s">
        <v>11</v>
      </c>
      <c r="E703" s="42">
        <v>16589</v>
      </c>
      <c r="F703" s="42">
        <v>1916702</v>
      </c>
      <c r="G703" s="42" t="s">
        <v>127</v>
      </c>
      <c r="H703" s="42">
        <v>250</v>
      </c>
      <c r="I703" s="42">
        <v>90</v>
      </c>
      <c r="J703" s="52">
        <v>0</v>
      </c>
    </row>
    <row r="704" spans="1:10" s="42" customFormat="1" ht="15" x14ac:dyDescent="0.25">
      <c r="A704" s="42" t="s">
        <v>126</v>
      </c>
      <c r="B704" s="42">
        <v>133234</v>
      </c>
      <c r="C704" s="42">
        <v>18</v>
      </c>
      <c r="D704" s="42" t="s">
        <v>11</v>
      </c>
      <c r="E704" s="42">
        <v>1358</v>
      </c>
      <c r="F704" s="42">
        <v>1916702</v>
      </c>
      <c r="G704" s="42" t="s">
        <v>127</v>
      </c>
      <c r="H704" s="42">
        <v>190</v>
      </c>
      <c r="I704" s="42">
        <v>50</v>
      </c>
      <c r="J704" s="52">
        <v>2.4999999999999998E-2</v>
      </c>
    </row>
    <row r="705" spans="1:10" s="42" customFormat="1" ht="15" x14ac:dyDescent="0.25">
      <c r="A705" s="42" t="s">
        <v>126</v>
      </c>
      <c r="B705" s="42">
        <v>133234</v>
      </c>
      <c r="C705" s="42">
        <v>18</v>
      </c>
      <c r="D705" s="42" t="s">
        <v>11</v>
      </c>
      <c r="E705" s="42">
        <v>1358</v>
      </c>
      <c r="F705" s="42">
        <v>1916702</v>
      </c>
      <c r="G705" s="42" t="s">
        <v>127</v>
      </c>
      <c r="H705" s="42">
        <v>200</v>
      </c>
      <c r="I705" s="42">
        <v>50</v>
      </c>
      <c r="J705" s="52">
        <v>0</v>
      </c>
    </row>
    <row r="706" spans="1:10" s="42" customFormat="1" ht="15" x14ac:dyDescent="0.25">
      <c r="A706" s="42" t="s">
        <v>126</v>
      </c>
      <c r="B706" s="42">
        <v>133234</v>
      </c>
      <c r="C706" s="42">
        <v>20</v>
      </c>
      <c r="D706" s="42" t="s">
        <v>11</v>
      </c>
      <c r="E706" s="42">
        <v>1358</v>
      </c>
      <c r="F706" s="42">
        <v>1916702</v>
      </c>
      <c r="G706" s="42" t="s">
        <v>127</v>
      </c>
      <c r="H706" s="42">
        <v>234</v>
      </c>
      <c r="I706" s="42">
        <v>50</v>
      </c>
      <c r="J706" s="52">
        <v>2.4999999999999998E-2</v>
      </c>
    </row>
    <row r="707" spans="1:10" s="42" customFormat="1" ht="15" x14ac:dyDescent="0.25">
      <c r="A707" s="42" t="s">
        <v>126</v>
      </c>
      <c r="B707" s="42">
        <v>133234</v>
      </c>
      <c r="C707" s="42">
        <v>20</v>
      </c>
      <c r="D707" s="42" t="s">
        <v>11</v>
      </c>
      <c r="E707" s="42">
        <v>1358</v>
      </c>
      <c r="F707" s="42">
        <v>1916702</v>
      </c>
      <c r="G707" s="42" t="s">
        <v>127</v>
      </c>
      <c r="H707" s="42">
        <v>250</v>
      </c>
      <c r="I707" s="42">
        <v>50</v>
      </c>
      <c r="J707" s="52">
        <v>0</v>
      </c>
    </row>
    <row r="708" spans="1:10" s="42" customFormat="1" ht="15" x14ac:dyDescent="0.25">
      <c r="A708" s="42" t="s">
        <v>126</v>
      </c>
      <c r="B708" s="42">
        <v>133235</v>
      </c>
      <c r="C708" s="42">
        <v>17</v>
      </c>
      <c r="D708" s="42" t="s">
        <v>11</v>
      </c>
      <c r="E708" s="42">
        <v>16483</v>
      </c>
      <c r="F708" s="42">
        <v>1916702</v>
      </c>
      <c r="G708" s="42" t="s">
        <v>127</v>
      </c>
      <c r="H708" s="42">
        <v>234</v>
      </c>
      <c r="I708" s="42">
        <v>114</v>
      </c>
      <c r="J708" s="52">
        <v>5.6944444444444443E-2</v>
      </c>
    </row>
    <row r="709" spans="1:10" s="42" customFormat="1" ht="15" x14ac:dyDescent="0.25">
      <c r="A709" s="42" t="s">
        <v>126</v>
      </c>
      <c r="B709" s="42">
        <v>133235</v>
      </c>
      <c r="C709" s="42">
        <v>17</v>
      </c>
      <c r="D709" s="42" t="s">
        <v>11</v>
      </c>
      <c r="E709" s="42">
        <v>16483</v>
      </c>
      <c r="F709" s="42">
        <v>1916702</v>
      </c>
      <c r="G709" s="42" t="s">
        <v>127</v>
      </c>
      <c r="H709" s="42">
        <v>250</v>
      </c>
      <c r="I709" s="42">
        <v>78</v>
      </c>
      <c r="J709" s="52">
        <v>0</v>
      </c>
    </row>
    <row r="710" spans="1:10" s="42" customFormat="1" ht="15" x14ac:dyDescent="0.25">
      <c r="A710" s="42" t="s">
        <v>126</v>
      </c>
      <c r="B710" s="42">
        <v>133236</v>
      </c>
      <c r="C710" s="42">
        <v>7</v>
      </c>
      <c r="D710" s="42" t="s">
        <v>11</v>
      </c>
      <c r="E710" s="42">
        <v>1364</v>
      </c>
      <c r="F710" s="42">
        <v>1916702</v>
      </c>
      <c r="G710" s="42" t="s">
        <v>127</v>
      </c>
      <c r="H710" s="42">
        <v>234</v>
      </c>
      <c r="I710" s="42">
        <v>88</v>
      </c>
      <c r="J710" s="52">
        <v>4.4444444444444446E-2</v>
      </c>
    </row>
    <row r="711" spans="1:10" s="42" customFormat="1" ht="15" x14ac:dyDescent="0.25">
      <c r="A711" s="42" t="s">
        <v>126</v>
      </c>
      <c r="B711" s="42">
        <v>133236</v>
      </c>
      <c r="C711" s="42">
        <v>7</v>
      </c>
      <c r="D711" s="42" t="s">
        <v>11</v>
      </c>
      <c r="E711" s="42">
        <v>1364</v>
      </c>
      <c r="F711" s="42">
        <v>1916702</v>
      </c>
      <c r="G711" s="42" t="s">
        <v>127</v>
      </c>
      <c r="H711" s="42">
        <v>250</v>
      </c>
      <c r="I711" s="42">
        <v>88</v>
      </c>
      <c r="J711" s="52">
        <v>0</v>
      </c>
    </row>
    <row r="712" spans="1:10" s="42" customFormat="1" ht="15" x14ac:dyDescent="0.25">
      <c r="A712" s="42" t="s">
        <v>126</v>
      </c>
      <c r="B712" s="42">
        <v>146111</v>
      </c>
      <c r="C712" s="42">
        <v>24</v>
      </c>
      <c r="D712" s="42" t="s">
        <v>11</v>
      </c>
      <c r="E712" s="42">
        <v>16575</v>
      </c>
      <c r="F712" s="42">
        <v>2323602</v>
      </c>
      <c r="G712" s="42" t="s">
        <v>120</v>
      </c>
      <c r="H712" s="42">
        <v>234</v>
      </c>
      <c r="I712" s="42">
        <v>20</v>
      </c>
      <c r="J712" s="52">
        <v>8.3333333333333332E-3</v>
      </c>
    </row>
    <row r="713" spans="1:10" s="42" customFormat="1" ht="15" x14ac:dyDescent="0.25">
      <c r="A713" s="42" t="s">
        <v>126</v>
      </c>
      <c r="B713" s="42">
        <v>146470</v>
      </c>
      <c r="C713" s="42">
        <v>18</v>
      </c>
      <c r="D713" s="42" t="s">
        <v>11</v>
      </c>
      <c r="E713" s="42">
        <v>1003</v>
      </c>
      <c r="F713" s="42">
        <v>1231802</v>
      </c>
      <c r="G713" s="42" t="s">
        <v>107</v>
      </c>
      <c r="H713" s="42">
        <v>378</v>
      </c>
      <c r="I713" s="42">
        <v>600</v>
      </c>
      <c r="J713" s="52">
        <v>0.10347222222222223</v>
      </c>
    </row>
    <row r="714" spans="1:10" s="42" customFormat="1" ht="15" x14ac:dyDescent="0.25">
      <c r="A714" s="42" t="s">
        <v>126</v>
      </c>
      <c r="B714" s="42">
        <v>146470</v>
      </c>
      <c r="C714" s="42">
        <v>18</v>
      </c>
      <c r="D714" s="42" t="s">
        <v>11</v>
      </c>
      <c r="E714" s="42">
        <v>1003</v>
      </c>
      <c r="F714" s="42">
        <v>1231802</v>
      </c>
      <c r="G714" s="42" t="s">
        <v>107</v>
      </c>
      <c r="H714" s="42">
        <v>434</v>
      </c>
      <c r="I714" s="42">
        <v>462</v>
      </c>
      <c r="J714" s="52">
        <v>0</v>
      </c>
    </row>
    <row r="715" spans="1:10" s="42" customFormat="1" ht="15" x14ac:dyDescent="0.25">
      <c r="A715" s="42" t="s">
        <v>126</v>
      </c>
      <c r="B715" s="42">
        <v>146472</v>
      </c>
      <c r="C715" s="42">
        <v>18</v>
      </c>
      <c r="D715" s="42" t="s">
        <v>11</v>
      </c>
      <c r="E715" s="42">
        <v>1003</v>
      </c>
      <c r="F715" s="42">
        <v>1231802</v>
      </c>
      <c r="G715" s="42" t="s">
        <v>107</v>
      </c>
      <c r="H715" s="42">
        <v>378</v>
      </c>
      <c r="I715" s="42">
        <v>294</v>
      </c>
      <c r="J715" s="52">
        <v>5.0694444444444452E-2</v>
      </c>
    </row>
    <row r="716" spans="1:10" s="42" customFormat="1" ht="15" x14ac:dyDescent="0.25">
      <c r="A716" s="42" t="s">
        <v>126</v>
      </c>
      <c r="B716" s="42">
        <v>146472</v>
      </c>
      <c r="C716" s="42">
        <v>18</v>
      </c>
      <c r="D716" s="42" t="s">
        <v>11</v>
      </c>
      <c r="E716" s="42">
        <v>1003</v>
      </c>
      <c r="F716" s="42">
        <v>1231802</v>
      </c>
      <c r="G716" s="42" t="s">
        <v>107</v>
      </c>
      <c r="H716" s="42">
        <v>434</v>
      </c>
      <c r="I716" s="42">
        <v>86</v>
      </c>
      <c r="J716" s="52">
        <v>0</v>
      </c>
    </row>
    <row r="717" spans="1:10" s="42" customFormat="1" ht="15" x14ac:dyDescent="0.25">
      <c r="A717" s="42" t="s">
        <v>126</v>
      </c>
      <c r="B717" s="42">
        <v>146476</v>
      </c>
      <c r="C717" s="42">
        <v>18</v>
      </c>
      <c r="D717" s="42" t="s">
        <v>11</v>
      </c>
      <c r="E717" s="42">
        <v>1003</v>
      </c>
      <c r="F717" s="42">
        <v>1231802</v>
      </c>
      <c r="G717" s="42" t="s">
        <v>107</v>
      </c>
      <c r="H717" s="42">
        <v>378</v>
      </c>
      <c r="I717" s="42">
        <v>542</v>
      </c>
      <c r="J717" s="52">
        <v>9.375E-2</v>
      </c>
    </row>
    <row r="718" spans="1:10" s="42" customFormat="1" ht="15" x14ac:dyDescent="0.25">
      <c r="A718" s="42" t="s">
        <v>126</v>
      </c>
      <c r="B718" s="42">
        <v>146476</v>
      </c>
      <c r="C718" s="42">
        <v>18</v>
      </c>
      <c r="D718" s="42" t="s">
        <v>11</v>
      </c>
      <c r="E718" s="42">
        <v>1003</v>
      </c>
      <c r="F718" s="42">
        <v>1231802</v>
      </c>
      <c r="G718" s="42" t="s">
        <v>107</v>
      </c>
      <c r="H718" s="42">
        <v>434</v>
      </c>
      <c r="I718" s="42">
        <v>372</v>
      </c>
      <c r="J718" s="52">
        <v>0</v>
      </c>
    </row>
    <row r="719" spans="1:10" s="42" customFormat="1" ht="15" x14ac:dyDescent="0.25">
      <c r="A719" s="42" t="s">
        <v>126</v>
      </c>
      <c r="B719" s="42">
        <v>146477</v>
      </c>
      <c r="C719" s="42">
        <v>18</v>
      </c>
      <c r="D719" s="42" t="s">
        <v>11</v>
      </c>
      <c r="E719" s="42">
        <v>16575</v>
      </c>
      <c r="F719" s="42">
        <v>1231802</v>
      </c>
      <c r="G719" s="42" t="s">
        <v>107</v>
      </c>
      <c r="H719" s="42">
        <v>378</v>
      </c>
      <c r="I719" s="42">
        <v>402</v>
      </c>
      <c r="J719" s="52">
        <v>6.9444444444444434E-2</v>
      </c>
    </row>
    <row r="720" spans="1:10" s="42" customFormat="1" ht="15" x14ac:dyDescent="0.25">
      <c r="A720" s="42" t="s">
        <v>126</v>
      </c>
      <c r="B720" s="42">
        <v>146477</v>
      </c>
      <c r="C720" s="42">
        <v>18</v>
      </c>
      <c r="D720" s="42" t="s">
        <v>11</v>
      </c>
      <c r="E720" s="42">
        <v>16575</v>
      </c>
      <c r="F720" s="42">
        <v>1231802</v>
      </c>
      <c r="G720" s="42" t="s">
        <v>107</v>
      </c>
      <c r="H720" s="42">
        <v>434</v>
      </c>
      <c r="I720" s="42">
        <v>206</v>
      </c>
      <c r="J720" s="52">
        <v>0</v>
      </c>
    </row>
    <row r="721" spans="1:10" s="42" customFormat="1" ht="15" x14ac:dyDescent="0.25">
      <c r="A721" s="42" t="s">
        <v>126</v>
      </c>
      <c r="B721" s="42">
        <v>146592</v>
      </c>
      <c r="C721" s="42">
        <v>24</v>
      </c>
      <c r="D721" s="42" t="s">
        <v>11</v>
      </c>
      <c r="E721" s="42">
        <v>16311</v>
      </c>
      <c r="F721" s="42">
        <v>2323602</v>
      </c>
      <c r="G721" s="42" t="s">
        <v>120</v>
      </c>
      <c r="H721" s="42">
        <v>234</v>
      </c>
      <c r="I721" s="42">
        <v>56</v>
      </c>
      <c r="J721" s="52">
        <v>2.2916666666666669E-2</v>
      </c>
    </row>
    <row r="722" spans="1:10" s="42" customFormat="1" ht="15" x14ac:dyDescent="0.25">
      <c r="A722" s="42" t="s">
        <v>126</v>
      </c>
      <c r="B722" s="42">
        <v>146593</v>
      </c>
      <c r="C722" s="42">
        <v>24</v>
      </c>
      <c r="D722" s="42" t="s">
        <v>11</v>
      </c>
      <c r="E722" s="42">
        <v>1003</v>
      </c>
      <c r="F722" s="42">
        <v>2323602</v>
      </c>
      <c r="G722" s="42" t="s">
        <v>120</v>
      </c>
      <c r="H722" s="42">
        <v>234</v>
      </c>
      <c r="I722" s="42">
        <v>126</v>
      </c>
      <c r="J722" s="52">
        <v>5.1388888888888894E-2</v>
      </c>
    </row>
    <row r="723" spans="1:10" s="42" customFormat="1" ht="15" x14ac:dyDescent="0.25">
      <c r="A723" s="42" t="s">
        <v>128</v>
      </c>
      <c r="B723" s="42">
        <v>145815</v>
      </c>
      <c r="C723" s="42">
        <v>15</v>
      </c>
      <c r="D723" s="42" t="s">
        <v>11</v>
      </c>
      <c r="E723" s="42">
        <v>1039</v>
      </c>
      <c r="F723" s="42">
        <v>1226802</v>
      </c>
      <c r="G723" s="42" t="s">
        <v>26</v>
      </c>
      <c r="H723" s="42">
        <v>378</v>
      </c>
      <c r="I723" s="42">
        <v>64</v>
      </c>
      <c r="J723" s="52">
        <v>2.4305555555555556E-2</v>
      </c>
    </row>
    <row r="724" spans="1:10" s="42" customFormat="1" ht="15" x14ac:dyDescent="0.25">
      <c r="A724" s="42" t="s">
        <v>128</v>
      </c>
      <c r="B724" s="42">
        <v>145815</v>
      </c>
      <c r="C724" s="42">
        <v>15</v>
      </c>
      <c r="D724" s="42" t="s">
        <v>11</v>
      </c>
      <c r="E724" s="42">
        <v>1039</v>
      </c>
      <c r="F724" s="42">
        <v>1226802</v>
      </c>
      <c r="G724" s="42" t="s">
        <v>26</v>
      </c>
      <c r="H724" s="42">
        <v>434</v>
      </c>
      <c r="I724" s="42">
        <v>64</v>
      </c>
      <c r="J724" s="52">
        <v>0</v>
      </c>
    </row>
    <row r="725" spans="1:10" s="42" customFormat="1" ht="15" x14ac:dyDescent="0.25">
      <c r="A725" s="42" t="s">
        <v>128</v>
      </c>
      <c r="B725" s="42">
        <v>145820</v>
      </c>
      <c r="C725" s="42">
        <v>15</v>
      </c>
      <c r="D725" s="42" t="s">
        <v>11</v>
      </c>
      <c r="E725" s="42">
        <v>1682</v>
      </c>
      <c r="F725" s="42">
        <v>1226802</v>
      </c>
      <c r="G725" s="42" t="s">
        <v>26</v>
      </c>
      <c r="H725" s="42">
        <v>434</v>
      </c>
      <c r="I725" s="42">
        <v>128</v>
      </c>
      <c r="J725" s="52">
        <v>4.8611111111111112E-2</v>
      </c>
    </row>
    <row r="726" spans="1:10" s="42" customFormat="1" ht="15" x14ac:dyDescent="0.25">
      <c r="A726" s="42" t="s">
        <v>128</v>
      </c>
      <c r="B726" s="42">
        <v>145828</v>
      </c>
      <c r="C726" s="42">
        <v>13</v>
      </c>
      <c r="D726" s="42" t="s">
        <v>11</v>
      </c>
      <c r="E726" s="42">
        <v>1039</v>
      </c>
      <c r="F726" s="42">
        <v>1226802</v>
      </c>
      <c r="G726" s="42" t="s">
        <v>26</v>
      </c>
      <c r="H726" s="42">
        <v>378</v>
      </c>
      <c r="I726" s="42">
        <v>56</v>
      </c>
      <c r="J726" s="52">
        <v>2.1527777777777781E-2</v>
      </c>
    </row>
    <row r="727" spans="1:10" s="42" customFormat="1" ht="15" x14ac:dyDescent="0.25">
      <c r="A727" s="42" t="s">
        <v>128</v>
      </c>
      <c r="B727" s="42">
        <v>146466</v>
      </c>
      <c r="C727" s="42">
        <v>20</v>
      </c>
      <c r="D727" s="42" t="s">
        <v>11</v>
      </c>
      <c r="E727" s="42">
        <v>1101</v>
      </c>
      <c r="F727" s="42">
        <v>1230302</v>
      </c>
      <c r="G727" s="42" t="s">
        <v>129</v>
      </c>
      <c r="H727" s="42">
        <v>412</v>
      </c>
      <c r="I727" s="42">
        <v>600</v>
      </c>
      <c r="J727" s="52">
        <v>5.6250000000000001E-2</v>
      </c>
    </row>
    <row r="728" spans="1:10" s="42" customFormat="1" ht="15" x14ac:dyDescent="0.25">
      <c r="A728" s="42" t="s">
        <v>128</v>
      </c>
      <c r="B728" s="42">
        <v>146470</v>
      </c>
      <c r="C728" s="42">
        <v>20</v>
      </c>
      <c r="D728" s="42" t="s">
        <v>11</v>
      </c>
      <c r="E728" s="42">
        <v>1003</v>
      </c>
      <c r="F728" s="42">
        <v>1231802</v>
      </c>
      <c r="G728" s="42" t="s">
        <v>107</v>
      </c>
      <c r="H728" s="42">
        <v>412</v>
      </c>
      <c r="I728" s="53">
        <v>1500</v>
      </c>
      <c r="J728" s="52">
        <v>0.14027777777777778</v>
      </c>
    </row>
    <row r="729" spans="1:10" s="42" customFormat="1" ht="15" x14ac:dyDescent="0.25">
      <c r="A729" s="42" t="s">
        <v>128</v>
      </c>
      <c r="B729" s="42">
        <v>146472</v>
      </c>
      <c r="C729" s="42">
        <v>20</v>
      </c>
      <c r="D729" s="42" t="s">
        <v>11</v>
      </c>
      <c r="E729" s="42">
        <v>1003</v>
      </c>
      <c r="F729" s="42">
        <v>1231802</v>
      </c>
      <c r="G729" s="42" t="s">
        <v>107</v>
      </c>
      <c r="H729" s="42">
        <v>412</v>
      </c>
      <c r="I729" s="42">
        <v>632</v>
      </c>
      <c r="J729" s="52">
        <v>5.9027777777777783E-2</v>
      </c>
    </row>
    <row r="730" spans="1:10" s="42" customFormat="1" ht="15" x14ac:dyDescent="0.25">
      <c r="A730" s="42" t="s">
        <v>128</v>
      </c>
      <c r="B730" s="42">
        <v>146473</v>
      </c>
      <c r="C730" s="42">
        <v>20</v>
      </c>
      <c r="D730" s="42" t="s">
        <v>11</v>
      </c>
      <c r="E730" s="42">
        <v>1101</v>
      </c>
      <c r="F730" s="42">
        <v>1231802</v>
      </c>
      <c r="G730" s="42" t="s">
        <v>107</v>
      </c>
      <c r="H730" s="42">
        <v>412</v>
      </c>
      <c r="I730" s="42">
        <v>396</v>
      </c>
      <c r="J730" s="52">
        <v>3.6805555555555557E-2</v>
      </c>
    </row>
    <row r="731" spans="1:10" s="42" customFormat="1" ht="15" x14ac:dyDescent="0.25">
      <c r="A731" s="42" t="s">
        <v>128</v>
      </c>
      <c r="B731" s="42">
        <v>146474</v>
      </c>
      <c r="C731" s="42">
        <v>20</v>
      </c>
      <c r="D731" s="42" t="s">
        <v>11</v>
      </c>
      <c r="E731" s="42">
        <v>16311</v>
      </c>
      <c r="F731" s="42">
        <v>1231802</v>
      </c>
      <c r="G731" s="42" t="s">
        <v>107</v>
      </c>
      <c r="H731" s="42">
        <v>412</v>
      </c>
      <c r="I731" s="42">
        <v>628</v>
      </c>
      <c r="J731" s="52">
        <v>5.8333333333333327E-2</v>
      </c>
    </row>
    <row r="732" spans="1:10" s="42" customFormat="1" ht="15" x14ac:dyDescent="0.25">
      <c r="A732" s="42" t="s">
        <v>128</v>
      </c>
      <c r="B732" s="42">
        <v>146475</v>
      </c>
      <c r="C732" s="42">
        <v>20</v>
      </c>
      <c r="D732" s="42" t="s">
        <v>11</v>
      </c>
      <c r="E732" s="42">
        <v>1667</v>
      </c>
      <c r="F732" s="42">
        <v>1231802</v>
      </c>
      <c r="G732" s="42" t="s">
        <v>107</v>
      </c>
      <c r="H732" s="42">
        <v>412</v>
      </c>
      <c r="I732" s="53">
        <v>1022</v>
      </c>
      <c r="J732" s="52">
        <v>9.5138888888888884E-2</v>
      </c>
    </row>
    <row r="733" spans="1:10" s="42" customFormat="1" ht="15" x14ac:dyDescent="0.25">
      <c r="A733" s="42" t="s">
        <v>128</v>
      </c>
      <c r="B733" s="42">
        <v>146476</v>
      </c>
      <c r="C733" s="42">
        <v>20</v>
      </c>
      <c r="D733" s="42" t="s">
        <v>11</v>
      </c>
      <c r="E733" s="42">
        <v>1003</v>
      </c>
      <c r="F733" s="42">
        <v>1231802</v>
      </c>
      <c r="G733" s="42" t="s">
        <v>107</v>
      </c>
      <c r="H733" s="42">
        <v>412</v>
      </c>
      <c r="I733" s="53">
        <v>1236</v>
      </c>
      <c r="J733" s="52">
        <v>0.11527777777777777</v>
      </c>
    </row>
    <row r="734" spans="1:10" s="42" customFormat="1" ht="15" x14ac:dyDescent="0.25">
      <c r="A734" s="42" t="s">
        <v>128</v>
      </c>
      <c r="B734" s="42">
        <v>146477</v>
      </c>
      <c r="C734" s="42">
        <v>20</v>
      </c>
      <c r="D734" s="42" t="s">
        <v>11</v>
      </c>
      <c r="E734" s="42">
        <v>16575</v>
      </c>
      <c r="F734" s="42">
        <v>1231802</v>
      </c>
      <c r="G734" s="42" t="s">
        <v>107</v>
      </c>
      <c r="H734" s="42">
        <v>412</v>
      </c>
      <c r="I734" s="42">
        <v>888</v>
      </c>
      <c r="J734" s="52">
        <v>8.2638888888888887E-2</v>
      </c>
    </row>
    <row r="735" spans="1:10" s="42" customFormat="1" ht="15" x14ac:dyDescent="0.25">
      <c r="A735" s="42" t="s">
        <v>128</v>
      </c>
      <c r="B735" s="42">
        <v>146479</v>
      </c>
      <c r="C735" s="42">
        <v>20</v>
      </c>
      <c r="D735" s="42" t="s">
        <v>11</v>
      </c>
      <c r="E735" s="42">
        <v>1101</v>
      </c>
      <c r="F735" s="42">
        <v>1231802</v>
      </c>
      <c r="G735" s="42" t="s">
        <v>107</v>
      </c>
      <c r="H735" s="42">
        <v>412</v>
      </c>
      <c r="I735" s="53">
        <v>1178</v>
      </c>
      <c r="J735" s="52">
        <v>0.10972222222222222</v>
      </c>
    </row>
    <row r="736" spans="1:10" s="42" customFormat="1" ht="15" x14ac:dyDescent="0.25">
      <c r="A736" s="42" t="s">
        <v>130</v>
      </c>
      <c r="B736" s="42">
        <v>146504</v>
      </c>
      <c r="C736" s="42">
        <v>35</v>
      </c>
      <c r="D736" s="42" t="s">
        <v>11</v>
      </c>
      <c r="E736" s="42">
        <v>1003</v>
      </c>
      <c r="F736" s="42">
        <v>1914904</v>
      </c>
      <c r="G736" s="42" t="s">
        <v>131</v>
      </c>
      <c r="H736" s="42">
        <v>350</v>
      </c>
      <c r="I736" s="42">
        <v>62</v>
      </c>
      <c r="J736" s="52">
        <v>3.9583333333333331E-2</v>
      </c>
    </row>
    <row r="737" spans="1:10" s="42" customFormat="1" ht="15" x14ac:dyDescent="0.25">
      <c r="A737" s="42" t="s">
        <v>130</v>
      </c>
      <c r="B737" s="42">
        <v>146505</v>
      </c>
      <c r="C737" s="42">
        <v>35</v>
      </c>
      <c r="D737" s="42" t="s">
        <v>11</v>
      </c>
      <c r="E737" s="42">
        <v>1255</v>
      </c>
      <c r="F737" s="42">
        <v>1914904</v>
      </c>
      <c r="G737" s="42" t="s">
        <v>131</v>
      </c>
      <c r="H737" s="42">
        <v>350</v>
      </c>
      <c r="I737" s="42">
        <v>214</v>
      </c>
      <c r="J737" s="52">
        <v>0.12222222222222223</v>
      </c>
    </row>
    <row r="738" spans="1:10" s="42" customFormat="1" ht="15" x14ac:dyDescent="0.25">
      <c r="A738" s="42" t="s">
        <v>130</v>
      </c>
      <c r="B738" s="42">
        <v>146505</v>
      </c>
      <c r="C738" s="42">
        <v>38</v>
      </c>
      <c r="D738" s="42" t="s">
        <v>11</v>
      </c>
      <c r="E738" s="42">
        <v>1255</v>
      </c>
      <c r="F738" s="42">
        <v>1914904</v>
      </c>
      <c r="G738" s="42" t="s">
        <v>131</v>
      </c>
      <c r="H738" s="42">
        <v>380</v>
      </c>
      <c r="I738" s="42">
        <v>72</v>
      </c>
      <c r="J738" s="52">
        <v>4.5833333333333337E-2</v>
      </c>
    </row>
    <row r="739" spans="1:10" s="42" customFormat="1" ht="15" x14ac:dyDescent="0.25">
      <c r="A739" s="42" t="s">
        <v>130</v>
      </c>
      <c r="B739" s="42">
        <v>146506</v>
      </c>
      <c r="C739" s="42">
        <v>35</v>
      </c>
      <c r="D739" s="42" t="s">
        <v>11</v>
      </c>
      <c r="E739" s="42">
        <v>1664</v>
      </c>
      <c r="F739" s="42">
        <v>1914904</v>
      </c>
      <c r="G739" s="42" t="s">
        <v>131</v>
      </c>
      <c r="H739" s="42">
        <v>350</v>
      </c>
      <c r="I739" s="42">
        <v>194</v>
      </c>
      <c r="J739" s="52">
        <v>0.11041666666666666</v>
      </c>
    </row>
    <row r="740" spans="1:10" s="42" customFormat="1" ht="15" x14ac:dyDescent="0.25">
      <c r="A740" s="42" t="s">
        <v>130</v>
      </c>
      <c r="B740" s="42">
        <v>146506</v>
      </c>
      <c r="C740" s="42">
        <v>38</v>
      </c>
      <c r="D740" s="42" t="s">
        <v>11</v>
      </c>
      <c r="E740" s="42">
        <v>1664</v>
      </c>
      <c r="F740" s="42">
        <v>1914904</v>
      </c>
      <c r="G740" s="42" t="s">
        <v>131</v>
      </c>
      <c r="H740" s="42">
        <v>380</v>
      </c>
      <c r="I740" s="42">
        <v>192</v>
      </c>
      <c r="J740" s="52">
        <v>0.12291666666666667</v>
      </c>
    </row>
    <row r="741" spans="1:10" s="42" customFormat="1" ht="15" x14ac:dyDescent="0.25">
      <c r="A741" s="42" t="s">
        <v>130</v>
      </c>
      <c r="B741" s="42">
        <v>146507</v>
      </c>
      <c r="C741" s="42">
        <v>35</v>
      </c>
      <c r="D741" s="42" t="s">
        <v>11</v>
      </c>
      <c r="E741" s="42">
        <v>1276</v>
      </c>
      <c r="F741" s="42">
        <v>1914904</v>
      </c>
      <c r="G741" s="42" t="s">
        <v>131</v>
      </c>
      <c r="H741" s="42">
        <v>350</v>
      </c>
      <c r="I741" s="42">
        <v>56</v>
      </c>
      <c r="J741" s="52">
        <v>3.6111111111111115E-2</v>
      </c>
    </row>
    <row r="742" spans="1:10" s="42" customFormat="1" ht="15" x14ac:dyDescent="0.25">
      <c r="A742" s="42" t="s">
        <v>130</v>
      </c>
      <c r="B742" s="42">
        <v>146507</v>
      </c>
      <c r="C742" s="42">
        <v>38</v>
      </c>
      <c r="D742" s="42" t="s">
        <v>11</v>
      </c>
      <c r="E742" s="42">
        <v>1276</v>
      </c>
      <c r="F742" s="42">
        <v>1914904</v>
      </c>
      <c r="G742" s="42" t="s">
        <v>131</v>
      </c>
      <c r="H742" s="42">
        <v>380</v>
      </c>
      <c r="I742" s="42">
        <v>62</v>
      </c>
      <c r="J742" s="52">
        <v>3.6111111111111115E-2</v>
      </c>
    </row>
    <row r="743" spans="1:10" s="42" customFormat="1" ht="15" x14ac:dyDescent="0.25">
      <c r="A743" s="42" t="s">
        <v>130</v>
      </c>
      <c r="B743" s="42">
        <v>146508</v>
      </c>
      <c r="C743" s="42">
        <v>35</v>
      </c>
      <c r="D743" s="42" t="s">
        <v>11</v>
      </c>
      <c r="E743" s="42">
        <v>1003</v>
      </c>
      <c r="F743" s="42">
        <v>1914904</v>
      </c>
      <c r="G743" s="42" t="s">
        <v>131</v>
      </c>
      <c r="H743" s="42">
        <v>350</v>
      </c>
      <c r="I743" s="42">
        <v>158</v>
      </c>
      <c r="J743" s="52">
        <v>9.0277777777777776E-2</v>
      </c>
    </row>
    <row r="744" spans="1:10" s="42" customFormat="1" ht="15" x14ac:dyDescent="0.25">
      <c r="A744" s="42" t="s">
        <v>130</v>
      </c>
      <c r="B744" s="42">
        <v>148996</v>
      </c>
      <c r="C744" s="42">
        <v>3</v>
      </c>
      <c r="D744" s="42" t="s">
        <v>11</v>
      </c>
      <c r="E744" s="42">
        <v>800</v>
      </c>
      <c r="F744" s="42">
        <v>2518839</v>
      </c>
      <c r="G744" s="42" t="s">
        <v>132</v>
      </c>
      <c r="H744" s="42">
        <v>336</v>
      </c>
      <c r="I744" s="42">
        <v>32</v>
      </c>
      <c r="J744" s="52">
        <v>4.1666666666666666E-3</v>
      </c>
    </row>
    <row r="745" spans="1:10" s="42" customFormat="1" ht="15" x14ac:dyDescent="0.25">
      <c r="A745" s="42" t="s">
        <v>130</v>
      </c>
      <c r="B745" s="42">
        <v>148997</v>
      </c>
      <c r="C745" s="42">
        <v>3</v>
      </c>
      <c r="D745" s="42" t="s">
        <v>11</v>
      </c>
      <c r="E745" s="42">
        <v>800</v>
      </c>
      <c r="F745" s="42">
        <v>2518839</v>
      </c>
      <c r="G745" s="42" t="s">
        <v>132</v>
      </c>
      <c r="H745" s="42">
        <v>336</v>
      </c>
      <c r="I745" s="42">
        <v>26</v>
      </c>
      <c r="J745" s="52">
        <v>3.472222222222222E-3</v>
      </c>
    </row>
    <row r="746" spans="1:10" s="42" customFormat="1" ht="15" x14ac:dyDescent="0.25">
      <c r="A746" s="42" t="s">
        <v>133</v>
      </c>
      <c r="B746" s="42">
        <v>141275</v>
      </c>
      <c r="C746" s="42">
        <v>28</v>
      </c>
      <c r="D746" s="42" t="s">
        <v>11</v>
      </c>
      <c r="E746" s="42">
        <v>16581</v>
      </c>
      <c r="F746" s="42">
        <v>2726804</v>
      </c>
      <c r="G746" s="42" t="s">
        <v>16</v>
      </c>
      <c r="H746" s="42">
        <v>370</v>
      </c>
      <c r="I746" s="42">
        <v>20</v>
      </c>
      <c r="J746" s="52">
        <v>4.1666666666666666E-3</v>
      </c>
    </row>
    <row r="747" spans="1:10" s="42" customFormat="1" ht="15" x14ac:dyDescent="0.25">
      <c r="A747" s="42" t="s">
        <v>133</v>
      </c>
      <c r="B747" s="42">
        <v>141568</v>
      </c>
      <c r="C747" s="42">
        <v>29</v>
      </c>
      <c r="D747" s="42" t="s">
        <v>11</v>
      </c>
      <c r="E747" s="42">
        <v>1457</v>
      </c>
      <c r="F747" s="42">
        <v>2726804</v>
      </c>
      <c r="G747" s="42" t="s">
        <v>16</v>
      </c>
      <c r="H747" s="42">
        <v>370</v>
      </c>
      <c r="I747" s="42">
        <v>250</v>
      </c>
      <c r="J747" s="52">
        <v>4.9999999999999996E-2</v>
      </c>
    </row>
    <row r="748" spans="1:10" s="42" customFormat="1" ht="15" x14ac:dyDescent="0.25">
      <c r="A748" s="42" t="s">
        <v>133</v>
      </c>
      <c r="B748" s="42">
        <v>141569</v>
      </c>
      <c r="C748" s="42">
        <v>29</v>
      </c>
      <c r="D748" s="42" t="s">
        <v>11</v>
      </c>
      <c r="E748" s="42">
        <v>16483</v>
      </c>
      <c r="F748" s="42">
        <v>2726804</v>
      </c>
      <c r="G748" s="42" t="s">
        <v>16</v>
      </c>
      <c r="H748" s="42">
        <v>370</v>
      </c>
      <c r="I748" s="42">
        <v>238</v>
      </c>
      <c r="J748" s="52">
        <v>4.7916666666666663E-2</v>
      </c>
    </row>
    <row r="749" spans="1:10" s="42" customFormat="1" ht="15" x14ac:dyDescent="0.25">
      <c r="A749" s="42" t="s">
        <v>133</v>
      </c>
      <c r="B749" s="42">
        <v>141570</v>
      </c>
      <c r="C749" s="42">
        <v>28</v>
      </c>
      <c r="D749" s="42" t="s">
        <v>11</v>
      </c>
      <c r="E749" s="42">
        <v>16311</v>
      </c>
      <c r="F749" s="42">
        <v>2726804</v>
      </c>
      <c r="G749" s="42" t="s">
        <v>16</v>
      </c>
      <c r="H749" s="42">
        <v>370</v>
      </c>
      <c r="I749" s="42">
        <v>240</v>
      </c>
      <c r="J749" s="52">
        <v>4.7916666666666663E-2</v>
      </c>
    </row>
    <row r="750" spans="1:10" s="42" customFormat="1" ht="15" x14ac:dyDescent="0.25">
      <c r="A750" s="42" t="s">
        <v>133</v>
      </c>
      <c r="B750" s="42">
        <v>141586</v>
      </c>
      <c r="C750" s="42">
        <v>28</v>
      </c>
      <c r="D750" s="42" t="s">
        <v>11</v>
      </c>
      <c r="E750" s="42">
        <v>1086</v>
      </c>
      <c r="F750" s="42">
        <v>8370104</v>
      </c>
      <c r="G750" s="42" t="s">
        <v>16</v>
      </c>
      <c r="H750" s="42">
        <v>370</v>
      </c>
      <c r="I750" s="42">
        <v>210</v>
      </c>
      <c r="J750" s="52">
        <v>4.2361111111111106E-2</v>
      </c>
    </row>
    <row r="751" spans="1:10" s="42" customFormat="1" ht="15" x14ac:dyDescent="0.25">
      <c r="A751" s="42" t="s">
        <v>133</v>
      </c>
      <c r="B751" s="42">
        <v>141587</v>
      </c>
      <c r="C751" s="42">
        <v>28</v>
      </c>
      <c r="D751" s="42" t="s">
        <v>11</v>
      </c>
      <c r="E751" s="42">
        <v>1674</v>
      </c>
      <c r="F751" s="42">
        <v>8370104</v>
      </c>
      <c r="G751" s="42" t="s">
        <v>16</v>
      </c>
      <c r="H751" s="42">
        <v>370</v>
      </c>
      <c r="I751" s="42">
        <v>430</v>
      </c>
      <c r="J751" s="52">
        <v>8.6111111111111124E-2</v>
      </c>
    </row>
    <row r="752" spans="1:10" s="42" customFormat="1" ht="15" x14ac:dyDescent="0.25">
      <c r="A752" s="42" t="s">
        <v>133</v>
      </c>
      <c r="B752" s="42">
        <v>141588</v>
      </c>
      <c r="C752" s="42">
        <v>28</v>
      </c>
      <c r="D752" s="42" t="s">
        <v>11</v>
      </c>
      <c r="E752" s="42">
        <v>16558</v>
      </c>
      <c r="F752" s="42">
        <v>8370104</v>
      </c>
      <c r="G752" s="42" t="s">
        <v>16</v>
      </c>
      <c r="H752" s="42">
        <v>370</v>
      </c>
      <c r="I752" s="42">
        <v>290</v>
      </c>
      <c r="J752" s="52">
        <v>5.8333333333333327E-2</v>
      </c>
    </row>
    <row r="753" spans="1:10" s="42" customFormat="1" ht="15" x14ac:dyDescent="0.25">
      <c r="A753" s="42" t="s">
        <v>133</v>
      </c>
      <c r="B753" s="42">
        <v>141589</v>
      </c>
      <c r="C753" s="42">
        <v>28</v>
      </c>
      <c r="D753" s="42" t="s">
        <v>11</v>
      </c>
      <c r="E753" s="42">
        <v>1457</v>
      </c>
      <c r="F753" s="42">
        <v>8370104</v>
      </c>
      <c r="G753" s="42" t="s">
        <v>16</v>
      </c>
      <c r="H753" s="42">
        <v>370</v>
      </c>
      <c r="I753" s="42">
        <v>340</v>
      </c>
      <c r="J753" s="52">
        <v>6.805555555555555E-2</v>
      </c>
    </row>
    <row r="754" spans="1:10" s="42" customFormat="1" ht="15" x14ac:dyDescent="0.25">
      <c r="A754" s="42" t="s">
        <v>133</v>
      </c>
      <c r="B754" s="42">
        <v>141590</v>
      </c>
      <c r="C754" s="42">
        <v>27</v>
      </c>
      <c r="D754" s="42" t="s">
        <v>11</v>
      </c>
      <c r="E754" s="42">
        <v>1674</v>
      </c>
      <c r="F754" s="42">
        <v>8370804</v>
      </c>
      <c r="G754" s="42" t="s">
        <v>16</v>
      </c>
      <c r="H754" s="42">
        <v>370</v>
      </c>
      <c r="I754" s="42">
        <v>410</v>
      </c>
      <c r="J754" s="52">
        <v>8.1944444444444445E-2</v>
      </c>
    </row>
    <row r="755" spans="1:10" s="42" customFormat="1" ht="15" x14ac:dyDescent="0.25">
      <c r="A755" s="42" t="s">
        <v>133</v>
      </c>
      <c r="B755" s="42">
        <v>141591</v>
      </c>
      <c r="C755" s="42">
        <v>27</v>
      </c>
      <c r="D755" s="42" t="s">
        <v>11</v>
      </c>
      <c r="E755" s="42">
        <v>1572</v>
      </c>
      <c r="F755" s="42">
        <v>8370804</v>
      </c>
      <c r="G755" s="42" t="s">
        <v>16</v>
      </c>
      <c r="H755" s="42">
        <v>370</v>
      </c>
      <c r="I755" s="42">
        <v>86</v>
      </c>
      <c r="J755" s="52">
        <v>1.7361111111111112E-2</v>
      </c>
    </row>
    <row r="756" spans="1:10" s="42" customFormat="1" ht="15" x14ac:dyDescent="0.25">
      <c r="A756" s="42" t="s">
        <v>133</v>
      </c>
      <c r="B756" s="42">
        <v>141914</v>
      </c>
      <c r="C756" s="42">
        <v>21</v>
      </c>
      <c r="D756" s="42" t="s">
        <v>11</v>
      </c>
      <c r="E756" s="42">
        <v>16332</v>
      </c>
      <c r="F756" s="42">
        <v>8366604</v>
      </c>
      <c r="G756" s="42" t="s">
        <v>16</v>
      </c>
      <c r="H756" s="42">
        <v>370</v>
      </c>
      <c r="I756" s="42">
        <v>383</v>
      </c>
      <c r="J756" s="52">
        <v>7.6388888888888895E-2</v>
      </c>
    </row>
    <row r="757" spans="1:10" s="42" customFormat="1" ht="15" x14ac:dyDescent="0.25">
      <c r="A757" s="42" t="s">
        <v>133</v>
      </c>
      <c r="B757" s="42">
        <v>141924</v>
      </c>
      <c r="C757" s="42">
        <v>33</v>
      </c>
      <c r="D757" s="42" t="s">
        <v>11</v>
      </c>
      <c r="E757" s="42">
        <v>1457</v>
      </c>
      <c r="F757" s="42">
        <v>8370804</v>
      </c>
      <c r="G757" s="42" t="s">
        <v>16</v>
      </c>
      <c r="H757" s="42">
        <v>370</v>
      </c>
      <c r="I757" s="42">
        <v>281</v>
      </c>
      <c r="J757" s="52">
        <v>5.6250000000000001E-2</v>
      </c>
    </row>
    <row r="758" spans="1:10" s="42" customFormat="1" ht="15" x14ac:dyDescent="0.25">
      <c r="A758" s="42" t="s">
        <v>133</v>
      </c>
      <c r="B758" s="42">
        <v>149541</v>
      </c>
      <c r="C758" s="42">
        <v>1</v>
      </c>
      <c r="D758" s="42" t="s">
        <v>35</v>
      </c>
      <c r="E758" s="42">
        <v>6537</v>
      </c>
      <c r="F758" s="42">
        <v>8314002</v>
      </c>
      <c r="G758" s="42" t="s">
        <v>134</v>
      </c>
      <c r="H758" s="42">
        <v>334</v>
      </c>
      <c r="I758" s="42">
        <v>649</v>
      </c>
      <c r="J758" s="52">
        <v>0</v>
      </c>
    </row>
    <row r="759" spans="1:10" s="42" customFormat="1" ht="15" x14ac:dyDescent="0.25">
      <c r="A759" s="42" t="s">
        <v>133</v>
      </c>
      <c r="B759" s="42">
        <v>149541</v>
      </c>
      <c r="C759" s="42">
        <v>1</v>
      </c>
      <c r="D759" s="42" t="s">
        <v>35</v>
      </c>
      <c r="E759" s="42">
        <v>6537</v>
      </c>
      <c r="F759" s="42">
        <v>8314002</v>
      </c>
      <c r="G759" s="42" t="s">
        <v>134</v>
      </c>
      <c r="H759" s="42">
        <v>350</v>
      </c>
      <c r="I759" s="42">
        <v>800</v>
      </c>
      <c r="J759" s="52">
        <v>0</v>
      </c>
    </row>
    <row r="760" spans="1:10" s="42" customFormat="1" ht="15" x14ac:dyDescent="0.25">
      <c r="A760" s="42" t="s">
        <v>133</v>
      </c>
      <c r="B760" s="42">
        <v>149541</v>
      </c>
      <c r="C760" s="42">
        <v>1</v>
      </c>
      <c r="D760" s="42" t="s">
        <v>35</v>
      </c>
      <c r="E760" s="42">
        <v>6537</v>
      </c>
      <c r="F760" s="42">
        <v>8314002</v>
      </c>
      <c r="G760" s="42" t="s">
        <v>134</v>
      </c>
      <c r="H760" s="42">
        <v>360</v>
      </c>
      <c r="I760" s="42">
        <v>800</v>
      </c>
      <c r="J760" s="52">
        <v>0</v>
      </c>
    </row>
    <row r="761" spans="1:10" s="42" customFormat="1" ht="15" x14ac:dyDescent="0.25">
      <c r="A761" s="42" t="s">
        <v>133</v>
      </c>
      <c r="B761" s="42">
        <v>149541</v>
      </c>
      <c r="C761" s="42">
        <v>1</v>
      </c>
      <c r="D761" s="42" t="s">
        <v>35</v>
      </c>
      <c r="E761" s="42">
        <v>6537</v>
      </c>
      <c r="F761" s="42">
        <v>8314002</v>
      </c>
      <c r="G761" s="42" t="s">
        <v>134</v>
      </c>
      <c r="H761" s="42">
        <v>378</v>
      </c>
      <c r="I761" s="53">
        <v>1600</v>
      </c>
      <c r="J761" s="52">
        <v>0.3527777777777778</v>
      </c>
    </row>
    <row r="762" spans="1:10" s="42" customFormat="1" ht="15" x14ac:dyDescent="0.25">
      <c r="A762" s="42" t="s">
        <v>133</v>
      </c>
      <c r="B762" s="42">
        <v>149541</v>
      </c>
      <c r="C762" s="42">
        <v>1</v>
      </c>
      <c r="D762" s="42" t="s">
        <v>35</v>
      </c>
      <c r="E762" s="42">
        <v>6537</v>
      </c>
      <c r="F762" s="42">
        <v>8314002</v>
      </c>
      <c r="G762" s="42" t="s">
        <v>134</v>
      </c>
      <c r="H762" s="42">
        <v>394</v>
      </c>
      <c r="I762" s="42">
        <v>800</v>
      </c>
      <c r="J762" s="52">
        <v>0</v>
      </c>
    </row>
    <row r="763" spans="1:10" s="42" customFormat="1" ht="15" x14ac:dyDescent="0.25">
      <c r="A763" s="42" t="s">
        <v>135</v>
      </c>
      <c r="B763" s="42">
        <v>146270</v>
      </c>
      <c r="C763" s="42">
        <v>51</v>
      </c>
      <c r="D763" s="42" t="s">
        <v>11</v>
      </c>
      <c r="E763" s="42">
        <v>1370</v>
      </c>
      <c r="F763" s="42">
        <v>2329602</v>
      </c>
      <c r="G763" s="42" t="s">
        <v>136</v>
      </c>
      <c r="H763" s="42">
        <v>280</v>
      </c>
      <c r="I763" s="42">
        <v>140</v>
      </c>
      <c r="J763" s="52">
        <v>7.7777777777777779E-2</v>
      </c>
    </row>
    <row r="764" spans="1:10" s="42" customFormat="1" ht="15" x14ac:dyDescent="0.25">
      <c r="A764" s="42" t="s">
        <v>135</v>
      </c>
      <c r="B764" s="42">
        <v>146270</v>
      </c>
      <c r="C764" s="42">
        <v>52</v>
      </c>
      <c r="D764" s="42" t="s">
        <v>11</v>
      </c>
      <c r="E764" s="42">
        <v>1370</v>
      </c>
      <c r="F764" s="42">
        <v>2329602</v>
      </c>
      <c r="G764" s="42" t="s">
        <v>136</v>
      </c>
      <c r="H764" s="42">
        <v>290</v>
      </c>
      <c r="I764" s="42">
        <v>218</v>
      </c>
      <c r="J764" s="52">
        <v>0.12083333333333333</v>
      </c>
    </row>
    <row r="765" spans="1:10" s="42" customFormat="1" ht="15" x14ac:dyDescent="0.25">
      <c r="A765" s="42" t="s">
        <v>135</v>
      </c>
      <c r="B765" s="42">
        <v>146270</v>
      </c>
      <c r="C765" s="42">
        <v>53</v>
      </c>
      <c r="D765" s="42" t="s">
        <v>11</v>
      </c>
      <c r="E765" s="42">
        <v>1370</v>
      </c>
      <c r="F765" s="42">
        <v>2329602</v>
      </c>
      <c r="G765" s="42" t="s">
        <v>136</v>
      </c>
      <c r="H765" s="42">
        <v>300</v>
      </c>
      <c r="I765" s="42">
        <v>210</v>
      </c>
      <c r="J765" s="52">
        <v>0.11666666666666665</v>
      </c>
    </row>
    <row r="766" spans="1:10" s="42" customFormat="1" ht="15" x14ac:dyDescent="0.25">
      <c r="A766" s="42" t="s">
        <v>135</v>
      </c>
      <c r="B766" s="42">
        <v>146270</v>
      </c>
      <c r="C766" s="42">
        <v>54</v>
      </c>
      <c r="D766" s="42" t="s">
        <v>11</v>
      </c>
      <c r="E766" s="42">
        <v>1370</v>
      </c>
      <c r="F766" s="42">
        <v>2329602</v>
      </c>
      <c r="G766" s="42" t="s">
        <v>136</v>
      </c>
      <c r="H766" s="42">
        <v>310</v>
      </c>
      <c r="I766" s="42">
        <v>264</v>
      </c>
      <c r="J766" s="52">
        <v>0.14652777777777778</v>
      </c>
    </row>
    <row r="767" spans="1:10" s="42" customFormat="1" ht="15" x14ac:dyDescent="0.25">
      <c r="A767" s="42" t="s">
        <v>135</v>
      </c>
      <c r="B767" s="42">
        <v>146270</v>
      </c>
      <c r="C767" s="42">
        <v>55</v>
      </c>
      <c r="D767" s="42" t="s">
        <v>11</v>
      </c>
      <c r="E767" s="42">
        <v>1370</v>
      </c>
      <c r="F767" s="42">
        <v>2329602</v>
      </c>
      <c r="G767" s="42" t="s">
        <v>136</v>
      </c>
      <c r="H767" s="42">
        <v>323</v>
      </c>
      <c r="I767" s="42">
        <v>264</v>
      </c>
      <c r="J767" s="52">
        <v>0.14652777777777778</v>
      </c>
    </row>
    <row r="768" spans="1:10" s="42" customFormat="1" ht="15" x14ac:dyDescent="0.25">
      <c r="A768" s="42" t="s">
        <v>135</v>
      </c>
      <c r="B768" s="42">
        <v>146270</v>
      </c>
      <c r="C768" s="42">
        <v>56</v>
      </c>
      <c r="D768" s="42" t="s">
        <v>11</v>
      </c>
      <c r="E768" s="42">
        <v>1370</v>
      </c>
      <c r="F768" s="42">
        <v>2329602</v>
      </c>
      <c r="G768" s="42" t="s">
        <v>136</v>
      </c>
      <c r="H768" s="42">
        <v>340</v>
      </c>
      <c r="I768" s="42">
        <v>126</v>
      </c>
      <c r="J768" s="52">
        <v>7.013888888888889E-2</v>
      </c>
    </row>
    <row r="769" spans="1:10" s="42" customFormat="1" ht="15" x14ac:dyDescent="0.25">
      <c r="A769" s="42" t="s">
        <v>135</v>
      </c>
      <c r="B769" s="42">
        <v>146271</v>
      </c>
      <c r="C769" s="42">
        <v>44</v>
      </c>
      <c r="D769" s="42" t="s">
        <v>11</v>
      </c>
      <c r="E769" s="42">
        <v>1410</v>
      </c>
      <c r="F769" s="42">
        <v>2329602</v>
      </c>
      <c r="G769" s="42" t="s">
        <v>136</v>
      </c>
      <c r="H769" s="42">
        <v>290</v>
      </c>
      <c r="I769" s="42">
        <v>10</v>
      </c>
      <c r="J769" s="52">
        <v>5.5555555555555558E-3</v>
      </c>
    </row>
    <row r="770" spans="1:10" s="42" customFormat="1" ht="15" x14ac:dyDescent="0.25">
      <c r="A770" s="42" t="s">
        <v>135</v>
      </c>
      <c r="B770" s="42">
        <v>146271</v>
      </c>
      <c r="C770" s="42">
        <v>45</v>
      </c>
      <c r="D770" s="42" t="s">
        <v>11</v>
      </c>
      <c r="E770" s="42">
        <v>1410</v>
      </c>
      <c r="F770" s="42">
        <v>2329602</v>
      </c>
      <c r="G770" s="42" t="s">
        <v>136</v>
      </c>
      <c r="H770" s="42">
        <v>300</v>
      </c>
      <c r="I770" s="42">
        <v>18</v>
      </c>
      <c r="J770" s="52">
        <v>9.7222222222222224E-3</v>
      </c>
    </row>
    <row r="771" spans="1:10" s="42" customFormat="1" ht="15" x14ac:dyDescent="0.25">
      <c r="A771" s="42" t="s">
        <v>135</v>
      </c>
      <c r="B771" s="42">
        <v>146271</v>
      </c>
      <c r="C771" s="42">
        <v>46</v>
      </c>
      <c r="D771" s="42" t="s">
        <v>11</v>
      </c>
      <c r="E771" s="42">
        <v>1410</v>
      </c>
      <c r="F771" s="42">
        <v>2329602</v>
      </c>
      <c r="G771" s="42" t="s">
        <v>136</v>
      </c>
      <c r="H771" s="42">
        <v>310</v>
      </c>
      <c r="I771" s="42">
        <v>14</v>
      </c>
      <c r="J771" s="52">
        <v>7.6388888888888886E-3</v>
      </c>
    </row>
    <row r="772" spans="1:10" s="42" customFormat="1" ht="15" x14ac:dyDescent="0.25">
      <c r="A772" s="42" t="s">
        <v>135</v>
      </c>
      <c r="B772" s="42">
        <v>146271</v>
      </c>
      <c r="C772" s="42">
        <v>47</v>
      </c>
      <c r="D772" s="42" t="s">
        <v>11</v>
      </c>
      <c r="E772" s="42">
        <v>1410</v>
      </c>
      <c r="F772" s="42">
        <v>2329602</v>
      </c>
      <c r="G772" s="42" t="s">
        <v>136</v>
      </c>
      <c r="H772" s="42">
        <v>323</v>
      </c>
      <c r="I772" s="42">
        <v>14</v>
      </c>
      <c r="J772" s="52">
        <v>7.6388888888888886E-3</v>
      </c>
    </row>
    <row r="773" spans="1:10" s="42" customFormat="1" ht="15" x14ac:dyDescent="0.25">
      <c r="A773" s="42" t="s">
        <v>135</v>
      </c>
      <c r="B773" s="42">
        <v>146272</v>
      </c>
      <c r="C773" s="42">
        <v>41</v>
      </c>
      <c r="D773" s="42" t="s">
        <v>11</v>
      </c>
      <c r="E773" s="42">
        <v>1364</v>
      </c>
      <c r="F773" s="42">
        <v>2329602</v>
      </c>
      <c r="G773" s="42" t="s">
        <v>136</v>
      </c>
      <c r="H773" s="42">
        <v>290</v>
      </c>
      <c r="I773" s="42">
        <v>10</v>
      </c>
      <c r="J773" s="52">
        <v>5.5555555555555558E-3</v>
      </c>
    </row>
    <row r="774" spans="1:10" s="42" customFormat="1" ht="15" x14ac:dyDescent="0.25">
      <c r="A774" s="42" t="s">
        <v>135</v>
      </c>
      <c r="B774" s="42">
        <v>146272</v>
      </c>
      <c r="C774" s="42">
        <v>42</v>
      </c>
      <c r="D774" s="42" t="s">
        <v>11</v>
      </c>
      <c r="E774" s="42">
        <v>1364</v>
      </c>
      <c r="F774" s="42">
        <v>2329602</v>
      </c>
      <c r="G774" s="42" t="s">
        <v>136</v>
      </c>
      <c r="H774" s="42">
        <v>300</v>
      </c>
      <c r="I774" s="42">
        <v>16</v>
      </c>
      <c r="J774" s="52">
        <v>9.0277777777777787E-3</v>
      </c>
    </row>
    <row r="775" spans="1:10" s="42" customFormat="1" ht="15" x14ac:dyDescent="0.25">
      <c r="A775" s="42" t="s">
        <v>135</v>
      </c>
      <c r="B775" s="42">
        <v>146272</v>
      </c>
      <c r="C775" s="42">
        <v>43</v>
      </c>
      <c r="D775" s="42" t="s">
        <v>11</v>
      </c>
      <c r="E775" s="42">
        <v>1364</v>
      </c>
      <c r="F775" s="42">
        <v>2329602</v>
      </c>
      <c r="G775" s="42" t="s">
        <v>136</v>
      </c>
      <c r="H775" s="42">
        <v>310</v>
      </c>
      <c r="I775" s="42">
        <v>12</v>
      </c>
      <c r="J775" s="52">
        <v>6.9444444444444441E-3</v>
      </c>
    </row>
    <row r="776" spans="1:10" s="42" customFormat="1" ht="15" x14ac:dyDescent="0.25">
      <c r="A776" s="42" t="s">
        <v>135</v>
      </c>
      <c r="B776" s="42">
        <v>146272</v>
      </c>
      <c r="C776" s="42">
        <v>44</v>
      </c>
      <c r="D776" s="42" t="s">
        <v>11</v>
      </c>
      <c r="E776" s="42">
        <v>1364</v>
      </c>
      <c r="F776" s="42">
        <v>2329602</v>
      </c>
      <c r="G776" s="42" t="s">
        <v>136</v>
      </c>
      <c r="H776" s="42">
        <v>323</v>
      </c>
      <c r="I776" s="42">
        <v>12</v>
      </c>
      <c r="J776" s="52">
        <v>6.9444444444444441E-3</v>
      </c>
    </row>
    <row r="777" spans="1:10" s="42" customFormat="1" ht="15" x14ac:dyDescent="0.25">
      <c r="A777" s="42" t="s">
        <v>135</v>
      </c>
      <c r="B777" s="42">
        <v>146272</v>
      </c>
      <c r="C777" s="42">
        <v>45</v>
      </c>
      <c r="D777" s="42" t="s">
        <v>11</v>
      </c>
      <c r="E777" s="42">
        <v>1364</v>
      </c>
      <c r="F777" s="42">
        <v>2329602</v>
      </c>
      <c r="G777" s="42" t="s">
        <v>136</v>
      </c>
      <c r="H777" s="42">
        <v>340</v>
      </c>
      <c r="I777" s="42">
        <v>8</v>
      </c>
      <c r="J777" s="52">
        <v>4.1666666666666666E-3</v>
      </c>
    </row>
    <row r="778" spans="1:10" s="42" customFormat="1" ht="15" x14ac:dyDescent="0.25">
      <c r="A778" s="42" t="s">
        <v>135</v>
      </c>
      <c r="B778" s="42">
        <v>146275</v>
      </c>
      <c r="C778" s="42">
        <v>20</v>
      </c>
      <c r="D778" s="42" t="s">
        <v>11</v>
      </c>
      <c r="E778" s="42">
        <v>1471</v>
      </c>
      <c r="F778" s="42">
        <v>2329602</v>
      </c>
      <c r="G778" s="42" t="s">
        <v>136</v>
      </c>
      <c r="H778" s="42">
        <v>310</v>
      </c>
      <c r="I778" s="42">
        <v>16</v>
      </c>
      <c r="J778" s="52">
        <v>9.0277777777777787E-3</v>
      </c>
    </row>
    <row r="779" spans="1:10" s="42" customFormat="1" ht="15" x14ac:dyDescent="0.25">
      <c r="A779" s="42" t="s">
        <v>135</v>
      </c>
      <c r="B779" s="42">
        <v>146275</v>
      </c>
      <c r="C779" s="42">
        <v>21</v>
      </c>
      <c r="D779" s="42" t="s">
        <v>11</v>
      </c>
      <c r="E779" s="42">
        <v>1471</v>
      </c>
      <c r="F779" s="42">
        <v>2329602</v>
      </c>
      <c r="G779" s="42" t="s">
        <v>136</v>
      </c>
      <c r="H779" s="42">
        <v>323</v>
      </c>
      <c r="I779" s="42">
        <v>8</v>
      </c>
      <c r="J779" s="52">
        <v>4.1666666666666666E-3</v>
      </c>
    </row>
    <row r="780" spans="1:10" s="42" customFormat="1" ht="15" x14ac:dyDescent="0.25">
      <c r="A780" s="42" t="s">
        <v>135</v>
      </c>
      <c r="B780" s="42">
        <v>146275</v>
      </c>
      <c r="C780" s="42">
        <v>22</v>
      </c>
      <c r="D780" s="42" t="s">
        <v>11</v>
      </c>
      <c r="E780" s="42">
        <v>1471</v>
      </c>
      <c r="F780" s="42">
        <v>2329602</v>
      </c>
      <c r="G780" s="42" t="s">
        <v>136</v>
      </c>
      <c r="H780" s="42">
        <v>340</v>
      </c>
      <c r="I780" s="42">
        <v>8</v>
      </c>
      <c r="J780" s="52">
        <v>4.1666666666666666E-3</v>
      </c>
    </row>
    <row r="781" spans="1:10" s="42" customFormat="1" ht="15" x14ac:dyDescent="0.25">
      <c r="A781" s="42" t="s">
        <v>137</v>
      </c>
      <c r="B781" s="42">
        <v>146504</v>
      </c>
      <c r="C781" s="42">
        <v>34</v>
      </c>
      <c r="D781" s="42" t="s">
        <v>11</v>
      </c>
      <c r="E781" s="42">
        <v>1003</v>
      </c>
      <c r="F781" s="42">
        <v>1914904</v>
      </c>
      <c r="G781" s="42" t="s">
        <v>131</v>
      </c>
      <c r="H781" s="42">
        <v>334</v>
      </c>
      <c r="I781" s="42">
        <v>20</v>
      </c>
      <c r="J781" s="52">
        <v>1.1111111111111112E-2</v>
      </c>
    </row>
    <row r="782" spans="1:10" s="42" customFormat="1" ht="15" x14ac:dyDescent="0.25">
      <c r="A782" s="42" t="s">
        <v>137</v>
      </c>
      <c r="B782" s="42">
        <v>146505</v>
      </c>
      <c r="C782" s="42">
        <v>34</v>
      </c>
      <c r="D782" s="42" t="s">
        <v>11</v>
      </c>
      <c r="E782" s="42">
        <v>1255</v>
      </c>
      <c r="F782" s="42">
        <v>1914904</v>
      </c>
      <c r="G782" s="42" t="s">
        <v>131</v>
      </c>
      <c r="H782" s="42">
        <v>334</v>
      </c>
      <c r="I782" s="42">
        <v>98</v>
      </c>
      <c r="J782" s="52">
        <v>5.486111111111111E-2</v>
      </c>
    </row>
    <row r="783" spans="1:10" s="42" customFormat="1" ht="15" x14ac:dyDescent="0.25">
      <c r="A783" s="42" t="s">
        <v>137</v>
      </c>
      <c r="B783" s="42">
        <v>146506</v>
      </c>
      <c r="C783" s="42">
        <v>34</v>
      </c>
      <c r="D783" s="42" t="s">
        <v>11</v>
      </c>
      <c r="E783" s="42">
        <v>1664</v>
      </c>
      <c r="F783" s="42">
        <v>1914904</v>
      </c>
      <c r="G783" s="42" t="s">
        <v>131</v>
      </c>
      <c r="H783" s="42">
        <v>334</v>
      </c>
      <c r="I783" s="42">
        <v>106</v>
      </c>
      <c r="J783" s="52">
        <v>5.9722222222222225E-2</v>
      </c>
    </row>
    <row r="784" spans="1:10" s="42" customFormat="1" ht="15" x14ac:dyDescent="0.25">
      <c r="A784" s="42" t="s">
        <v>137</v>
      </c>
      <c r="B784" s="42">
        <v>146507</v>
      </c>
      <c r="C784" s="42">
        <v>34</v>
      </c>
      <c r="D784" s="42" t="s">
        <v>11</v>
      </c>
      <c r="E784" s="42">
        <v>1276</v>
      </c>
      <c r="F784" s="42">
        <v>1914904</v>
      </c>
      <c r="G784" s="42" t="s">
        <v>131</v>
      </c>
      <c r="H784" s="42">
        <v>334</v>
      </c>
      <c r="I784" s="42">
        <v>26</v>
      </c>
      <c r="J784" s="52">
        <v>1.4583333333333332E-2</v>
      </c>
    </row>
    <row r="785" spans="1:10" s="42" customFormat="1" ht="15" x14ac:dyDescent="0.25">
      <c r="A785" s="42" t="s">
        <v>137</v>
      </c>
      <c r="B785" s="42">
        <v>146508</v>
      </c>
      <c r="C785" s="42">
        <v>34</v>
      </c>
      <c r="D785" s="42" t="s">
        <v>11</v>
      </c>
      <c r="E785" s="42">
        <v>1003</v>
      </c>
      <c r="F785" s="42">
        <v>1914904</v>
      </c>
      <c r="G785" s="42" t="s">
        <v>131</v>
      </c>
      <c r="H785" s="42">
        <v>334</v>
      </c>
      <c r="I785" s="42">
        <v>74</v>
      </c>
      <c r="J785" s="52">
        <v>4.1666666666666664E-2</v>
      </c>
    </row>
    <row r="786" spans="1:10" s="42" customFormat="1" ht="15" x14ac:dyDescent="0.25">
      <c r="A786" s="42" t="s">
        <v>138</v>
      </c>
      <c r="B786" s="42">
        <v>136501</v>
      </c>
      <c r="C786" s="42">
        <v>16</v>
      </c>
      <c r="D786" s="42" t="s">
        <v>11</v>
      </c>
      <c r="E786" s="42">
        <v>1682</v>
      </c>
      <c r="F786" s="42">
        <v>1240602</v>
      </c>
      <c r="G786" s="42" t="s">
        <v>26</v>
      </c>
      <c r="H786" s="42">
        <v>201</v>
      </c>
      <c r="I786" s="42">
        <v>200</v>
      </c>
      <c r="J786" s="52">
        <v>8.6111111111111124E-2</v>
      </c>
    </row>
    <row r="787" spans="1:10" s="42" customFormat="1" ht="15" x14ac:dyDescent="0.25">
      <c r="A787" s="42" t="s">
        <v>138</v>
      </c>
      <c r="B787" s="42">
        <v>136501</v>
      </c>
      <c r="C787" s="42">
        <v>16</v>
      </c>
      <c r="D787" s="42" t="s">
        <v>11</v>
      </c>
      <c r="E787" s="42">
        <v>1682</v>
      </c>
      <c r="F787" s="42">
        <v>1240602</v>
      </c>
      <c r="G787" s="42" t="s">
        <v>26</v>
      </c>
      <c r="H787" s="42">
        <v>234</v>
      </c>
      <c r="I787" s="42">
        <v>200</v>
      </c>
      <c r="J787" s="52">
        <v>0</v>
      </c>
    </row>
    <row r="788" spans="1:10" s="42" customFormat="1" ht="15" x14ac:dyDescent="0.25">
      <c r="A788" s="42" t="s">
        <v>138</v>
      </c>
      <c r="B788" s="42">
        <v>136501</v>
      </c>
      <c r="C788" s="42">
        <v>17</v>
      </c>
      <c r="D788" s="42" t="s">
        <v>11</v>
      </c>
      <c r="E788" s="42">
        <v>1682</v>
      </c>
      <c r="F788" s="42">
        <v>1240602</v>
      </c>
      <c r="G788" s="42" t="s">
        <v>26</v>
      </c>
      <c r="H788" s="42">
        <v>220</v>
      </c>
      <c r="I788" s="42">
        <v>200</v>
      </c>
      <c r="J788" s="52">
        <v>8.6111111111111124E-2</v>
      </c>
    </row>
    <row r="789" spans="1:10" s="42" customFormat="1" ht="15" x14ac:dyDescent="0.25">
      <c r="A789" s="42" t="s">
        <v>138</v>
      </c>
      <c r="B789" s="42">
        <v>136501</v>
      </c>
      <c r="C789" s="42">
        <v>17</v>
      </c>
      <c r="D789" s="42" t="s">
        <v>11</v>
      </c>
      <c r="E789" s="42">
        <v>1682</v>
      </c>
      <c r="F789" s="42">
        <v>1240602</v>
      </c>
      <c r="G789" s="42" t="s">
        <v>26</v>
      </c>
      <c r="H789" s="42">
        <v>250</v>
      </c>
      <c r="I789" s="42">
        <v>200</v>
      </c>
      <c r="J789" s="52">
        <v>0</v>
      </c>
    </row>
    <row r="790" spans="1:10" s="42" customFormat="1" ht="15" x14ac:dyDescent="0.25">
      <c r="A790" s="42" t="s">
        <v>138</v>
      </c>
      <c r="B790" s="42">
        <v>136513</v>
      </c>
      <c r="C790" s="42">
        <v>16</v>
      </c>
      <c r="D790" s="42" t="s">
        <v>11</v>
      </c>
      <c r="E790" s="42">
        <v>1039</v>
      </c>
      <c r="F790" s="42">
        <v>1240602</v>
      </c>
      <c r="G790" s="42" t="s">
        <v>26</v>
      </c>
      <c r="H790" s="42">
        <v>201</v>
      </c>
      <c r="I790" s="42">
        <v>200</v>
      </c>
      <c r="J790" s="52">
        <v>8.6111111111111124E-2</v>
      </c>
    </row>
    <row r="791" spans="1:10" s="42" customFormat="1" ht="15" x14ac:dyDescent="0.25">
      <c r="A791" s="42" t="s">
        <v>138</v>
      </c>
      <c r="B791" s="42">
        <v>136513</v>
      </c>
      <c r="C791" s="42">
        <v>16</v>
      </c>
      <c r="D791" s="42" t="s">
        <v>11</v>
      </c>
      <c r="E791" s="42">
        <v>1039</v>
      </c>
      <c r="F791" s="42">
        <v>1240602</v>
      </c>
      <c r="G791" s="42" t="s">
        <v>26</v>
      </c>
      <c r="H791" s="42">
        <v>234</v>
      </c>
      <c r="I791" s="42">
        <v>200</v>
      </c>
      <c r="J791" s="52">
        <v>0</v>
      </c>
    </row>
    <row r="792" spans="1:10" s="42" customFormat="1" ht="15" x14ac:dyDescent="0.25">
      <c r="A792" s="42" t="s">
        <v>138</v>
      </c>
      <c r="B792" s="42">
        <v>136513</v>
      </c>
      <c r="C792" s="42">
        <v>17</v>
      </c>
      <c r="D792" s="42" t="s">
        <v>11</v>
      </c>
      <c r="E792" s="42">
        <v>1039</v>
      </c>
      <c r="F792" s="42">
        <v>1240602</v>
      </c>
      <c r="G792" s="42" t="s">
        <v>26</v>
      </c>
      <c r="H792" s="42">
        <v>220</v>
      </c>
      <c r="I792" s="42">
        <v>200</v>
      </c>
      <c r="J792" s="52">
        <v>8.6111111111111124E-2</v>
      </c>
    </row>
    <row r="793" spans="1:10" s="42" customFormat="1" ht="15" x14ac:dyDescent="0.25">
      <c r="A793" s="42" t="s">
        <v>138</v>
      </c>
      <c r="B793" s="42">
        <v>136513</v>
      </c>
      <c r="C793" s="42">
        <v>17</v>
      </c>
      <c r="D793" s="42" t="s">
        <v>11</v>
      </c>
      <c r="E793" s="42">
        <v>1039</v>
      </c>
      <c r="F793" s="42">
        <v>1240602</v>
      </c>
      <c r="G793" s="42" t="s">
        <v>26</v>
      </c>
      <c r="H793" s="42">
        <v>250</v>
      </c>
      <c r="I793" s="42">
        <v>200</v>
      </c>
      <c r="J793" s="52">
        <v>0</v>
      </c>
    </row>
    <row r="794" spans="1:10" s="42" customFormat="1" ht="15" x14ac:dyDescent="0.25">
      <c r="A794" s="42" t="s">
        <v>138</v>
      </c>
      <c r="B794" s="42">
        <v>136520</v>
      </c>
      <c r="C794" s="42">
        <v>16</v>
      </c>
      <c r="D794" s="42" t="s">
        <v>11</v>
      </c>
      <c r="E794" s="42">
        <v>16575</v>
      </c>
      <c r="F794" s="42">
        <v>1240602</v>
      </c>
      <c r="G794" s="42" t="s">
        <v>26</v>
      </c>
      <c r="H794" s="42">
        <v>201</v>
      </c>
      <c r="I794" s="42">
        <v>100</v>
      </c>
      <c r="J794" s="52">
        <v>4.3055555555555562E-2</v>
      </c>
    </row>
    <row r="795" spans="1:10" s="42" customFormat="1" ht="15" x14ac:dyDescent="0.25">
      <c r="A795" s="42" t="s">
        <v>138</v>
      </c>
      <c r="B795" s="42">
        <v>136520</v>
      </c>
      <c r="C795" s="42">
        <v>16</v>
      </c>
      <c r="D795" s="42" t="s">
        <v>11</v>
      </c>
      <c r="E795" s="42">
        <v>16575</v>
      </c>
      <c r="F795" s="42">
        <v>1240602</v>
      </c>
      <c r="G795" s="42" t="s">
        <v>26</v>
      </c>
      <c r="H795" s="42">
        <v>234</v>
      </c>
      <c r="I795" s="42">
        <v>100</v>
      </c>
      <c r="J795" s="52">
        <v>0</v>
      </c>
    </row>
    <row r="796" spans="1:10" s="42" customFormat="1" ht="15" x14ac:dyDescent="0.25">
      <c r="A796" s="42" t="s">
        <v>138</v>
      </c>
      <c r="B796" s="42">
        <v>136524</v>
      </c>
      <c r="C796" s="42">
        <v>15</v>
      </c>
      <c r="D796" s="42" t="s">
        <v>11</v>
      </c>
      <c r="E796" s="42">
        <v>1432</v>
      </c>
      <c r="F796" s="42">
        <v>1240602</v>
      </c>
      <c r="G796" s="42" t="s">
        <v>26</v>
      </c>
      <c r="H796" s="42">
        <v>220</v>
      </c>
      <c r="I796" s="42">
        <v>60</v>
      </c>
      <c r="J796" s="52">
        <v>2.5694444444444447E-2</v>
      </c>
    </row>
    <row r="797" spans="1:10" s="42" customFormat="1" ht="15" x14ac:dyDescent="0.25">
      <c r="A797" s="42" t="s">
        <v>138</v>
      </c>
      <c r="B797" s="42">
        <v>136524</v>
      </c>
      <c r="C797" s="42">
        <v>15</v>
      </c>
      <c r="D797" s="42" t="s">
        <v>11</v>
      </c>
      <c r="E797" s="42">
        <v>1432</v>
      </c>
      <c r="F797" s="42">
        <v>1240602</v>
      </c>
      <c r="G797" s="42" t="s">
        <v>26</v>
      </c>
      <c r="H797" s="42">
        <v>250</v>
      </c>
      <c r="I797" s="42">
        <v>60</v>
      </c>
      <c r="J797" s="52">
        <v>0</v>
      </c>
    </row>
    <row r="798" spans="1:10" s="42" customFormat="1" ht="15" x14ac:dyDescent="0.25">
      <c r="A798" s="42" t="s">
        <v>138</v>
      </c>
      <c r="B798" s="42">
        <v>136578</v>
      </c>
      <c r="C798" s="42">
        <v>20</v>
      </c>
      <c r="D798" s="42" t="s">
        <v>11</v>
      </c>
      <c r="E798" s="42">
        <v>1039</v>
      </c>
      <c r="F798" s="42">
        <v>1246202</v>
      </c>
      <c r="G798" s="42" t="s">
        <v>124</v>
      </c>
      <c r="H798" s="42">
        <v>280</v>
      </c>
      <c r="I798" s="42">
        <v>100</v>
      </c>
      <c r="J798" s="52">
        <v>4.5833333333333337E-2</v>
      </c>
    </row>
    <row r="799" spans="1:10" s="42" customFormat="1" ht="15" x14ac:dyDescent="0.25">
      <c r="A799" s="42" t="s">
        <v>138</v>
      </c>
      <c r="B799" s="42">
        <v>136602</v>
      </c>
      <c r="C799" s="42">
        <v>20</v>
      </c>
      <c r="D799" s="42" t="s">
        <v>11</v>
      </c>
      <c r="E799" s="42">
        <v>1003</v>
      </c>
      <c r="F799" s="42">
        <v>1246202</v>
      </c>
      <c r="G799" s="42" t="s">
        <v>124</v>
      </c>
      <c r="H799" s="42">
        <v>280</v>
      </c>
      <c r="I799" s="42">
        <v>90</v>
      </c>
      <c r="J799" s="52">
        <v>4.0972222222222222E-2</v>
      </c>
    </row>
    <row r="800" spans="1:10" s="42" customFormat="1" ht="15" x14ac:dyDescent="0.25">
      <c r="A800" s="42" t="s">
        <v>138</v>
      </c>
      <c r="B800" s="42">
        <v>136614</v>
      </c>
      <c r="C800" s="42">
        <v>20</v>
      </c>
      <c r="D800" s="42" t="s">
        <v>11</v>
      </c>
      <c r="E800" s="42">
        <v>1003</v>
      </c>
      <c r="F800" s="42">
        <v>1246202</v>
      </c>
      <c r="G800" s="42" t="s">
        <v>124</v>
      </c>
      <c r="H800" s="42">
        <v>280</v>
      </c>
      <c r="I800" s="42">
        <v>100</v>
      </c>
      <c r="J800" s="52">
        <v>4.5833333333333337E-2</v>
      </c>
    </row>
    <row r="801" spans="1:10" s="42" customFormat="1" ht="15" x14ac:dyDescent="0.25">
      <c r="A801" s="42" t="s">
        <v>138</v>
      </c>
      <c r="B801" s="42">
        <v>145867</v>
      </c>
      <c r="C801" s="42">
        <v>40</v>
      </c>
      <c r="D801" s="42" t="s">
        <v>11</v>
      </c>
      <c r="E801" s="42">
        <v>1039</v>
      </c>
      <c r="F801" s="42">
        <v>1245202</v>
      </c>
      <c r="G801" s="42" t="s">
        <v>61</v>
      </c>
      <c r="H801" s="42">
        <v>378</v>
      </c>
      <c r="I801" s="42">
        <v>60</v>
      </c>
      <c r="J801" s="52">
        <v>2.6388888888888889E-2</v>
      </c>
    </row>
    <row r="802" spans="1:10" s="42" customFormat="1" ht="15" x14ac:dyDescent="0.25">
      <c r="A802" s="42" t="s">
        <v>138</v>
      </c>
      <c r="B802" s="42">
        <v>145867</v>
      </c>
      <c r="C802" s="42">
        <v>40</v>
      </c>
      <c r="D802" s="42" t="s">
        <v>11</v>
      </c>
      <c r="E802" s="42">
        <v>1039</v>
      </c>
      <c r="F802" s="42">
        <v>1245202</v>
      </c>
      <c r="G802" s="42" t="s">
        <v>61</v>
      </c>
      <c r="H802" s="42">
        <v>434</v>
      </c>
      <c r="I802" s="42">
        <v>30</v>
      </c>
      <c r="J802" s="52">
        <v>0</v>
      </c>
    </row>
    <row r="803" spans="1:10" s="42" customFormat="1" ht="15" x14ac:dyDescent="0.25">
      <c r="A803" s="42" t="s">
        <v>138</v>
      </c>
      <c r="B803" s="42">
        <v>145867</v>
      </c>
      <c r="C803" s="42">
        <v>41</v>
      </c>
      <c r="D803" s="42" t="s">
        <v>11</v>
      </c>
      <c r="E803" s="42">
        <v>1039</v>
      </c>
      <c r="F803" s="42">
        <v>1245202</v>
      </c>
      <c r="G803" s="42" t="s">
        <v>61</v>
      </c>
      <c r="H803" s="42">
        <v>394</v>
      </c>
      <c r="I803" s="42">
        <v>30</v>
      </c>
      <c r="J803" s="52">
        <v>0</v>
      </c>
    </row>
    <row r="804" spans="1:10" s="42" customFormat="1" ht="15" x14ac:dyDescent="0.25">
      <c r="A804" s="42" t="s">
        <v>138</v>
      </c>
      <c r="B804" s="42">
        <v>145867</v>
      </c>
      <c r="C804" s="42">
        <v>41</v>
      </c>
      <c r="D804" s="42" t="s">
        <v>11</v>
      </c>
      <c r="E804" s="42">
        <v>1039</v>
      </c>
      <c r="F804" s="42">
        <v>1245202</v>
      </c>
      <c r="G804" s="42" t="s">
        <v>61</v>
      </c>
      <c r="H804" s="42">
        <v>412</v>
      </c>
      <c r="I804" s="42">
        <v>90</v>
      </c>
      <c r="J804" s="52">
        <v>3.9583333333333331E-2</v>
      </c>
    </row>
    <row r="805" spans="1:10" s="42" customFormat="1" ht="15" x14ac:dyDescent="0.25">
      <c r="A805" s="42" t="s">
        <v>138</v>
      </c>
      <c r="B805" s="42">
        <v>145867</v>
      </c>
      <c r="C805" s="42">
        <v>68</v>
      </c>
      <c r="D805" s="42" t="s">
        <v>11</v>
      </c>
      <c r="E805" s="42">
        <v>1039</v>
      </c>
      <c r="F805" s="42">
        <v>1245222</v>
      </c>
      <c r="G805" s="42" t="s">
        <v>61</v>
      </c>
      <c r="H805" s="42">
        <v>394</v>
      </c>
      <c r="I805" s="42">
        <v>60</v>
      </c>
      <c r="J805" s="52">
        <v>0</v>
      </c>
    </row>
    <row r="806" spans="1:10" s="42" customFormat="1" ht="15" x14ac:dyDescent="0.25">
      <c r="A806" s="42" t="s">
        <v>138</v>
      </c>
      <c r="B806" s="42">
        <v>145867</v>
      </c>
      <c r="C806" s="42">
        <v>68</v>
      </c>
      <c r="D806" s="42" t="s">
        <v>11</v>
      </c>
      <c r="E806" s="42">
        <v>1039</v>
      </c>
      <c r="F806" s="42">
        <v>1245222</v>
      </c>
      <c r="G806" s="42" t="s">
        <v>61</v>
      </c>
      <c r="H806" s="42">
        <v>412</v>
      </c>
      <c r="I806" s="42">
        <v>90</v>
      </c>
      <c r="J806" s="52">
        <v>3.9583333333333331E-2</v>
      </c>
    </row>
    <row r="807" spans="1:10" s="42" customFormat="1" ht="15" x14ac:dyDescent="0.25">
      <c r="A807" s="42" t="s">
        <v>138</v>
      </c>
      <c r="B807" s="42">
        <v>145875</v>
      </c>
      <c r="C807" s="42">
        <v>34</v>
      </c>
      <c r="D807" s="42" t="s">
        <v>11</v>
      </c>
      <c r="E807" s="42">
        <v>1682</v>
      </c>
      <c r="F807" s="42">
        <v>1245202</v>
      </c>
      <c r="G807" s="42" t="s">
        <v>61</v>
      </c>
      <c r="H807" s="42">
        <v>378</v>
      </c>
      <c r="I807" s="42">
        <v>40</v>
      </c>
      <c r="J807" s="52">
        <v>1.7361111111111112E-2</v>
      </c>
    </row>
    <row r="808" spans="1:10" s="42" customFormat="1" ht="15" x14ac:dyDescent="0.25">
      <c r="A808" s="42" t="s">
        <v>138</v>
      </c>
      <c r="B808" s="42">
        <v>145875</v>
      </c>
      <c r="C808" s="42">
        <v>34</v>
      </c>
      <c r="D808" s="42" t="s">
        <v>11</v>
      </c>
      <c r="E808" s="42">
        <v>1682</v>
      </c>
      <c r="F808" s="42">
        <v>1245202</v>
      </c>
      <c r="G808" s="42" t="s">
        <v>61</v>
      </c>
      <c r="H808" s="42">
        <v>434</v>
      </c>
      <c r="I808" s="42">
        <v>20</v>
      </c>
      <c r="J808" s="52">
        <v>0</v>
      </c>
    </row>
    <row r="809" spans="1:10" s="42" customFormat="1" ht="15" x14ac:dyDescent="0.25">
      <c r="A809" s="42" t="s">
        <v>138</v>
      </c>
      <c r="B809" s="42">
        <v>145875</v>
      </c>
      <c r="C809" s="42">
        <v>35</v>
      </c>
      <c r="D809" s="42" t="s">
        <v>11</v>
      </c>
      <c r="E809" s="42">
        <v>1682</v>
      </c>
      <c r="F809" s="42">
        <v>1245202</v>
      </c>
      <c r="G809" s="42" t="s">
        <v>61</v>
      </c>
      <c r="H809" s="42">
        <v>394</v>
      </c>
      <c r="I809" s="42">
        <v>60</v>
      </c>
      <c r="J809" s="52">
        <v>2.6388888888888889E-2</v>
      </c>
    </row>
    <row r="810" spans="1:10" s="42" customFormat="1" ht="15" x14ac:dyDescent="0.25">
      <c r="A810" s="42" t="s">
        <v>138</v>
      </c>
      <c r="B810" s="42">
        <v>145875</v>
      </c>
      <c r="C810" s="42">
        <v>35</v>
      </c>
      <c r="D810" s="42" t="s">
        <v>11</v>
      </c>
      <c r="E810" s="42">
        <v>1682</v>
      </c>
      <c r="F810" s="42">
        <v>1245202</v>
      </c>
      <c r="G810" s="42" t="s">
        <v>61</v>
      </c>
      <c r="H810" s="42">
        <v>412</v>
      </c>
      <c r="I810" s="42">
        <v>60</v>
      </c>
      <c r="J810" s="52">
        <v>0</v>
      </c>
    </row>
    <row r="811" spans="1:10" s="42" customFormat="1" ht="15" x14ac:dyDescent="0.25">
      <c r="A811" s="42" t="s">
        <v>138</v>
      </c>
      <c r="B811" s="42">
        <v>145875</v>
      </c>
      <c r="C811" s="42">
        <v>59</v>
      </c>
      <c r="D811" s="42" t="s">
        <v>11</v>
      </c>
      <c r="E811" s="42">
        <v>1682</v>
      </c>
      <c r="F811" s="42">
        <v>1245222</v>
      </c>
      <c r="G811" s="42" t="s">
        <v>61</v>
      </c>
      <c r="H811" s="42">
        <v>394</v>
      </c>
      <c r="I811" s="42">
        <v>60</v>
      </c>
      <c r="J811" s="52">
        <v>2.6388888888888889E-2</v>
      </c>
    </row>
    <row r="812" spans="1:10" s="42" customFormat="1" ht="15" x14ac:dyDescent="0.25">
      <c r="A812" s="42" t="s">
        <v>138</v>
      </c>
      <c r="B812" s="42">
        <v>145881</v>
      </c>
      <c r="C812" s="42">
        <v>34</v>
      </c>
      <c r="D812" s="42" t="s">
        <v>11</v>
      </c>
      <c r="E812" s="42">
        <v>1682</v>
      </c>
      <c r="F812" s="42">
        <v>1245202</v>
      </c>
      <c r="G812" s="42" t="s">
        <v>61</v>
      </c>
      <c r="H812" s="42">
        <v>378</v>
      </c>
      <c r="I812" s="42">
        <v>60</v>
      </c>
      <c r="J812" s="52">
        <v>2.6388888888888889E-2</v>
      </c>
    </row>
    <row r="813" spans="1:10" s="42" customFormat="1" ht="15" x14ac:dyDescent="0.25">
      <c r="A813" s="42" t="s">
        <v>138</v>
      </c>
      <c r="B813" s="42">
        <v>145881</v>
      </c>
      <c r="C813" s="42">
        <v>35</v>
      </c>
      <c r="D813" s="42" t="s">
        <v>11</v>
      </c>
      <c r="E813" s="42">
        <v>1682</v>
      </c>
      <c r="F813" s="42">
        <v>1245202</v>
      </c>
      <c r="G813" s="42" t="s">
        <v>61</v>
      </c>
      <c r="H813" s="42">
        <v>394</v>
      </c>
      <c r="I813" s="42">
        <v>90</v>
      </c>
      <c r="J813" s="52">
        <v>3.9583333333333331E-2</v>
      </c>
    </row>
    <row r="814" spans="1:10" s="42" customFormat="1" ht="15" x14ac:dyDescent="0.25">
      <c r="A814" s="42" t="s">
        <v>138</v>
      </c>
      <c r="B814" s="42">
        <v>145881</v>
      </c>
      <c r="C814" s="42">
        <v>35</v>
      </c>
      <c r="D814" s="42" t="s">
        <v>11</v>
      </c>
      <c r="E814" s="42">
        <v>1682</v>
      </c>
      <c r="F814" s="42">
        <v>1245202</v>
      </c>
      <c r="G814" s="42" t="s">
        <v>61</v>
      </c>
      <c r="H814" s="42">
        <v>412</v>
      </c>
      <c r="I814" s="42">
        <v>90</v>
      </c>
      <c r="J814" s="52">
        <v>0</v>
      </c>
    </row>
    <row r="815" spans="1:10" s="42" customFormat="1" ht="15" x14ac:dyDescent="0.25">
      <c r="A815" s="42" t="s">
        <v>138</v>
      </c>
      <c r="B815" s="42">
        <v>145881</v>
      </c>
      <c r="C815" s="42">
        <v>57</v>
      </c>
      <c r="D815" s="42" t="s">
        <v>11</v>
      </c>
      <c r="E815" s="42">
        <v>1682</v>
      </c>
      <c r="F815" s="42">
        <v>1245222</v>
      </c>
      <c r="G815" s="42" t="s">
        <v>61</v>
      </c>
      <c r="H815" s="42">
        <v>394</v>
      </c>
      <c r="I815" s="42">
        <v>90</v>
      </c>
      <c r="J815" s="52">
        <v>3.9583333333333331E-2</v>
      </c>
    </row>
    <row r="816" spans="1:10" s="42" customFormat="1" ht="15" x14ac:dyDescent="0.25">
      <c r="A816" s="42" t="s">
        <v>138</v>
      </c>
      <c r="B816" s="42">
        <v>145881</v>
      </c>
      <c r="C816" s="42">
        <v>57</v>
      </c>
      <c r="D816" s="42" t="s">
        <v>11</v>
      </c>
      <c r="E816" s="42">
        <v>1682</v>
      </c>
      <c r="F816" s="42">
        <v>1245222</v>
      </c>
      <c r="G816" s="42" t="s">
        <v>61</v>
      </c>
      <c r="H816" s="42">
        <v>412</v>
      </c>
      <c r="I816" s="42">
        <v>30</v>
      </c>
      <c r="J816" s="52">
        <v>0</v>
      </c>
    </row>
    <row r="817" spans="1:10" s="42" customFormat="1" ht="15" x14ac:dyDescent="0.25">
      <c r="A817" s="42" t="s">
        <v>138</v>
      </c>
      <c r="B817" s="42">
        <v>145884</v>
      </c>
      <c r="C817" s="42">
        <v>34</v>
      </c>
      <c r="D817" s="42" t="s">
        <v>11</v>
      </c>
      <c r="E817" s="42">
        <v>1003</v>
      </c>
      <c r="F817" s="42">
        <v>1245202</v>
      </c>
      <c r="G817" s="42" t="s">
        <v>61</v>
      </c>
      <c r="H817" s="42">
        <v>378</v>
      </c>
      <c r="I817" s="42">
        <v>60</v>
      </c>
      <c r="J817" s="52">
        <v>2.6388888888888889E-2</v>
      </c>
    </row>
    <row r="818" spans="1:10" s="42" customFormat="1" ht="15" x14ac:dyDescent="0.25">
      <c r="A818" s="42" t="s">
        <v>138</v>
      </c>
      <c r="B818" s="42">
        <v>145884</v>
      </c>
      <c r="C818" s="42">
        <v>35</v>
      </c>
      <c r="D818" s="42" t="s">
        <v>11</v>
      </c>
      <c r="E818" s="42">
        <v>1003</v>
      </c>
      <c r="F818" s="42">
        <v>1245202</v>
      </c>
      <c r="G818" s="42" t="s">
        <v>61</v>
      </c>
      <c r="H818" s="42">
        <v>394</v>
      </c>
      <c r="I818" s="42">
        <v>90</v>
      </c>
      <c r="J818" s="52">
        <v>3.9583333333333331E-2</v>
      </c>
    </row>
    <row r="819" spans="1:10" s="42" customFormat="1" ht="15" x14ac:dyDescent="0.25">
      <c r="A819" s="42" t="s">
        <v>138</v>
      </c>
      <c r="B819" s="42">
        <v>145884</v>
      </c>
      <c r="C819" s="42">
        <v>35</v>
      </c>
      <c r="D819" s="42" t="s">
        <v>11</v>
      </c>
      <c r="E819" s="42">
        <v>1003</v>
      </c>
      <c r="F819" s="42">
        <v>1245202</v>
      </c>
      <c r="G819" s="42" t="s">
        <v>61</v>
      </c>
      <c r="H819" s="42">
        <v>412</v>
      </c>
      <c r="I819" s="42">
        <v>60</v>
      </c>
      <c r="J819" s="52">
        <v>0</v>
      </c>
    </row>
    <row r="820" spans="1:10" s="42" customFormat="1" ht="15" x14ac:dyDescent="0.25">
      <c r="A820" s="42" t="s">
        <v>138</v>
      </c>
      <c r="B820" s="42">
        <v>145884</v>
      </c>
      <c r="C820" s="42">
        <v>57</v>
      </c>
      <c r="D820" s="42" t="s">
        <v>11</v>
      </c>
      <c r="E820" s="42">
        <v>1003</v>
      </c>
      <c r="F820" s="42">
        <v>1245222</v>
      </c>
      <c r="G820" s="42" t="s">
        <v>61</v>
      </c>
      <c r="H820" s="42">
        <v>394</v>
      </c>
      <c r="I820" s="42">
        <v>90</v>
      </c>
      <c r="J820" s="52">
        <v>3.9583333333333331E-2</v>
      </c>
    </row>
    <row r="821" spans="1:10" s="42" customFormat="1" ht="15" x14ac:dyDescent="0.25">
      <c r="A821" s="42" t="s">
        <v>138</v>
      </c>
      <c r="B821" s="42">
        <v>145884</v>
      </c>
      <c r="C821" s="42">
        <v>57</v>
      </c>
      <c r="D821" s="42" t="s">
        <v>11</v>
      </c>
      <c r="E821" s="42">
        <v>1003</v>
      </c>
      <c r="F821" s="42">
        <v>1245222</v>
      </c>
      <c r="G821" s="42" t="s">
        <v>61</v>
      </c>
      <c r="H821" s="42">
        <v>412</v>
      </c>
      <c r="I821" s="42">
        <v>60</v>
      </c>
      <c r="J821" s="52">
        <v>0</v>
      </c>
    </row>
    <row r="822" spans="1:10" s="42" customFormat="1" ht="15" x14ac:dyDescent="0.25">
      <c r="A822" s="42" t="s">
        <v>138</v>
      </c>
      <c r="B822" s="42">
        <v>146502</v>
      </c>
      <c r="C822" s="42">
        <v>21</v>
      </c>
      <c r="D822" s="42" t="s">
        <v>11</v>
      </c>
      <c r="E822" s="42">
        <v>1003</v>
      </c>
      <c r="F822" s="42">
        <v>1906902</v>
      </c>
      <c r="G822" s="42" t="s">
        <v>66</v>
      </c>
      <c r="H822" s="42">
        <v>380</v>
      </c>
      <c r="I822" s="42">
        <v>168</v>
      </c>
      <c r="J822" s="52">
        <v>8.6111111111111124E-2</v>
      </c>
    </row>
    <row r="823" spans="1:10" s="42" customFormat="1" ht="15" x14ac:dyDescent="0.25">
      <c r="A823" s="42" t="s">
        <v>139</v>
      </c>
      <c r="B823" s="42">
        <v>146504</v>
      </c>
      <c r="C823" s="42">
        <v>36</v>
      </c>
      <c r="D823" s="42" t="s">
        <v>11</v>
      </c>
      <c r="E823" s="42">
        <v>1003</v>
      </c>
      <c r="F823" s="42">
        <v>1914904</v>
      </c>
      <c r="G823" s="42" t="s">
        <v>131</v>
      </c>
      <c r="H823" s="42">
        <v>360</v>
      </c>
      <c r="I823" s="42">
        <v>76</v>
      </c>
      <c r="J823" s="52">
        <v>4.3055555555555562E-2</v>
      </c>
    </row>
    <row r="824" spans="1:10" s="42" customFormat="1" ht="15" x14ac:dyDescent="0.25">
      <c r="A824" s="42" t="s">
        <v>139</v>
      </c>
      <c r="B824" s="42">
        <v>146504</v>
      </c>
      <c r="C824" s="42">
        <v>37</v>
      </c>
      <c r="D824" s="42" t="s">
        <v>11</v>
      </c>
      <c r="E824" s="42">
        <v>1003</v>
      </c>
      <c r="F824" s="42">
        <v>1914904</v>
      </c>
      <c r="G824" s="42" t="s">
        <v>131</v>
      </c>
      <c r="H824" s="42">
        <v>370</v>
      </c>
      <c r="I824" s="42">
        <v>102</v>
      </c>
      <c r="J824" s="52">
        <v>5.8333333333333327E-2</v>
      </c>
    </row>
    <row r="825" spans="1:10" s="42" customFormat="1" ht="15" x14ac:dyDescent="0.25">
      <c r="A825" s="42" t="s">
        <v>139</v>
      </c>
      <c r="B825" s="42">
        <v>146505</v>
      </c>
      <c r="C825" s="42">
        <v>37</v>
      </c>
      <c r="D825" s="42" t="s">
        <v>11</v>
      </c>
      <c r="E825" s="42">
        <v>1255</v>
      </c>
      <c r="F825" s="42">
        <v>1914904</v>
      </c>
      <c r="G825" s="42" t="s">
        <v>131</v>
      </c>
      <c r="H825" s="42">
        <v>370</v>
      </c>
      <c r="I825" s="42">
        <v>268</v>
      </c>
      <c r="J825" s="52">
        <v>0.15277777777777776</v>
      </c>
    </row>
    <row r="826" spans="1:10" s="42" customFormat="1" ht="15" x14ac:dyDescent="0.25">
      <c r="A826" s="42" t="s">
        <v>139</v>
      </c>
      <c r="B826" s="42">
        <v>146506</v>
      </c>
      <c r="C826" s="42">
        <v>37</v>
      </c>
      <c r="D826" s="42" t="s">
        <v>11</v>
      </c>
      <c r="E826" s="42">
        <v>1664</v>
      </c>
      <c r="F826" s="42">
        <v>1914904</v>
      </c>
      <c r="G826" s="42" t="s">
        <v>131</v>
      </c>
      <c r="H826" s="42">
        <v>370</v>
      </c>
      <c r="I826" s="42">
        <v>120</v>
      </c>
      <c r="J826" s="52">
        <v>7.7083333333333337E-2</v>
      </c>
    </row>
    <row r="827" spans="1:10" s="42" customFormat="1" ht="15" x14ac:dyDescent="0.25">
      <c r="A827" s="42" t="s">
        <v>139</v>
      </c>
      <c r="B827" s="42">
        <v>146508</v>
      </c>
      <c r="C827" s="42">
        <v>36</v>
      </c>
      <c r="D827" s="42" t="s">
        <v>11</v>
      </c>
      <c r="E827" s="42">
        <v>1003</v>
      </c>
      <c r="F827" s="42">
        <v>1914904</v>
      </c>
      <c r="G827" s="42" t="s">
        <v>131</v>
      </c>
      <c r="H827" s="42">
        <v>360</v>
      </c>
      <c r="I827" s="42">
        <v>178</v>
      </c>
      <c r="J827" s="52">
        <v>0.1013888888888889</v>
      </c>
    </row>
    <row r="828" spans="1:10" s="42" customFormat="1" ht="15" x14ac:dyDescent="0.25">
      <c r="A828" s="42" t="s">
        <v>139</v>
      </c>
      <c r="B828" s="42">
        <v>146508</v>
      </c>
      <c r="C828" s="42">
        <v>37</v>
      </c>
      <c r="D828" s="42" t="s">
        <v>11</v>
      </c>
      <c r="E828" s="42">
        <v>1003</v>
      </c>
      <c r="F828" s="42">
        <v>1914904</v>
      </c>
      <c r="G828" s="42" t="s">
        <v>131</v>
      </c>
      <c r="H828" s="42">
        <v>370</v>
      </c>
      <c r="I828" s="42">
        <v>188</v>
      </c>
      <c r="J828" s="52">
        <v>0.1076388888888889</v>
      </c>
    </row>
    <row r="829" spans="1:10" s="42" customFormat="1" ht="15" x14ac:dyDescent="0.25">
      <c r="A829" s="42" t="s">
        <v>139</v>
      </c>
      <c r="B829" s="42">
        <v>147901</v>
      </c>
      <c r="C829" s="42">
        <v>37</v>
      </c>
      <c r="D829" s="42" t="s">
        <v>11</v>
      </c>
      <c r="E829" s="42">
        <v>1003</v>
      </c>
      <c r="F829" s="42">
        <v>1914904</v>
      </c>
      <c r="G829" s="42" t="s">
        <v>131</v>
      </c>
      <c r="H829" s="42">
        <v>370</v>
      </c>
      <c r="I829" s="42">
        <v>304</v>
      </c>
      <c r="J829" s="52">
        <v>0.17361111111111113</v>
      </c>
    </row>
    <row r="830" spans="1:10" s="42" customFormat="1" ht="15" x14ac:dyDescent="0.25">
      <c r="A830" s="42" t="s">
        <v>139</v>
      </c>
      <c r="B830" s="42">
        <v>147905</v>
      </c>
      <c r="C830" s="42">
        <v>37</v>
      </c>
      <c r="D830" s="42" t="s">
        <v>11</v>
      </c>
      <c r="E830" s="42">
        <v>1255</v>
      </c>
      <c r="F830" s="42">
        <v>1914904</v>
      </c>
      <c r="G830" s="42" t="s">
        <v>131</v>
      </c>
      <c r="H830" s="42">
        <v>370</v>
      </c>
      <c r="I830" s="42">
        <v>368</v>
      </c>
      <c r="J830" s="52">
        <v>0.23611111111111113</v>
      </c>
    </row>
    <row r="831" spans="1:10" s="42" customFormat="1" ht="15" x14ac:dyDescent="0.25">
      <c r="A831" s="42" t="s">
        <v>139</v>
      </c>
      <c r="B831" s="42">
        <v>147913</v>
      </c>
      <c r="C831" s="42">
        <v>37</v>
      </c>
      <c r="D831" s="42" t="s">
        <v>11</v>
      </c>
      <c r="E831" s="42">
        <v>1003</v>
      </c>
      <c r="F831" s="42">
        <v>1914904</v>
      </c>
      <c r="G831" s="42" t="s">
        <v>131</v>
      </c>
      <c r="H831" s="42">
        <v>370</v>
      </c>
      <c r="I831" s="42">
        <v>64</v>
      </c>
      <c r="J831" s="52">
        <v>3.6805555555555557E-2</v>
      </c>
    </row>
    <row r="832" spans="1:10" s="42" customFormat="1" ht="15" x14ac:dyDescent="0.25">
      <c r="A832" s="42" t="s">
        <v>140</v>
      </c>
      <c r="B832" s="42">
        <v>133214</v>
      </c>
      <c r="C832" s="42">
        <v>26</v>
      </c>
      <c r="D832" s="42" t="s">
        <v>11</v>
      </c>
      <c r="E832" s="42">
        <v>1667</v>
      </c>
      <c r="F832" s="42">
        <v>8041502</v>
      </c>
      <c r="G832" s="42" t="s">
        <v>141</v>
      </c>
      <c r="H832" s="42">
        <v>350</v>
      </c>
      <c r="I832" s="42">
        <v>16</v>
      </c>
      <c r="J832" s="52">
        <v>6.9444444444444447E-4</v>
      </c>
    </row>
    <row r="833" spans="1:10" s="42" customFormat="1" ht="15" x14ac:dyDescent="0.25">
      <c r="A833" s="42" t="s">
        <v>140</v>
      </c>
      <c r="B833" s="42">
        <v>141299</v>
      </c>
      <c r="C833" s="42">
        <v>32</v>
      </c>
      <c r="D833" s="42" t="s">
        <v>11</v>
      </c>
      <c r="E833" s="42">
        <v>1302</v>
      </c>
      <c r="F833" s="42">
        <v>2547902</v>
      </c>
      <c r="G833" s="42" t="s">
        <v>142</v>
      </c>
      <c r="H833" s="42">
        <v>350</v>
      </c>
      <c r="I833" s="42">
        <v>22</v>
      </c>
      <c r="J833" s="52">
        <v>6.9444444444444447E-4</v>
      </c>
    </row>
    <row r="834" spans="1:10" s="42" customFormat="1" ht="15" x14ac:dyDescent="0.25">
      <c r="A834" s="42" t="s">
        <v>140</v>
      </c>
      <c r="B834" s="42">
        <v>141300</v>
      </c>
      <c r="C834" s="42">
        <v>31</v>
      </c>
      <c r="D834" s="42" t="s">
        <v>11</v>
      </c>
      <c r="E834" s="42">
        <v>1003</v>
      </c>
      <c r="F834" s="42">
        <v>2547902</v>
      </c>
      <c r="G834" s="42" t="s">
        <v>142</v>
      </c>
      <c r="H834" s="42">
        <v>334</v>
      </c>
      <c r="I834" s="42">
        <v>164</v>
      </c>
      <c r="J834" s="52">
        <v>6.2499999999999995E-3</v>
      </c>
    </row>
    <row r="835" spans="1:10" s="42" customFormat="1" ht="15" x14ac:dyDescent="0.25">
      <c r="A835" s="42" t="s">
        <v>140</v>
      </c>
      <c r="B835" s="42">
        <v>141300</v>
      </c>
      <c r="C835" s="42">
        <v>32</v>
      </c>
      <c r="D835" s="42" t="s">
        <v>11</v>
      </c>
      <c r="E835" s="42">
        <v>1003</v>
      </c>
      <c r="F835" s="42">
        <v>2547902</v>
      </c>
      <c r="G835" s="42" t="s">
        <v>142</v>
      </c>
      <c r="H835" s="42">
        <v>350</v>
      </c>
      <c r="I835" s="42">
        <v>16</v>
      </c>
      <c r="J835" s="52">
        <v>6.9444444444444447E-4</v>
      </c>
    </row>
    <row r="836" spans="1:10" s="42" customFormat="1" ht="15" x14ac:dyDescent="0.25">
      <c r="A836" s="42" t="s">
        <v>140</v>
      </c>
      <c r="B836" s="42">
        <v>141303</v>
      </c>
      <c r="C836" s="42">
        <v>31</v>
      </c>
      <c r="D836" s="42" t="s">
        <v>11</v>
      </c>
      <c r="E836" s="42">
        <v>1003</v>
      </c>
      <c r="F836" s="42">
        <v>2547902</v>
      </c>
      <c r="G836" s="42" t="s">
        <v>142</v>
      </c>
      <c r="H836" s="42">
        <v>334</v>
      </c>
      <c r="I836" s="42">
        <v>180</v>
      </c>
      <c r="J836" s="52">
        <v>6.9444444444444441E-3</v>
      </c>
    </row>
    <row r="837" spans="1:10" s="42" customFormat="1" ht="15" x14ac:dyDescent="0.25">
      <c r="A837" s="42" t="s">
        <v>140</v>
      </c>
      <c r="B837" s="42">
        <v>141303</v>
      </c>
      <c r="C837" s="42">
        <v>32</v>
      </c>
      <c r="D837" s="42" t="s">
        <v>11</v>
      </c>
      <c r="E837" s="42">
        <v>1003</v>
      </c>
      <c r="F837" s="42">
        <v>2547902</v>
      </c>
      <c r="G837" s="42" t="s">
        <v>142</v>
      </c>
      <c r="H837" s="42">
        <v>350</v>
      </c>
      <c r="I837" s="42">
        <v>20</v>
      </c>
      <c r="J837" s="52">
        <v>6.9444444444444447E-4</v>
      </c>
    </row>
    <row r="838" spans="1:10" s="42" customFormat="1" ht="15" x14ac:dyDescent="0.25">
      <c r="A838" s="42" t="s">
        <v>140</v>
      </c>
      <c r="B838" s="42">
        <v>141304</v>
      </c>
      <c r="C838" s="42">
        <v>32</v>
      </c>
      <c r="D838" s="42" t="s">
        <v>11</v>
      </c>
      <c r="E838" s="42">
        <v>16378</v>
      </c>
      <c r="F838" s="42">
        <v>2547902</v>
      </c>
      <c r="G838" s="42" t="s">
        <v>142</v>
      </c>
      <c r="H838" s="42">
        <v>350</v>
      </c>
      <c r="I838" s="42">
        <v>70</v>
      </c>
      <c r="J838" s="52">
        <v>2.7777777777777779E-3</v>
      </c>
    </row>
    <row r="839" spans="1:10" s="42" customFormat="1" ht="15" x14ac:dyDescent="0.25">
      <c r="A839" s="42" t="s">
        <v>140</v>
      </c>
      <c r="B839" s="42">
        <v>141313</v>
      </c>
      <c r="C839" s="42">
        <v>18</v>
      </c>
      <c r="D839" s="42" t="s">
        <v>11</v>
      </c>
      <c r="E839" s="42">
        <v>1101</v>
      </c>
      <c r="F839" s="42">
        <v>646602</v>
      </c>
      <c r="G839" s="42" t="s">
        <v>141</v>
      </c>
      <c r="H839" s="42">
        <v>350</v>
      </c>
      <c r="I839" s="53">
        <v>2114</v>
      </c>
      <c r="J839" s="42">
        <v>8.3333333333333329E-2</v>
      </c>
    </row>
    <row r="840" spans="1:10" s="42" customFormat="1" ht="15" x14ac:dyDescent="0.25">
      <c r="A840" s="42" t="s">
        <v>140</v>
      </c>
      <c r="B840" s="42">
        <v>141313</v>
      </c>
      <c r="C840" s="42">
        <v>19</v>
      </c>
      <c r="D840" s="42" t="s">
        <v>11</v>
      </c>
      <c r="E840" s="42">
        <v>1101</v>
      </c>
      <c r="F840" s="42">
        <v>646602</v>
      </c>
      <c r="G840" s="42" t="s">
        <v>141</v>
      </c>
      <c r="H840" s="42">
        <v>360</v>
      </c>
      <c r="I840" s="53">
        <v>3176</v>
      </c>
      <c r="J840" s="42">
        <v>0.125</v>
      </c>
    </row>
    <row r="841" spans="1:10" s="42" customFormat="1" ht="15" x14ac:dyDescent="0.25">
      <c r="A841" s="42" t="s">
        <v>140</v>
      </c>
      <c r="B841" s="42">
        <v>141335</v>
      </c>
      <c r="C841" s="42">
        <v>18</v>
      </c>
      <c r="D841" s="42" t="s">
        <v>11</v>
      </c>
      <c r="E841" s="42">
        <v>1421</v>
      </c>
      <c r="F841" s="42">
        <v>646602</v>
      </c>
      <c r="G841" s="42" t="s">
        <v>141</v>
      </c>
      <c r="H841" s="42">
        <v>350</v>
      </c>
      <c r="I841" s="53">
        <v>1726</v>
      </c>
      <c r="J841" s="52">
        <v>6.805555555555555E-2</v>
      </c>
    </row>
    <row r="842" spans="1:10" s="42" customFormat="1" ht="15" x14ac:dyDescent="0.25">
      <c r="A842" s="42" t="s">
        <v>140</v>
      </c>
      <c r="B842" s="42">
        <v>141338</v>
      </c>
      <c r="C842" s="42">
        <v>25</v>
      </c>
      <c r="D842" s="42" t="s">
        <v>11</v>
      </c>
      <c r="E842" s="42">
        <v>1003</v>
      </c>
      <c r="F842" s="42">
        <v>2679002</v>
      </c>
      <c r="G842" s="42" t="s">
        <v>143</v>
      </c>
      <c r="H842" s="42">
        <v>334</v>
      </c>
      <c r="I842" s="42">
        <v>208</v>
      </c>
      <c r="J842" s="52">
        <v>8.3333333333333332E-3</v>
      </c>
    </row>
    <row r="843" spans="1:10" s="42" customFormat="1" ht="15" x14ac:dyDescent="0.25">
      <c r="A843" s="42" t="s">
        <v>140</v>
      </c>
      <c r="B843" s="42">
        <v>141343</v>
      </c>
      <c r="C843" s="42">
        <v>26</v>
      </c>
      <c r="D843" s="42" t="s">
        <v>11</v>
      </c>
      <c r="E843" s="42">
        <v>1101</v>
      </c>
      <c r="F843" s="42">
        <v>2704002</v>
      </c>
      <c r="G843" s="42" t="s">
        <v>15</v>
      </c>
      <c r="H843" s="42">
        <v>350</v>
      </c>
      <c r="I843" s="42">
        <v>160</v>
      </c>
      <c r="J843" s="52">
        <v>6.2499999999999995E-3</v>
      </c>
    </row>
    <row r="844" spans="1:10" s="42" customFormat="1" ht="15" x14ac:dyDescent="0.25">
      <c r="A844" s="42" t="s">
        <v>140</v>
      </c>
      <c r="B844" s="42">
        <v>141343</v>
      </c>
      <c r="C844" s="42">
        <v>27</v>
      </c>
      <c r="D844" s="42" t="s">
        <v>11</v>
      </c>
      <c r="E844" s="42">
        <v>1101</v>
      </c>
      <c r="F844" s="42">
        <v>2704002</v>
      </c>
      <c r="G844" s="42" t="s">
        <v>15</v>
      </c>
      <c r="H844" s="42">
        <v>360</v>
      </c>
      <c r="I844" s="42">
        <v>180</v>
      </c>
      <c r="J844" s="52">
        <v>6.9444444444444441E-3</v>
      </c>
    </row>
    <row r="845" spans="1:10" s="42" customFormat="1" ht="15" x14ac:dyDescent="0.25">
      <c r="A845" s="42" t="s">
        <v>140</v>
      </c>
      <c r="B845" s="42">
        <v>141344</v>
      </c>
      <c r="C845" s="42">
        <v>23</v>
      </c>
      <c r="D845" s="42" t="s">
        <v>11</v>
      </c>
      <c r="E845" s="42">
        <v>1003</v>
      </c>
      <c r="F845" s="42">
        <v>2704002</v>
      </c>
      <c r="G845" s="42" t="s">
        <v>15</v>
      </c>
      <c r="H845" s="42">
        <v>334</v>
      </c>
      <c r="I845" s="42">
        <v>102</v>
      </c>
      <c r="J845" s="52">
        <v>4.1666666666666666E-3</v>
      </c>
    </row>
    <row r="846" spans="1:10" s="42" customFormat="1" ht="15" x14ac:dyDescent="0.25">
      <c r="A846" s="42" t="s">
        <v>140</v>
      </c>
      <c r="B846" s="42">
        <v>141344</v>
      </c>
      <c r="C846" s="42">
        <v>24</v>
      </c>
      <c r="D846" s="42" t="s">
        <v>11</v>
      </c>
      <c r="E846" s="42">
        <v>1003</v>
      </c>
      <c r="F846" s="42">
        <v>2704002</v>
      </c>
      <c r="G846" s="42" t="s">
        <v>15</v>
      </c>
      <c r="H846" s="42">
        <v>350</v>
      </c>
      <c r="I846" s="42">
        <v>102</v>
      </c>
      <c r="J846" s="52">
        <v>4.1666666666666666E-3</v>
      </c>
    </row>
    <row r="847" spans="1:10" s="42" customFormat="1" ht="15" x14ac:dyDescent="0.25">
      <c r="A847" s="42" t="s">
        <v>140</v>
      </c>
      <c r="B847" s="42">
        <v>141345</v>
      </c>
      <c r="C847" s="42">
        <v>22</v>
      </c>
      <c r="D847" s="42" t="s">
        <v>11</v>
      </c>
      <c r="E847" s="42">
        <v>1101</v>
      </c>
      <c r="F847" s="42">
        <v>2704002</v>
      </c>
      <c r="G847" s="42" t="s">
        <v>15</v>
      </c>
      <c r="H847" s="42">
        <v>350</v>
      </c>
      <c r="I847" s="42">
        <v>64</v>
      </c>
      <c r="J847" s="52">
        <v>2.7777777777777779E-3</v>
      </c>
    </row>
    <row r="848" spans="1:10" s="42" customFormat="1" ht="15" x14ac:dyDescent="0.25">
      <c r="A848" s="42" t="s">
        <v>140</v>
      </c>
      <c r="B848" s="42">
        <v>141345</v>
      </c>
      <c r="C848" s="42">
        <v>23</v>
      </c>
      <c r="D848" s="42" t="s">
        <v>11</v>
      </c>
      <c r="E848" s="42">
        <v>1101</v>
      </c>
      <c r="F848" s="42">
        <v>2704002</v>
      </c>
      <c r="G848" s="42" t="s">
        <v>15</v>
      </c>
      <c r="H848" s="42">
        <v>360</v>
      </c>
      <c r="I848" s="42">
        <v>64</v>
      </c>
      <c r="J848" s="52">
        <v>2.7777777777777779E-3</v>
      </c>
    </row>
    <row r="849" spans="1:10" s="42" customFormat="1" ht="15" x14ac:dyDescent="0.25">
      <c r="A849" s="42" t="s">
        <v>140</v>
      </c>
      <c r="B849" s="42">
        <v>141346</v>
      </c>
      <c r="C849" s="42">
        <v>14</v>
      </c>
      <c r="D849" s="42" t="s">
        <v>11</v>
      </c>
      <c r="E849" s="42">
        <v>6525</v>
      </c>
      <c r="F849" s="42">
        <v>646602</v>
      </c>
      <c r="G849" s="42" t="s">
        <v>141</v>
      </c>
      <c r="H849" s="42">
        <v>350</v>
      </c>
      <c r="I849" s="53">
        <v>1192</v>
      </c>
      <c r="J849" s="52">
        <v>4.6527777777777779E-2</v>
      </c>
    </row>
    <row r="850" spans="1:10" s="42" customFormat="1" ht="15" x14ac:dyDescent="0.25">
      <c r="A850" s="42" t="s">
        <v>140</v>
      </c>
      <c r="B850" s="42">
        <v>141346</v>
      </c>
      <c r="C850" s="42">
        <v>15</v>
      </c>
      <c r="D850" s="42" t="s">
        <v>11</v>
      </c>
      <c r="E850" s="42">
        <v>6525</v>
      </c>
      <c r="F850" s="42">
        <v>646602</v>
      </c>
      <c r="G850" s="42" t="s">
        <v>141</v>
      </c>
      <c r="H850" s="42">
        <v>360</v>
      </c>
      <c r="I850" s="53">
        <v>1060</v>
      </c>
      <c r="J850" s="52">
        <v>4.1666666666666664E-2</v>
      </c>
    </row>
    <row r="851" spans="1:10" s="42" customFormat="1" ht="15" x14ac:dyDescent="0.25">
      <c r="A851" s="42" t="s">
        <v>140</v>
      </c>
      <c r="B851" s="42">
        <v>141347</v>
      </c>
      <c r="C851" s="42">
        <v>18</v>
      </c>
      <c r="D851" s="42" t="s">
        <v>11</v>
      </c>
      <c r="E851" s="42">
        <v>1101</v>
      </c>
      <c r="F851" s="42">
        <v>2704002</v>
      </c>
      <c r="G851" s="42" t="s">
        <v>15</v>
      </c>
      <c r="H851" s="42">
        <v>350</v>
      </c>
      <c r="I851" s="42">
        <v>700</v>
      </c>
      <c r="J851" s="52">
        <v>2.7777777777777776E-2</v>
      </c>
    </row>
    <row r="852" spans="1:10" s="42" customFormat="1" ht="15" x14ac:dyDescent="0.25">
      <c r="A852" s="42" t="s">
        <v>140</v>
      </c>
      <c r="B852" s="42">
        <v>141347</v>
      </c>
      <c r="C852" s="42">
        <v>19</v>
      </c>
      <c r="D852" s="42" t="s">
        <v>11</v>
      </c>
      <c r="E852" s="42">
        <v>1101</v>
      </c>
      <c r="F852" s="42">
        <v>2704002</v>
      </c>
      <c r="G852" s="42" t="s">
        <v>15</v>
      </c>
      <c r="H852" s="42">
        <v>360</v>
      </c>
      <c r="I852" s="42">
        <v>860</v>
      </c>
      <c r="J852" s="52">
        <v>3.4027777777777775E-2</v>
      </c>
    </row>
    <row r="853" spans="1:10" s="42" customFormat="1" ht="15" x14ac:dyDescent="0.25">
      <c r="A853" s="42" t="s">
        <v>140</v>
      </c>
      <c r="B853" s="42">
        <v>141348</v>
      </c>
      <c r="C853" s="42">
        <v>17</v>
      </c>
      <c r="D853" s="42" t="s">
        <v>11</v>
      </c>
      <c r="E853" s="42">
        <v>16311</v>
      </c>
      <c r="F853" s="42">
        <v>2704002</v>
      </c>
      <c r="G853" s="42" t="s">
        <v>15</v>
      </c>
      <c r="H853" s="42">
        <v>350</v>
      </c>
      <c r="I853" s="42">
        <v>86</v>
      </c>
      <c r="J853" s="52">
        <v>3.472222222222222E-3</v>
      </c>
    </row>
    <row r="854" spans="1:10" s="42" customFormat="1" ht="15" x14ac:dyDescent="0.25">
      <c r="A854" s="42" t="s">
        <v>140</v>
      </c>
      <c r="B854" s="42">
        <v>141357</v>
      </c>
      <c r="C854" s="42">
        <v>14</v>
      </c>
      <c r="D854" s="42" t="s">
        <v>11</v>
      </c>
      <c r="E854" s="42">
        <v>1600</v>
      </c>
      <c r="F854" s="42">
        <v>646602</v>
      </c>
      <c r="G854" s="42" t="s">
        <v>141</v>
      </c>
      <c r="H854" s="42">
        <v>350</v>
      </c>
      <c r="I854" s="42">
        <v>200</v>
      </c>
      <c r="J854" s="52">
        <v>7.6388888888888886E-3</v>
      </c>
    </row>
    <row r="855" spans="1:10" s="42" customFormat="1" ht="15" x14ac:dyDescent="0.25">
      <c r="A855" s="42" t="s">
        <v>140</v>
      </c>
      <c r="B855" s="42">
        <v>141368</v>
      </c>
      <c r="C855" s="42">
        <v>18</v>
      </c>
      <c r="D855" s="42" t="s">
        <v>11</v>
      </c>
      <c r="E855" s="42">
        <v>1684</v>
      </c>
      <c r="F855" s="42">
        <v>646602</v>
      </c>
      <c r="G855" s="42" t="s">
        <v>141</v>
      </c>
      <c r="H855" s="42">
        <v>350</v>
      </c>
      <c r="I855" s="42">
        <v>892</v>
      </c>
      <c r="J855" s="52">
        <v>3.4722222222222224E-2</v>
      </c>
    </row>
    <row r="856" spans="1:10" s="42" customFormat="1" ht="15" x14ac:dyDescent="0.25">
      <c r="A856" s="42" t="s">
        <v>140</v>
      </c>
      <c r="B856" s="42">
        <v>141379</v>
      </c>
      <c r="C856" s="42">
        <v>18</v>
      </c>
      <c r="D856" s="42" t="s">
        <v>11</v>
      </c>
      <c r="E856" s="42">
        <v>6725</v>
      </c>
      <c r="F856" s="42">
        <v>646602</v>
      </c>
      <c r="G856" s="42" t="s">
        <v>141</v>
      </c>
      <c r="H856" s="42">
        <v>350</v>
      </c>
      <c r="I856" s="42">
        <v>154</v>
      </c>
      <c r="J856" s="52">
        <v>6.2499999999999995E-3</v>
      </c>
    </row>
    <row r="857" spans="1:10" s="42" customFormat="1" ht="15" x14ac:dyDescent="0.25">
      <c r="A857" s="42" t="s">
        <v>140</v>
      </c>
      <c r="B857" s="42">
        <v>141390</v>
      </c>
      <c r="C857" s="42">
        <v>18</v>
      </c>
      <c r="D857" s="42" t="s">
        <v>11</v>
      </c>
      <c r="E857" s="42">
        <v>1928</v>
      </c>
      <c r="F857" s="42">
        <v>646602</v>
      </c>
      <c r="G857" s="42" t="s">
        <v>141</v>
      </c>
      <c r="H857" s="42">
        <v>350</v>
      </c>
      <c r="I857" s="42">
        <v>242</v>
      </c>
      <c r="J857" s="52">
        <v>9.7222222222222224E-3</v>
      </c>
    </row>
    <row r="858" spans="1:10" s="42" customFormat="1" ht="15" x14ac:dyDescent="0.25">
      <c r="A858" s="42" t="s">
        <v>140</v>
      </c>
      <c r="B858" s="42">
        <v>141390</v>
      </c>
      <c r="C858" s="42">
        <v>19</v>
      </c>
      <c r="D858" s="42" t="s">
        <v>11</v>
      </c>
      <c r="E858" s="42">
        <v>1928</v>
      </c>
      <c r="F858" s="42">
        <v>646602</v>
      </c>
      <c r="G858" s="42" t="s">
        <v>141</v>
      </c>
      <c r="H858" s="42">
        <v>360</v>
      </c>
      <c r="I858" s="42">
        <v>440</v>
      </c>
      <c r="J858" s="52">
        <v>1.7361111111111112E-2</v>
      </c>
    </row>
    <row r="859" spans="1:10" s="42" customFormat="1" ht="15" x14ac:dyDescent="0.25">
      <c r="A859" s="42" t="s">
        <v>140</v>
      </c>
      <c r="B859" s="42">
        <v>141392</v>
      </c>
      <c r="C859" s="42">
        <v>24</v>
      </c>
      <c r="D859" s="42" t="s">
        <v>11</v>
      </c>
      <c r="E859" s="42">
        <v>1101</v>
      </c>
      <c r="F859" s="42">
        <v>532002</v>
      </c>
      <c r="G859" s="42" t="s">
        <v>104</v>
      </c>
      <c r="H859" s="42">
        <v>350</v>
      </c>
      <c r="I859" s="53">
        <v>1140</v>
      </c>
      <c r="J859" s="52">
        <v>4.3055555555555562E-2</v>
      </c>
    </row>
    <row r="860" spans="1:10" s="42" customFormat="1" ht="15" x14ac:dyDescent="0.25">
      <c r="A860" s="42" t="s">
        <v>140</v>
      </c>
      <c r="B860" s="42">
        <v>141392</v>
      </c>
      <c r="C860" s="42">
        <v>25</v>
      </c>
      <c r="D860" s="42" t="s">
        <v>11</v>
      </c>
      <c r="E860" s="42">
        <v>1101</v>
      </c>
      <c r="F860" s="42">
        <v>532002</v>
      </c>
      <c r="G860" s="42" t="s">
        <v>104</v>
      </c>
      <c r="H860" s="42">
        <v>360</v>
      </c>
      <c r="I860" s="53">
        <v>1140</v>
      </c>
      <c r="J860" s="52">
        <v>4.3055555555555562E-2</v>
      </c>
    </row>
    <row r="861" spans="1:10" s="42" customFormat="1" ht="15" x14ac:dyDescent="0.25">
      <c r="A861" s="42" t="s">
        <v>140</v>
      </c>
      <c r="B861" s="42">
        <v>141428</v>
      </c>
      <c r="C861" s="42">
        <v>24</v>
      </c>
      <c r="D861" s="42" t="s">
        <v>11</v>
      </c>
      <c r="E861" s="42">
        <v>1101</v>
      </c>
      <c r="F861" s="42">
        <v>532002</v>
      </c>
      <c r="G861" s="42" t="s">
        <v>104</v>
      </c>
      <c r="H861" s="42">
        <v>350</v>
      </c>
      <c r="I861" s="42">
        <v>120</v>
      </c>
      <c r="J861" s="52">
        <v>4.8611111111111112E-3</v>
      </c>
    </row>
    <row r="862" spans="1:10" s="42" customFormat="1" ht="15" x14ac:dyDescent="0.25">
      <c r="A862" s="42" t="s">
        <v>140</v>
      </c>
      <c r="B862" s="42">
        <v>141428</v>
      </c>
      <c r="C862" s="42">
        <v>25</v>
      </c>
      <c r="D862" s="42" t="s">
        <v>11</v>
      </c>
      <c r="E862" s="42">
        <v>1101</v>
      </c>
      <c r="F862" s="42">
        <v>532002</v>
      </c>
      <c r="G862" s="42" t="s">
        <v>104</v>
      </c>
      <c r="H862" s="42">
        <v>360</v>
      </c>
      <c r="I862" s="42">
        <v>120</v>
      </c>
      <c r="J862" s="52">
        <v>4.8611111111111112E-3</v>
      </c>
    </row>
    <row r="863" spans="1:10" s="42" customFormat="1" ht="15" x14ac:dyDescent="0.25">
      <c r="A863" s="42" t="s">
        <v>140</v>
      </c>
      <c r="B863" s="42">
        <v>141439</v>
      </c>
      <c r="C863" s="42">
        <v>26</v>
      </c>
      <c r="D863" s="42" t="s">
        <v>11</v>
      </c>
      <c r="E863" s="42">
        <v>1333</v>
      </c>
      <c r="F863" s="42">
        <v>532002</v>
      </c>
      <c r="G863" s="42" t="s">
        <v>104</v>
      </c>
      <c r="H863" s="42">
        <v>350</v>
      </c>
      <c r="I863" s="42">
        <v>100</v>
      </c>
      <c r="J863" s="52">
        <v>3.472222222222222E-3</v>
      </c>
    </row>
    <row r="864" spans="1:10" s="42" customFormat="1" ht="15" x14ac:dyDescent="0.25">
      <c r="A864" s="42" t="s">
        <v>140</v>
      </c>
      <c r="B864" s="42">
        <v>141439</v>
      </c>
      <c r="C864" s="42">
        <v>27</v>
      </c>
      <c r="D864" s="42" t="s">
        <v>11</v>
      </c>
      <c r="E864" s="42">
        <v>1333</v>
      </c>
      <c r="F864" s="42">
        <v>532002</v>
      </c>
      <c r="G864" s="42" t="s">
        <v>104</v>
      </c>
      <c r="H864" s="42">
        <v>360</v>
      </c>
      <c r="I864" s="42">
        <v>100</v>
      </c>
      <c r="J864" s="52">
        <v>3.472222222222222E-3</v>
      </c>
    </row>
    <row r="865" spans="1:10" s="42" customFormat="1" ht="15" x14ac:dyDescent="0.25">
      <c r="A865" s="42" t="s">
        <v>140</v>
      </c>
      <c r="B865" s="42">
        <v>141450</v>
      </c>
      <c r="C865" s="42">
        <v>24</v>
      </c>
      <c r="D865" s="42" t="s">
        <v>11</v>
      </c>
      <c r="E865" s="42">
        <v>1667</v>
      </c>
      <c r="F865" s="42">
        <v>532002</v>
      </c>
      <c r="G865" s="42" t="s">
        <v>104</v>
      </c>
      <c r="H865" s="42">
        <v>350</v>
      </c>
      <c r="I865" s="42">
        <v>100</v>
      </c>
      <c r="J865" s="52">
        <v>3.472222222222222E-3</v>
      </c>
    </row>
    <row r="866" spans="1:10" s="42" customFormat="1" ht="15" x14ac:dyDescent="0.25">
      <c r="A866" s="42" t="s">
        <v>144</v>
      </c>
      <c r="B866" s="42">
        <v>141313</v>
      </c>
      <c r="C866" s="42">
        <v>21</v>
      </c>
      <c r="D866" s="42" t="s">
        <v>11</v>
      </c>
      <c r="E866" s="42">
        <v>1101</v>
      </c>
      <c r="F866" s="42">
        <v>646602</v>
      </c>
      <c r="G866" s="42" t="s">
        <v>141</v>
      </c>
      <c r="H866" s="42">
        <v>394</v>
      </c>
      <c r="I866" s="53">
        <v>2250</v>
      </c>
      <c r="J866" s="52">
        <v>8.819444444444445E-2</v>
      </c>
    </row>
    <row r="867" spans="1:10" s="42" customFormat="1" ht="15" x14ac:dyDescent="0.25">
      <c r="A867" s="42" t="s">
        <v>144</v>
      </c>
      <c r="B867" s="42">
        <v>141343</v>
      </c>
      <c r="C867" s="42">
        <v>29</v>
      </c>
      <c r="D867" s="42" t="s">
        <v>11</v>
      </c>
      <c r="E867" s="42">
        <v>1101</v>
      </c>
      <c r="F867" s="42">
        <v>2704002</v>
      </c>
      <c r="G867" s="42" t="s">
        <v>15</v>
      </c>
      <c r="H867" s="42">
        <v>394</v>
      </c>
      <c r="I867" s="42">
        <v>812</v>
      </c>
      <c r="J867" s="52">
        <v>3.1944444444444449E-2</v>
      </c>
    </row>
    <row r="868" spans="1:10" s="42" customFormat="1" ht="15" x14ac:dyDescent="0.25">
      <c r="A868" s="42" t="s">
        <v>144</v>
      </c>
      <c r="B868" s="42">
        <v>141345</v>
      </c>
      <c r="C868" s="42">
        <v>25</v>
      </c>
      <c r="D868" s="42" t="s">
        <v>11</v>
      </c>
      <c r="E868" s="42">
        <v>1101</v>
      </c>
      <c r="F868" s="42">
        <v>2704002</v>
      </c>
      <c r="G868" s="42" t="s">
        <v>15</v>
      </c>
      <c r="H868" s="42">
        <v>394</v>
      </c>
      <c r="I868" s="42">
        <v>88</v>
      </c>
      <c r="J868" s="52">
        <v>3.472222222222222E-3</v>
      </c>
    </row>
    <row r="869" spans="1:10" s="42" customFormat="1" ht="15" x14ac:dyDescent="0.25">
      <c r="A869" s="42" t="s">
        <v>144</v>
      </c>
      <c r="B869" s="42">
        <v>141347</v>
      </c>
      <c r="C869" s="42">
        <v>21</v>
      </c>
      <c r="D869" s="42" t="s">
        <v>11</v>
      </c>
      <c r="E869" s="42">
        <v>1101</v>
      </c>
      <c r="F869" s="42">
        <v>2704002</v>
      </c>
      <c r="G869" s="42" t="s">
        <v>15</v>
      </c>
      <c r="H869" s="42">
        <v>394</v>
      </c>
      <c r="I869" s="42">
        <v>730</v>
      </c>
      <c r="J869" s="52">
        <v>2.8472222222222222E-2</v>
      </c>
    </row>
    <row r="870" spans="1:10" s="42" customFormat="1" ht="15" x14ac:dyDescent="0.25">
      <c r="A870" s="42" t="s">
        <v>144</v>
      </c>
      <c r="B870" s="42">
        <v>141368</v>
      </c>
      <c r="C870" s="42">
        <v>21</v>
      </c>
      <c r="D870" s="42" t="s">
        <v>11</v>
      </c>
      <c r="E870" s="42">
        <v>1684</v>
      </c>
      <c r="F870" s="42">
        <v>646602</v>
      </c>
      <c r="G870" s="42" t="s">
        <v>141</v>
      </c>
      <c r="H870" s="42">
        <v>394</v>
      </c>
      <c r="I870" s="53">
        <v>1300</v>
      </c>
      <c r="J870" s="52">
        <v>5.1388888888888894E-2</v>
      </c>
    </row>
    <row r="871" spans="1:10" s="42" customFormat="1" ht="15" x14ac:dyDescent="0.25">
      <c r="A871" s="42" t="s">
        <v>144</v>
      </c>
      <c r="B871" s="42">
        <v>141391</v>
      </c>
      <c r="C871" s="42">
        <v>7</v>
      </c>
      <c r="D871" s="42" t="s">
        <v>11</v>
      </c>
      <c r="E871" s="42">
        <v>1101</v>
      </c>
      <c r="F871" s="42">
        <v>532002</v>
      </c>
      <c r="G871" s="42" t="s">
        <v>104</v>
      </c>
      <c r="H871" s="42">
        <v>394</v>
      </c>
      <c r="I871" s="53">
        <v>2280</v>
      </c>
      <c r="J871" s="52">
        <v>8.6805555555555566E-2</v>
      </c>
    </row>
    <row r="872" spans="1:10" s="42" customFormat="1" ht="15" x14ac:dyDescent="0.25">
      <c r="A872" s="42" t="s">
        <v>144</v>
      </c>
      <c r="B872" s="42">
        <v>141392</v>
      </c>
      <c r="C872" s="42">
        <v>27</v>
      </c>
      <c r="D872" s="42" t="s">
        <v>11</v>
      </c>
      <c r="E872" s="42">
        <v>1101</v>
      </c>
      <c r="F872" s="42">
        <v>532002</v>
      </c>
      <c r="G872" s="42" t="s">
        <v>104</v>
      </c>
      <c r="H872" s="42">
        <v>394</v>
      </c>
      <c r="I872" s="53">
        <v>4640</v>
      </c>
      <c r="J872" s="52">
        <v>0.1763888888888889</v>
      </c>
    </row>
    <row r="873" spans="1:10" s="42" customFormat="1" ht="15" x14ac:dyDescent="0.25">
      <c r="A873" s="42" t="s">
        <v>144</v>
      </c>
      <c r="B873" s="42">
        <v>141393</v>
      </c>
      <c r="C873" s="42">
        <v>15</v>
      </c>
      <c r="D873" s="42" t="s">
        <v>11</v>
      </c>
      <c r="E873" s="42">
        <v>1101</v>
      </c>
      <c r="F873" s="42">
        <v>532002</v>
      </c>
      <c r="G873" s="42" t="s">
        <v>104</v>
      </c>
      <c r="H873" s="42">
        <v>394</v>
      </c>
      <c r="I873" s="53">
        <v>5700</v>
      </c>
      <c r="J873" s="52">
        <v>0.21666666666666667</v>
      </c>
    </row>
    <row r="874" spans="1:10" s="42" customFormat="1" ht="15" x14ac:dyDescent="0.25">
      <c r="A874" s="42" t="s">
        <v>144</v>
      </c>
      <c r="B874" s="42">
        <v>141405</v>
      </c>
      <c r="C874" s="42">
        <v>12</v>
      </c>
      <c r="D874" s="42" t="s">
        <v>11</v>
      </c>
      <c r="E874" s="42">
        <v>1101</v>
      </c>
      <c r="F874" s="42">
        <v>532002</v>
      </c>
      <c r="G874" s="42" t="s">
        <v>104</v>
      </c>
      <c r="H874" s="42">
        <v>394</v>
      </c>
      <c r="I874" s="53">
        <v>2030</v>
      </c>
      <c r="J874" s="52">
        <v>7.7083333333333337E-2</v>
      </c>
    </row>
    <row r="875" spans="1:10" s="42" customFormat="1" ht="15" x14ac:dyDescent="0.25">
      <c r="A875" s="42" t="s">
        <v>144</v>
      </c>
      <c r="B875" s="42">
        <v>141417</v>
      </c>
      <c r="C875" s="42">
        <v>15</v>
      </c>
      <c r="D875" s="42" t="s">
        <v>11</v>
      </c>
      <c r="E875" s="42">
        <v>1380</v>
      </c>
      <c r="F875" s="42">
        <v>532002</v>
      </c>
      <c r="G875" s="42" t="s">
        <v>104</v>
      </c>
      <c r="H875" s="42">
        <v>394</v>
      </c>
      <c r="I875" s="53">
        <v>2650</v>
      </c>
      <c r="J875" s="52">
        <v>0.10069444444444443</v>
      </c>
    </row>
    <row r="876" spans="1:10" s="42" customFormat="1" ht="15" x14ac:dyDescent="0.25">
      <c r="A876" s="42" t="s">
        <v>144</v>
      </c>
      <c r="B876" s="42">
        <v>141428</v>
      </c>
      <c r="C876" s="42">
        <v>27</v>
      </c>
      <c r="D876" s="42" t="s">
        <v>11</v>
      </c>
      <c r="E876" s="42">
        <v>1101</v>
      </c>
      <c r="F876" s="42">
        <v>532002</v>
      </c>
      <c r="G876" s="42" t="s">
        <v>104</v>
      </c>
      <c r="H876" s="42">
        <v>394</v>
      </c>
      <c r="I876" s="53">
        <v>3140</v>
      </c>
      <c r="J876" s="52">
        <v>0.11944444444444445</v>
      </c>
    </row>
    <row r="877" spans="1:10" s="42" customFormat="1" ht="15" x14ac:dyDescent="0.25">
      <c r="A877" s="42" t="s">
        <v>145</v>
      </c>
      <c r="B877" s="42">
        <v>133209</v>
      </c>
      <c r="C877" s="42">
        <v>20</v>
      </c>
      <c r="D877" s="42" t="s">
        <v>11</v>
      </c>
      <c r="E877" s="42">
        <v>16311</v>
      </c>
      <c r="F877" s="42">
        <v>8041502</v>
      </c>
      <c r="G877" s="42" t="s">
        <v>141</v>
      </c>
      <c r="H877" s="42">
        <v>456</v>
      </c>
      <c r="I877" s="42">
        <v>160</v>
      </c>
      <c r="J877" s="52">
        <v>6.2499999999999995E-3</v>
      </c>
    </row>
    <row r="878" spans="1:10" s="42" customFormat="1" ht="15" x14ac:dyDescent="0.25">
      <c r="A878" s="42" t="s">
        <v>145</v>
      </c>
      <c r="B878" s="42">
        <v>133210</v>
      </c>
      <c r="C878" s="42">
        <v>20</v>
      </c>
      <c r="D878" s="42" t="s">
        <v>11</v>
      </c>
      <c r="E878" s="42">
        <v>1101</v>
      </c>
      <c r="F878" s="42">
        <v>8041502</v>
      </c>
      <c r="G878" s="42" t="s">
        <v>141</v>
      </c>
      <c r="H878" s="42">
        <v>456</v>
      </c>
      <c r="I878" s="42">
        <v>246</v>
      </c>
      <c r="J878" s="52">
        <v>9.7222222222222224E-3</v>
      </c>
    </row>
    <row r="879" spans="1:10" s="42" customFormat="1" ht="15" x14ac:dyDescent="0.25">
      <c r="A879" s="42" t="s">
        <v>145</v>
      </c>
      <c r="B879" s="42">
        <v>133211</v>
      </c>
      <c r="C879" s="42">
        <v>20</v>
      </c>
      <c r="D879" s="42" t="s">
        <v>11</v>
      </c>
      <c r="E879" s="42">
        <v>1418</v>
      </c>
      <c r="F879" s="42">
        <v>8041502</v>
      </c>
      <c r="G879" s="42" t="s">
        <v>141</v>
      </c>
      <c r="H879" s="42">
        <v>456</v>
      </c>
      <c r="I879" s="42">
        <v>32</v>
      </c>
      <c r="J879" s="52">
        <v>1.3888888888888889E-3</v>
      </c>
    </row>
    <row r="880" spans="1:10" s="42" customFormat="1" ht="15" x14ac:dyDescent="0.25">
      <c r="A880" s="42" t="s">
        <v>145</v>
      </c>
      <c r="B880" s="42">
        <v>133213</v>
      </c>
      <c r="C880" s="42">
        <v>20</v>
      </c>
      <c r="D880" s="42" t="s">
        <v>11</v>
      </c>
      <c r="E880" s="42">
        <v>16486</v>
      </c>
      <c r="F880" s="42">
        <v>8041502</v>
      </c>
      <c r="G880" s="42" t="s">
        <v>141</v>
      </c>
      <c r="H880" s="42">
        <v>456</v>
      </c>
      <c r="I880" s="42">
        <v>172</v>
      </c>
      <c r="J880" s="52">
        <v>6.9444444444444441E-3</v>
      </c>
    </row>
    <row r="881" spans="1:10" s="42" customFormat="1" ht="15" x14ac:dyDescent="0.25">
      <c r="A881" s="42" t="s">
        <v>145</v>
      </c>
      <c r="B881" s="42">
        <v>137729</v>
      </c>
      <c r="C881" s="42">
        <v>8</v>
      </c>
      <c r="D881" s="42" t="s">
        <v>11</v>
      </c>
      <c r="E881" s="42">
        <v>1371</v>
      </c>
      <c r="F881" s="42">
        <v>532002</v>
      </c>
      <c r="G881" s="42" t="s">
        <v>104</v>
      </c>
      <c r="H881" s="42">
        <v>456</v>
      </c>
      <c r="I881" s="53">
        <v>1704</v>
      </c>
      <c r="J881" s="52">
        <v>6.458333333333334E-2</v>
      </c>
    </row>
    <row r="882" spans="1:10" s="42" customFormat="1" ht="15" x14ac:dyDescent="0.25">
      <c r="A882" s="42" t="s">
        <v>145</v>
      </c>
      <c r="B882" s="42">
        <v>141291</v>
      </c>
      <c r="C882" s="42">
        <v>17</v>
      </c>
      <c r="D882" s="42" t="s">
        <v>11</v>
      </c>
      <c r="E882" s="42">
        <v>1365</v>
      </c>
      <c r="F882" s="42">
        <v>576602</v>
      </c>
      <c r="G882" s="42" t="s">
        <v>146</v>
      </c>
      <c r="H882" s="42">
        <v>234</v>
      </c>
      <c r="I882" s="42">
        <v>330</v>
      </c>
      <c r="J882" s="52">
        <v>1.2499999999999999E-2</v>
      </c>
    </row>
    <row r="883" spans="1:10" s="42" customFormat="1" ht="15" x14ac:dyDescent="0.25">
      <c r="A883" s="42" t="s">
        <v>145</v>
      </c>
      <c r="B883" s="42">
        <v>141291</v>
      </c>
      <c r="C883" s="42">
        <v>18</v>
      </c>
      <c r="D883" s="42" t="s">
        <v>11</v>
      </c>
      <c r="E883" s="42">
        <v>1365</v>
      </c>
      <c r="F883" s="42">
        <v>576602</v>
      </c>
      <c r="G883" s="42" t="s">
        <v>146</v>
      </c>
      <c r="H883" s="42">
        <v>256</v>
      </c>
      <c r="I883" s="53">
        <v>1492</v>
      </c>
      <c r="J883" s="52">
        <v>5.8333333333333327E-2</v>
      </c>
    </row>
    <row r="884" spans="1:10" s="42" customFormat="1" ht="15" x14ac:dyDescent="0.25">
      <c r="A884" s="42" t="s">
        <v>145</v>
      </c>
      <c r="B884" s="42">
        <v>141291</v>
      </c>
      <c r="C884" s="42">
        <v>20</v>
      </c>
      <c r="D884" s="42" t="s">
        <v>11</v>
      </c>
      <c r="E884" s="42">
        <v>1365</v>
      </c>
      <c r="F884" s="42">
        <v>576602</v>
      </c>
      <c r="G884" s="42" t="s">
        <v>146</v>
      </c>
      <c r="H884" s="42">
        <v>293</v>
      </c>
      <c r="I884" s="53">
        <v>2014</v>
      </c>
      <c r="J884" s="52">
        <v>7.7083333333333337E-2</v>
      </c>
    </row>
    <row r="885" spans="1:10" s="42" customFormat="1" ht="15" x14ac:dyDescent="0.25">
      <c r="A885" s="42" t="s">
        <v>145</v>
      </c>
      <c r="B885" s="42">
        <v>141297</v>
      </c>
      <c r="C885" s="42">
        <v>17</v>
      </c>
      <c r="D885" s="42" t="s">
        <v>11</v>
      </c>
      <c r="E885" s="42">
        <v>1358</v>
      </c>
      <c r="F885" s="42">
        <v>2547902</v>
      </c>
      <c r="G885" s="42" t="s">
        <v>142</v>
      </c>
      <c r="H885" s="42">
        <v>256</v>
      </c>
      <c r="I885" s="42">
        <v>428</v>
      </c>
      <c r="J885" s="52">
        <v>1.6666666666666666E-2</v>
      </c>
    </row>
    <row r="886" spans="1:10" s="42" customFormat="1" ht="15" x14ac:dyDescent="0.25">
      <c r="A886" s="42" t="s">
        <v>145</v>
      </c>
      <c r="B886" s="42">
        <v>141297</v>
      </c>
      <c r="C886" s="42">
        <v>19</v>
      </c>
      <c r="D886" s="42" t="s">
        <v>11</v>
      </c>
      <c r="E886" s="42">
        <v>1358</v>
      </c>
      <c r="F886" s="42">
        <v>2547902</v>
      </c>
      <c r="G886" s="42" t="s">
        <v>142</v>
      </c>
      <c r="H886" s="42">
        <v>293</v>
      </c>
      <c r="I886" s="42">
        <v>302</v>
      </c>
      <c r="J886" s="52">
        <v>1.1805555555555555E-2</v>
      </c>
    </row>
    <row r="887" spans="1:10" s="42" customFormat="1" ht="15" x14ac:dyDescent="0.25">
      <c r="A887" s="42" t="s">
        <v>145</v>
      </c>
      <c r="B887" s="42">
        <v>141298</v>
      </c>
      <c r="C887" s="42">
        <v>17</v>
      </c>
      <c r="D887" s="42" t="s">
        <v>11</v>
      </c>
      <c r="E887" s="42">
        <v>1410</v>
      </c>
      <c r="F887" s="42">
        <v>2547902</v>
      </c>
      <c r="G887" s="42" t="s">
        <v>142</v>
      </c>
      <c r="H887" s="42">
        <v>256</v>
      </c>
      <c r="I887" s="42">
        <v>364</v>
      </c>
      <c r="J887" s="52">
        <v>1.3888888888888888E-2</v>
      </c>
    </row>
    <row r="888" spans="1:10" s="42" customFormat="1" ht="15" x14ac:dyDescent="0.25">
      <c r="A888" s="42" t="s">
        <v>145</v>
      </c>
      <c r="B888" s="42">
        <v>141298</v>
      </c>
      <c r="C888" s="42">
        <v>19</v>
      </c>
      <c r="D888" s="42" t="s">
        <v>11</v>
      </c>
      <c r="E888" s="42">
        <v>1410</v>
      </c>
      <c r="F888" s="42">
        <v>2547902</v>
      </c>
      <c r="G888" s="42" t="s">
        <v>142</v>
      </c>
      <c r="H888" s="42">
        <v>293</v>
      </c>
      <c r="I888" s="42">
        <v>302</v>
      </c>
      <c r="J888" s="52">
        <v>1.1805555555555555E-2</v>
      </c>
    </row>
    <row r="889" spans="1:10" s="42" customFormat="1" ht="15" x14ac:dyDescent="0.25">
      <c r="A889" s="42" t="s">
        <v>145</v>
      </c>
      <c r="B889" s="42">
        <v>141299</v>
      </c>
      <c r="C889" s="42">
        <v>26</v>
      </c>
      <c r="D889" s="42" t="s">
        <v>11</v>
      </c>
      <c r="E889" s="42">
        <v>1302</v>
      </c>
      <c r="F889" s="42">
        <v>2547902</v>
      </c>
      <c r="G889" s="42" t="s">
        <v>142</v>
      </c>
      <c r="H889" s="42">
        <v>234</v>
      </c>
      <c r="I889" s="42">
        <v>78</v>
      </c>
      <c r="J889" s="52">
        <v>2.7777777777777779E-3</v>
      </c>
    </row>
    <row r="890" spans="1:10" s="42" customFormat="1" ht="15" x14ac:dyDescent="0.25">
      <c r="A890" s="42" t="s">
        <v>145</v>
      </c>
      <c r="B890" s="42">
        <v>141299</v>
      </c>
      <c r="C890" s="42">
        <v>27</v>
      </c>
      <c r="D890" s="42" t="s">
        <v>11</v>
      </c>
      <c r="E890" s="42">
        <v>1302</v>
      </c>
      <c r="F890" s="42">
        <v>2547902</v>
      </c>
      <c r="G890" s="42" t="s">
        <v>142</v>
      </c>
      <c r="H890" s="42">
        <v>256</v>
      </c>
      <c r="I890" s="42">
        <v>144</v>
      </c>
      <c r="J890" s="52">
        <v>5.5555555555555558E-3</v>
      </c>
    </row>
    <row r="891" spans="1:10" s="42" customFormat="1" ht="15" x14ac:dyDescent="0.25">
      <c r="A891" s="42" t="s">
        <v>145</v>
      </c>
      <c r="B891" s="42">
        <v>141299</v>
      </c>
      <c r="C891" s="42">
        <v>29</v>
      </c>
      <c r="D891" s="42" t="s">
        <v>11</v>
      </c>
      <c r="E891" s="42">
        <v>1302</v>
      </c>
      <c r="F891" s="42">
        <v>2547902</v>
      </c>
      <c r="G891" s="42" t="s">
        <v>142</v>
      </c>
      <c r="H891" s="42">
        <v>293</v>
      </c>
      <c r="I891" s="42">
        <v>124</v>
      </c>
      <c r="J891" s="52">
        <v>4.8611111111111112E-3</v>
      </c>
    </row>
    <row r="892" spans="1:10" s="42" customFormat="1" ht="15" x14ac:dyDescent="0.25">
      <c r="A892" s="42" t="s">
        <v>145</v>
      </c>
      <c r="B892" s="42">
        <v>141300</v>
      </c>
      <c r="C892" s="42">
        <v>26</v>
      </c>
      <c r="D892" s="42" t="s">
        <v>11</v>
      </c>
      <c r="E892" s="42">
        <v>1003</v>
      </c>
      <c r="F892" s="42">
        <v>2547902</v>
      </c>
      <c r="G892" s="42" t="s">
        <v>142</v>
      </c>
      <c r="H892" s="42">
        <v>234</v>
      </c>
      <c r="I892" s="42">
        <v>78</v>
      </c>
      <c r="J892" s="52">
        <v>2.7777777777777779E-3</v>
      </c>
    </row>
    <row r="893" spans="1:10" s="42" customFormat="1" ht="15" x14ac:dyDescent="0.25">
      <c r="A893" s="42" t="s">
        <v>145</v>
      </c>
      <c r="B893" s="42">
        <v>141300</v>
      </c>
      <c r="C893" s="42">
        <v>27</v>
      </c>
      <c r="D893" s="42" t="s">
        <v>11</v>
      </c>
      <c r="E893" s="42">
        <v>1003</v>
      </c>
      <c r="F893" s="42">
        <v>2547902</v>
      </c>
      <c r="G893" s="42" t="s">
        <v>142</v>
      </c>
      <c r="H893" s="42">
        <v>256</v>
      </c>
      <c r="I893" s="42">
        <v>146</v>
      </c>
      <c r="J893" s="52">
        <v>5.5555555555555558E-3</v>
      </c>
    </row>
    <row r="894" spans="1:10" s="42" customFormat="1" ht="15" x14ac:dyDescent="0.25">
      <c r="A894" s="42" t="s">
        <v>145</v>
      </c>
      <c r="B894" s="42">
        <v>141300</v>
      </c>
      <c r="C894" s="42">
        <v>29</v>
      </c>
      <c r="D894" s="42" t="s">
        <v>11</v>
      </c>
      <c r="E894" s="42">
        <v>1003</v>
      </c>
      <c r="F894" s="42">
        <v>2547902</v>
      </c>
      <c r="G894" s="42" t="s">
        <v>142</v>
      </c>
      <c r="H894" s="42">
        <v>293</v>
      </c>
      <c r="I894" s="42">
        <v>142</v>
      </c>
      <c r="J894" s="52">
        <v>5.5555555555555558E-3</v>
      </c>
    </row>
    <row r="895" spans="1:10" s="42" customFormat="1" ht="15" x14ac:dyDescent="0.25">
      <c r="A895" s="42" t="s">
        <v>145</v>
      </c>
      <c r="B895" s="42">
        <v>141301</v>
      </c>
      <c r="C895" s="42">
        <v>11</v>
      </c>
      <c r="D895" s="42" t="s">
        <v>11</v>
      </c>
      <c r="E895" s="42">
        <v>1358</v>
      </c>
      <c r="F895" s="42">
        <v>2547902</v>
      </c>
      <c r="G895" s="42" t="s">
        <v>142</v>
      </c>
      <c r="H895" s="42">
        <v>234</v>
      </c>
      <c r="I895" s="42">
        <v>20</v>
      </c>
      <c r="J895" s="52">
        <v>6.9444444444444447E-4</v>
      </c>
    </row>
    <row r="896" spans="1:10" s="42" customFormat="1" ht="15" x14ac:dyDescent="0.25">
      <c r="A896" s="42" t="s">
        <v>145</v>
      </c>
      <c r="B896" s="42">
        <v>141301</v>
      </c>
      <c r="C896" s="42">
        <v>12</v>
      </c>
      <c r="D896" s="42" t="s">
        <v>11</v>
      </c>
      <c r="E896" s="42">
        <v>1358</v>
      </c>
      <c r="F896" s="42">
        <v>2547902</v>
      </c>
      <c r="G896" s="42" t="s">
        <v>142</v>
      </c>
      <c r="H896" s="42">
        <v>256</v>
      </c>
      <c r="I896" s="42">
        <v>20</v>
      </c>
      <c r="J896" s="52">
        <v>6.9444444444444447E-4</v>
      </c>
    </row>
    <row r="897" spans="1:10" s="42" customFormat="1" ht="15" x14ac:dyDescent="0.25">
      <c r="A897" s="42" t="s">
        <v>145</v>
      </c>
      <c r="B897" s="42">
        <v>141302</v>
      </c>
      <c r="C897" s="42">
        <v>8</v>
      </c>
      <c r="D897" s="42" t="s">
        <v>11</v>
      </c>
      <c r="E897" s="42">
        <v>1505</v>
      </c>
      <c r="F897" s="42">
        <v>576602</v>
      </c>
      <c r="G897" s="42" t="s">
        <v>146</v>
      </c>
      <c r="H897" s="42">
        <v>234</v>
      </c>
      <c r="I897" s="42">
        <v>150</v>
      </c>
      <c r="J897" s="52">
        <v>5.5555555555555558E-3</v>
      </c>
    </row>
    <row r="898" spans="1:10" s="42" customFormat="1" ht="15" x14ac:dyDescent="0.25">
      <c r="A898" s="42" t="s">
        <v>145</v>
      </c>
      <c r="B898" s="42">
        <v>141302</v>
      </c>
      <c r="C898" s="42">
        <v>9</v>
      </c>
      <c r="D898" s="42" t="s">
        <v>11</v>
      </c>
      <c r="E898" s="42">
        <v>1505</v>
      </c>
      <c r="F898" s="42">
        <v>576602</v>
      </c>
      <c r="G898" s="42" t="s">
        <v>146</v>
      </c>
      <c r="H898" s="42">
        <v>256</v>
      </c>
      <c r="I898" s="42">
        <v>410</v>
      </c>
      <c r="J898" s="52">
        <v>1.5972222222222224E-2</v>
      </c>
    </row>
    <row r="899" spans="1:10" s="42" customFormat="1" ht="15" x14ac:dyDescent="0.25">
      <c r="A899" s="42" t="s">
        <v>145</v>
      </c>
      <c r="B899" s="42">
        <v>141303</v>
      </c>
      <c r="C899" s="42">
        <v>26</v>
      </c>
      <c r="D899" s="42" t="s">
        <v>11</v>
      </c>
      <c r="E899" s="42">
        <v>1003</v>
      </c>
      <c r="F899" s="42">
        <v>2547902</v>
      </c>
      <c r="G899" s="42" t="s">
        <v>142</v>
      </c>
      <c r="H899" s="42">
        <v>234</v>
      </c>
      <c r="I899" s="42">
        <v>130</v>
      </c>
      <c r="J899" s="52">
        <v>4.8611111111111112E-3</v>
      </c>
    </row>
    <row r="900" spans="1:10" s="42" customFormat="1" ht="15" x14ac:dyDescent="0.25">
      <c r="A900" s="42" t="s">
        <v>145</v>
      </c>
      <c r="B900" s="42">
        <v>141303</v>
      </c>
      <c r="C900" s="42">
        <v>27</v>
      </c>
      <c r="D900" s="42" t="s">
        <v>11</v>
      </c>
      <c r="E900" s="42">
        <v>1003</v>
      </c>
      <c r="F900" s="42">
        <v>2547902</v>
      </c>
      <c r="G900" s="42" t="s">
        <v>142</v>
      </c>
      <c r="H900" s="42">
        <v>256</v>
      </c>
      <c r="I900" s="42">
        <v>140</v>
      </c>
      <c r="J900" s="52">
        <v>5.5555555555555558E-3</v>
      </c>
    </row>
    <row r="901" spans="1:10" s="42" customFormat="1" ht="15" x14ac:dyDescent="0.25">
      <c r="A901" s="42" t="s">
        <v>145</v>
      </c>
      <c r="B901" s="42">
        <v>141303</v>
      </c>
      <c r="C901" s="42">
        <v>29</v>
      </c>
      <c r="D901" s="42" t="s">
        <v>11</v>
      </c>
      <c r="E901" s="42">
        <v>1003</v>
      </c>
      <c r="F901" s="42">
        <v>2547902</v>
      </c>
      <c r="G901" s="42" t="s">
        <v>142</v>
      </c>
      <c r="H901" s="42">
        <v>293</v>
      </c>
      <c r="I901" s="42">
        <v>134</v>
      </c>
      <c r="J901" s="52">
        <v>4.8611111111111112E-3</v>
      </c>
    </row>
    <row r="902" spans="1:10" s="42" customFormat="1" ht="15" x14ac:dyDescent="0.25">
      <c r="A902" s="42" t="s">
        <v>145</v>
      </c>
      <c r="B902" s="42">
        <v>141304</v>
      </c>
      <c r="C902" s="42">
        <v>26</v>
      </c>
      <c r="D902" s="42" t="s">
        <v>11</v>
      </c>
      <c r="E902" s="42">
        <v>16378</v>
      </c>
      <c r="F902" s="42">
        <v>2547902</v>
      </c>
      <c r="G902" s="42" t="s">
        <v>142</v>
      </c>
      <c r="H902" s="42">
        <v>234</v>
      </c>
      <c r="I902" s="42">
        <v>30</v>
      </c>
      <c r="J902" s="52">
        <v>1.3888888888888889E-3</v>
      </c>
    </row>
    <row r="903" spans="1:10" s="42" customFormat="1" ht="15" x14ac:dyDescent="0.25">
      <c r="A903" s="42" t="s">
        <v>145</v>
      </c>
      <c r="B903" s="42">
        <v>141304</v>
      </c>
      <c r="C903" s="42">
        <v>27</v>
      </c>
      <c r="D903" s="42" t="s">
        <v>11</v>
      </c>
      <c r="E903" s="42">
        <v>16378</v>
      </c>
      <c r="F903" s="42">
        <v>2547902</v>
      </c>
      <c r="G903" s="42" t="s">
        <v>142</v>
      </c>
      <c r="H903" s="42">
        <v>256</v>
      </c>
      <c r="I903" s="42">
        <v>40</v>
      </c>
      <c r="J903" s="52">
        <v>1.3888888888888889E-3</v>
      </c>
    </row>
    <row r="904" spans="1:10" s="42" customFormat="1" ht="15" x14ac:dyDescent="0.25">
      <c r="A904" s="42" t="s">
        <v>145</v>
      </c>
      <c r="B904" s="42">
        <v>141304</v>
      </c>
      <c r="C904" s="42">
        <v>29</v>
      </c>
      <c r="D904" s="42" t="s">
        <v>11</v>
      </c>
      <c r="E904" s="42">
        <v>16378</v>
      </c>
      <c r="F904" s="42">
        <v>2547902</v>
      </c>
      <c r="G904" s="42" t="s">
        <v>142</v>
      </c>
      <c r="H904" s="42">
        <v>293</v>
      </c>
      <c r="I904" s="42">
        <v>62</v>
      </c>
      <c r="J904" s="52">
        <v>2.0833333333333333E-3</v>
      </c>
    </row>
    <row r="905" spans="1:10" s="42" customFormat="1" ht="15" x14ac:dyDescent="0.25">
      <c r="A905" s="42" t="s">
        <v>145</v>
      </c>
      <c r="B905" s="42">
        <v>141333</v>
      </c>
      <c r="C905" s="42">
        <v>20</v>
      </c>
      <c r="D905" s="42" t="s">
        <v>11</v>
      </c>
      <c r="E905" s="42">
        <v>6725</v>
      </c>
      <c r="F905" s="42">
        <v>2679002</v>
      </c>
      <c r="G905" s="42" t="s">
        <v>143</v>
      </c>
      <c r="H905" s="42">
        <v>234</v>
      </c>
      <c r="I905" s="42">
        <v>164</v>
      </c>
      <c r="J905" s="52">
        <v>6.2499999999999995E-3</v>
      </c>
    </row>
    <row r="906" spans="1:10" s="42" customFormat="1" ht="15" x14ac:dyDescent="0.25">
      <c r="A906" s="42" t="s">
        <v>145</v>
      </c>
      <c r="B906" s="42">
        <v>141333</v>
      </c>
      <c r="C906" s="42">
        <v>21</v>
      </c>
      <c r="D906" s="42" t="s">
        <v>11</v>
      </c>
      <c r="E906" s="42">
        <v>6725</v>
      </c>
      <c r="F906" s="42">
        <v>2679002</v>
      </c>
      <c r="G906" s="42" t="s">
        <v>143</v>
      </c>
      <c r="H906" s="42">
        <v>256</v>
      </c>
      <c r="I906" s="42">
        <v>570</v>
      </c>
      <c r="J906" s="52">
        <v>2.2222222222222223E-2</v>
      </c>
    </row>
    <row r="907" spans="1:10" s="42" customFormat="1" ht="15" x14ac:dyDescent="0.25">
      <c r="A907" s="42" t="s">
        <v>145</v>
      </c>
      <c r="B907" s="42">
        <v>141333</v>
      </c>
      <c r="C907" s="42">
        <v>23</v>
      </c>
      <c r="D907" s="42" t="s">
        <v>11</v>
      </c>
      <c r="E907" s="42">
        <v>6725</v>
      </c>
      <c r="F907" s="42">
        <v>2679002</v>
      </c>
      <c r="G907" s="42" t="s">
        <v>143</v>
      </c>
      <c r="H907" s="42">
        <v>293</v>
      </c>
      <c r="I907" s="42">
        <v>812</v>
      </c>
      <c r="J907" s="52">
        <v>3.125E-2</v>
      </c>
    </row>
    <row r="908" spans="1:10" s="42" customFormat="1" ht="15" x14ac:dyDescent="0.25">
      <c r="A908" s="42" t="s">
        <v>145</v>
      </c>
      <c r="B908" s="42">
        <v>141334</v>
      </c>
      <c r="C908" s="42">
        <v>21</v>
      </c>
      <c r="D908" s="42" t="s">
        <v>11</v>
      </c>
      <c r="E908" s="42">
        <v>1306</v>
      </c>
      <c r="F908" s="42">
        <v>2679002</v>
      </c>
      <c r="G908" s="42" t="s">
        <v>143</v>
      </c>
      <c r="H908" s="42">
        <v>256</v>
      </c>
      <c r="I908" s="42">
        <v>788</v>
      </c>
      <c r="J908" s="52">
        <v>3.0555555555555555E-2</v>
      </c>
    </row>
    <row r="909" spans="1:10" s="42" customFormat="1" ht="15" x14ac:dyDescent="0.25">
      <c r="A909" s="42" t="s">
        <v>145</v>
      </c>
      <c r="B909" s="42">
        <v>141334</v>
      </c>
      <c r="C909" s="42">
        <v>23</v>
      </c>
      <c r="D909" s="42" t="s">
        <v>11</v>
      </c>
      <c r="E909" s="42">
        <v>1306</v>
      </c>
      <c r="F909" s="42">
        <v>2679002</v>
      </c>
      <c r="G909" s="42" t="s">
        <v>143</v>
      </c>
      <c r="H909" s="42">
        <v>293</v>
      </c>
      <c r="I909" s="53">
        <v>1108</v>
      </c>
      <c r="J909" s="52">
        <v>4.2361111111111106E-2</v>
      </c>
    </row>
    <row r="910" spans="1:10" s="42" customFormat="1" ht="15" x14ac:dyDescent="0.25">
      <c r="A910" s="42" t="s">
        <v>145</v>
      </c>
      <c r="B910" s="42">
        <v>141336</v>
      </c>
      <c r="C910" s="42">
        <v>17</v>
      </c>
      <c r="D910" s="42" t="s">
        <v>11</v>
      </c>
      <c r="E910" s="42">
        <v>1369</v>
      </c>
      <c r="F910" s="42">
        <v>2679002</v>
      </c>
      <c r="G910" s="42" t="s">
        <v>143</v>
      </c>
      <c r="H910" s="42">
        <v>256</v>
      </c>
      <c r="I910" s="42">
        <v>120</v>
      </c>
      <c r="J910" s="52">
        <v>4.8611111111111112E-3</v>
      </c>
    </row>
    <row r="911" spans="1:10" s="42" customFormat="1" ht="15" x14ac:dyDescent="0.25">
      <c r="A911" s="42" t="s">
        <v>145</v>
      </c>
      <c r="B911" s="42">
        <v>141336</v>
      </c>
      <c r="C911" s="42">
        <v>19</v>
      </c>
      <c r="D911" s="42" t="s">
        <v>11</v>
      </c>
      <c r="E911" s="42">
        <v>1369</v>
      </c>
      <c r="F911" s="42">
        <v>2679002</v>
      </c>
      <c r="G911" s="42" t="s">
        <v>143</v>
      </c>
      <c r="H911" s="42">
        <v>293</v>
      </c>
      <c r="I911" s="42">
        <v>162</v>
      </c>
      <c r="J911" s="52">
        <v>6.2499999999999995E-3</v>
      </c>
    </row>
    <row r="912" spans="1:10" s="42" customFormat="1" ht="15" x14ac:dyDescent="0.25">
      <c r="A912" s="42" t="s">
        <v>145</v>
      </c>
      <c r="B912" s="42">
        <v>141337</v>
      </c>
      <c r="C912" s="42">
        <v>20</v>
      </c>
      <c r="D912" s="42" t="s">
        <v>11</v>
      </c>
      <c r="E912" s="42">
        <v>1365</v>
      </c>
      <c r="F912" s="42">
        <v>2679002</v>
      </c>
      <c r="G912" s="42" t="s">
        <v>143</v>
      </c>
      <c r="H912" s="42">
        <v>234</v>
      </c>
      <c r="I912" s="42">
        <v>290</v>
      </c>
      <c r="J912" s="52">
        <v>1.1111111111111112E-2</v>
      </c>
    </row>
    <row r="913" spans="1:10" s="42" customFormat="1" ht="15" x14ac:dyDescent="0.25">
      <c r="A913" s="42" t="s">
        <v>145</v>
      </c>
      <c r="B913" s="42">
        <v>141337</v>
      </c>
      <c r="C913" s="42">
        <v>21</v>
      </c>
      <c r="D913" s="42" t="s">
        <v>11</v>
      </c>
      <c r="E913" s="42">
        <v>1365</v>
      </c>
      <c r="F913" s="42">
        <v>2679002</v>
      </c>
      <c r="G913" s="42" t="s">
        <v>143</v>
      </c>
      <c r="H913" s="42">
        <v>256</v>
      </c>
      <c r="I913" s="42">
        <v>690</v>
      </c>
      <c r="J913" s="52">
        <v>2.7083333333333334E-2</v>
      </c>
    </row>
    <row r="914" spans="1:10" s="42" customFormat="1" ht="15" x14ac:dyDescent="0.25">
      <c r="A914" s="42" t="s">
        <v>145</v>
      </c>
      <c r="B914" s="42">
        <v>141337</v>
      </c>
      <c r="C914" s="42">
        <v>23</v>
      </c>
      <c r="D914" s="42" t="s">
        <v>11</v>
      </c>
      <c r="E914" s="42">
        <v>1365</v>
      </c>
      <c r="F914" s="42">
        <v>2679002</v>
      </c>
      <c r="G914" s="42" t="s">
        <v>143</v>
      </c>
      <c r="H914" s="42">
        <v>293</v>
      </c>
      <c r="I914" s="42">
        <v>982</v>
      </c>
      <c r="J914" s="52">
        <v>3.7499999999999999E-2</v>
      </c>
    </row>
    <row r="915" spans="1:10" s="42" customFormat="1" ht="15" x14ac:dyDescent="0.25">
      <c r="A915" s="42" t="s">
        <v>145</v>
      </c>
      <c r="B915" s="42">
        <v>141338</v>
      </c>
      <c r="C915" s="42">
        <v>20</v>
      </c>
      <c r="D915" s="42" t="s">
        <v>11</v>
      </c>
      <c r="E915" s="42">
        <v>1003</v>
      </c>
      <c r="F915" s="42">
        <v>2679002</v>
      </c>
      <c r="G915" s="42" t="s">
        <v>143</v>
      </c>
      <c r="H915" s="42">
        <v>234</v>
      </c>
      <c r="I915" s="42">
        <v>40</v>
      </c>
      <c r="J915" s="52">
        <v>1.3888888888888889E-3</v>
      </c>
    </row>
    <row r="916" spans="1:10" s="42" customFormat="1" ht="15" x14ac:dyDescent="0.25">
      <c r="A916" s="42" t="s">
        <v>145</v>
      </c>
      <c r="B916" s="42">
        <v>141338</v>
      </c>
      <c r="C916" s="42">
        <v>21</v>
      </c>
      <c r="D916" s="42" t="s">
        <v>11</v>
      </c>
      <c r="E916" s="42">
        <v>1003</v>
      </c>
      <c r="F916" s="42">
        <v>2679002</v>
      </c>
      <c r="G916" s="42" t="s">
        <v>143</v>
      </c>
      <c r="H916" s="42">
        <v>256</v>
      </c>
      <c r="I916" s="42">
        <v>294</v>
      </c>
      <c r="J916" s="52">
        <v>1.1111111111111112E-2</v>
      </c>
    </row>
    <row r="917" spans="1:10" s="42" customFormat="1" ht="15" x14ac:dyDescent="0.25">
      <c r="A917" s="42" t="s">
        <v>145</v>
      </c>
      <c r="B917" s="42">
        <v>141420</v>
      </c>
      <c r="C917" s="42">
        <v>17</v>
      </c>
      <c r="D917" s="42" t="s">
        <v>11</v>
      </c>
      <c r="E917" s="42">
        <v>1003</v>
      </c>
      <c r="F917" s="42">
        <v>1181802</v>
      </c>
      <c r="G917" s="42" t="s">
        <v>119</v>
      </c>
      <c r="H917" s="42">
        <v>378</v>
      </c>
      <c r="I917" s="42">
        <v>116</v>
      </c>
      <c r="J917" s="52">
        <v>1.3888888888888888E-2</v>
      </c>
    </row>
    <row r="918" spans="1:10" s="42" customFormat="1" ht="15" x14ac:dyDescent="0.25">
      <c r="A918" s="42" t="s">
        <v>145</v>
      </c>
      <c r="B918" s="42">
        <v>141422</v>
      </c>
      <c r="C918" s="42">
        <v>17</v>
      </c>
      <c r="D918" s="42" t="s">
        <v>11</v>
      </c>
      <c r="E918" s="42">
        <v>1003</v>
      </c>
      <c r="F918" s="42">
        <v>1181802</v>
      </c>
      <c r="G918" s="42" t="s">
        <v>119</v>
      </c>
      <c r="H918" s="42">
        <v>378</v>
      </c>
      <c r="I918" s="42">
        <v>160</v>
      </c>
      <c r="J918" s="52">
        <v>1.9444444444444445E-2</v>
      </c>
    </row>
    <row r="919" spans="1:10" s="42" customFormat="1" ht="15" x14ac:dyDescent="0.25">
      <c r="A919" s="42" t="s">
        <v>145</v>
      </c>
      <c r="B919" s="42">
        <v>141472</v>
      </c>
      <c r="C919" s="42">
        <v>14</v>
      </c>
      <c r="D919" s="42" t="s">
        <v>11</v>
      </c>
      <c r="E919" s="42">
        <v>1003</v>
      </c>
      <c r="F919" s="42">
        <v>576602</v>
      </c>
      <c r="G919" s="42" t="s">
        <v>146</v>
      </c>
      <c r="H919" s="42">
        <v>256</v>
      </c>
      <c r="I919" s="42">
        <v>476</v>
      </c>
      <c r="J919" s="52">
        <v>1.8749999999999999E-2</v>
      </c>
    </row>
    <row r="920" spans="1:10" s="42" customFormat="1" ht="15" x14ac:dyDescent="0.25">
      <c r="A920" s="42" t="s">
        <v>145</v>
      </c>
      <c r="B920" s="42">
        <v>141472</v>
      </c>
      <c r="C920" s="42">
        <v>16</v>
      </c>
      <c r="D920" s="42" t="s">
        <v>11</v>
      </c>
      <c r="E920" s="42">
        <v>1003</v>
      </c>
      <c r="F920" s="42">
        <v>576602</v>
      </c>
      <c r="G920" s="42" t="s">
        <v>146</v>
      </c>
      <c r="H920" s="42">
        <v>293</v>
      </c>
      <c r="I920" s="42">
        <v>58</v>
      </c>
      <c r="J920" s="52">
        <v>2.0833333333333333E-3</v>
      </c>
    </row>
    <row r="921" spans="1:10" s="42" customFormat="1" ht="15" x14ac:dyDescent="0.25">
      <c r="A921" s="42" t="s">
        <v>145</v>
      </c>
      <c r="B921" s="42">
        <v>147595</v>
      </c>
      <c r="C921" s="42">
        <v>1</v>
      </c>
      <c r="D921" s="42" t="s">
        <v>11</v>
      </c>
      <c r="E921" s="42">
        <v>30007</v>
      </c>
      <c r="F921" s="42">
        <v>8041502</v>
      </c>
      <c r="G921" s="42" t="s">
        <v>141</v>
      </c>
      <c r="H921" s="42">
        <v>456</v>
      </c>
      <c r="I921" s="42">
        <v>52</v>
      </c>
      <c r="J921" s="52">
        <v>2.0833333333333333E-3</v>
      </c>
    </row>
    <row r="922" spans="1:10" s="42" customFormat="1" ht="15" x14ac:dyDescent="0.25">
      <c r="A922" s="42" t="s">
        <v>147</v>
      </c>
      <c r="B922" s="42">
        <v>121045</v>
      </c>
      <c r="C922" s="42">
        <v>20</v>
      </c>
      <c r="D922" s="42" t="s">
        <v>11</v>
      </c>
      <c r="E922" s="42">
        <v>16571</v>
      </c>
      <c r="F922" s="42">
        <v>8259102</v>
      </c>
      <c r="G922" s="42" t="s">
        <v>148</v>
      </c>
      <c r="H922" s="42">
        <v>360</v>
      </c>
      <c r="I922" s="53">
        <v>1446</v>
      </c>
      <c r="J922" s="52">
        <v>6.1805555555555558E-2</v>
      </c>
    </row>
    <row r="923" spans="1:10" s="42" customFormat="1" ht="15" x14ac:dyDescent="0.25">
      <c r="A923" s="42" t="s">
        <v>147</v>
      </c>
      <c r="B923" s="42">
        <v>133232</v>
      </c>
      <c r="C923" s="42">
        <v>71</v>
      </c>
      <c r="D923" s="42" t="s">
        <v>11</v>
      </c>
      <c r="E923" s="42">
        <v>13788</v>
      </c>
      <c r="F923" s="42">
        <v>1916789</v>
      </c>
      <c r="G923" s="42" t="s">
        <v>149</v>
      </c>
      <c r="H923" s="42">
        <v>178</v>
      </c>
      <c r="I923" s="42">
        <v>142</v>
      </c>
      <c r="J923" s="52">
        <v>0</v>
      </c>
    </row>
    <row r="924" spans="1:10" s="42" customFormat="1" ht="15" x14ac:dyDescent="0.25">
      <c r="A924" s="42" t="s">
        <v>147</v>
      </c>
      <c r="B924" s="42">
        <v>133232</v>
      </c>
      <c r="C924" s="42">
        <v>71</v>
      </c>
      <c r="D924" s="42" t="s">
        <v>11</v>
      </c>
      <c r="E924" s="42">
        <v>13788</v>
      </c>
      <c r="F924" s="42">
        <v>1916789</v>
      </c>
      <c r="G924" s="42" t="s">
        <v>149</v>
      </c>
      <c r="H924" s="42">
        <v>234</v>
      </c>
      <c r="I924" s="42">
        <v>250</v>
      </c>
      <c r="J924" s="52">
        <v>0.27430555555555552</v>
      </c>
    </row>
    <row r="925" spans="1:10" s="42" customFormat="1" ht="15" x14ac:dyDescent="0.25">
      <c r="A925" s="42" t="s">
        <v>147</v>
      </c>
      <c r="B925" s="42">
        <v>133232</v>
      </c>
      <c r="C925" s="42">
        <v>71</v>
      </c>
      <c r="D925" s="42" t="s">
        <v>11</v>
      </c>
      <c r="E925" s="42">
        <v>13788</v>
      </c>
      <c r="F925" s="42">
        <v>1916789</v>
      </c>
      <c r="G925" s="42" t="s">
        <v>149</v>
      </c>
      <c r="H925" s="42">
        <v>250</v>
      </c>
      <c r="I925" s="42">
        <v>200</v>
      </c>
      <c r="J925" s="52">
        <v>0</v>
      </c>
    </row>
    <row r="926" spans="1:10" s="42" customFormat="1" ht="15" x14ac:dyDescent="0.25">
      <c r="A926" s="42" t="s">
        <v>147</v>
      </c>
      <c r="B926" s="42">
        <v>133232</v>
      </c>
      <c r="C926" s="42">
        <v>71</v>
      </c>
      <c r="D926" s="42" t="s">
        <v>11</v>
      </c>
      <c r="E926" s="42">
        <v>13788</v>
      </c>
      <c r="F926" s="42">
        <v>1916789</v>
      </c>
      <c r="G926" s="42" t="s">
        <v>149</v>
      </c>
      <c r="H926" s="42">
        <v>267</v>
      </c>
      <c r="I926" s="42">
        <v>200</v>
      </c>
      <c r="J926" s="52">
        <v>0</v>
      </c>
    </row>
    <row r="927" spans="1:10" s="42" customFormat="1" ht="15" x14ac:dyDescent="0.25">
      <c r="A927" s="42" t="s">
        <v>147</v>
      </c>
      <c r="B927" s="42">
        <v>133232</v>
      </c>
      <c r="C927" s="42">
        <v>72</v>
      </c>
      <c r="D927" s="42" t="s">
        <v>11</v>
      </c>
      <c r="E927" s="42">
        <v>13788</v>
      </c>
      <c r="F927" s="42">
        <v>1916789</v>
      </c>
      <c r="G927" s="42" t="s">
        <v>149</v>
      </c>
      <c r="H927" s="42">
        <v>190</v>
      </c>
      <c r="I927" s="42">
        <v>254</v>
      </c>
      <c r="J927" s="52">
        <v>0</v>
      </c>
    </row>
    <row r="928" spans="1:10" s="42" customFormat="1" ht="15" x14ac:dyDescent="0.25">
      <c r="A928" s="42" t="s">
        <v>147</v>
      </c>
      <c r="B928" s="42">
        <v>133232</v>
      </c>
      <c r="C928" s="42">
        <v>72</v>
      </c>
      <c r="D928" s="42" t="s">
        <v>11</v>
      </c>
      <c r="E928" s="42">
        <v>13788</v>
      </c>
      <c r="F928" s="42">
        <v>1916789</v>
      </c>
      <c r="G928" s="42" t="s">
        <v>149</v>
      </c>
      <c r="H928" s="42">
        <v>200</v>
      </c>
      <c r="I928" s="42">
        <v>232</v>
      </c>
      <c r="J928" s="52">
        <v>0</v>
      </c>
    </row>
    <row r="929" spans="1:10" s="42" customFormat="1" ht="15" x14ac:dyDescent="0.25">
      <c r="A929" s="42" t="s">
        <v>147</v>
      </c>
      <c r="B929" s="42">
        <v>133232</v>
      </c>
      <c r="C929" s="42">
        <v>72</v>
      </c>
      <c r="D929" s="42" t="s">
        <v>11</v>
      </c>
      <c r="E929" s="42">
        <v>13788</v>
      </c>
      <c r="F929" s="42">
        <v>1916789</v>
      </c>
      <c r="G929" s="42" t="s">
        <v>149</v>
      </c>
      <c r="H929" s="42">
        <v>210</v>
      </c>
      <c r="I929" s="42">
        <v>290</v>
      </c>
      <c r="J929" s="52">
        <v>0.31805555555555554</v>
      </c>
    </row>
    <row r="930" spans="1:10" s="42" customFormat="1" ht="15" x14ac:dyDescent="0.25">
      <c r="A930" s="42" t="s">
        <v>147</v>
      </c>
      <c r="B930" s="42">
        <v>133232</v>
      </c>
      <c r="C930" s="42">
        <v>72</v>
      </c>
      <c r="D930" s="42" t="s">
        <v>11</v>
      </c>
      <c r="E930" s="42">
        <v>13788</v>
      </c>
      <c r="F930" s="42">
        <v>1916789</v>
      </c>
      <c r="G930" s="42" t="s">
        <v>149</v>
      </c>
      <c r="H930" s="42">
        <v>220</v>
      </c>
      <c r="I930" s="42">
        <v>254</v>
      </c>
      <c r="J930" s="52">
        <v>0</v>
      </c>
    </row>
    <row r="931" spans="1:10" s="42" customFormat="1" ht="15" x14ac:dyDescent="0.25">
      <c r="A931" s="42" t="s">
        <v>147</v>
      </c>
      <c r="B931" s="42">
        <v>133233</v>
      </c>
      <c r="C931" s="42">
        <v>71</v>
      </c>
      <c r="D931" s="42" t="s">
        <v>11</v>
      </c>
      <c r="E931" s="42">
        <v>13844</v>
      </c>
      <c r="F931" s="42">
        <v>1916789</v>
      </c>
      <c r="G931" s="42" t="s">
        <v>149</v>
      </c>
      <c r="H931" s="42">
        <v>178</v>
      </c>
      <c r="I931" s="42">
        <v>50</v>
      </c>
      <c r="J931" s="52">
        <v>0</v>
      </c>
    </row>
    <row r="932" spans="1:10" s="42" customFormat="1" ht="15" x14ac:dyDescent="0.25">
      <c r="A932" s="42" t="s">
        <v>147</v>
      </c>
      <c r="B932" s="42">
        <v>133233</v>
      </c>
      <c r="C932" s="42">
        <v>71</v>
      </c>
      <c r="D932" s="42" t="s">
        <v>11</v>
      </c>
      <c r="E932" s="42">
        <v>13844</v>
      </c>
      <c r="F932" s="42">
        <v>1916789</v>
      </c>
      <c r="G932" s="42" t="s">
        <v>149</v>
      </c>
      <c r="H932" s="42">
        <v>234</v>
      </c>
      <c r="I932" s="42">
        <v>90</v>
      </c>
      <c r="J932" s="52">
        <v>9.8611111111111108E-2</v>
      </c>
    </row>
    <row r="933" spans="1:10" s="42" customFormat="1" ht="15" x14ac:dyDescent="0.25">
      <c r="A933" s="42" t="s">
        <v>147</v>
      </c>
      <c r="B933" s="42">
        <v>133233</v>
      </c>
      <c r="C933" s="42">
        <v>71</v>
      </c>
      <c r="D933" s="42" t="s">
        <v>11</v>
      </c>
      <c r="E933" s="42">
        <v>13844</v>
      </c>
      <c r="F933" s="42">
        <v>1916789</v>
      </c>
      <c r="G933" s="42" t="s">
        <v>149</v>
      </c>
      <c r="H933" s="42">
        <v>250</v>
      </c>
      <c r="I933" s="42">
        <v>90</v>
      </c>
      <c r="J933" s="52">
        <v>0</v>
      </c>
    </row>
    <row r="934" spans="1:10" s="42" customFormat="1" ht="15" x14ac:dyDescent="0.25">
      <c r="A934" s="42" t="s">
        <v>147</v>
      </c>
      <c r="B934" s="42">
        <v>133233</v>
      </c>
      <c r="C934" s="42">
        <v>71</v>
      </c>
      <c r="D934" s="42" t="s">
        <v>11</v>
      </c>
      <c r="E934" s="42">
        <v>13844</v>
      </c>
      <c r="F934" s="42">
        <v>1916789</v>
      </c>
      <c r="G934" s="42" t="s">
        <v>149</v>
      </c>
      <c r="H934" s="42">
        <v>267</v>
      </c>
      <c r="I934" s="42">
        <v>90</v>
      </c>
      <c r="J934" s="52">
        <v>0</v>
      </c>
    </row>
    <row r="935" spans="1:10" s="42" customFormat="1" ht="15" x14ac:dyDescent="0.25">
      <c r="A935" s="42" t="s">
        <v>147</v>
      </c>
      <c r="B935" s="42">
        <v>133235</v>
      </c>
      <c r="C935" s="42">
        <v>66</v>
      </c>
      <c r="D935" s="42" t="s">
        <v>11</v>
      </c>
      <c r="E935" s="42">
        <v>14406</v>
      </c>
      <c r="F935" s="42">
        <v>1916789</v>
      </c>
      <c r="G935" s="42" t="s">
        <v>149</v>
      </c>
      <c r="H935" s="42">
        <v>234</v>
      </c>
      <c r="I935" s="42">
        <v>114</v>
      </c>
      <c r="J935" s="52">
        <v>0.125</v>
      </c>
    </row>
    <row r="936" spans="1:10" s="42" customFormat="1" ht="15" x14ac:dyDescent="0.25">
      <c r="A936" s="42" t="s">
        <v>147</v>
      </c>
      <c r="B936" s="42">
        <v>133235</v>
      </c>
      <c r="C936" s="42">
        <v>66</v>
      </c>
      <c r="D936" s="42" t="s">
        <v>11</v>
      </c>
      <c r="E936" s="42">
        <v>14406</v>
      </c>
      <c r="F936" s="42">
        <v>1916789</v>
      </c>
      <c r="G936" s="42" t="s">
        <v>149</v>
      </c>
      <c r="H936" s="42">
        <v>250</v>
      </c>
      <c r="I936" s="42">
        <v>78</v>
      </c>
      <c r="J936" s="52">
        <v>0</v>
      </c>
    </row>
    <row r="937" spans="1:10" s="42" customFormat="1" ht="15" x14ac:dyDescent="0.25">
      <c r="A937" s="42" t="s">
        <v>147</v>
      </c>
      <c r="B937" s="42">
        <v>133235</v>
      </c>
      <c r="C937" s="42">
        <v>66</v>
      </c>
      <c r="D937" s="42" t="s">
        <v>11</v>
      </c>
      <c r="E937" s="42">
        <v>14406</v>
      </c>
      <c r="F937" s="42">
        <v>1916789</v>
      </c>
      <c r="G937" s="42" t="s">
        <v>149</v>
      </c>
      <c r="H937" s="42">
        <v>267</v>
      </c>
      <c r="I937" s="42">
        <v>58</v>
      </c>
      <c r="J937" s="52">
        <v>0</v>
      </c>
    </row>
    <row r="938" spans="1:10" s="42" customFormat="1" ht="15" x14ac:dyDescent="0.25">
      <c r="A938" s="42" t="s">
        <v>150</v>
      </c>
      <c r="B938" s="42">
        <v>141573</v>
      </c>
      <c r="C938" s="42">
        <v>37</v>
      </c>
      <c r="D938" s="42" t="s">
        <v>11</v>
      </c>
      <c r="E938" s="42">
        <v>1276</v>
      </c>
      <c r="F938" s="42">
        <v>2737102</v>
      </c>
      <c r="G938" s="42" t="s">
        <v>151</v>
      </c>
      <c r="H938" s="42">
        <v>370</v>
      </c>
      <c r="I938" s="42">
        <v>186</v>
      </c>
      <c r="J938" s="52">
        <v>4.4444444444444446E-2</v>
      </c>
    </row>
    <row r="939" spans="1:10" s="42" customFormat="1" ht="15" x14ac:dyDescent="0.25">
      <c r="A939" s="42" t="s">
        <v>150</v>
      </c>
      <c r="B939" s="42">
        <v>146142</v>
      </c>
      <c r="C939" s="42">
        <v>29</v>
      </c>
      <c r="D939" s="42" t="s">
        <v>11</v>
      </c>
      <c r="E939" s="42">
        <v>1276</v>
      </c>
      <c r="F939" s="42">
        <v>2737102</v>
      </c>
      <c r="G939" s="42" t="s">
        <v>151</v>
      </c>
      <c r="H939" s="42">
        <v>334</v>
      </c>
      <c r="I939" s="42">
        <v>42</v>
      </c>
      <c r="J939" s="52">
        <v>9.7222222222222224E-3</v>
      </c>
    </row>
    <row r="940" spans="1:10" s="42" customFormat="1" ht="15" x14ac:dyDescent="0.25">
      <c r="A940" s="42" t="s">
        <v>150</v>
      </c>
      <c r="B940" s="42">
        <v>146142</v>
      </c>
      <c r="C940" s="42">
        <v>32</v>
      </c>
      <c r="D940" s="42" t="s">
        <v>11</v>
      </c>
      <c r="E940" s="42">
        <v>1276</v>
      </c>
      <c r="F940" s="42">
        <v>2737102</v>
      </c>
      <c r="G940" s="42" t="s">
        <v>151</v>
      </c>
      <c r="H940" s="42">
        <v>370</v>
      </c>
      <c r="I940" s="42">
        <v>74</v>
      </c>
      <c r="J940" s="52">
        <v>1.7361111111111112E-2</v>
      </c>
    </row>
    <row r="941" spans="1:10" s="42" customFormat="1" ht="15" x14ac:dyDescent="0.25">
      <c r="A941" s="42" t="s">
        <v>150</v>
      </c>
      <c r="B941" s="42">
        <v>146142</v>
      </c>
      <c r="C941" s="42">
        <v>33</v>
      </c>
      <c r="D941" s="42" t="s">
        <v>11</v>
      </c>
      <c r="E941" s="42">
        <v>1276</v>
      </c>
      <c r="F941" s="42">
        <v>2737102</v>
      </c>
      <c r="G941" s="42" t="s">
        <v>151</v>
      </c>
      <c r="H941" s="42">
        <v>380</v>
      </c>
      <c r="I941" s="42">
        <v>28</v>
      </c>
      <c r="J941" s="52">
        <v>6.9444444444444441E-3</v>
      </c>
    </row>
    <row r="942" spans="1:10" s="42" customFormat="1" ht="15" x14ac:dyDescent="0.25">
      <c r="A942" s="42" t="s">
        <v>150</v>
      </c>
      <c r="B942" s="42">
        <v>146143</v>
      </c>
      <c r="C942" s="42">
        <v>15</v>
      </c>
      <c r="D942" s="42" t="s">
        <v>11</v>
      </c>
      <c r="E942" s="42">
        <v>16478</v>
      </c>
      <c r="F942" s="42">
        <v>2737102</v>
      </c>
      <c r="G942" s="42" t="s">
        <v>151</v>
      </c>
      <c r="H942" s="42">
        <v>370</v>
      </c>
      <c r="I942" s="42">
        <v>20</v>
      </c>
      <c r="J942" s="52">
        <v>4.8611111111111112E-3</v>
      </c>
    </row>
    <row r="943" spans="1:10" s="42" customFormat="1" ht="15" x14ac:dyDescent="0.25">
      <c r="A943" s="42" t="s">
        <v>150</v>
      </c>
      <c r="B943" s="42">
        <v>146620</v>
      </c>
      <c r="C943" s="42">
        <v>34</v>
      </c>
      <c r="D943" s="42" t="s">
        <v>11</v>
      </c>
      <c r="E943" s="42">
        <v>1576</v>
      </c>
      <c r="F943" s="42">
        <v>2737102</v>
      </c>
      <c r="G943" s="42" t="s">
        <v>151</v>
      </c>
      <c r="H943" s="42">
        <v>334</v>
      </c>
      <c r="I943" s="42">
        <v>116</v>
      </c>
      <c r="J943" s="52">
        <v>2.7777777777777776E-2</v>
      </c>
    </row>
    <row r="944" spans="1:10" s="42" customFormat="1" ht="15" x14ac:dyDescent="0.25">
      <c r="A944" s="42" t="s">
        <v>150</v>
      </c>
      <c r="B944" s="42">
        <v>146620</v>
      </c>
      <c r="C944" s="42">
        <v>35</v>
      </c>
      <c r="D944" s="42" t="s">
        <v>11</v>
      </c>
      <c r="E944" s="42">
        <v>1576</v>
      </c>
      <c r="F944" s="42">
        <v>2737102</v>
      </c>
      <c r="G944" s="42" t="s">
        <v>151</v>
      </c>
      <c r="H944" s="42">
        <v>350</v>
      </c>
      <c r="I944" s="42">
        <v>276</v>
      </c>
      <c r="J944" s="52">
        <v>6.458333333333334E-2</v>
      </c>
    </row>
    <row r="945" spans="1:10" s="42" customFormat="1" ht="15" x14ac:dyDescent="0.25">
      <c r="A945" s="42" t="s">
        <v>150</v>
      </c>
      <c r="B945" s="42">
        <v>146620</v>
      </c>
      <c r="C945" s="42">
        <v>37</v>
      </c>
      <c r="D945" s="42" t="s">
        <v>11</v>
      </c>
      <c r="E945" s="42">
        <v>1576</v>
      </c>
      <c r="F945" s="42">
        <v>2737102</v>
      </c>
      <c r="G945" s="42" t="s">
        <v>151</v>
      </c>
      <c r="H945" s="42">
        <v>370</v>
      </c>
      <c r="I945" s="42">
        <v>270</v>
      </c>
      <c r="J945" s="52">
        <v>6.458333333333334E-2</v>
      </c>
    </row>
    <row r="946" spans="1:10" s="42" customFormat="1" ht="15" x14ac:dyDescent="0.25">
      <c r="A946" s="42" t="s">
        <v>150</v>
      </c>
      <c r="B946" s="42">
        <v>146620</v>
      </c>
      <c r="C946" s="42">
        <v>38</v>
      </c>
      <c r="D946" s="42" t="s">
        <v>11</v>
      </c>
      <c r="E946" s="42">
        <v>1576</v>
      </c>
      <c r="F946" s="42">
        <v>2737102</v>
      </c>
      <c r="G946" s="42" t="s">
        <v>151</v>
      </c>
      <c r="H946" s="42">
        <v>380</v>
      </c>
      <c r="I946" s="42">
        <v>170</v>
      </c>
      <c r="J946" s="52">
        <v>4.3750000000000004E-2</v>
      </c>
    </row>
    <row r="947" spans="1:10" s="42" customFormat="1" ht="15" x14ac:dyDescent="0.25">
      <c r="A947" s="42" t="s">
        <v>150</v>
      </c>
      <c r="B947" s="42">
        <v>146621</v>
      </c>
      <c r="C947" s="42">
        <v>34</v>
      </c>
      <c r="D947" s="42" t="s">
        <v>11</v>
      </c>
      <c r="E947" s="42">
        <v>16601</v>
      </c>
      <c r="F947" s="42">
        <v>2737102</v>
      </c>
      <c r="G947" s="42" t="s">
        <v>151</v>
      </c>
      <c r="H947" s="42">
        <v>334</v>
      </c>
      <c r="I947" s="42">
        <v>40</v>
      </c>
      <c r="J947" s="52">
        <v>9.7222222222222224E-3</v>
      </c>
    </row>
    <row r="948" spans="1:10" s="42" customFormat="1" ht="15" x14ac:dyDescent="0.25">
      <c r="A948" s="42" t="s">
        <v>150</v>
      </c>
      <c r="B948" s="42">
        <v>146621</v>
      </c>
      <c r="C948" s="42">
        <v>35</v>
      </c>
      <c r="D948" s="42" t="s">
        <v>11</v>
      </c>
      <c r="E948" s="42">
        <v>16601</v>
      </c>
      <c r="F948" s="42">
        <v>2737102</v>
      </c>
      <c r="G948" s="42" t="s">
        <v>151</v>
      </c>
      <c r="H948" s="42">
        <v>350</v>
      </c>
      <c r="I948" s="42">
        <v>90</v>
      </c>
      <c r="J948" s="52">
        <v>2.0833333333333332E-2</v>
      </c>
    </row>
    <row r="949" spans="1:10" s="42" customFormat="1" ht="15" x14ac:dyDescent="0.25">
      <c r="A949" s="42" t="s">
        <v>150</v>
      </c>
      <c r="B949" s="42">
        <v>146621</v>
      </c>
      <c r="C949" s="42">
        <v>37</v>
      </c>
      <c r="D949" s="42" t="s">
        <v>11</v>
      </c>
      <c r="E949" s="42">
        <v>16601</v>
      </c>
      <c r="F949" s="42">
        <v>2737102</v>
      </c>
      <c r="G949" s="42" t="s">
        <v>151</v>
      </c>
      <c r="H949" s="42">
        <v>370</v>
      </c>
      <c r="I949" s="42">
        <v>72</v>
      </c>
      <c r="J949" s="52">
        <v>1.7361111111111112E-2</v>
      </c>
    </row>
    <row r="950" spans="1:10" s="42" customFormat="1" ht="15" x14ac:dyDescent="0.25">
      <c r="A950" s="42" t="s">
        <v>150</v>
      </c>
      <c r="B950" s="42">
        <v>146621</v>
      </c>
      <c r="C950" s="42">
        <v>38</v>
      </c>
      <c r="D950" s="42" t="s">
        <v>11</v>
      </c>
      <c r="E950" s="42">
        <v>16601</v>
      </c>
      <c r="F950" s="42">
        <v>2737102</v>
      </c>
      <c r="G950" s="42" t="s">
        <v>151</v>
      </c>
      <c r="H950" s="42">
        <v>380</v>
      </c>
      <c r="I950" s="42">
        <v>48</v>
      </c>
      <c r="J950" s="52">
        <v>1.2499999999999999E-2</v>
      </c>
    </row>
    <row r="951" spans="1:10" s="42" customFormat="1" ht="15" x14ac:dyDescent="0.25">
      <c r="A951" s="42" t="s">
        <v>150</v>
      </c>
      <c r="B951" s="42">
        <v>146622</v>
      </c>
      <c r="C951" s="42">
        <v>34</v>
      </c>
      <c r="D951" s="42" t="s">
        <v>11</v>
      </c>
      <c r="E951" s="42">
        <v>1358</v>
      </c>
      <c r="F951" s="42">
        <v>2737102</v>
      </c>
      <c r="G951" s="42" t="s">
        <v>151</v>
      </c>
      <c r="H951" s="42">
        <v>334</v>
      </c>
      <c r="I951" s="42">
        <v>52</v>
      </c>
      <c r="J951" s="52">
        <v>1.2499999999999999E-2</v>
      </c>
    </row>
    <row r="952" spans="1:10" s="42" customFormat="1" ht="15" x14ac:dyDescent="0.25">
      <c r="A952" s="42" t="s">
        <v>150</v>
      </c>
      <c r="B952" s="42">
        <v>146622</v>
      </c>
      <c r="C952" s="42">
        <v>35</v>
      </c>
      <c r="D952" s="42" t="s">
        <v>11</v>
      </c>
      <c r="E952" s="42">
        <v>1358</v>
      </c>
      <c r="F952" s="42">
        <v>2737102</v>
      </c>
      <c r="G952" s="42" t="s">
        <v>151</v>
      </c>
      <c r="H952" s="42">
        <v>350</v>
      </c>
      <c r="I952" s="42">
        <v>100</v>
      </c>
      <c r="J952" s="52">
        <v>2.361111111111111E-2</v>
      </c>
    </row>
    <row r="953" spans="1:10" s="42" customFormat="1" ht="15" x14ac:dyDescent="0.25">
      <c r="A953" s="42" t="s">
        <v>150</v>
      </c>
      <c r="B953" s="42">
        <v>146622</v>
      </c>
      <c r="C953" s="42">
        <v>37</v>
      </c>
      <c r="D953" s="42" t="s">
        <v>11</v>
      </c>
      <c r="E953" s="42">
        <v>1358</v>
      </c>
      <c r="F953" s="42">
        <v>2737102</v>
      </c>
      <c r="G953" s="42" t="s">
        <v>151</v>
      </c>
      <c r="H953" s="42">
        <v>370</v>
      </c>
      <c r="I953" s="42">
        <v>124</v>
      </c>
      <c r="J953" s="52">
        <v>2.9861111111111113E-2</v>
      </c>
    </row>
    <row r="954" spans="1:10" s="42" customFormat="1" ht="15" x14ac:dyDescent="0.25">
      <c r="A954" s="42" t="s">
        <v>150</v>
      </c>
      <c r="B954" s="42">
        <v>146622</v>
      </c>
      <c r="C954" s="42">
        <v>38</v>
      </c>
      <c r="D954" s="42" t="s">
        <v>11</v>
      </c>
      <c r="E954" s="42">
        <v>1358</v>
      </c>
      <c r="F954" s="42">
        <v>2737102</v>
      </c>
      <c r="G954" s="42" t="s">
        <v>151</v>
      </c>
      <c r="H954" s="42">
        <v>380</v>
      </c>
      <c r="I954" s="42">
        <v>56</v>
      </c>
      <c r="J954" s="52">
        <v>1.4583333333333332E-2</v>
      </c>
    </row>
    <row r="955" spans="1:10" s="42" customFormat="1" ht="15" x14ac:dyDescent="0.25">
      <c r="A955" s="42" t="s">
        <v>150</v>
      </c>
      <c r="B955" s="42">
        <v>146623</v>
      </c>
      <c r="C955" s="42">
        <v>34</v>
      </c>
      <c r="D955" s="42" t="s">
        <v>11</v>
      </c>
      <c r="E955" s="42">
        <v>16483</v>
      </c>
      <c r="F955" s="42">
        <v>2737102</v>
      </c>
      <c r="G955" s="42" t="s">
        <v>151</v>
      </c>
      <c r="H955" s="42">
        <v>334</v>
      </c>
      <c r="I955" s="42">
        <v>146</v>
      </c>
      <c r="J955" s="52">
        <v>3.4722222222222224E-2</v>
      </c>
    </row>
    <row r="956" spans="1:10" s="42" customFormat="1" ht="15" x14ac:dyDescent="0.25">
      <c r="A956" s="42" t="s">
        <v>150</v>
      </c>
      <c r="B956" s="42">
        <v>146623</v>
      </c>
      <c r="C956" s="42">
        <v>37</v>
      </c>
      <c r="D956" s="42" t="s">
        <v>11</v>
      </c>
      <c r="E956" s="42">
        <v>16483</v>
      </c>
      <c r="F956" s="42">
        <v>2737102</v>
      </c>
      <c r="G956" s="42" t="s">
        <v>151</v>
      </c>
      <c r="H956" s="42">
        <v>370</v>
      </c>
      <c r="I956" s="42">
        <v>242</v>
      </c>
      <c r="J956" s="52">
        <v>5.7638888888888885E-2</v>
      </c>
    </row>
    <row r="957" spans="1:10" s="42" customFormat="1" ht="15" x14ac:dyDescent="0.25">
      <c r="A957" s="42" t="s">
        <v>150</v>
      </c>
      <c r="B957" s="42">
        <v>146623</v>
      </c>
      <c r="C957" s="42">
        <v>38</v>
      </c>
      <c r="D957" s="42" t="s">
        <v>11</v>
      </c>
      <c r="E957" s="42">
        <v>16483</v>
      </c>
      <c r="F957" s="42">
        <v>2737102</v>
      </c>
      <c r="G957" s="42" t="s">
        <v>151</v>
      </c>
      <c r="H957" s="42">
        <v>380</v>
      </c>
      <c r="I957" s="42">
        <v>126</v>
      </c>
      <c r="J957" s="52">
        <v>3.1944444444444449E-2</v>
      </c>
    </row>
    <row r="958" spans="1:10" s="42" customFormat="1" ht="15" x14ac:dyDescent="0.25">
      <c r="A958" s="42" t="s">
        <v>152</v>
      </c>
      <c r="B958" s="42">
        <v>133226</v>
      </c>
      <c r="C958" s="42">
        <v>16</v>
      </c>
      <c r="D958" s="42" t="s">
        <v>11</v>
      </c>
      <c r="E958" s="42">
        <v>1311</v>
      </c>
      <c r="F958" s="42">
        <v>8041502</v>
      </c>
      <c r="G958" s="42" t="s">
        <v>141</v>
      </c>
      <c r="H958" s="42">
        <v>378</v>
      </c>
      <c r="I958" s="42">
        <v>282</v>
      </c>
      <c r="J958" s="52">
        <v>1.1111111111111112E-2</v>
      </c>
    </row>
    <row r="959" spans="1:10" s="42" customFormat="1" ht="15" x14ac:dyDescent="0.25">
      <c r="A959" s="42" t="s">
        <v>152</v>
      </c>
      <c r="B959" s="42">
        <v>141313</v>
      </c>
      <c r="C959" s="42">
        <v>20</v>
      </c>
      <c r="D959" s="42" t="s">
        <v>11</v>
      </c>
      <c r="E959" s="42">
        <v>1101</v>
      </c>
      <c r="F959" s="42">
        <v>646602</v>
      </c>
      <c r="G959" s="42" t="s">
        <v>141</v>
      </c>
      <c r="H959" s="42">
        <v>378</v>
      </c>
      <c r="I959" s="53">
        <v>5250</v>
      </c>
      <c r="J959" s="52">
        <v>0.20416666666666669</v>
      </c>
    </row>
    <row r="960" spans="1:10" s="42" customFormat="1" ht="15" x14ac:dyDescent="0.25">
      <c r="A960" s="42" t="s">
        <v>152</v>
      </c>
      <c r="B960" s="42">
        <v>141343</v>
      </c>
      <c r="C960" s="42">
        <v>28</v>
      </c>
      <c r="D960" s="42" t="s">
        <v>11</v>
      </c>
      <c r="E960" s="42">
        <v>1101</v>
      </c>
      <c r="F960" s="42">
        <v>2704002</v>
      </c>
      <c r="G960" s="42" t="s">
        <v>15</v>
      </c>
      <c r="H960" s="42">
        <v>378</v>
      </c>
      <c r="I960" s="42">
        <v>594</v>
      </c>
      <c r="J960" s="52">
        <v>2.2916666666666669E-2</v>
      </c>
    </row>
    <row r="961" spans="1:10" s="42" customFormat="1" ht="15" x14ac:dyDescent="0.25">
      <c r="A961" s="42" t="s">
        <v>152</v>
      </c>
      <c r="B961" s="42">
        <v>141345</v>
      </c>
      <c r="C961" s="42">
        <v>24</v>
      </c>
      <c r="D961" s="42" t="s">
        <v>11</v>
      </c>
      <c r="E961" s="42">
        <v>1101</v>
      </c>
      <c r="F961" s="42">
        <v>2704002</v>
      </c>
      <c r="G961" s="42" t="s">
        <v>15</v>
      </c>
      <c r="H961" s="42">
        <v>378</v>
      </c>
      <c r="I961" s="42">
        <v>86</v>
      </c>
      <c r="J961" s="52">
        <v>3.472222222222222E-3</v>
      </c>
    </row>
    <row r="962" spans="1:10" s="42" customFormat="1" ht="15" x14ac:dyDescent="0.25">
      <c r="A962" s="42" t="s">
        <v>152</v>
      </c>
      <c r="B962" s="42">
        <v>141346</v>
      </c>
      <c r="C962" s="42">
        <v>16</v>
      </c>
      <c r="D962" s="42" t="s">
        <v>11</v>
      </c>
      <c r="E962" s="42">
        <v>6525</v>
      </c>
      <c r="F962" s="42">
        <v>646602</v>
      </c>
      <c r="G962" s="42" t="s">
        <v>141</v>
      </c>
      <c r="H962" s="42">
        <v>378</v>
      </c>
      <c r="I962" s="53">
        <v>4786</v>
      </c>
      <c r="J962" s="52">
        <v>0.18819444444444444</v>
      </c>
    </row>
    <row r="963" spans="1:10" s="42" customFormat="1" ht="15" x14ac:dyDescent="0.25">
      <c r="A963" s="42" t="s">
        <v>152</v>
      </c>
      <c r="B963" s="42">
        <v>141347</v>
      </c>
      <c r="C963" s="42">
        <v>20</v>
      </c>
      <c r="D963" s="42" t="s">
        <v>11</v>
      </c>
      <c r="E963" s="42">
        <v>1101</v>
      </c>
      <c r="F963" s="42">
        <v>2704002</v>
      </c>
      <c r="G963" s="42" t="s">
        <v>15</v>
      </c>
      <c r="H963" s="42">
        <v>378</v>
      </c>
      <c r="I963" s="53">
        <v>1640</v>
      </c>
      <c r="J963" s="52">
        <v>6.3888888888888884E-2</v>
      </c>
    </row>
    <row r="964" spans="1:10" s="42" customFormat="1" ht="15" x14ac:dyDescent="0.25">
      <c r="A964" s="42" t="s">
        <v>152</v>
      </c>
      <c r="B964" s="42">
        <v>141368</v>
      </c>
      <c r="C964" s="42">
        <v>20</v>
      </c>
      <c r="D964" s="42" t="s">
        <v>11</v>
      </c>
      <c r="E964" s="42">
        <v>1684</v>
      </c>
      <c r="F964" s="42">
        <v>646602</v>
      </c>
      <c r="G964" s="42" t="s">
        <v>141</v>
      </c>
      <c r="H964" s="42">
        <v>378</v>
      </c>
      <c r="I964" s="53">
        <v>2588</v>
      </c>
      <c r="J964" s="52">
        <v>0.10069444444444443</v>
      </c>
    </row>
    <row r="965" spans="1:10" s="42" customFormat="1" ht="15" x14ac:dyDescent="0.25">
      <c r="A965" s="42" t="s">
        <v>152</v>
      </c>
      <c r="B965" s="42">
        <v>141379</v>
      </c>
      <c r="C965" s="42">
        <v>20</v>
      </c>
      <c r="D965" s="42" t="s">
        <v>11</v>
      </c>
      <c r="E965" s="42">
        <v>6725</v>
      </c>
      <c r="F965" s="42">
        <v>646602</v>
      </c>
      <c r="G965" s="42" t="s">
        <v>141</v>
      </c>
      <c r="H965" s="42">
        <v>378</v>
      </c>
      <c r="I965" s="42">
        <v>350</v>
      </c>
      <c r="J965" s="52">
        <v>1.3888888888888888E-2</v>
      </c>
    </row>
    <row r="966" spans="1:10" s="42" customFormat="1" ht="15" x14ac:dyDescent="0.25">
      <c r="A966" s="42" t="s">
        <v>152</v>
      </c>
      <c r="B966" s="42">
        <v>141392</v>
      </c>
      <c r="C966" s="42">
        <v>26</v>
      </c>
      <c r="D966" s="42" t="s">
        <v>11</v>
      </c>
      <c r="E966" s="42">
        <v>1101</v>
      </c>
      <c r="F966" s="42">
        <v>532002</v>
      </c>
      <c r="G966" s="42" t="s">
        <v>104</v>
      </c>
      <c r="H966" s="42">
        <v>378</v>
      </c>
      <c r="I966" s="53">
        <v>1380</v>
      </c>
      <c r="J966" s="52">
        <v>5.2083333333333336E-2</v>
      </c>
    </row>
    <row r="967" spans="1:10" s="42" customFormat="1" ht="15" x14ac:dyDescent="0.25">
      <c r="A967" s="42" t="s">
        <v>152</v>
      </c>
      <c r="B967" s="42">
        <v>141393</v>
      </c>
      <c r="C967" s="42">
        <v>14</v>
      </c>
      <c r="D967" s="42" t="s">
        <v>11</v>
      </c>
      <c r="E967" s="42">
        <v>1101</v>
      </c>
      <c r="F967" s="42">
        <v>532002</v>
      </c>
      <c r="G967" s="42" t="s">
        <v>104</v>
      </c>
      <c r="H967" s="42">
        <v>378</v>
      </c>
      <c r="I967" s="53">
        <v>3420</v>
      </c>
      <c r="J967" s="52">
        <v>0.12847222222222224</v>
      </c>
    </row>
    <row r="968" spans="1:10" s="42" customFormat="1" ht="15" x14ac:dyDescent="0.25">
      <c r="A968" s="42" t="s">
        <v>152</v>
      </c>
      <c r="B968" s="42">
        <v>141405</v>
      </c>
      <c r="C968" s="42">
        <v>11</v>
      </c>
      <c r="D968" s="42" t="s">
        <v>11</v>
      </c>
      <c r="E968" s="42">
        <v>1101</v>
      </c>
      <c r="F968" s="42">
        <v>532002</v>
      </c>
      <c r="G968" s="42" t="s">
        <v>104</v>
      </c>
      <c r="H968" s="42">
        <v>378</v>
      </c>
      <c r="I968" s="53">
        <v>1350</v>
      </c>
      <c r="J968" s="52">
        <v>5.0694444444444452E-2</v>
      </c>
    </row>
    <row r="969" spans="1:10" s="42" customFormat="1" ht="15" x14ac:dyDescent="0.25">
      <c r="A969" s="42" t="s">
        <v>152</v>
      </c>
      <c r="B969" s="42">
        <v>141428</v>
      </c>
      <c r="C969" s="42">
        <v>26</v>
      </c>
      <c r="D969" s="42" t="s">
        <v>11</v>
      </c>
      <c r="E969" s="42">
        <v>1101</v>
      </c>
      <c r="F969" s="42">
        <v>532002</v>
      </c>
      <c r="G969" s="42" t="s">
        <v>104</v>
      </c>
      <c r="H969" s="42">
        <v>378</v>
      </c>
      <c r="I969" s="53">
        <v>1616</v>
      </c>
      <c r="J969" s="52">
        <v>6.1111111111111116E-2</v>
      </c>
    </row>
    <row r="970" spans="1:10" s="42" customFormat="1" ht="15" x14ac:dyDescent="0.25">
      <c r="A970" s="42" t="s">
        <v>153</v>
      </c>
      <c r="B970" s="42">
        <v>121283</v>
      </c>
      <c r="C970" s="42">
        <v>21</v>
      </c>
      <c r="D970" s="42" t="s">
        <v>11</v>
      </c>
      <c r="E970" s="42">
        <v>16527</v>
      </c>
      <c r="F970" s="42">
        <v>8259102</v>
      </c>
      <c r="G970" s="42" t="s">
        <v>148</v>
      </c>
      <c r="H970" s="42">
        <v>378</v>
      </c>
      <c r="I970" s="53">
        <v>3284</v>
      </c>
      <c r="J970" s="52">
        <v>0.14027777777777778</v>
      </c>
    </row>
    <row r="971" spans="1:10" s="42" customFormat="1" ht="15" x14ac:dyDescent="0.25">
      <c r="A971" s="42" t="s">
        <v>153</v>
      </c>
      <c r="B971" s="42">
        <v>121283</v>
      </c>
      <c r="C971" s="42">
        <v>25</v>
      </c>
      <c r="D971" s="42" t="s">
        <v>11</v>
      </c>
      <c r="E971" s="42">
        <v>16527</v>
      </c>
      <c r="F971" s="42">
        <v>8259122</v>
      </c>
      <c r="G971" s="42" t="s">
        <v>148</v>
      </c>
      <c r="H971" s="42">
        <v>378</v>
      </c>
      <c r="I971" s="53">
        <v>4660</v>
      </c>
      <c r="J971" s="52">
        <v>0.20625000000000002</v>
      </c>
    </row>
    <row r="972" spans="1:10" s="42" customFormat="1" ht="15" x14ac:dyDescent="0.25">
      <c r="A972" s="42" t="s">
        <v>153</v>
      </c>
      <c r="B972" s="42">
        <v>121285</v>
      </c>
      <c r="C972" s="42">
        <v>21</v>
      </c>
      <c r="D972" s="42" t="s">
        <v>11</v>
      </c>
      <c r="E972" s="42">
        <v>1306</v>
      </c>
      <c r="F972" s="42">
        <v>8259102</v>
      </c>
      <c r="G972" s="42" t="s">
        <v>148</v>
      </c>
      <c r="H972" s="42">
        <v>378</v>
      </c>
      <c r="I972" s="53">
        <v>1164</v>
      </c>
      <c r="J972" s="52">
        <v>4.9999999999999996E-2</v>
      </c>
    </row>
    <row r="973" spans="1:10" s="42" customFormat="1" ht="15" x14ac:dyDescent="0.25">
      <c r="A973" s="42" t="s">
        <v>153</v>
      </c>
      <c r="B973" s="42">
        <v>121285</v>
      </c>
      <c r="C973" s="42">
        <v>25</v>
      </c>
      <c r="D973" s="42" t="s">
        <v>11</v>
      </c>
      <c r="E973" s="42">
        <v>1306</v>
      </c>
      <c r="F973" s="42">
        <v>8259122</v>
      </c>
      <c r="G973" s="42" t="s">
        <v>148</v>
      </c>
      <c r="H973" s="42">
        <v>378</v>
      </c>
      <c r="I973" s="53">
        <v>1022</v>
      </c>
      <c r="J973" s="52">
        <v>4.5138888888888888E-2</v>
      </c>
    </row>
    <row r="974" spans="1:10" s="42" customFormat="1" ht="15" x14ac:dyDescent="0.25">
      <c r="A974" s="42" t="s">
        <v>153</v>
      </c>
      <c r="B974" s="42">
        <v>121289</v>
      </c>
      <c r="C974" s="42">
        <v>21</v>
      </c>
      <c r="D974" s="42" t="s">
        <v>11</v>
      </c>
      <c r="E974" s="42">
        <v>6559</v>
      </c>
      <c r="F974" s="42">
        <v>8293202</v>
      </c>
      <c r="G974" s="42" t="s">
        <v>148</v>
      </c>
      <c r="H974" s="42">
        <v>378</v>
      </c>
      <c r="I974" s="42">
        <v>488</v>
      </c>
      <c r="J974" s="52">
        <v>2.0833333333333332E-2</v>
      </c>
    </row>
    <row r="975" spans="1:10" s="42" customFormat="1" ht="15" x14ac:dyDescent="0.25">
      <c r="A975" s="42" t="s">
        <v>153</v>
      </c>
      <c r="B975" s="42">
        <v>121289</v>
      </c>
      <c r="C975" s="42">
        <v>53</v>
      </c>
      <c r="D975" s="42" t="s">
        <v>11</v>
      </c>
      <c r="E975" s="42">
        <v>6559</v>
      </c>
      <c r="F975" s="42">
        <v>8293222</v>
      </c>
      <c r="G975" s="42" t="s">
        <v>148</v>
      </c>
      <c r="H975" s="42">
        <v>378</v>
      </c>
      <c r="I975" s="42">
        <v>442</v>
      </c>
      <c r="J975" s="52">
        <v>1.8749999999999999E-2</v>
      </c>
    </row>
    <row r="976" spans="1:10" s="42" customFormat="1" ht="15" x14ac:dyDescent="0.25">
      <c r="A976" s="42" t="s">
        <v>153</v>
      </c>
      <c r="B976" s="42">
        <v>121333</v>
      </c>
      <c r="C976" s="42">
        <v>21</v>
      </c>
      <c r="D976" s="42" t="s">
        <v>11</v>
      </c>
      <c r="E976" s="42">
        <v>6604</v>
      </c>
      <c r="F976" s="42">
        <v>8293202</v>
      </c>
      <c r="G976" s="42" t="s">
        <v>148</v>
      </c>
      <c r="H976" s="42">
        <v>378</v>
      </c>
      <c r="I976" s="42">
        <v>312</v>
      </c>
      <c r="J976" s="52">
        <v>1.3194444444444444E-2</v>
      </c>
    </row>
    <row r="977" spans="1:10" s="42" customFormat="1" ht="15" x14ac:dyDescent="0.25">
      <c r="A977" s="42" t="s">
        <v>153</v>
      </c>
      <c r="B977" s="42">
        <v>121333</v>
      </c>
      <c r="C977" s="42">
        <v>44</v>
      </c>
      <c r="D977" s="42" t="s">
        <v>11</v>
      </c>
      <c r="E977" s="42">
        <v>6604</v>
      </c>
      <c r="F977" s="42">
        <v>8293222</v>
      </c>
      <c r="G977" s="42" t="s">
        <v>148</v>
      </c>
      <c r="H977" s="42">
        <v>378</v>
      </c>
      <c r="I977" s="42">
        <v>268</v>
      </c>
      <c r="J977" s="52">
        <v>1.1805555555555555E-2</v>
      </c>
    </row>
    <row r="978" spans="1:10" s="42" customFormat="1" ht="15" x14ac:dyDescent="0.25">
      <c r="A978" s="42" t="s">
        <v>153</v>
      </c>
      <c r="B978" s="42">
        <v>123324</v>
      </c>
      <c r="C978" s="42">
        <v>19</v>
      </c>
      <c r="D978" s="42" t="s">
        <v>11</v>
      </c>
      <c r="E978" s="42">
        <v>6597</v>
      </c>
      <c r="F978" s="42">
        <v>8361102</v>
      </c>
      <c r="G978" s="42" t="s">
        <v>15</v>
      </c>
      <c r="H978" s="42">
        <v>378</v>
      </c>
      <c r="I978" s="42">
        <v>244</v>
      </c>
      <c r="J978" s="52">
        <v>1.0416666666666666E-2</v>
      </c>
    </row>
    <row r="979" spans="1:10" s="42" customFormat="1" ht="15" x14ac:dyDescent="0.25">
      <c r="A979" s="42" t="s">
        <v>153</v>
      </c>
      <c r="B979" s="42">
        <v>123324</v>
      </c>
      <c r="C979" s="42">
        <v>31</v>
      </c>
      <c r="D979" s="42" t="s">
        <v>11</v>
      </c>
      <c r="E979" s="42">
        <v>6597</v>
      </c>
      <c r="F979" s="42">
        <v>8361122</v>
      </c>
      <c r="G979" s="42" t="s">
        <v>15</v>
      </c>
      <c r="H979" s="42">
        <v>378</v>
      </c>
      <c r="I979" s="42">
        <v>200</v>
      </c>
      <c r="J979" s="52">
        <v>8.3333333333333332E-3</v>
      </c>
    </row>
    <row r="980" spans="1:10" s="42" customFormat="1" ht="15" x14ac:dyDescent="0.25">
      <c r="A980" s="42" t="s">
        <v>153</v>
      </c>
      <c r="B980" s="42">
        <v>141293</v>
      </c>
      <c r="C980" s="42">
        <v>12</v>
      </c>
      <c r="D980" s="42" t="s">
        <v>11</v>
      </c>
      <c r="E980" s="42">
        <v>6005</v>
      </c>
      <c r="F980" s="42">
        <v>2522602</v>
      </c>
      <c r="G980" s="42" t="s">
        <v>154</v>
      </c>
      <c r="H980" s="42">
        <v>378</v>
      </c>
      <c r="I980" s="42">
        <v>822</v>
      </c>
      <c r="J980" s="52">
        <v>3.5416666666666666E-2</v>
      </c>
    </row>
    <row r="981" spans="1:10" s="42" customFormat="1" ht="15" x14ac:dyDescent="0.25">
      <c r="A981" s="42" t="s">
        <v>153</v>
      </c>
      <c r="B981" s="42">
        <v>141294</v>
      </c>
      <c r="C981" s="42">
        <v>20</v>
      </c>
      <c r="D981" s="42" t="s">
        <v>11</v>
      </c>
      <c r="E981" s="42">
        <v>7640</v>
      </c>
      <c r="F981" s="42">
        <v>2522602</v>
      </c>
      <c r="G981" s="42" t="s">
        <v>154</v>
      </c>
      <c r="H981" s="42">
        <v>378</v>
      </c>
      <c r="I981" s="42">
        <v>600</v>
      </c>
      <c r="J981" s="52">
        <v>2.5694444444444447E-2</v>
      </c>
    </row>
    <row r="982" spans="1:10" s="42" customFormat="1" ht="15" x14ac:dyDescent="0.25">
      <c r="A982" s="42" t="s">
        <v>153</v>
      </c>
      <c r="B982" s="42">
        <v>141295</v>
      </c>
      <c r="C982" s="42">
        <v>13</v>
      </c>
      <c r="D982" s="42" t="s">
        <v>11</v>
      </c>
      <c r="E982" s="42">
        <v>19701</v>
      </c>
      <c r="F982" s="42">
        <v>2522602</v>
      </c>
      <c r="G982" s="42" t="s">
        <v>154</v>
      </c>
      <c r="H982" s="42">
        <v>378</v>
      </c>
      <c r="I982" s="42">
        <v>808</v>
      </c>
      <c r="J982" s="52">
        <v>3.4722222222222224E-2</v>
      </c>
    </row>
    <row r="983" spans="1:10" s="42" customFormat="1" ht="15" x14ac:dyDescent="0.25">
      <c r="A983" s="42" t="s">
        <v>153</v>
      </c>
      <c r="B983" s="42">
        <v>141296</v>
      </c>
      <c r="C983" s="42">
        <v>20</v>
      </c>
      <c r="D983" s="42" t="s">
        <v>11</v>
      </c>
      <c r="E983" s="42">
        <v>7744</v>
      </c>
      <c r="F983" s="42">
        <v>2522602</v>
      </c>
      <c r="G983" s="42" t="s">
        <v>154</v>
      </c>
      <c r="H983" s="42">
        <v>378</v>
      </c>
      <c r="I983" s="42">
        <v>200</v>
      </c>
      <c r="J983" s="52">
        <v>8.3333333333333332E-3</v>
      </c>
    </row>
    <row r="984" spans="1:10" s="42" customFormat="1" ht="15" x14ac:dyDescent="0.25">
      <c r="A984" s="42" t="s">
        <v>153</v>
      </c>
      <c r="B984" s="42">
        <v>141482</v>
      </c>
      <c r="C984" s="42">
        <v>5</v>
      </c>
      <c r="D984" s="42" t="s">
        <v>11</v>
      </c>
      <c r="E984" s="42">
        <v>6559</v>
      </c>
      <c r="F984" s="42">
        <v>2522602</v>
      </c>
      <c r="G984" s="42" t="s">
        <v>154</v>
      </c>
      <c r="H984" s="42">
        <v>378</v>
      </c>
      <c r="I984" s="42">
        <v>738</v>
      </c>
      <c r="J984" s="52">
        <v>3.125E-2</v>
      </c>
    </row>
    <row r="985" spans="1:10" s="42" customFormat="1" ht="15" x14ac:dyDescent="0.25">
      <c r="A985" s="42" t="s">
        <v>153</v>
      </c>
      <c r="B985" s="42">
        <v>146432</v>
      </c>
      <c r="C985" s="42">
        <v>29</v>
      </c>
      <c r="D985" s="42" t="s">
        <v>11</v>
      </c>
      <c r="E985" s="42">
        <v>1682</v>
      </c>
      <c r="F985" s="42">
        <v>1073822</v>
      </c>
      <c r="G985" s="42" t="s">
        <v>61</v>
      </c>
      <c r="H985" s="42">
        <v>378</v>
      </c>
      <c r="I985" s="42">
        <v>144</v>
      </c>
      <c r="J985" s="52">
        <v>1.8055555555555557E-2</v>
      </c>
    </row>
    <row r="986" spans="1:10" s="42" customFormat="1" ht="15" x14ac:dyDescent="0.25">
      <c r="A986" s="42" t="s">
        <v>153</v>
      </c>
      <c r="B986" s="42">
        <v>146435</v>
      </c>
      <c r="C986" s="42">
        <v>29</v>
      </c>
      <c r="D986" s="42" t="s">
        <v>11</v>
      </c>
      <c r="E986" s="42">
        <v>1682</v>
      </c>
      <c r="F986" s="42">
        <v>1073822</v>
      </c>
      <c r="G986" s="42" t="s">
        <v>61</v>
      </c>
      <c r="H986" s="42">
        <v>378</v>
      </c>
      <c r="I986" s="42">
        <v>82</v>
      </c>
      <c r="J986" s="52">
        <v>1.0416666666666666E-2</v>
      </c>
    </row>
    <row r="987" spans="1:10" s="42" customFormat="1" ht="15" x14ac:dyDescent="0.25">
      <c r="A987" s="42" t="s">
        <v>155</v>
      </c>
      <c r="B987" s="42">
        <v>141400</v>
      </c>
      <c r="C987" s="42">
        <v>34</v>
      </c>
      <c r="D987" s="42" t="s">
        <v>11</v>
      </c>
      <c r="E987" s="42">
        <v>1682</v>
      </c>
      <c r="F987" s="42">
        <v>1073822</v>
      </c>
      <c r="G987" s="42" t="s">
        <v>61</v>
      </c>
      <c r="H987" s="42">
        <v>434</v>
      </c>
      <c r="I987" s="42">
        <v>40</v>
      </c>
      <c r="J987" s="52">
        <v>4.8611111111111112E-3</v>
      </c>
    </row>
    <row r="988" spans="1:10" s="42" customFormat="1" ht="15" x14ac:dyDescent="0.25">
      <c r="A988" s="42" t="s">
        <v>155</v>
      </c>
      <c r="B988" s="42">
        <v>141478</v>
      </c>
      <c r="C988" s="42">
        <v>10</v>
      </c>
      <c r="D988" s="42" t="s">
        <v>11</v>
      </c>
      <c r="E988" s="42">
        <v>1371</v>
      </c>
      <c r="F988" s="42">
        <v>2512202</v>
      </c>
      <c r="G988" s="42" t="s">
        <v>156</v>
      </c>
      <c r="H988" s="42">
        <v>356</v>
      </c>
      <c r="I988" s="42">
        <v>664</v>
      </c>
      <c r="J988" s="52">
        <v>5.8333333333333327E-2</v>
      </c>
    </row>
    <row r="989" spans="1:10" s="42" customFormat="1" ht="15" x14ac:dyDescent="0.25">
      <c r="A989" s="42" t="s">
        <v>155</v>
      </c>
      <c r="B989" s="42">
        <v>141478</v>
      </c>
      <c r="C989" s="42">
        <v>11</v>
      </c>
      <c r="D989" s="42" t="s">
        <v>11</v>
      </c>
      <c r="E989" s="42">
        <v>1371</v>
      </c>
      <c r="F989" s="42">
        <v>2512202</v>
      </c>
      <c r="G989" s="42" t="s">
        <v>156</v>
      </c>
      <c r="H989" s="42">
        <v>378</v>
      </c>
      <c r="I989" s="42">
        <v>284</v>
      </c>
      <c r="J989" s="52">
        <v>2.2222222222222223E-2</v>
      </c>
    </row>
    <row r="990" spans="1:10" s="42" customFormat="1" ht="15" x14ac:dyDescent="0.25">
      <c r="A990" s="42" t="s">
        <v>155</v>
      </c>
      <c r="B990" s="42">
        <v>141479</v>
      </c>
      <c r="C990" s="42">
        <v>13</v>
      </c>
      <c r="D990" s="42" t="s">
        <v>11</v>
      </c>
      <c r="E990" s="42">
        <v>1101</v>
      </c>
      <c r="F990" s="42">
        <v>2512202</v>
      </c>
      <c r="G990" s="42" t="s">
        <v>156</v>
      </c>
      <c r="H990" s="42">
        <v>378</v>
      </c>
      <c r="I990" s="53">
        <v>1936</v>
      </c>
      <c r="J990" s="52">
        <v>0.15</v>
      </c>
    </row>
    <row r="991" spans="1:10" s="42" customFormat="1" ht="15" x14ac:dyDescent="0.25">
      <c r="A991" s="42" t="s">
        <v>155</v>
      </c>
      <c r="B991" s="42">
        <v>141479</v>
      </c>
      <c r="C991" s="42">
        <v>14</v>
      </c>
      <c r="D991" s="42" t="s">
        <v>11</v>
      </c>
      <c r="E991" s="42">
        <v>1101</v>
      </c>
      <c r="F991" s="42">
        <v>2512202</v>
      </c>
      <c r="G991" s="42" t="s">
        <v>156</v>
      </c>
      <c r="H991" s="42">
        <v>394</v>
      </c>
      <c r="I991" s="42">
        <v>140</v>
      </c>
      <c r="J991" s="52">
        <v>1.1111111111111112E-2</v>
      </c>
    </row>
    <row r="992" spans="1:10" s="42" customFormat="1" ht="15" x14ac:dyDescent="0.25">
      <c r="A992" s="42" t="s">
        <v>155</v>
      </c>
      <c r="B992" s="42">
        <v>141481</v>
      </c>
      <c r="C992" s="42">
        <v>19</v>
      </c>
      <c r="D992" s="42" t="s">
        <v>11</v>
      </c>
      <c r="E992" s="42">
        <v>1003</v>
      </c>
      <c r="F992" s="42">
        <v>2512202</v>
      </c>
      <c r="G992" s="42" t="s">
        <v>156</v>
      </c>
      <c r="H992" s="42">
        <v>356</v>
      </c>
      <c r="I992" s="42">
        <v>280</v>
      </c>
      <c r="J992" s="52">
        <v>2.4999999999999998E-2</v>
      </c>
    </row>
    <row r="993" spans="1:10" s="42" customFormat="1" ht="15" x14ac:dyDescent="0.25">
      <c r="A993" s="42" t="s">
        <v>155</v>
      </c>
      <c r="B993" s="42">
        <v>141481</v>
      </c>
      <c r="C993" s="42">
        <v>20</v>
      </c>
      <c r="D993" s="42" t="s">
        <v>11</v>
      </c>
      <c r="E993" s="42">
        <v>1003</v>
      </c>
      <c r="F993" s="42">
        <v>2512202</v>
      </c>
      <c r="G993" s="42" t="s">
        <v>156</v>
      </c>
      <c r="H993" s="42">
        <v>378</v>
      </c>
      <c r="I993" s="53">
        <v>1008</v>
      </c>
      <c r="J993" s="52">
        <v>7.7777777777777779E-2</v>
      </c>
    </row>
    <row r="994" spans="1:10" s="42" customFormat="1" ht="15" x14ac:dyDescent="0.25">
      <c r="A994" s="42" t="s">
        <v>155</v>
      </c>
      <c r="B994" s="42">
        <v>141481</v>
      </c>
      <c r="C994" s="42">
        <v>21</v>
      </c>
      <c r="D994" s="42" t="s">
        <v>11</v>
      </c>
      <c r="E994" s="42">
        <v>1003</v>
      </c>
      <c r="F994" s="42">
        <v>2512202</v>
      </c>
      <c r="G994" s="42" t="s">
        <v>156</v>
      </c>
      <c r="H994" s="42">
        <v>394</v>
      </c>
      <c r="I994" s="53">
        <v>1106</v>
      </c>
      <c r="J994" s="52">
        <v>8.9583333333333334E-2</v>
      </c>
    </row>
    <row r="995" spans="1:10" s="42" customFormat="1" ht="15" x14ac:dyDescent="0.25">
      <c r="A995" s="42" t="s">
        <v>155</v>
      </c>
      <c r="B995" s="42">
        <v>141481</v>
      </c>
      <c r="C995" s="42">
        <v>22</v>
      </c>
      <c r="D995" s="42" t="s">
        <v>11</v>
      </c>
      <c r="E995" s="42">
        <v>1003</v>
      </c>
      <c r="F995" s="42">
        <v>2512202</v>
      </c>
      <c r="G995" s="42" t="s">
        <v>156</v>
      </c>
      <c r="H995" s="42">
        <v>412</v>
      </c>
      <c r="I995" s="42">
        <v>992</v>
      </c>
      <c r="J995" s="52">
        <v>8.0555555555555561E-2</v>
      </c>
    </row>
    <row r="996" spans="1:10" s="42" customFormat="1" ht="15" x14ac:dyDescent="0.25">
      <c r="A996" s="42" t="s">
        <v>155</v>
      </c>
      <c r="B996" s="42">
        <v>141481</v>
      </c>
      <c r="C996" s="42">
        <v>23</v>
      </c>
      <c r="D996" s="42" t="s">
        <v>11</v>
      </c>
      <c r="E996" s="42">
        <v>1003</v>
      </c>
      <c r="F996" s="42">
        <v>2512202</v>
      </c>
      <c r="G996" s="42" t="s">
        <v>156</v>
      </c>
      <c r="H996" s="42">
        <v>434</v>
      </c>
      <c r="I996" s="42">
        <v>694</v>
      </c>
      <c r="J996" s="52">
        <v>6.3888888888888884E-2</v>
      </c>
    </row>
    <row r="997" spans="1:10" s="42" customFormat="1" ht="15" x14ac:dyDescent="0.25">
      <c r="A997" s="42" t="s">
        <v>157</v>
      </c>
      <c r="B997" s="42">
        <v>147215</v>
      </c>
      <c r="C997" s="42">
        <v>1</v>
      </c>
      <c r="D997" s="42" t="s">
        <v>11</v>
      </c>
      <c r="E997" s="42">
        <v>16572</v>
      </c>
      <c r="F997" s="42">
        <v>8354222</v>
      </c>
      <c r="G997" s="42" t="s">
        <v>15</v>
      </c>
      <c r="H997" s="42">
        <v>412</v>
      </c>
      <c r="I997" s="42">
        <v>30</v>
      </c>
      <c r="J997" s="52">
        <v>1.3194444444444444E-2</v>
      </c>
    </row>
    <row r="998" spans="1:10" s="42" customFormat="1" ht="15" x14ac:dyDescent="0.25">
      <c r="A998" s="42" t="s">
        <v>157</v>
      </c>
      <c r="B998" s="42">
        <v>147225</v>
      </c>
      <c r="C998" s="42">
        <v>1</v>
      </c>
      <c r="D998" s="42" t="s">
        <v>11</v>
      </c>
      <c r="E998" s="42">
        <v>16311</v>
      </c>
      <c r="F998" s="42">
        <v>8283202</v>
      </c>
      <c r="G998" s="42" t="s">
        <v>158</v>
      </c>
      <c r="H998" s="42">
        <v>420</v>
      </c>
      <c r="I998" s="42">
        <v>18</v>
      </c>
      <c r="J998" s="52">
        <v>1.1111111111111112E-2</v>
      </c>
    </row>
    <row r="999" spans="1:10" s="42" customFormat="1" ht="15" x14ac:dyDescent="0.25">
      <c r="A999" s="42" t="s">
        <v>157</v>
      </c>
      <c r="B999" s="42">
        <v>147230</v>
      </c>
      <c r="C999" s="42">
        <v>4</v>
      </c>
      <c r="D999" s="42" t="s">
        <v>11</v>
      </c>
      <c r="E999" s="42">
        <v>16437</v>
      </c>
      <c r="F999" s="42">
        <v>8352722</v>
      </c>
      <c r="G999" s="42" t="s">
        <v>89</v>
      </c>
      <c r="H999" s="42">
        <v>412</v>
      </c>
      <c r="I999" s="42">
        <v>16</v>
      </c>
      <c r="J999" s="52">
        <v>8.3333333333333332E-3</v>
      </c>
    </row>
    <row r="1000" spans="1:10" s="42" customFormat="1" ht="15" x14ac:dyDescent="0.25">
      <c r="A1000" s="42" t="s">
        <v>157</v>
      </c>
      <c r="B1000" s="42">
        <v>147232</v>
      </c>
      <c r="C1000" s="42">
        <v>4</v>
      </c>
      <c r="D1000" s="42" t="s">
        <v>11</v>
      </c>
      <c r="E1000" s="42">
        <v>16576</v>
      </c>
      <c r="F1000" s="42">
        <v>8370202</v>
      </c>
      <c r="G1000" s="42" t="s">
        <v>159</v>
      </c>
      <c r="H1000" s="42">
        <v>434</v>
      </c>
      <c r="I1000" s="42">
        <v>13</v>
      </c>
      <c r="J1000" s="52">
        <v>5.5555555555555558E-3</v>
      </c>
    </row>
    <row r="1001" spans="1:10" s="42" customFormat="1" ht="15" x14ac:dyDescent="0.25">
      <c r="A1001" s="42" t="s">
        <v>157</v>
      </c>
      <c r="B1001" s="42">
        <v>147387</v>
      </c>
      <c r="C1001" s="42">
        <v>1</v>
      </c>
      <c r="D1001" s="42" t="s">
        <v>11</v>
      </c>
      <c r="E1001" s="42">
        <v>1127</v>
      </c>
      <c r="F1001" s="42">
        <v>1915802</v>
      </c>
      <c r="G1001" s="42" t="s">
        <v>14</v>
      </c>
      <c r="H1001" s="42">
        <v>350</v>
      </c>
      <c r="I1001" s="42">
        <v>50</v>
      </c>
      <c r="J1001" s="52">
        <v>2.0833333333333332E-2</v>
      </c>
    </row>
    <row r="1002" spans="1:10" s="42" customFormat="1" ht="15" x14ac:dyDescent="0.25">
      <c r="A1002" s="42" t="s">
        <v>157</v>
      </c>
      <c r="B1002" s="42">
        <v>147518</v>
      </c>
      <c r="C1002" s="42">
        <v>5</v>
      </c>
      <c r="D1002" s="42" t="s">
        <v>11</v>
      </c>
      <c r="E1002" s="42">
        <v>16418</v>
      </c>
      <c r="F1002" s="42">
        <v>1165002</v>
      </c>
      <c r="G1002" s="42" t="s">
        <v>160</v>
      </c>
      <c r="H1002" s="42">
        <v>434</v>
      </c>
      <c r="I1002" s="42">
        <v>20</v>
      </c>
      <c r="J1002" s="52">
        <v>4.1666666666666666E-3</v>
      </c>
    </row>
    <row r="1003" spans="1:10" s="42" customFormat="1" ht="15" x14ac:dyDescent="0.25">
      <c r="A1003" s="42" t="s">
        <v>157</v>
      </c>
      <c r="B1003" s="42">
        <v>147582</v>
      </c>
      <c r="C1003" s="42">
        <v>3</v>
      </c>
      <c r="D1003" s="42" t="s">
        <v>11</v>
      </c>
      <c r="E1003" s="42">
        <v>1003</v>
      </c>
      <c r="F1003" s="42">
        <v>2691404</v>
      </c>
      <c r="G1003" s="42" t="s">
        <v>161</v>
      </c>
      <c r="H1003" s="42">
        <v>380</v>
      </c>
      <c r="I1003" s="42">
        <v>14</v>
      </c>
      <c r="J1003" s="52">
        <v>6.2499999999999995E-3</v>
      </c>
    </row>
    <row r="1004" spans="1:10" s="42" customFormat="1" ht="15" x14ac:dyDescent="0.25">
      <c r="A1004" s="42" t="s">
        <v>157</v>
      </c>
      <c r="B1004" s="42">
        <v>147588</v>
      </c>
      <c r="C1004" s="42">
        <v>1</v>
      </c>
      <c r="D1004" s="42" t="s">
        <v>11</v>
      </c>
      <c r="E1004" s="42">
        <v>16367</v>
      </c>
      <c r="F1004" s="42">
        <v>1916302</v>
      </c>
      <c r="G1004" s="42" t="s">
        <v>162</v>
      </c>
      <c r="H1004" s="42">
        <v>370</v>
      </c>
      <c r="I1004" s="42">
        <v>20</v>
      </c>
      <c r="J1004" s="52">
        <v>1.1111111111111112E-2</v>
      </c>
    </row>
    <row r="1005" spans="1:10" s="42" customFormat="1" ht="15" x14ac:dyDescent="0.25">
      <c r="A1005" s="42" t="s">
        <v>157</v>
      </c>
      <c r="B1005" s="42">
        <v>147589</v>
      </c>
      <c r="C1005" s="42">
        <v>1</v>
      </c>
      <c r="D1005" s="42" t="s">
        <v>11</v>
      </c>
      <c r="E1005" s="42">
        <v>16367</v>
      </c>
      <c r="F1005" s="42">
        <v>1916302</v>
      </c>
      <c r="G1005" s="42" t="s">
        <v>162</v>
      </c>
      <c r="H1005" s="42">
        <v>360</v>
      </c>
      <c r="I1005" s="42">
        <v>22</v>
      </c>
      <c r="J1005" s="52">
        <v>1.1805555555555555E-2</v>
      </c>
    </row>
    <row r="1006" spans="1:10" s="42" customFormat="1" ht="15" x14ac:dyDescent="0.25">
      <c r="A1006" s="42" t="s">
        <v>157</v>
      </c>
      <c r="B1006" s="42">
        <v>147593</v>
      </c>
      <c r="C1006" s="42">
        <v>1</v>
      </c>
      <c r="D1006" s="42" t="s">
        <v>11</v>
      </c>
      <c r="E1006" s="42">
        <v>6008</v>
      </c>
      <c r="F1006" s="42">
        <v>2721404</v>
      </c>
      <c r="G1006" s="42" t="s">
        <v>163</v>
      </c>
      <c r="H1006" s="42">
        <v>350</v>
      </c>
      <c r="I1006" s="42">
        <v>60</v>
      </c>
      <c r="J1006" s="52">
        <v>3.5416666666666666E-2</v>
      </c>
    </row>
    <row r="1007" spans="1:10" s="42" customFormat="1" ht="15" x14ac:dyDescent="0.25">
      <c r="A1007" s="42" t="s">
        <v>157</v>
      </c>
      <c r="B1007" s="42">
        <v>147594</v>
      </c>
      <c r="C1007" s="42">
        <v>3</v>
      </c>
      <c r="D1007" s="42" t="s">
        <v>11</v>
      </c>
      <c r="E1007" s="42">
        <v>6008</v>
      </c>
      <c r="F1007" s="42">
        <v>8242923</v>
      </c>
      <c r="G1007" s="42" t="s">
        <v>164</v>
      </c>
      <c r="H1007" s="42">
        <v>360</v>
      </c>
      <c r="I1007" s="42">
        <v>36</v>
      </c>
      <c r="J1007" s="52">
        <v>1.5277777777777777E-2</v>
      </c>
    </row>
    <row r="1008" spans="1:10" s="42" customFormat="1" ht="15" x14ac:dyDescent="0.25">
      <c r="A1008" s="42" t="s">
        <v>157</v>
      </c>
      <c r="B1008" s="42">
        <v>147651</v>
      </c>
      <c r="C1008" s="42">
        <v>1</v>
      </c>
      <c r="D1008" s="42" t="s">
        <v>11</v>
      </c>
      <c r="E1008" s="42">
        <v>19808</v>
      </c>
      <c r="F1008" s="42">
        <v>8371402</v>
      </c>
      <c r="G1008" s="42" t="s">
        <v>15</v>
      </c>
      <c r="H1008" s="42">
        <v>394</v>
      </c>
      <c r="I1008" s="42">
        <v>52</v>
      </c>
      <c r="J1008" s="52">
        <v>2.0833333333333333E-3</v>
      </c>
    </row>
    <row r="1009" spans="1:10" s="42" customFormat="1" ht="15" x14ac:dyDescent="0.25">
      <c r="A1009" s="42" t="s">
        <v>157</v>
      </c>
      <c r="B1009" s="42">
        <v>147933</v>
      </c>
      <c r="C1009" s="42">
        <v>1</v>
      </c>
      <c r="D1009" s="42" t="s">
        <v>11</v>
      </c>
      <c r="E1009" s="42">
        <v>19677</v>
      </c>
      <c r="F1009" s="42">
        <v>8206702</v>
      </c>
      <c r="G1009" s="42" t="s">
        <v>165</v>
      </c>
      <c r="H1009" s="42">
        <v>394</v>
      </c>
      <c r="I1009" s="42">
        <v>20</v>
      </c>
      <c r="J1009" s="52">
        <v>2.0833333333333333E-3</v>
      </c>
    </row>
    <row r="1010" spans="1:10" s="42" customFormat="1" ht="15" x14ac:dyDescent="0.25">
      <c r="A1010" s="42" t="s">
        <v>157</v>
      </c>
      <c r="B1010" s="42">
        <v>148220</v>
      </c>
      <c r="C1010" s="42">
        <v>1</v>
      </c>
      <c r="D1010" s="42" t="s">
        <v>11</v>
      </c>
      <c r="E1010" s="42">
        <v>1664</v>
      </c>
      <c r="F1010" s="42">
        <v>2732102</v>
      </c>
      <c r="G1010" s="42" t="s">
        <v>15</v>
      </c>
      <c r="H1010" s="42">
        <v>394</v>
      </c>
      <c r="I1010" s="42">
        <v>50</v>
      </c>
      <c r="J1010" s="52">
        <v>2.0833333333333333E-3</v>
      </c>
    </row>
    <row r="1011" spans="1:10" s="42" customFormat="1" ht="15" x14ac:dyDescent="0.25">
      <c r="A1011" s="42" t="s">
        <v>157</v>
      </c>
      <c r="B1011" s="42">
        <v>149620</v>
      </c>
      <c r="C1011" s="42">
        <v>1</v>
      </c>
      <c r="D1011" s="42" t="s">
        <v>11</v>
      </c>
      <c r="E1011" s="42">
        <v>6537</v>
      </c>
      <c r="F1011" s="42">
        <v>8103002</v>
      </c>
      <c r="G1011" s="42" t="s">
        <v>148</v>
      </c>
      <c r="H1011" s="42">
        <v>350</v>
      </c>
      <c r="I1011" s="42">
        <v>56</v>
      </c>
      <c r="J1011" s="52">
        <v>2.0833333333333333E-3</v>
      </c>
    </row>
    <row r="1012" spans="1:10" s="42" customFormat="1" ht="15" x14ac:dyDescent="0.25">
      <c r="A1012" s="42" t="s">
        <v>157</v>
      </c>
      <c r="B1012" s="42">
        <v>150392</v>
      </c>
      <c r="C1012" s="42">
        <v>1</v>
      </c>
      <c r="D1012" s="42" t="s">
        <v>11</v>
      </c>
      <c r="E1012" s="42">
        <v>1003</v>
      </c>
      <c r="F1012" s="42">
        <v>2725902</v>
      </c>
      <c r="G1012" s="42" t="s">
        <v>15</v>
      </c>
      <c r="H1012" s="42">
        <v>350</v>
      </c>
      <c r="I1012" s="42">
        <v>10</v>
      </c>
      <c r="J1012" s="52">
        <v>4.1666666666666666E-3</v>
      </c>
    </row>
    <row r="1013" spans="1:10" s="42" customFormat="1" ht="15" x14ac:dyDescent="0.25">
      <c r="A1013" s="42" t="s">
        <v>157</v>
      </c>
      <c r="B1013" s="42">
        <v>150392</v>
      </c>
      <c r="C1013" s="42">
        <v>2</v>
      </c>
      <c r="D1013" s="42" t="s">
        <v>11</v>
      </c>
      <c r="E1013" s="42">
        <v>1003</v>
      </c>
      <c r="F1013" s="42">
        <v>2725902</v>
      </c>
      <c r="G1013" s="42" t="s">
        <v>15</v>
      </c>
      <c r="H1013" s="42">
        <v>370</v>
      </c>
      <c r="I1013" s="42">
        <v>10</v>
      </c>
      <c r="J1013" s="52">
        <v>4.1666666666666666E-3</v>
      </c>
    </row>
    <row r="1014" spans="1:10" s="42" customFormat="1" ht="15" x14ac:dyDescent="0.25">
      <c r="A1014" s="42" t="s">
        <v>157</v>
      </c>
      <c r="B1014" s="42">
        <v>150395</v>
      </c>
      <c r="C1014" s="42">
        <v>1</v>
      </c>
      <c r="D1014" s="42" t="s">
        <v>11</v>
      </c>
      <c r="E1014" s="42">
        <v>1003</v>
      </c>
      <c r="F1014" s="42">
        <v>2698302</v>
      </c>
      <c r="G1014" s="42" t="s">
        <v>166</v>
      </c>
      <c r="H1014" s="42">
        <v>394</v>
      </c>
      <c r="I1014" s="42">
        <v>10</v>
      </c>
      <c r="J1014" s="52">
        <v>4.1666666666666666E-3</v>
      </c>
    </row>
    <row r="1015" spans="1:10" s="42" customFormat="1" ht="15" x14ac:dyDescent="0.25">
      <c r="A1015" s="42" t="s">
        <v>167</v>
      </c>
      <c r="B1015" s="42">
        <v>126753</v>
      </c>
      <c r="C1015" s="42">
        <v>6</v>
      </c>
      <c r="D1015" s="42" t="s">
        <v>11</v>
      </c>
      <c r="E1015" s="42">
        <v>14315</v>
      </c>
      <c r="F1015" s="42" t="s">
        <v>168</v>
      </c>
      <c r="G1015" s="42" t="s">
        <v>169</v>
      </c>
      <c r="H1015" s="42">
        <v>190</v>
      </c>
      <c r="I1015" s="42">
        <v>35</v>
      </c>
      <c r="J1015" s="52">
        <v>1.6666666666666666E-2</v>
      </c>
    </row>
    <row r="1016" spans="1:10" s="42" customFormat="1" ht="15" x14ac:dyDescent="0.25">
      <c r="A1016" s="42" t="s">
        <v>167</v>
      </c>
      <c r="B1016" s="42">
        <v>136274</v>
      </c>
      <c r="C1016" s="42">
        <v>3</v>
      </c>
      <c r="D1016" s="42" t="s">
        <v>11</v>
      </c>
      <c r="E1016" s="42">
        <v>1364</v>
      </c>
      <c r="F1016" s="42">
        <v>8285102</v>
      </c>
      <c r="G1016" s="42" t="s">
        <v>166</v>
      </c>
      <c r="H1016" s="42">
        <v>220</v>
      </c>
      <c r="I1016" s="42">
        <v>5</v>
      </c>
      <c r="J1016" s="52">
        <v>2.0833333333333333E-3</v>
      </c>
    </row>
    <row r="1017" spans="1:10" s="42" customFormat="1" ht="15" x14ac:dyDescent="0.25">
      <c r="A1017" s="42" t="s">
        <v>170</v>
      </c>
      <c r="B1017" s="42">
        <v>119577</v>
      </c>
      <c r="C1017" s="42">
        <v>1</v>
      </c>
      <c r="D1017" s="42" t="s">
        <v>11</v>
      </c>
      <c r="E1017" s="42">
        <v>4051</v>
      </c>
      <c r="F1017" s="42" t="s">
        <v>171</v>
      </c>
      <c r="G1017" s="42" t="s">
        <v>172</v>
      </c>
      <c r="H1017" s="42">
        <v>5</v>
      </c>
      <c r="I1017" s="42">
        <v>1</v>
      </c>
      <c r="J1017" s="52">
        <v>0</v>
      </c>
    </row>
    <row r="1018" spans="1:10" s="42" customFormat="1" ht="15" x14ac:dyDescent="0.25">
      <c r="A1018" s="42" t="s">
        <v>170</v>
      </c>
      <c r="B1018" s="42">
        <v>119587</v>
      </c>
      <c r="C1018" s="42">
        <v>1</v>
      </c>
      <c r="D1018" s="42" t="s">
        <v>11</v>
      </c>
      <c r="E1018" s="42">
        <v>4044</v>
      </c>
      <c r="F1018" s="42" t="s">
        <v>171</v>
      </c>
      <c r="G1018" s="42" t="s">
        <v>172</v>
      </c>
      <c r="H1018" s="42">
        <v>5</v>
      </c>
      <c r="I1018" s="42">
        <v>1</v>
      </c>
      <c r="J1018" s="52">
        <v>0</v>
      </c>
    </row>
    <row r="1019" spans="1:10" s="42" customFormat="1" ht="15" x14ac:dyDescent="0.25">
      <c r="A1019" s="42" t="s">
        <v>170</v>
      </c>
      <c r="B1019" s="42">
        <v>119590</v>
      </c>
      <c r="C1019" s="42">
        <v>1</v>
      </c>
      <c r="D1019" s="42" t="s">
        <v>11</v>
      </c>
      <c r="E1019" s="42">
        <v>4044</v>
      </c>
      <c r="F1019" s="42" t="s">
        <v>171</v>
      </c>
      <c r="G1019" s="42" t="s">
        <v>172</v>
      </c>
      <c r="H1019" s="42">
        <v>5</v>
      </c>
      <c r="I1019" s="42">
        <v>1</v>
      </c>
      <c r="J1019" s="52">
        <v>0</v>
      </c>
    </row>
    <row r="1020" spans="1:10" s="42" customFormat="1" ht="15" x14ac:dyDescent="0.25">
      <c r="A1020" s="42" t="s">
        <v>170</v>
      </c>
      <c r="B1020" s="42">
        <v>142665</v>
      </c>
      <c r="C1020" s="42">
        <v>11</v>
      </c>
      <c r="D1020" s="42" t="s">
        <v>11</v>
      </c>
      <c r="E1020" s="42">
        <v>14500</v>
      </c>
      <c r="F1020" s="42">
        <v>1895923</v>
      </c>
      <c r="G1020" s="42" t="s">
        <v>173</v>
      </c>
      <c r="H1020" s="42">
        <v>5</v>
      </c>
      <c r="I1020" s="42">
        <v>156</v>
      </c>
      <c r="J1020" s="52">
        <v>1.9444444444444445E-2</v>
      </c>
    </row>
    <row r="1021" spans="1:10" s="42" customFormat="1" ht="15" x14ac:dyDescent="0.25">
      <c r="A1021" s="42" t="s">
        <v>170</v>
      </c>
      <c r="B1021" s="42">
        <v>142667</v>
      </c>
      <c r="C1021" s="42">
        <v>11</v>
      </c>
      <c r="D1021" s="42" t="s">
        <v>11</v>
      </c>
      <c r="E1021" s="42">
        <v>14500</v>
      </c>
      <c r="F1021" s="42">
        <v>1897923</v>
      </c>
      <c r="G1021" s="42" t="s">
        <v>174</v>
      </c>
      <c r="H1021" s="42">
        <v>5</v>
      </c>
      <c r="I1021" s="42">
        <v>11</v>
      </c>
      <c r="J1021" s="52">
        <v>6.9444444444444447E-4</v>
      </c>
    </row>
    <row r="1022" spans="1:10" s="42" customFormat="1" ht="15" x14ac:dyDescent="0.25">
      <c r="A1022" s="42" t="s">
        <v>170</v>
      </c>
      <c r="B1022" s="42">
        <v>144321</v>
      </c>
      <c r="C1022" s="42">
        <v>11</v>
      </c>
      <c r="D1022" s="42" t="s">
        <v>11</v>
      </c>
      <c r="E1022" s="42">
        <v>14500</v>
      </c>
      <c r="F1022" s="42">
        <v>1916423</v>
      </c>
      <c r="G1022" s="42" t="s">
        <v>175</v>
      </c>
      <c r="H1022" s="42">
        <v>5</v>
      </c>
      <c r="I1022" s="42">
        <v>11</v>
      </c>
      <c r="J1022" s="52">
        <v>6.9444444444444447E-4</v>
      </c>
    </row>
    <row r="1023" spans="1:10" s="42" customFormat="1" ht="15" x14ac:dyDescent="0.25">
      <c r="A1023" s="42" t="s">
        <v>170</v>
      </c>
      <c r="B1023" s="42">
        <v>147202</v>
      </c>
      <c r="C1023" s="42">
        <v>11</v>
      </c>
      <c r="D1023" s="42" t="s">
        <v>11</v>
      </c>
      <c r="E1023" s="42">
        <v>14500</v>
      </c>
      <c r="F1023" s="42">
        <v>8212024</v>
      </c>
      <c r="G1023" s="42" t="s">
        <v>176</v>
      </c>
      <c r="H1023" s="42">
        <v>5</v>
      </c>
      <c r="I1023" s="42">
        <v>38</v>
      </c>
      <c r="J1023" s="52">
        <v>1.0416666666666666E-2</v>
      </c>
    </row>
    <row r="1024" spans="1:10" s="42" customFormat="1" ht="15" x14ac:dyDescent="0.25">
      <c r="A1024" s="42" t="s">
        <v>177</v>
      </c>
      <c r="B1024" s="42">
        <v>147075</v>
      </c>
      <c r="C1024" s="42">
        <v>1</v>
      </c>
      <c r="D1024" s="42" t="s">
        <v>11</v>
      </c>
      <c r="E1024" s="42">
        <v>3930</v>
      </c>
      <c r="F1024" s="42">
        <v>8363902</v>
      </c>
      <c r="G1024" s="42" t="s">
        <v>178</v>
      </c>
      <c r="H1024" s="42">
        <v>360</v>
      </c>
      <c r="I1024" s="42">
        <v>18</v>
      </c>
      <c r="J1024" s="52">
        <v>1.6666666666666666E-2</v>
      </c>
    </row>
    <row r="1025" spans="1:10" s="42" customFormat="1" ht="15" x14ac:dyDescent="0.25">
      <c r="A1025" s="42" t="s">
        <v>177</v>
      </c>
      <c r="B1025" s="42">
        <v>147519</v>
      </c>
      <c r="C1025" s="42">
        <v>10</v>
      </c>
      <c r="D1025" s="42" t="s">
        <v>11</v>
      </c>
      <c r="E1025" s="42">
        <v>1003</v>
      </c>
      <c r="F1025" s="42">
        <v>2729904</v>
      </c>
      <c r="G1025" s="42" t="s">
        <v>179</v>
      </c>
      <c r="H1025" s="42">
        <v>370</v>
      </c>
      <c r="I1025" s="42">
        <v>28</v>
      </c>
      <c r="J1025" s="52">
        <v>1.1805555555555555E-2</v>
      </c>
    </row>
    <row r="1026" spans="1:10" s="42" customFormat="1" ht="15" x14ac:dyDescent="0.25">
      <c r="A1026" s="42" t="s">
        <v>177</v>
      </c>
      <c r="B1026" s="42">
        <v>147519</v>
      </c>
      <c r="C1026" s="42">
        <v>11</v>
      </c>
      <c r="D1026" s="42" t="s">
        <v>11</v>
      </c>
      <c r="E1026" s="42">
        <v>1003</v>
      </c>
      <c r="F1026" s="42">
        <v>2729904</v>
      </c>
      <c r="G1026" s="42" t="s">
        <v>179</v>
      </c>
      <c r="H1026" s="42">
        <v>380</v>
      </c>
      <c r="I1026" s="42">
        <v>40</v>
      </c>
      <c r="J1026" s="52">
        <v>1.7361111111111112E-2</v>
      </c>
    </row>
    <row r="1027" spans="1:10" s="42" customFormat="1" ht="15" x14ac:dyDescent="0.25">
      <c r="A1027" s="42" t="s">
        <v>177</v>
      </c>
      <c r="B1027" s="42">
        <v>147523</v>
      </c>
      <c r="C1027" s="42">
        <v>5</v>
      </c>
      <c r="D1027" s="42" t="s">
        <v>11</v>
      </c>
      <c r="E1027" s="42">
        <v>1127</v>
      </c>
      <c r="F1027" s="42">
        <v>2729904</v>
      </c>
      <c r="G1027" s="42" t="s">
        <v>179</v>
      </c>
      <c r="H1027" s="42">
        <v>380</v>
      </c>
      <c r="I1027" s="42">
        <v>29</v>
      </c>
      <c r="J1027" s="52">
        <v>1.2499999999999999E-2</v>
      </c>
    </row>
    <row r="1028" spans="1:10" s="42" customFormat="1" ht="15" x14ac:dyDescent="0.25">
      <c r="A1028" s="42" t="s">
        <v>177</v>
      </c>
      <c r="B1028" s="42">
        <v>147526</v>
      </c>
      <c r="C1028" s="42">
        <v>9</v>
      </c>
      <c r="D1028" s="42" t="s">
        <v>11</v>
      </c>
      <c r="E1028" s="42">
        <v>16576</v>
      </c>
      <c r="F1028" s="42">
        <v>2729904</v>
      </c>
      <c r="G1028" s="42" t="s">
        <v>179</v>
      </c>
      <c r="H1028" s="42">
        <v>350</v>
      </c>
      <c r="I1028" s="42">
        <v>28</v>
      </c>
      <c r="J1028" s="52">
        <v>1.2499999999999999E-2</v>
      </c>
    </row>
    <row r="1029" spans="1:10" s="42" customFormat="1" ht="15" x14ac:dyDescent="0.25">
      <c r="A1029" s="42" t="s">
        <v>177</v>
      </c>
      <c r="B1029" s="42">
        <v>147526</v>
      </c>
      <c r="C1029" s="42">
        <v>9</v>
      </c>
      <c r="D1029" s="42" t="s">
        <v>11</v>
      </c>
      <c r="E1029" s="42">
        <v>16576</v>
      </c>
      <c r="F1029" s="42">
        <v>2729904</v>
      </c>
      <c r="G1029" s="42" t="s">
        <v>179</v>
      </c>
      <c r="H1029" s="42">
        <v>380</v>
      </c>
      <c r="I1029" s="42">
        <v>20</v>
      </c>
      <c r="J1029" s="52">
        <v>0</v>
      </c>
    </row>
    <row r="1030" spans="1:10" s="42" customFormat="1" ht="15" x14ac:dyDescent="0.25">
      <c r="A1030" s="42" t="s">
        <v>177</v>
      </c>
      <c r="B1030" s="42">
        <v>147528</v>
      </c>
      <c r="C1030" s="42">
        <v>9</v>
      </c>
      <c r="D1030" s="42" t="s">
        <v>11</v>
      </c>
      <c r="E1030" s="42">
        <v>3682</v>
      </c>
      <c r="F1030" s="42">
        <v>2732302</v>
      </c>
      <c r="G1030" s="42" t="s">
        <v>15</v>
      </c>
      <c r="H1030" s="42">
        <v>234</v>
      </c>
      <c r="I1030" s="42">
        <v>53</v>
      </c>
      <c r="J1030" s="52">
        <v>5.5555555555555558E-3</v>
      </c>
    </row>
    <row r="1031" spans="1:10" s="42" customFormat="1" ht="15" x14ac:dyDescent="0.25">
      <c r="A1031" s="42" t="s">
        <v>177</v>
      </c>
      <c r="B1031" s="42">
        <v>147805</v>
      </c>
      <c r="C1031" s="42">
        <v>1</v>
      </c>
      <c r="D1031" s="42" t="s">
        <v>11</v>
      </c>
      <c r="E1031" s="42">
        <v>16620</v>
      </c>
      <c r="F1031" s="42">
        <v>3711102</v>
      </c>
      <c r="G1031" s="42" t="s">
        <v>39</v>
      </c>
      <c r="H1031" s="42">
        <v>290</v>
      </c>
      <c r="I1031" s="42">
        <v>16</v>
      </c>
      <c r="J1031" s="52">
        <v>9.7222222222222224E-3</v>
      </c>
    </row>
    <row r="1032" spans="1:10" s="42" customFormat="1" ht="15" x14ac:dyDescent="0.25">
      <c r="A1032" s="42" t="s">
        <v>177</v>
      </c>
      <c r="B1032" s="42">
        <v>147924</v>
      </c>
      <c r="C1032" s="42">
        <v>1</v>
      </c>
      <c r="D1032" s="42" t="s">
        <v>11</v>
      </c>
      <c r="E1032" s="42">
        <v>30007</v>
      </c>
      <c r="F1032" s="42">
        <v>3711102</v>
      </c>
      <c r="G1032" s="42" t="s">
        <v>39</v>
      </c>
      <c r="H1032" s="42">
        <v>290</v>
      </c>
      <c r="I1032" s="42">
        <v>10</v>
      </c>
      <c r="J1032" s="52">
        <v>6.2499999999999995E-3</v>
      </c>
    </row>
    <row r="1033" spans="1:10" s="42" customFormat="1" ht="15" x14ac:dyDescent="0.25">
      <c r="A1033" s="42" t="s">
        <v>177</v>
      </c>
      <c r="B1033" s="42">
        <v>147925</v>
      </c>
      <c r="C1033" s="42">
        <v>1</v>
      </c>
      <c r="D1033" s="42" t="s">
        <v>11</v>
      </c>
      <c r="E1033" s="42">
        <v>30007</v>
      </c>
      <c r="F1033" s="42">
        <v>3711102</v>
      </c>
      <c r="G1033" s="42" t="s">
        <v>39</v>
      </c>
      <c r="H1033" s="42">
        <v>300</v>
      </c>
      <c r="I1033" s="42">
        <v>10</v>
      </c>
      <c r="J1033" s="52">
        <v>6.2499999999999995E-3</v>
      </c>
    </row>
    <row r="1034" spans="1:10" s="42" customFormat="1" ht="15" x14ac:dyDescent="0.25">
      <c r="A1034" s="42" t="s">
        <v>177</v>
      </c>
      <c r="B1034" s="42">
        <v>147926</v>
      </c>
      <c r="C1034" s="42">
        <v>1</v>
      </c>
      <c r="D1034" s="42" t="s">
        <v>11</v>
      </c>
      <c r="E1034" s="42">
        <v>1177</v>
      </c>
      <c r="F1034" s="42">
        <v>3711102</v>
      </c>
      <c r="G1034" s="42" t="s">
        <v>39</v>
      </c>
      <c r="H1034" s="42">
        <v>320</v>
      </c>
      <c r="I1034" s="42">
        <v>12</v>
      </c>
      <c r="J1034" s="52">
        <v>6.9444444444444441E-3</v>
      </c>
    </row>
    <row r="1035" spans="1:10" s="42" customFormat="1" ht="15" x14ac:dyDescent="0.25">
      <c r="A1035" s="42" t="s">
        <v>177</v>
      </c>
      <c r="B1035" s="42">
        <v>147975</v>
      </c>
      <c r="C1035" s="42">
        <v>1</v>
      </c>
      <c r="D1035" s="42" t="s">
        <v>11</v>
      </c>
      <c r="E1035" s="42">
        <v>1364</v>
      </c>
      <c r="F1035" s="42">
        <v>3446322</v>
      </c>
      <c r="G1035" s="42" t="s">
        <v>180</v>
      </c>
      <c r="H1035" s="42">
        <v>1001</v>
      </c>
      <c r="I1035" s="42">
        <v>36</v>
      </c>
      <c r="J1035" s="52">
        <v>1.9444444444444445E-2</v>
      </c>
    </row>
    <row r="1036" spans="1:10" s="42" customFormat="1" ht="15" x14ac:dyDescent="0.25">
      <c r="A1036" s="42" t="s">
        <v>177</v>
      </c>
      <c r="B1036" s="42">
        <v>147976</v>
      </c>
      <c r="C1036" s="42">
        <v>1</v>
      </c>
      <c r="D1036" s="42" t="s">
        <v>11</v>
      </c>
      <c r="E1036" s="42">
        <v>1364</v>
      </c>
      <c r="F1036" s="42">
        <v>3446322</v>
      </c>
      <c r="G1036" s="42" t="s">
        <v>180</v>
      </c>
      <c r="H1036" s="42">
        <v>1002</v>
      </c>
      <c r="I1036" s="42">
        <v>36</v>
      </c>
      <c r="J1036" s="52">
        <v>1.9444444444444445E-2</v>
      </c>
    </row>
    <row r="1037" spans="1:10" s="42" customFormat="1" ht="15" x14ac:dyDescent="0.25">
      <c r="A1037" s="42" t="s">
        <v>177</v>
      </c>
      <c r="B1037" s="42">
        <v>147981</v>
      </c>
      <c r="C1037" s="42">
        <v>4</v>
      </c>
      <c r="D1037" s="42" t="s">
        <v>11</v>
      </c>
      <c r="E1037" s="42">
        <v>1003</v>
      </c>
      <c r="F1037" s="42">
        <v>8370222</v>
      </c>
      <c r="G1037" s="42" t="s">
        <v>15</v>
      </c>
      <c r="H1037" s="42">
        <v>394</v>
      </c>
      <c r="I1037" s="42">
        <v>10</v>
      </c>
      <c r="J1037" s="52">
        <v>4.1666666666666666E-3</v>
      </c>
    </row>
    <row r="1038" spans="1:10" s="42" customFormat="1" ht="15" x14ac:dyDescent="0.25">
      <c r="A1038" s="42" t="s">
        <v>177</v>
      </c>
      <c r="B1038" s="42">
        <v>148208</v>
      </c>
      <c r="C1038" s="42">
        <v>4</v>
      </c>
      <c r="D1038" s="42" t="s">
        <v>11</v>
      </c>
      <c r="E1038" s="42">
        <v>1003</v>
      </c>
      <c r="F1038" s="42">
        <v>8370222</v>
      </c>
      <c r="G1038" s="42" t="s">
        <v>15</v>
      </c>
      <c r="H1038" s="42">
        <v>394</v>
      </c>
      <c r="I1038" s="42">
        <v>10</v>
      </c>
      <c r="J1038" s="52">
        <v>4.1666666666666666E-3</v>
      </c>
    </row>
    <row r="1039" spans="1:10" s="42" customFormat="1" ht="15" x14ac:dyDescent="0.25">
      <c r="A1039" s="42" t="s">
        <v>177</v>
      </c>
      <c r="B1039" s="42">
        <v>148511</v>
      </c>
      <c r="C1039" s="42">
        <v>1</v>
      </c>
      <c r="D1039" s="42" t="s">
        <v>11</v>
      </c>
      <c r="E1039" s="42">
        <v>16620</v>
      </c>
      <c r="F1039" s="42">
        <v>3711102</v>
      </c>
      <c r="G1039" s="42" t="s">
        <v>39</v>
      </c>
      <c r="H1039" s="42">
        <v>300</v>
      </c>
      <c r="I1039" s="42">
        <v>20</v>
      </c>
      <c r="J1039" s="52">
        <v>1.1805555555555555E-2</v>
      </c>
    </row>
    <row r="1040" spans="1:10" s="42" customFormat="1" ht="15" x14ac:dyDescent="0.25">
      <c r="A1040" s="42" t="s">
        <v>177</v>
      </c>
      <c r="B1040" s="42">
        <v>149000</v>
      </c>
      <c r="C1040" s="42">
        <v>4</v>
      </c>
      <c r="D1040" s="42" t="s">
        <v>11</v>
      </c>
      <c r="E1040" s="42">
        <v>16576</v>
      </c>
      <c r="F1040" s="42">
        <v>8370202</v>
      </c>
      <c r="G1040" s="42" t="s">
        <v>159</v>
      </c>
      <c r="H1040" s="42">
        <v>394</v>
      </c>
      <c r="I1040" s="42">
        <v>10</v>
      </c>
      <c r="J1040" s="52">
        <v>4.1666666666666666E-3</v>
      </c>
    </row>
    <row r="1041" spans="1:10" s="42" customFormat="1" ht="15" x14ac:dyDescent="0.25">
      <c r="A1041" s="42" t="s">
        <v>177</v>
      </c>
      <c r="B1041" s="42">
        <v>149207</v>
      </c>
      <c r="C1041" s="42">
        <v>4</v>
      </c>
      <c r="D1041" s="42" t="s">
        <v>11</v>
      </c>
      <c r="E1041" s="42">
        <v>1003</v>
      </c>
      <c r="F1041" s="42">
        <v>8370222</v>
      </c>
      <c r="G1041" s="42" t="s">
        <v>15</v>
      </c>
      <c r="H1041" s="42">
        <v>412</v>
      </c>
      <c r="I1041" s="42">
        <v>18</v>
      </c>
      <c r="J1041" s="52">
        <v>8.3333333333333332E-3</v>
      </c>
    </row>
    <row r="1042" spans="1:10" s="42" customFormat="1" ht="15" x14ac:dyDescent="0.25">
      <c r="A1042" s="42" t="s">
        <v>177</v>
      </c>
      <c r="B1042" s="42">
        <v>149226</v>
      </c>
      <c r="C1042" s="42">
        <v>1</v>
      </c>
      <c r="D1042" s="42" t="s">
        <v>11</v>
      </c>
      <c r="E1042" s="42">
        <v>1471</v>
      </c>
      <c r="F1042" s="42">
        <v>3446322</v>
      </c>
      <c r="G1042" s="42" t="s">
        <v>180</v>
      </c>
      <c r="H1042" s="42">
        <v>1001</v>
      </c>
      <c r="I1042" s="42">
        <v>30</v>
      </c>
      <c r="J1042" s="52">
        <v>1.5972222222222224E-2</v>
      </c>
    </row>
    <row r="1043" spans="1:10" s="42" customFormat="1" ht="15" x14ac:dyDescent="0.25">
      <c r="A1043" s="42" t="s">
        <v>177</v>
      </c>
      <c r="B1043" s="42">
        <v>149227</v>
      </c>
      <c r="C1043" s="42">
        <v>1</v>
      </c>
      <c r="D1043" s="42" t="s">
        <v>11</v>
      </c>
      <c r="E1043" s="42">
        <v>1471</v>
      </c>
      <c r="F1043" s="42">
        <v>3446322</v>
      </c>
      <c r="G1043" s="42" t="s">
        <v>180</v>
      </c>
      <c r="H1043" s="42">
        <v>1002</v>
      </c>
      <c r="I1043" s="42">
        <v>30</v>
      </c>
      <c r="J1043" s="52">
        <v>1.5972222222222224E-2</v>
      </c>
    </row>
    <row r="1044" spans="1:10" s="42" customFormat="1" ht="15" x14ac:dyDescent="0.25">
      <c r="A1044" s="42" t="s">
        <v>177</v>
      </c>
      <c r="B1044" s="42">
        <v>150008</v>
      </c>
      <c r="C1044" s="42">
        <v>4</v>
      </c>
      <c r="D1044" s="42" t="s">
        <v>11</v>
      </c>
      <c r="E1044" s="42">
        <v>16311</v>
      </c>
      <c r="F1044" s="42">
        <v>8370202</v>
      </c>
      <c r="G1044" s="42" t="s">
        <v>159</v>
      </c>
      <c r="H1044" s="42">
        <v>394</v>
      </c>
      <c r="I1044" s="42">
        <v>15</v>
      </c>
      <c r="J1044" s="52">
        <v>6.9444444444444441E-3</v>
      </c>
    </row>
    <row r="1045" spans="1:10" s="42" customFormat="1" ht="15" x14ac:dyDescent="0.25">
      <c r="A1045" s="42" t="s">
        <v>181</v>
      </c>
      <c r="B1045" s="42">
        <v>147664</v>
      </c>
      <c r="C1045" s="42">
        <v>1</v>
      </c>
      <c r="D1045" s="42" t="s">
        <v>11</v>
      </c>
      <c r="E1045" s="42">
        <v>1003</v>
      </c>
      <c r="F1045" s="42">
        <v>2737502</v>
      </c>
      <c r="G1045" s="42" t="s">
        <v>182</v>
      </c>
      <c r="H1045" s="42">
        <v>350</v>
      </c>
      <c r="I1045" s="42">
        <v>18</v>
      </c>
      <c r="J1045" s="52">
        <v>7.6388888888888886E-3</v>
      </c>
    </row>
    <row r="1046" spans="1:10" s="42" customFormat="1" ht="15" x14ac:dyDescent="0.25">
      <c r="A1046" s="42" t="s">
        <v>181</v>
      </c>
      <c r="B1046" s="42">
        <v>147665</v>
      </c>
      <c r="C1046" s="42">
        <v>3</v>
      </c>
      <c r="D1046" s="42" t="s">
        <v>11</v>
      </c>
      <c r="E1046" s="42">
        <v>6008</v>
      </c>
      <c r="F1046" s="42">
        <v>2737504</v>
      </c>
      <c r="G1046" s="42" t="s">
        <v>183</v>
      </c>
      <c r="H1046" s="42">
        <v>350</v>
      </c>
      <c r="I1046" s="42">
        <v>18</v>
      </c>
      <c r="J1046" s="52">
        <v>9.7222222222222224E-3</v>
      </c>
    </row>
    <row r="1047" spans="1:10" s="42" customFormat="1" ht="15" x14ac:dyDescent="0.25">
      <c r="A1047" s="42" t="s">
        <v>181</v>
      </c>
      <c r="B1047" s="42">
        <v>147709</v>
      </c>
      <c r="C1047" s="42">
        <v>1</v>
      </c>
      <c r="D1047" s="42" t="s">
        <v>11</v>
      </c>
      <c r="E1047" s="42">
        <v>1101</v>
      </c>
      <c r="F1047" s="42">
        <v>1193602</v>
      </c>
      <c r="G1047" s="42" t="s">
        <v>184</v>
      </c>
      <c r="H1047" s="42">
        <v>434</v>
      </c>
      <c r="I1047" s="42">
        <v>16</v>
      </c>
      <c r="J1047" s="52">
        <v>6.2499999999999995E-3</v>
      </c>
    </row>
    <row r="1048" spans="1:10" s="42" customFormat="1" ht="15" x14ac:dyDescent="0.25">
      <c r="A1048" s="42" t="s">
        <v>181</v>
      </c>
      <c r="B1048" s="42">
        <v>147794</v>
      </c>
      <c r="C1048" s="42">
        <v>6</v>
      </c>
      <c r="D1048" s="42" t="s">
        <v>11</v>
      </c>
      <c r="E1048" s="42">
        <v>1375</v>
      </c>
      <c r="F1048" s="42">
        <v>1223202</v>
      </c>
      <c r="G1048" s="42" t="s">
        <v>185</v>
      </c>
      <c r="H1048" s="42">
        <v>280</v>
      </c>
      <c r="I1048" s="42">
        <v>16</v>
      </c>
      <c r="J1048" s="52">
        <v>6.9444444444444441E-3</v>
      </c>
    </row>
    <row r="1049" spans="1:10" s="42" customFormat="1" ht="15" x14ac:dyDescent="0.25">
      <c r="A1049" s="42" t="s">
        <v>181</v>
      </c>
      <c r="B1049" s="42">
        <v>147864</v>
      </c>
      <c r="C1049" s="42">
        <v>4</v>
      </c>
      <c r="D1049" s="42" t="s">
        <v>11</v>
      </c>
      <c r="E1049" s="42">
        <v>16576</v>
      </c>
      <c r="F1049" s="42">
        <v>8370202</v>
      </c>
      <c r="G1049" s="42" t="s">
        <v>159</v>
      </c>
      <c r="H1049" s="42">
        <v>378</v>
      </c>
      <c r="I1049" s="42">
        <v>10</v>
      </c>
      <c r="J1049" s="52">
        <v>4.1666666666666666E-3</v>
      </c>
    </row>
    <row r="1050" spans="1:10" s="42" customFormat="1" ht="15" x14ac:dyDescent="0.25">
      <c r="A1050" s="42" t="s">
        <v>181</v>
      </c>
      <c r="B1050" s="42">
        <v>147866</v>
      </c>
      <c r="C1050" s="42">
        <v>4</v>
      </c>
      <c r="D1050" s="42" t="s">
        <v>11</v>
      </c>
      <c r="E1050" s="42">
        <v>1101</v>
      </c>
      <c r="F1050" s="42">
        <v>8352702</v>
      </c>
      <c r="G1050" s="42" t="s">
        <v>89</v>
      </c>
      <c r="H1050" s="42">
        <v>412</v>
      </c>
      <c r="I1050" s="42">
        <v>30</v>
      </c>
      <c r="J1050" s="52">
        <v>1.5277777777777777E-2</v>
      </c>
    </row>
    <row r="1051" spans="1:10" s="42" customFormat="1" ht="15" x14ac:dyDescent="0.25">
      <c r="A1051" s="42" t="s">
        <v>181</v>
      </c>
      <c r="B1051" s="42">
        <v>147932</v>
      </c>
      <c r="C1051" s="42">
        <v>1</v>
      </c>
      <c r="D1051" s="42" t="s">
        <v>11</v>
      </c>
      <c r="E1051" s="42">
        <v>6185</v>
      </c>
      <c r="F1051" s="42">
        <v>8363502</v>
      </c>
      <c r="G1051" s="42" t="s">
        <v>69</v>
      </c>
      <c r="H1051" s="42">
        <v>378</v>
      </c>
      <c r="I1051" s="42">
        <v>19</v>
      </c>
      <c r="J1051" s="52">
        <v>8.3333333333333332E-3</v>
      </c>
    </row>
    <row r="1052" spans="1:10" s="42" customFormat="1" ht="15" x14ac:dyDescent="0.25">
      <c r="A1052" s="42" t="s">
        <v>181</v>
      </c>
      <c r="B1052" s="42">
        <v>147943</v>
      </c>
      <c r="C1052" s="42">
        <v>1</v>
      </c>
      <c r="D1052" s="42" t="s">
        <v>11</v>
      </c>
      <c r="E1052" s="42">
        <v>1003</v>
      </c>
      <c r="F1052" s="42">
        <v>8242904</v>
      </c>
      <c r="G1052" s="42" t="s">
        <v>186</v>
      </c>
      <c r="H1052" s="42">
        <v>380</v>
      </c>
      <c r="I1052" s="42">
        <v>12</v>
      </c>
      <c r="J1052" s="52">
        <v>5.5555555555555558E-3</v>
      </c>
    </row>
    <row r="1053" spans="1:10" s="42" customFormat="1" ht="15" x14ac:dyDescent="0.25">
      <c r="A1053" s="42" t="s">
        <v>181</v>
      </c>
      <c r="B1053" s="42">
        <v>147949</v>
      </c>
      <c r="C1053" s="42">
        <v>1</v>
      </c>
      <c r="D1053" s="42" t="s">
        <v>11</v>
      </c>
      <c r="E1053" s="42">
        <v>1003</v>
      </c>
      <c r="F1053" s="42">
        <v>1132622</v>
      </c>
      <c r="G1053" s="42" t="s">
        <v>125</v>
      </c>
      <c r="H1053" s="42">
        <v>400</v>
      </c>
      <c r="I1053" s="42">
        <v>30</v>
      </c>
      <c r="J1053" s="52">
        <v>1.3194444444444444E-2</v>
      </c>
    </row>
    <row r="1054" spans="1:10" s="42" customFormat="1" ht="15" x14ac:dyDescent="0.25">
      <c r="A1054" s="42" t="s">
        <v>181</v>
      </c>
      <c r="B1054" s="42">
        <v>148214</v>
      </c>
      <c r="C1054" s="42">
        <v>1</v>
      </c>
      <c r="D1054" s="42" t="s">
        <v>11</v>
      </c>
      <c r="E1054" s="42">
        <v>16311</v>
      </c>
      <c r="F1054" s="42">
        <v>1193602</v>
      </c>
      <c r="G1054" s="42" t="s">
        <v>184</v>
      </c>
      <c r="H1054" s="42">
        <v>434</v>
      </c>
      <c r="I1054" s="42">
        <v>16</v>
      </c>
      <c r="J1054" s="52">
        <v>6.2499999999999995E-3</v>
      </c>
    </row>
    <row r="1055" spans="1:10" s="42" customFormat="1" ht="15" x14ac:dyDescent="0.25">
      <c r="A1055" s="42" t="s">
        <v>181</v>
      </c>
      <c r="B1055" s="42">
        <v>148217</v>
      </c>
      <c r="C1055" s="42">
        <v>1</v>
      </c>
      <c r="D1055" s="42" t="s">
        <v>11</v>
      </c>
      <c r="E1055" s="42">
        <v>1003</v>
      </c>
      <c r="F1055" s="42">
        <v>8361202</v>
      </c>
      <c r="G1055" s="42" t="s">
        <v>187</v>
      </c>
      <c r="H1055" s="42">
        <v>394</v>
      </c>
      <c r="I1055" s="42">
        <v>12</v>
      </c>
      <c r="J1055" s="52">
        <v>4.8611111111111112E-3</v>
      </c>
    </row>
    <row r="1056" spans="1:10" s="42" customFormat="1" ht="15" x14ac:dyDescent="0.25">
      <c r="A1056" s="42" t="s">
        <v>181</v>
      </c>
      <c r="B1056" s="42">
        <v>148271</v>
      </c>
      <c r="C1056" s="42">
        <v>4</v>
      </c>
      <c r="D1056" s="42" t="s">
        <v>11</v>
      </c>
      <c r="E1056" s="42">
        <v>16531</v>
      </c>
      <c r="F1056" s="42">
        <v>8352702</v>
      </c>
      <c r="G1056" s="42" t="s">
        <v>89</v>
      </c>
      <c r="H1056" s="42">
        <v>450</v>
      </c>
      <c r="I1056" s="42">
        <v>14</v>
      </c>
      <c r="J1056" s="52">
        <v>6.9444444444444441E-3</v>
      </c>
    </row>
    <row r="1057" spans="1:10" s="42" customFormat="1" ht="15" x14ac:dyDescent="0.25">
      <c r="A1057" s="42" t="s">
        <v>181</v>
      </c>
      <c r="B1057" s="42">
        <v>149214</v>
      </c>
      <c r="C1057" s="42">
        <v>1</v>
      </c>
      <c r="D1057" s="42" t="s">
        <v>11</v>
      </c>
      <c r="E1057" s="42">
        <v>1003</v>
      </c>
      <c r="F1057" s="42">
        <v>2737502</v>
      </c>
      <c r="G1057" s="42" t="s">
        <v>182</v>
      </c>
      <c r="H1057" s="42">
        <v>380</v>
      </c>
      <c r="I1057" s="42">
        <v>20</v>
      </c>
      <c r="J1057" s="52">
        <v>9.0277777777777787E-3</v>
      </c>
    </row>
    <row r="1058" spans="1:10" s="42" customFormat="1" ht="15" x14ac:dyDescent="0.25">
      <c r="A1058" s="42" t="s">
        <v>181</v>
      </c>
      <c r="B1058" s="42">
        <v>149216</v>
      </c>
      <c r="C1058" s="42">
        <v>1</v>
      </c>
      <c r="D1058" s="42" t="s">
        <v>11</v>
      </c>
      <c r="E1058" s="42">
        <v>1003</v>
      </c>
      <c r="F1058" s="42">
        <v>2737502</v>
      </c>
      <c r="G1058" s="42" t="s">
        <v>182</v>
      </c>
      <c r="H1058" s="42">
        <v>350</v>
      </c>
      <c r="I1058" s="42">
        <v>20</v>
      </c>
      <c r="J1058" s="52">
        <v>9.0277777777777787E-3</v>
      </c>
    </row>
    <row r="1059" spans="1:10" s="42" customFormat="1" ht="15" x14ac:dyDescent="0.25">
      <c r="A1059" s="42" t="s">
        <v>181</v>
      </c>
      <c r="B1059" s="42">
        <v>149254</v>
      </c>
      <c r="C1059" s="42">
        <v>1</v>
      </c>
      <c r="D1059" s="42" t="s">
        <v>11</v>
      </c>
      <c r="E1059" s="42">
        <v>6362</v>
      </c>
      <c r="F1059" s="42">
        <v>8363522</v>
      </c>
      <c r="G1059" s="42" t="s">
        <v>69</v>
      </c>
      <c r="H1059" s="42">
        <v>356</v>
      </c>
      <c r="I1059" s="42">
        <v>44</v>
      </c>
      <c r="J1059" s="52">
        <v>1.8749999999999999E-2</v>
      </c>
    </row>
    <row r="1060" spans="1:10" s="42" customFormat="1" ht="15" x14ac:dyDescent="0.25">
      <c r="A1060" s="42" t="s">
        <v>181</v>
      </c>
      <c r="B1060" s="42">
        <v>149493</v>
      </c>
      <c r="C1060" s="42">
        <v>1</v>
      </c>
      <c r="D1060" s="42" t="s">
        <v>11</v>
      </c>
      <c r="E1060" s="42">
        <v>1371</v>
      </c>
      <c r="F1060" s="42">
        <v>2230304</v>
      </c>
      <c r="G1060" s="42" t="s">
        <v>24</v>
      </c>
      <c r="H1060" s="42">
        <v>267</v>
      </c>
      <c r="I1060" s="42">
        <v>28</v>
      </c>
      <c r="J1060" s="52">
        <v>1.0416666666666666E-2</v>
      </c>
    </row>
    <row r="1061" spans="1:10" s="42" customFormat="1" ht="15" x14ac:dyDescent="0.25">
      <c r="A1061" s="42" t="s">
        <v>188</v>
      </c>
      <c r="B1061" s="42">
        <v>144073</v>
      </c>
      <c r="C1061" s="42">
        <v>1</v>
      </c>
      <c r="D1061" s="42" t="s">
        <v>11</v>
      </c>
      <c r="E1061" s="42">
        <v>14386</v>
      </c>
      <c r="F1061" s="42">
        <v>2324702</v>
      </c>
      <c r="G1061" s="42" t="s">
        <v>189</v>
      </c>
      <c r="H1061" s="42">
        <v>234</v>
      </c>
      <c r="I1061" s="42">
        <v>62</v>
      </c>
      <c r="J1061" s="52">
        <v>3.2638888888888891E-2</v>
      </c>
    </row>
    <row r="1062" spans="1:10" s="42" customFormat="1" ht="15" x14ac:dyDescent="0.25">
      <c r="A1062" s="42" t="s">
        <v>188</v>
      </c>
      <c r="B1062" s="42">
        <v>145863</v>
      </c>
      <c r="C1062" s="42">
        <v>1</v>
      </c>
      <c r="D1062" s="42" t="s">
        <v>11</v>
      </c>
      <c r="E1062" s="42">
        <v>14051</v>
      </c>
      <c r="F1062" s="42">
        <v>8363902</v>
      </c>
      <c r="G1062" s="42" t="s">
        <v>178</v>
      </c>
      <c r="H1062" s="42">
        <v>334</v>
      </c>
      <c r="I1062" s="42">
        <v>20</v>
      </c>
      <c r="J1062" s="52">
        <v>1.6666666666666666E-2</v>
      </c>
    </row>
    <row r="1063" spans="1:10" s="42" customFormat="1" ht="15" x14ac:dyDescent="0.25">
      <c r="A1063" s="42" t="s">
        <v>188</v>
      </c>
      <c r="B1063" s="42">
        <v>146795</v>
      </c>
      <c r="C1063" s="42">
        <v>1</v>
      </c>
      <c r="D1063" s="42" t="s">
        <v>11</v>
      </c>
      <c r="E1063" s="42">
        <v>1003</v>
      </c>
      <c r="F1063" s="42">
        <v>8283202</v>
      </c>
      <c r="G1063" s="42" t="s">
        <v>158</v>
      </c>
      <c r="H1063" s="42">
        <v>410</v>
      </c>
      <c r="I1063" s="42">
        <v>10</v>
      </c>
      <c r="J1063" s="52">
        <v>6.2499999999999995E-3</v>
      </c>
    </row>
    <row r="1064" spans="1:10" s="42" customFormat="1" ht="15" x14ac:dyDescent="0.25">
      <c r="A1064" s="42" t="s">
        <v>188</v>
      </c>
      <c r="B1064" s="42">
        <v>147584</v>
      </c>
      <c r="C1064" s="42">
        <v>1</v>
      </c>
      <c r="D1064" s="42" t="s">
        <v>11</v>
      </c>
      <c r="E1064" s="42">
        <v>1101</v>
      </c>
      <c r="F1064" s="42">
        <v>1157804</v>
      </c>
      <c r="G1064" s="42" t="s">
        <v>190</v>
      </c>
      <c r="H1064" s="42">
        <v>390</v>
      </c>
      <c r="I1064" s="42">
        <v>20</v>
      </c>
      <c r="J1064" s="52">
        <v>8.3333333333333332E-3</v>
      </c>
    </row>
    <row r="1065" spans="1:10" s="42" customFormat="1" ht="15" x14ac:dyDescent="0.25">
      <c r="A1065" s="42" t="s">
        <v>188</v>
      </c>
      <c r="B1065" s="42">
        <v>147654</v>
      </c>
      <c r="C1065" s="42">
        <v>1</v>
      </c>
      <c r="D1065" s="42" t="s">
        <v>11</v>
      </c>
      <c r="E1065" s="42">
        <v>1003</v>
      </c>
      <c r="F1065" s="42">
        <v>2737502</v>
      </c>
      <c r="G1065" s="42" t="s">
        <v>182</v>
      </c>
      <c r="H1065" s="42">
        <v>340</v>
      </c>
      <c r="I1065" s="42">
        <v>10</v>
      </c>
      <c r="J1065" s="52">
        <v>4.1666666666666666E-3</v>
      </c>
    </row>
    <row r="1066" spans="1:10" s="42" customFormat="1" ht="15" x14ac:dyDescent="0.25">
      <c r="A1066" s="42" t="s">
        <v>188</v>
      </c>
      <c r="B1066" s="42">
        <v>147660</v>
      </c>
      <c r="C1066" s="42">
        <v>1</v>
      </c>
      <c r="D1066" s="42" t="s">
        <v>11</v>
      </c>
      <c r="E1066" s="42">
        <v>16483</v>
      </c>
      <c r="F1066" s="42">
        <v>2737502</v>
      </c>
      <c r="G1066" s="42" t="s">
        <v>182</v>
      </c>
      <c r="H1066" s="42">
        <v>340</v>
      </c>
      <c r="I1066" s="42">
        <v>18</v>
      </c>
      <c r="J1066" s="52">
        <v>7.6388888888888886E-3</v>
      </c>
    </row>
    <row r="1067" spans="1:10" s="42" customFormat="1" ht="15" x14ac:dyDescent="0.25">
      <c r="A1067" s="42" t="s">
        <v>188</v>
      </c>
      <c r="B1067" s="42">
        <v>147849</v>
      </c>
      <c r="C1067" s="42">
        <v>1</v>
      </c>
      <c r="D1067" s="42" t="s">
        <v>11</v>
      </c>
      <c r="E1067" s="42">
        <v>19581</v>
      </c>
      <c r="F1067" s="42">
        <v>8353402</v>
      </c>
      <c r="G1067" s="42" t="s">
        <v>191</v>
      </c>
      <c r="H1067" s="42">
        <v>234</v>
      </c>
      <c r="I1067" s="42">
        <v>36</v>
      </c>
      <c r="J1067" s="52">
        <v>1.5972222222222224E-2</v>
      </c>
    </row>
    <row r="1068" spans="1:10" s="42" customFormat="1" ht="15" x14ac:dyDescent="0.25">
      <c r="A1068" s="42" t="s">
        <v>188</v>
      </c>
      <c r="B1068" s="42">
        <v>147850</v>
      </c>
      <c r="C1068" s="42">
        <v>1</v>
      </c>
      <c r="D1068" s="42" t="s">
        <v>11</v>
      </c>
      <c r="E1068" s="42">
        <v>1101</v>
      </c>
      <c r="F1068" s="42">
        <v>8353404</v>
      </c>
      <c r="G1068" s="42" t="s">
        <v>192</v>
      </c>
      <c r="H1068" s="42">
        <v>234</v>
      </c>
      <c r="I1068" s="42">
        <v>36</v>
      </c>
      <c r="J1068" s="52">
        <v>1.6666666666666666E-2</v>
      </c>
    </row>
    <row r="1069" spans="1:10" s="42" customFormat="1" ht="15" x14ac:dyDescent="0.25">
      <c r="A1069" s="42" t="s">
        <v>188</v>
      </c>
      <c r="B1069" s="42">
        <v>147853</v>
      </c>
      <c r="C1069" s="42">
        <v>1</v>
      </c>
      <c r="D1069" s="42" t="s">
        <v>11</v>
      </c>
      <c r="E1069" s="42">
        <v>19581</v>
      </c>
      <c r="F1069" s="42">
        <v>8353402</v>
      </c>
      <c r="G1069" s="42" t="s">
        <v>191</v>
      </c>
      <c r="H1069" s="42">
        <v>250</v>
      </c>
      <c r="I1069" s="42">
        <v>14</v>
      </c>
      <c r="J1069" s="52">
        <v>6.2499999999999995E-3</v>
      </c>
    </row>
    <row r="1070" spans="1:10" s="42" customFormat="1" ht="15" x14ac:dyDescent="0.25">
      <c r="A1070" s="42" t="s">
        <v>188</v>
      </c>
      <c r="B1070" s="42">
        <v>147854</v>
      </c>
      <c r="C1070" s="42">
        <v>1</v>
      </c>
      <c r="D1070" s="42" t="s">
        <v>11</v>
      </c>
      <c r="E1070" s="42">
        <v>1101</v>
      </c>
      <c r="F1070" s="42">
        <v>8353404</v>
      </c>
      <c r="G1070" s="42" t="s">
        <v>192</v>
      </c>
      <c r="H1070" s="42">
        <v>250</v>
      </c>
      <c r="I1070" s="42">
        <v>14</v>
      </c>
      <c r="J1070" s="52">
        <v>6.2499999999999995E-3</v>
      </c>
    </row>
    <row r="1071" spans="1:10" s="42" customFormat="1" ht="15" x14ac:dyDescent="0.25">
      <c r="A1071" s="42" t="s">
        <v>188</v>
      </c>
      <c r="B1071" s="42">
        <v>148122</v>
      </c>
      <c r="C1071" s="42">
        <v>1</v>
      </c>
      <c r="D1071" s="42" t="s">
        <v>11</v>
      </c>
      <c r="E1071" s="42">
        <v>1003</v>
      </c>
      <c r="F1071" s="42">
        <v>1157804</v>
      </c>
      <c r="G1071" s="42" t="s">
        <v>190</v>
      </c>
      <c r="H1071" s="42">
        <v>434</v>
      </c>
      <c r="I1071" s="42">
        <v>18</v>
      </c>
      <c r="J1071" s="52">
        <v>6.9444444444444441E-3</v>
      </c>
    </row>
    <row r="1072" spans="1:10" s="42" customFormat="1" ht="15" x14ac:dyDescent="0.25">
      <c r="A1072" s="42" t="s">
        <v>188</v>
      </c>
      <c r="B1072" s="42">
        <v>149208</v>
      </c>
      <c r="C1072" s="42">
        <v>1</v>
      </c>
      <c r="D1072" s="42" t="s">
        <v>11</v>
      </c>
      <c r="E1072" s="42">
        <v>6008</v>
      </c>
      <c r="F1072" s="42">
        <v>2319704</v>
      </c>
      <c r="G1072" s="42" t="s">
        <v>193</v>
      </c>
      <c r="H1072" s="42">
        <v>323</v>
      </c>
      <c r="I1072" s="42">
        <v>80</v>
      </c>
      <c r="J1072" s="52">
        <v>3.888888888888889E-2</v>
      </c>
    </row>
    <row r="1073" spans="1:10" s="42" customFormat="1" ht="15" x14ac:dyDescent="0.25">
      <c r="A1073" s="42" t="s">
        <v>188</v>
      </c>
      <c r="B1073" s="42">
        <v>149209</v>
      </c>
      <c r="C1073" s="42">
        <v>1</v>
      </c>
      <c r="D1073" s="42" t="s">
        <v>11</v>
      </c>
      <c r="E1073" s="42">
        <v>1255</v>
      </c>
      <c r="F1073" s="42">
        <v>2332304</v>
      </c>
      <c r="G1073" s="42" t="s">
        <v>24</v>
      </c>
      <c r="H1073" s="42">
        <v>178</v>
      </c>
      <c r="I1073" s="42">
        <v>40</v>
      </c>
      <c r="J1073" s="52">
        <v>1.4583333333333332E-2</v>
      </c>
    </row>
    <row r="1074" spans="1:10" s="42" customFormat="1" ht="15" x14ac:dyDescent="0.25">
      <c r="A1074" s="42" t="s">
        <v>188</v>
      </c>
      <c r="B1074" s="42">
        <v>149217</v>
      </c>
      <c r="C1074" s="42">
        <v>1</v>
      </c>
      <c r="D1074" s="42" t="s">
        <v>11</v>
      </c>
      <c r="E1074" s="42">
        <v>13971</v>
      </c>
      <c r="F1074" s="42">
        <v>2723902</v>
      </c>
      <c r="G1074" s="42" t="s">
        <v>15</v>
      </c>
      <c r="H1074" s="42">
        <v>356</v>
      </c>
      <c r="I1074" s="42">
        <v>18</v>
      </c>
      <c r="J1074" s="52">
        <v>2.7777777777777779E-3</v>
      </c>
    </row>
    <row r="1075" spans="1:10" s="42" customFormat="1" ht="15" x14ac:dyDescent="0.25">
      <c r="A1075" s="42" t="s">
        <v>188</v>
      </c>
      <c r="B1075" s="42">
        <v>149218</v>
      </c>
      <c r="C1075" s="42">
        <v>1</v>
      </c>
      <c r="D1075" s="42" t="s">
        <v>11</v>
      </c>
      <c r="E1075" s="42">
        <v>19679</v>
      </c>
      <c r="F1075" s="42">
        <v>2737502</v>
      </c>
      <c r="G1075" s="42" t="s">
        <v>182</v>
      </c>
      <c r="H1075" s="42">
        <v>340</v>
      </c>
      <c r="I1075" s="42">
        <v>26</v>
      </c>
      <c r="J1075" s="52">
        <v>1.1805555555555555E-2</v>
      </c>
    </row>
    <row r="1076" spans="1:10" s="42" customFormat="1" ht="15" x14ac:dyDescent="0.25">
      <c r="A1076" s="42" t="s">
        <v>188</v>
      </c>
      <c r="B1076" s="42">
        <v>149236</v>
      </c>
      <c r="C1076" s="42">
        <v>1</v>
      </c>
      <c r="D1076" s="42" t="s">
        <v>11</v>
      </c>
      <c r="E1076" s="42">
        <v>1276</v>
      </c>
      <c r="F1076" s="42">
        <v>1916402</v>
      </c>
      <c r="G1076" s="42" t="s">
        <v>194</v>
      </c>
      <c r="H1076" s="42">
        <v>360</v>
      </c>
      <c r="I1076" s="42">
        <v>22</v>
      </c>
      <c r="J1076" s="52">
        <v>1.3194444444444444E-2</v>
      </c>
    </row>
    <row r="1077" spans="1:10" s="42" customFormat="1" ht="15" x14ac:dyDescent="0.25">
      <c r="A1077" s="42" t="s">
        <v>188</v>
      </c>
      <c r="B1077" s="42">
        <v>149262</v>
      </c>
      <c r="C1077" s="42">
        <v>1</v>
      </c>
      <c r="D1077" s="42" t="s">
        <v>11</v>
      </c>
      <c r="E1077" s="42">
        <v>6008</v>
      </c>
      <c r="F1077" s="42">
        <v>2319704</v>
      </c>
      <c r="G1077" s="42" t="s">
        <v>193</v>
      </c>
      <c r="H1077" s="42">
        <v>280</v>
      </c>
      <c r="I1077" s="42">
        <v>52</v>
      </c>
      <c r="J1077" s="52">
        <v>2.5694444444444447E-2</v>
      </c>
    </row>
    <row r="1078" spans="1:10" s="42" customFormat="1" ht="15" x14ac:dyDescent="0.25">
      <c r="A1078" s="42" t="s">
        <v>188</v>
      </c>
      <c r="B1078" s="42">
        <v>150012</v>
      </c>
      <c r="C1078" s="42">
        <v>1</v>
      </c>
      <c r="D1078" s="42" t="s">
        <v>11</v>
      </c>
      <c r="E1078" s="42">
        <v>6008</v>
      </c>
      <c r="F1078" s="42">
        <v>2319704</v>
      </c>
      <c r="G1078" s="42" t="s">
        <v>193</v>
      </c>
      <c r="H1078" s="42">
        <v>290</v>
      </c>
      <c r="I1078" s="42">
        <v>84</v>
      </c>
      <c r="J1078" s="52">
        <v>4.0972222222222222E-2</v>
      </c>
    </row>
    <row r="1079" spans="1:10" s="42" customFormat="1" ht="15" x14ac:dyDescent="0.25">
      <c r="A1079" s="42" t="s">
        <v>195</v>
      </c>
      <c r="B1079" s="42">
        <v>141248</v>
      </c>
      <c r="C1079" s="42">
        <v>22</v>
      </c>
      <c r="D1079" s="42" t="s">
        <v>11</v>
      </c>
      <c r="E1079" s="42" t="s">
        <v>196</v>
      </c>
      <c r="F1079" s="42">
        <v>1245502</v>
      </c>
      <c r="G1079" s="42" t="s">
        <v>197</v>
      </c>
      <c r="H1079" s="42">
        <v>394</v>
      </c>
      <c r="I1079" s="42">
        <v>216</v>
      </c>
      <c r="J1079" s="52">
        <v>0.19999999999999998</v>
      </c>
    </row>
    <row r="1080" spans="1:10" s="42" customFormat="1" ht="15" x14ac:dyDescent="0.25">
      <c r="A1080" s="42" t="s">
        <v>195</v>
      </c>
      <c r="B1080" s="42">
        <v>141248</v>
      </c>
      <c r="C1080" s="42">
        <v>33</v>
      </c>
      <c r="D1080" s="42" t="s">
        <v>11</v>
      </c>
      <c r="E1080" s="42" t="s">
        <v>196</v>
      </c>
      <c r="F1080" s="42">
        <v>1245522</v>
      </c>
      <c r="G1080" s="42" t="s">
        <v>197</v>
      </c>
      <c r="H1080" s="42">
        <v>394</v>
      </c>
      <c r="I1080" s="42">
        <v>150</v>
      </c>
      <c r="J1080" s="52">
        <v>0.1388888888888889</v>
      </c>
    </row>
    <row r="1081" spans="1:10" s="42" customFormat="1" ht="15" x14ac:dyDescent="0.25">
      <c r="A1081" s="42" t="s">
        <v>198</v>
      </c>
      <c r="B1081" s="42">
        <v>141245</v>
      </c>
      <c r="C1081" s="42">
        <v>23</v>
      </c>
      <c r="D1081" s="42" t="s">
        <v>11</v>
      </c>
      <c r="E1081" s="42" t="s">
        <v>199</v>
      </c>
      <c r="F1081" s="42">
        <v>1245502</v>
      </c>
      <c r="G1081" s="42" t="s">
        <v>197</v>
      </c>
      <c r="H1081" s="42">
        <v>412</v>
      </c>
      <c r="I1081" s="42">
        <v>178</v>
      </c>
      <c r="J1081" s="52">
        <v>0.16458333333333333</v>
      </c>
    </row>
    <row r="1082" spans="1:10" s="42" customFormat="1" ht="15" x14ac:dyDescent="0.25">
      <c r="A1082" s="42" t="s">
        <v>198</v>
      </c>
      <c r="B1082" s="42">
        <v>141247</v>
      </c>
      <c r="C1082" s="42">
        <v>23</v>
      </c>
      <c r="D1082" s="42" t="s">
        <v>11</v>
      </c>
      <c r="E1082" s="42" t="s">
        <v>200</v>
      </c>
      <c r="F1082" s="42">
        <v>1245502</v>
      </c>
      <c r="G1082" s="42" t="s">
        <v>197</v>
      </c>
      <c r="H1082" s="42">
        <v>412</v>
      </c>
      <c r="I1082" s="42">
        <v>120</v>
      </c>
      <c r="J1082" s="52">
        <v>0.1111111111111111</v>
      </c>
    </row>
    <row r="1083" spans="1:10" s="42" customFormat="1" ht="15" x14ac:dyDescent="0.25">
      <c r="A1083" s="42" t="s">
        <v>198</v>
      </c>
      <c r="B1083" s="42">
        <v>141247</v>
      </c>
      <c r="C1083" s="42">
        <v>24</v>
      </c>
      <c r="D1083" s="42" t="s">
        <v>11</v>
      </c>
      <c r="E1083" s="42" t="s">
        <v>200</v>
      </c>
      <c r="F1083" s="42">
        <v>1245502</v>
      </c>
      <c r="G1083" s="42" t="s">
        <v>197</v>
      </c>
      <c r="H1083" s="42">
        <v>434</v>
      </c>
      <c r="I1083" s="42">
        <v>60</v>
      </c>
      <c r="J1083" s="52">
        <v>5.5555555555555552E-2</v>
      </c>
    </row>
    <row r="1084" spans="1:10" s="42" customFormat="1" ht="15" x14ac:dyDescent="0.25">
      <c r="A1084" s="42" t="s">
        <v>198</v>
      </c>
      <c r="B1084" s="42">
        <v>141247</v>
      </c>
      <c r="C1084" s="42">
        <v>33</v>
      </c>
      <c r="D1084" s="42" t="s">
        <v>11</v>
      </c>
      <c r="E1084" s="42" t="s">
        <v>200</v>
      </c>
      <c r="F1084" s="42">
        <v>1245522</v>
      </c>
      <c r="G1084" s="42" t="s">
        <v>197</v>
      </c>
      <c r="H1084" s="42">
        <v>394</v>
      </c>
      <c r="I1084" s="42">
        <v>120</v>
      </c>
      <c r="J1084" s="52">
        <v>0.1111111111111111</v>
      </c>
    </row>
    <row r="1085" spans="1:10" s="42" customFormat="1" ht="15" x14ac:dyDescent="0.25">
      <c r="A1085" s="42" t="s">
        <v>198</v>
      </c>
      <c r="B1085" s="42">
        <v>141247</v>
      </c>
      <c r="C1085" s="42">
        <v>34</v>
      </c>
      <c r="D1085" s="42" t="s">
        <v>11</v>
      </c>
      <c r="E1085" s="42" t="s">
        <v>200</v>
      </c>
      <c r="F1085" s="42">
        <v>1245522</v>
      </c>
      <c r="G1085" s="42" t="s">
        <v>197</v>
      </c>
      <c r="H1085" s="42">
        <v>412</v>
      </c>
      <c r="I1085" s="42">
        <v>90</v>
      </c>
      <c r="J1085" s="52">
        <v>8.3333333333333329E-2</v>
      </c>
    </row>
    <row r="1086" spans="1:10" s="42" customFormat="1" ht="15" x14ac:dyDescent="0.25">
      <c r="A1086" s="42" t="s">
        <v>198</v>
      </c>
      <c r="B1086" s="42">
        <v>141248</v>
      </c>
      <c r="C1086" s="42">
        <v>24</v>
      </c>
      <c r="D1086" s="42" t="s">
        <v>11</v>
      </c>
      <c r="E1086" s="42" t="s">
        <v>196</v>
      </c>
      <c r="F1086" s="42">
        <v>1245502</v>
      </c>
      <c r="G1086" s="42" t="s">
        <v>197</v>
      </c>
      <c r="H1086" s="42">
        <v>434</v>
      </c>
      <c r="I1086" s="42">
        <v>144</v>
      </c>
      <c r="J1086" s="52">
        <v>0.13333333333333333</v>
      </c>
    </row>
    <row r="1087" spans="1:10" s="42" customFormat="1" ht="15" x14ac:dyDescent="0.25">
      <c r="A1087" s="42" t="s">
        <v>198</v>
      </c>
      <c r="B1087" s="42">
        <v>141248</v>
      </c>
      <c r="C1087" s="42">
        <v>34</v>
      </c>
      <c r="D1087" s="42" t="s">
        <v>11</v>
      </c>
      <c r="E1087" s="42" t="s">
        <v>196</v>
      </c>
      <c r="F1087" s="42">
        <v>1245522</v>
      </c>
      <c r="G1087" s="42" t="s">
        <v>197</v>
      </c>
      <c r="H1087" s="42">
        <v>412</v>
      </c>
      <c r="I1087" s="42">
        <v>216</v>
      </c>
      <c r="J1087" s="52">
        <v>0.19999999999999998</v>
      </c>
    </row>
    <row r="1088" spans="1:10" s="42" customFormat="1" ht="15" x14ac:dyDescent="0.25">
      <c r="A1088" s="42" t="s">
        <v>201</v>
      </c>
      <c r="B1088" s="42">
        <v>141229</v>
      </c>
      <c r="C1088" s="42">
        <v>11</v>
      </c>
      <c r="D1088" s="42" t="s">
        <v>11</v>
      </c>
      <c r="E1088" s="42" t="s">
        <v>202</v>
      </c>
      <c r="F1088" s="42">
        <v>1230402</v>
      </c>
      <c r="G1088" s="42" t="s">
        <v>203</v>
      </c>
      <c r="H1088" s="42">
        <v>378</v>
      </c>
      <c r="I1088" s="42">
        <v>30</v>
      </c>
      <c r="J1088" s="52">
        <v>2.8472222222222222E-2</v>
      </c>
    </row>
    <row r="1089" spans="1:10" s="42" customFormat="1" ht="15" x14ac:dyDescent="0.25">
      <c r="A1089" s="42" t="s">
        <v>201</v>
      </c>
      <c r="B1089" s="42">
        <v>141229</v>
      </c>
      <c r="C1089" s="42">
        <v>12</v>
      </c>
      <c r="D1089" s="42" t="s">
        <v>11</v>
      </c>
      <c r="E1089" s="42" t="s">
        <v>202</v>
      </c>
      <c r="F1089" s="42">
        <v>1230402</v>
      </c>
      <c r="G1089" s="42" t="s">
        <v>203</v>
      </c>
      <c r="H1089" s="42">
        <v>394</v>
      </c>
      <c r="I1089" s="42">
        <v>30</v>
      </c>
      <c r="J1089" s="52">
        <v>2.8472222222222222E-2</v>
      </c>
    </row>
    <row r="1090" spans="1:10" s="42" customFormat="1" ht="15" x14ac:dyDescent="0.25">
      <c r="A1090" s="42" t="s">
        <v>201</v>
      </c>
      <c r="B1090" s="42">
        <v>141229</v>
      </c>
      <c r="C1090" s="42">
        <v>13</v>
      </c>
      <c r="D1090" s="42" t="s">
        <v>11</v>
      </c>
      <c r="E1090" s="42" t="s">
        <v>202</v>
      </c>
      <c r="F1090" s="42">
        <v>1230402</v>
      </c>
      <c r="G1090" s="42" t="s">
        <v>203</v>
      </c>
      <c r="H1090" s="42">
        <v>412</v>
      </c>
      <c r="I1090" s="42">
        <v>30</v>
      </c>
      <c r="J1090" s="52">
        <v>2.8472222222222222E-2</v>
      </c>
    </row>
    <row r="1091" spans="1:10" s="42" customFormat="1" ht="15" x14ac:dyDescent="0.25">
      <c r="A1091" s="42" t="s">
        <v>201</v>
      </c>
      <c r="B1091" s="42">
        <v>141229</v>
      </c>
      <c r="C1091" s="42">
        <v>14</v>
      </c>
      <c r="D1091" s="42" t="s">
        <v>11</v>
      </c>
      <c r="E1091" s="42" t="s">
        <v>202</v>
      </c>
      <c r="F1091" s="42">
        <v>1230402</v>
      </c>
      <c r="G1091" s="42" t="s">
        <v>203</v>
      </c>
      <c r="H1091" s="42">
        <v>434</v>
      </c>
      <c r="I1091" s="42">
        <v>30</v>
      </c>
      <c r="J1091" s="52">
        <v>2.8472222222222222E-2</v>
      </c>
    </row>
    <row r="1092" spans="1:10" s="42" customFormat="1" ht="15" x14ac:dyDescent="0.25">
      <c r="A1092" s="42" t="s">
        <v>201</v>
      </c>
      <c r="B1092" s="42">
        <v>141248</v>
      </c>
      <c r="C1092" s="42">
        <v>23</v>
      </c>
      <c r="D1092" s="42" t="s">
        <v>11</v>
      </c>
      <c r="E1092" s="42" t="s">
        <v>196</v>
      </c>
      <c r="F1092" s="42">
        <v>1245502</v>
      </c>
      <c r="G1092" s="42" t="s">
        <v>197</v>
      </c>
      <c r="H1092" s="42">
        <v>412</v>
      </c>
      <c r="I1092" s="42">
        <v>288</v>
      </c>
      <c r="J1092" s="52">
        <v>0.26666666666666666</v>
      </c>
    </row>
    <row r="1093" spans="1:10" s="42" customFormat="1" ht="15" x14ac:dyDescent="0.25">
      <c r="A1093" s="42" t="s">
        <v>201</v>
      </c>
      <c r="B1093" s="42">
        <v>141546</v>
      </c>
      <c r="C1093" s="42">
        <v>21</v>
      </c>
      <c r="D1093" s="42" t="s">
        <v>11</v>
      </c>
      <c r="E1093" s="42" t="s">
        <v>204</v>
      </c>
      <c r="F1093" s="42">
        <v>1230402</v>
      </c>
      <c r="G1093" s="42" t="s">
        <v>203</v>
      </c>
      <c r="H1093" s="42">
        <v>412</v>
      </c>
      <c r="I1093" s="42">
        <v>42</v>
      </c>
      <c r="J1093" s="52">
        <v>3.9583333333333331E-2</v>
      </c>
    </row>
    <row r="1094" spans="1:10" s="42" customFormat="1" ht="15" x14ac:dyDescent="0.25">
      <c r="A1094" s="42" t="s">
        <v>205</v>
      </c>
      <c r="B1094" s="42">
        <v>127281</v>
      </c>
      <c r="C1094" s="42">
        <v>58</v>
      </c>
      <c r="D1094" s="42" t="s">
        <v>11</v>
      </c>
      <c r="E1094" s="42">
        <v>4079</v>
      </c>
      <c r="F1094" s="42">
        <v>3611623</v>
      </c>
      <c r="G1094" s="42" t="s">
        <v>206</v>
      </c>
      <c r="H1094" s="42">
        <v>5</v>
      </c>
      <c r="I1094" s="53">
        <v>2180</v>
      </c>
      <c r="J1094" s="52">
        <v>0.16666666666666666</v>
      </c>
    </row>
    <row r="1095" spans="1:10" s="42" customFormat="1" ht="15" x14ac:dyDescent="0.25">
      <c r="A1095" s="42" t="s">
        <v>205</v>
      </c>
      <c r="B1095" s="42">
        <v>132026</v>
      </c>
      <c r="C1095" s="42">
        <v>58</v>
      </c>
      <c r="D1095" s="42" t="s">
        <v>11</v>
      </c>
      <c r="E1095" s="42">
        <v>4079</v>
      </c>
      <c r="F1095" s="42">
        <v>3611623</v>
      </c>
      <c r="G1095" s="42" t="s">
        <v>206</v>
      </c>
      <c r="H1095" s="42">
        <v>5</v>
      </c>
      <c r="I1095" s="53">
        <v>1948</v>
      </c>
      <c r="J1095" s="52">
        <v>0.14861111111111111</v>
      </c>
    </row>
    <row r="1096" spans="1:10" s="42" customFormat="1" ht="15" x14ac:dyDescent="0.25">
      <c r="A1096" s="42" t="s">
        <v>205</v>
      </c>
      <c r="B1096" s="42">
        <v>132028</v>
      </c>
      <c r="C1096" s="42">
        <v>92</v>
      </c>
      <c r="D1096" s="42" t="s">
        <v>11</v>
      </c>
      <c r="E1096" s="42">
        <v>4029</v>
      </c>
      <c r="F1096" s="42">
        <v>3611723</v>
      </c>
      <c r="G1096" s="42" t="s">
        <v>206</v>
      </c>
      <c r="H1096" s="42">
        <v>268</v>
      </c>
      <c r="I1096" s="42">
        <v>156</v>
      </c>
      <c r="J1096" s="52">
        <v>1.1805555555555555E-2</v>
      </c>
    </row>
    <row r="1097" spans="1:10" s="42" customFormat="1" ht="15" x14ac:dyDescent="0.25">
      <c r="A1097" s="42" t="s">
        <v>205</v>
      </c>
      <c r="B1097" s="42">
        <v>132031</v>
      </c>
      <c r="C1097" s="42">
        <v>92</v>
      </c>
      <c r="D1097" s="42" t="s">
        <v>11</v>
      </c>
      <c r="E1097" s="42">
        <v>4285</v>
      </c>
      <c r="F1097" s="42">
        <v>3611723</v>
      </c>
      <c r="G1097" s="42" t="s">
        <v>206</v>
      </c>
      <c r="H1097" s="42">
        <v>268</v>
      </c>
      <c r="I1097" s="42">
        <v>280</v>
      </c>
      <c r="J1097" s="52">
        <v>2.1527777777777781E-2</v>
      </c>
    </row>
    <row r="1098" spans="1:10" s="42" customFormat="1" ht="15" x14ac:dyDescent="0.25">
      <c r="A1098" s="42" t="s">
        <v>205</v>
      </c>
      <c r="B1098" s="42">
        <v>141283</v>
      </c>
      <c r="C1098" s="42">
        <v>92</v>
      </c>
      <c r="D1098" s="42" t="s">
        <v>11</v>
      </c>
      <c r="E1098" s="42">
        <v>4029</v>
      </c>
      <c r="F1098" s="42">
        <v>3611723</v>
      </c>
      <c r="G1098" s="42" t="s">
        <v>206</v>
      </c>
      <c r="H1098" s="42">
        <v>268</v>
      </c>
      <c r="I1098" s="42">
        <v>204</v>
      </c>
      <c r="J1098" s="52">
        <v>1.5277777777777777E-2</v>
      </c>
    </row>
    <row r="1099" spans="1:10" s="42" customFormat="1" ht="15" x14ac:dyDescent="0.25">
      <c r="A1099" s="42" t="s">
        <v>205</v>
      </c>
      <c r="B1099" s="42">
        <v>141284</v>
      </c>
      <c r="C1099" s="42">
        <v>92</v>
      </c>
      <c r="D1099" s="42" t="s">
        <v>11</v>
      </c>
      <c r="E1099" s="42">
        <v>4223</v>
      </c>
      <c r="F1099" s="42">
        <v>3611723</v>
      </c>
      <c r="G1099" s="42" t="s">
        <v>206</v>
      </c>
      <c r="H1099" s="42">
        <v>268</v>
      </c>
      <c r="I1099" s="53">
        <v>1152</v>
      </c>
      <c r="J1099" s="52">
        <v>8.819444444444445E-2</v>
      </c>
    </row>
    <row r="1100" spans="1:10" s="42" customFormat="1" ht="15" x14ac:dyDescent="0.25">
      <c r="A1100" s="42" t="s">
        <v>205</v>
      </c>
      <c r="B1100" s="42">
        <v>141285</v>
      </c>
      <c r="C1100" s="42">
        <v>92</v>
      </c>
      <c r="D1100" s="42" t="s">
        <v>11</v>
      </c>
      <c r="E1100" s="42">
        <v>4079</v>
      </c>
      <c r="F1100" s="42">
        <v>3611723</v>
      </c>
      <c r="G1100" s="42" t="s">
        <v>206</v>
      </c>
      <c r="H1100" s="42">
        <v>268</v>
      </c>
      <c r="I1100" s="42">
        <v>620</v>
      </c>
      <c r="J1100" s="52">
        <v>4.7222222222222221E-2</v>
      </c>
    </row>
    <row r="1101" spans="1:10" s="42" customFormat="1" ht="15" x14ac:dyDescent="0.25">
      <c r="A1101" s="42" t="s">
        <v>205</v>
      </c>
      <c r="B1101" s="42">
        <v>141286</v>
      </c>
      <c r="C1101" s="42">
        <v>91</v>
      </c>
      <c r="D1101" s="42" t="s">
        <v>11</v>
      </c>
      <c r="E1101" s="42">
        <v>4285</v>
      </c>
      <c r="F1101" s="42">
        <v>3611723</v>
      </c>
      <c r="G1101" s="42" t="s">
        <v>206</v>
      </c>
      <c r="H1101" s="42">
        <v>175</v>
      </c>
      <c r="I1101" s="53">
        <v>2460</v>
      </c>
      <c r="J1101" s="52">
        <v>0.18819444444444444</v>
      </c>
    </row>
    <row r="1102" spans="1:10" s="42" customFormat="1" ht="15" x14ac:dyDescent="0.25">
      <c r="A1102" s="42" t="s">
        <v>205</v>
      </c>
      <c r="B1102" s="42">
        <v>141286</v>
      </c>
      <c r="C1102" s="42">
        <v>92</v>
      </c>
      <c r="D1102" s="42" t="s">
        <v>11</v>
      </c>
      <c r="E1102" s="42">
        <v>4285</v>
      </c>
      <c r="F1102" s="42">
        <v>3611723</v>
      </c>
      <c r="G1102" s="42" t="s">
        <v>206</v>
      </c>
      <c r="H1102" s="42">
        <v>268</v>
      </c>
      <c r="I1102" s="42">
        <v>608</v>
      </c>
      <c r="J1102" s="52">
        <v>4.6527777777777779E-2</v>
      </c>
    </row>
    <row r="1103" spans="1:10" s="42" customFormat="1" ht="15" x14ac:dyDescent="0.25">
      <c r="A1103" s="42" t="s">
        <v>205</v>
      </c>
      <c r="B1103" s="42">
        <v>146220</v>
      </c>
      <c r="C1103" s="42">
        <v>45</v>
      </c>
      <c r="D1103" s="42" t="s">
        <v>11</v>
      </c>
      <c r="E1103" s="42">
        <v>14500</v>
      </c>
      <c r="F1103" s="42">
        <v>1902224</v>
      </c>
      <c r="G1103" s="42" t="s">
        <v>207</v>
      </c>
      <c r="H1103" s="42">
        <v>5</v>
      </c>
      <c r="I1103" s="42">
        <v>88</v>
      </c>
      <c r="J1103" s="52">
        <v>8.3333333333333332E-3</v>
      </c>
    </row>
    <row r="1104" spans="1:10" s="42" customFormat="1" ht="15" x14ac:dyDescent="0.25">
      <c r="A1104" s="42" t="s">
        <v>205</v>
      </c>
      <c r="B1104" s="42">
        <v>146557</v>
      </c>
      <c r="C1104" s="42">
        <v>78</v>
      </c>
      <c r="D1104" s="42" t="s">
        <v>11</v>
      </c>
      <c r="E1104" s="42">
        <v>14500</v>
      </c>
      <c r="F1104" s="42">
        <v>1908426</v>
      </c>
      <c r="G1104" s="42" t="s">
        <v>208</v>
      </c>
      <c r="H1104" s="42">
        <v>5</v>
      </c>
      <c r="I1104" s="42">
        <v>647</v>
      </c>
      <c r="J1104" s="52">
        <v>5.2777777777777778E-2</v>
      </c>
    </row>
    <row r="1105" spans="1:10" s="42" customFormat="1" ht="15" x14ac:dyDescent="0.25">
      <c r="A1105" s="42" t="s">
        <v>205</v>
      </c>
      <c r="B1105" s="42">
        <v>146559</v>
      </c>
      <c r="C1105" s="42">
        <v>102</v>
      </c>
      <c r="D1105" s="42" t="s">
        <v>11</v>
      </c>
      <c r="E1105" s="42">
        <v>14500</v>
      </c>
      <c r="F1105" s="42">
        <v>1908426</v>
      </c>
      <c r="G1105" s="42" t="s">
        <v>208</v>
      </c>
      <c r="H1105" s="42">
        <v>5</v>
      </c>
      <c r="I1105" s="53">
        <v>1592</v>
      </c>
      <c r="J1105" s="52">
        <v>0.12916666666666668</v>
      </c>
    </row>
    <row r="1106" spans="1:10" s="42" customFormat="1" ht="15" x14ac:dyDescent="0.25">
      <c r="A1106" s="42" t="s">
        <v>205</v>
      </c>
      <c r="B1106" s="42">
        <v>146560</v>
      </c>
      <c r="C1106" s="42">
        <v>86</v>
      </c>
      <c r="D1106" s="42" t="s">
        <v>11</v>
      </c>
      <c r="E1106" s="42">
        <v>14500</v>
      </c>
      <c r="F1106" s="42">
        <v>1908426</v>
      </c>
      <c r="G1106" s="42" t="s">
        <v>208</v>
      </c>
      <c r="H1106" s="42">
        <v>5</v>
      </c>
      <c r="I1106" s="53">
        <v>1184</v>
      </c>
      <c r="J1106" s="52">
        <v>9.5833333333333326E-2</v>
      </c>
    </row>
    <row r="1107" spans="1:10" s="42" customFormat="1" ht="15" x14ac:dyDescent="0.25">
      <c r="A1107" s="42" t="s">
        <v>209</v>
      </c>
      <c r="B1107" s="42">
        <v>140549</v>
      </c>
      <c r="C1107" s="42">
        <v>84</v>
      </c>
      <c r="D1107" s="42" t="s">
        <v>11</v>
      </c>
      <c r="E1107" s="42">
        <v>14500</v>
      </c>
      <c r="F1107" s="42">
        <v>2318123</v>
      </c>
      <c r="G1107" s="42" t="s">
        <v>210</v>
      </c>
      <c r="H1107" s="42">
        <v>5</v>
      </c>
      <c r="I1107" s="53">
        <v>1716</v>
      </c>
      <c r="J1107" s="52">
        <v>0.13958333333333334</v>
      </c>
    </row>
    <row r="1108" spans="1:10" s="42" customFormat="1" ht="15" x14ac:dyDescent="0.25">
      <c r="A1108" s="42" t="s">
        <v>209</v>
      </c>
      <c r="B1108" s="42">
        <v>141531</v>
      </c>
      <c r="C1108" s="42">
        <v>57</v>
      </c>
      <c r="D1108" s="42" t="s">
        <v>11</v>
      </c>
      <c r="E1108" s="42">
        <v>4279</v>
      </c>
      <c r="F1108" s="42">
        <v>2323923</v>
      </c>
      <c r="G1108" s="42" t="s">
        <v>211</v>
      </c>
      <c r="H1108" s="42">
        <v>5</v>
      </c>
      <c r="I1108" s="53">
        <v>2420</v>
      </c>
      <c r="J1108" s="52">
        <v>9.3055555555555558E-2</v>
      </c>
    </row>
    <row r="1109" spans="1:10" s="42" customFormat="1" ht="15" x14ac:dyDescent="0.25">
      <c r="A1109" s="42" t="s">
        <v>209</v>
      </c>
      <c r="B1109" s="42">
        <v>141532</v>
      </c>
      <c r="C1109" s="42">
        <v>51</v>
      </c>
      <c r="D1109" s="42" t="s">
        <v>11</v>
      </c>
      <c r="E1109" s="42">
        <v>4258</v>
      </c>
      <c r="F1109" s="42">
        <v>2323923</v>
      </c>
      <c r="G1109" s="42" t="s">
        <v>211</v>
      </c>
      <c r="H1109" s="42">
        <v>5</v>
      </c>
      <c r="I1109" s="53">
        <v>1440</v>
      </c>
      <c r="J1109" s="52">
        <v>5.5555555555555552E-2</v>
      </c>
    </row>
    <row r="1110" spans="1:10" s="42" customFormat="1" ht="15" x14ac:dyDescent="0.25">
      <c r="A1110" s="42" t="s">
        <v>209</v>
      </c>
      <c r="B1110" s="42">
        <v>141533</v>
      </c>
      <c r="C1110" s="42">
        <v>51</v>
      </c>
      <c r="D1110" s="42" t="s">
        <v>11</v>
      </c>
      <c r="E1110" s="42">
        <v>418</v>
      </c>
      <c r="F1110" s="42">
        <v>2323923</v>
      </c>
      <c r="G1110" s="42" t="s">
        <v>211</v>
      </c>
      <c r="H1110" s="42">
        <v>5</v>
      </c>
      <c r="I1110" s="53">
        <v>1920</v>
      </c>
      <c r="J1110" s="52">
        <v>7.4305555555555555E-2</v>
      </c>
    </row>
    <row r="1111" spans="1:10" s="42" customFormat="1" ht="15" x14ac:dyDescent="0.25">
      <c r="A1111" s="42" t="s">
        <v>209</v>
      </c>
      <c r="B1111" s="42">
        <v>145641</v>
      </c>
      <c r="C1111" s="42">
        <v>68</v>
      </c>
      <c r="D1111" s="42" t="s">
        <v>11</v>
      </c>
      <c r="E1111" s="42">
        <v>14500</v>
      </c>
      <c r="F1111" s="42">
        <v>2318123</v>
      </c>
      <c r="G1111" s="42" t="s">
        <v>210</v>
      </c>
      <c r="H1111" s="42">
        <v>5</v>
      </c>
      <c r="I1111" s="42">
        <v>250</v>
      </c>
      <c r="J1111" s="52">
        <v>2.013888888888889E-2</v>
      </c>
    </row>
    <row r="1112" spans="1:10" s="42" customFormat="1" ht="15" x14ac:dyDescent="0.25">
      <c r="A1112" s="42" t="s">
        <v>209</v>
      </c>
      <c r="B1112" s="42">
        <v>145647</v>
      </c>
      <c r="C1112" s="42">
        <v>68</v>
      </c>
      <c r="D1112" s="42" t="s">
        <v>11</v>
      </c>
      <c r="E1112" s="42">
        <v>14500</v>
      </c>
      <c r="F1112" s="42">
        <v>2318123</v>
      </c>
      <c r="G1112" s="42" t="s">
        <v>210</v>
      </c>
      <c r="H1112" s="42">
        <v>5</v>
      </c>
      <c r="I1112" s="42">
        <v>176</v>
      </c>
      <c r="J1112" s="52">
        <v>1.4583333333333332E-2</v>
      </c>
    </row>
    <row r="1113" spans="1:10" s="42" customFormat="1" ht="15" x14ac:dyDescent="0.25">
      <c r="A1113" s="42" t="s">
        <v>209</v>
      </c>
      <c r="B1113" s="42">
        <v>145648</v>
      </c>
      <c r="C1113" s="42">
        <v>68</v>
      </c>
      <c r="D1113" s="42" t="s">
        <v>11</v>
      </c>
      <c r="E1113" s="42">
        <v>14500</v>
      </c>
      <c r="F1113" s="42">
        <v>2318123</v>
      </c>
      <c r="G1113" s="42" t="s">
        <v>210</v>
      </c>
      <c r="H1113" s="42">
        <v>5</v>
      </c>
      <c r="I1113" s="42">
        <v>242</v>
      </c>
      <c r="J1113" s="52">
        <v>1.9444444444444445E-2</v>
      </c>
    </row>
    <row r="1114" spans="1:10" s="42" customFormat="1" ht="15" x14ac:dyDescent="0.25">
      <c r="A1114" s="42" t="s">
        <v>209</v>
      </c>
      <c r="B1114" s="42">
        <v>145649</v>
      </c>
      <c r="C1114" s="42">
        <v>41</v>
      </c>
      <c r="D1114" s="42" t="s">
        <v>11</v>
      </c>
      <c r="E1114" s="42">
        <v>4042</v>
      </c>
      <c r="F1114" s="42">
        <v>2318124</v>
      </c>
      <c r="G1114" s="42" t="s">
        <v>212</v>
      </c>
      <c r="H1114" s="42">
        <v>5</v>
      </c>
      <c r="I1114" s="42">
        <v>505</v>
      </c>
      <c r="J1114" s="52">
        <v>4.0972222222222222E-2</v>
      </c>
    </row>
    <row r="1115" spans="1:10" s="42" customFormat="1" ht="15" x14ac:dyDescent="0.25">
      <c r="A1115" s="42" t="s">
        <v>209</v>
      </c>
      <c r="B1115" s="42">
        <v>145650</v>
      </c>
      <c r="C1115" s="42">
        <v>41</v>
      </c>
      <c r="D1115" s="42" t="s">
        <v>11</v>
      </c>
      <c r="E1115" s="42">
        <v>4251</v>
      </c>
      <c r="F1115" s="42">
        <v>2318124</v>
      </c>
      <c r="G1115" s="42" t="s">
        <v>212</v>
      </c>
      <c r="H1115" s="42">
        <v>5</v>
      </c>
      <c r="I1115" s="42">
        <v>472</v>
      </c>
      <c r="J1115" s="52">
        <v>3.8194444444444441E-2</v>
      </c>
    </row>
    <row r="1116" spans="1:10" s="42" customFormat="1" ht="15" x14ac:dyDescent="0.25">
      <c r="A1116" s="42" t="s">
        <v>209</v>
      </c>
      <c r="B1116" s="42">
        <v>146557</v>
      </c>
      <c r="C1116" s="42">
        <v>75</v>
      </c>
      <c r="D1116" s="42" t="s">
        <v>11</v>
      </c>
      <c r="E1116" s="42">
        <v>4032</v>
      </c>
      <c r="F1116" s="42">
        <v>1908424</v>
      </c>
      <c r="G1116" s="42" t="s">
        <v>213</v>
      </c>
      <c r="H1116" s="42">
        <v>5</v>
      </c>
      <c r="I1116" s="42">
        <v>647</v>
      </c>
      <c r="J1116" s="52">
        <v>5.9722222222222225E-2</v>
      </c>
    </row>
    <row r="1117" spans="1:10" s="42" customFormat="1" ht="15" x14ac:dyDescent="0.25">
      <c r="A1117" s="42" t="s">
        <v>209</v>
      </c>
      <c r="B1117" s="42">
        <v>146558</v>
      </c>
      <c r="C1117" s="42">
        <v>75</v>
      </c>
      <c r="D1117" s="42" t="s">
        <v>11</v>
      </c>
      <c r="E1117" s="42">
        <v>401</v>
      </c>
      <c r="F1117" s="42">
        <v>1908424</v>
      </c>
      <c r="G1117" s="42" t="s">
        <v>213</v>
      </c>
      <c r="H1117" s="42">
        <v>5</v>
      </c>
      <c r="I1117" s="42">
        <v>688</v>
      </c>
      <c r="J1117" s="52">
        <v>6.3888888888888884E-2</v>
      </c>
    </row>
    <row r="1118" spans="1:10" s="42" customFormat="1" ht="15" x14ac:dyDescent="0.25">
      <c r="A1118" s="42" t="s">
        <v>209</v>
      </c>
      <c r="B1118" s="42">
        <v>146559</v>
      </c>
      <c r="C1118" s="42">
        <v>99</v>
      </c>
      <c r="D1118" s="42" t="s">
        <v>11</v>
      </c>
      <c r="E1118" s="42">
        <v>4096</v>
      </c>
      <c r="F1118" s="42">
        <v>1908424</v>
      </c>
      <c r="G1118" s="42" t="s">
        <v>213</v>
      </c>
      <c r="H1118" s="42">
        <v>5</v>
      </c>
      <c r="I1118" s="53">
        <v>1592</v>
      </c>
      <c r="J1118" s="52">
        <v>0.14722222222222223</v>
      </c>
    </row>
    <row r="1119" spans="1:10" s="42" customFormat="1" ht="15" x14ac:dyDescent="0.25">
      <c r="A1119" s="42" t="s">
        <v>209</v>
      </c>
      <c r="B1119" s="42">
        <v>146560</v>
      </c>
      <c r="C1119" s="42">
        <v>83</v>
      </c>
      <c r="D1119" s="42" t="s">
        <v>11</v>
      </c>
      <c r="E1119" s="42">
        <v>4078</v>
      </c>
      <c r="F1119" s="42">
        <v>1908424</v>
      </c>
      <c r="G1119" s="42" t="s">
        <v>213</v>
      </c>
      <c r="H1119" s="42">
        <v>5</v>
      </c>
      <c r="I1119" s="53">
        <v>1184</v>
      </c>
      <c r="J1119" s="52">
        <v>0.10972222222222222</v>
      </c>
    </row>
    <row r="1120" spans="1:10" s="42" customFormat="1" ht="15" x14ac:dyDescent="0.25">
      <c r="A1120" s="42" t="s">
        <v>214</v>
      </c>
      <c r="B1120" s="42">
        <v>132022</v>
      </c>
      <c r="C1120" s="42">
        <v>69</v>
      </c>
      <c r="D1120" s="42" t="s">
        <v>11</v>
      </c>
      <c r="E1120" s="42">
        <v>4264</v>
      </c>
      <c r="F1120" s="42">
        <v>3611423</v>
      </c>
      <c r="G1120" s="42" t="s">
        <v>215</v>
      </c>
      <c r="H1120" s="42">
        <v>1001</v>
      </c>
      <c r="I1120" s="42">
        <v>628</v>
      </c>
      <c r="J1120" s="52">
        <v>8.0555555555555561E-2</v>
      </c>
    </row>
    <row r="1121" spans="1:10" s="42" customFormat="1" ht="15" x14ac:dyDescent="0.25">
      <c r="A1121" s="42" t="s">
        <v>214</v>
      </c>
      <c r="B1121" s="42">
        <v>143856</v>
      </c>
      <c r="C1121" s="42">
        <v>69</v>
      </c>
      <c r="D1121" s="42" t="s">
        <v>11</v>
      </c>
      <c r="E1121" s="42">
        <v>4264</v>
      </c>
      <c r="F1121" s="42">
        <v>3611423</v>
      </c>
      <c r="G1121" s="42" t="s">
        <v>215</v>
      </c>
      <c r="H1121" s="42">
        <v>1001</v>
      </c>
      <c r="I1121" s="53">
        <v>1956</v>
      </c>
      <c r="J1121" s="52">
        <v>0.25</v>
      </c>
    </row>
    <row r="1122" spans="1:10" s="42" customFormat="1" ht="15" x14ac:dyDescent="0.25">
      <c r="A1122" s="42" t="s">
        <v>214</v>
      </c>
      <c r="B1122" s="42">
        <v>146112</v>
      </c>
      <c r="C1122" s="42">
        <v>66</v>
      </c>
      <c r="D1122" s="42" t="s">
        <v>11</v>
      </c>
      <c r="E1122" s="42">
        <v>14500</v>
      </c>
      <c r="F1122" s="42">
        <v>2324023</v>
      </c>
      <c r="G1122" s="42" t="s">
        <v>216</v>
      </c>
      <c r="H1122" s="42">
        <v>251</v>
      </c>
      <c r="I1122" s="42">
        <v>215</v>
      </c>
      <c r="J1122" s="52">
        <v>2.4999999999999998E-2</v>
      </c>
    </row>
    <row r="1123" spans="1:10" s="42" customFormat="1" ht="15" x14ac:dyDescent="0.25">
      <c r="A1123" s="42" t="s">
        <v>214</v>
      </c>
      <c r="B1123" s="42">
        <v>146112</v>
      </c>
      <c r="C1123" s="42">
        <v>66</v>
      </c>
      <c r="D1123" s="42" t="s">
        <v>11</v>
      </c>
      <c r="E1123" s="42">
        <v>14500</v>
      </c>
      <c r="F1123" s="42">
        <v>2324023</v>
      </c>
      <c r="G1123" s="42" t="s">
        <v>216</v>
      </c>
      <c r="H1123" s="42">
        <v>326</v>
      </c>
      <c r="I1123" s="42">
        <v>62</v>
      </c>
      <c r="J1123" s="52">
        <v>0</v>
      </c>
    </row>
    <row r="1124" spans="1:10" s="42" customFormat="1" ht="15" x14ac:dyDescent="0.25">
      <c r="A1124" s="42" t="s">
        <v>214</v>
      </c>
      <c r="B1124" s="42">
        <v>146226</v>
      </c>
      <c r="C1124" s="42">
        <v>23</v>
      </c>
      <c r="D1124" s="42" t="s">
        <v>11</v>
      </c>
      <c r="E1124" s="42">
        <v>14500</v>
      </c>
      <c r="F1124" s="42">
        <v>1905324</v>
      </c>
      <c r="G1124" s="42" t="s">
        <v>217</v>
      </c>
      <c r="H1124" s="42">
        <v>5</v>
      </c>
      <c r="I1124" s="42">
        <v>43</v>
      </c>
      <c r="J1124" s="52">
        <v>3.472222222222222E-3</v>
      </c>
    </row>
    <row r="1125" spans="1:10" s="42" customFormat="1" ht="15" x14ac:dyDescent="0.25">
      <c r="A1125" s="42" t="s">
        <v>214</v>
      </c>
      <c r="B1125" s="42">
        <v>146545</v>
      </c>
      <c r="C1125" s="42">
        <v>56</v>
      </c>
      <c r="D1125" s="42" t="s">
        <v>11</v>
      </c>
      <c r="E1125" s="42">
        <v>14500</v>
      </c>
      <c r="F1125" s="42">
        <v>1903623</v>
      </c>
      <c r="G1125" s="42" t="s">
        <v>218</v>
      </c>
      <c r="H1125" s="42">
        <v>5</v>
      </c>
      <c r="I1125" s="42">
        <v>266</v>
      </c>
      <c r="J1125" s="52">
        <v>4.9305555555555554E-2</v>
      </c>
    </row>
    <row r="1126" spans="1:10" s="42" customFormat="1" ht="15" x14ac:dyDescent="0.25">
      <c r="A1126" s="42" t="s">
        <v>214</v>
      </c>
      <c r="B1126" s="42">
        <v>146546</v>
      </c>
      <c r="C1126" s="42">
        <v>73</v>
      </c>
      <c r="D1126" s="42" t="s">
        <v>11</v>
      </c>
      <c r="E1126" s="42">
        <v>14500</v>
      </c>
      <c r="F1126" s="42">
        <v>1903623</v>
      </c>
      <c r="G1126" s="42" t="s">
        <v>218</v>
      </c>
      <c r="H1126" s="42">
        <v>5</v>
      </c>
      <c r="I1126" s="42">
        <v>841</v>
      </c>
      <c r="J1126" s="52">
        <v>0.15555555555555556</v>
      </c>
    </row>
    <row r="1127" spans="1:10" s="42" customFormat="1" ht="15" x14ac:dyDescent="0.25">
      <c r="A1127" s="42" t="s">
        <v>214</v>
      </c>
      <c r="B1127" s="42">
        <v>146547</v>
      </c>
      <c r="C1127" s="42">
        <v>64</v>
      </c>
      <c r="D1127" s="42" t="s">
        <v>11</v>
      </c>
      <c r="E1127" s="42">
        <v>14500</v>
      </c>
      <c r="F1127" s="42">
        <v>1903623</v>
      </c>
      <c r="G1127" s="42" t="s">
        <v>218</v>
      </c>
      <c r="H1127" s="42">
        <v>5</v>
      </c>
      <c r="I1127" s="42">
        <v>572</v>
      </c>
      <c r="J1127" s="52">
        <v>0.10625</v>
      </c>
    </row>
    <row r="1128" spans="1:10" s="42" customFormat="1" ht="15" x14ac:dyDescent="0.25">
      <c r="A1128" s="42" t="s">
        <v>214</v>
      </c>
      <c r="B1128" s="42">
        <v>146548</v>
      </c>
      <c r="C1128" s="42">
        <v>56</v>
      </c>
      <c r="D1128" s="42" t="s">
        <v>11</v>
      </c>
      <c r="E1128" s="42">
        <v>14500</v>
      </c>
      <c r="F1128" s="42">
        <v>1903623</v>
      </c>
      <c r="G1128" s="42" t="s">
        <v>218</v>
      </c>
      <c r="H1128" s="42">
        <v>5</v>
      </c>
      <c r="I1128" s="42">
        <v>245</v>
      </c>
      <c r="J1128" s="52">
        <v>4.5138888888888888E-2</v>
      </c>
    </row>
    <row r="1129" spans="1:10" s="42" customFormat="1" ht="15" x14ac:dyDescent="0.25">
      <c r="A1129" s="42" t="s">
        <v>214</v>
      </c>
      <c r="B1129" s="42">
        <v>147493</v>
      </c>
      <c r="C1129" s="42">
        <v>46</v>
      </c>
      <c r="D1129" s="42" t="s">
        <v>11</v>
      </c>
      <c r="E1129" s="42">
        <v>14500</v>
      </c>
      <c r="F1129" s="42">
        <v>2726324</v>
      </c>
      <c r="G1129" s="42" t="s">
        <v>219</v>
      </c>
      <c r="H1129" s="42">
        <v>336</v>
      </c>
      <c r="I1129" s="42">
        <v>34</v>
      </c>
      <c r="J1129" s="52">
        <v>0</v>
      </c>
    </row>
    <row r="1130" spans="1:10" s="42" customFormat="1" ht="15" x14ac:dyDescent="0.25">
      <c r="A1130" s="42" t="s">
        <v>214</v>
      </c>
      <c r="B1130" s="42">
        <v>147493</v>
      </c>
      <c r="C1130" s="42">
        <v>46</v>
      </c>
      <c r="D1130" s="42" t="s">
        <v>11</v>
      </c>
      <c r="E1130" s="42">
        <v>14500</v>
      </c>
      <c r="F1130" s="42">
        <v>2726324</v>
      </c>
      <c r="G1130" s="42" t="s">
        <v>219</v>
      </c>
      <c r="H1130" s="42">
        <v>374</v>
      </c>
      <c r="I1130" s="42">
        <v>60</v>
      </c>
      <c r="J1130" s="52">
        <v>1.1111111111111112E-2</v>
      </c>
    </row>
    <row r="1131" spans="1:10" s="42" customFormat="1" ht="15" x14ac:dyDescent="0.25">
      <c r="A1131" s="42" t="s">
        <v>214</v>
      </c>
      <c r="B1131" s="42">
        <v>147513</v>
      </c>
      <c r="C1131" s="42">
        <v>62</v>
      </c>
      <c r="D1131" s="42" t="s">
        <v>11</v>
      </c>
      <c r="E1131" s="42">
        <v>14500</v>
      </c>
      <c r="F1131" s="42">
        <v>2726324</v>
      </c>
      <c r="G1131" s="42" t="s">
        <v>219</v>
      </c>
      <c r="H1131" s="42">
        <v>336</v>
      </c>
      <c r="I1131" s="42">
        <v>915</v>
      </c>
      <c r="J1131" s="52">
        <v>0</v>
      </c>
    </row>
    <row r="1132" spans="1:10" s="42" customFormat="1" ht="15" x14ac:dyDescent="0.25">
      <c r="A1132" s="42" t="s">
        <v>214</v>
      </c>
      <c r="B1132" s="42">
        <v>147513</v>
      </c>
      <c r="C1132" s="42">
        <v>62</v>
      </c>
      <c r="D1132" s="42" t="s">
        <v>11</v>
      </c>
      <c r="E1132" s="42">
        <v>14500</v>
      </c>
      <c r="F1132" s="42">
        <v>2726324</v>
      </c>
      <c r="G1132" s="42" t="s">
        <v>219</v>
      </c>
      <c r="H1132" s="42">
        <v>374</v>
      </c>
      <c r="I1132" s="42">
        <v>952</v>
      </c>
      <c r="J1132" s="52">
        <v>0.17430555555555557</v>
      </c>
    </row>
    <row r="1133" spans="1:10" s="42" customFormat="1" ht="15" x14ac:dyDescent="0.25">
      <c r="A1133" s="42" t="s">
        <v>220</v>
      </c>
      <c r="B1133" s="42">
        <v>141211</v>
      </c>
      <c r="C1133" s="42">
        <v>12</v>
      </c>
      <c r="D1133" s="42" t="s">
        <v>11</v>
      </c>
      <c r="E1133" s="42">
        <v>4227</v>
      </c>
      <c r="F1133" s="42">
        <v>3446224</v>
      </c>
      <c r="G1133" s="42" t="s">
        <v>221</v>
      </c>
      <c r="H1133" s="42">
        <v>1001</v>
      </c>
      <c r="I1133" s="42">
        <v>38</v>
      </c>
      <c r="J1133" s="52">
        <v>1.0416666666666666E-2</v>
      </c>
    </row>
    <row r="1134" spans="1:10" s="42" customFormat="1" ht="15" x14ac:dyDescent="0.25">
      <c r="A1134" s="42" t="s">
        <v>220</v>
      </c>
      <c r="B1134" s="42">
        <v>141212</v>
      </c>
      <c r="C1134" s="42">
        <v>14</v>
      </c>
      <c r="D1134" s="42" t="s">
        <v>11</v>
      </c>
      <c r="E1134" s="42">
        <v>4232</v>
      </c>
      <c r="F1134" s="42">
        <v>3446224</v>
      </c>
      <c r="G1134" s="42" t="s">
        <v>221</v>
      </c>
      <c r="H1134" s="42">
        <v>1001</v>
      </c>
      <c r="I1134" s="42">
        <v>54</v>
      </c>
      <c r="J1134" s="52">
        <v>1.4583333333333332E-2</v>
      </c>
    </row>
    <row r="1135" spans="1:10" s="42" customFormat="1" ht="15" x14ac:dyDescent="0.25">
      <c r="A1135" s="42" t="s">
        <v>220</v>
      </c>
      <c r="B1135" s="42">
        <v>141453</v>
      </c>
      <c r="C1135" s="42">
        <v>78</v>
      </c>
      <c r="D1135" s="42" t="s">
        <v>11</v>
      </c>
      <c r="E1135" s="42">
        <v>14500</v>
      </c>
      <c r="F1135" s="42">
        <v>1906923</v>
      </c>
      <c r="G1135" s="42" t="s">
        <v>222</v>
      </c>
      <c r="H1135" s="42">
        <v>5</v>
      </c>
      <c r="I1135" s="42">
        <v>428</v>
      </c>
      <c r="J1135" s="52">
        <v>7.013888888888889E-2</v>
      </c>
    </row>
    <row r="1136" spans="1:10" s="42" customFormat="1" ht="15" x14ac:dyDescent="0.25">
      <c r="A1136" s="42" t="s">
        <v>220</v>
      </c>
      <c r="B1136" s="42">
        <v>146499</v>
      </c>
      <c r="C1136" s="42">
        <v>62</v>
      </c>
      <c r="D1136" s="42" t="s">
        <v>11</v>
      </c>
      <c r="E1136" s="42">
        <v>14500</v>
      </c>
      <c r="F1136" s="42">
        <v>1906923</v>
      </c>
      <c r="G1136" s="42" t="s">
        <v>222</v>
      </c>
      <c r="H1136" s="42">
        <v>5</v>
      </c>
      <c r="I1136" s="53">
        <v>1069</v>
      </c>
      <c r="J1136" s="52">
        <v>0.17500000000000002</v>
      </c>
    </row>
    <row r="1137" spans="1:10" s="42" customFormat="1" ht="15" x14ac:dyDescent="0.25">
      <c r="A1137" s="42" t="s">
        <v>220</v>
      </c>
      <c r="B1137" s="42">
        <v>146567</v>
      </c>
      <c r="C1137" s="42">
        <v>89</v>
      </c>
      <c r="D1137" s="42" t="s">
        <v>11</v>
      </c>
      <c r="E1137" s="42">
        <v>14500</v>
      </c>
      <c r="F1137" s="42">
        <v>1912324</v>
      </c>
      <c r="G1137" s="42" t="s">
        <v>223</v>
      </c>
      <c r="H1137" s="42">
        <v>171</v>
      </c>
      <c r="I1137" s="42">
        <v>429</v>
      </c>
      <c r="J1137" s="52">
        <v>7.013888888888889E-2</v>
      </c>
    </row>
    <row r="1138" spans="1:10" s="42" customFormat="1" ht="15" x14ac:dyDescent="0.25">
      <c r="A1138" s="42" t="s">
        <v>220</v>
      </c>
      <c r="B1138" s="42">
        <v>146567</v>
      </c>
      <c r="C1138" s="42">
        <v>89</v>
      </c>
      <c r="D1138" s="42" t="s">
        <v>11</v>
      </c>
      <c r="E1138" s="42">
        <v>14500</v>
      </c>
      <c r="F1138" s="42">
        <v>1912324</v>
      </c>
      <c r="G1138" s="42" t="s">
        <v>223</v>
      </c>
      <c r="H1138" s="42">
        <v>227</v>
      </c>
      <c r="I1138" s="42">
        <v>310</v>
      </c>
      <c r="J1138" s="52">
        <v>0</v>
      </c>
    </row>
    <row r="1139" spans="1:10" s="42" customFormat="1" ht="15" x14ac:dyDescent="0.25">
      <c r="A1139" s="42" t="s">
        <v>220</v>
      </c>
      <c r="B1139" s="42">
        <v>146567</v>
      </c>
      <c r="C1139" s="42">
        <v>94</v>
      </c>
      <c r="D1139" s="42" t="s">
        <v>11</v>
      </c>
      <c r="E1139" s="42">
        <v>14500</v>
      </c>
      <c r="F1139" s="42">
        <v>1912326</v>
      </c>
      <c r="G1139" s="42" t="s">
        <v>224</v>
      </c>
      <c r="H1139" s="42">
        <v>5</v>
      </c>
      <c r="I1139" s="42">
        <v>738</v>
      </c>
      <c r="J1139" s="52">
        <v>6.1805555555555558E-2</v>
      </c>
    </row>
    <row r="1140" spans="1:10" s="42" customFormat="1" ht="15" x14ac:dyDescent="0.25">
      <c r="A1140" s="42" t="s">
        <v>220</v>
      </c>
      <c r="B1140" s="42">
        <v>146568</v>
      </c>
      <c r="C1140" s="42">
        <v>89</v>
      </c>
      <c r="D1140" s="42" t="s">
        <v>11</v>
      </c>
      <c r="E1140" s="42">
        <v>14500</v>
      </c>
      <c r="F1140" s="42">
        <v>1912324</v>
      </c>
      <c r="G1140" s="42" t="s">
        <v>223</v>
      </c>
      <c r="H1140" s="42">
        <v>171</v>
      </c>
      <c r="I1140" s="42">
        <v>244</v>
      </c>
      <c r="J1140" s="52">
        <v>0</v>
      </c>
    </row>
    <row r="1141" spans="1:10" s="42" customFormat="1" ht="15" x14ac:dyDescent="0.25">
      <c r="A1141" s="42" t="s">
        <v>220</v>
      </c>
      <c r="B1141" s="42">
        <v>146568</v>
      </c>
      <c r="C1141" s="42">
        <v>89</v>
      </c>
      <c r="D1141" s="42" t="s">
        <v>11</v>
      </c>
      <c r="E1141" s="42">
        <v>14500</v>
      </c>
      <c r="F1141" s="42">
        <v>1912324</v>
      </c>
      <c r="G1141" s="42" t="s">
        <v>223</v>
      </c>
      <c r="H1141" s="42">
        <v>227</v>
      </c>
      <c r="I1141" s="42">
        <v>254</v>
      </c>
      <c r="J1141" s="42">
        <v>4.1666666666666664E-2</v>
      </c>
    </row>
    <row r="1142" spans="1:10" s="42" customFormat="1" ht="15" x14ac:dyDescent="0.25">
      <c r="A1142" s="42" t="s">
        <v>220</v>
      </c>
      <c r="B1142" s="42">
        <v>146568</v>
      </c>
      <c r="C1142" s="42">
        <v>94</v>
      </c>
      <c r="D1142" s="42" t="s">
        <v>11</v>
      </c>
      <c r="E1142" s="42">
        <v>14500</v>
      </c>
      <c r="F1142" s="42">
        <v>1912326</v>
      </c>
      <c r="G1142" s="42" t="s">
        <v>224</v>
      </c>
      <c r="H1142" s="42">
        <v>5</v>
      </c>
      <c r="I1142" s="42">
        <v>498</v>
      </c>
      <c r="J1142" s="42">
        <v>4.1666666666666664E-2</v>
      </c>
    </row>
    <row r="1143" spans="1:10" s="42" customFormat="1" ht="15" x14ac:dyDescent="0.25">
      <c r="A1143" s="42" t="s">
        <v>220</v>
      </c>
      <c r="B1143" s="42">
        <v>146569</v>
      </c>
      <c r="C1143" s="42">
        <v>95</v>
      </c>
      <c r="D1143" s="42" t="s">
        <v>11</v>
      </c>
      <c r="E1143" s="42">
        <v>14500</v>
      </c>
      <c r="F1143" s="42">
        <v>1912324</v>
      </c>
      <c r="G1143" s="42" t="s">
        <v>223</v>
      </c>
      <c r="H1143" s="42">
        <v>171</v>
      </c>
      <c r="I1143" s="42">
        <v>303</v>
      </c>
      <c r="J1143" s="52">
        <v>0</v>
      </c>
    </row>
    <row r="1144" spans="1:10" s="42" customFormat="1" ht="15" x14ac:dyDescent="0.25">
      <c r="A1144" s="42" t="s">
        <v>220</v>
      </c>
      <c r="B1144" s="42">
        <v>146569</v>
      </c>
      <c r="C1144" s="42">
        <v>95</v>
      </c>
      <c r="D1144" s="42" t="s">
        <v>11</v>
      </c>
      <c r="E1144" s="42">
        <v>14500</v>
      </c>
      <c r="F1144" s="42">
        <v>1912324</v>
      </c>
      <c r="G1144" s="42" t="s">
        <v>223</v>
      </c>
      <c r="H1144" s="42">
        <v>227</v>
      </c>
      <c r="I1144" s="42">
        <v>397</v>
      </c>
      <c r="J1144" s="52">
        <v>6.458333333333334E-2</v>
      </c>
    </row>
    <row r="1145" spans="1:10" s="42" customFormat="1" ht="15" x14ac:dyDescent="0.25">
      <c r="A1145" s="42" t="s">
        <v>220</v>
      </c>
      <c r="B1145" s="42">
        <v>146569</v>
      </c>
      <c r="C1145" s="42">
        <v>100</v>
      </c>
      <c r="D1145" s="42" t="s">
        <v>11</v>
      </c>
      <c r="E1145" s="42">
        <v>14500</v>
      </c>
      <c r="F1145" s="42">
        <v>1912326</v>
      </c>
      <c r="G1145" s="42" t="s">
        <v>224</v>
      </c>
      <c r="H1145" s="42">
        <v>5</v>
      </c>
      <c r="I1145" s="42">
        <v>700</v>
      </c>
      <c r="J1145" s="52">
        <v>5.8333333333333327E-2</v>
      </c>
    </row>
    <row r="1146" spans="1:10" s="42" customFormat="1" ht="15" x14ac:dyDescent="0.25">
      <c r="A1146" s="42" t="s">
        <v>220</v>
      </c>
      <c r="B1146" s="42">
        <v>146570</v>
      </c>
      <c r="C1146" s="42">
        <v>96</v>
      </c>
      <c r="D1146" s="42" t="s">
        <v>11</v>
      </c>
      <c r="E1146" s="42">
        <v>14500</v>
      </c>
      <c r="F1146" s="42">
        <v>1912324</v>
      </c>
      <c r="G1146" s="42" t="s">
        <v>223</v>
      </c>
      <c r="H1146" s="42">
        <v>171</v>
      </c>
      <c r="I1146" s="42">
        <v>565</v>
      </c>
      <c r="J1146" s="52">
        <v>9.2361111111111116E-2</v>
      </c>
    </row>
    <row r="1147" spans="1:10" s="42" customFormat="1" ht="15" x14ac:dyDescent="0.25">
      <c r="A1147" s="42" t="s">
        <v>220</v>
      </c>
      <c r="B1147" s="42">
        <v>146570</v>
      </c>
      <c r="C1147" s="42">
        <v>96</v>
      </c>
      <c r="D1147" s="42" t="s">
        <v>11</v>
      </c>
      <c r="E1147" s="42">
        <v>14500</v>
      </c>
      <c r="F1147" s="42">
        <v>1912324</v>
      </c>
      <c r="G1147" s="42" t="s">
        <v>223</v>
      </c>
      <c r="H1147" s="42">
        <v>227</v>
      </c>
      <c r="I1147" s="42">
        <v>510</v>
      </c>
      <c r="J1147" s="52">
        <v>0</v>
      </c>
    </row>
    <row r="1148" spans="1:10" s="42" customFormat="1" ht="15" x14ac:dyDescent="0.25">
      <c r="A1148" s="42" t="s">
        <v>220</v>
      </c>
      <c r="B1148" s="42">
        <v>146570</v>
      </c>
      <c r="C1148" s="42">
        <v>101</v>
      </c>
      <c r="D1148" s="42" t="s">
        <v>11</v>
      </c>
      <c r="E1148" s="42">
        <v>14500</v>
      </c>
      <c r="F1148" s="42">
        <v>1912326</v>
      </c>
      <c r="G1148" s="42" t="s">
        <v>224</v>
      </c>
      <c r="H1148" s="42">
        <v>5</v>
      </c>
      <c r="I1148" s="53">
        <v>1075</v>
      </c>
      <c r="J1148" s="52">
        <v>8.9583333333333334E-2</v>
      </c>
    </row>
    <row r="1149" spans="1:10" s="42" customFormat="1" ht="15" x14ac:dyDescent="0.25">
      <c r="A1149" s="42" t="s">
        <v>225</v>
      </c>
      <c r="B1149" s="42">
        <v>146502</v>
      </c>
      <c r="C1149" s="42">
        <v>78</v>
      </c>
      <c r="D1149" s="42" t="s">
        <v>11</v>
      </c>
      <c r="E1149" s="42">
        <v>14500</v>
      </c>
      <c r="F1149" s="42">
        <v>1906923</v>
      </c>
      <c r="G1149" s="42" t="s">
        <v>222</v>
      </c>
      <c r="H1149" s="42">
        <v>5</v>
      </c>
      <c r="I1149" s="53">
        <v>2212</v>
      </c>
      <c r="J1149" s="52">
        <v>0.3611111111111111</v>
      </c>
    </row>
    <row r="1150" spans="1:10" s="42" customFormat="1" ht="15" x14ac:dyDescent="0.25">
      <c r="A1150" s="42" t="s">
        <v>225</v>
      </c>
      <c r="B1150" s="42">
        <v>146861</v>
      </c>
      <c r="C1150" s="42">
        <v>57</v>
      </c>
      <c r="D1150" s="42" t="s">
        <v>11</v>
      </c>
      <c r="E1150" s="42">
        <v>14500</v>
      </c>
      <c r="F1150" s="42">
        <v>1911224</v>
      </c>
      <c r="G1150" s="42" t="s">
        <v>226</v>
      </c>
      <c r="H1150" s="42">
        <v>1001</v>
      </c>
      <c r="I1150" s="42">
        <v>300</v>
      </c>
      <c r="J1150" s="52">
        <v>9.7916666666666666E-2</v>
      </c>
    </row>
    <row r="1151" spans="1:10" s="42" customFormat="1" ht="15" x14ac:dyDescent="0.25">
      <c r="A1151" s="42" t="s">
        <v>225</v>
      </c>
      <c r="B1151" s="42">
        <v>146861</v>
      </c>
      <c r="C1151" s="42">
        <v>57</v>
      </c>
      <c r="D1151" s="42" t="s">
        <v>11</v>
      </c>
      <c r="E1151" s="42">
        <v>14500</v>
      </c>
      <c r="F1151" s="42">
        <v>1911224</v>
      </c>
      <c r="G1151" s="42" t="s">
        <v>226</v>
      </c>
      <c r="H1151" s="42">
        <v>1002</v>
      </c>
      <c r="I1151" s="42">
        <v>300</v>
      </c>
      <c r="J1151" s="52">
        <v>0</v>
      </c>
    </row>
    <row r="1152" spans="1:10" s="42" customFormat="1" ht="15" x14ac:dyDescent="0.25">
      <c r="A1152" s="42" t="s">
        <v>225</v>
      </c>
      <c r="B1152" s="42">
        <v>146865</v>
      </c>
      <c r="C1152" s="42">
        <v>47</v>
      </c>
      <c r="D1152" s="42" t="s">
        <v>11</v>
      </c>
      <c r="E1152" s="42">
        <v>14500</v>
      </c>
      <c r="F1152" s="42">
        <v>1911224</v>
      </c>
      <c r="G1152" s="42" t="s">
        <v>226</v>
      </c>
      <c r="H1152" s="42">
        <v>1001</v>
      </c>
      <c r="I1152" s="42">
        <v>246</v>
      </c>
      <c r="J1152" s="52">
        <v>7.9861111111111105E-2</v>
      </c>
    </row>
    <row r="1153" spans="1:10" s="42" customFormat="1" ht="15" x14ac:dyDescent="0.25">
      <c r="A1153" s="42" t="s">
        <v>225</v>
      </c>
      <c r="B1153" s="42">
        <v>146865</v>
      </c>
      <c r="C1153" s="42">
        <v>47</v>
      </c>
      <c r="D1153" s="42" t="s">
        <v>11</v>
      </c>
      <c r="E1153" s="42">
        <v>14500</v>
      </c>
      <c r="F1153" s="42">
        <v>1911224</v>
      </c>
      <c r="G1153" s="42" t="s">
        <v>226</v>
      </c>
      <c r="H1153" s="42">
        <v>1002</v>
      </c>
      <c r="I1153" s="42">
        <v>246</v>
      </c>
      <c r="J1153" s="52">
        <v>0</v>
      </c>
    </row>
    <row r="1154" spans="1:10" s="42" customFormat="1" ht="15" x14ac:dyDescent="0.25">
      <c r="A1154" s="42" t="s">
        <v>225</v>
      </c>
      <c r="B1154" s="42">
        <v>147684</v>
      </c>
      <c r="C1154" s="42">
        <v>62</v>
      </c>
      <c r="D1154" s="42" t="s">
        <v>11</v>
      </c>
      <c r="E1154" s="42">
        <v>14500</v>
      </c>
      <c r="F1154" s="42">
        <v>1906923</v>
      </c>
      <c r="G1154" s="42" t="s">
        <v>222</v>
      </c>
      <c r="H1154" s="42">
        <v>5</v>
      </c>
      <c r="I1154" s="42">
        <v>747</v>
      </c>
      <c r="J1154" s="52">
        <v>0.12222222222222223</v>
      </c>
    </row>
    <row r="1155" spans="1:10" s="42" customFormat="1" ht="15" x14ac:dyDescent="0.25">
      <c r="A1155" s="42" t="s">
        <v>225</v>
      </c>
      <c r="B1155" s="42">
        <v>147698</v>
      </c>
      <c r="C1155" s="42">
        <v>54</v>
      </c>
      <c r="D1155" s="42" t="s">
        <v>11</v>
      </c>
      <c r="E1155" s="42">
        <v>14500</v>
      </c>
      <c r="F1155" s="42">
        <v>1906923</v>
      </c>
      <c r="G1155" s="42" t="s">
        <v>222</v>
      </c>
      <c r="H1155" s="42">
        <v>5</v>
      </c>
      <c r="I1155" s="42">
        <v>453</v>
      </c>
      <c r="J1155" s="52">
        <v>7.4305555555555555E-2</v>
      </c>
    </row>
    <row r="1156" spans="1:10" s="42" customFormat="1" ht="15" x14ac:dyDescent="0.25"/>
    <row r="1157" spans="1:10" s="42" customFormat="1" ht="15" x14ac:dyDescent="0.25"/>
    <row r="1158" spans="1:10" s="42" customFormat="1" ht="15" x14ac:dyDescent="0.25"/>
    <row r="1159" spans="1:10" s="42" customFormat="1" ht="15" x14ac:dyDescent="0.25"/>
    <row r="1160" spans="1:10" s="42" customFormat="1" ht="15" x14ac:dyDescent="0.25"/>
    <row r="1161" spans="1:10" s="42" customFormat="1" ht="15" x14ac:dyDescent="0.25"/>
    <row r="1162" spans="1:10" s="42" customFormat="1" ht="15" x14ac:dyDescent="0.25"/>
    <row r="1163" spans="1:10" s="42" customFormat="1" ht="15" x14ac:dyDescent="0.25"/>
    <row r="1164" spans="1:10" s="42" customFormat="1" ht="15" x14ac:dyDescent="0.25"/>
    <row r="1165" spans="1:10" s="42" customFormat="1" ht="15" x14ac:dyDescent="0.25"/>
    <row r="1166" spans="1:10" s="42" customFormat="1" ht="15" x14ac:dyDescent="0.25"/>
    <row r="1167" spans="1:10" s="42" customFormat="1" ht="15" x14ac:dyDescent="0.25"/>
    <row r="1168" spans="1:10" s="42" customFormat="1" ht="15" x14ac:dyDescent="0.25"/>
    <row r="1169" s="42" customFormat="1" ht="15" x14ac:dyDescent="0.25"/>
    <row r="1170" s="42" customFormat="1" ht="15" x14ac:dyDescent="0.25"/>
    <row r="1171" s="42" customFormat="1" ht="15" x14ac:dyDescent="0.25"/>
    <row r="1172" s="42" customFormat="1" ht="15" x14ac:dyDescent="0.25"/>
    <row r="1173" s="42" customFormat="1" ht="15" x14ac:dyDescent="0.25"/>
    <row r="1174" s="42" customFormat="1" ht="15" x14ac:dyDescent="0.25"/>
    <row r="1175" s="42" customFormat="1" ht="15" x14ac:dyDescent="0.25"/>
    <row r="1176" s="42" customFormat="1" ht="15" x14ac:dyDescent="0.25"/>
    <row r="1177" s="42" customFormat="1" ht="15" x14ac:dyDescent="0.25"/>
    <row r="1178" s="42" customFormat="1" ht="15" x14ac:dyDescent="0.25"/>
    <row r="1179" s="42" customFormat="1" ht="15" x14ac:dyDescent="0.25"/>
    <row r="1180" s="42" customFormat="1" ht="15" x14ac:dyDescent="0.25"/>
    <row r="1181" s="42" customFormat="1" ht="15" x14ac:dyDescent="0.25"/>
    <row r="1182" s="42" customFormat="1" ht="15" x14ac:dyDescent="0.25"/>
    <row r="1183" s="42" customFormat="1" ht="15" x14ac:dyDescent="0.25"/>
    <row r="1184" s="42" customFormat="1" ht="15" x14ac:dyDescent="0.25"/>
    <row r="1185" s="42" customFormat="1" ht="15" x14ac:dyDescent="0.25"/>
    <row r="1186" s="42" customFormat="1" ht="15" x14ac:dyDescent="0.25"/>
    <row r="1187" s="42" customFormat="1" ht="15" x14ac:dyDescent="0.25"/>
    <row r="1188" s="42" customFormat="1" ht="15" x14ac:dyDescent="0.25"/>
    <row r="1189" s="42" customFormat="1" ht="15" x14ac:dyDescent="0.25"/>
    <row r="1190" s="42" customFormat="1" ht="15" x14ac:dyDescent="0.25"/>
    <row r="1191" s="42" customFormat="1" ht="15" x14ac:dyDescent="0.25"/>
    <row r="1192" s="42" customFormat="1" ht="15" x14ac:dyDescent="0.25"/>
    <row r="1193" s="42" customFormat="1" ht="15" x14ac:dyDescent="0.25"/>
    <row r="1194" s="42" customFormat="1" ht="15" x14ac:dyDescent="0.25"/>
    <row r="1195" s="42" customFormat="1" ht="15" x14ac:dyDescent="0.25"/>
    <row r="1196" s="42" customFormat="1" ht="15" x14ac:dyDescent="0.25"/>
    <row r="1197" s="42" customFormat="1" ht="15" x14ac:dyDescent="0.25"/>
    <row r="1198" s="42" customFormat="1" ht="15" x14ac:dyDescent="0.25"/>
    <row r="1199" s="42" customFormat="1" ht="15" x14ac:dyDescent="0.25"/>
    <row r="1200" s="42" customFormat="1" ht="15" x14ac:dyDescent="0.25"/>
    <row r="1201" s="42" customFormat="1" ht="15" x14ac:dyDescent="0.25"/>
    <row r="1202" s="42" customFormat="1" ht="15" x14ac:dyDescent="0.25"/>
    <row r="1203" s="42" customFormat="1" ht="15" x14ac:dyDescent="0.25"/>
    <row r="1204" s="42" customFormat="1" ht="15" x14ac:dyDescent="0.25"/>
    <row r="1205" s="42" customFormat="1" ht="15" x14ac:dyDescent="0.25"/>
    <row r="1206" s="42" customFormat="1" ht="15" x14ac:dyDescent="0.25"/>
    <row r="1207" s="42" customFormat="1" ht="15" x14ac:dyDescent="0.25"/>
    <row r="1208" s="42" customFormat="1" ht="15" x14ac:dyDescent="0.25"/>
    <row r="1209" s="42" customFormat="1" ht="15" x14ac:dyDescent="0.25"/>
    <row r="1210" s="42" customFormat="1" ht="15" x14ac:dyDescent="0.25"/>
    <row r="1211" s="42" customFormat="1" ht="15" x14ac:dyDescent="0.25"/>
    <row r="1212" s="42" customFormat="1" ht="15" x14ac:dyDescent="0.25"/>
    <row r="1213" s="42" customFormat="1" ht="15" x14ac:dyDescent="0.25"/>
    <row r="1214" s="42" customFormat="1" ht="15" x14ac:dyDescent="0.25"/>
    <row r="1215" s="42" customFormat="1" ht="15" x14ac:dyDescent="0.25"/>
    <row r="1216" s="42" customFormat="1" ht="15" x14ac:dyDescent="0.25"/>
    <row r="1217" s="42" customFormat="1" ht="15" x14ac:dyDescent="0.25"/>
    <row r="1218" s="42" customFormat="1" ht="15" x14ac:dyDescent="0.25"/>
    <row r="1219" s="42" customFormat="1" ht="15" x14ac:dyDescent="0.25"/>
    <row r="1220" s="42" customFormat="1" ht="15" x14ac:dyDescent="0.25"/>
    <row r="1221" s="42" customFormat="1" ht="15" x14ac:dyDescent="0.25"/>
    <row r="1222" s="42" customFormat="1" ht="15" x14ac:dyDescent="0.25"/>
    <row r="1223" s="42" customFormat="1" ht="15" x14ac:dyDescent="0.25"/>
    <row r="1224" s="42" customFormat="1" ht="15" x14ac:dyDescent="0.25"/>
    <row r="1225" s="42" customFormat="1" ht="15" x14ac:dyDescent="0.25"/>
    <row r="1226" s="42" customFormat="1" ht="15" x14ac:dyDescent="0.25"/>
    <row r="1227" s="42" customFormat="1" ht="15" x14ac:dyDescent="0.25"/>
    <row r="1228" s="42" customFormat="1" ht="15" x14ac:dyDescent="0.25"/>
    <row r="1229" s="42" customFormat="1" ht="15" x14ac:dyDescent="0.25"/>
    <row r="1230" s="42" customFormat="1" ht="15" x14ac:dyDescent="0.25"/>
    <row r="1231" s="42" customFormat="1" ht="15" x14ac:dyDescent="0.25"/>
    <row r="1232" s="42" customFormat="1" ht="15" x14ac:dyDescent="0.25"/>
    <row r="1233" s="42" customFormat="1" ht="15" x14ac:dyDescent="0.25"/>
    <row r="1234" s="42" customFormat="1" ht="15" x14ac:dyDescent="0.25"/>
    <row r="1235" s="42" customFormat="1" ht="15" x14ac:dyDescent="0.25"/>
    <row r="1236" s="42" customFormat="1" ht="15" x14ac:dyDescent="0.25"/>
    <row r="1237" s="42" customFormat="1" ht="15" x14ac:dyDescent="0.25"/>
    <row r="1238" s="42" customFormat="1" ht="15" x14ac:dyDescent="0.25"/>
    <row r="1239" s="42" customFormat="1" ht="15" x14ac:dyDescent="0.25"/>
    <row r="1240" s="42" customFormat="1" ht="15" x14ac:dyDescent="0.25"/>
    <row r="1241" s="42" customFormat="1" ht="15" x14ac:dyDescent="0.25"/>
    <row r="1242" s="42" customFormat="1" ht="15" x14ac:dyDescent="0.25"/>
    <row r="1243" s="42" customFormat="1" ht="15" x14ac:dyDescent="0.25"/>
    <row r="1244" s="42" customFormat="1" ht="15" x14ac:dyDescent="0.25"/>
    <row r="1245" s="42" customFormat="1" ht="15" x14ac:dyDescent="0.25"/>
    <row r="1246" s="42" customFormat="1" ht="15" x14ac:dyDescent="0.25"/>
    <row r="1247" s="42" customFormat="1" ht="15" x14ac:dyDescent="0.25"/>
    <row r="1248" s="42" customFormat="1" ht="15" x14ac:dyDescent="0.25"/>
    <row r="1249" s="42" customFormat="1" ht="15" x14ac:dyDescent="0.25"/>
    <row r="1250" s="42" customFormat="1" ht="15" x14ac:dyDescent="0.25"/>
    <row r="1251" s="42" customFormat="1" ht="15" x14ac:dyDescent="0.25"/>
    <row r="1252" s="42" customFormat="1" ht="15" x14ac:dyDescent="0.25"/>
    <row r="1253" s="42" customFormat="1" ht="15" x14ac:dyDescent="0.25"/>
    <row r="1254" s="42" customFormat="1" ht="15" x14ac:dyDescent="0.25"/>
    <row r="1255" s="42" customFormat="1" ht="15" x14ac:dyDescent="0.25"/>
    <row r="1256" s="42" customFormat="1" ht="15" x14ac:dyDescent="0.25"/>
    <row r="1257" s="42" customFormat="1" ht="15" x14ac:dyDescent="0.25"/>
    <row r="1258" s="42" customFormat="1" ht="15" x14ac:dyDescent="0.25"/>
    <row r="1259" s="42" customFormat="1" ht="15" x14ac:dyDescent="0.25"/>
    <row r="1260" s="42" customFormat="1" ht="15" x14ac:dyDescent="0.25"/>
    <row r="1261" s="42" customFormat="1" ht="15" x14ac:dyDescent="0.25"/>
    <row r="1262" s="42" customFormat="1" ht="15" x14ac:dyDescent="0.25"/>
    <row r="1263" s="42" customFormat="1" ht="15" x14ac:dyDescent="0.25"/>
    <row r="1264" s="42" customFormat="1" ht="15" x14ac:dyDescent="0.25"/>
    <row r="1265" s="42" customFormat="1" ht="15" x14ac:dyDescent="0.25"/>
    <row r="1266" s="42" customFormat="1" ht="15" x14ac:dyDescent="0.25"/>
    <row r="1267" s="42" customFormat="1" ht="15" x14ac:dyDescent="0.25"/>
    <row r="1268" s="42" customFormat="1" ht="15" x14ac:dyDescent="0.25"/>
    <row r="1269" s="42" customFormat="1" ht="15" x14ac:dyDescent="0.25"/>
    <row r="1270" s="42" customFormat="1" ht="15" x14ac:dyDescent="0.25"/>
    <row r="1271" s="42" customFormat="1" ht="15" x14ac:dyDescent="0.25"/>
    <row r="1272" s="42" customFormat="1" ht="15" x14ac:dyDescent="0.25"/>
    <row r="1273" s="42" customFormat="1" ht="15" x14ac:dyDescent="0.25"/>
    <row r="1274" s="42" customFormat="1" ht="15" x14ac:dyDescent="0.25"/>
    <row r="1275" s="42" customFormat="1" ht="15" x14ac:dyDescent="0.25"/>
    <row r="1276" s="42" customFormat="1" ht="15" x14ac:dyDescent="0.25"/>
    <row r="1277" s="42" customFormat="1" ht="15" x14ac:dyDescent="0.25"/>
    <row r="1278" s="42" customFormat="1" ht="15" x14ac:dyDescent="0.25"/>
    <row r="1279" s="42" customFormat="1" ht="15" x14ac:dyDescent="0.25"/>
    <row r="1280" s="42" customFormat="1" ht="15" x14ac:dyDescent="0.25"/>
    <row r="1281" s="42" customFormat="1" ht="15" x14ac:dyDescent="0.25"/>
    <row r="1282" s="42" customFormat="1" ht="15" x14ac:dyDescent="0.25"/>
    <row r="1283" s="42" customFormat="1" ht="15" x14ac:dyDescent="0.25"/>
    <row r="1284" s="42" customFormat="1" ht="15" x14ac:dyDescent="0.25"/>
    <row r="1285" s="42" customFormat="1" ht="15" x14ac:dyDescent="0.25"/>
    <row r="1286" s="42" customFormat="1" ht="15" x14ac:dyDescent="0.25"/>
    <row r="1287" s="42" customFormat="1" ht="15" x14ac:dyDescent="0.25"/>
    <row r="1288" s="42" customFormat="1" ht="15" x14ac:dyDescent="0.25"/>
    <row r="1289" s="42" customFormat="1" ht="15" x14ac:dyDescent="0.25"/>
    <row r="1290" s="42" customFormat="1" ht="15" x14ac:dyDescent="0.25"/>
    <row r="1291" s="42" customFormat="1" ht="15" x14ac:dyDescent="0.25"/>
    <row r="1292" s="42" customFormat="1" ht="15" x14ac:dyDescent="0.25"/>
    <row r="1293" s="42" customFormat="1" ht="15" x14ac:dyDescent="0.25"/>
    <row r="1294" s="42" customFormat="1" ht="15" x14ac:dyDescent="0.25"/>
    <row r="1295" s="42" customFormat="1" ht="15" x14ac:dyDescent="0.25"/>
    <row r="1296" s="42" customFormat="1" ht="15" x14ac:dyDescent="0.25"/>
    <row r="1297" s="42" customFormat="1" ht="15" x14ac:dyDescent="0.25"/>
    <row r="1298" s="42" customFormat="1" ht="15" x14ac:dyDescent="0.25"/>
    <row r="1299" s="42" customFormat="1" ht="15" x14ac:dyDescent="0.25"/>
    <row r="1300" s="42" customFormat="1" ht="15" x14ac:dyDescent="0.25"/>
    <row r="1301" s="42" customFormat="1" ht="15" x14ac:dyDescent="0.25"/>
    <row r="1302" s="42" customFormat="1" ht="15" x14ac:dyDescent="0.25"/>
    <row r="1303" s="42" customFormat="1" ht="15" x14ac:dyDescent="0.25"/>
    <row r="1304" s="42" customFormat="1" ht="15" x14ac:dyDescent="0.25"/>
    <row r="1305" s="42" customFormat="1" ht="15" x14ac:dyDescent="0.25"/>
    <row r="1306" s="42" customFormat="1" ht="15" x14ac:dyDescent="0.25"/>
    <row r="1307" s="42" customFormat="1" ht="15" x14ac:dyDescent="0.25"/>
    <row r="1308" s="42" customFormat="1" ht="15" x14ac:dyDescent="0.25"/>
    <row r="1309" s="42" customFormat="1" ht="15" x14ac:dyDescent="0.25"/>
    <row r="1310" s="42" customFormat="1" ht="15" x14ac:dyDescent="0.25"/>
    <row r="1311" s="42" customFormat="1" ht="15" x14ac:dyDescent="0.25"/>
    <row r="1312" s="42" customFormat="1" ht="15" x14ac:dyDescent="0.25"/>
    <row r="1313" s="42" customFormat="1" ht="15" x14ac:dyDescent="0.25"/>
    <row r="1314" s="42" customFormat="1" ht="15" x14ac:dyDescent="0.25"/>
    <row r="1315" s="42" customFormat="1" ht="15" x14ac:dyDescent="0.25"/>
    <row r="1316" s="42" customFormat="1" ht="15" x14ac:dyDescent="0.25"/>
    <row r="1317" s="42" customFormat="1" ht="15" x14ac:dyDescent="0.25"/>
    <row r="1318" s="42" customFormat="1" ht="15" x14ac:dyDescent="0.25"/>
    <row r="1319" s="42" customFormat="1" ht="15" x14ac:dyDescent="0.25"/>
    <row r="1320" s="42" customFormat="1" ht="15" x14ac:dyDescent="0.25"/>
    <row r="1321" s="42" customFormat="1" ht="15" x14ac:dyDescent="0.25"/>
    <row r="1322" s="42" customFormat="1" ht="15" x14ac:dyDescent="0.25"/>
    <row r="1323" s="42" customFormat="1" ht="15" x14ac:dyDescent="0.25"/>
    <row r="1324" s="42" customFormat="1" ht="15" x14ac:dyDescent="0.25"/>
    <row r="1325" s="42" customFormat="1" ht="15" x14ac:dyDescent="0.25"/>
    <row r="1326" s="42" customFormat="1" ht="15" x14ac:dyDescent="0.25"/>
    <row r="1327" s="42" customFormat="1" ht="15" x14ac:dyDescent="0.25"/>
    <row r="1328" s="42" customFormat="1" ht="15" x14ac:dyDescent="0.25"/>
    <row r="1329" s="42" customFormat="1" ht="15" x14ac:dyDescent="0.25"/>
    <row r="1330" s="42" customFormat="1" ht="15" x14ac:dyDescent="0.25"/>
    <row r="1331" s="42" customFormat="1" ht="15" x14ac:dyDescent="0.25"/>
    <row r="1332" s="42" customFormat="1" ht="15" x14ac:dyDescent="0.25"/>
    <row r="1333" s="42" customFormat="1" ht="15" x14ac:dyDescent="0.25"/>
    <row r="1334" s="42" customFormat="1" ht="15" x14ac:dyDescent="0.25"/>
    <row r="1335" s="42" customFormat="1" ht="15" x14ac:dyDescent="0.25"/>
    <row r="1336" s="42" customFormat="1" ht="15" x14ac:dyDescent="0.25"/>
    <row r="1337" s="42" customFormat="1" ht="15" x14ac:dyDescent="0.25"/>
    <row r="1338" s="42" customFormat="1" ht="15" x14ac:dyDescent="0.25"/>
    <row r="1339" s="42" customFormat="1" ht="15" x14ac:dyDescent="0.25"/>
    <row r="1340" s="42" customFormat="1" ht="15" x14ac:dyDescent="0.25"/>
    <row r="1341" s="42" customFormat="1" ht="15" x14ac:dyDescent="0.25"/>
    <row r="1342" s="42" customFormat="1" ht="15" x14ac:dyDescent="0.25"/>
    <row r="1343" s="42" customFormat="1" ht="15" x14ac:dyDescent="0.25"/>
    <row r="1344" s="42" customFormat="1" ht="15" x14ac:dyDescent="0.25"/>
    <row r="1345" s="42" customFormat="1" ht="15" x14ac:dyDescent="0.25"/>
    <row r="1346" s="42" customFormat="1" ht="15" x14ac:dyDescent="0.25"/>
    <row r="1347" s="42" customFormat="1" ht="15" x14ac:dyDescent="0.25"/>
    <row r="1348" s="42" customFormat="1" ht="15" x14ac:dyDescent="0.25"/>
    <row r="1349" s="42" customFormat="1" ht="15" x14ac:dyDescent="0.25"/>
    <row r="1350" s="42" customFormat="1" ht="15" x14ac:dyDescent="0.25"/>
    <row r="1351" s="42" customFormat="1" ht="15" x14ac:dyDescent="0.25"/>
    <row r="1352" s="42" customFormat="1" ht="15" x14ac:dyDescent="0.25"/>
    <row r="1353" s="42" customFormat="1" ht="15" x14ac:dyDescent="0.25"/>
    <row r="1354" s="42" customFormat="1" ht="15" x14ac:dyDescent="0.25"/>
    <row r="1355" s="42" customFormat="1" ht="15" x14ac:dyDescent="0.25"/>
    <row r="1356" s="42" customFormat="1" ht="15" x14ac:dyDescent="0.25"/>
    <row r="1357" s="42" customFormat="1" ht="15" x14ac:dyDescent="0.25"/>
    <row r="1358" s="42" customFormat="1" ht="15" x14ac:dyDescent="0.25"/>
    <row r="1359" s="42" customFormat="1" ht="15" x14ac:dyDescent="0.25"/>
    <row r="1360" s="42" customFormat="1" ht="15" x14ac:dyDescent="0.25"/>
    <row r="1361" s="42" customFormat="1" ht="15" x14ac:dyDescent="0.25"/>
    <row r="1362" s="42" customFormat="1" ht="15" x14ac:dyDescent="0.25"/>
    <row r="1363" s="42" customFormat="1" ht="15" x14ac:dyDescent="0.25"/>
    <row r="1364" s="42" customFormat="1" ht="15" x14ac:dyDescent="0.25"/>
    <row r="1365" s="42" customFormat="1" ht="15" x14ac:dyDescent="0.25"/>
    <row r="1366" s="42" customFormat="1" ht="15" x14ac:dyDescent="0.25"/>
    <row r="1367" s="42" customFormat="1" ht="15" x14ac:dyDescent="0.25"/>
    <row r="1368" s="42" customFormat="1" ht="15" x14ac:dyDescent="0.25"/>
    <row r="1369" s="42" customFormat="1" ht="15" x14ac:dyDescent="0.25"/>
    <row r="1370" s="42" customFormat="1" ht="15" x14ac:dyDescent="0.25"/>
    <row r="1371" s="42" customFormat="1" ht="15" x14ac:dyDescent="0.25"/>
    <row r="1372" s="42" customFormat="1" ht="15" x14ac:dyDescent="0.25"/>
    <row r="1373" s="42" customFormat="1" ht="15" x14ac:dyDescent="0.25"/>
    <row r="1374" s="42" customFormat="1" ht="15" x14ac:dyDescent="0.25"/>
    <row r="1375" s="42" customFormat="1" ht="15" x14ac:dyDescent="0.25"/>
    <row r="1376" s="42" customFormat="1" ht="15" x14ac:dyDescent="0.25"/>
    <row r="1377" s="42" customFormat="1" ht="15" x14ac:dyDescent="0.25"/>
    <row r="1378" s="42" customFormat="1" ht="15" x14ac:dyDescent="0.25"/>
    <row r="1379" s="42" customFormat="1" ht="15" x14ac:dyDescent="0.25"/>
    <row r="1380" s="42" customFormat="1" ht="15" x14ac:dyDescent="0.25"/>
    <row r="1381" s="42" customFormat="1" ht="15" x14ac:dyDescent="0.25"/>
    <row r="1382" s="42" customFormat="1" ht="15" x14ac:dyDescent="0.25"/>
    <row r="1383" s="42" customFormat="1" ht="15" x14ac:dyDescent="0.25"/>
    <row r="1384" s="42" customFormat="1" ht="15" x14ac:dyDescent="0.25"/>
    <row r="1385" s="42" customFormat="1" ht="15" x14ac:dyDescent="0.25"/>
    <row r="1386" s="42" customFormat="1" ht="15" x14ac:dyDescent="0.25"/>
    <row r="1387" s="42" customFormat="1" ht="15" x14ac:dyDescent="0.25"/>
    <row r="1388" s="42" customFormat="1" ht="15" x14ac:dyDescent="0.25"/>
    <row r="1389" s="42" customFormat="1" ht="15" x14ac:dyDescent="0.25"/>
    <row r="1390" s="42" customFormat="1" ht="15" x14ac:dyDescent="0.25"/>
    <row r="1391" s="42" customFormat="1" ht="15" x14ac:dyDescent="0.25"/>
    <row r="1392" s="42" customFormat="1" ht="15" x14ac:dyDescent="0.25"/>
    <row r="1393" s="42" customFormat="1" ht="15" x14ac:dyDescent="0.25"/>
    <row r="1394" s="42" customFormat="1" ht="15" x14ac:dyDescent="0.25"/>
    <row r="1395" s="42" customFormat="1" ht="15" x14ac:dyDescent="0.25"/>
    <row r="1396" s="42" customFormat="1" ht="15" x14ac:dyDescent="0.25"/>
    <row r="1397" s="42" customFormat="1" ht="15" x14ac:dyDescent="0.25"/>
    <row r="1398" s="42" customFormat="1" ht="15" x14ac:dyDescent="0.25"/>
    <row r="1399" s="42" customFormat="1" ht="15" x14ac:dyDescent="0.25"/>
    <row r="1400" s="42" customFormat="1" ht="15" x14ac:dyDescent="0.25"/>
    <row r="1401" s="42" customFormat="1" ht="15" x14ac:dyDescent="0.25"/>
    <row r="1402" s="42" customFormat="1" ht="15" x14ac:dyDescent="0.25"/>
    <row r="1403" s="42" customFormat="1" ht="15" x14ac:dyDescent="0.25"/>
    <row r="1404" s="42" customFormat="1" ht="15" x14ac:dyDescent="0.25"/>
    <row r="1405" s="42" customFormat="1" ht="15" x14ac:dyDescent="0.25"/>
    <row r="1406" s="42" customFormat="1" ht="15" x14ac:dyDescent="0.25"/>
    <row r="1407" s="42" customFormat="1" ht="15" x14ac:dyDescent="0.25"/>
    <row r="1408" s="42" customFormat="1" ht="15" x14ac:dyDescent="0.25"/>
    <row r="1409" s="42" customFormat="1" ht="15" x14ac:dyDescent="0.25"/>
    <row r="1410" s="42" customFormat="1" ht="15" x14ac:dyDescent="0.25"/>
    <row r="1411" s="42" customFormat="1" ht="15" x14ac:dyDescent="0.25"/>
    <row r="1412" s="42" customFormat="1" ht="15" x14ac:dyDescent="0.25"/>
    <row r="1413" s="42" customFormat="1" ht="15" x14ac:dyDescent="0.25"/>
    <row r="1414" s="42" customFormat="1" ht="15" x14ac:dyDescent="0.25"/>
    <row r="1415" s="42" customFormat="1" ht="15" x14ac:dyDescent="0.25"/>
    <row r="1416" s="42" customFormat="1" ht="15" x14ac:dyDescent="0.25"/>
    <row r="1417" s="42" customFormat="1" ht="15" x14ac:dyDescent="0.25"/>
    <row r="1418" s="42" customFormat="1" ht="15" x14ac:dyDescent="0.25"/>
    <row r="1419" s="42" customFormat="1" ht="15" x14ac:dyDescent="0.25"/>
    <row r="1420" s="42" customFormat="1" ht="15" x14ac:dyDescent="0.25"/>
    <row r="1421" s="42" customFormat="1" ht="15" x14ac:dyDescent="0.25"/>
    <row r="1422" s="42" customFormat="1" ht="15" x14ac:dyDescent="0.25"/>
    <row r="1423" s="42" customFormat="1" ht="15" x14ac:dyDescent="0.25"/>
    <row r="1424" s="42" customFormat="1" ht="15" x14ac:dyDescent="0.25"/>
    <row r="1425" s="42" customFormat="1" ht="15" x14ac:dyDescent="0.25"/>
    <row r="1426" s="42" customFormat="1" ht="15" x14ac:dyDescent="0.25"/>
    <row r="1427" s="42" customFormat="1" ht="15" x14ac:dyDescent="0.25"/>
    <row r="1428" s="42" customFormat="1" ht="15" x14ac:dyDescent="0.25"/>
    <row r="1429" s="42" customFormat="1" ht="15" x14ac:dyDescent="0.25"/>
    <row r="1430" s="42" customFormat="1" ht="15" x14ac:dyDescent="0.25"/>
    <row r="1431" s="42" customFormat="1" ht="15" x14ac:dyDescent="0.25"/>
    <row r="1432" s="42" customFormat="1" ht="15" x14ac:dyDescent="0.25"/>
    <row r="1433" s="42" customFormat="1" ht="15" x14ac:dyDescent="0.25"/>
    <row r="1434" s="42" customFormat="1" ht="15" x14ac:dyDescent="0.25"/>
    <row r="1435" s="42" customFormat="1" ht="15" x14ac:dyDescent="0.25"/>
    <row r="1436" s="42" customFormat="1" ht="15" x14ac:dyDescent="0.25"/>
    <row r="1437" s="42" customFormat="1" ht="15" x14ac:dyDescent="0.25"/>
    <row r="1438" s="42" customFormat="1" ht="15" x14ac:dyDescent="0.25"/>
    <row r="1439" s="42" customFormat="1" ht="15" x14ac:dyDescent="0.25"/>
    <row r="1440" s="42" customFormat="1" ht="15" x14ac:dyDescent="0.25"/>
    <row r="1441" s="42" customFormat="1" ht="15" x14ac:dyDescent="0.25"/>
    <row r="1442" s="42" customFormat="1" ht="15" x14ac:dyDescent="0.25"/>
    <row r="1443" s="42" customFormat="1" ht="15" x14ac:dyDescent="0.25"/>
    <row r="1444" s="42" customFormat="1" ht="15" x14ac:dyDescent="0.25"/>
    <row r="1445" s="42" customFormat="1" ht="15" x14ac:dyDescent="0.25"/>
    <row r="1446" s="42" customFormat="1" ht="15" x14ac:dyDescent="0.25"/>
    <row r="1447" s="42" customFormat="1" ht="15" x14ac:dyDescent="0.25"/>
    <row r="1448" s="42" customFormat="1" ht="15" x14ac:dyDescent="0.25"/>
    <row r="1449" s="42" customFormat="1" ht="15" x14ac:dyDescent="0.25"/>
    <row r="1450" s="42" customFormat="1" ht="15" x14ac:dyDescent="0.25"/>
    <row r="1451" s="42" customFormat="1" ht="15" x14ac:dyDescent="0.25"/>
    <row r="1452" s="42" customFormat="1" ht="15" x14ac:dyDescent="0.25"/>
    <row r="1453" s="42" customFormat="1" ht="15" x14ac:dyDescent="0.25"/>
    <row r="1454" s="42" customFormat="1" ht="15" x14ac:dyDescent="0.25"/>
    <row r="1455" s="42" customFormat="1" ht="15" x14ac:dyDescent="0.25"/>
    <row r="1456" s="42" customFormat="1" ht="15" x14ac:dyDescent="0.25"/>
    <row r="1457" s="42" customFormat="1" ht="15" x14ac:dyDescent="0.25"/>
    <row r="1458" s="42" customFormat="1" ht="15" x14ac:dyDescent="0.25"/>
    <row r="1459" s="42" customFormat="1" ht="15" x14ac:dyDescent="0.25"/>
    <row r="1460" s="42" customFormat="1" ht="15" x14ac:dyDescent="0.25"/>
    <row r="1461" s="42" customFormat="1" ht="15" x14ac:dyDescent="0.25"/>
    <row r="1462" s="42" customFormat="1" ht="15" x14ac:dyDescent="0.25"/>
    <row r="1463" s="42" customFormat="1" ht="15" x14ac:dyDescent="0.25"/>
    <row r="1464" s="42" customFormat="1" ht="15" x14ac:dyDescent="0.25"/>
    <row r="1465" s="42" customFormat="1" ht="15" x14ac:dyDescent="0.25"/>
    <row r="1466" s="42" customFormat="1" ht="15" x14ac:dyDescent="0.25"/>
    <row r="1467" s="42" customFormat="1" ht="15" x14ac:dyDescent="0.25"/>
    <row r="1468" s="42" customFormat="1" ht="15" x14ac:dyDescent="0.25"/>
    <row r="1469" s="42" customFormat="1" ht="15" x14ac:dyDescent="0.25"/>
    <row r="1470" s="42" customFormat="1" ht="15" x14ac:dyDescent="0.25"/>
    <row r="1471" s="42" customFormat="1" ht="15" x14ac:dyDescent="0.25"/>
    <row r="1472" s="42" customFormat="1" ht="15" x14ac:dyDescent="0.25"/>
    <row r="1473" s="42" customFormat="1" ht="15" x14ac:dyDescent="0.25"/>
    <row r="1474" s="42" customFormat="1" ht="15" x14ac:dyDescent="0.25"/>
    <row r="1475" s="42" customFormat="1" ht="15" x14ac:dyDescent="0.25"/>
    <row r="1476" s="42" customFormat="1" ht="15" x14ac:dyDescent="0.25"/>
    <row r="1477" s="42" customFormat="1" ht="15" x14ac:dyDescent="0.25"/>
    <row r="1478" s="42" customFormat="1" ht="15" x14ac:dyDescent="0.25"/>
    <row r="1479" s="42" customFormat="1" ht="15" x14ac:dyDescent="0.25"/>
    <row r="1480" s="42" customFormat="1" ht="15" x14ac:dyDescent="0.25"/>
    <row r="1481" s="42" customFormat="1" ht="15" x14ac:dyDescent="0.25"/>
    <row r="1482" s="42" customFormat="1" ht="15" x14ac:dyDescent="0.25"/>
    <row r="1483" s="42" customFormat="1" ht="15" x14ac:dyDescent="0.25"/>
    <row r="1484" s="42" customFormat="1" ht="15" x14ac:dyDescent="0.25"/>
    <row r="1485" s="42" customFormat="1" ht="15" x14ac:dyDescent="0.25"/>
    <row r="1486" s="42" customFormat="1" ht="15" x14ac:dyDescent="0.25"/>
    <row r="1487" s="42" customFormat="1" ht="15" x14ac:dyDescent="0.25"/>
    <row r="1488" s="42" customFormat="1" ht="15" x14ac:dyDescent="0.25"/>
    <row r="1489" s="42" customFormat="1" ht="15" x14ac:dyDescent="0.25"/>
    <row r="1490" s="42" customFormat="1" ht="15" x14ac:dyDescent="0.25"/>
    <row r="1491" s="42" customFormat="1" ht="15" x14ac:dyDescent="0.25"/>
    <row r="1492" s="42" customFormat="1" ht="15" x14ac:dyDescent="0.25"/>
    <row r="1493" s="42" customFormat="1" ht="15" x14ac:dyDescent="0.25"/>
    <row r="1494" s="42" customFormat="1" ht="15" x14ac:dyDescent="0.25"/>
    <row r="1495" s="42" customFormat="1" ht="15" x14ac:dyDescent="0.25"/>
    <row r="1496" s="42" customFormat="1" ht="15" x14ac:dyDescent="0.25"/>
    <row r="1497" s="42" customFormat="1" ht="15" x14ac:dyDescent="0.25"/>
    <row r="1498" s="42" customFormat="1" ht="15" x14ac:dyDescent="0.25"/>
    <row r="1499" s="42" customFormat="1" ht="15" x14ac:dyDescent="0.25"/>
    <row r="1500" s="42" customFormat="1" ht="15" x14ac:dyDescent="0.25"/>
    <row r="1501" s="42" customFormat="1" ht="15" x14ac:dyDescent="0.25"/>
    <row r="1502" s="42" customFormat="1" ht="15" x14ac:dyDescent="0.25"/>
    <row r="1503" s="42" customFormat="1" ht="15" x14ac:dyDescent="0.25"/>
    <row r="1504" s="42" customFormat="1" ht="15" x14ac:dyDescent="0.25"/>
    <row r="1505" s="42" customFormat="1" ht="15" x14ac:dyDescent="0.25"/>
    <row r="1506" s="42" customFormat="1" ht="15" x14ac:dyDescent="0.25"/>
    <row r="1507" s="42" customFormat="1" ht="15" x14ac:dyDescent="0.25"/>
    <row r="1508" s="42" customFormat="1" ht="15" x14ac:dyDescent="0.25"/>
    <row r="1509" s="42" customFormat="1" ht="15" x14ac:dyDescent="0.25"/>
    <row r="1510" s="42" customFormat="1" ht="15" x14ac:dyDescent="0.25"/>
    <row r="1511" s="42" customFormat="1" ht="15" x14ac:dyDescent="0.25"/>
    <row r="1512" s="42" customFormat="1" ht="15" x14ac:dyDescent="0.25"/>
    <row r="1513" s="42" customFormat="1" ht="15" x14ac:dyDescent="0.25"/>
    <row r="1514" s="42" customFormat="1" ht="15" x14ac:dyDescent="0.25"/>
    <row r="1515" s="42" customFormat="1" ht="15" x14ac:dyDescent="0.25"/>
    <row r="1516" s="42" customFormat="1" ht="15" x14ac:dyDescent="0.25"/>
    <row r="1517" s="42" customFormat="1" ht="15" x14ac:dyDescent="0.25"/>
    <row r="1518" s="42" customFormat="1" ht="15" x14ac:dyDescent="0.25"/>
    <row r="1519" s="42" customFormat="1" ht="15" x14ac:dyDescent="0.25"/>
    <row r="1520" s="42" customFormat="1" ht="15" x14ac:dyDescent="0.25"/>
    <row r="1521" s="42" customFormat="1" ht="15" x14ac:dyDescent="0.25"/>
    <row r="1522" s="42" customFormat="1" ht="15" x14ac:dyDescent="0.25"/>
    <row r="1523" s="42" customFormat="1" ht="15" x14ac:dyDescent="0.25"/>
    <row r="1524" s="42" customFormat="1" ht="15" x14ac:dyDescent="0.25"/>
    <row r="1525" s="42" customFormat="1" ht="15" x14ac:dyDescent="0.25"/>
    <row r="1526" s="42" customFormat="1" ht="15" x14ac:dyDescent="0.25"/>
    <row r="1527" s="42" customFormat="1" ht="15" x14ac:dyDescent="0.25"/>
    <row r="1528" s="42" customFormat="1" ht="15" x14ac:dyDescent="0.25"/>
    <row r="1529" s="42" customFormat="1" ht="15" x14ac:dyDescent="0.25"/>
    <row r="1530" s="42" customFormat="1" ht="15" x14ac:dyDescent="0.25"/>
    <row r="1531" s="42" customFormat="1" ht="15" x14ac:dyDescent="0.25"/>
    <row r="1532" s="42" customFormat="1" ht="15" x14ac:dyDescent="0.25"/>
    <row r="1533" s="42" customFormat="1" ht="15" x14ac:dyDescent="0.25"/>
    <row r="1534" s="42" customFormat="1" ht="15" x14ac:dyDescent="0.25"/>
    <row r="1535" s="42" customFormat="1" ht="15" x14ac:dyDescent="0.25"/>
    <row r="1536" s="42" customFormat="1" ht="15" x14ac:dyDescent="0.25"/>
    <row r="1537" s="42" customFormat="1" ht="15" x14ac:dyDescent="0.25"/>
    <row r="1538" s="42" customFormat="1" ht="15" x14ac:dyDescent="0.25"/>
    <row r="1539" s="42" customFormat="1" ht="15" x14ac:dyDescent="0.25"/>
    <row r="1540" s="42" customFormat="1" ht="15" x14ac:dyDescent="0.25"/>
    <row r="1541" s="42" customFormat="1" ht="15" x14ac:dyDescent="0.25"/>
    <row r="1542" s="42" customFormat="1" ht="15" x14ac:dyDescent="0.25"/>
    <row r="1543" s="42" customFormat="1" ht="15" x14ac:dyDescent="0.25"/>
    <row r="1544" s="42" customFormat="1" ht="15" x14ac:dyDescent="0.25"/>
    <row r="1545" s="42" customFormat="1" ht="15" x14ac:dyDescent="0.25"/>
    <row r="1546" s="42" customFormat="1" ht="15" x14ac:dyDescent="0.25"/>
    <row r="1547" s="42" customFormat="1" ht="15" x14ac:dyDescent="0.25"/>
    <row r="1548" s="42" customFormat="1" ht="15" x14ac:dyDescent="0.25"/>
    <row r="1549" s="42" customFormat="1" ht="15" x14ac:dyDescent="0.25"/>
    <row r="1550" s="42" customFormat="1" ht="15" x14ac:dyDescent="0.25"/>
    <row r="1551" s="42" customFormat="1" ht="15" x14ac:dyDescent="0.25"/>
    <row r="1552" s="42" customFormat="1" ht="15" x14ac:dyDescent="0.25"/>
    <row r="1553" s="42" customFormat="1" ht="15" x14ac:dyDescent="0.25"/>
    <row r="1554" s="42" customFormat="1" ht="15" x14ac:dyDescent="0.25"/>
    <row r="1555" s="42" customFormat="1" ht="15" x14ac:dyDescent="0.25"/>
    <row r="1556" s="42" customFormat="1" ht="15" x14ac:dyDescent="0.25"/>
    <row r="1557" s="42" customFormat="1" ht="15" x14ac:dyDescent="0.25"/>
    <row r="1558" s="42" customFormat="1" ht="15" x14ac:dyDescent="0.25"/>
    <row r="1559" s="42" customFormat="1" ht="15" x14ac:dyDescent="0.25"/>
    <row r="1560" s="42" customFormat="1" ht="15" x14ac:dyDescent="0.25"/>
    <row r="1561" s="42" customFormat="1" ht="15" x14ac:dyDescent="0.25"/>
    <row r="1562" s="42" customFormat="1" ht="15" x14ac:dyDescent="0.25"/>
    <row r="1563" s="42" customFormat="1" ht="15" x14ac:dyDescent="0.25"/>
    <row r="1564" s="42" customFormat="1" ht="15" x14ac:dyDescent="0.25"/>
    <row r="1565" s="42" customFormat="1" ht="15" x14ac:dyDescent="0.25"/>
    <row r="1566" s="42" customFormat="1" ht="15" x14ac:dyDescent="0.25"/>
    <row r="1567" s="42" customFormat="1" ht="15" x14ac:dyDescent="0.25"/>
    <row r="1568" s="42" customFormat="1" ht="15" x14ac:dyDescent="0.25"/>
    <row r="1569" s="42" customFormat="1" ht="15" x14ac:dyDescent="0.25"/>
    <row r="1570" s="42" customFormat="1" ht="15" x14ac:dyDescent="0.25"/>
    <row r="1571" s="42" customFormat="1" ht="15" x14ac:dyDescent="0.25"/>
    <row r="1572" s="42" customFormat="1" ht="15" x14ac:dyDescent="0.25"/>
    <row r="1573" s="42" customFormat="1" ht="15" x14ac:dyDescent="0.25"/>
    <row r="1574" s="42" customFormat="1" ht="15" x14ac:dyDescent="0.25"/>
    <row r="1575" s="42" customFormat="1" ht="15" x14ac:dyDescent="0.25"/>
    <row r="1576" s="42" customFormat="1" ht="15" x14ac:dyDescent="0.25"/>
    <row r="1577" s="42" customFormat="1" ht="15" x14ac:dyDescent="0.25"/>
    <row r="1578" s="42" customFormat="1" ht="15" x14ac:dyDescent="0.25"/>
    <row r="1579" s="42" customFormat="1" ht="15" x14ac:dyDescent="0.25"/>
    <row r="1580" s="42" customFormat="1" ht="15" x14ac:dyDescent="0.25"/>
    <row r="1581" s="42" customFormat="1" ht="15" x14ac:dyDescent="0.25"/>
    <row r="1582" s="42" customFormat="1" ht="15" x14ac:dyDescent="0.25"/>
    <row r="1583" s="42" customFormat="1" ht="15" x14ac:dyDescent="0.25"/>
    <row r="1584" s="42" customFormat="1" ht="15" x14ac:dyDescent="0.25"/>
    <row r="1585" s="42" customFormat="1" ht="15" x14ac:dyDescent="0.25"/>
    <row r="1586" s="42" customFormat="1" ht="15" x14ac:dyDescent="0.25"/>
    <row r="1587" s="42" customFormat="1" ht="15" x14ac:dyDescent="0.25"/>
    <row r="1588" s="42" customFormat="1" ht="15" x14ac:dyDescent="0.25"/>
    <row r="1589" s="42" customFormat="1" ht="15" x14ac:dyDescent="0.25"/>
    <row r="1590" s="42" customFormat="1" ht="15" x14ac:dyDescent="0.25"/>
    <row r="1591" s="42" customFormat="1" ht="15" x14ac:dyDescent="0.25"/>
    <row r="1592" s="42" customFormat="1" ht="15" x14ac:dyDescent="0.25"/>
    <row r="1593" s="42" customFormat="1" ht="15" x14ac:dyDescent="0.25"/>
    <row r="1594" s="42" customFormat="1" ht="15" x14ac:dyDescent="0.25"/>
    <row r="1595" s="42" customFormat="1" ht="15" x14ac:dyDescent="0.25"/>
    <row r="1596" s="42" customFormat="1" ht="15" x14ac:dyDescent="0.25"/>
    <row r="1597" s="42" customFormat="1" ht="15" x14ac:dyDescent="0.25"/>
    <row r="1598" s="42" customFormat="1" ht="15" x14ac:dyDescent="0.25"/>
    <row r="1599" s="42" customFormat="1" ht="15" x14ac:dyDescent="0.25"/>
    <row r="1600" s="42" customFormat="1" ht="15" x14ac:dyDescent="0.25"/>
    <row r="1601" s="42" customFormat="1" ht="15" x14ac:dyDescent="0.25"/>
    <row r="1602" s="42" customFormat="1" ht="15" x14ac:dyDescent="0.25"/>
    <row r="1603" s="42" customFormat="1" ht="15" x14ac:dyDescent="0.25"/>
    <row r="1604" s="42" customFormat="1" ht="15" x14ac:dyDescent="0.25"/>
    <row r="1605" s="42" customFormat="1" ht="15" x14ac:dyDescent="0.25"/>
    <row r="1606" s="42" customFormat="1" ht="15" x14ac:dyDescent="0.25"/>
    <row r="1607" s="42" customFormat="1" ht="15" x14ac:dyDescent="0.25"/>
    <row r="1608" s="42" customFormat="1" ht="15" x14ac:dyDescent="0.25"/>
    <row r="1609" s="42" customFormat="1" ht="15" x14ac:dyDescent="0.25"/>
    <row r="1610" s="42" customFormat="1" ht="15" x14ac:dyDescent="0.25"/>
    <row r="1611" s="42" customFormat="1" ht="15" x14ac:dyDescent="0.25"/>
    <row r="1612" s="42" customFormat="1" ht="15" x14ac:dyDescent="0.25"/>
    <row r="1613" s="42" customFormat="1" ht="15" x14ac:dyDescent="0.25"/>
    <row r="1614" s="42" customFormat="1" ht="15" x14ac:dyDescent="0.25"/>
    <row r="1615" s="42" customFormat="1" ht="15" x14ac:dyDescent="0.25"/>
    <row r="1616" s="42" customFormat="1" ht="15" x14ac:dyDescent="0.25"/>
    <row r="1617" s="42" customFormat="1" ht="15" x14ac:dyDescent="0.25"/>
    <row r="1618" s="42" customFormat="1" ht="15" x14ac:dyDescent="0.25"/>
    <row r="1619" s="42" customFormat="1" ht="15" x14ac:dyDescent="0.25"/>
    <row r="1620" s="42" customFormat="1" ht="15" x14ac:dyDescent="0.25"/>
    <row r="1621" s="42" customFormat="1" ht="15" x14ac:dyDescent="0.25"/>
    <row r="1622" s="42" customFormat="1" ht="15" x14ac:dyDescent="0.25"/>
    <row r="1623" s="42" customFormat="1" ht="15" x14ac:dyDescent="0.25"/>
    <row r="1624" s="42" customFormat="1" ht="15" x14ac:dyDescent="0.25"/>
    <row r="1625" s="42" customFormat="1" ht="15" x14ac:dyDescent="0.25"/>
    <row r="1626" s="42" customFormat="1" ht="15" x14ac:dyDescent="0.25"/>
    <row r="1627" s="42" customFormat="1" ht="15" x14ac:dyDescent="0.25"/>
    <row r="1628" s="42" customFormat="1" ht="15" x14ac:dyDescent="0.25"/>
    <row r="1629" s="42" customFormat="1" ht="15" x14ac:dyDescent="0.25"/>
    <row r="1630" s="42" customFormat="1" ht="15" x14ac:dyDescent="0.25"/>
    <row r="1631" s="42" customFormat="1" ht="15" x14ac:dyDescent="0.25"/>
    <row r="1632" s="42" customFormat="1" ht="15" x14ac:dyDescent="0.25"/>
    <row r="1633" s="42" customFormat="1" ht="15" x14ac:dyDescent="0.25"/>
    <row r="1634" s="42" customFormat="1" ht="15" x14ac:dyDescent="0.25"/>
    <row r="1635" s="42" customFormat="1" ht="15" x14ac:dyDescent="0.25"/>
    <row r="1636" s="42" customFormat="1" ht="15" x14ac:dyDescent="0.25"/>
    <row r="1637" s="42" customFormat="1" ht="15" x14ac:dyDescent="0.25"/>
    <row r="1638" s="42" customFormat="1" ht="15" x14ac:dyDescent="0.25"/>
    <row r="1639" s="42" customFormat="1" ht="15" x14ac:dyDescent="0.25"/>
    <row r="1640" s="42" customFormat="1" ht="15" x14ac:dyDescent="0.25"/>
    <row r="1641" s="42" customFormat="1" ht="15" x14ac:dyDescent="0.25"/>
    <row r="1642" s="42" customFormat="1" ht="15" x14ac:dyDescent="0.25"/>
    <row r="1643" s="42" customFormat="1" ht="15" x14ac:dyDescent="0.25"/>
    <row r="1644" s="42" customFormat="1" ht="15" x14ac:dyDescent="0.25"/>
    <row r="1645" s="42" customFormat="1" ht="15" x14ac:dyDescent="0.25"/>
    <row r="1646" s="42" customFormat="1" ht="15" x14ac:dyDescent="0.25"/>
    <row r="1647" s="42" customFormat="1" ht="15" x14ac:dyDescent="0.25"/>
    <row r="1648" s="42" customFormat="1" ht="15" x14ac:dyDescent="0.25"/>
    <row r="1649" s="42" customFormat="1" ht="15" x14ac:dyDescent="0.25"/>
    <row r="1650" s="42" customFormat="1" ht="15" x14ac:dyDescent="0.25"/>
    <row r="1651" s="42" customFormat="1" ht="15" x14ac:dyDescent="0.25"/>
    <row r="1652" s="42" customFormat="1" ht="15" x14ac:dyDescent="0.25"/>
    <row r="1653" s="42" customFormat="1" ht="15" x14ac:dyDescent="0.25"/>
    <row r="1654" s="42" customFormat="1" ht="15" x14ac:dyDescent="0.25"/>
    <row r="1655" s="42" customFormat="1" ht="15" x14ac:dyDescent="0.25"/>
    <row r="1656" s="42" customFormat="1" ht="15" x14ac:dyDescent="0.25"/>
    <row r="1657" s="42" customFormat="1" ht="15" x14ac:dyDescent="0.25"/>
    <row r="1658" s="42" customFormat="1" ht="15" x14ac:dyDescent="0.25"/>
    <row r="1659" s="42" customFormat="1" ht="15" x14ac:dyDescent="0.25"/>
    <row r="1660" s="42" customFormat="1" ht="15" x14ac:dyDescent="0.25"/>
    <row r="1661" s="42" customFormat="1" ht="15" x14ac:dyDescent="0.25"/>
    <row r="1662" s="42" customFormat="1" ht="15" x14ac:dyDescent="0.25"/>
    <row r="1663" s="42" customFormat="1" ht="15" x14ac:dyDescent="0.25"/>
    <row r="1664" s="42" customFormat="1" ht="15" x14ac:dyDescent="0.25"/>
    <row r="1665" s="42" customFormat="1" ht="15" x14ac:dyDescent="0.25"/>
    <row r="1666" s="42" customFormat="1" ht="15" x14ac:dyDescent="0.25"/>
    <row r="1667" s="42" customFormat="1" ht="15" x14ac:dyDescent="0.25"/>
    <row r="1668" s="42" customFormat="1" ht="15" x14ac:dyDescent="0.25"/>
    <row r="1669" s="42" customFormat="1" ht="15" x14ac:dyDescent="0.25"/>
    <row r="1670" s="42" customFormat="1" ht="15" x14ac:dyDescent="0.25"/>
    <row r="1671" s="42" customFormat="1" ht="15" x14ac:dyDescent="0.25"/>
    <row r="1672" s="42" customFormat="1" ht="15" x14ac:dyDescent="0.25"/>
    <row r="1673" s="42" customFormat="1" ht="15" x14ac:dyDescent="0.25"/>
    <row r="1674" s="42" customFormat="1" ht="15" x14ac:dyDescent="0.25"/>
    <row r="1675" s="42" customFormat="1" ht="15" x14ac:dyDescent="0.25"/>
    <row r="1676" s="42" customFormat="1" ht="15" x14ac:dyDescent="0.25"/>
    <row r="1677" s="42" customFormat="1" ht="15" x14ac:dyDescent="0.25"/>
    <row r="1678" s="42" customFormat="1" ht="15" x14ac:dyDescent="0.25"/>
    <row r="1679" s="42" customFormat="1" ht="15" x14ac:dyDescent="0.25"/>
    <row r="1680" s="42" customFormat="1" ht="15" x14ac:dyDescent="0.25"/>
    <row r="1681" s="42" customFormat="1" ht="15" x14ac:dyDescent="0.25"/>
    <row r="1682" s="42" customFormat="1" ht="15" x14ac:dyDescent="0.25"/>
    <row r="1683" s="42" customFormat="1" ht="15" x14ac:dyDescent="0.25"/>
    <row r="1684" s="42" customFormat="1" ht="15" x14ac:dyDescent="0.25"/>
    <row r="1685" s="42" customFormat="1" ht="15" x14ac:dyDescent="0.25"/>
    <row r="1686" s="42" customFormat="1" ht="15" x14ac:dyDescent="0.25"/>
    <row r="1687" s="42" customFormat="1" ht="15" x14ac:dyDescent="0.25"/>
    <row r="1688" s="42" customFormat="1" ht="15" x14ac:dyDescent="0.25"/>
    <row r="1689" s="42" customFormat="1" ht="15" x14ac:dyDescent="0.25"/>
    <row r="1690" s="42" customFormat="1" ht="15" x14ac:dyDescent="0.25"/>
    <row r="1691" s="42" customFormat="1" ht="15" x14ac:dyDescent="0.25"/>
    <row r="1692" s="42" customFormat="1" ht="15" x14ac:dyDescent="0.25"/>
    <row r="1693" s="42" customFormat="1" ht="15" x14ac:dyDescent="0.25"/>
    <row r="1694" s="42" customFormat="1" ht="15" x14ac:dyDescent="0.25"/>
    <row r="1695" s="42" customFormat="1" ht="15" x14ac:dyDescent="0.25"/>
    <row r="1696" s="42" customFormat="1" ht="15" x14ac:dyDescent="0.25"/>
    <row r="1697" s="42" customFormat="1" ht="15" x14ac:dyDescent="0.25"/>
    <row r="1698" s="42" customFormat="1" ht="15" x14ac:dyDescent="0.25"/>
    <row r="1699" s="42" customFormat="1" ht="15" x14ac:dyDescent="0.25"/>
    <row r="1700" s="42" customFormat="1" ht="15" x14ac:dyDescent="0.25"/>
    <row r="1701" s="42" customFormat="1" ht="15" x14ac:dyDescent="0.25"/>
    <row r="1702" s="42" customFormat="1" ht="15" x14ac:dyDescent="0.25"/>
    <row r="1703" s="42" customFormat="1" ht="15" x14ac:dyDescent="0.25"/>
    <row r="1704" s="42" customFormat="1" ht="15" x14ac:dyDescent="0.25"/>
    <row r="1705" s="42" customFormat="1" ht="15" x14ac:dyDescent="0.25"/>
    <row r="1706" s="42" customFormat="1" ht="15" x14ac:dyDescent="0.25"/>
    <row r="1707" s="42" customFormat="1" ht="15" x14ac:dyDescent="0.25"/>
    <row r="1708" s="42" customFormat="1" ht="15" x14ac:dyDescent="0.25"/>
    <row r="1709" s="42" customFormat="1" ht="15" x14ac:dyDescent="0.25"/>
    <row r="1710" s="42" customFormat="1" ht="15" x14ac:dyDescent="0.25"/>
    <row r="1711" s="42" customFormat="1" ht="15" x14ac:dyDescent="0.25"/>
    <row r="1712" s="42" customFormat="1" ht="15" x14ac:dyDescent="0.25"/>
    <row r="1713" s="42" customFormat="1" ht="15" x14ac:dyDescent="0.25"/>
    <row r="1714" s="42" customFormat="1" ht="15" x14ac:dyDescent="0.25"/>
    <row r="1715" s="42" customFormat="1" ht="15" x14ac:dyDescent="0.25"/>
    <row r="1716" s="42" customFormat="1" ht="15" x14ac:dyDescent="0.25"/>
    <row r="1717" s="42" customFormat="1" ht="15" x14ac:dyDescent="0.25"/>
    <row r="1718" s="42" customFormat="1" ht="15" x14ac:dyDescent="0.25"/>
    <row r="1719" s="42" customFormat="1" ht="15" x14ac:dyDescent="0.25"/>
    <row r="1720" s="42" customFormat="1" ht="15" x14ac:dyDescent="0.25"/>
    <row r="1721" s="42" customFormat="1" ht="15" x14ac:dyDescent="0.25"/>
    <row r="1722" s="42" customFormat="1" ht="15" x14ac:dyDescent="0.25"/>
    <row r="1723" s="42" customFormat="1" ht="15" x14ac:dyDescent="0.25"/>
    <row r="1724" s="42" customFormat="1" ht="15" x14ac:dyDescent="0.25"/>
    <row r="1725" s="42" customFormat="1" ht="15" x14ac:dyDescent="0.25"/>
    <row r="1726" s="42" customFormat="1" ht="15" x14ac:dyDescent="0.25"/>
    <row r="1727" s="42" customFormat="1" ht="15" x14ac:dyDescent="0.25"/>
    <row r="1728" s="42" customFormat="1" ht="15" x14ac:dyDescent="0.25"/>
    <row r="1729" s="42" customFormat="1" ht="15" x14ac:dyDescent="0.25"/>
    <row r="1730" s="42" customFormat="1" ht="15" x14ac:dyDescent="0.25"/>
    <row r="1731" s="42" customFormat="1" ht="15" x14ac:dyDescent="0.25"/>
    <row r="1732" s="42" customFormat="1" ht="15" x14ac:dyDescent="0.25"/>
    <row r="1733" s="42" customFormat="1" ht="15" x14ac:dyDescent="0.25"/>
    <row r="1734" s="42" customFormat="1" ht="15" x14ac:dyDescent="0.25"/>
    <row r="1735" s="42" customFormat="1" ht="15" x14ac:dyDescent="0.25"/>
    <row r="1736" s="42" customFormat="1" ht="15" x14ac:dyDescent="0.25"/>
    <row r="1737" s="42" customFormat="1" ht="15" x14ac:dyDescent="0.25"/>
    <row r="1738" s="42" customFormat="1" ht="15" x14ac:dyDescent="0.25"/>
    <row r="1739" s="42" customFormat="1" ht="15" x14ac:dyDescent="0.25"/>
    <row r="1740" s="42" customFormat="1" ht="15" x14ac:dyDescent="0.25"/>
    <row r="1741" s="42" customFormat="1" ht="15" x14ac:dyDescent="0.25"/>
    <row r="1742" s="42" customFormat="1" ht="15" x14ac:dyDescent="0.25"/>
    <row r="1743" s="42" customFormat="1" ht="15" x14ac:dyDescent="0.25"/>
    <row r="1744" s="42" customFormat="1" ht="15" x14ac:dyDescent="0.25"/>
    <row r="1745" s="42" customFormat="1" ht="15" x14ac:dyDescent="0.25"/>
    <row r="1746" s="42" customFormat="1" ht="15" x14ac:dyDescent="0.25"/>
    <row r="1747" s="42" customFormat="1" ht="15" x14ac:dyDescent="0.25"/>
    <row r="1748" s="42" customFormat="1" ht="15" x14ac:dyDescent="0.25"/>
    <row r="1749" s="42" customFormat="1" ht="15" x14ac:dyDescent="0.25"/>
    <row r="1750" s="42" customFormat="1" ht="15" x14ac:dyDescent="0.25"/>
    <row r="1751" s="42" customFormat="1" ht="15" x14ac:dyDescent="0.25"/>
    <row r="1752" s="42" customFormat="1" ht="15" x14ac:dyDescent="0.25"/>
    <row r="1753" s="42" customFormat="1" ht="15" x14ac:dyDescent="0.25"/>
    <row r="1754" s="42" customFormat="1" ht="15" x14ac:dyDescent="0.25"/>
    <row r="1755" s="42" customFormat="1" ht="15" x14ac:dyDescent="0.25"/>
    <row r="1756" s="42" customFormat="1" ht="15" x14ac:dyDescent="0.25"/>
    <row r="1757" s="42" customFormat="1" ht="15" x14ac:dyDescent="0.25"/>
    <row r="1758" s="42" customFormat="1" ht="15" x14ac:dyDescent="0.25"/>
    <row r="1759" s="42" customFormat="1" ht="15" x14ac:dyDescent="0.25"/>
    <row r="1760" s="42" customFormat="1" ht="15" x14ac:dyDescent="0.25"/>
    <row r="1761" s="42" customFormat="1" ht="15" x14ac:dyDescent="0.25"/>
    <row r="1762" s="42" customFormat="1" ht="15" x14ac:dyDescent="0.25"/>
    <row r="1763" s="42" customFormat="1" ht="15" x14ac:dyDescent="0.25"/>
    <row r="1764" s="42" customFormat="1" ht="15" x14ac:dyDescent="0.25"/>
    <row r="1765" s="42" customFormat="1" ht="15" x14ac:dyDescent="0.25"/>
    <row r="1766" s="42" customFormat="1" ht="15" x14ac:dyDescent="0.25"/>
    <row r="1767" s="42" customFormat="1" ht="15" x14ac:dyDescent="0.25"/>
    <row r="1768" s="42" customFormat="1" ht="15" x14ac:dyDescent="0.25"/>
    <row r="1769" s="42" customFormat="1" ht="15" x14ac:dyDescent="0.25"/>
    <row r="1770" s="42" customFormat="1" ht="15" x14ac:dyDescent="0.25"/>
    <row r="1771" s="42" customFormat="1" ht="15" x14ac:dyDescent="0.25"/>
    <row r="1772" s="42" customFormat="1" ht="15" x14ac:dyDescent="0.25"/>
    <row r="1773" s="42" customFormat="1" ht="15" x14ac:dyDescent="0.25"/>
    <row r="1774" s="42" customFormat="1" ht="15" x14ac:dyDescent="0.25"/>
    <row r="1775" s="42" customFormat="1" ht="15" x14ac:dyDescent="0.25"/>
    <row r="1776" s="42" customFormat="1" ht="15" x14ac:dyDescent="0.25"/>
    <row r="1777" s="42" customFormat="1" ht="15" x14ac:dyDescent="0.25"/>
    <row r="1778" s="42" customFormat="1" ht="15" x14ac:dyDescent="0.25"/>
    <row r="1779" s="42" customFormat="1" ht="15" x14ac:dyDescent="0.25"/>
    <row r="1780" s="42" customFormat="1" ht="15" x14ac:dyDescent="0.25"/>
    <row r="1781" s="42" customFormat="1" ht="15" x14ac:dyDescent="0.25"/>
    <row r="1782" s="42" customFormat="1" ht="15" x14ac:dyDescent="0.25"/>
    <row r="1783" s="42" customFormat="1" ht="15" x14ac:dyDescent="0.25"/>
    <row r="1784" s="42" customFormat="1" ht="15" x14ac:dyDescent="0.25"/>
    <row r="1785" s="42" customFormat="1" ht="15" x14ac:dyDescent="0.25"/>
    <row r="1786" s="42" customFormat="1" ht="15" x14ac:dyDescent="0.25"/>
    <row r="1787" s="42" customFormat="1" ht="15" x14ac:dyDescent="0.25"/>
    <row r="1788" s="42" customFormat="1" ht="15" x14ac:dyDescent="0.25"/>
    <row r="1789" s="42" customFormat="1" ht="15" x14ac:dyDescent="0.25"/>
    <row r="1790" s="42" customFormat="1" ht="15" x14ac:dyDescent="0.25"/>
    <row r="1791" s="42" customFormat="1" ht="15" x14ac:dyDescent="0.25"/>
    <row r="1792" s="42" customFormat="1" ht="15" x14ac:dyDescent="0.25"/>
    <row r="1793" s="42" customFormat="1" ht="15" x14ac:dyDescent="0.25"/>
    <row r="1794" s="42" customFormat="1" ht="15" x14ac:dyDescent="0.25"/>
    <row r="1795" s="42" customFormat="1" ht="15" x14ac:dyDescent="0.25"/>
    <row r="1796" s="42" customFormat="1" ht="15" x14ac:dyDescent="0.25"/>
    <row r="1797" s="42" customFormat="1" ht="15" x14ac:dyDescent="0.25"/>
    <row r="1798" s="42" customFormat="1" ht="15" x14ac:dyDescent="0.25"/>
    <row r="1799" s="42" customFormat="1" ht="15" x14ac:dyDescent="0.25"/>
    <row r="1800" s="42" customFormat="1" ht="15" x14ac:dyDescent="0.25"/>
    <row r="1801" s="42" customFormat="1" ht="15" x14ac:dyDescent="0.25"/>
    <row r="1802" s="42" customFormat="1" ht="15" x14ac:dyDescent="0.25"/>
    <row r="1803" s="42" customFormat="1" ht="15" x14ac:dyDescent="0.25"/>
    <row r="1804" s="42" customFormat="1" ht="15" x14ac:dyDescent="0.25"/>
    <row r="1805" s="42" customFormat="1" ht="15" x14ac:dyDescent="0.25"/>
    <row r="1806" s="42" customFormat="1" ht="15" x14ac:dyDescent="0.25"/>
    <row r="1807" s="42" customFormat="1" ht="15" x14ac:dyDescent="0.25"/>
    <row r="1808" s="42" customFormat="1" ht="15" x14ac:dyDescent="0.25"/>
    <row r="1809" spans="4:10" s="42" customFormat="1" ht="15" x14ac:dyDescent="0.25"/>
    <row r="1810" spans="4:10" s="42" customFormat="1" ht="15" x14ac:dyDescent="0.25"/>
    <row r="1811" spans="4:10" x14ac:dyDescent="0.25">
      <c r="D1811" s="3"/>
      <c r="E1811" s="3"/>
      <c r="J1811" s="5"/>
    </row>
    <row r="1812" spans="4:10" x14ac:dyDescent="0.25">
      <c r="D1812" s="3"/>
      <c r="E1812" s="3"/>
      <c r="J1812" s="5"/>
    </row>
    <row r="1813" spans="4:10" x14ac:dyDescent="0.25">
      <c r="D1813" s="3"/>
      <c r="E1813" s="3"/>
      <c r="J1813" s="5"/>
    </row>
    <row r="1814" spans="4:10" x14ac:dyDescent="0.25">
      <c r="D1814" s="3"/>
      <c r="E1814" s="3"/>
      <c r="J1814" s="5"/>
    </row>
    <row r="1815" spans="4:10" x14ac:dyDescent="0.25">
      <c r="D1815" s="3"/>
      <c r="E1815" s="3"/>
      <c r="J1815" s="5"/>
    </row>
    <row r="1816" spans="4:10" x14ac:dyDescent="0.25">
      <c r="D1816" s="3"/>
      <c r="E1816" s="3"/>
      <c r="J1816" s="5"/>
    </row>
    <row r="1817" spans="4:10" x14ac:dyDescent="0.25">
      <c r="D1817" s="3"/>
      <c r="E1817" s="3"/>
      <c r="I1817" s="6"/>
      <c r="J1817" s="5"/>
    </row>
    <row r="1818" spans="4:10" x14ac:dyDescent="0.25">
      <c r="D1818" s="3"/>
      <c r="E1818" s="3"/>
      <c r="I1818" s="6"/>
      <c r="J1818" s="5"/>
    </row>
    <row r="1819" spans="4:10" x14ac:dyDescent="0.25">
      <c r="D1819" s="3"/>
      <c r="E1819" s="3"/>
      <c r="I1819" s="6"/>
      <c r="J1819" s="5"/>
    </row>
    <row r="1820" spans="4:10" x14ac:dyDescent="0.25">
      <c r="D1820" s="3"/>
      <c r="E1820" s="3"/>
      <c r="J1820" s="5"/>
    </row>
    <row r="1821" spans="4:10" x14ac:dyDescent="0.25">
      <c r="D1821" s="3"/>
      <c r="E1821" s="3"/>
      <c r="I1821" s="6"/>
      <c r="J1821" s="5"/>
    </row>
    <row r="1822" spans="4:10" x14ac:dyDescent="0.25">
      <c r="D1822" s="3"/>
      <c r="E1822" s="3"/>
      <c r="J1822" s="5"/>
    </row>
    <row r="1823" spans="4:10" x14ac:dyDescent="0.25">
      <c r="D1823" s="3"/>
      <c r="E1823" s="3"/>
      <c r="J1823" s="5"/>
    </row>
    <row r="1824" spans="4:10" x14ac:dyDescent="0.25">
      <c r="D1824" s="3"/>
      <c r="E1824" s="3"/>
      <c r="J1824" s="5"/>
    </row>
    <row r="1825" spans="4:10" x14ac:dyDescent="0.25">
      <c r="D1825" s="3"/>
      <c r="E1825" s="3"/>
      <c r="I1825" s="6"/>
      <c r="J1825" s="5"/>
    </row>
    <row r="1826" spans="4:10" x14ac:dyDescent="0.25">
      <c r="D1826" s="3"/>
      <c r="E1826" s="3"/>
      <c r="J1826" s="5"/>
    </row>
    <row r="1827" spans="4:10" x14ac:dyDescent="0.25">
      <c r="D1827" s="3"/>
      <c r="E1827" s="3"/>
      <c r="I1827" s="6"/>
      <c r="J1827" s="5"/>
    </row>
    <row r="1828" spans="4:10" x14ac:dyDescent="0.25">
      <c r="D1828" s="3"/>
      <c r="E1828" s="3"/>
      <c r="I1828" s="6"/>
      <c r="J1828" s="5"/>
    </row>
    <row r="1829" spans="4:10" x14ac:dyDescent="0.25">
      <c r="D1829" s="3"/>
      <c r="E1829" s="3"/>
      <c r="I1829" s="6"/>
      <c r="J1829" s="5"/>
    </row>
    <row r="1830" spans="4:10" x14ac:dyDescent="0.25">
      <c r="D1830" s="3"/>
      <c r="E1830" s="3"/>
      <c r="I1830" s="6"/>
      <c r="J1830" s="5"/>
    </row>
    <row r="1831" spans="4:10" x14ac:dyDescent="0.25">
      <c r="D1831" s="3"/>
      <c r="E1831" s="3"/>
      <c r="I1831" s="6"/>
      <c r="J1831" s="5"/>
    </row>
    <row r="1832" spans="4:10" x14ac:dyDescent="0.25">
      <c r="D1832" s="3"/>
      <c r="E1832" s="3"/>
      <c r="J1832" s="5"/>
    </row>
    <row r="1833" spans="4:10" x14ac:dyDescent="0.25">
      <c r="D1833" s="3"/>
      <c r="E1833" s="3"/>
      <c r="J1833" s="5"/>
    </row>
    <row r="1834" spans="4:10" x14ac:dyDescent="0.25">
      <c r="D1834" s="3"/>
      <c r="E1834" s="3"/>
      <c r="I1834" s="6"/>
      <c r="J1834" s="5"/>
    </row>
    <row r="1835" spans="4:10" x14ac:dyDescent="0.25">
      <c r="D1835" s="3"/>
      <c r="E1835" s="3"/>
      <c r="J1835" s="5"/>
    </row>
    <row r="1836" spans="4:10" x14ac:dyDescent="0.25">
      <c r="D1836" s="3"/>
      <c r="E1836" s="3"/>
      <c r="I1836" s="6"/>
      <c r="J1836" s="5"/>
    </row>
    <row r="1837" spans="4:10" x14ac:dyDescent="0.25">
      <c r="D1837" s="3"/>
      <c r="E1837" s="3"/>
      <c r="I1837" s="6"/>
      <c r="J1837" s="5"/>
    </row>
    <row r="1838" spans="4:10" x14ac:dyDescent="0.25">
      <c r="D1838" s="3"/>
      <c r="E1838" s="3"/>
      <c r="I1838" s="6"/>
      <c r="J1838" s="5"/>
    </row>
    <row r="1839" spans="4:10" x14ac:dyDescent="0.25">
      <c r="D1839" s="3"/>
      <c r="E1839" s="3"/>
      <c r="J1839" s="5"/>
    </row>
    <row r="1840" spans="4:10" x14ac:dyDescent="0.25">
      <c r="D1840" s="3"/>
      <c r="E1840" s="3"/>
      <c r="J1840" s="5"/>
    </row>
    <row r="1841" spans="4:10" x14ac:dyDescent="0.25">
      <c r="D1841" s="3"/>
      <c r="E1841" s="3"/>
      <c r="I1841" s="6"/>
      <c r="J1841" s="5"/>
    </row>
    <row r="1842" spans="4:10" x14ac:dyDescent="0.25">
      <c r="D1842" s="3"/>
      <c r="E1842" s="3"/>
      <c r="J1842" s="5"/>
    </row>
    <row r="1843" spans="4:10" x14ac:dyDescent="0.25">
      <c r="D1843" s="3"/>
      <c r="E1843" s="3"/>
      <c r="J1843" s="5"/>
    </row>
    <row r="1844" spans="4:10" x14ac:dyDescent="0.25">
      <c r="D1844" s="3"/>
      <c r="E1844" s="3"/>
      <c r="I1844" s="6"/>
      <c r="J1844" s="5"/>
    </row>
    <row r="1845" spans="4:10" x14ac:dyDescent="0.25">
      <c r="D1845" s="3"/>
      <c r="E1845" s="3"/>
      <c r="I1845" s="6"/>
      <c r="J1845" s="5"/>
    </row>
    <row r="1846" spans="4:10" x14ac:dyDescent="0.25">
      <c r="D1846" s="3"/>
      <c r="E1846" s="3"/>
      <c r="I1846" s="6"/>
      <c r="J1846" s="5"/>
    </row>
    <row r="1847" spans="4:10" x14ac:dyDescent="0.25">
      <c r="D1847" s="3"/>
      <c r="E1847" s="3"/>
      <c r="I1847" s="6"/>
      <c r="J1847" s="5"/>
    </row>
    <row r="1848" spans="4:10" x14ac:dyDescent="0.25">
      <c r="D1848" s="3"/>
      <c r="E1848" s="3"/>
      <c r="J1848" s="5"/>
    </row>
    <row r="1849" spans="4:10" x14ac:dyDescent="0.25">
      <c r="D1849" s="3"/>
      <c r="E1849" s="3"/>
      <c r="J1849" s="5"/>
    </row>
    <row r="1850" spans="4:10" x14ac:dyDescent="0.25">
      <c r="D1850" s="3"/>
      <c r="E1850" s="3"/>
      <c r="I1850" s="6"/>
      <c r="J1850" s="5"/>
    </row>
    <row r="1851" spans="4:10" x14ac:dyDescent="0.25">
      <c r="D1851" s="3"/>
      <c r="E1851" s="3"/>
      <c r="I1851" s="6"/>
      <c r="J1851" s="5"/>
    </row>
    <row r="1852" spans="4:10" x14ac:dyDescent="0.25">
      <c r="D1852" s="3"/>
      <c r="E1852" s="3"/>
      <c r="J1852" s="5"/>
    </row>
    <row r="1853" spans="4:10" x14ac:dyDescent="0.25">
      <c r="D1853" s="3"/>
      <c r="E1853" s="3"/>
      <c r="J1853" s="5"/>
    </row>
    <row r="1854" spans="4:10" x14ac:dyDescent="0.25">
      <c r="D1854" s="3"/>
      <c r="E1854" s="3"/>
      <c r="I1854" s="6"/>
      <c r="J1854" s="5"/>
    </row>
    <row r="1855" spans="4:10" x14ac:dyDescent="0.25">
      <c r="D1855" s="3"/>
      <c r="E1855" s="3"/>
      <c r="I1855" s="6"/>
      <c r="J1855" s="5"/>
    </row>
    <row r="1856" spans="4:10" x14ac:dyDescent="0.25">
      <c r="D1856" s="3"/>
      <c r="E1856" s="3"/>
      <c r="I1856" s="6"/>
      <c r="J1856" s="5"/>
    </row>
    <row r="1857" spans="4:10" x14ac:dyDescent="0.25">
      <c r="D1857" s="3"/>
      <c r="E1857" s="3"/>
      <c r="I1857" s="6"/>
      <c r="J1857" s="5"/>
    </row>
    <row r="1858" spans="4:10" x14ac:dyDescent="0.25">
      <c r="D1858" s="3"/>
      <c r="E1858" s="3"/>
      <c r="I1858" s="6"/>
      <c r="J1858" s="5"/>
    </row>
    <row r="1859" spans="4:10" x14ac:dyDescent="0.25">
      <c r="D1859" s="3"/>
      <c r="E1859" s="3"/>
      <c r="I1859" s="6"/>
      <c r="J1859" s="5"/>
    </row>
    <row r="1860" spans="4:10" x14ac:dyDescent="0.25">
      <c r="D1860" s="3"/>
      <c r="E1860" s="3"/>
      <c r="I1860" s="6"/>
      <c r="J1860" s="5"/>
    </row>
    <row r="1861" spans="4:10" x14ac:dyDescent="0.25">
      <c r="D1861" s="3"/>
      <c r="E1861" s="3"/>
      <c r="I1861" s="6"/>
      <c r="J1861" s="5"/>
    </row>
    <row r="1862" spans="4:10" x14ac:dyDescent="0.25">
      <c r="D1862" s="3"/>
      <c r="E1862" s="3"/>
      <c r="I1862" s="6"/>
      <c r="J1862" s="5"/>
    </row>
    <row r="1863" spans="4:10" x14ac:dyDescent="0.25">
      <c r="D1863" s="3"/>
      <c r="E1863" s="3"/>
      <c r="I1863" s="6"/>
      <c r="J1863" s="5"/>
    </row>
    <row r="1864" spans="4:10" x14ac:dyDescent="0.25">
      <c r="D1864" s="3"/>
      <c r="E1864" s="3"/>
      <c r="I1864" s="6"/>
      <c r="J1864" s="5"/>
    </row>
    <row r="1865" spans="4:10" x14ac:dyDescent="0.25">
      <c r="D1865" s="3"/>
      <c r="E1865" s="3"/>
      <c r="I1865" s="6"/>
      <c r="J1865" s="5"/>
    </row>
    <row r="1866" spans="4:10" x14ac:dyDescent="0.25">
      <c r="D1866" s="3"/>
      <c r="E1866" s="3"/>
      <c r="I1866" s="6"/>
      <c r="J1866" s="5"/>
    </row>
    <row r="1867" spans="4:10" x14ac:dyDescent="0.25">
      <c r="D1867" s="3"/>
      <c r="E1867" s="3"/>
      <c r="I1867" s="6"/>
      <c r="J1867" s="5"/>
    </row>
    <row r="1868" spans="4:10" x14ac:dyDescent="0.25">
      <c r="D1868" s="3"/>
      <c r="E1868" s="3"/>
      <c r="I1868" s="6"/>
      <c r="J1868" s="5"/>
    </row>
    <row r="1869" spans="4:10" x14ac:dyDescent="0.25">
      <c r="D1869" s="3"/>
      <c r="E1869" s="3"/>
      <c r="J1869" s="5"/>
    </row>
    <row r="1870" spans="4:10" x14ac:dyDescent="0.25">
      <c r="D1870" s="3"/>
      <c r="E1870" s="3"/>
      <c r="J1870" s="5"/>
    </row>
    <row r="1871" spans="4:10" x14ac:dyDescent="0.25">
      <c r="D1871" s="3"/>
      <c r="E1871" s="3"/>
      <c r="J1871" s="5"/>
    </row>
    <row r="1872" spans="4:10" x14ac:dyDescent="0.25">
      <c r="D1872" s="3"/>
      <c r="E1872" s="3"/>
      <c r="I1872" s="6"/>
      <c r="J1872" s="5"/>
    </row>
    <row r="1873" spans="4:10" x14ac:dyDescent="0.25">
      <c r="D1873" s="3"/>
      <c r="E1873" s="3"/>
      <c r="J1873" s="5"/>
    </row>
    <row r="1874" spans="4:10" x14ac:dyDescent="0.25">
      <c r="D1874" s="3"/>
      <c r="E1874" s="3"/>
      <c r="I1874" s="6"/>
      <c r="J1874" s="5"/>
    </row>
    <row r="1875" spans="4:10" x14ac:dyDescent="0.25">
      <c r="D1875" s="3"/>
      <c r="E1875" s="3"/>
      <c r="J1875" s="5"/>
    </row>
    <row r="1876" spans="4:10" x14ac:dyDescent="0.25">
      <c r="D1876" s="3"/>
      <c r="E1876" s="3"/>
      <c r="I1876" s="6"/>
      <c r="J1876" s="5"/>
    </row>
    <row r="1877" spans="4:10" x14ac:dyDescent="0.25">
      <c r="D1877" s="3"/>
      <c r="E1877" s="3"/>
      <c r="I1877" s="6"/>
      <c r="J1877" s="5"/>
    </row>
    <row r="1878" spans="4:10" x14ac:dyDescent="0.25">
      <c r="D1878" s="3"/>
      <c r="E1878" s="3"/>
      <c r="J1878" s="5"/>
    </row>
    <row r="1879" spans="4:10" x14ac:dyDescent="0.25">
      <c r="D1879" s="3"/>
      <c r="E1879" s="3"/>
      <c r="J1879" s="5"/>
    </row>
    <row r="1880" spans="4:10" x14ac:dyDescent="0.25">
      <c r="D1880" s="3"/>
      <c r="E1880" s="3"/>
      <c r="I1880" s="6"/>
      <c r="J1880" s="5"/>
    </row>
    <row r="1881" spans="4:10" x14ac:dyDescent="0.25">
      <c r="D1881" s="3"/>
      <c r="E1881" s="3"/>
      <c r="J1881" s="5"/>
    </row>
    <row r="1882" spans="4:10" x14ac:dyDescent="0.25">
      <c r="D1882" s="3"/>
      <c r="E1882" s="3"/>
      <c r="I1882" s="6"/>
      <c r="J1882" s="5"/>
    </row>
    <row r="1883" spans="4:10" x14ac:dyDescent="0.25">
      <c r="D1883" s="3"/>
      <c r="E1883" s="3"/>
      <c r="J1883" s="5"/>
    </row>
    <row r="1884" spans="4:10" x14ac:dyDescent="0.25">
      <c r="D1884" s="3"/>
      <c r="E1884" s="3"/>
      <c r="J1884" s="5"/>
    </row>
    <row r="1885" spans="4:10" x14ac:dyDescent="0.25">
      <c r="D1885" s="3"/>
      <c r="E1885" s="3"/>
      <c r="I1885" s="6"/>
      <c r="J1885" s="5"/>
    </row>
    <row r="1886" spans="4:10" x14ac:dyDescent="0.25">
      <c r="D1886" s="3"/>
      <c r="E1886" s="3"/>
      <c r="J1886" s="5"/>
    </row>
    <row r="1887" spans="4:10" x14ac:dyDescent="0.25">
      <c r="D1887" s="3"/>
      <c r="E1887" s="3"/>
      <c r="J1887" s="5"/>
    </row>
    <row r="1888" spans="4:10" x14ac:dyDescent="0.25">
      <c r="D1888" s="3"/>
      <c r="E1888" s="3"/>
      <c r="J1888" s="5"/>
    </row>
    <row r="1889" spans="4:10" x14ac:dyDescent="0.25">
      <c r="D1889" s="3"/>
      <c r="E1889" s="3"/>
      <c r="I1889" s="6"/>
      <c r="J1889" s="5"/>
    </row>
    <row r="1890" spans="4:10" x14ac:dyDescent="0.25">
      <c r="D1890" s="3"/>
      <c r="E1890" s="3"/>
      <c r="I1890" s="6"/>
      <c r="J1890" s="5"/>
    </row>
    <row r="1891" spans="4:10" x14ac:dyDescent="0.25">
      <c r="D1891" s="3"/>
      <c r="E1891" s="3"/>
      <c r="I1891" s="6"/>
      <c r="J1891" s="5"/>
    </row>
    <row r="1892" spans="4:10" x14ac:dyDescent="0.25">
      <c r="D1892" s="3"/>
      <c r="E1892" s="3"/>
      <c r="J1892" s="5"/>
    </row>
    <row r="1893" spans="4:10" x14ac:dyDescent="0.25">
      <c r="D1893" s="3"/>
      <c r="E1893" s="3"/>
      <c r="J1893" s="5"/>
    </row>
    <row r="1894" spans="4:10" x14ac:dyDescent="0.25">
      <c r="D1894" s="3"/>
      <c r="E1894" s="3"/>
      <c r="J1894" s="5"/>
    </row>
    <row r="1895" spans="4:10" x14ac:dyDescent="0.25">
      <c r="D1895" s="3"/>
      <c r="E1895" s="3"/>
      <c r="I1895" s="6"/>
      <c r="J1895" s="5"/>
    </row>
    <row r="1896" spans="4:10" x14ac:dyDescent="0.25">
      <c r="D1896" s="3"/>
      <c r="E1896" s="3"/>
      <c r="I1896" s="6"/>
      <c r="J1896" s="5"/>
    </row>
    <row r="1897" spans="4:10" x14ac:dyDescent="0.25">
      <c r="D1897" s="3"/>
      <c r="E1897" s="3"/>
      <c r="J1897" s="5"/>
    </row>
    <row r="1898" spans="4:10" x14ac:dyDescent="0.25">
      <c r="D1898" s="3"/>
      <c r="E1898" s="3"/>
      <c r="J1898" s="5"/>
    </row>
    <row r="1899" spans="4:10" x14ac:dyDescent="0.25">
      <c r="D1899" s="3"/>
      <c r="E1899" s="3"/>
      <c r="J1899" s="5"/>
    </row>
    <row r="1900" spans="4:10" x14ac:dyDescent="0.25">
      <c r="D1900" s="3"/>
      <c r="E1900" s="3"/>
      <c r="J1900" s="5"/>
    </row>
    <row r="1901" spans="4:10" x14ac:dyDescent="0.25">
      <c r="D1901" s="3"/>
      <c r="E1901" s="3"/>
      <c r="I1901" s="6"/>
      <c r="J1901" s="5"/>
    </row>
    <row r="1902" spans="4:10" x14ac:dyDescent="0.25">
      <c r="D1902" s="3"/>
      <c r="E1902" s="3"/>
      <c r="J1902" s="5"/>
    </row>
    <row r="1903" spans="4:10" x14ac:dyDescent="0.25">
      <c r="D1903" s="3"/>
      <c r="E1903" s="3"/>
      <c r="I1903" s="6"/>
      <c r="J1903" s="5"/>
    </row>
    <row r="1904" spans="4:10" x14ac:dyDescent="0.25">
      <c r="D1904" s="3"/>
      <c r="E1904" s="3"/>
      <c r="I1904" s="6"/>
      <c r="J1904" s="5"/>
    </row>
    <row r="1905" spans="4:10" x14ac:dyDescent="0.25">
      <c r="D1905" s="3"/>
      <c r="E1905" s="3"/>
      <c r="I1905" s="6"/>
      <c r="J1905" s="5"/>
    </row>
    <row r="1906" spans="4:10" x14ac:dyDescent="0.25">
      <c r="D1906" s="3"/>
      <c r="E1906" s="3"/>
      <c r="I1906" s="6"/>
      <c r="J1906" s="5"/>
    </row>
    <row r="1907" spans="4:10" x14ac:dyDescent="0.25">
      <c r="D1907" s="3"/>
      <c r="E1907" s="3"/>
      <c r="I1907" s="6"/>
      <c r="J1907" s="5"/>
    </row>
    <row r="1908" spans="4:10" x14ac:dyDescent="0.25">
      <c r="D1908" s="3"/>
      <c r="E1908" s="3"/>
      <c r="I1908" s="6"/>
      <c r="J1908" s="5"/>
    </row>
    <row r="1909" spans="4:10" x14ac:dyDescent="0.25">
      <c r="D1909" s="3"/>
      <c r="E1909" s="3"/>
      <c r="I1909" s="6"/>
      <c r="J1909" s="5"/>
    </row>
    <row r="1910" spans="4:10" x14ac:dyDescent="0.25">
      <c r="D1910" s="3"/>
      <c r="E1910" s="3"/>
      <c r="I1910" s="6"/>
      <c r="J1910" s="5"/>
    </row>
    <row r="1911" spans="4:10" x14ac:dyDescent="0.25">
      <c r="D1911" s="3"/>
      <c r="E1911" s="3"/>
      <c r="I1911" s="6"/>
      <c r="J1911" s="5"/>
    </row>
    <row r="1912" spans="4:10" x14ac:dyDescent="0.25">
      <c r="D1912" s="3"/>
      <c r="E1912" s="3"/>
      <c r="J1912" s="5"/>
    </row>
    <row r="1913" spans="4:10" x14ac:dyDescent="0.25">
      <c r="D1913" s="3"/>
      <c r="E1913" s="3"/>
      <c r="J1913" s="5"/>
    </row>
    <row r="1914" spans="4:10" x14ac:dyDescent="0.25">
      <c r="D1914" s="3"/>
      <c r="E1914" s="3"/>
      <c r="I1914" s="6"/>
      <c r="J1914" s="5"/>
    </row>
    <row r="1915" spans="4:10" x14ac:dyDescent="0.25">
      <c r="D1915" s="3"/>
      <c r="E1915" s="3"/>
      <c r="I1915" s="6"/>
      <c r="J1915" s="5"/>
    </row>
    <row r="1916" spans="4:10" x14ac:dyDescent="0.25">
      <c r="D1916" s="3"/>
      <c r="E1916" s="3"/>
      <c r="I1916" s="6"/>
      <c r="J1916" s="5"/>
    </row>
    <row r="1917" spans="4:10" x14ac:dyDescent="0.25">
      <c r="D1917" s="3"/>
      <c r="E1917" s="3"/>
      <c r="J1917" s="5"/>
    </row>
    <row r="1918" spans="4:10" x14ac:dyDescent="0.25">
      <c r="D1918" s="3"/>
      <c r="E1918" s="3"/>
      <c r="J1918" s="5"/>
    </row>
    <row r="1919" spans="4:10" x14ac:dyDescent="0.25">
      <c r="D1919" s="3"/>
      <c r="E1919" s="3"/>
      <c r="I1919" s="6"/>
      <c r="J1919" s="5"/>
    </row>
    <row r="1920" spans="4:10" x14ac:dyDescent="0.25">
      <c r="D1920" s="3"/>
      <c r="E1920" s="3"/>
      <c r="J1920" s="5"/>
    </row>
    <row r="1921" spans="4:10" x14ac:dyDescent="0.25">
      <c r="D1921" s="3"/>
      <c r="E1921" s="3"/>
      <c r="I1921" s="6"/>
      <c r="J1921" s="5"/>
    </row>
    <row r="1922" spans="4:10" x14ac:dyDescent="0.25">
      <c r="D1922" s="3"/>
      <c r="E1922" s="3"/>
      <c r="I1922" s="6"/>
      <c r="J1922" s="5"/>
    </row>
    <row r="1923" spans="4:10" x14ac:dyDescent="0.25">
      <c r="D1923" s="3"/>
      <c r="E1923" s="3"/>
      <c r="J1923" s="5"/>
    </row>
    <row r="1924" spans="4:10" x14ac:dyDescent="0.25">
      <c r="D1924" s="3"/>
      <c r="E1924" s="3"/>
      <c r="I1924" s="6"/>
      <c r="J1924" s="5"/>
    </row>
    <row r="1925" spans="4:10" x14ac:dyDescent="0.25">
      <c r="D1925" s="3"/>
      <c r="E1925" s="3"/>
      <c r="I1925" s="6"/>
      <c r="J1925" s="5"/>
    </row>
    <row r="1926" spans="4:10" x14ac:dyDescent="0.25">
      <c r="D1926" s="3"/>
      <c r="E1926" s="3"/>
      <c r="J1926" s="5"/>
    </row>
    <row r="1927" spans="4:10" x14ac:dyDescent="0.25">
      <c r="D1927" s="3"/>
      <c r="E1927" s="3"/>
      <c r="J1927" s="5"/>
    </row>
    <row r="1928" spans="4:10" x14ac:dyDescent="0.25">
      <c r="D1928" s="3"/>
      <c r="E1928" s="3"/>
      <c r="J1928" s="5"/>
    </row>
    <row r="1929" spans="4:10" x14ac:dyDescent="0.25">
      <c r="D1929" s="3"/>
      <c r="E1929" s="3"/>
      <c r="J1929" s="5"/>
    </row>
    <row r="1930" spans="4:10" x14ac:dyDescent="0.25">
      <c r="D1930" s="3"/>
      <c r="E1930" s="3"/>
      <c r="J1930" s="5"/>
    </row>
    <row r="1931" spans="4:10" x14ac:dyDescent="0.25">
      <c r="D1931" s="3"/>
      <c r="E1931" s="3"/>
      <c r="J1931" s="5"/>
    </row>
    <row r="1932" spans="4:10" x14ac:dyDescent="0.25">
      <c r="D1932" s="3"/>
      <c r="E1932" s="3"/>
      <c r="J1932" s="5"/>
    </row>
    <row r="1933" spans="4:10" x14ac:dyDescent="0.25">
      <c r="D1933" s="3"/>
      <c r="E1933" s="3"/>
      <c r="J1933" s="5"/>
    </row>
    <row r="1934" spans="4:10" x14ac:dyDescent="0.25">
      <c r="D1934" s="3"/>
      <c r="E1934" s="3"/>
      <c r="J1934" s="5"/>
    </row>
    <row r="1935" spans="4:10" x14ac:dyDescent="0.25">
      <c r="D1935" s="3"/>
      <c r="E1935" s="3"/>
      <c r="J1935" s="5"/>
    </row>
    <row r="1936" spans="4:10" x14ac:dyDescent="0.25">
      <c r="D1936" s="3"/>
      <c r="E1936" s="3"/>
      <c r="J1936" s="5"/>
    </row>
    <row r="1937" spans="4:10" x14ac:dyDescent="0.25">
      <c r="D1937" s="3"/>
      <c r="E1937" s="3"/>
      <c r="J1937" s="5"/>
    </row>
    <row r="1938" spans="4:10" x14ac:dyDescent="0.25">
      <c r="D1938" s="3"/>
      <c r="E1938" s="3"/>
      <c r="J1938" s="5"/>
    </row>
    <row r="1939" spans="4:10" x14ac:dyDescent="0.25">
      <c r="D1939" s="3"/>
      <c r="E1939" s="3"/>
      <c r="J1939" s="5"/>
    </row>
    <row r="1940" spans="4:10" x14ac:dyDescent="0.25">
      <c r="D1940" s="3"/>
      <c r="E1940" s="3"/>
      <c r="J1940" s="5"/>
    </row>
    <row r="1941" spans="4:10" x14ac:dyDescent="0.25">
      <c r="D1941" s="3"/>
      <c r="E1941" s="3"/>
      <c r="J1941" s="5"/>
    </row>
    <row r="1942" spans="4:10" x14ac:dyDescent="0.25">
      <c r="D1942" s="3"/>
      <c r="E1942" s="3"/>
      <c r="J1942" s="5"/>
    </row>
    <row r="1943" spans="4:10" x14ac:dyDescent="0.25">
      <c r="D1943" s="3"/>
      <c r="E1943" s="3"/>
      <c r="J1943" s="5"/>
    </row>
    <row r="1944" spans="4:10" x14ac:dyDescent="0.25">
      <c r="D1944" s="3"/>
      <c r="E1944" s="3"/>
      <c r="J1944" s="5"/>
    </row>
    <row r="1945" spans="4:10" x14ac:dyDescent="0.25">
      <c r="D1945" s="3"/>
      <c r="E1945" s="3"/>
      <c r="J1945" s="5"/>
    </row>
    <row r="1946" spans="4:10" x14ac:dyDescent="0.25">
      <c r="D1946" s="3"/>
      <c r="E1946" s="3"/>
      <c r="J1946" s="5"/>
    </row>
    <row r="1947" spans="4:10" x14ac:dyDescent="0.25">
      <c r="D1947" s="3"/>
      <c r="E1947" s="3"/>
      <c r="J1947" s="5"/>
    </row>
    <row r="1948" spans="4:10" x14ac:dyDescent="0.25">
      <c r="D1948" s="3"/>
      <c r="E1948" s="3"/>
      <c r="J1948" s="5"/>
    </row>
    <row r="1949" spans="4:10" x14ac:dyDescent="0.25">
      <c r="D1949" s="3"/>
      <c r="E1949" s="3"/>
      <c r="J1949" s="5"/>
    </row>
    <row r="1950" spans="4:10" x14ac:dyDescent="0.25">
      <c r="D1950" s="3"/>
      <c r="E1950" s="3"/>
      <c r="J1950" s="5"/>
    </row>
    <row r="1951" spans="4:10" x14ac:dyDescent="0.25">
      <c r="D1951" s="3"/>
      <c r="E1951" s="3"/>
      <c r="J1951" s="5"/>
    </row>
    <row r="1952" spans="4:10" x14ac:dyDescent="0.25">
      <c r="D1952" s="3"/>
      <c r="E1952" s="3"/>
      <c r="J1952" s="5"/>
    </row>
    <row r="1953" spans="4:10" x14ac:dyDescent="0.25">
      <c r="D1953" s="3"/>
      <c r="E1953" s="3"/>
      <c r="J1953" s="5"/>
    </row>
    <row r="1954" spans="4:10" x14ac:dyDescent="0.25">
      <c r="D1954" s="3"/>
      <c r="E1954" s="3"/>
      <c r="J1954" s="5"/>
    </row>
    <row r="1955" spans="4:10" x14ac:dyDescent="0.25">
      <c r="D1955" s="3"/>
      <c r="E1955" s="3"/>
      <c r="J1955" s="5"/>
    </row>
    <row r="1956" spans="4:10" x14ac:dyDescent="0.25">
      <c r="D1956" s="3"/>
      <c r="E1956" s="3"/>
      <c r="J1956" s="5"/>
    </row>
    <row r="1957" spans="4:10" x14ac:dyDescent="0.25">
      <c r="D1957" s="3"/>
      <c r="E1957" s="3"/>
      <c r="J1957" s="5"/>
    </row>
    <row r="1958" spans="4:10" x14ac:dyDescent="0.25">
      <c r="D1958" s="3"/>
      <c r="E1958" s="3"/>
      <c r="J1958" s="5"/>
    </row>
    <row r="1959" spans="4:10" x14ac:dyDescent="0.25">
      <c r="D1959" s="3"/>
      <c r="E1959" s="3"/>
      <c r="J1959" s="5"/>
    </row>
    <row r="1960" spans="4:10" x14ac:dyDescent="0.25">
      <c r="D1960" s="3"/>
      <c r="E1960" s="3"/>
      <c r="J1960" s="5"/>
    </row>
    <row r="1961" spans="4:10" x14ac:dyDescent="0.25">
      <c r="D1961" s="3"/>
      <c r="E1961" s="3"/>
      <c r="J1961" s="5"/>
    </row>
    <row r="1962" spans="4:10" x14ac:dyDescent="0.25">
      <c r="D1962" s="3"/>
      <c r="E1962" s="3"/>
      <c r="J1962" s="5"/>
    </row>
    <row r="1963" spans="4:10" x14ac:dyDescent="0.25">
      <c r="D1963" s="3"/>
      <c r="E1963" s="3"/>
      <c r="J1963" s="5"/>
    </row>
    <row r="1964" spans="4:10" x14ac:dyDescent="0.25">
      <c r="D1964" s="3"/>
      <c r="E1964" s="3"/>
      <c r="J1964" s="5"/>
    </row>
    <row r="1965" spans="4:10" x14ac:dyDescent="0.25">
      <c r="D1965" s="3"/>
      <c r="E1965" s="3"/>
      <c r="J1965" s="5"/>
    </row>
    <row r="1966" spans="4:10" x14ac:dyDescent="0.25">
      <c r="D1966" s="3"/>
      <c r="E1966" s="3"/>
      <c r="J1966" s="5"/>
    </row>
    <row r="1967" spans="4:10" x14ac:dyDescent="0.25">
      <c r="D1967" s="3"/>
      <c r="E1967" s="3"/>
      <c r="J1967" s="5"/>
    </row>
    <row r="1968" spans="4:10" x14ac:dyDescent="0.25">
      <c r="D1968" s="3"/>
      <c r="E1968" s="3"/>
      <c r="J1968" s="5"/>
    </row>
    <row r="1969" spans="4:10" x14ac:dyDescent="0.25">
      <c r="D1969" s="3"/>
      <c r="E1969" s="3"/>
      <c r="I1969" s="6"/>
      <c r="J1969" s="5"/>
    </row>
    <row r="1970" spans="4:10" x14ac:dyDescent="0.25">
      <c r="D1970" s="3"/>
      <c r="E1970" s="3"/>
      <c r="I1970" s="6"/>
      <c r="J1970" s="5"/>
    </row>
    <row r="1971" spans="4:10" x14ac:dyDescent="0.25">
      <c r="D1971" s="3"/>
      <c r="E1971" s="3"/>
      <c r="J1971" s="5"/>
    </row>
    <row r="1972" spans="4:10" x14ac:dyDescent="0.25">
      <c r="D1972" s="3"/>
      <c r="E1972" s="3"/>
      <c r="I1972" s="6"/>
      <c r="J1972" s="5"/>
    </row>
    <row r="1973" spans="4:10" x14ac:dyDescent="0.25">
      <c r="D1973" s="3"/>
      <c r="E1973" s="3"/>
      <c r="I1973" s="6"/>
      <c r="J1973" s="5"/>
    </row>
    <row r="1974" spans="4:10" x14ac:dyDescent="0.25">
      <c r="D1974" s="3"/>
      <c r="E1974" s="3"/>
      <c r="I1974" s="6"/>
      <c r="J1974" s="5"/>
    </row>
    <row r="1975" spans="4:10" x14ac:dyDescent="0.25">
      <c r="D1975" s="3"/>
      <c r="E1975" s="3"/>
      <c r="I1975" s="6"/>
      <c r="J1975" s="5"/>
    </row>
    <row r="1976" spans="4:10" x14ac:dyDescent="0.25">
      <c r="D1976" s="3"/>
      <c r="E1976" s="3"/>
      <c r="I1976" s="6"/>
      <c r="J1976" s="5"/>
    </row>
    <row r="1977" spans="4:10" x14ac:dyDescent="0.25">
      <c r="D1977" s="3"/>
      <c r="E1977" s="3"/>
      <c r="I1977" s="6"/>
      <c r="J1977" s="5"/>
    </row>
    <row r="1978" spans="4:10" x14ac:dyDescent="0.25">
      <c r="D1978" s="3"/>
      <c r="E1978" s="3"/>
      <c r="I1978" s="6"/>
      <c r="J1978" s="5"/>
    </row>
    <row r="1979" spans="4:10" x14ac:dyDescent="0.25">
      <c r="D1979" s="3"/>
      <c r="E1979" s="3"/>
      <c r="I1979" s="6"/>
      <c r="J1979" s="5"/>
    </row>
    <row r="1980" spans="4:10" x14ac:dyDescent="0.25">
      <c r="D1980" s="3"/>
      <c r="E1980" s="3"/>
      <c r="I1980" s="6"/>
      <c r="J1980" s="5"/>
    </row>
    <row r="1981" spans="4:10" x14ac:dyDescent="0.25">
      <c r="D1981" s="3"/>
      <c r="E1981" s="3"/>
      <c r="I1981" s="6"/>
      <c r="J1981" s="5"/>
    </row>
    <row r="1982" spans="4:10" x14ac:dyDescent="0.25">
      <c r="D1982" s="3"/>
      <c r="E1982" s="3"/>
      <c r="I1982" s="6"/>
      <c r="J1982" s="5"/>
    </row>
    <row r="1983" spans="4:10" x14ac:dyDescent="0.25">
      <c r="D1983" s="3"/>
      <c r="E1983" s="3"/>
      <c r="I1983" s="6"/>
      <c r="J1983" s="5"/>
    </row>
    <row r="1984" spans="4:10" x14ac:dyDescent="0.25">
      <c r="D1984" s="3"/>
      <c r="E1984" s="3"/>
      <c r="I1984" s="6"/>
      <c r="J1984" s="5"/>
    </row>
    <row r="1985" spans="4:10" x14ac:dyDescent="0.25">
      <c r="D1985" s="3"/>
      <c r="E1985" s="3"/>
      <c r="I1985" s="6"/>
      <c r="J1985" s="5"/>
    </row>
    <row r="1986" spans="4:10" x14ac:dyDescent="0.25">
      <c r="D1986" s="3"/>
      <c r="E1986" s="3"/>
      <c r="I1986" s="6"/>
      <c r="J1986" s="5"/>
    </row>
    <row r="1987" spans="4:10" x14ac:dyDescent="0.25">
      <c r="D1987" s="3"/>
      <c r="E1987" s="3"/>
      <c r="J1987" s="5"/>
    </row>
    <row r="1988" spans="4:10" x14ac:dyDescent="0.25">
      <c r="D1988" s="3"/>
      <c r="E1988" s="3"/>
      <c r="I1988" s="6"/>
      <c r="J1988" s="5"/>
    </row>
    <row r="1989" spans="4:10" x14ac:dyDescent="0.25">
      <c r="D1989" s="3"/>
      <c r="E1989" s="3"/>
      <c r="I1989" s="6"/>
      <c r="J1989" s="5"/>
    </row>
    <row r="1990" spans="4:10" x14ac:dyDescent="0.25">
      <c r="D1990" s="3"/>
      <c r="E1990" s="3"/>
      <c r="I1990" s="6"/>
      <c r="J1990" s="5"/>
    </row>
    <row r="1991" spans="4:10" x14ac:dyDescent="0.25">
      <c r="D1991" s="3"/>
      <c r="E1991" s="3"/>
      <c r="I1991" s="6"/>
      <c r="J1991" s="5"/>
    </row>
    <row r="1992" spans="4:10" x14ac:dyDescent="0.25">
      <c r="D1992" s="3"/>
      <c r="E1992" s="3"/>
      <c r="J1992" s="5"/>
    </row>
    <row r="1993" spans="4:10" x14ac:dyDescent="0.25">
      <c r="D1993" s="3"/>
      <c r="E1993" s="3"/>
      <c r="J1993" s="5"/>
    </row>
    <row r="1994" spans="4:10" x14ac:dyDescent="0.25">
      <c r="D1994" s="3"/>
      <c r="E1994" s="3"/>
      <c r="J1994" s="5"/>
    </row>
    <row r="1995" spans="4:10" x14ac:dyDescent="0.25">
      <c r="D1995" s="3"/>
      <c r="E1995" s="3"/>
      <c r="I1995" s="6"/>
      <c r="J1995" s="5"/>
    </row>
    <row r="1996" spans="4:10" x14ac:dyDescent="0.25">
      <c r="D1996" s="3"/>
      <c r="E1996" s="3"/>
      <c r="I1996" s="6"/>
      <c r="J1996" s="5"/>
    </row>
    <row r="1997" spans="4:10" x14ac:dyDescent="0.25">
      <c r="D1997" s="3"/>
      <c r="E1997" s="3"/>
      <c r="I1997" s="6"/>
      <c r="J1997" s="5"/>
    </row>
    <row r="1998" spans="4:10" x14ac:dyDescent="0.25">
      <c r="D1998" s="3"/>
      <c r="E1998" s="3"/>
      <c r="I1998" s="6"/>
      <c r="J1998" s="5"/>
    </row>
    <row r="1999" spans="4:10" x14ac:dyDescent="0.25">
      <c r="D1999" s="3"/>
      <c r="E1999" s="3"/>
      <c r="J1999" s="5"/>
    </row>
    <row r="2000" spans="4:10" x14ac:dyDescent="0.25">
      <c r="D2000" s="3"/>
      <c r="E2000" s="3"/>
      <c r="J2000" s="5"/>
    </row>
    <row r="2001" spans="4:10" x14ac:dyDescent="0.25">
      <c r="D2001" s="3"/>
      <c r="E2001" s="3"/>
      <c r="J2001" s="5"/>
    </row>
    <row r="2002" spans="4:10" x14ac:dyDescent="0.25">
      <c r="D2002" s="3"/>
      <c r="E2002" s="3"/>
      <c r="I2002" s="6"/>
      <c r="J2002" s="5"/>
    </row>
    <row r="2003" spans="4:10" x14ac:dyDescent="0.25">
      <c r="D2003" s="3"/>
      <c r="E2003" s="3"/>
      <c r="I2003" s="6"/>
      <c r="J2003" s="5"/>
    </row>
    <row r="2004" spans="4:10" x14ac:dyDescent="0.25">
      <c r="D2004" s="3"/>
      <c r="E2004" s="3"/>
      <c r="J2004" s="5"/>
    </row>
    <row r="2005" spans="4:10" x14ac:dyDescent="0.25">
      <c r="D2005" s="3"/>
      <c r="E2005" s="3"/>
      <c r="J2005" s="5"/>
    </row>
    <row r="2006" spans="4:10" x14ac:dyDescent="0.25">
      <c r="D2006" s="3"/>
      <c r="E2006" s="3"/>
      <c r="J2006" s="5"/>
    </row>
    <row r="2007" spans="4:10" x14ac:dyDescent="0.25">
      <c r="D2007" s="3"/>
      <c r="E2007" s="3"/>
      <c r="J2007" s="5"/>
    </row>
    <row r="2008" spans="4:10" x14ac:dyDescent="0.25">
      <c r="D2008" s="3"/>
      <c r="E2008" s="3"/>
      <c r="J2008" s="5"/>
    </row>
    <row r="2009" spans="4:10" x14ac:dyDescent="0.25">
      <c r="D2009" s="3"/>
      <c r="E2009" s="3"/>
      <c r="I2009" s="6"/>
      <c r="J2009" s="5"/>
    </row>
    <row r="2010" spans="4:10" x14ac:dyDescent="0.25">
      <c r="D2010" s="3"/>
      <c r="E2010" s="3"/>
      <c r="J2010" s="5"/>
    </row>
    <row r="2011" spans="4:10" x14ac:dyDescent="0.25">
      <c r="D2011" s="3"/>
      <c r="E2011" s="3"/>
      <c r="J2011" s="5"/>
    </row>
    <row r="2012" spans="4:10" x14ac:dyDescent="0.25">
      <c r="D2012" s="3"/>
      <c r="E2012" s="3"/>
      <c r="J2012" s="5"/>
    </row>
    <row r="2013" spans="4:10" x14ac:dyDescent="0.25">
      <c r="D2013" s="3"/>
      <c r="E2013" s="3"/>
      <c r="I2013" s="6"/>
      <c r="J2013" s="5"/>
    </row>
    <row r="2014" spans="4:10" x14ac:dyDescent="0.25">
      <c r="D2014" s="3"/>
      <c r="E2014" s="3"/>
      <c r="J2014" s="5"/>
    </row>
    <row r="2015" spans="4:10" x14ac:dyDescent="0.25">
      <c r="D2015" s="3"/>
      <c r="E2015" s="3"/>
      <c r="J2015" s="5"/>
    </row>
    <row r="2016" spans="4:10" x14ac:dyDescent="0.25">
      <c r="D2016" s="3"/>
      <c r="E2016" s="3"/>
      <c r="J2016" s="5"/>
    </row>
    <row r="2017" spans="4:10" x14ac:dyDescent="0.25">
      <c r="D2017" s="3"/>
      <c r="E2017" s="3"/>
      <c r="I2017" s="6"/>
      <c r="J2017" s="5"/>
    </row>
    <row r="2018" spans="4:10" x14ac:dyDescent="0.25">
      <c r="D2018" s="3"/>
      <c r="E2018" s="3"/>
      <c r="I2018" s="6"/>
      <c r="J2018" s="5"/>
    </row>
    <row r="2019" spans="4:10" x14ac:dyDescent="0.25">
      <c r="D2019" s="3"/>
      <c r="E2019" s="3"/>
      <c r="I2019" s="6"/>
      <c r="J2019" s="5"/>
    </row>
    <row r="2020" spans="4:10" x14ac:dyDescent="0.25">
      <c r="D2020" s="3"/>
      <c r="E2020" s="3"/>
      <c r="J2020" s="5"/>
    </row>
    <row r="2021" spans="4:10" x14ac:dyDescent="0.25">
      <c r="D2021" s="3"/>
      <c r="E2021" s="3"/>
      <c r="J2021" s="5"/>
    </row>
    <row r="2022" spans="4:10" x14ac:dyDescent="0.25">
      <c r="D2022" s="3"/>
      <c r="E2022" s="3"/>
      <c r="I2022" s="6"/>
      <c r="J2022" s="5"/>
    </row>
    <row r="2023" spans="4:10" x14ac:dyDescent="0.25">
      <c r="D2023" s="3"/>
      <c r="E2023" s="3"/>
      <c r="I2023" s="6"/>
      <c r="J2023" s="5"/>
    </row>
    <row r="2024" spans="4:10" x14ac:dyDescent="0.25">
      <c r="D2024" s="3"/>
      <c r="E2024" s="3"/>
      <c r="I2024" s="6"/>
      <c r="J2024" s="5"/>
    </row>
    <row r="2025" spans="4:10" x14ac:dyDescent="0.25">
      <c r="D2025" s="3"/>
      <c r="E2025" s="3"/>
      <c r="I2025" s="6"/>
      <c r="J2025" s="5"/>
    </row>
    <row r="2026" spans="4:10" x14ac:dyDescent="0.25">
      <c r="D2026" s="3"/>
      <c r="E2026" s="3"/>
      <c r="J2026" s="5"/>
    </row>
    <row r="2027" spans="4:10" x14ac:dyDescent="0.25">
      <c r="D2027" s="3"/>
      <c r="E2027" s="3"/>
      <c r="I2027" s="6"/>
      <c r="J2027" s="5"/>
    </row>
    <row r="2028" spans="4:10" x14ac:dyDescent="0.25">
      <c r="D2028" s="3"/>
      <c r="E2028" s="3"/>
      <c r="I2028" s="6"/>
      <c r="J2028" s="5"/>
    </row>
    <row r="2029" spans="4:10" x14ac:dyDescent="0.25">
      <c r="D2029" s="3"/>
      <c r="E2029" s="3"/>
      <c r="I2029" s="6"/>
      <c r="J2029" s="5"/>
    </row>
    <row r="2030" spans="4:10" x14ac:dyDescent="0.25">
      <c r="D2030" s="3"/>
      <c r="E2030" s="3"/>
      <c r="I2030" s="6"/>
      <c r="J2030" s="5"/>
    </row>
    <row r="2031" spans="4:10" x14ac:dyDescent="0.25">
      <c r="D2031" s="3"/>
      <c r="E2031" s="3"/>
      <c r="I2031" s="6"/>
      <c r="J2031" s="5"/>
    </row>
    <row r="2032" spans="4:10" x14ac:dyDescent="0.25">
      <c r="D2032" s="3"/>
      <c r="E2032" s="3"/>
      <c r="J2032" s="5"/>
    </row>
    <row r="2033" spans="4:10" x14ac:dyDescent="0.25">
      <c r="D2033" s="3"/>
      <c r="E2033" s="3"/>
      <c r="I2033" s="6"/>
      <c r="J2033" s="5"/>
    </row>
    <row r="2034" spans="4:10" x14ac:dyDescent="0.25">
      <c r="D2034" s="3"/>
      <c r="E2034" s="3"/>
      <c r="I2034" s="6"/>
      <c r="J2034" s="5"/>
    </row>
    <row r="2035" spans="4:10" x14ac:dyDescent="0.25">
      <c r="D2035" s="3"/>
      <c r="E2035" s="3"/>
      <c r="I2035" s="6"/>
      <c r="J2035" s="5"/>
    </row>
    <row r="2036" spans="4:10" x14ac:dyDescent="0.25">
      <c r="D2036" s="3"/>
      <c r="E2036" s="3"/>
      <c r="J2036" s="5"/>
    </row>
    <row r="2037" spans="4:10" x14ac:dyDescent="0.25">
      <c r="D2037" s="3"/>
      <c r="E2037" s="3"/>
      <c r="I2037" s="6"/>
      <c r="J2037" s="5"/>
    </row>
    <row r="2038" spans="4:10" x14ac:dyDescent="0.25">
      <c r="D2038" s="3"/>
      <c r="E2038" s="3"/>
      <c r="J2038" s="5"/>
    </row>
    <row r="2039" spans="4:10" x14ac:dyDescent="0.25">
      <c r="D2039" s="3"/>
      <c r="E2039" s="3"/>
      <c r="J2039" s="5"/>
    </row>
    <row r="2040" spans="4:10" x14ac:dyDescent="0.25">
      <c r="D2040" s="3"/>
      <c r="E2040" s="3"/>
      <c r="I2040" s="6"/>
      <c r="J2040" s="5"/>
    </row>
    <row r="2041" spans="4:10" x14ac:dyDescent="0.25">
      <c r="D2041" s="3"/>
      <c r="E2041" s="3"/>
      <c r="I2041" s="6"/>
      <c r="J2041" s="5"/>
    </row>
    <row r="2042" spans="4:10" x14ac:dyDescent="0.25">
      <c r="D2042" s="3"/>
      <c r="E2042" s="3"/>
      <c r="I2042" s="6"/>
      <c r="J2042" s="5"/>
    </row>
    <row r="2043" spans="4:10" x14ac:dyDescent="0.25">
      <c r="D2043" s="3"/>
      <c r="E2043" s="3"/>
      <c r="J2043" s="5"/>
    </row>
    <row r="2044" spans="4:10" x14ac:dyDescent="0.25">
      <c r="D2044" s="3"/>
      <c r="E2044" s="3"/>
      <c r="J2044" s="5"/>
    </row>
    <row r="2045" spans="4:10" x14ac:dyDescent="0.25">
      <c r="D2045" s="3"/>
      <c r="E2045" s="3"/>
      <c r="J2045" s="5"/>
    </row>
    <row r="2046" spans="4:10" x14ac:dyDescent="0.25">
      <c r="D2046" s="3"/>
      <c r="E2046" s="3"/>
      <c r="J2046" s="5"/>
    </row>
    <row r="2047" spans="4:10" x14ac:dyDescent="0.25">
      <c r="D2047" s="3"/>
      <c r="E2047" s="3"/>
      <c r="J2047" s="5"/>
    </row>
    <row r="2048" spans="4:10" x14ac:dyDescent="0.25">
      <c r="D2048" s="3"/>
      <c r="E2048" s="3"/>
      <c r="J2048" s="5"/>
    </row>
    <row r="2049" spans="4:10" x14ac:dyDescent="0.25">
      <c r="D2049" s="3"/>
      <c r="E2049" s="3"/>
      <c r="I2049" s="6"/>
      <c r="J2049" s="5"/>
    </row>
    <row r="2050" spans="4:10" x14ac:dyDescent="0.25">
      <c r="D2050" s="3"/>
      <c r="E2050" s="3"/>
      <c r="I2050" s="6"/>
      <c r="J2050" s="5"/>
    </row>
    <row r="2051" spans="4:10" x14ac:dyDescent="0.25">
      <c r="D2051" s="3"/>
      <c r="E2051" s="3"/>
      <c r="J2051" s="5"/>
    </row>
    <row r="2052" spans="4:10" x14ac:dyDescent="0.25">
      <c r="D2052" s="3"/>
      <c r="E2052" s="3"/>
      <c r="J2052" s="5"/>
    </row>
    <row r="2053" spans="4:10" x14ac:dyDescent="0.25">
      <c r="D2053" s="3"/>
      <c r="E2053" s="3"/>
      <c r="J2053" s="5"/>
    </row>
    <row r="2054" spans="4:10" x14ac:dyDescent="0.25">
      <c r="D2054" s="3"/>
      <c r="E2054" s="3"/>
      <c r="J2054" s="5"/>
    </row>
    <row r="2055" spans="4:10" x14ac:dyDescent="0.25">
      <c r="D2055" s="3"/>
      <c r="E2055" s="3"/>
      <c r="J2055" s="5"/>
    </row>
    <row r="2056" spans="4:10" x14ac:dyDescent="0.25">
      <c r="D2056" s="3"/>
      <c r="E2056" s="3"/>
      <c r="J2056" s="5"/>
    </row>
    <row r="2057" spans="4:10" x14ac:dyDescent="0.25">
      <c r="D2057" s="3"/>
      <c r="E2057" s="3"/>
      <c r="J2057" s="5"/>
    </row>
    <row r="2058" spans="4:10" x14ac:dyDescent="0.25">
      <c r="D2058" s="3"/>
      <c r="E2058" s="3"/>
      <c r="J2058" s="5"/>
    </row>
    <row r="2059" spans="4:10" x14ac:dyDescent="0.25">
      <c r="D2059" s="3"/>
      <c r="E2059" s="3"/>
      <c r="J2059" s="5"/>
    </row>
    <row r="2060" spans="4:10" x14ac:dyDescent="0.25">
      <c r="D2060" s="3"/>
      <c r="E2060" s="3"/>
      <c r="J2060" s="5"/>
    </row>
    <row r="2061" spans="4:10" x14ac:dyDescent="0.25">
      <c r="D2061" s="3"/>
      <c r="E2061" s="3"/>
      <c r="J2061" s="5"/>
    </row>
    <row r="2062" spans="4:10" x14ac:dyDescent="0.25">
      <c r="D2062" s="3"/>
      <c r="E2062" s="3"/>
      <c r="J2062" s="5"/>
    </row>
    <row r="2063" spans="4:10" x14ac:dyDescent="0.25">
      <c r="D2063" s="3"/>
      <c r="E2063" s="3"/>
      <c r="J2063" s="5"/>
    </row>
    <row r="2064" spans="4:10" x14ac:dyDescent="0.25">
      <c r="D2064" s="3"/>
      <c r="E2064" s="3"/>
      <c r="J2064" s="5"/>
    </row>
    <row r="2065" spans="4:10" x14ac:dyDescent="0.25">
      <c r="D2065" s="3"/>
      <c r="E2065" s="3"/>
      <c r="J2065" s="5"/>
    </row>
    <row r="2066" spans="4:10" x14ac:dyDescent="0.25">
      <c r="D2066" s="3"/>
      <c r="E2066" s="3"/>
      <c r="J2066" s="5"/>
    </row>
    <row r="2067" spans="4:10" x14ac:dyDescent="0.25">
      <c r="D2067" s="3"/>
      <c r="E2067" s="3"/>
      <c r="J2067" s="5"/>
    </row>
    <row r="2068" spans="4:10" x14ac:dyDescent="0.25">
      <c r="D2068" s="3"/>
      <c r="E2068" s="3"/>
      <c r="I2068" s="6"/>
      <c r="J2068" s="5"/>
    </row>
    <row r="2069" spans="4:10" x14ac:dyDescent="0.25">
      <c r="D2069" s="3"/>
      <c r="E2069" s="3"/>
      <c r="I2069" s="6"/>
      <c r="J2069" s="5"/>
    </row>
    <row r="2070" spans="4:10" x14ac:dyDescent="0.25">
      <c r="D2070" s="3"/>
      <c r="E2070" s="3"/>
      <c r="J2070" s="5"/>
    </row>
    <row r="2071" spans="4:10" x14ac:dyDescent="0.25">
      <c r="D2071" s="3"/>
      <c r="E2071" s="3"/>
      <c r="J2071" s="5"/>
    </row>
    <row r="2072" spans="4:10" x14ac:dyDescent="0.25">
      <c r="D2072" s="3"/>
      <c r="E2072" s="3"/>
      <c r="I2072" s="6"/>
      <c r="J2072" s="5"/>
    </row>
    <row r="2073" spans="4:10" x14ac:dyDescent="0.25">
      <c r="D2073" s="3"/>
      <c r="E2073" s="3"/>
      <c r="J2073" s="5"/>
    </row>
    <row r="2074" spans="4:10" x14ac:dyDescent="0.25">
      <c r="D2074" s="3"/>
      <c r="E2074" s="3"/>
      <c r="J2074" s="5"/>
    </row>
    <row r="2075" spans="4:10" x14ac:dyDescent="0.25">
      <c r="D2075" s="3"/>
      <c r="E2075" s="3"/>
      <c r="J2075" s="5"/>
    </row>
    <row r="2076" spans="4:10" x14ac:dyDescent="0.25">
      <c r="D2076" s="3"/>
      <c r="E2076" s="3"/>
      <c r="I2076" s="6"/>
      <c r="J2076" s="5"/>
    </row>
    <row r="2077" spans="4:10" x14ac:dyDescent="0.25">
      <c r="D2077" s="3"/>
      <c r="E2077" s="3"/>
      <c r="I2077" s="6"/>
      <c r="J2077" s="7"/>
    </row>
    <row r="2078" spans="4:10" x14ac:dyDescent="0.25">
      <c r="D2078" s="3"/>
      <c r="E2078" s="3"/>
      <c r="I2078" s="6"/>
      <c r="J2078" s="5"/>
    </row>
    <row r="2079" spans="4:10" x14ac:dyDescent="0.25">
      <c r="D2079" s="3"/>
      <c r="E2079" s="3"/>
      <c r="J2079" s="5"/>
    </row>
    <row r="2080" spans="4:10" x14ac:dyDescent="0.25">
      <c r="D2080" s="3"/>
      <c r="E2080" s="3"/>
      <c r="J2080" s="5"/>
    </row>
    <row r="2081" spans="4:10" x14ac:dyDescent="0.25">
      <c r="D2081" s="3"/>
      <c r="E2081" s="3"/>
      <c r="J2081" s="5"/>
    </row>
    <row r="2082" spans="4:10" x14ac:dyDescent="0.25">
      <c r="D2082" s="3"/>
      <c r="E2082" s="3"/>
      <c r="J2082" s="5"/>
    </row>
    <row r="2083" spans="4:10" x14ac:dyDescent="0.25">
      <c r="D2083" s="3"/>
      <c r="E2083" s="3"/>
      <c r="I2083" s="6"/>
      <c r="J2083" s="5"/>
    </row>
    <row r="2084" spans="4:10" x14ac:dyDescent="0.25">
      <c r="D2084" s="3"/>
      <c r="E2084" s="3"/>
      <c r="J2084" s="5"/>
    </row>
    <row r="2085" spans="4:10" x14ac:dyDescent="0.25">
      <c r="D2085" s="3"/>
      <c r="E2085" s="3"/>
      <c r="I2085" s="6"/>
      <c r="J2085" s="5"/>
    </row>
    <row r="2086" spans="4:10" x14ac:dyDescent="0.25">
      <c r="D2086" s="3"/>
      <c r="E2086" s="3"/>
      <c r="I2086" s="6"/>
      <c r="J2086" s="5"/>
    </row>
    <row r="2087" spans="4:10" x14ac:dyDescent="0.25">
      <c r="D2087" s="3"/>
      <c r="E2087" s="3"/>
      <c r="I2087" s="6"/>
      <c r="J2087" s="5"/>
    </row>
    <row r="2088" spans="4:10" x14ac:dyDescent="0.25">
      <c r="D2088" s="3"/>
      <c r="E2088" s="3"/>
      <c r="I2088" s="6"/>
      <c r="J2088" s="5"/>
    </row>
    <row r="2089" spans="4:10" x14ac:dyDescent="0.25">
      <c r="D2089" s="3"/>
      <c r="E2089" s="3"/>
      <c r="J2089" s="5"/>
    </row>
    <row r="2090" spans="4:10" x14ac:dyDescent="0.25">
      <c r="D2090" s="3"/>
      <c r="E2090" s="3"/>
      <c r="J2090" s="5"/>
    </row>
    <row r="2091" spans="4:10" x14ac:dyDescent="0.25">
      <c r="D2091" s="3"/>
      <c r="E2091" s="3"/>
      <c r="J2091" s="5"/>
    </row>
    <row r="2092" spans="4:10" x14ac:dyDescent="0.25">
      <c r="D2092" s="3"/>
      <c r="E2092" s="3"/>
      <c r="I2092" s="6"/>
      <c r="J2092" s="5"/>
    </row>
    <row r="2093" spans="4:10" x14ac:dyDescent="0.25">
      <c r="D2093" s="3"/>
      <c r="E2093" s="3"/>
      <c r="J2093" s="5"/>
    </row>
    <row r="2094" spans="4:10" x14ac:dyDescent="0.25">
      <c r="D2094" s="3"/>
      <c r="E2094" s="3"/>
      <c r="J2094" s="5"/>
    </row>
    <row r="2095" spans="4:10" x14ac:dyDescent="0.25">
      <c r="D2095" s="3"/>
      <c r="E2095" s="3"/>
      <c r="I2095" s="6"/>
      <c r="J2095" s="5"/>
    </row>
    <row r="2096" spans="4:10" x14ac:dyDescent="0.25">
      <c r="D2096" s="3"/>
      <c r="E2096" s="3"/>
      <c r="I2096" s="6"/>
      <c r="J2096" s="5"/>
    </row>
    <row r="2097" spans="4:10" x14ac:dyDescent="0.25">
      <c r="D2097" s="3"/>
      <c r="E2097" s="3"/>
      <c r="I2097" s="6"/>
      <c r="J2097" s="5"/>
    </row>
    <row r="2098" spans="4:10" x14ac:dyDescent="0.25">
      <c r="D2098" s="3"/>
      <c r="E2098" s="3"/>
      <c r="I2098" s="6"/>
      <c r="J2098" s="5"/>
    </row>
    <row r="2099" spans="4:10" x14ac:dyDescent="0.25">
      <c r="D2099" s="3"/>
      <c r="E2099" s="3"/>
      <c r="I2099" s="6"/>
      <c r="J2099" s="5"/>
    </row>
    <row r="2100" spans="4:10" x14ac:dyDescent="0.25">
      <c r="D2100" s="3"/>
      <c r="E2100" s="3"/>
      <c r="I2100" s="6"/>
      <c r="J2100" s="5"/>
    </row>
    <row r="2101" spans="4:10" x14ac:dyDescent="0.25">
      <c r="D2101" s="3"/>
      <c r="E2101" s="3"/>
      <c r="I2101" s="6"/>
      <c r="J2101" s="5"/>
    </row>
    <row r="2102" spans="4:10" x14ac:dyDescent="0.25">
      <c r="D2102" s="3"/>
      <c r="E2102" s="3"/>
      <c r="I2102" s="6"/>
      <c r="J2102" s="5"/>
    </row>
    <row r="2103" spans="4:10" x14ac:dyDescent="0.25">
      <c r="D2103" s="3"/>
      <c r="E2103" s="3"/>
      <c r="J2103" s="5"/>
    </row>
    <row r="2104" spans="4:10" x14ac:dyDescent="0.25">
      <c r="D2104" s="3"/>
      <c r="E2104" s="3"/>
      <c r="I2104" s="6"/>
      <c r="J2104" s="5"/>
    </row>
    <row r="2105" spans="4:10" x14ac:dyDescent="0.25">
      <c r="D2105" s="3"/>
      <c r="E2105" s="3"/>
      <c r="I2105" s="6"/>
      <c r="J2105" s="5"/>
    </row>
    <row r="2106" spans="4:10" x14ac:dyDescent="0.25">
      <c r="D2106" s="3"/>
      <c r="E2106" s="3"/>
      <c r="I2106" s="6"/>
      <c r="J2106" s="5"/>
    </row>
    <row r="2107" spans="4:10" x14ac:dyDescent="0.25">
      <c r="D2107" s="3"/>
      <c r="E2107" s="3"/>
      <c r="I2107" s="6"/>
      <c r="J2107" s="5"/>
    </row>
    <row r="2108" spans="4:10" x14ac:dyDescent="0.25">
      <c r="D2108" s="3"/>
      <c r="E2108" s="3"/>
      <c r="J2108" s="5"/>
    </row>
    <row r="2109" spans="4:10" x14ac:dyDescent="0.25">
      <c r="D2109" s="3"/>
      <c r="E2109" s="3"/>
      <c r="I2109" s="6"/>
      <c r="J2109" s="5"/>
    </row>
    <row r="2110" spans="4:10" x14ac:dyDescent="0.25">
      <c r="D2110" s="3"/>
      <c r="E2110" s="3"/>
      <c r="I2110" s="6"/>
      <c r="J2110" s="5"/>
    </row>
    <row r="2111" spans="4:10" x14ac:dyDescent="0.25">
      <c r="D2111" s="3"/>
      <c r="E2111" s="3"/>
      <c r="I2111" s="6"/>
      <c r="J2111" s="5"/>
    </row>
    <row r="2112" spans="4:10" x14ac:dyDescent="0.25">
      <c r="D2112" s="3"/>
      <c r="E2112" s="3"/>
      <c r="I2112" s="6"/>
      <c r="J2112" s="5"/>
    </row>
    <row r="2113" spans="4:10" x14ac:dyDescent="0.25">
      <c r="D2113" s="3"/>
      <c r="E2113" s="3"/>
      <c r="J2113" s="5"/>
    </row>
    <row r="2114" spans="4:10" x14ac:dyDescent="0.25">
      <c r="D2114" s="3"/>
      <c r="E2114" s="3"/>
      <c r="J2114" s="5"/>
    </row>
    <row r="2115" spans="4:10" x14ac:dyDescent="0.25">
      <c r="D2115" s="3"/>
      <c r="E2115" s="3"/>
      <c r="J2115" s="5"/>
    </row>
    <row r="2116" spans="4:10" x14ac:dyDescent="0.25">
      <c r="D2116" s="3"/>
      <c r="E2116" s="3"/>
      <c r="I2116" s="6"/>
      <c r="J2116" s="5"/>
    </row>
    <row r="2117" spans="4:10" x14ac:dyDescent="0.25">
      <c r="D2117" s="3"/>
      <c r="E2117" s="3"/>
      <c r="I2117" s="6"/>
      <c r="J2117" s="5"/>
    </row>
    <row r="2118" spans="4:10" x14ac:dyDescent="0.25">
      <c r="D2118" s="3"/>
      <c r="E2118" s="3"/>
      <c r="J2118" s="5"/>
    </row>
    <row r="2119" spans="4:10" x14ac:dyDescent="0.25">
      <c r="D2119" s="3"/>
      <c r="E2119" s="3"/>
      <c r="I2119" s="6"/>
      <c r="J2119" s="5"/>
    </row>
    <row r="2120" spans="4:10" x14ac:dyDescent="0.25">
      <c r="D2120" s="3"/>
      <c r="E2120" s="3"/>
      <c r="I2120" s="6"/>
      <c r="J2120" s="5"/>
    </row>
    <row r="2121" spans="4:10" x14ac:dyDescent="0.25">
      <c r="D2121" s="3"/>
      <c r="E2121" s="3"/>
      <c r="I2121" s="6"/>
      <c r="J2121" s="5"/>
    </row>
    <row r="2122" spans="4:10" x14ac:dyDescent="0.25">
      <c r="D2122" s="3"/>
      <c r="E2122" s="3"/>
      <c r="I2122" s="6"/>
      <c r="J2122" s="5"/>
    </row>
    <row r="2123" spans="4:10" x14ac:dyDescent="0.25">
      <c r="D2123" s="3"/>
      <c r="E2123" s="3"/>
      <c r="I2123" s="6"/>
      <c r="J2123" s="5"/>
    </row>
    <row r="2124" spans="4:10" x14ac:dyDescent="0.25">
      <c r="D2124" s="3"/>
      <c r="E2124" s="3"/>
      <c r="I2124" s="6"/>
      <c r="J2124" s="5"/>
    </row>
    <row r="2125" spans="4:10" x14ac:dyDescent="0.25">
      <c r="D2125" s="3"/>
      <c r="E2125" s="3"/>
      <c r="I2125" s="6"/>
      <c r="J2125" s="5"/>
    </row>
    <row r="2126" spans="4:10" x14ac:dyDescent="0.25">
      <c r="D2126" s="3"/>
      <c r="E2126" s="3"/>
      <c r="I2126" s="6"/>
      <c r="J2126" s="5"/>
    </row>
    <row r="2127" spans="4:10" x14ac:dyDescent="0.25">
      <c r="D2127" s="3"/>
      <c r="E2127" s="3"/>
      <c r="J2127" s="5"/>
    </row>
    <row r="2128" spans="4:10" x14ac:dyDescent="0.25">
      <c r="D2128" s="3"/>
      <c r="E2128" s="3"/>
      <c r="I2128" s="6"/>
      <c r="J2128" s="5"/>
    </row>
    <row r="2129" spans="4:10" x14ac:dyDescent="0.25">
      <c r="D2129" s="3"/>
      <c r="E2129" s="3"/>
      <c r="I2129" s="6"/>
      <c r="J2129" s="5"/>
    </row>
    <row r="2130" spans="4:10" x14ac:dyDescent="0.25">
      <c r="D2130" s="3"/>
      <c r="E2130" s="3"/>
      <c r="J2130" s="5"/>
    </row>
    <row r="2131" spans="4:10" x14ac:dyDescent="0.25">
      <c r="D2131" s="3"/>
      <c r="E2131" s="3"/>
      <c r="J2131" s="5"/>
    </row>
    <row r="2132" spans="4:10" x14ac:dyDescent="0.25">
      <c r="D2132" s="3"/>
      <c r="E2132" s="3"/>
      <c r="J2132" s="5"/>
    </row>
    <row r="2133" spans="4:10" x14ac:dyDescent="0.25">
      <c r="D2133" s="3"/>
      <c r="E2133" s="3"/>
      <c r="J2133" s="5"/>
    </row>
    <row r="2134" spans="4:10" x14ac:dyDescent="0.25">
      <c r="D2134" s="3"/>
      <c r="E2134" s="3"/>
      <c r="J2134" s="5"/>
    </row>
    <row r="2135" spans="4:10" x14ac:dyDescent="0.25">
      <c r="D2135" s="3"/>
      <c r="E2135" s="3"/>
      <c r="J2135" s="5"/>
    </row>
    <row r="2136" spans="4:10" x14ac:dyDescent="0.25">
      <c r="D2136" s="3"/>
      <c r="E2136" s="3"/>
      <c r="J2136" s="5"/>
    </row>
    <row r="2137" spans="4:10" x14ac:dyDescent="0.25">
      <c r="D2137" s="3"/>
      <c r="E2137" s="3"/>
      <c r="I2137" s="6"/>
      <c r="J2137" s="5"/>
    </row>
    <row r="2138" spans="4:10" x14ac:dyDescent="0.25">
      <c r="D2138" s="3"/>
      <c r="E2138" s="3"/>
      <c r="J2138" s="5"/>
    </row>
    <row r="2139" spans="4:10" x14ac:dyDescent="0.25">
      <c r="D2139" s="3"/>
      <c r="E2139" s="3"/>
      <c r="J2139" s="5"/>
    </row>
    <row r="2140" spans="4:10" x14ac:dyDescent="0.25">
      <c r="D2140" s="3"/>
      <c r="E2140" s="3"/>
      <c r="J2140" s="5"/>
    </row>
    <row r="2141" spans="4:10" x14ac:dyDescent="0.25">
      <c r="D2141" s="3"/>
      <c r="E2141" s="3"/>
      <c r="J2141" s="5"/>
    </row>
    <row r="2142" spans="4:10" x14ac:dyDescent="0.25">
      <c r="D2142" s="3"/>
      <c r="E2142" s="3"/>
      <c r="I2142" s="6"/>
      <c r="J2142" s="5"/>
    </row>
    <row r="2143" spans="4:10" x14ac:dyDescent="0.25">
      <c r="D2143" s="3"/>
      <c r="E2143" s="3"/>
      <c r="I2143" s="6"/>
      <c r="J2143" s="5"/>
    </row>
    <row r="2144" spans="4:10" x14ac:dyDescent="0.25">
      <c r="D2144" s="3"/>
      <c r="E2144" s="3"/>
      <c r="I2144" s="6"/>
      <c r="J2144" s="5"/>
    </row>
    <row r="2145" spans="4:10" x14ac:dyDescent="0.25">
      <c r="D2145" s="3"/>
      <c r="E2145" s="3"/>
      <c r="I2145" s="6"/>
      <c r="J2145" s="5"/>
    </row>
    <row r="2146" spans="4:10" x14ac:dyDescent="0.25">
      <c r="D2146" s="3"/>
      <c r="E2146" s="3"/>
      <c r="J2146" s="5"/>
    </row>
    <row r="2147" spans="4:10" x14ac:dyDescent="0.25">
      <c r="D2147" s="3"/>
      <c r="E2147" s="3"/>
      <c r="J2147" s="5"/>
    </row>
    <row r="2148" spans="4:10" x14ac:dyDescent="0.25">
      <c r="D2148" s="3"/>
      <c r="E2148" s="3"/>
      <c r="J2148" s="5"/>
    </row>
    <row r="2149" spans="4:10" x14ac:dyDescent="0.25">
      <c r="D2149" s="3"/>
      <c r="E2149" s="3"/>
      <c r="J2149" s="5"/>
    </row>
    <row r="2150" spans="4:10" x14ac:dyDescent="0.25">
      <c r="D2150" s="3"/>
      <c r="E2150" s="3"/>
      <c r="J2150" s="5"/>
    </row>
    <row r="2151" spans="4:10" x14ac:dyDescent="0.25">
      <c r="D2151" s="3"/>
      <c r="E2151" s="3"/>
      <c r="J2151" s="5"/>
    </row>
    <row r="2152" spans="4:10" x14ac:dyDescent="0.25">
      <c r="D2152" s="3"/>
      <c r="E2152" s="3"/>
      <c r="J2152" s="5"/>
    </row>
    <row r="2153" spans="4:10" x14ac:dyDescent="0.25">
      <c r="D2153" s="3"/>
      <c r="E2153" s="3"/>
      <c r="J2153" s="5"/>
    </row>
    <row r="2154" spans="4:10" x14ac:dyDescent="0.25">
      <c r="D2154" s="3"/>
      <c r="E2154" s="3"/>
      <c r="J2154" s="5"/>
    </row>
    <row r="2155" spans="4:10" x14ac:dyDescent="0.25">
      <c r="D2155" s="3"/>
      <c r="E2155" s="3"/>
      <c r="J2155" s="5"/>
    </row>
    <row r="2156" spans="4:10" x14ac:dyDescent="0.25">
      <c r="D2156" s="3"/>
      <c r="E2156" s="3"/>
      <c r="J2156" s="5"/>
    </row>
    <row r="2157" spans="4:10" x14ac:dyDescent="0.25">
      <c r="D2157" s="3"/>
      <c r="E2157" s="3"/>
      <c r="J2157" s="5"/>
    </row>
    <row r="2158" spans="4:10" x14ac:dyDescent="0.25">
      <c r="D2158" s="3"/>
      <c r="E2158" s="3"/>
      <c r="J2158" s="5"/>
    </row>
    <row r="2159" spans="4:10" x14ac:dyDescent="0.25">
      <c r="D2159" s="3"/>
      <c r="E2159" s="3"/>
      <c r="I2159" s="6"/>
      <c r="J2159" s="5"/>
    </row>
    <row r="2160" spans="4:10" x14ac:dyDescent="0.25">
      <c r="D2160" s="3"/>
      <c r="E2160" s="3"/>
      <c r="J2160" s="5"/>
    </row>
    <row r="2161" spans="4:10" x14ac:dyDescent="0.25">
      <c r="D2161" s="3"/>
      <c r="E2161" s="3"/>
      <c r="J2161" s="5"/>
    </row>
    <row r="2162" spans="4:10" x14ac:dyDescent="0.25">
      <c r="D2162" s="3"/>
      <c r="E2162" s="3"/>
      <c r="J2162" s="5"/>
    </row>
    <row r="2163" spans="4:10" x14ac:dyDescent="0.25">
      <c r="D2163" s="3"/>
      <c r="E2163" s="3"/>
      <c r="J2163" s="5"/>
    </row>
    <row r="2164" spans="4:10" x14ac:dyDescent="0.25">
      <c r="D2164" s="3"/>
      <c r="E2164" s="3"/>
      <c r="J2164" s="5"/>
    </row>
    <row r="2165" spans="4:10" x14ac:dyDescent="0.25">
      <c r="D2165" s="3"/>
      <c r="E2165" s="3"/>
      <c r="J2165" s="5"/>
    </row>
    <row r="2166" spans="4:10" x14ac:dyDescent="0.25">
      <c r="D2166" s="3"/>
      <c r="E2166" s="3"/>
      <c r="J2166" s="5"/>
    </row>
    <row r="2167" spans="4:10" x14ac:dyDescent="0.25">
      <c r="D2167" s="3"/>
      <c r="E2167" s="3"/>
      <c r="J2167" s="5"/>
    </row>
    <row r="2168" spans="4:10" x14ac:dyDescent="0.25">
      <c r="D2168" s="3"/>
      <c r="E2168" s="3"/>
      <c r="J2168" s="5"/>
    </row>
    <row r="2169" spans="4:10" x14ac:dyDescent="0.25">
      <c r="D2169" s="3"/>
      <c r="E2169" s="3"/>
      <c r="J2169" s="5"/>
    </row>
    <row r="2170" spans="4:10" x14ac:dyDescent="0.25">
      <c r="D2170" s="3"/>
      <c r="E2170" s="3"/>
      <c r="J2170" s="5"/>
    </row>
    <row r="2171" spans="4:10" x14ac:dyDescent="0.25">
      <c r="D2171" s="3"/>
      <c r="E2171" s="3"/>
      <c r="I2171" s="6"/>
      <c r="J2171" s="5"/>
    </row>
    <row r="2172" spans="4:10" x14ac:dyDescent="0.25">
      <c r="D2172" s="3"/>
      <c r="E2172" s="3"/>
      <c r="J2172" s="5"/>
    </row>
    <row r="2173" spans="4:10" x14ac:dyDescent="0.25">
      <c r="D2173" s="3"/>
      <c r="E2173" s="3"/>
      <c r="J2173" s="5"/>
    </row>
    <row r="2174" spans="4:10" x14ac:dyDescent="0.25">
      <c r="D2174" s="3"/>
      <c r="E2174" s="3"/>
      <c r="I2174" s="6"/>
      <c r="J2174" s="5"/>
    </row>
    <row r="2175" spans="4:10" x14ac:dyDescent="0.25">
      <c r="D2175" s="3"/>
      <c r="E2175" s="3"/>
      <c r="I2175" s="6"/>
      <c r="J2175" s="5"/>
    </row>
    <row r="2176" spans="4:10" x14ac:dyDescent="0.25">
      <c r="D2176" s="3"/>
      <c r="E2176" s="3"/>
      <c r="I2176" s="6"/>
      <c r="J2176" s="5"/>
    </row>
    <row r="2177" spans="4:10" x14ac:dyDescent="0.25">
      <c r="D2177" s="3"/>
      <c r="E2177" s="3"/>
      <c r="J2177" s="5"/>
    </row>
    <row r="2178" spans="4:10" x14ac:dyDescent="0.25">
      <c r="D2178" s="3"/>
      <c r="E2178" s="3"/>
      <c r="I2178" s="6"/>
      <c r="J2178" s="5"/>
    </row>
    <row r="2179" spans="4:10" x14ac:dyDescent="0.25">
      <c r="D2179" s="3"/>
      <c r="E2179" s="3"/>
      <c r="I2179" s="6"/>
      <c r="J2179" s="5"/>
    </row>
    <row r="2180" spans="4:10" x14ac:dyDescent="0.25">
      <c r="D2180" s="3"/>
      <c r="E2180" s="3"/>
      <c r="I2180" s="6"/>
      <c r="J2180" s="5"/>
    </row>
    <row r="2181" spans="4:10" x14ac:dyDescent="0.25">
      <c r="D2181" s="3"/>
      <c r="E2181" s="3"/>
      <c r="I2181" s="6"/>
      <c r="J2181" s="5"/>
    </row>
    <row r="2182" spans="4:10" x14ac:dyDescent="0.25">
      <c r="D2182" s="3"/>
      <c r="E2182" s="3"/>
      <c r="I2182" s="6"/>
      <c r="J2182" s="5"/>
    </row>
    <row r="2183" spans="4:10" x14ac:dyDescent="0.25">
      <c r="D2183" s="3"/>
      <c r="E2183" s="3"/>
      <c r="I2183" s="6"/>
      <c r="J2183" s="5"/>
    </row>
    <row r="2184" spans="4:10" x14ac:dyDescent="0.25">
      <c r="D2184" s="3"/>
      <c r="E2184" s="3"/>
      <c r="J2184" s="5"/>
    </row>
    <row r="2185" spans="4:10" x14ac:dyDescent="0.25">
      <c r="D2185" s="3"/>
      <c r="E2185" s="3"/>
      <c r="J2185" s="5"/>
    </row>
    <row r="2186" spans="4:10" x14ac:dyDescent="0.25">
      <c r="D2186" s="3"/>
      <c r="E2186" s="3"/>
      <c r="I2186" s="6"/>
      <c r="J2186" s="5"/>
    </row>
    <row r="2187" spans="4:10" x14ac:dyDescent="0.25">
      <c r="D2187" s="3"/>
      <c r="E2187" s="3"/>
      <c r="J2187" s="5"/>
    </row>
    <row r="2188" spans="4:10" x14ac:dyDescent="0.25">
      <c r="D2188" s="3"/>
      <c r="E2188" s="3"/>
      <c r="J2188" s="5"/>
    </row>
    <row r="2189" spans="4:10" x14ac:dyDescent="0.25">
      <c r="D2189" s="3"/>
      <c r="E2189" s="3"/>
      <c r="J2189" s="5"/>
    </row>
    <row r="2190" spans="4:10" x14ac:dyDescent="0.25">
      <c r="D2190" s="3"/>
      <c r="E2190" s="3"/>
      <c r="J2190" s="5"/>
    </row>
    <row r="2191" spans="4:10" x14ac:dyDescent="0.25">
      <c r="D2191" s="3"/>
      <c r="E2191" s="3"/>
      <c r="I2191" s="6"/>
      <c r="J2191" s="5"/>
    </row>
    <row r="2192" spans="4:10" x14ac:dyDescent="0.25">
      <c r="D2192" s="3"/>
      <c r="E2192" s="3"/>
      <c r="I2192" s="6"/>
      <c r="J2192" s="5"/>
    </row>
    <row r="2193" spans="4:10" x14ac:dyDescent="0.25">
      <c r="D2193" s="3"/>
      <c r="E2193" s="3"/>
      <c r="J2193" s="5"/>
    </row>
    <row r="2194" spans="4:10" x14ac:dyDescent="0.25">
      <c r="D2194" s="3"/>
      <c r="E2194" s="3"/>
      <c r="J2194" s="5"/>
    </row>
    <row r="2195" spans="4:10" x14ac:dyDescent="0.25">
      <c r="D2195" s="3"/>
      <c r="E2195" s="3"/>
      <c r="J2195" s="5"/>
    </row>
    <row r="2196" spans="4:10" x14ac:dyDescent="0.25">
      <c r="D2196" s="3"/>
      <c r="E2196" s="3"/>
      <c r="J2196" s="5"/>
    </row>
    <row r="2197" spans="4:10" x14ac:dyDescent="0.25">
      <c r="D2197" s="3"/>
      <c r="E2197" s="3"/>
      <c r="J2197" s="5"/>
    </row>
    <row r="2198" spans="4:10" x14ac:dyDescent="0.25">
      <c r="D2198" s="3"/>
      <c r="E2198" s="3"/>
      <c r="J2198" s="5"/>
    </row>
    <row r="2199" spans="4:10" x14ac:dyDescent="0.25">
      <c r="D2199" s="3"/>
      <c r="E2199" s="3"/>
      <c r="J2199" s="5"/>
    </row>
    <row r="2200" spans="4:10" x14ac:dyDescent="0.25">
      <c r="D2200" s="3"/>
      <c r="E2200" s="3"/>
      <c r="J2200" s="5"/>
    </row>
    <row r="2201" spans="4:10" x14ac:dyDescent="0.25">
      <c r="D2201" s="3"/>
      <c r="E2201" s="3"/>
      <c r="J2201" s="5"/>
    </row>
    <row r="2202" spans="4:10" x14ac:dyDescent="0.25">
      <c r="D2202" s="3"/>
      <c r="E2202" s="3"/>
      <c r="I2202" s="6"/>
      <c r="J2202" s="5"/>
    </row>
    <row r="2203" spans="4:10" x14ac:dyDescent="0.25">
      <c r="D2203" s="3"/>
      <c r="E2203" s="3"/>
      <c r="J2203" s="5"/>
    </row>
    <row r="2204" spans="4:10" x14ac:dyDescent="0.25">
      <c r="D2204" s="3"/>
      <c r="E2204" s="3"/>
      <c r="J2204" s="5"/>
    </row>
    <row r="2205" spans="4:10" x14ac:dyDescent="0.25">
      <c r="D2205" s="3"/>
      <c r="E2205" s="3"/>
      <c r="J2205" s="5"/>
    </row>
    <row r="2206" spans="4:10" x14ac:dyDescent="0.25">
      <c r="D2206" s="3"/>
      <c r="E2206" s="3"/>
      <c r="J2206" s="5"/>
    </row>
    <row r="2207" spans="4:10" x14ac:dyDescent="0.25">
      <c r="D2207" s="3"/>
      <c r="E2207" s="3"/>
      <c r="I2207" s="6"/>
      <c r="J2207" s="5"/>
    </row>
    <row r="2208" spans="4:10" x14ac:dyDescent="0.25">
      <c r="D2208" s="3"/>
      <c r="E2208" s="3"/>
      <c r="I2208" s="6"/>
      <c r="J2208" s="5"/>
    </row>
    <row r="2209" spans="4:10" x14ac:dyDescent="0.25">
      <c r="D2209" s="3"/>
      <c r="E2209" s="3"/>
      <c r="I2209" s="6"/>
      <c r="J2209" s="5"/>
    </row>
    <row r="2210" spans="4:10" x14ac:dyDescent="0.25">
      <c r="D2210" s="3"/>
      <c r="E2210" s="3"/>
      <c r="I2210" s="6"/>
      <c r="J2210" s="5"/>
    </row>
    <row r="2211" spans="4:10" x14ac:dyDescent="0.25">
      <c r="D2211" s="3"/>
      <c r="E2211" s="3"/>
      <c r="I2211" s="6"/>
      <c r="J2211" s="5"/>
    </row>
    <row r="2212" spans="4:10" x14ac:dyDescent="0.25">
      <c r="D2212" s="3"/>
      <c r="E2212" s="3"/>
      <c r="I2212" s="6"/>
      <c r="J2212" s="5"/>
    </row>
    <row r="2213" spans="4:10" x14ac:dyDescent="0.25">
      <c r="D2213" s="3"/>
      <c r="E2213" s="3"/>
      <c r="I2213" s="6"/>
      <c r="J2213" s="5"/>
    </row>
    <row r="2214" spans="4:10" x14ac:dyDescent="0.25">
      <c r="D2214" s="3"/>
      <c r="E2214" s="3"/>
      <c r="J2214" s="5"/>
    </row>
    <row r="2215" spans="4:10" x14ac:dyDescent="0.25">
      <c r="D2215" s="3"/>
      <c r="E2215" s="3"/>
      <c r="J2215" s="5"/>
    </row>
    <row r="2216" spans="4:10" x14ac:dyDescent="0.25">
      <c r="D2216" s="3"/>
      <c r="E2216" s="3"/>
      <c r="J2216" s="5"/>
    </row>
    <row r="2217" spans="4:10" x14ac:dyDescent="0.25">
      <c r="D2217" s="3"/>
      <c r="E2217" s="3"/>
      <c r="J2217" s="5"/>
    </row>
    <row r="2218" spans="4:10" x14ac:dyDescent="0.25">
      <c r="D2218" s="3"/>
      <c r="E2218" s="3"/>
      <c r="J2218" s="5"/>
    </row>
    <row r="2219" spans="4:10" x14ac:dyDescent="0.25">
      <c r="D2219" s="3"/>
      <c r="E2219" s="3"/>
      <c r="J2219" s="5"/>
    </row>
    <row r="2220" spans="4:10" x14ac:dyDescent="0.25">
      <c r="D2220" s="3"/>
      <c r="E2220" s="3"/>
      <c r="J2220" s="5"/>
    </row>
    <row r="2221" spans="4:10" x14ac:dyDescent="0.25">
      <c r="D2221" s="3"/>
      <c r="E2221" s="3"/>
      <c r="J2221" s="5"/>
    </row>
    <row r="2222" spans="4:10" x14ac:dyDescent="0.25">
      <c r="D2222" s="3"/>
      <c r="E2222" s="3"/>
      <c r="J2222" s="5"/>
    </row>
    <row r="2223" spans="4:10" x14ac:dyDescent="0.25">
      <c r="D2223" s="3"/>
      <c r="E2223" s="3"/>
      <c r="I2223" s="6"/>
      <c r="J2223" s="5"/>
    </row>
    <row r="2224" spans="4:10" x14ac:dyDescent="0.25">
      <c r="D2224" s="3"/>
      <c r="E2224" s="3"/>
      <c r="I2224" s="6"/>
      <c r="J2224" s="5"/>
    </row>
    <row r="2225" spans="4:10" x14ac:dyDescent="0.25">
      <c r="D2225" s="3"/>
      <c r="E2225" s="3"/>
      <c r="I2225" s="6"/>
      <c r="J2225" s="5"/>
    </row>
    <row r="2226" spans="4:10" x14ac:dyDescent="0.25">
      <c r="D2226" s="3"/>
      <c r="E2226" s="3"/>
      <c r="I2226" s="6"/>
      <c r="J2226" s="5"/>
    </row>
    <row r="2227" spans="4:10" x14ac:dyDescent="0.25">
      <c r="D2227" s="3"/>
      <c r="E2227" s="3"/>
      <c r="I2227" s="6"/>
      <c r="J2227" s="5"/>
    </row>
    <row r="2228" spans="4:10" x14ac:dyDescent="0.25">
      <c r="D2228" s="3"/>
      <c r="E2228" s="3"/>
      <c r="I2228" s="6"/>
      <c r="J2228" s="5"/>
    </row>
    <row r="2229" spans="4:10" x14ac:dyDescent="0.25">
      <c r="D2229" s="3"/>
      <c r="E2229" s="3"/>
      <c r="I2229" s="6"/>
      <c r="J2229" s="5"/>
    </row>
    <row r="2230" spans="4:10" x14ac:dyDescent="0.25">
      <c r="D2230" s="3"/>
      <c r="E2230" s="3"/>
      <c r="J2230" s="5"/>
    </row>
    <row r="2231" spans="4:10" x14ac:dyDescent="0.25">
      <c r="D2231" s="3"/>
      <c r="E2231" s="3"/>
      <c r="I2231" s="6"/>
      <c r="J2231" s="5"/>
    </row>
    <row r="2232" spans="4:10" x14ac:dyDescent="0.25">
      <c r="D2232" s="3"/>
      <c r="E2232" s="3"/>
      <c r="J2232" s="5"/>
    </row>
    <row r="2233" spans="4:10" x14ac:dyDescent="0.25">
      <c r="D2233" s="3"/>
      <c r="E2233" s="3"/>
      <c r="J2233" s="5"/>
    </row>
    <row r="2234" spans="4:10" x14ac:dyDescent="0.25">
      <c r="D2234" s="3"/>
      <c r="E2234" s="3"/>
      <c r="J2234" s="5"/>
    </row>
    <row r="2235" spans="4:10" x14ac:dyDescent="0.25">
      <c r="D2235" s="3"/>
      <c r="E2235" s="3"/>
      <c r="J2235" s="5"/>
    </row>
    <row r="2236" spans="4:10" x14ac:dyDescent="0.25">
      <c r="D2236" s="3"/>
      <c r="E2236" s="3"/>
      <c r="J2236" s="5"/>
    </row>
    <row r="2237" spans="4:10" x14ac:dyDescent="0.25">
      <c r="D2237" s="3"/>
      <c r="E2237" s="3"/>
      <c r="J2237" s="5"/>
    </row>
    <row r="2238" spans="4:10" x14ac:dyDescent="0.25">
      <c r="D2238" s="3"/>
      <c r="E2238" s="3"/>
      <c r="J2238" s="5"/>
    </row>
    <row r="2239" spans="4:10" x14ac:dyDescent="0.25">
      <c r="D2239" s="3"/>
      <c r="E2239" s="3"/>
      <c r="J2239" s="5"/>
    </row>
    <row r="2240" spans="4:10" x14ac:dyDescent="0.25">
      <c r="D2240" s="3"/>
      <c r="E2240" s="3"/>
      <c r="J2240" s="5"/>
    </row>
    <row r="2241" spans="4:10" x14ac:dyDescent="0.25">
      <c r="D2241" s="3"/>
      <c r="E2241" s="3"/>
      <c r="J2241" s="5"/>
    </row>
    <row r="2242" spans="4:10" x14ac:dyDescent="0.25">
      <c r="D2242" s="3"/>
      <c r="E2242" s="3"/>
      <c r="J2242" s="5"/>
    </row>
    <row r="2243" spans="4:10" x14ac:dyDescent="0.25">
      <c r="D2243" s="3"/>
      <c r="E2243" s="3"/>
      <c r="J2243" s="5"/>
    </row>
    <row r="2244" spans="4:10" x14ac:dyDescent="0.25">
      <c r="D2244" s="3"/>
      <c r="E2244" s="3"/>
      <c r="J2244" s="5"/>
    </row>
    <row r="2245" spans="4:10" x14ac:dyDescent="0.25">
      <c r="D2245" s="3"/>
      <c r="E2245" s="3"/>
      <c r="J2245" s="5"/>
    </row>
    <row r="2246" spans="4:10" x14ac:dyDescent="0.25">
      <c r="D2246" s="3"/>
      <c r="E2246" s="3"/>
      <c r="J2246" s="5"/>
    </row>
    <row r="2247" spans="4:10" x14ac:dyDescent="0.25">
      <c r="D2247" s="3"/>
      <c r="E2247" s="3"/>
      <c r="J2247" s="5"/>
    </row>
    <row r="2248" spans="4:10" x14ac:dyDescent="0.25">
      <c r="D2248" s="3"/>
      <c r="E2248" s="3"/>
      <c r="J2248" s="5"/>
    </row>
    <row r="2249" spans="4:10" x14ac:dyDescent="0.25">
      <c r="D2249" s="3"/>
      <c r="E2249" s="3"/>
      <c r="J2249" s="5"/>
    </row>
    <row r="2250" spans="4:10" x14ac:dyDescent="0.25">
      <c r="D2250" s="3"/>
      <c r="E2250" s="3"/>
      <c r="J2250" s="5"/>
    </row>
    <row r="2251" spans="4:10" x14ac:dyDescent="0.25">
      <c r="D2251" s="3"/>
      <c r="E2251" s="3"/>
      <c r="J2251" s="5"/>
    </row>
    <row r="2252" spans="4:10" x14ac:dyDescent="0.25">
      <c r="D2252" s="3"/>
      <c r="E2252" s="3"/>
      <c r="J2252" s="5"/>
    </row>
    <row r="2253" spans="4:10" x14ac:dyDescent="0.25">
      <c r="D2253" s="3"/>
      <c r="E2253" s="3"/>
      <c r="J2253" s="5"/>
    </row>
    <row r="2254" spans="4:10" x14ac:dyDescent="0.25">
      <c r="D2254" s="3"/>
      <c r="E2254" s="3"/>
      <c r="J2254" s="5"/>
    </row>
    <row r="2255" spans="4:10" x14ac:dyDescent="0.25">
      <c r="D2255" s="3"/>
      <c r="E2255" s="3"/>
      <c r="J2255" s="5"/>
    </row>
    <row r="2256" spans="4:10" x14ac:dyDescent="0.25">
      <c r="D2256" s="3"/>
      <c r="E2256" s="3"/>
      <c r="J2256" s="5"/>
    </row>
    <row r="2257" spans="4:10" x14ac:dyDescent="0.25">
      <c r="D2257" s="3"/>
      <c r="E2257" s="3"/>
      <c r="J2257" s="5"/>
    </row>
    <row r="2258" spans="4:10" x14ac:dyDescent="0.25">
      <c r="D2258" s="3"/>
      <c r="E2258" s="3"/>
      <c r="J2258" s="5"/>
    </row>
    <row r="2259" spans="4:10" x14ac:dyDescent="0.25">
      <c r="D2259" s="3"/>
      <c r="E2259" s="3"/>
      <c r="J2259" s="5"/>
    </row>
    <row r="2260" spans="4:10" x14ac:dyDescent="0.25">
      <c r="D2260" s="3"/>
      <c r="E2260" s="3"/>
      <c r="J2260" s="5"/>
    </row>
    <row r="2261" spans="4:10" x14ac:dyDescent="0.25">
      <c r="D2261" s="3"/>
      <c r="E2261" s="3"/>
      <c r="J2261" s="5"/>
    </row>
    <row r="2262" spans="4:10" x14ac:dyDescent="0.25">
      <c r="D2262" s="3"/>
      <c r="E2262" s="3"/>
      <c r="J2262" s="5"/>
    </row>
    <row r="2263" spans="4:10" x14ac:dyDescent="0.25">
      <c r="D2263" s="3"/>
      <c r="E2263" s="3"/>
      <c r="J2263" s="5"/>
    </row>
    <row r="2264" spans="4:10" x14ac:dyDescent="0.25">
      <c r="D2264" s="3"/>
      <c r="E2264" s="3"/>
      <c r="J2264" s="5"/>
    </row>
    <row r="2265" spans="4:10" x14ac:dyDescent="0.25">
      <c r="D2265" s="3"/>
      <c r="E2265" s="3"/>
      <c r="J2265" s="5"/>
    </row>
    <row r="2266" spans="4:10" x14ac:dyDescent="0.25">
      <c r="D2266" s="3"/>
      <c r="E2266" s="3"/>
      <c r="J2266" s="5"/>
    </row>
    <row r="2267" spans="4:10" x14ac:dyDescent="0.25">
      <c r="D2267" s="3"/>
      <c r="E2267" s="3"/>
      <c r="J2267" s="5"/>
    </row>
    <row r="2268" spans="4:10" x14ac:dyDescent="0.25">
      <c r="D2268" s="3"/>
      <c r="E2268" s="3"/>
      <c r="J2268" s="5"/>
    </row>
    <row r="2269" spans="4:10" x14ac:dyDescent="0.25">
      <c r="D2269" s="3"/>
      <c r="E2269" s="3"/>
      <c r="J2269" s="5"/>
    </row>
    <row r="2270" spans="4:10" x14ac:dyDescent="0.25">
      <c r="D2270" s="3"/>
      <c r="E2270" s="3"/>
      <c r="J2270" s="5"/>
    </row>
    <row r="2271" spans="4:10" x14ac:dyDescent="0.25">
      <c r="D2271" s="3"/>
      <c r="E2271" s="3"/>
      <c r="J2271" s="5"/>
    </row>
    <row r="2272" spans="4:10" x14ac:dyDescent="0.25">
      <c r="D2272" s="3"/>
      <c r="E2272" s="3"/>
      <c r="J2272" s="5"/>
    </row>
    <row r="2273" spans="4:10" x14ac:dyDescent="0.25">
      <c r="D2273" s="3"/>
      <c r="E2273" s="3"/>
      <c r="J2273" s="5"/>
    </row>
    <row r="2274" spans="4:10" x14ac:dyDescent="0.25">
      <c r="D2274" s="3"/>
      <c r="E2274" s="3"/>
      <c r="J2274" s="5"/>
    </row>
    <row r="2275" spans="4:10" x14ac:dyDescent="0.25">
      <c r="D2275" s="3"/>
      <c r="E2275" s="3"/>
      <c r="J2275" s="5"/>
    </row>
    <row r="2276" spans="4:10" x14ac:dyDescent="0.25">
      <c r="D2276" s="3"/>
      <c r="E2276" s="3"/>
      <c r="I2276" s="6"/>
      <c r="J2276" s="5"/>
    </row>
    <row r="2277" spans="4:10" x14ac:dyDescent="0.25">
      <c r="D2277" s="3"/>
      <c r="E2277" s="3"/>
      <c r="I2277" s="6"/>
      <c r="J2277" s="5"/>
    </row>
    <row r="2278" spans="4:10" x14ac:dyDescent="0.25">
      <c r="D2278" s="3"/>
      <c r="E2278" s="3"/>
      <c r="J2278" s="5"/>
    </row>
    <row r="2279" spans="4:10" x14ac:dyDescent="0.25">
      <c r="D2279" s="3"/>
      <c r="E2279" s="3"/>
      <c r="I2279" s="6"/>
      <c r="J2279" s="5"/>
    </row>
    <row r="2280" spans="4:10" x14ac:dyDescent="0.25">
      <c r="D2280" s="3"/>
      <c r="E2280" s="3"/>
      <c r="J2280" s="5"/>
    </row>
    <row r="2281" spans="4:10" x14ac:dyDescent="0.25">
      <c r="D2281" s="3"/>
      <c r="E2281" s="3"/>
      <c r="J2281" s="5"/>
    </row>
    <row r="2282" spans="4:10" x14ac:dyDescent="0.25">
      <c r="D2282" s="3"/>
      <c r="E2282" s="3"/>
      <c r="J2282" s="5"/>
    </row>
    <row r="2283" spans="4:10" x14ac:dyDescent="0.25">
      <c r="D2283" s="3"/>
      <c r="E2283" s="3"/>
      <c r="J2283" s="5"/>
    </row>
    <row r="2284" spans="4:10" x14ac:dyDescent="0.25">
      <c r="D2284" s="3"/>
      <c r="E2284" s="3"/>
      <c r="J2284" s="5"/>
    </row>
    <row r="2285" spans="4:10" x14ac:dyDescent="0.25">
      <c r="D2285" s="3"/>
      <c r="E2285" s="3"/>
      <c r="I2285" s="6"/>
      <c r="J2285" s="5"/>
    </row>
    <row r="2286" spans="4:10" x14ac:dyDescent="0.25">
      <c r="D2286" s="3"/>
      <c r="E2286" s="3"/>
      <c r="J2286" s="5"/>
    </row>
    <row r="2287" spans="4:10" x14ac:dyDescent="0.25">
      <c r="D2287" s="3"/>
      <c r="E2287" s="3"/>
      <c r="I2287" s="6"/>
      <c r="J2287" s="5"/>
    </row>
    <row r="2288" spans="4:10" x14ac:dyDescent="0.25">
      <c r="D2288" s="3"/>
      <c r="E2288" s="3"/>
      <c r="J2288" s="5"/>
    </row>
    <row r="2289" spans="4:10" x14ac:dyDescent="0.25">
      <c r="D2289" s="3"/>
      <c r="E2289" s="3"/>
      <c r="J2289" s="5"/>
    </row>
    <row r="2290" spans="4:10" x14ac:dyDescent="0.25">
      <c r="D2290" s="3"/>
      <c r="E2290" s="3"/>
      <c r="J2290" s="5"/>
    </row>
    <row r="2291" spans="4:10" x14ac:dyDescent="0.25">
      <c r="D2291" s="3"/>
      <c r="E2291" s="3"/>
      <c r="J2291" s="5"/>
    </row>
    <row r="2292" spans="4:10" x14ac:dyDescent="0.25">
      <c r="D2292" s="3"/>
      <c r="E2292" s="3"/>
      <c r="J2292" s="5"/>
    </row>
    <row r="2293" spans="4:10" x14ac:dyDescent="0.25">
      <c r="D2293" s="3"/>
      <c r="E2293" s="3"/>
      <c r="J2293" s="5"/>
    </row>
    <row r="2294" spans="4:10" x14ac:dyDescent="0.25">
      <c r="D2294" s="3"/>
      <c r="E2294" s="3"/>
      <c r="J2294" s="5"/>
    </row>
    <row r="2295" spans="4:10" x14ac:dyDescent="0.25">
      <c r="D2295" s="3"/>
      <c r="E2295" s="3"/>
      <c r="I2295" s="6"/>
      <c r="J2295" s="5"/>
    </row>
    <row r="2296" spans="4:10" x14ac:dyDescent="0.25">
      <c r="D2296" s="3"/>
      <c r="E2296" s="3"/>
      <c r="I2296" s="6"/>
      <c r="J2296" s="5"/>
    </row>
    <row r="2297" spans="4:10" x14ac:dyDescent="0.25">
      <c r="D2297" s="3"/>
      <c r="E2297" s="3"/>
      <c r="J2297" s="5"/>
    </row>
    <row r="2298" spans="4:10" x14ac:dyDescent="0.25">
      <c r="D2298" s="3"/>
      <c r="E2298" s="3"/>
      <c r="J2298" s="5"/>
    </row>
    <row r="2299" spans="4:10" x14ac:dyDescent="0.25">
      <c r="D2299" s="3"/>
      <c r="E2299" s="3"/>
      <c r="J2299" s="5"/>
    </row>
    <row r="2300" spans="4:10" x14ac:dyDescent="0.25">
      <c r="D2300" s="3"/>
      <c r="E2300" s="3"/>
      <c r="J2300" s="5"/>
    </row>
    <row r="2301" spans="4:10" x14ac:dyDescent="0.25">
      <c r="D2301" s="3"/>
      <c r="E2301" s="3"/>
      <c r="J2301" s="5"/>
    </row>
    <row r="2302" spans="4:10" x14ac:dyDescent="0.25">
      <c r="D2302" s="3"/>
      <c r="E2302" s="3"/>
      <c r="J2302" s="5"/>
    </row>
    <row r="2303" spans="4:10" x14ac:dyDescent="0.25">
      <c r="D2303" s="3"/>
      <c r="E2303" s="3"/>
      <c r="J2303" s="5"/>
    </row>
    <row r="2304" spans="4:10" x14ac:dyDescent="0.25">
      <c r="D2304" s="3"/>
      <c r="E2304" s="3"/>
      <c r="J2304" s="5"/>
    </row>
    <row r="2305" spans="4:10" x14ac:dyDescent="0.25">
      <c r="D2305" s="3"/>
      <c r="E2305" s="3"/>
      <c r="J2305" s="5"/>
    </row>
    <row r="2306" spans="4:10" x14ac:dyDescent="0.25">
      <c r="D2306" s="3"/>
      <c r="E2306" s="3"/>
      <c r="J2306" s="5"/>
    </row>
    <row r="2307" spans="4:10" x14ac:dyDescent="0.25">
      <c r="D2307" s="3"/>
      <c r="E2307" s="3"/>
      <c r="J2307" s="5"/>
    </row>
    <row r="2308" spans="4:10" x14ac:dyDescent="0.25">
      <c r="D2308" s="3"/>
      <c r="E2308" s="3"/>
      <c r="J2308" s="5"/>
    </row>
    <row r="2309" spans="4:10" x14ac:dyDescent="0.25">
      <c r="D2309" s="3"/>
      <c r="E2309" s="3"/>
      <c r="J2309" s="5"/>
    </row>
    <row r="2310" spans="4:10" x14ac:dyDescent="0.25">
      <c r="D2310" s="3"/>
      <c r="E2310" s="3"/>
      <c r="J2310" s="5"/>
    </row>
    <row r="2311" spans="4:10" x14ac:dyDescent="0.25">
      <c r="D2311" s="3"/>
      <c r="E2311" s="3"/>
      <c r="J2311" s="5"/>
    </row>
    <row r="2312" spans="4:10" x14ac:dyDescent="0.25">
      <c r="D2312" s="3"/>
      <c r="E2312" s="3"/>
      <c r="J2312" s="5"/>
    </row>
    <row r="2313" spans="4:10" x14ac:dyDescent="0.25">
      <c r="D2313" s="3"/>
      <c r="E2313" s="3"/>
      <c r="J2313" s="5"/>
    </row>
    <row r="2314" spans="4:10" x14ac:dyDescent="0.25">
      <c r="D2314" s="3"/>
      <c r="E2314" s="3"/>
      <c r="J2314" s="5"/>
    </row>
    <row r="2315" spans="4:10" x14ac:dyDescent="0.25">
      <c r="D2315" s="3"/>
      <c r="E2315" s="3"/>
      <c r="J2315" s="5"/>
    </row>
    <row r="2316" spans="4:10" x14ac:dyDescent="0.25">
      <c r="D2316" s="3"/>
      <c r="E2316" s="3"/>
      <c r="J2316" s="5"/>
    </row>
    <row r="2317" spans="4:10" x14ac:dyDescent="0.25">
      <c r="D2317" s="3"/>
      <c r="E2317" s="3"/>
      <c r="J2317" s="5"/>
    </row>
    <row r="2318" spans="4:10" x14ac:dyDescent="0.25">
      <c r="D2318" s="3"/>
      <c r="E2318" s="3"/>
      <c r="J2318" s="5"/>
    </row>
    <row r="2319" spans="4:10" x14ac:dyDescent="0.25">
      <c r="D2319" s="3"/>
      <c r="E2319" s="3"/>
      <c r="J2319" s="5"/>
    </row>
    <row r="2320" spans="4:10" x14ac:dyDescent="0.25">
      <c r="D2320" s="3"/>
      <c r="E2320" s="3"/>
      <c r="J2320" s="5"/>
    </row>
    <row r="2321" spans="4:10" x14ac:dyDescent="0.25">
      <c r="D2321" s="3"/>
      <c r="E2321" s="3"/>
      <c r="J2321" s="5"/>
    </row>
    <row r="2322" spans="4:10" x14ac:dyDescent="0.25">
      <c r="D2322" s="3"/>
      <c r="E2322" s="3"/>
      <c r="J2322" s="5"/>
    </row>
    <row r="2323" spans="4:10" x14ac:dyDescent="0.25">
      <c r="D2323" s="3"/>
      <c r="E2323" s="3"/>
      <c r="J2323" s="5"/>
    </row>
    <row r="2324" spans="4:10" x14ac:dyDescent="0.25">
      <c r="D2324" s="3"/>
      <c r="E2324" s="3"/>
      <c r="J2324" s="5"/>
    </row>
    <row r="2325" spans="4:10" x14ac:dyDescent="0.25">
      <c r="D2325" s="3"/>
      <c r="E2325" s="3"/>
      <c r="J2325" s="5"/>
    </row>
    <row r="2326" spans="4:10" x14ac:dyDescent="0.25">
      <c r="D2326" s="3"/>
      <c r="E2326" s="3"/>
      <c r="J2326" s="5"/>
    </row>
    <row r="2327" spans="4:10" x14ac:dyDescent="0.25">
      <c r="D2327" s="3"/>
      <c r="E2327" s="3"/>
      <c r="J2327" s="5"/>
    </row>
    <row r="2328" spans="4:10" x14ac:dyDescent="0.25">
      <c r="D2328" s="3"/>
      <c r="E2328" s="3"/>
      <c r="J2328" s="5"/>
    </row>
    <row r="2329" spans="4:10" x14ac:dyDescent="0.25">
      <c r="D2329" s="3"/>
      <c r="E2329" s="3"/>
      <c r="J2329" s="5"/>
    </row>
    <row r="2330" spans="4:10" x14ac:dyDescent="0.25">
      <c r="D2330" s="3"/>
      <c r="E2330" s="3"/>
      <c r="J2330" s="5"/>
    </row>
    <row r="2331" spans="4:10" x14ac:dyDescent="0.25">
      <c r="D2331" s="3"/>
      <c r="E2331" s="3"/>
      <c r="J2331" s="5"/>
    </row>
    <row r="2332" spans="4:10" x14ac:dyDescent="0.25">
      <c r="D2332" s="3"/>
      <c r="E2332" s="3"/>
      <c r="J2332" s="5"/>
    </row>
    <row r="2333" spans="4:10" x14ac:dyDescent="0.25">
      <c r="D2333" s="3"/>
      <c r="E2333" s="3"/>
      <c r="J2333" s="5"/>
    </row>
    <row r="2334" spans="4:10" x14ac:dyDescent="0.25">
      <c r="D2334" s="3"/>
      <c r="E2334" s="3"/>
      <c r="J2334" s="5"/>
    </row>
    <row r="2335" spans="4:10" x14ac:dyDescent="0.25">
      <c r="D2335" s="3"/>
      <c r="E2335" s="3"/>
      <c r="J2335" s="5"/>
    </row>
    <row r="2336" spans="4:10" x14ac:dyDescent="0.25">
      <c r="D2336" s="3"/>
      <c r="E2336" s="3"/>
      <c r="J2336" s="5"/>
    </row>
    <row r="2337" spans="4:10" x14ac:dyDescent="0.25">
      <c r="D2337" s="3"/>
      <c r="E2337" s="3"/>
      <c r="J2337" s="5"/>
    </row>
    <row r="2338" spans="4:10" x14ac:dyDescent="0.25">
      <c r="D2338" s="3"/>
      <c r="E2338" s="3"/>
      <c r="J2338" s="5"/>
    </row>
    <row r="2339" spans="4:10" x14ac:dyDescent="0.25">
      <c r="D2339" s="3"/>
      <c r="E2339" s="3"/>
      <c r="J2339" s="5"/>
    </row>
    <row r="2340" spans="4:10" x14ac:dyDescent="0.25">
      <c r="D2340" s="3"/>
      <c r="E2340" s="3"/>
      <c r="J2340" s="5"/>
    </row>
    <row r="2341" spans="4:10" x14ac:dyDescent="0.25">
      <c r="D2341" s="3"/>
      <c r="E2341" s="3"/>
      <c r="J2341" s="5"/>
    </row>
    <row r="2342" spans="4:10" x14ac:dyDescent="0.25">
      <c r="D2342" s="3"/>
      <c r="E2342" s="3"/>
      <c r="J2342" s="5"/>
    </row>
    <row r="2343" spans="4:10" x14ac:dyDescent="0.25">
      <c r="D2343" s="3"/>
      <c r="E2343" s="3"/>
      <c r="J2343" s="5"/>
    </row>
    <row r="2344" spans="4:10" x14ac:dyDescent="0.25">
      <c r="D2344" s="3"/>
      <c r="E2344" s="3"/>
      <c r="J2344" s="5"/>
    </row>
    <row r="2345" spans="4:10" x14ac:dyDescent="0.25">
      <c r="D2345" s="3"/>
      <c r="E2345" s="3"/>
      <c r="J2345" s="5"/>
    </row>
    <row r="2346" spans="4:10" x14ac:dyDescent="0.25">
      <c r="D2346" s="3"/>
      <c r="E2346" s="3"/>
      <c r="J2346" s="5"/>
    </row>
    <row r="2347" spans="4:10" x14ac:dyDescent="0.25">
      <c r="D2347" s="3"/>
      <c r="E2347" s="3"/>
      <c r="J2347" s="5"/>
    </row>
    <row r="2348" spans="4:10" x14ac:dyDescent="0.25">
      <c r="D2348" s="3"/>
      <c r="E2348" s="3"/>
      <c r="J2348" s="5"/>
    </row>
    <row r="2349" spans="4:10" x14ac:dyDescent="0.25">
      <c r="D2349" s="3"/>
      <c r="E2349" s="3"/>
      <c r="J2349" s="5"/>
    </row>
    <row r="2350" spans="4:10" x14ac:dyDescent="0.25">
      <c r="D2350" s="3"/>
      <c r="E2350" s="3"/>
      <c r="J2350" s="5"/>
    </row>
    <row r="2351" spans="4:10" x14ac:dyDescent="0.25">
      <c r="D2351" s="3"/>
      <c r="E2351" s="3"/>
      <c r="J2351" s="5"/>
    </row>
    <row r="2352" spans="4:10" x14ac:dyDescent="0.25">
      <c r="D2352" s="3"/>
      <c r="E2352" s="3"/>
      <c r="J2352" s="5"/>
    </row>
    <row r="2353" spans="4:10" x14ac:dyDescent="0.25">
      <c r="D2353" s="3"/>
      <c r="E2353" s="3"/>
      <c r="J2353" s="5"/>
    </row>
    <row r="2354" spans="4:10" x14ac:dyDescent="0.25">
      <c r="D2354" s="3"/>
      <c r="E2354" s="3"/>
      <c r="J2354" s="5"/>
    </row>
    <row r="2355" spans="4:10" x14ac:dyDescent="0.25">
      <c r="D2355" s="3"/>
      <c r="E2355" s="3"/>
      <c r="J2355" s="5"/>
    </row>
    <row r="2356" spans="4:10" x14ac:dyDescent="0.25">
      <c r="D2356" s="3"/>
      <c r="E2356" s="3"/>
      <c r="J2356" s="5"/>
    </row>
    <row r="2357" spans="4:10" x14ac:dyDescent="0.25">
      <c r="D2357" s="3"/>
      <c r="E2357" s="3"/>
      <c r="J2357" s="5"/>
    </row>
    <row r="2358" spans="4:10" x14ac:dyDescent="0.25">
      <c r="D2358" s="3"/>
      <c r="E2358" s="3"/>
      <c r="J2358" s="5"/>
    </row>
    <row r="2359" spans="4:10" x14ac:dyDescent="0.25">
      <c r="D2359" s="3"/>
      <c r="E2359" s="3"/>
      <c r="J2359" s="5"/>
    </row>
    <row r="2360" spans="4:10" x14ac:dyDescent="0.25">
      <c r="D2360" s="3"/>
      <c r="E2360" s="3"/>
      <c r="J2360" s="5"/>
    </row>
    <row r="2361" spans="4:10" x14ac:dyDescent="0.25">
      <c r="D2361" s="3"/>
      <c r="E2361" s="3"/>
      <c r="J2361" s="5"/>
    </row>
    <row r="2362" spans="4:10" x14ac:dyDescent="0.25">
      <c r="D2362" s="3"/>
      <c r="E2362" s="3"/>
      <c r="I2362" s="6"/>
      <c r="J2362" s="5"/>
    </row>
    <row r="2363" spans="4:10" x14ac:dyDescent="0.25">
      <c r="D2363" s="3"/>
      <c r="E2363" s="3"/>
      <c r="J2363" s="5"/>
    </row>
    <row r="2364" spans="4:10" x14ac:dyDescent="0.25">
      <c r="D2364" s="3"/>
      <c r="E2364" s="3"/>
      <c r="J2364" s="5"/>
    </row>
    <row r="2365" spans="4:10" x14ac:dyDescent="0.25">
      <c r="D2365" s="3"/>
      <c r="E2365" s="3"/>
      <c r="J2365" s="5"/>
    </row>
    <row r="2366" spans="4:10" x14ac:dyDescent="0.25">
      <c r="D2366" s="3"/>
      <c r="E2366" s="3"/>
      <c r="J2366" s="5"/>
    </row>
    <row r="2367" spans="4:10" x14ac:dyDescent="0.25">
      <c r="D2367" s="3"/>
      <c r="E2367" s="3"/>
      <c r="J2367" s="5"/>
    </row>
    <row r="2368" spans="4:10" x14ac:dyDescent="0.25">
      <c r="D2368" s="3"/>
      <c r="E2368" s="3"/>
      <c r="J2368" s="5"/>
    </row>
    <row r="2369" spans="4:10" x14ac:dyDescent="0.25">
      <c r="D2369" s="3"/>
      <c r="E2369" s="3"/>
      <c r="J2369" s="5"/>
    </row>
    <row r="2370" spans="4:10" x14ac:dyDescent="0.25">
      <c r="D2370" s="3"/>
      <c r="E2370" s="3"/>
      <c r="J2370" s="5"/>
    </row>
    <row r="2371" spans="4:10" x14ac:dyDescent="0.25">
      <c r="D2371" s="3"/>
      <c r="E2371" s="3"/>
      <c r="J2371" s="5"/>
    </row>
    <row r="2372" spans="4:10" x14ac:dyDescent="0.25">
      <c r="D2372" s="3"/>
      <c r="E2372" s="3"/>
      <c r="J2372" s="5"/>
    </row>
    <row r="2373" spans="4:10" x14ac:dyDescent="0.25">
      <c r="D2373" s="3"/>
      <c r="E2373" s="3"/>
      <c r="J2373" s="5"/>
    </row>
    <row r="2374" spans="4:10" x14ac:dyDescent="0.25">
      <c r="D2374" s="3"/>
      <c r="E2374" s="3"/>
      <c r="J2374" s="5"/>
    </row>
    <row r="2375" spans="4:10" x14ac:dyDescent="0.25">
      <c r="D2375" s="3"/>
      <c r="E2375" s="3"/>
      <c r="J2375" s="5"/>
    </row>
    <row r="2376" spans="4:10" x14ac:dyDescent="0.25">
      <c r="D2376" s="3"/>
      <c r="E2376" s="3"/>
      <c r="J2376" s="5"/>
    </row>
    <row r="2377" spans="4:10" x14ac:dyDescent="0.25">
      <c r="D2377" s="3"/>
      <c r="E2377" s="3"/>
      <c r="J2377" s="5"/>
    </row>
    <row r="2378" spans="4:10" x14ac:dyDescent="0.25">
      <c r="D2378" s="3"/>
      <c r="E2378" s="3"/>
      <c r="J2378" s="5"/>
    </row>
    <row r="2379" spans="4:10" x14ac:dyDescent="0.25">
      <c r="D2379" s="3"/>
      <c r="E2379" s="3"/>
      <c r="J2379" s="5"/>
    </row>
    <row r="2380" spans="4:10" x14ac:dyDescent="0.25">
      <c r="D2380" s="3"/>
      <c r="E2380" s="3"/>
      <c r="J2380" s="5"/>
    </row>
    <row r="2381" spans="4:10" x14ac:dyDescent="0.25">
      <c r="D2381" s="3"/>
      <c r="E2381" s="3"/>
      <c r="J2381" s="5"/>
    </row>
    <row r="2382" spans="4:10" x14ac:dyDescent="0.25">
      <c r="D2382" s="3"/>
      <c r="E2382" s="3"/>
      <c r="J2382" s="5"/>
    </row>
    <row r="2383" spans="4:10" x14ac:dyDescent="0.25">
      <c r="D2383" s="3"/>
      <c r="E2383" s="3"/>
      <c r="J2383" s="5"/>
    </row>
    <row r="2384" spans="4:10" x14ac:dyDescent="0.25">
      <c r="D2384" s="3"/>
      <c r="E2384" s="3"/>
      <c r="J2384" s="5"/>
    </row>
    <row r="2385" spans="4:10" x14ac:dyDescent="0.25">
      <c r="D2385" s="3"/>
      <c r="E2385" s="3"/>
      <c r="J2385" s="5"/>
    </row>
    <row r="2386" spans="4:10" x14ac:dyDescent="0.25">
      <c r="D2386" s="3"/>
      <c r="E2386" s="3"/>
      <c r="J2386" s="5"/>
    </row>
    <row r="2387" spans="4:10" x14ac:dyDescent="0.25">
      <c r="D2387" s="3"/>
      <c r="E2387" s="3"/>
      <c r="J2387" s="5"/>
    </row>
    <row r="2388" spans="4:10" x14ac:dyDescent="0.25">
      <c r="D2388" s="3"/>
      <c r="E2388" s="3"/>
      <c r="J2388" s="5"/>
    </row>
    <row r="2389" spans="4:10" x14ac:dyDescent="0.25">
      <c r="D2389" s="3"/>
      <c r="E2389" s="3"/>
      <c r="J2389" s="5"/>
    </row>
    <row r="2390" spans="4:10" x14ac:dyDescent="0.25">
      <c r="D2390" s="3"/>
      <c r="E2390" s="3"/>
      <c r="J2390" s="5"/>
    </row>
    <row r="2391" spans="4:10" x14ac:dyDescent="0.25">
      <c r="D2391" s="3"/>
      <c r="E2391" s="3"/>
      <c r="J2391" s="5"/>
    </row>
    <row r="2392" spans="4:10" x14ac:dyDescent="0.25">
      <c r="D2392" s="3"/>
      <c r="E2392" s="3"/>
      <c r="J2392" s="5"/>
    </row>
    <row r="2393" spans="4:10" x14ac:dyDescent="0.25">
      <c r="D2393" s="3"/>
      <c r="E2393" s="3"/>
      <c r="J2393" s="5"/>
    </row>
    <row r="2394" spans="4:10" x14ac:dyDescent="0.25">
      <c r="D2394" s="3"/>
      <c r="E2394" s="3"/>
      <c r="J2394" s="5"/>
    </row>
    <row r="2395" spans="4:10" x14ac:dyDescent="0.25">
      <c r="D2395" s="3"/>
      <c r="E2395" s="3"/>
      <c r="J2395" s="5"/>
    </row>
    <row r="2396" spans="4:10" x14ac:dyDescent="0.25">
      <c r="D2396" s="3"/>
      <c r="E2396" s="3"/>
      <c r="J2396" s="5"/>
    </row>
    <row r="2397" spans="4:10" x14ac:dyDescent="0.25">
      <c r="D2397" s="3"/>
      <c r="E2397" s="3"/>
      <c r="J2397" s="5"/>
    </row>
    <row r="2398" spans="4:10" x14ac:dyDescent="0.25">
      <c r="D2398" s="3"/>
      <c r="E2398" s="3"/>
      <c r="J2398" s="5"/>
    </row>
    <row r="2399" spans="4:10" x14ac:dyDescent="0.25">
      <c r="D2399" s="3"/>
      <c r="E2399" s="3"/>
      <c r="J2399" s="5"/>
    </row>
    <row r="2400" spans="4:10" x14ac:dyDescent="0.25">
      <c r="D2400" s="3"/>
      <c r="E2400" s="3"/>
      <c r="J2400" s="5"/>
    </row>
    <row r="2401" spans="4:10" x14ac:dyDescent="0.25">
      <c r="D2401" s="3"/>
      <c r="E2401" s="3"/>
      <c r="J2401" s="5"/>
    </row>
    <row r="2402" spans="4:10" x14ac:dyDescent="0.25">
      <c r="D2402" s="3"/>
      <c r="E2402" s="3"/>
      <c r="J2402" s="5"/>
    </row>
    <row r="2403" spans="4:10" x14ac:dyDescent="0.25">
      <c r="D2403" s="3"/>
      <c r="E2403" s="3"/>
      <c r="J2403" s="5"/>
    </row>
    <row r="2404" spans="4:10" x14ac:dyDescent="0.25">
      <c r="D2404" s="3"/>
      <c r="E2404" s="3"/>
      <c r="J2404" s="5"/>
    </row>
    <row r="2405" spans="4:10" x14ac:dyDescent="0.25">
      <c r="D2405" s="3"/>
      <c r="E2405" s="3"/>
      <c r="J2405" s="5"/>
    </row>
    <row r="2406" spans="4:10" x14ac:dyDescent="0.25">
      <c r="D2406" s="3"/>
      <c r="E2406" s="3"/>
      <c r="J2406" s="5"/>
    </row>
    <row r="2407" spans="4:10" x14ac:dyDescent="0.25">
      <c r="D2407" s="3"/>
      <c r="E2407" s="3"/>
      <c r="J2407" s="5"/>
    </row>
    <row r="2408" spans="4:10" x14ac:dyDescent="0.25">
      <c r="D2408" s="3"/>
      <c r="E2408" s="3"/>
      <c r="J2408" s="5"/>
    </row>
    <row r="2409" spans="4:10" x14ac:dyDescent="0.25">
      <c r="D2409" s="3"/>
      <c r="E2409" s="3"/>
      <c r="J2409" s="5"/>
    </row>
    <row r="2410" spans="4:10" x14ac:dyDescent="0.25">
      <c r="D2410" s="3"/>
      <c r="E2410" s="3"/>
      <c r="J2410" s="5"/>
    </row>
    <row r="2411" spans="4:10" x14ac:dyDescent="0.25">
      <c r="D2411" s="3"/>
      <c r="E2411" s="3"/>
      <c r="J2411" s="5"/>
    </row>
    <row r="2412" spans="4:10" x14ac:dyDescent="0.25">
      <c r="D2412" s="3"/>
      <c r="E2412" s="3"/>
      <c r="J2412" s="5"/>
    </row>
    <row r="2413" spans="4:10" x14ac:dyDescent="0.25">
      <c r="D2413" s="3"/>
      <c r="E2413" s="3"/>
      <c r="J2413" s="5"/>
    </row>
    <row r="2414" spans="4:10" x14ac:dyDescent="0.25">
      <c r="D2414" s="3"/>
      <c r="E2414" s="3"/>
      <c r="J2414" s="5"/>
    </row>
    <row r="2415" spans="4:10" x14ac:dyDescent="0.25">
      <c r="D2415" s="3"/>
      <c r="E2415" s="3"/>
      <c r="J2415" s="5"/>
    </row>
    <row r="2416" spans="4:10" x14ac:dyDescent="0.25">
      <c r="D2416" s="3"/>
      <c r="E2416" s="3"/>
      <c r="J2416" s="5"/>
    </row>
    <row r="2417" spans="4:10" x14ac:dyDescent="0.25">
      <c r="D2417" s="3"/>
      <c r="E2417" s="3"/>
      <c r="J2417" s="5"/>
    </row>
    <row r="2418" spans="4:10" x14ac:dyDescent="0.25">
      <c r="D2418" s="3"/>
      <c r="E2418" s="3"/>
      <c r="J2418" s="5"/>
    </row>
    <row r="2419" spans="4:10" x14ac:dyDescent="0.25">
      <c r="D2419" s="3"/>
      <c r="E2419" s="3"/>
      <c r="J2419" s="5"/>
    </row>
    <row r="2420" spans="4:10" x14ac:dyDescent="0.25">
      <c r="D2420" s="3"/>
      <c r="E2420" s="3"/>
      <c r="J2420" s="5"/>
    </row>
    <row r="2421" spans="4:10" x14ac:dyDescent="0.25">
      <c r="D2421" s="3"/>
      <c r="E2421" s="3"/>
      <c r="J2421" s="5"/>
    </row>
    <row r="2422" spans="4:10" x14ac:dyDescent="0.25">
      <c r="D2422" s="3"/>
      <c r="E2422" s="3"/>
      <c r="J2422" s="5"/>
    </row>
    <row r="2423" spans="4:10" x14ac:dyDescent="0.25">
      <c r="D2423" s="3"/>
      <c r="E2423" s="3"/>
      <c r="J2423" s="5"/>
    </row>
    <row r="2424" spans="4:10" x14ac:dyDescent="0.25">
      <c r="D2424" s="3"/>
      <c r="E2424" s="3"/>
      <c r="J2424" s="5"/>
    </row>
    <row r="2425" spans="4:10" x14ac:dyDescent="0.25">
      <c r="D2425" s="3"/>
      <c r="E2425" s="3"/>
      <c r="J2425" s="5"/>
    </row>
    <row r="2426" spans="4:10" x14ac:dyDescent="0.25">
      <c r="D2426" s="3"/>
      <c r="E2426" s="3"/>
      <c r="J2426" s="5"/>
    </row>
    <row r="2427" spans="4:10" x14ac:dyDescent="0.25">
      <c r="D2427" s="3"/>
      <c r="E2427" s="3"/>
      <c r="J2427" s="5"/>
    </row>
    <row r="2428" spans="4:10" x14ac:dyDescent="0.25">
      <c r="D2428" s="3"/>
      <c r="E2428" s="3"/>
      <c r="J2428" s="5"/>
    </row>
    <row r="2429" spans="4:10" x14ac:dyDescent="0.25">
      <c r="D2429" s="3"/>
      <c r="E2429" s="3"/>
      <c r="J2429" s="5"/>
    </row>
    <row r="2430" spans="4:10" x14ac:dyDescent="0.25">
      <c r="D2430" s="3"/>
      <c r="E2430" s="3"/>
      <c r="J2430" s="5"/>
    </row>
    <row r="2431" spans="4:10" x14ac:dyDescent="0.25">
      <c r="D2431" s="3"/>
      <c r="E2431" s="3"/>
      <c r="I2431" s="6"/>
      <c r="J2431" s="5"/>
    </row>
    <row r="2432" spans="4:10" x14ac:dyDescent="0.25">
      <c r="D2432" s="3"/>
      <c r="E2432" s="3"/>
      <c r="J2432" s="5"/>
    </row>
    <row r="2433" spans="4:10" x14ac:dyDescent="0.25">
      <c r="D2433" s="3"/>
      <c r="E2433" s="3"/>
      <c r="J2433" s="5"/>
    </row>
    <row r="2434" spans="4:10" x14ac:dyDescent="0.25">
      <c r="D2434" s="3"/>
      <c r="E2434" s="3"/>
      <c r="J2434" s="5"/>
    </row>
    <row r="2435" spans="4:10" x14ac:dyDescent="0.25">
      <c r="D2435" s="3"/>
      <c r="E2435" s="3"/>
      <c r="J2435" s="5"/>
    </row>
    <row r="2436" spans="4:10" x14ac:dyDescent="0.25">
      <c r="D2436" s="3"/>
      <c r="E2436" s="3"/>
      <c r="I2436" s="6"/>
      <c r="J2436" s="5"/>
    </row>
    <row r="2437" spans="4:10" x14ac:dyDescent="0.25">
      <c r="D2437" s="3"/>
      <c r="E2437" s="3"/>
      <c r="I2437" s="6"/>
      <c r="J2437" s="5"/>
    </row>
    <row r="2438" spans="4:10" x14ac:dyDescent="0.25">
      <c r="D2438" s="3"/>
      <c r="E2438" s="3"/>
      <c r="I2438" s="6"/>
      <c r="J2438" s="5"/>
    </row>
    <row r="2439" spans="4:10" x14ac:dyDescent="0.25">
      <c r="D2439" s="3"/>
      <c r="E2439" s="3"/>
      <c r="I2439" s="6"/>
      <c r="J2439" s="5"/>
    </row>
    <row r="2440" spans="4:10" x14ac:dyDescent="0.25">
      <c r="D2440" s="3"/>
      <c r="E2440" s="3"/>
      <c r="I2440" s="6"/>
      <c r="J2440" s="5"/>
    </row>
    <row r="2441" spans="4:10" x14ac:dyDescent="0.25">
      <c r="D2441" s="3"/>
      <c r="E2441" s="3"/>
      <c r="I2441" s="6"/>
      <c r="J2441" s="5"/>
    </row>
    <row r="2442" spans="4:10" x14ac:dyDescent="0.25">
      <c r="D2442" s="3"/>
      <c r="E2442" s="3"/>
      <c r="J2442" s="5"/>
    </row>
    <row r="2443" spans="4:10" x14ac:dyDescent="0.25">
      <c r="D2443" s="3"/>
      <c r="E2443" s="3"/>
      <c r="J2443" s="5"/>
    </row>
    <row r="2444" spans="4:10" x14ac:dyDescent="0.25">
      <c r="D2444" s="3"/>
      <c r="E2444" s="3"/>
      <c r="J2444" s="5"/>
    </row>
    <row r="2445" spans="4:10" x14ac:dyDescent="0.25">
      <c r="D2445" s="3"/>
      <c r="E2445" s="3"/>
      <c r="J2445" s="5"/>
    </row>
    <row r="2446" spans="4:10" x14ac:dyDescent="0.25">
      <c r="D2446" s="3"/>
      <c r="E2446" s="3"/>
      <c r="J2446" s="5"/>
    </row>
    <row r="2447" spans="4:10" x14ac:dyDescent="0.25">
      <c r="D2447" s="3"/>
      <c r="E2447" s="3"/>
      <c r="J2447" s="5"/>
    </row>
    <row r="2448" spans="4:10" x14ac:dyDescent="0.25">
      <c r="D2448" s="3"/>
      <c r="E2448" s="3"/>
      <c r="J2448" s="5"/>
    </row>
    <row r="2449" spans="4:10" x14ac:dyDescent="0.25">
      <c r="D2449" s="3"/>
      <c r="E2449" s="3"/>
      <c r="J2449" s="5"/>
    </row>
    <row r="2450" spans="4:10" x14ac:dyDescent="0.25">
      <c r="D2450" s="3"/>
      <c r="E2450" s="3"/>
      <c r="J2450" s="5"/>
    </row>
    <row r="2451" spans="4:10" x14ac:dyDescent="0.25">
      <c r="D2451" s="3"/>
      <c r="E2451" s="3"/>
      <c r="I2451" s="6"/>
      <c r="J2451" s="5"/>
    </row>
    <row r="2452" spans="4:10" x14ac:dyDescent="0.25">
      <c r="D2452" s="3"/>
      <c r="E2452" s="3"/>
      <c r="I2452" s="6"/>
      <c r="J2452" s="5"/>
    </row>
    <row r="2453" spans="4:10" x14ac:dyDescent="0.25">
      <c r="D2453" s="3"/>
      <c r="E2453" s="3"/>
      <c r="I2453" s="6"/>
      <c r="J2453" s="5"/>
    </row>
    <row r="2454" spans="4:10" x14ac:dyDescent="0.25">
      <c r="D2454" s="3"/>
      <c r="E2454" s="3"/>
      <c r="I2454" s="6"/>
      <c r="J2454" s="5"/>
    </row>
    <row r="2455" spans="4:10" x14ac:dyDescent="0.25">
      <c r="D2455" s="3"/>
      <c r="E2455" s="3"/>
      <c r="J2455" s="5"/>
    </row>
    <row r="2456" spans="4:10" x14ac:dyDescent="0.25">
      <c r="D2456" s="3"/>
      <c r="E2456" s="3"/>
      <c r="I2456" s="6"/>
      <c r="J2456" s="5"/>
    </row>
    <row r="2457" spans="4:10" x14ac:dyDescent="0.25">
      <c r="D2457" s="3"/>
      <c r="E2457" s="3"/>
      <c r="I2457" s="6"/>
      <c r="J2457" s="5"/>
    </row>
    <row r="2458" spans="4:10" x14ac:dyDescent="0.25">
      <c r="D2458" s="3"/>
      <c r="E2458" s="3"/>
      <c r="I2458" s="6"/>
      <c r="J2458" s="5"/>
    </row>
    <row r="2459" spans="4:10" x14ac:dyDescent="0.25">
      <c r="D2459" s="3"/>
      <c r="E2459" s="3"/>
      <c r="J2459" s="5"/>
    </row>
    <row r="2460" spans="4:10" x14ac:dyDescent="0.25">
      <c r="D2460" s="3"/>
      <c r="E2460" s="3"/>
      <c r="I2460" s="6"/>
      <c r="J2460" s="5"/>
    </row>
    <row r="2461" spans="4:10" x14ac:dyDescent="0.25">
      <c r="D2461" s="3"/>
      <c r="E2461" s="3"/>
      <c r="I2461" s="6"/>
      <c r="J2461" s="5"/>
    </row>
    <row r="2462" spans="4:10" x14ac:dyDescent="0.25">
      <c r="D2462" s="3"/>
      <c r="E2462" s="3"/>
      <c r="I2462" s="6"/>
      <c r="J2462" s="5"/>
    </row>
    <row r="2463" spans="4:10" x14ac:dyDescent="0.25">
      <c r="D2463" s="3"/>
      <c r="E2463" s="3"/>
      <c r="I2463" s="6"/>
      <c r="J2463" s="5"/>
    </row>
    <row r="2464" spans="4:10" x14ac:dyDescent="0.25">
      <c r="D2464" s="3"/>
      <c r="E2464" s="3"/>
      <c r="J2464" s="5"/>
    </row>
    <row r="2465" spans="4:10" x14ac:dyDescent="0.25">
      <c r="D2465" s="3"/>
      <c r="E2465" s="3"/>
      <c r="I2465" s="6"/>
      <c r="J2465" s="5"/>
    </row>
    <row r="2466" spans="4:10" x14ac:dyDescent="0.25">
      <c r="D2466" s="3"/>
      <c r="E2466" s="3"/>
      <c r="I2466" s="6"/>
      <c r="J2466" s="5"/>
    </row>
    <row r="2467" spans="4:10" x14ac:dyDescent="0.25">
      <c r="D2467" s="3"/>
      <c r="E2467" s="3"/>
      <c r="I2467" s="6"/>
      <c r="J2467" s="5"/>
    </row>
    <row r="2468" spans="4:10" x14ac:dyDescent="0.25">
      <c r="D2468" s="3"/>
      <c r="E2468" s="3"/>
      <c r="J2468" s="5"/>
    </row>
    <row r="2469" spans="4:10" x14ac:dyDescent="0.25">
      <c r="D2469" s="3"/>
      <c r="E2469" s="3"/>
      <c r="J2469" s="5"/>
    </row>
    <row r="2470" spans="4:10" x14ac:dyDescent="0.25">
      <c r="D2470" s="3"/>
      <c r="E2470" s="3"/>
      <c r="I2470" s="6"/>
      <c r="J2470" s="5"/>
    </row>
    <row r="2471" spans="4:10" x14ac:dyDescent="0.25">
      <c r="D2471" s="3"/>
      <c r="E2471" s="3"/>
      <c r="I2471" s="6"/>
      <c r="J2471" s="5"/>
    </row>
    <row r="2472" spans="4:10" x14ac:dyDescent="0.25">
      <c r="D2472" s="3"/>
      <c r="E2472" s="3"/>
      <c r="I2472" s="6"/>
      <c r="J2472" s="5"/>
    </row>
    <row r="2473" spans="4:10" x14ac:dyDescent="0.25">
      <c r="D2473" s="3"/>
      <c r="E2473" s="3"/>
      <c r="J2473" s="5"/>
    </row>
    <row r="2474" spans="4:10" x14ac:dyDescent="0.25">
      <c r="D2474" s="3"/>
      <c r="E2474" s="3"/>
      <c r="I2474" s="6"/>
      <c r="J2474" s="5"/>
    </row>
    <row r="2475" spans="4:10" x14ac:dyDescent="0.25">
      <c r="D2475" s="3"/>
      <c r="E2475" s="3"/>
      <c r="I2475" s="6"/>
      <c r="J2475" s="5"/>
    </row>
    <row r="2476" spans="4:10" x14ac:dyDescent="0.25">
      <c r="D2476" s="3"/>
      <c r="E2476" s="3"/>
      <c r="I2476" s="6"/>
      <c r="J2476" s="5"/>
    </row>
    <row r="2477" spans="4:10" x14ac:dyDescent="0.25">
      <c r="D2477" s="3"/>
      <c r="E2477" s="3"/>
      <c r="J2477" s="5"/>
    </row>
    <row r="2478" spans="4:10" x14ac:dyDescent="0.25">
      <c r="D2478" s="3"/>
      <c r="E2478" s="3"/>
      <c r="J2478" s="5"/>
    </row>
    <row r="2479" spans="4:10" x14ac:dyDescent="0.25">
      <c r="D2479" s="3"/>
      <c r="E2479" s="3"/>
      <c r="J2479" s="5"/>
    </row>
    <row r="2480" spans="4:10" x14ac:dyDescent="0.25">
      <c r="D2480" s="3"/>
      <c r="E2480" s="3"/>
      <c r="J2480" s="5"/>
    </row>
    <row r="2481" spans="4:10" x14ac:dyDescent="0.25">
      <c r="D2481" s="3"/>
      <c r="E2481" s="3"/>
      <c r="J2481" s="5"/>
    </row>
    <row r="2482" spans="4:10" x14ac:dyDescent="0.25">
      <c r="D2482" s="3"/>
      <c r="E2482" s="3"/>
      <c r="J2482" s="5"/>
    </row>
    <row r="2483" spans="4:10" x14ac:dyDescent="0.25">
      <c r="D2483" s="3"/>
      <c r="E2483" s="3"/>
      <c r="J2483" s="5"/>
    </row>
    <row r="2484" spans="4:10" x14ac:dyDescent="0.25">
      <c r="D2484" s="3"/>
      <c r="E2484" s="3"/>
      <c r="J2484" s="5"/>
    </row>
    <row r="2485" spans="4:10" x14ac:dyDescent="0.25">
      <c r="D2485" s="3"/>
      <c r="E2485" s="3"/>
      <c r="J2485" s="5"/>
    </row>
    <row r="2486" spans="4:10" x14ac:dyDescent="0.25">
      <c r="D2486" s="3"/>
      <c r="E2486" s="3"/>
      <c r="J2486" s="5"/>
    </row>
    <row r="2487" spans="4:10" x14ac:dyDescent="0.25">
      <c r="D2487" s="3"/>
      <c r="E2487" s="3"/>
      <c r="I2487" s="6"/>
      <c r="J2487" s="5"/>
    </row>
    <row r="2488" spans="4:10" x14ac:dyDescent="0.25">
      <c r="D2488" s="3"/>
      <c r="E2488" s="3"/>
      <c r="J2488" s="5"/>
    </row>
    <row r="2489" spans="4:10" x14ac:dyDescent="0.25">
      <c r="D2489" s="3"/>
      <c r="E2489" s="3"/>
      <c r="I2489" s="6"/>
      <c r="J2489" s="5"/>
    </row>
    <row r="2490" spans="4:10" x14ac:dyDescent="0.25">
      <c r="D2490" s="3"/>
      <c r="E2490" s="3"/>
      <c r="I2490" s="6"/>
      <c r="J2490" s="5"/>
    </row>
    <row r="2491" spans="4:10" x14ac:dyDescent="0.25">
      <c r="D2491" s="3"/>
      <c r="E2491" s="3"/>
      <c r="I2491" s="6"/>
      <c r="J2491" s="5"/>
    </row>
    <row r="2492" spans="4:10" x14ac:dyDescent="0.25">
      <c r="D2492" s="3"/>
      <c r="E2492" s="3"/>
      <c r="I2492" s="6"/>
      <c r="J2492" s="5"/>
    </row>
    <row r="2493" spans="4:10" x14ac:dyDescent="0.25">
      <c r="D2493" s="3"/>
      <c r="E2493" s="3"/>
      <c r="J2493" s="5"/>
    </row>
    <row r="2494" spans="4:10" x14ac:dyDescent="0.25">
      <c r="D2494" s="3"/>
      <c r="E2494" s="3"/>
      <c r="J2494" s="5"/>
    </row>
    <row r="2495" spans="4:10" x14ac:dyDescent="0.25">
      <c r="D2495" s="3"/>
      <c r="E2495" s="3"/>
      <c r="J2495" s="5"/>
    </row>
    <row r="2496" spans="4:10" x14ac:dyDescent="0.25">
      <c r="D2496" s="3"/>
      <c r="E2496" s="3"/>
      <c r="J2496" s="5"/>
    </row>
    <row r="2497" spans="4:10" x14ac:dyDescent="0.25">
      <c r="D2497" s="3"/>
      <c r="E2497" s="3"/>
      <c r="I2497" s="6"/>
      <c r="J2497" s="5"/>
    </row>
    <row r="2498" spans="4:10" x14ac:dyDescent="0.25">
      <c r="D2498" s="3"/>
      <c r="E2498" s="3"/>
      <c r="I2498" s="6"/>
      <c r="J2498" s="5"/>
    </row>
    <row r="2499" spans="4:10" x14ac:dyDescent="0.25">
      <c r="D2499" s="3"/>
      <c r="E2499" s="3"/>
      <c r="J2499" s="5"/>
    </row>
    <row r="2500" spans="4:10" x14ac:dyDescent="0.25">
      <c r="D2500" s="3"/>
      <c r="E2500" s="3"/>
      <c r="I2500" s="6"/>
      <c r="J2500" s="5"/>
    </row>
    <row r="2501" spans="4:10" x14ac:dyDescent="0.25">
      <c r="D2501" s="3"/>
      <c r="E2501" s="3"/>
      <c r="J2501" s="5"/>
    </row>
    <row r="2502" spans="4:10" x14ac:dyDescent="0.25">
      <c r="D2502" s="3"/>
      <c r="E2502" s="3"/>
      <c r="J2502" s="5"/>
    </row>
    <row r="2503" spans="4:10" x14ac:dyDescent="0.25">
      <c r="D2503" s="3"/>
      <c r="E2503" s="3"/>
      <c r="J2503" s="5"/>
    </row>
    <row r="2504" spans="4:10" x14ac:dyDescent="0.25">
      <c r="D2504" s="3"/>
      <c r="E2504" s="3"/>
      <c r="J2504" s="5"/>
    </row>
    <row r="2505" spans="4:10" x14ac:dyDescent="0.25">
      <c r="D2505" s="3"/>
      <c r="E2505" s="3"/>
      <c r="J2505" s="5"/>
    </row>
    <row r="2506" spans="4:10" x14ac:dyDescent="0.25">
      <c r="D2506" s="3"/>
      <c r="E2506" s="3"/>
      <c r="J2506" s="5"/>
    </row>
    <row r="2507" spans="4:10" x14ac:dyDescent="0.25">
      <c r="D2507" s="3"/>
      <c r="E2507" s="3"/>
      <c r="J2507" s="5"/>
    </row>
    <row r="2508" spans="4:10" x14ac:dyDescent="0.25">
      <c r="D2508" s="3"/>
      <c r="E2508" s="3"/>
      <c r="J2508" s="5"/>
    </row>
    <row r="2509" spans="4:10" x14ac:dyDescent="0.25">
      <c r="D2509" s="3"/>
      <c r="E2509" s="3"/>
      <c r="J2509" s="5"/>
    </row>
    <row r="2510" spans="4:10" x14ac:dyDescent="0.25">
      <c r="D2510" s="3"/>
      <c r="E2510" s="3"/>
      <c r="I2510" s="6"/>
      <c r="J2510" s="5"/>
    </row>
    <row r="2511" spans="4:10" x14ac:dyDescent="0.25">
      <c r="D2511" s="3"/>
      <c r="E2511" s="3"/>
      <c r="I2511" s="6"/>
      <c r="J2511" s="5"/>
    </row>
    <row r="2512" spans="4:10" x14ac:dyDescent="0.25">
      <c r="D2512" s="3"/>
      <c r="E2512" s="3"/>
      <c r="J2512" s="5"/>
    </row>
    <row r="2513" spans="4:10" x14ac:dyDescent="0.25">
      <c r="D2513" s="3"/>
      <c r="E2513" s="3"/>
      <c r="J2513" s="5"/>
    </row>
    <row r="2514" spans="4:10" x14ac:dyDescent="0.25">
      <c r="D2514" s="3"/>
      <c r="E2514" s="3"/>
      <c r="I2514" s="6"/>
      <c r="J2514" s="5"/>
    </row>
    <row r="2515" spans="4:10" x14ac:dyDescent="0.25">
      <c r="D2515" s="3"/>
      <c r="E2515" s="3"/>
      <c r="I2515" s="6"/>
      <c r="J2515" s="5"/>
    </row>
    <row r="2516" spans="4:10" x14ac:dyDescent="0.25">
      <c r="D2516" s="3"/>
      <c r="E2516" s="3"/>
      <c r="I2516" s="6"/>
      <c r="J2516" s="5"/>
    </row>
    <row r="2517" spans="4:10" x14ac:dyDescent="0.25">
      <c r="D2517" s="3"/>
      <c r="E2517" s="3"/>
      <c r="I2517" s="6"/>
      <c r="J2517" s="5"/>
    </row>
    <row r="2518" spans="4:10" x14ac:dyDescent="0.25">
      <c r="D2518" s="3"/>
      <c r="E2518" s="3"/>
      <c r="I2518" s="6"/>
      <c r="J2518" s="5"/>
    </row>
    <row r="2519" spans="4:10" x14ac:dyDescent="0.25">
      <c r="D2519" s="3"/>
      <c r="E2519" s="3"/>
      <c r="J2519" s="5"/>
    </row>
    <row r="2520" spans="4:10" x14ac:dyDescent="0.25">
      <c r="D2520" s="3"/>
      <c r="E2520" s="3"/>
      <c r="J2520" s="5"/>
    </row>
    <row r="2521" spans="4:10" x14ac:dyDescent="0.25">
      <c r="D2521" s="3"/>
      <c r="E2521" s="3"/>
      <c r="J2521" s="5"/>
    </row>
    <row r="2522" spans="4:10" x14ac:dyDescent="0.25">
      <c r="D2522" s="3"/>
      <c r="E2522" s="3"/>
      <c r="J2522" s="5"/>
    </row>
    <row r="2523" spans="4:10" x14ac:dyDescent="0.25">
      <c r="D2523" s="3"/>
      <c r="E2523" s="3"/>
      <c r="I2523" s="6"/>
      <c r="J2523" s="5"/>
    </row>
    <row r="2524" spans="4:10" x14ac:dyDescent="0.25">
      <c r="D2524" s="3"/>
      <c r="E2524" s="3"/>
      <c r="J2524" s="5"/>
    </row>
    <row r="2525" spans="4:10" x14ac:dyDescent="0.25">
      <c r="D2525" s="3"/>
      <c r="E2525" s="3"/>
      <c r="I2525" s="6"/>
      <c r="J2525" s="5"/>
    </row>
    <row r="2526" spans="4:10" x14ac:dyDescent="0.25">
      <c r="D2526" s="3"/>
      <c r="E2526" s="3"/>
      <c r="I2526" s="6"/>
      <c r="J2526" s="5"/>
    </row>
    <row r="2527" spans="4:10" x14ac:dyDescent="0.25">
      <c r="D2527" s="3"/>
      <c r="E2527" s="3"/>
      <c r="I2527" s="6"/>
      <c r="J2527" s="5"/>
    </row>
    <row r="2528" spans="4:10" x14ac:dyDescent="0.25">
      <c r="D2528" s="3"/>
      <c r="E2528" s="3"/>
      <c r="J2528" s="5"/>
    </row>
    <row r="2529" spans="4:10" x14ac:dyDescent="0.25">
      <c r="D2529" s="3"/>
      <c r="E2529" s="3"/>
      <c r="I2529" s="6"/>
      <c r="J2529" s="5"/>
    </row>
    <row r="2530" spans="4:10" x14ac:dyDescent="0.25">
      <c r="D2530" s="3"/>
      <c r="E2530" s="3"/>
      <c r="I2530" s="6"/>
      <c r="J2530" s="5"/>
    </row>
    <row r="2531" spans="4:10" x14ac:dyDescent="0.25">
      <c r="D2531" s="3"/>
      <c r="E2531" s="3"/>
      <c r="I2531" s="6"/>
      <c r="J2531" s="5"/>
    </row>
    <row r="2532" spans="4:10" x14ac:dyDescent="0.25">
      <c r="D2532" s="3"/>
      <c r="E2532" s="3"/>
      <c r="I2532" s="6"/>
      <c r="J2532" s="5"/>
    </row>
    <row r="2533" spans="4:10" x14ac:dyDescent="0.25">
      <c r="D2533" s="3"/>
      <c r="E2533" s="3"/>
      <c r="I2533" s="6"/>
      <c r="J2533" s="5"/>
    </row>
    <row r="2534" spans="4:10" x14ac:dyDescent="0.25">
      <c r="D2534" s="3"/>
      <c r="E2534" s="3"/>
      <c r="I2534" s="6"/>
      <c r="J2534" s="5"/>
    </row>
    <row r="2535" spans="4:10" x14ac:dyDescent="0.25">
      <c r="D2535" s="3"/>
      <c r="E2535" s="3"/>
      <c r="J2535" s="5"/>
    </row>
    <row r="2536" spans="4:10" x14ac:dyDescent="0.25">
      <c r="D2536" s="3"/>
      <c r="E2536" s="3"/>
      <c r="I2536" s="6"/>
      <c r="J2536" s="5"/>
    </row>
    <row r="2537" spans="4:10" x14ac:dyDescent="0.25">
      <c r="D2537" s="3"/>
      <c r="E2537" s="3"/>
      <c r="I2537" s="6"/>
      <c r="J2537" s="5"/>
    </row>
    <row r="2538" spans="4:10" x14ac:dyDescent="0.25">
      <c r="D2538" s="3"/>
      <c r="E2538" s="3"/>
      <c r="J2538" s="5"/>
    </row>
    <row r="2539" spans="4:10" x14ac:dyDescent="0.25">
      <c r="D2539" s="3"/>
      <c r="E2539" s="3"/>
      <c r="I2539" s="6"/>
      <c r="J2539" s="5"/>
    </row>
    <row r="2540" spans="4:10" x14ac:dyDescent="0.25">
      <c r="D2540" s="3"/>
      <c r="E2540" s="3"/>
      <c r="I2540" s="6"/>
      <c r="J2540" s="5"/>
    </row>
    <row r="2541" spans="4:10" x14ac:dyDescent="0.25">
      <c r="D2541" s="3"/>
      <c r="E2541" s="3"/>
      <c r="J2541" s="5"/>
    </row>
    <row r="2542" spans="4:10" x14ac:dyDescent="0.25">
      <c r="D2542" s="3"/>
      <c r="E2542" s="3"/>
      <c r="I2542" s="6"/>
      <c r="J2542" s="5"/>
    </row>
    <row r="2543" spans="4:10" x14ac:dyDescent="0.25">
      <c r="D2543" s="3"/>
      <c r="E2543" s="3"/>
      <c r="J2543" s="5"/>
    </row>
    <row r="2544" spans="4:10" x14ac:dyDescent="0.25">
      <c r="D2544" s="3"/>
      <c r="E2544" s="3"/>
      <c r="J2544" s="5"/>
    </row>
    <row r="2545" spans="4:10" x14ac:dyDescent="0.25">
      <c r="D2545" s="3"/>
      <c r="E2545" s="3"/>
      <c r="J2545" s="5"/>
    </row>
    <row r="2546" spans="4:10" x14ac:dyDescent="0.25">
      <c r="D2546" s="3"/>
      <c r="E2546" s="3"/>
      <c r="J2546" s="5"/>
    </row>
    <row r="2547" spans="4:10" x14ac:dyDescent="0.25">
      <c r="D2547" s="3"/>
      <c r="E2547" s="3"/>
      <c r="I2547" s="6"/>
      <c r="J2547" s="5"/>
    </row>
    <row r="2548" spans="4:10" x14ac:dyDescent="0.25">
      <c r="D2548" s="3"/>
      <c r="E2548" s="3"/>
      <c r="I2548" s="6"/>
      <c r="J2548" s="5"/>
    </row>
    <row r="2549" spans="4:10" x14ac:dyDescent="0.25">
      <c r="D2549" s="3"/>
      <c r="E2549" s="3"/>
      <c r="I2549" s="6"/>
      <c r="J2549" s="5"/>
    </row>
    <row r="2550" spans="4:10" x14ac:dyDescent="0.25">
      <c r="D2550" s="3"/>
      <c r="E2550" s="3"/>
      <c r="I2550" s="6"/>
      <c r="J2550" s="5"/>
    </row>
    <row r="2551" spans="4:10" x14ac:dyDescent="0.25">
      <c r="D2551" s="3"/>
      <c r="E2551" s="3"/>
      <c r="I2551" s="6"/>
      <c r="J2551" s="5"/>
    </row>
    <row r="2552" spans="4:10" x14ac:dyDescent="0.25">
      <c r="D2552" s="3"/>
      <c r="E2552" s="3"/>
      <c r="I2552" s="6"/>
      <c r="J2552" s="5"/>
    </row>
    <row r="2553" spans="4:10" x14ac:dyDescent="0.25">
      <c r="D2553" s="3"/>
      <c r="E2553" s="3"/>
      <c r="I2553" s="6"/>
      <c r="J2553" s="5"/>
    </row>
    <row r="2554" spans="4:10" x14ac:dyDescent="0.25">
      <c r="D2554" s="3"/>
      <c r="E2554" s="3"/>
      <c r="I2554" s="6"/>
      <c r="J2554" s="5"/>
    </row>
    <row r="2555" spans="4:10" x14ac:dyDescent="0.25">
      <c r="D2555" s="3"/>
      <c r="E2555" s="3"/>
      <c r="I2555" s="6"/>
      <c r="J2555" s="5"/>
    </row>
    <row r="2556" spans="4:10" x14ac:dyDescent="0.25">
      <c r="D2556" s="3"/>
      <c r="E2556" s="3"/>
      <c r="J2556" s="5"/>
    </row>
    <row r="2557" spans="4:10" x14ac:dyDescent="0.25">
      <c r="D2557" s="3"/>
      <c r="E2557" s="3"/>
      <c r="J2557" s="5"/>
    </row>
    <row r="2558" spans="4:10" x14ac:dyDescent="0.25">
      <c r="D2558" s="3"/>
      <c r="E2558" s="3"/>
      <c r="J2558" s="5"/>
    </row>
    <row r="2559" spans="4:10" x14ac:dyDescent="0.25">
      <c r="D2559" s="3"/>
      <c r="E2559" s="3"/>
      <c r="J2559" s="5"/>
    </row>
    <row r="2560" spans="4:10" x14ac:dyDescent="0.25">
      <c r="D2560" s="3"/>
      <c r="E2560" s="3"/>
      <c r="J2560" s="5"/>
    </row>
    <row r="2561" spans="4:10" x14ac:dyDescent="0.25">
      <c r="D2561" s="3"/>
      <c r="E2561" s="3"/>
      <c r="J2561" s="5"/>
    </row>
    <row r="2562" spans="4:10" x14ac:dyDescent="0.25">
      <c r="D2562" s="3"/>
      <c r="E2562" s="3"/>
      <c r="J2562" s="5"/>
    </row>
    <row r="2563" spans="4:10" x14ac:dyDescent="0.25">
      <c r="D2563" s="3"/>
      <c r="E2563" s="3"/>
      <c r="J2563" s="5"/>
    </row>
    <row r="2564" spans="4:10" x14ac:dyDescent="0.25">
      <c r="D2564" s="3"/>
      <c r="E2564" s="3"/>
      <c r="I2564" s="6"/>
      <c r="J2564" s="5"/>
    </row>
    <row r="2565" spans="4:10" x14ac:dyDescent="0.25">
      <c r="D2565" s="3"/>
      <c r="E2565" s="3"/>
      <c r="I2565" s="6"/>
      <c r="J2565" s="5"/>
    </row>
    <row r="2566" spans="4:10" x14ac:dyDescent="0.25">
      <c r="D2566" s="3"/>
      <c r="E2566" s="3"/>
      <c r="I2566" s="6"/>
      <c r="J2566" s="5"/>
    </row>
    <row r="2567" spans="4:10" x14ac:dyDescent="0.25">
      <c r="D2567" s="3"/>
      <c r="E2567" s="3"/>
      <c r="I2567" s="6"/>
      <c r="J2567" s="5"/>
    </row>
    <row r="2568" spans="4:10" x14ac:dyDescent="0.25">
      <c r="D2568" s="3"/>
      <c r="E2568" s="3"/>
      <c r="J2568" s="5"/>
    </row>
    <row r="2569" spans="4:10" x14ac:dyDescent="0.25">
      <c r="D2569" s="3"/>
      <c r="E2569" s="3"/>
      <c r="I2569" s="6"/>
      <c r="J2569" s="5"/>
    </row>
    <row r="2570" spans="4:10" x14ac:dyDescent="0.25">
      <c r="D2570" s="3"/>
      <c r="E2570" s="3"/>
      <c r="J2570" s="5"/>
    </row>
    <row r="2571" spans="4:10" x14ac:dyDescent="0.25">
      <c r="D2571" s="3"/>
      <c r="E2571" s="3"/>
      <c r="J2571" s="5"/>
    </row>
    <row r="2572" spans="4:10" x14ac:dyDescent="0.25">
      <c r="D2572" s="3"/>
      <c r="E2572" s="3"/>
      <c r="I2572" s="6"/>
      <c r="J2572" s="5"/>
    </row>
    <row r="2573" spans="4:10" x14ac:dyDescent="0.25">
      <c r="D2573" s="3"/>
      <c r="E2573" s="3"/>
      <c r="J2573" s="5"/>
    </row>
    <row r="2574" spans="4:10" x14ac:dyDescent="0.25">
      <c r="D2574" s="3"/>
      <c r="E2574" s="3"/>
      <c r="J2574" s="5"/>
    </row>
    <row r="2575" spans="4:10" x14ac:dyDescent="0.25">
      <c r="D2575" s="3"/>
      <c r="E2575" s="3"/>
      <c r="J2575" s="5"/>
    </row>
    <row r="2576" spans="4:10" x14ac:dyDescent="0.25">
      <c r="D2576" s="3"/>
      <c r="E2576" s="3"/>
      <c r="J2576" s="5"/>
    </row>
    <row r="2577" spans="4:10" x14ac:dyDescent="0.25">
      <c r="D2577" s="3"/>
      <c r="E2577" s="3"/>
      <c r="J2577" s="5"/>
    </row>
    <row r="2578" spans="4:10" x14ac:dyDescent="0.25">
      <c r="D2578" s="3"/>
      <c r="E2578" s="3"/>
    </row>
    <row r="2579" spans="4:10" x14ac:dyDescent="0.25">
      <c r="D2579" s="3"/>
      <c r="E2579" s="3"/>
      <c r="J2579" s="5"/>
    </row>
    <row r="2580" spans="4:10" x14ac:dyDescent="0.25">
      <c r="D2580" s="3"/>
      <c r="E2580" s="3"/>
      <c r="I2580" s="6"/>
      <c r="J2580" s="5"/>
    </row>
    <row r="2581" spans="4:10" x14ac:dyDescent="0.25">
      <c r="D2581" s="3"/>
      <c r="E2581" s="3"/>
      <c r="I2581" s="6"/>
      <c r="J2581" s="5"/>
    </row>
    <row r="2582" spans="4:10" x14ac:dyDescent="0.25">
      <c r="D2582" s="3"/>
      <c r="E2582" s="3"/>
      <c r="I2582" s="6"/>
      <c r="J2582" s="5"/>
    </row>
    <row r="2583" spans="4:10" x14ac:dyDescent="0.25">
      <c r="D2583" s="3"/>
      <c r="E2583" s="3"/>
      <c r="J2583" s="5"/>
    </row>
    <row r="2584" spans="4:10" x14ac:dyDescent="0.25">
      <c r="D2584" s="3"/>
      <c r="E2584" s="3"/>
      <c r="J2584" s="5"/>
    </row>
    <row r="2585" spans="4:10" x14ac:dyDescent="0.25">
      <c r="D2585" s="3"/>
      <c r="E2585" s="3"/>
      <c r="J2585" s="5"/>
    </row>
    <row r="2586" spans="4:10" x14ac:dyDescent="0.25">
      <c r="D2586" s="3"/>
      <c r="E2586" s="3"/>
      <c r="J2586" s="5"/>
    </row>
    <row r="2587" spans="4:10" x14ac:dyDescent="0.25">
      <c r="D2587" s="3"/>
      <c r="E2587" s="3"/>
      <c r="J2587" s="5"/>
    </row>
    <row r="2588" spans="4:10" x14ac:dyDescent="0.25">
      <c r="D2588" s="3"/>
      <c r="E2588" s="3"/>
      <c r="J2588" s="5"/>
    </row>
    <row r="2589" spans="4:10" x14ac:dyDescent="0.25">
      <c r="D2589" s="3"/>
      <c r="E2589" s="3"/>
      <c r="J2589" s="5"/>
    </row>
    <row r="2590" spans="4:10" x14ac:dyDescent="0.25">
      <c r="D2590" s="3"/>
      <c r="E2590" s="3"/>
      <c r="J2590" s="5"/>
    </row>
    <row r="2591" spans="4:10" x14ac:dyDescent="0.25">
      <c r="D2591" s="3"/>
      <c r="E2591" s="3"/>
      <c r="J2591" s="5"/>
    </row>
    <row r="2592" spans="4:10" x14ac:dyDescent="0.25">
      <c r="D2592" s="3"/>
      <c r="E2592" s="3"/>
      <c r="J2592" s="5"/>
    </row>
    <row r="2593" spans="4:10" x14ac:dyDescent="0.25">
      <c r="D2593" s="3"/>
      <c r="E2593" s="3"/>
      <c r="J2593" s="5"/>
    </row>
    <row r="2594" spans="4:10" x14ac:dyDescent="0.25">
      <c r="D2594" s="3"/>
      <c r="E2594" s="3"/>
      <c r="J2594" s="5"/>
    </row>
    <row r="2595" spans="4:10" x14ac:dyDescent="0.25">
      <c r="D2595" s="3"/>
      <c r="E2595" s="3"/>
      <c r="J2595" s="5"/>
    </row>
    <row r="2596" spans="4:10" x14ac:dyDescent="0.25">
      <c r="D2596" s="3"/>
      <c r="E2596" s="3"/>
      <c r="I2596" s="6"/>
      <c r="J2596" s="5"/>
    </row>
    <row r="2597" spans="4:10" x14ac:dyDescent="0.25">
      <c r="D2597" s="3"/>
      <c r="E2597" s="3"/>
      <c r="J2597" s="5"/>
    </row>
    <row r="2598" spans="4:10" x14ac:dyDescent="0.25">
      <c r="D2598" s="3"/>
      <c r="E2598" s="3"/>
      <c r="J2598" s="5"/>
    </row>
    <row r="2599" spans="4:10" x14ac:dyDescent="0.25">
      <c r="D2599" s="3"/>
      <c r="E2599" s="3"/>
      <c r="J2599" s="5"/>
    </row>
    <row r="2600" spans="4:10" x14ac:dyDescent="0.25">
      <c r="D2600" s="3"/>
      <c r="E2600" s="3"/>
      <c r="J2600" s="5"/>
    </row>
    <row r="2601" spans="4:10" x14ac:dyDescent="0.25">
      <c r="D2601" s="3"/>
      <c r="E2601" s="3"/>
      <c r="J2601" s="5"/>
    </row>
    <row r="2602" spans="4:10" x14ac:dyDescent="0.25">
      <c r="D2602" s="3"/>
      <c r="E2602" s="3"/>
      <c r="J2602" s="5"/>
    </row>
    <row r="2603" spans="4:10" x14ac:dyDescent="0.25">
      <c r="D2603" s="3"/>
      <c r="E2603" s="3"/>
      <c r="J2603" s="5"/>
    </row>
    <row r="2604" spans="4:10" x14ac:dyDescent="0.25">
      <c r="D2604" s="3"/>
      <c r="E2604" s="3"/>
      <c r="J2604" s="5"/>
    </row>
    <row r="2605" spans="4:10" x14ac:dyDescent="0.25">
      <c r="D2605" s="3"/>
      <c r="E2605" s="3"/>
      <c r="J2605" s="5"/>
    </row>
    <row r="2606" spans="4:10" x14ac:dyDescent="0.25">
      <c r="D2606" s="3"/>
      <c r="E2606" s="3"/>
      <c r="J2606" s="5"/>
    </row>
    <row r="2607" spans="4:10" x14ac:dyDescent="0.25">
      <c r="D2607" s="3"/>
      <c r="E2607" s="3"/>
      <c r="J2607" s="5"/>
    </row>
    <row r="2608" spans="4:10" x14ac:dyDescent="0.25">
      <c r="D2608" s="3"/>
      <c r="E2608" s="3"/>
      <c r="J2608" s="5"/>
    </row>
    <row r="2609" spans="4:10" x14ac:dyDescent="0.25">
      <c r="D2609" s="3"/>
      <c r="E2609" s="3"/>
      <c r="J2609" s="5"/>
    </row>
    <row r="2610" spans="4:10" x14ac:dyDescent="0.25">
      <c r="D2610" s="3"/>
      <c r="E2610" s="3"/>
      <c r="I2610" s="6"/>
      <c r="J2610" s="5"/>
    </row>
    <row r="2611" spans="4:10" x14ac:dyDescent="0.25">
      <c r="D2611" s="3"/>
      <c r="E2611" s="3"/>
      <c r="I2611" s="6"/>
      <c r="J2611" s="5"/>
    </row>
    <row r="2612" spans="4:10" x14ac:dyDescent="0.25">
      <c r="D2612" s="3"/>
      <c r="E2612" s="3"/>
      <c r="I2612" s="6"/>
      <c r="J2612" s="5"/>
    </row>
    <row r="2613" spans="4:10" x14ac:dyDescent="0.25">
      <c r="D2613" s="3"/>
      <c r="E2613" s="3"/>
      <c r="I2613" s="6"/>
      <c r="J2613" s="5"/>
    </row>
    <row r="2614" spans="4:10" x14ac:dyDescent="0.25">
      <c r="D2614" s="3"/>
      <c r="E2614" s="3"/>
      <c r="I2614" s="6"/>
      <c r="J2614" s="5"/>
    </row>
    <row r="2615" spans="4:10" x14ac:dyDescent="0.25">
      <c r="D2615" s="3"/>
      <c r="E2615" s="3"/>
      <c r="I2615" s="6"/>
      <c r="J2615" s="5"/>
    </row>
    <row r="2616" spans="4:10" x14ac:dyDescent="0.25">
      <c r="D2616" s="3"/>
      <c r="E2616" s="3"/>
      <c r="J2616" s="5"/>
    </row>
    <row r="2617" spans="4:10" x14ac:dyDescent="0.25">
      <c r="D2617" s="3"/>
      <c r="E2617" s="3"/>
      <c r="J2617" s="5"/>
    </row>
    <row r="2618" spans="4:10" x14ac:dyDescent="0.25">
      <c r="D2618" s="3"/>
      <c r="E2618" s="3"/>
      <c r="J2618" s="5"/>
    </row>
    <row r="2623" spans="4:10" x14ac:dyDescent="0.25">
      <c r="D2623" s="3"/>
    </row>
    <row r="2625" spans="4:4" x14ac:dyDescent="0.25">
      <c r="D2625" s="3"/>
    </row>
    <row r="2637" spans="4:4" x14ac:dyDescent="0.25">
      <c r="D2637" s="3"/>
    </row>
    <row r="2640" spans="4:4" x14ac:dyDescent="0.25">
      <c r="D2640" s="3"/>
    </row>
    <row r="2641" spans="4:4" x14ac:dyDescent="0.25">
      <c r="D2641" s="3"/>
    </row>
    <row r="2647" spans="4:4" x14ac:dyDescent="0.25">
      <c r="D2647" s="3"/>
    </row>
    <row r="2655" spans="4:4" x14ac:dyDescent="0.25">
      <c r="D2655" s="3"/>
    </row>
    <row r="2656" spans="4:4" x14ac:dyDescent="0.25">
      <c r="D2656" s="3"/>
    </row>
    <row r="2666" spans="4:4" x14ac:dyDescent="0.25">
      <c r="D2666" s="3"/>
    </row>
    <row r="2668" spans="4:4" x14ac:dyDescent="0.25">
      <c r="D2668" s="3"/>
    </row>
    <row r="2681" spans="4:4" x14ac:dyDescent="0.25">
      <c r="D2681" s="3"/>
    </row>
    <row r="2683" spans="4:4" x14ac:dyDescent="0.25">
      <c r="D2683" s="3"/>
    </row>
    <row r="2688" spans="4:4" x14ac:dyDescent="0.25">
      <c r="D2688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15" spans="4:4" x14ac:dyDescent="0.25">
      <c r="D2715" s="3"/>
    </row>
    <row r="2717" spans="4:4" x14ac:dyDescent="0.25">
      <c r="D2717" s="3"/>
    </row>
    <row r="2720" spans="4:4" x14ac:dyDescent="0.25">
      <c r="D2720" s="3"/>
    </row>
    <row r="2724" spans="4:4" x14ac:dyDescent="0.25">
      <c r="D2724" s="3"/>
    </row>
    <row r="2726" spans="4:4" x14ac:dyDescent="0.25">
      <c r="D2726" s="3"/>
    </row>
    <row r="2736" spans="4:4" x14ac:dyDescent="0.25">
      <c r="D2736" s="3"/>
    </row>
    <row r="2737" spans="4:4" x14ac:dyDescent="0.25">
      <c r="D2737" s="3"/>
    </row>
    <row r="2740" spans="4:4" x14ac:dyDescent="0.25">
      <c r="D2740" s="3"/>
    </row>
    <row r="2754" spans="4:4" x14ac:dyDescent="0.25">
      <c r="D2754" s="3"/>
    </row>
    <row r="2761" spans="4:4" x14ac:dyDescent="0.25">
      <c r="D2761" s="3"/>
    </row>
    <row r="2764" spans="4:4" x14ac:dyDescent="0.25">
      <c r="D2764" s="3"/>
    </row>
    <row r="2765" spans="4:4" x14ac:dyDescent="0.25">
      <c r="D2765" s="3"/>
    </row>
    <row r="2776" spans="4:4" x14ac:dyDescent="0.25">
      <c r="D2776" s="3"/>
    </row>
    <row r="2782" spans="4:4" x14ac:dyDescent="0.25">
      <c r="D2782" s="3"/>
    </row>
    <row r="2792" spans="4:4" x14ac:dyDescent="0.25">
      <c r="D2792" s="3"/>
    </row>
    <row r="2802" spans="4:4" x14ac:dyDescent="0.25">
      <c r="D2802" s="3"/>
    </row>
    <row r="2807" spans="4:4" x14ac:dyDescent="0.25">
      <c r="D2807" s="3"/>
    </row>
    <row r="2812" spans="4:4" x14ac:dyDescent="0.25">
      <c r="D2812" s="3"/>
    </row>
    <row r="2814" spans="4:4" x14ac:dyDescent="0.25">
      <c r="D2814" s="3"/>
    </row>
    <row r="2824" spans="4:4" x14ac:dyDescent="0.25">
      <c r="D2824" s="3"/>
    </row>
    <row r="2826" spans="4:4" x14ac:dyDescent="0.25">
      <c r="D2826" s="3"/>
    </row>
    <row r="2837" spans="4:4" x14ac:dyDescent="0.25">
      <c r="D2837" s="3"/>
    </row>
    <row r="2849" spans="4:4" x14ac:dyDescent="0.25">
      <c r="D2849" s="3"/>
    </row>
    <row r="2854" spans="4:4" x14ac:dyDescent="0.25">
      <c r="D2854" s="3"/>
    </row>
    <row r="2864" spans="4:4" x14ac:dyDescent="0.25">
      <c r="D2864" s="3"/>
    </row>
    <row r="2865" spans="4:4" x14ac:dyDescent="0.25">
      <c r="D2865" s="3"/>
    </row>
    <row r="2868" spans="4:4" x14ac:dyDescent="0.25">
      <c r="D2868" s="3"/>
    </row>
    <row r="2879" spans="4:4" x14ac:dyDescent="0.25">
      <c r="D2879" s="3"/>
    </row>
    <row r="2882" spans="4:4" x14ac:dyDescent="0.25">
      <c r="D2882" s="3"/>
    </row>
    <row r="2886" spans="4:4" x14ac:dyDescent="0.25">
      <c r="D2886" s="3"/>
    </row>
    <row r="2890" spans="4:4" x14ac:dyDescent="0.25">
      <c r="D2890" s="3"/>
    </row>
    <row r="2894" spans="4:4" x14ac:dyDescent="0.25">
      <c r="D2894" s="3"/>
    </row>
    <row r="2898" spans="4:4" x14ac:dyDescent="0.25">
      <c r="D2898" s="3"/>
    </row>
    <row r="2900" spans="4:4" x14ac:dyDescent="0.25">
      <c r="D2900" s="3"/>
    </row>
    <row r="2914" spans="4:4" x14ac:dyDescent="0.25">
      <c r="D2914" s="3"/>
    </row>
    <row r="2915" spans="4:4" x14ac:dyDescent="0.25">
      <c r="D2915" s="3"/>
    </row>
    <row r="2920" spans="4:4" x14ac:dyDescent="0.25">
      <c r="D2920" s="3"/>
    </row>
    <row r="2927" spans="4:4" x14ac:dyDescent="0.25">
      <c r="D2927" s="3"/>
    </row>
    <row r="2929" spans="4:4" x14ac:dyDescent="0.25">
      <c r="D2929" s="3"/>
    </row>
    <row r="2934" spans="4:4" x14ac:dyDescent="0.25">
      <c r="D2934" s="3"/>
    </row>
    <row r="2938" spans="4:4" x14ac:dyDescent="0.25">
      <c r="D2938" s="3"/>
    </row>
    <row r="2948" spans="4:4" x14ac:dyDescent="0.25">
      <c r="D2948" s="3"/>
    </row>
    <row r="2949" spans="4:4" x14ac:dyDescent="0.25">
      <c r="D2949" s="3"/>
    </row>
    <row r="2955" spans="4:4" x14ac:dyDescent="0.25">
      <c r="D2955" s="3"/>
    </row>
    <row r="2959" spans="4:4" x14ac:dyDescent="0.25">
      <c r="D2959" s="3"/>
    </row>
    <row r="2969" spans="4:4" x14ac:dyDescent="0.25">
      <c r="D2969" s="3"/>
    </row>
    <row r="2973" spans="4:4" x14ac:dyDescent="0.25">
      <c r="D2973" s="3"/>
    </row>
    <row r="2975" spans="4:4" x14ac:dyDescent="0.25">
      <c r="D2975" s="3"/>
    </row>
    <row r="2985" spans="4:4" x14ac:dyDescent="0.25">
      <c r="D2985" s="3"/>
    </row>
    <row r="2996" spans="4:4" x14ac:dyDescent="0.25">
      <c r="D2996" s="3"/>
    </row>
    <row r="2998" spans="4:4" x14ac:dyDescent="0.25">
      <c r="D2998" s="3"/>
    </row>
    <row r="3010" spans="4:4" x14ac:dyDescent="0.25">
      <c r="D3010" s="3"/>
    </row>
    <row r="3024" spans="4:4" x14ac:dyDescent="0.25">
      <c r="D3024" s="3"/>
    </row>
    <row r="3027" spans="4:4" x14ac:dyDescent="0.25">
      <c r="D3027" s="3"/>
    </row>
    <row r="3039" spans="4:4" x14ac:dyDescent="0.25">
      <c r="D3039" s="3"/>
    </row>
    <row r="3041" spans="4:4" x14ac:dyDescent="0.25">
      <c r="D3041" s="3"/>
    </row>
    <row r="3049" spans="4:4" x14ac:dyDescent="0.25">
      <c r="D3049" s="3"/>
    </row>
    <row r="3057" spans="4:4" x14ac:dyDescent="0.25">
      <c r="D3057" s="3"/>
    </row>
    <row r="3064" spans="4:4" x14ac:dyDescent="0.25">
      <c r="D3064" s="3"/>
    </row>
    <row r="3066" spans="4:4" x14ac:dyDescent="0.25">
      <c r="D3066" s="3"/>
    </row>
    <row r="3076" spans="4:4" x14ac:dyDescent="0.25">
      <c r="D3076" s="3"/>
    </row>
    <row r="3082" spans="4:4" x14ac:dyDescent="0.25">
      <c r="D3082" s="3"/>
    </row>
    <row r="3090" spans="4:4" x14ac:dyDescent="0.25">
      <c r="D3090" s="3"/>
    </row>
    <row r="3104" spans="4:4" x14ac:dyDescent="0.25">
      <c r="D3104" s="3"/>
    </row>
    <row r="3105" spans="4:4" x14ac:dyDescent="0.25">
      <c r="D3105" s="3"/>
    </row>
    <row r="3114" spans="4:4" x14ac:dyDescent="0.25">
      <c r="D3114" s="3"/>
    </row>
    <row r="3122" spans="4:4" x14ac:dyDescent="0.25">
      <c r="D3122" s="3"/>
    </row>
    <row r="3127" spans="4:4" x14ac:dyDescent="0.25">
      <c r="D3127" s="3"/>
    </row>
    <row r="3131" spans="4:4" x14ac:dyDescent="0.25">
      <c r="D3131" s="3"/>
    </row>
    <row r="3146" spans="4:4" x14ac:dyDescent="0.25">
      <c r="D3146" s="3"/>
    </row>
    <row r="3151" spans="4:4" x14ac:dyDescent="0.25">
      <c r="D3151" s="3"/>
    </row>
    <row r="3164" spans="4:4" x14ac:dyDescent="0.25">
      <c r="D3164" s="3"/>
    </row>
    <row r="3169" spans="4:4" x14ac:dyDescent="0.25">
      <c r="D3169" s="3"/>
    </row>
    <row r="3179" spans="4:4" x14ac:dyDescent="0.25">
      <c r="D3179" s="3"/>
    </row>
    <row r="3186" spans="4:4" x14ac:dyDescent="0.25">
      <c r="D3186" s="3"/>
    </row>
    <row r="3192" spans="4:4" x14ac:dyDescent="0.25">
      <c r="D3192" s="3"/>
    </row>
    <row r="3197" spans="4:4" x14ac:dyDescent="0.25">
      <c r="D3197" s="3"/>
    </row>
    <row r="3213" spans="4:4" x14ac:dyDescent="0.25">
      <c r="D3213" s="3"/>
    </row>
    <row r="3226" spans="4:4" x14ac:dyDescent="0.25">
      <c r="D3226" s="3"/>
    </row>
    <row r="3231" spans="4:4" x14ac:dyDescent="0.25">
      <c r="D3231" s="3"/>
    </row>
    <row r="3242" spans="4:4" x14ac:dyDescent="0.25">
      <c r="D3242" s="3"/>
    </row>
    <row r="3249" spans="4:4" x14ac:dyDescent="0.25">
      <c r="D3249" s="3"/>
    </row>
    <row r="3258" spans="4:4" x14ac:dyDescent="0.25">
      <c r="D3258" s="3"/>
    </row>
    <row r="3262" spans="4:4" x14ac:dyDescent="0.25">
      <c r="D3262" s="3"/>
    </row>
    <row r="3273" spans="4:4" x14ac:dyDescent="0.25">
      <c r="D3273" s="3"/>
    </row>
    <row r="3289" spans="4:4" x14ac:dyDescent="0.25">
      <c r="D3289" s="3"/>
    </row>
    <row r="3292" spans="4:4" x14ac:dyDescent="0.25">
      <c r="D3292" s="3"/>
    </row>
    <row r="3298" spans="4:4" x14ac:dyDescent="0.25">
      <c r="D3298" s="3"/>
    </row>
    <row r="3301" spans="4:4" x14ac:dyDescent="0.25">
      <c r="D3301" s="3"/>
    </row>
    <row r="3307" spans="4:4" x14ac:dyDescent="0.25">
      <c r="D3307" s="3"/>
    </row>
    <row r="3308" spans="4:4" x14ac:dyDescent="0.25">
      <c r="D3308" s="3"/>
    </row>
    <row r="3327" spans="4:4" x14ac:dyDescent="0.25">
      <c r="D3327" s="3"/>
    </row>
    <row r="3331" spans="4:4" x14ac:dyDescent="0.25">
      <c r="D3331" s="3"/>
    </row>
    <row r="3337" spans="4:4" x14ac:dyDescent="0.25">
      <c r="D3337" s="3"/>
    </row>
    <row r="3341" spans="4:4" x14ac:dyDescent="0.25">
      <c r="D3341" s="3"/>
    </row>
    <row r="3345" spans="4:4" x14ac:dyDescent="0.25">
      <c r="D3345" s="3"/>
    </row>
    <row r="3353" spans="4:4" x14ac:dyDescent="0.25">
      <c r="D3353" s="3"/>
    </row>
    <row r="3356" spans="4:4" x14ac:dyDescent="0.25">
      <c r="D3356" s="3"/>
    </row>
    <row r="3364" spans="4:10" x14ac:dyDescent="0.25">
      <c r="J3364" s="8"/>
    </row>
    <row r="3365" spans="4:10" x14ac:dyDescent="0.25">
      <c r="D3365" s="3"/>
    </row>
    <row r="3367" spans="4:10" x14ac:dyDescent="0.25">
      <c r="D3367" s="3"/>
    </row>
    <row r="3375" spans="4:10" x14ac:dyDescent="0.25">
      <c r="D3375" s="3"/>
    </row>
    <row r="3378" spans="4:4" x14ac:dyDescent="0.25">
      <c r="D3378" s="3"/>
    </row>
    <row r="3385" spans="4:4" x14ac:dyDescent="0.25">
      <c r="D3385" s="3"/>
    </row>
    <row r="3393" spans="4:10" x14ac:dyDescent="0.25">
      <c r="D3393" s="3"/>
    </row>
    <row r="3395" spans="4:10" x14ac:dyDescent="0.25">
      <c r="J3395" s="8"/>
    </row>
    <row r="3408" spans="4:10" x14ac:dyDescent="0.25">
      <c r="D3408" s="3"/>
    </row>
    <row r="3415" spans="4:4" x14ac:dyDescent="0.25">
      <c r="D3415" s="3"/>
    </row>
    <row r="3417" spans="4:4" x14ac:dyDescent="0.25">
      <c r="D3417" s="3"/>
    </row>
    <row r="3418" spans="4:4" x14ac:dyDescent="0.25">
      <c r="D3418" s="3"/>
    </row>
    <row r="3420" spans="4:4" x14ac:dyDescent="0.25">
      <c r="D3420" s="3"/>
    </row>
    <row r="3424" spans="4:4" x14ac:dyDescent="0.25">
      <c r="D3424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61" spans="4:4" x14ac:dyDescent="0.25">
      <c r="D3461" s="3"/>
    </row>
    <row r="3468" spans="4:4" x14ac:dyDescent="0.25">
      <c r="D3468" s="3"/>
    </row>
    <row r="3485" spans="4:4" x14ac:dyDescent="0.25">
      <c r="D3485" s="3"/>
    </row>
    <row r="3496" spans="4:4" x14ac:dyDescent="0.25">
      <c r="D3496" s="3"/>
    </row>
    <row r="3501" spans="4:4" x14ac:dyDescent="0.25">
      <c r="D3501" s="3"/>
    </row>
    <row r="3508" spans="4:4" x14ac:dyDescent="0.25">
      <c r="D3508" s="3"/>
    </row>
    <row r="3517" spans="4:4" x14ac:dyDescent="0.25">
      <c r="D3517" s="3"/>
    </row>
    <row r="3522" spans="4:4" x14ac:dyDescent="0.25">
      <c r="D3522" s="3"/>
    </row>
    <row r="3525" spans="4:4" x14ac:dyDescent="0.25">
      <c r="D3525" s="3"/>
    </row>
    <row r="3527" spans="4:4" x14ac:dyDescent="0.25">
      <c r="D3527" s="3"/>
    </row>
    <row r="3534" spans="4:4" x14ac:dyDescent="0.25">
      <c r="D3534" s="3"/>
    </row>
    <row r="3538" spans="4:4" x14ac:dyDescent="0.25">
      <c r="D3538" s="3"/>
    </row>
    <row r="3541" spans="4:4" x14ac:dyDescent="0.25">
      <c r="D3541" s="3"/>
    </row>
    <row r="3548" spans="4:4" x14ac:dyDescent="0.25">
      <c r="D3548" s="3"/>
    </row>
    <row r="3556" spans="4:4" x14ac:dyDescent="0.25">
      <c r="D3556" s="3"/>
    </row>
    <row r="3560" spans="4:4" x14ac:dyDescent="0.25">
      <c r="D3560" s="3"/>
    </row>
    <row r="3568" spans="4:4" x14ac:dyDescent="0.25">
      <c r="D3568" s="3"/>
    </row>
    <row r="3575" spans="4:4" x14ac:dyDescent="0.25">
      <c r="D3575" s="3"/>
    </row>
    <row r="3603" spans="4:4" x14ac:dyDescent="0.25">
      <c r="D3603" s="3"/>
    </row>
    <row r="3612" spans="4:4" x14ac:dyDescent="0.25">
      <c r="D3612" s="3"/>
    </row>
    <row r="3621" spans="4:4" x14ac:dyDescent="0.25">
      <c r="D3621" s="3"/>
    </row>
    <row r="3639" spans="4:4" x14ac:dyDescent="0.25">
      <c r="D3639" s="3"/>
    </row>
    <row r="3650" spans="4:4" x14ac:dyDescent="0.25">
      <c r="D3650" s="3"/>
    </row>
    <row r="3654" spans="4:4" x14ac:dyDescent="0.25">
      <c r="D3654" s="3"/>
    </row>
    <row r="3670" spans="4:4" x14ac:dyDescent="0.25">
      <c r="D3670" s="3"/>
    </row>
    <row r="3688" spans="4:4" x14ac:dyDescent="0.25">
      <c r="D3688" s="3"/>
    </row>
    <row r="3705" spans="4:4" x14ac:dyDescent="0.25">
      <c r="D3705" s="3"/>
    </row>
    <row r="3725" spans="4:4" x14ac:dyDescent="0.25">
      <c r="D3725" s="3"/>
    </row>
    <row r="3727" spans="4:4" x14ac:dyDescent="0.25">
      <c r="D3727" s="3"/>
    </row>
    <row r="3740" spans="4:4" x14ac:dyDescent="0.25">
      <c r="D3740" s="3"/>
    </row>
    <row r="3749" spans="4:4" x14ac:dyDescent="0.25">
      <c r="D3749" s="3"/>
    </row>
    <row r="3755" spans="4:4" x14ac:dyDescent="0.25">
      <c r="D3755" s="3"/>
    </row>
    <row r="3759" spans="4:4" x14ac:dyDescent="0.25">
      <c r="D3759" s="3"/>
    </row>
    <row r="3778" spans="4:4" x14ac:dyDescent="0.25">
      <c r="D3778" s="3"/>
    </row>
    <row r="3780" spans="4:4" x14ac:dyDescent="0.25">
      <c r="D3780" s="3"/>
    </row>
    <row r="3781" spans="4:4" x14ac:dyDescent="0.25">
      <c r="D3781" s="3"/>
    </row>
    <row r="3801" spans="4:4" x14ac:dyDescent="0.25">
      <c r="D3801" s="3"/>
    </row>
    <row r="3832" spans="4:4" x14ac:dyDescent="0.25">
      <c r="D3832" s="3"/>
    </row>
    <row r="3833" spans="4:4" x14ac:dyDescent="0.25">
      <c r="D3833" s="3"/>
    </row>
    <row r="3840" spans="4:4" x14ac:dyDescent="0.25">
      <c r="D3840" s="3"/>
    </row>
    <row r="3841" spans="4:4" x14ac:dyDescent="0.25">
      <c r="D3841" s="3"/>
    </row>
    <row r="3845" spans="4:4" x14ac:dyDescent="0.25">
      <c r="D3845" s="3"/>
    </row>
    <row r="3847" spans="4:4" x14ac:dyDescent="0.25">
      <c r="D3847" s="3"/>
    </row>
    <row r="3854" spans="4:4" x14ac:dyDescent="0.25">
      <c r="D3854" s="3"/>
    </row>
    <row r="3856" spans="4:4" x14ac:dyDescent="0.25">
      <c r="D3856" s="3"/>
    </row>
    <row r="3887" spans="4:4" x14ac:dyDescent="0.25">
      <c r="D3887" s="3"/>
    </row>
    <row r="3910" spans="4:10" x14ac:dyDescent="0.25">
      <c r="D3910" s="3"/>
    </row>
    <row r="3918" spans="4:10" x14ac:dyDescent="0.25">
      <c r="J3918" s="8"/>
    </row>
    <row r="3922" spans="4:4" x14ac:dyDescent="0.25">
      <c r="D3922" s="3"/>
    </row>
    <row r="3943" spans="4:4" x14ac:dyDescent="0.25">
      <c r="D3943" s="3"/>
    </row>
    <row r="3961" spans="4:4" x14ac:dyDescent="0.25">
      <c r="D3961" s="3"/>
    </row>
    <row r="3989" spans="4:4" x14ac:dyDescent="0.25">
      <c r="D3989" s="3"/>
    </row>
    <row r="4017" spans="4:4" x14ac:dyDescent="0.25">
      <c r="D4017" s="3"/>
    </row>
    <row r="4033" spans="4:4" x14ac:dyDescent="0.25">
      <c r="D4033" s="3"/>
    </row>
    <row r="4050" spans="4:4" x14ac:dyDescent="0.25">
      <c r="D4050" s="3"/>
    </row>
    <row r="4068" spans="4:4" x14ac:dyDescent="0.25">
      <c r="D4068" s="3"/>
    </row>
    <row r="4083" spans="4:4" x14ac:dyDescent="0.25">
      <c r="D4083" s="3"/>
    </row>
    <row r="4092" spans="4:4" x14ac:dyDescent="0.25">
      <c r="D4092" s="3"/>
    </row>
    <row r="4097" spans="4:4" x14ac:dyDescent="0.25">
      <c r="D4097" s="3"/>
    </row>
    <row r="4101" spans="4:4" x14ac:dyDescent="0.25">
      <c r="D4101" s="3"/>
    </row>
    <row r="4103" spans="4:4" x14ac:dyDescent="0.25">
      <c r="D4103" s="3"/>
    </row>
    <row r="4115" spans="4:4" x14ac:dyDescent="0.25">
      <c r="D4115" s="3"/>
    </row>
    <row r="4123" spans="4:4" x14ac:dyDescent="0.25">
      <c r="D4123" s="3"/>
    </row>
    <row r="4124" spans="4:4" x14ac:dyDescent="0.25">
      <c r="D4124" s="3"/>
    </row>
    <row r="4134" spans="4:4" x14ac:dyDescent="0.25">
      <c r="D4134" s="3"/>
    </row>
    <row r="4137" spans="4:4" x14ac:dyDescent="0.25">
      <c r="D4137" s="3"/>
    </row>
    <row r="4138" spans="4:4" x14ac:dyDescent="0.25">
      <c r="D4138" s="3"/>
    </row>
    <row r="4142" spans="4:4" x14ac:dyDescent="0.25">
      <c r="D4142" s="3"/>
    </row>
    <row r="4146" spans="4:4" x14ac:dyDescent="0.25">
      <c r="D4146" s="3"/>
    </row>
    <row r="4155" spans="4:4" x14ac:dyDescent="0.25">
      <c r="D4155" s="3"/>
    </row>
    <row r="4156" spans="4:4" x14ac:dyDescent="0.25">
      <c r="D4156" s="3"/>
    </row>
    <row r="4168" spans="4:4" x14ac:dyDescent="0.25">
      <c r="D4168" s="3"/>
    </row>
    <row r="4174" spans="4:4" x14ac:dyDescent="0.25">
      <c r="D4174" s="3"/>
    </row>
    <row r="4179" spans="4:4" x14ac:dyDescent="0.25">
      <c r="D4179" s="3"/>
    </row>
    <row r="4180" spans="4:4" x14ac:dyDescent="0.25">
      <c r="D4180" s="3"/>
    </row>
    <row r="4191" spans="4:4" x14ac:dyDescent="0.25">
      <c r="D4191" s="3"/>
    </row>
    <row r="4198" spans="4:4" x14ac:dyDescent="0.25">
      <c r="D4198" s="3"/>
    </row>
    <row r="4199" spans="4:4" x14ac:dyDescent="0.25">
      <c r="D4199" s="3"/>
    </row>
    <row r="4203" spans="4:4" x14ac:dyDescent="0.25">
      <c r="D4203" s="3"/>
    </row>
    <row r="4204" spans="4:4" x14ac:dyDescent="0.25">
      <c r="D4204" s="3"/>
    </row>
    <row r="4211" spans="4:4" x14ac:dyDescent="0.25">
      <c r="D4211" s="3"/>
    </row>
    <row r="4213" spans="4:4" x14ac:dyDescent="0.25">
      <c r="D4213" s="3"/>
    </row>
    <row r="4215" spans="4:4" x14ac:dyDescent="0.25">
      <c r="D4215" s="3"/>
    </row>
    <row r="4220" spans="4:4" x14ac:dyDescent="0.25">
      <c r="D4220" s="3"/>
    </row>
    <row r="4227" spans="4:4" x14ac:dyDescent="0.25">
      <c r="D4227" s="3"/>
    </row>
    <row r="4237" spans="4:4" x14ac:dyDescent="0.25">
      <c r="D4237" s="3"/>
    </row>
    <row r="4239" spans="4:4" x14ac:dyDescent="0.25">
      <c r="D4239" s="3"/>
    </row>
    <row r="4251" spans="4:4" x14ac:dyDescent="0.25">
      <c r="D4251" s="3"/>
    </row>
    <row r="4253" spans="4:4" x14ac:dyDescent="0.25">
      <c r="D4253" s="3"/>
    </row>
    <row r="4255" spans="4:4" x14ac:dyDescent="0.25">
      <c r="D4255" s="3"/>
    </row>
    <row r="4268" spans="4:4" x14ac:dyDescent="0.25">
      <c r="D4268" s="3"/>
    </row>
    <row r="4271" spans="4:4" x14ac:dyDescent="0.25">
      <c r="D4271" s="3"/>
    </row>
    <row r="4273" spans="4:4" x14ac:dyDescent="0.25">
      <c r="D4273" s="3"/>
    </row>
    <row r="4282" spans="4:4" x14ac:dyDescent="0.25">
      <c r="D4282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306" spans="4:4" x14ac:dyDescent="0.25">
      <c r="D4306" s="3"/>
    </row>
    <row r="4307" spans="4:4" x14ac:dyDescent="0.25">
      <c r="D4307" s="3"/>
    </row>
    <row r="4311" spans="4:4" x14ac:dyDescent="0.25">
      <c r="D4311" s="3"/>
    </row>
    <row r="4316" spans="4:4" x14ac:dyDescent="0.25">
      <c r="D4316" s="3"/>
    </row>
    <row r="4321" spans="4:4" x14ac:dyDescent="0.25">
      <c r="D4321" s="3"/>
    </row>
    <row r="4326" spans="4:4" x14ac:dyDescent="0.25">
      <c r="D4326" s="3"/>
    </row>
    <row r="4333" spans="4:4" x14ac:dyDescent="0.25">
      <c r="D4333" s="3"/>
    </row>
    <row r="4335" spans="4:4" x14ac:dyDescent="0.25">
      <c r="D4335" s="3"/>
    </row>
    <row r="4353" spans="4:4" x14ac:dyDescent="0.25">
      <c r="D4353" s="3"/>
    </row>
    <row r="4368" spans="4:4" x14ac:dyDescent="0.25">
      <c r="D4368" s="3"/>
    </row>
    <row r="4378" spans="4:4" x14ac:dyDescent="0.25">
      <c r="D4378" s="3"/>
    </row>
    <row r="4400" spans="4:4" x14ac:dyDescent="0.25">
      <c r="D4400" s="3"/>
    </row>
    <row r="4429" spans="4:4" x14ac:dyDescent="0.25">
      <c r="D4429" s="3"/>
    </row>
    <row r="4430" spans="4:4" x14ac:dyDescent="0.25">
      <c r="D4430" s="3"/>
    </row>
    <row r="4451" spans="4:4" x14ac:dyDescent="0.25">
      <c r="D4451" s="3"/>
    </row>
    <row r="4454" spans="4:4" x14ac:dyDescent="0.25">
      <c r="D4454" s="3"/>
    </row>
    <row r="4468" spans="4:4" x14ac:dyDescent="0.25">
      <c r="D4468" s="3"/>
    </row>
    <row r="4474" spans="4:4" x14ac:dyDescent="0.25">
      <c r="D4474" s="3"/>
    </row>
    <row r="4485" spans="4:4" x14ac:dyDescent="0.25">
      <c r="D4485" s="3"/>
    </row>
    <row r="4498" spans="4:4" x14ac:dyDescent="0.25">
      <c r="D4498" s="3"/>
    </row>
    <row r="4499" spans="4:4" x14ac:dyDescent="0.25">
      <c r="D4499" s="3"/>
    </row>
    <row r="4513" spans="4:4" x14ac:dyDescent="0.25">
      <c r="D4513" s="3"/>
    </row>
    <row r="4520" spans="4:4" x14ac:dyDescent="0.25">
      <c r="D4520" s="3"/>
    </row>
    <row r="4523" spans="4:4" x14ac:dyDescent="0.25">
      <c r="D4523" s="3"/>
    </row>
    <row r="4540" spans="4:4" x14ac:dyDescent="0.25">
      <c r="D4540" s="3"/>
    </row>
    <row r="4541" spans="4:4" x14ac:dyDescent="0.25">
      <c r="D4541" s="3"/>
    </row>
    <row r="4543" spans="4:4" x14ac:dyDescent="0.25">
      <c r="D4543" s="3"/>
    </row>
    <row r="4551" spans="4:4" x14ac:dyDescent="0.25">
      <c r="D4551" s="3"/>
    </row>
    <row r="4556" spans="4:4" x14ac:dyDescent="0.25">
      <c r="D4556" s="3"/>
    </row>
    <row r="4573" spans="4:4" x14ac:dyDescent="0.25">
      <c r="D4573" s="3"/>
    </row>
    <row r="4583" spans="4:4" x14ac:dyDescent="0.25">
      <c r="D4583" s="3"/>
    </row>
    <row r="4623" spans="4:4" x14ac:dyDescent="0.25">
      <c r="D4623" s="3"/>
    </row>
    <row r="4627" spans="4:4" x14ac:dyDescent="0.25">
      <c r="D4627" s="3"/>
    </row>
    <row r="4651" spans="4:4" x14ac:dyDescent="0.25">
      <c r="D4651" s="3"/>
    </row>
    <row r="4660" spans="4:4" x14ac:dyDescent="0.25">
      <c r="D4660" s="3"/>
    </row>
    <row r="4663" spans="4:4" x14ac:dyDescent="0.25">
      <c r="D4663" s="3"/>
    </row>
    <row r="4665" spans="4:4" x14ac:dyDescent="0.25">
      <c r="D4665" s="3"/>
    </row>
    <row r="4674" spans="4:4" x14ac:dyDescent="0.25">
      <c r="D4674" s="3"/>
    </row>
    <row r="4681" spans="4:4" x14ac:dyDescent="0.25">
      <c r="D4681" s="3"/>
    </row>
    <row r="4695" spans="4:4" x14ac:dyDescent="0.25">
      <c r="D4695" s="3"/>
    </row>
    <row r="4708" spans="4:4" x14ac:dyDescent="0.25">
      <c r="D4708" s="3"/>
    </row>
    <row r="4718" spans="4:4" x14ac:dyDescent="0.25">
      <c r="D4718" s="3"/>
    </row>
    <row r="4723" spans="4:4" x14ac:dyDescent="0.25">
      <c r="D4723" s="3"/>
    </row>
    <row r="4733" spans="4:4" x14ac:dyDescent="0.25">
      <c r="D4733" s="3"/>
    </row>
    <row r="4744" spans="4:4" x14ac:dyDescent="0.25">
      <c r="D4744" s="3"/>
    </row>
    <row r="4763" spans="4:4" x14ac:dyDescent="0.25">
      <c r="D4763" s="3"/>
    </row>
    <row r="4782" spans="4:4" x14ac:dyDescent="0.25">
      <c r="D4782" s="3"/>
    </row>
    <row r="4789" spans="4:4" x14ac:dyDescent="0.25">
      <c r="D4789" s="3"/>
    </row>
    <row r="4798" spans="4:4" x14ac:dyDescent="0.25">
      <c r="D4798" s="3"/>
    </row>
    <row r="4805" spans="4:4" x14ac:dyDescent="0.25">
      <c r="D4805" s="3"/>
    </row>
    <row r="4825" spans="4:4" x14ac:dyDescent="0.25">
      <c r="D4825" s="3"/>
    </row>
    <row r="4844" spans="4:4" x14ac:dyDescent="0.25">
      <c r="D4844" s="3"/>
    </row>
    <row r="4854" spans="4:4" x14ac:dyDescent="0.25">
      <c r="D4854" s="3"/>
    </row>
    <row r="4860" spans="4:4" x14ac:dyDescent="0.25">
      <c r="D4860" s="3"/>
    </row>
    <row r="4877" spans="4:4" x14ac:dyDescent="0.25">
      <c r="D4877" s="3"/>
    </row>
    <row r="4878" spans="4:4" x14ac:dyDescent="0.25">
      <c r="D4878" s="3"/>
    </row>
    <row r="4895" spans="4:4" x14ac:dyDescent="0.25">
      <c r="D4895" s="3"/>
    </row>
    <row r="4898" spans="4:4" x14ac:dyDescent="0.25">
      <c r="D4898" s="3"/>
    </row>
    <row r="4911" spans="4:4" x14ac:dyDescent="0.25">
      <c r="D4911" s="3"/>
    </row>
    <row r="4921" spans="4:4" x14ac:dyDescent="0.25">
      <c r="D4921" s="3"/>
    </row>
    <row r="4929" spans="4:4" x14ac:dyDescent="0.25">
      <c r="D4929" s="3"/>
    </row>
    <row r="4940" spans="4:4" x14ac:dyDescent="0.25">
      <c r="D4940" s="3"/>
    </row>
    <row r="4954" spans="4:4" x14ac:dyDescent="0.25">
      <c r="D4954" s="3"/>
    </row>
    <row r="4966" spans="4:4" x14ac:dyDescent="0.25">
      <c r="D4966" s="3"/>
    </row>
    <row r="4978" spans="4:4" x14ac:dyDescent="0.25">
      <c r="D4978" s="3"/>
    </row>
    <row r="4991" spans="4:4" x14ac:dyDescent="0.25">
      <c r="D4991" s="3"/>
    </row>
    <row r="5000" spans="4:4" x14ac:dyDescent="0.25">
      <c r="D5000" s="3"/>
    </row>
    <row r="5015" spans="4:4" x14ac:dyDescent="0.25">
      <c r="D5015" s="3"/>
    </row>
    <row r="5016" spans="4:4" x14ac:dyDescent="0.25">
      <c r="D5016" s="3"/>
    </row>
    <row r="5028" spans="4:4" x14ac:dyDescent="0.25">
      <c r="D5028" s="3"/>
    </row>
    <row r="5038" spans="4:4" x14ac:dyDescent="0.25">
      <c r="D5038" s="3"/>
    </row>
    <row r="5070" spans="4:4" x14ac:dyDescent="0.25">
      <c r="D5070" s="3"/>
    </row>
    <row r="5072" spans="4:4" x14ac:dyDescent="0.25">
      <c r="D5072" s="3"/>
    </row>
    <row r="5076" spans="4:4" x14ac:dyDescent="0.25">
      <c r="D5076" s="3"/>
    </row>
    <row r="5084" spans="4:4" x14ac:dyDescent="0.25">
      <c r="D5084" s="3"/>
    </row>
    <row r="5095" spans="4:4" x14ac:dyDescent="0.25">
      <c r="D5095" s="3"/>
    </row>
    <row r="5115" spans="4:4" x14ac:dyDescent="0.25">
      <c r="D5115" s="3"/>
    </row>
    <row r="5117" spans="4:4" x14ac:dyDescent="0.25">
      <c r="D5117" s="3"/>
    </row>
    <row r="5123" spans="4:4" x14ac:dyDescent="0.25">
      <c r="D5123" s="3"/>
    </row>
    <row r="5129" spans="4:4" x14ac:dyDescent="0.25">
      <c r="D5129" s="3"/>
    </row>
    <row r="5160" spans="4:4" x14ac:dyDescent="0.25">
      <c r="D5160" s="3"/>
    </row>
    <row r="5163" spans="4:4" x14ac:dyDescent="0.25">
      <c r="D5163" s="3"/>
    </row>
    <row r="5164" spans="4:4" x14ac:dyDescent="0.25">
      <c r="D5164" s="3"/>
    </row>
    <row r="5167" spans="4:4" x14ac:dyDescent="0.25">
      <c r="D5167" s="3"/>
    </row>
    <row r="5175" spans="4:4" x14ac:dyDescent="0.25">
      <c r="D5175" s="3"/>
    </row>
    <row r="5179" spans="4:4" x14ac:dyDescent="0.25">
      <c r="D5179" s="3"/>
    </row>
    <row r="5183" spans="4:4" x14ac:dyDescent="0.25">
      <c r="D5183" s="3"/>
    </row>
    <row r="5190" spans="4:4" x14ac:dyDescent="0.25">
      <c r="D5190" s="3"/>
    </row>
    <row r="5193" spans="4:4" x14ac:dyDescent="0.25">
      <c r="D5193" s="3"/>
    </row>
    <row r="5208" spans="4:4" x14ac:dyDescent="0.25">
      <c r="D5208" s="3"/>
    </row>
    <row r="5220" spans="4:4" x14ac:dyDescent="0.25">
      <c r="D5220" s="3"/>
    </row>
    <row r="5234" spans="4:4" x14ac:dyDescent="0.25">
      <c r="D5234" s="3"/>
    </row>
    <row r="5253" spans="4:4" x14ac:dyDescent="0.25">
      <c r="D5253" s="3"/>
    </row>
    <row r="5267" spans="4:4" x14ac:dyDescent="0.25">
      <c r="D5267" s="3"/>
    </row>
    <row r="5294" spans="4:4" x14ac:dyDescent="0.25">
      <c r="D5294" s="3"/>
    </row>
    <row r="5315" spans="4:4" x14ac:dyDescent="0.25">
      <c r="D5315" s="3"/>
    </row>
    <row r="5324" spans="4:4" x14ac:dyDescent="0.25">
      <c r="D5324" s="3"/>
    </row>
    <row r="5330" spans="4:4" x14ac:dyDescent="0.25">
      <c r="D5330" s="3"/>
    </row>
    <row r="5353" spans="4:4" x14ac:dyDescent="0.25">
      <c r="D5353" s="3"/>
    </row>
    <row r="5364" spans="4:4" x14ac:dyDescent="0.25">
      <c r="D5364" s="3"/>
    </row>
    <row r="5386" spans="4:4" x14ac:dyDescent="0.25">
      <c r="D5386" s="3"/>
    </row>
    <row r="5398" spans="4:4" x14ac:dyDescent="0.25">
      <c r="D5398" s="3"/>
    </row>
    <row r="5407" spans="4:4" x14ac:dyDescent="0.25">
      <c r="D5407" s="3"/>
    </row>
    <row r="5415" spans="4:4" x14ac:dyDescent="0.25">
      <c r="D5415" s="3"/>
    </row>
    <row r="5428" spans="4:10" x14ac:dyDescent="0.25">
      <c r="J5428" s="8"/>
    </row>
    <row r="5429" spans="4:10" x14ac:dyDescent="0.25">
      <c r="D5429" s="3"/>
    </row>
    <row r="5444" spans="4:4" x14ac:dyDescent="0.25">
      <c r="D5444" s="3"/>
    </row>
    <row r="5460" spans="4:10" x14ac:dyDescent="0.25">
      <c r="D5460" s="3"/>
    </row>
    <row r="5462" spans="4:10" x14ac:dyDescent="0.25">
      <c r="J5462" s="8"/>
    </row>
    <row r="5474" spans="4:4" x14ac:dyDescent="0.25">
      <c r="D5474" s="3"/>
    </row>
    <row r="5494" spans="4:4" x14ac:dyDescent="0.25">
      <c r="D5494" s="3"/>
    </row>
    <row r="5496" spans="4:4" x14ac:dyDescent="0.25">
      <c r="D5496" s="3"/>
    </row>
    <row r="5501" spans="4:4" x14ac:dyDescent="0.25">
      <c r="D5501" s="3"/>
    </row>
    <row r="5505" spans="4:4" x14ac:dyDescent="0.25">
      <c r="D5505" s="3"/>
    </row>
    <row r="5507" spans="4:4" x14ac:dyDescent="0.25">
      <c r="D5507" s="3"/>
    </row>
    <row r="5510" spans="4:4" x14ac:dyDescent="0.25">
      <c r="D5510" s="3"/>
    </row>
    <row r="5522" spans="4:4" x14ac:dyDescent="0.25">
      <c r="D5522" s="3"/>
    </row>
    <row r="5523" spans="4:4" x14ac:dyDescent="0.25">
      <c r="D5523" s="3"/>
    </row>
    <row r="5529" spans="4:4" x14ac:dyDescent="0.25">
      <c r="D5529" s="3"/>
    </row>
    <row r="5544" spans="4:4" x14ac:dyDescent="0.25">
      <c r="D5544" s="3"/>
    </row>
    <row r="5545" spans="4:4" x14ac:dyDescent="0.25">
      <c r="D5545" s="3"/>
    </row>
    <row r="5552" spans="4:4" x14ac:dyDescent="0.25">
      <c r="D5552" s="3"/>
    </row>
    <row r="5556" spans="4:4" x14ac:dyDescent="0.25">
      <c r="D5556" s="3"/>
    </row>
    <row r="5570" spans="4:4" x14ac:dyDescent="0.25">
      <c r="D5570" s="3"/>
    </row>
    <row r="5578" spans="4:4" x14ac:dyDescent="0.25">
      <c r="D5578" s="3"/>
    </row>
    <row r="5589" spans="4:4" x14ac:dyDescent="0.25">
      <c r="D5589" s="3"/>
    </row>
    <row r="5599" spans="4:4" x14ac:dyDescent="0.25">
      <c r="D5599" s="3"/>
    </row>
    <row r="5601" spans="4:4" x14ac:dyDescent="0.25">
      <c r="D5601" s="3"/>
    </row>
    <row r="5608" spans="4:4" x14ac:dyDescent="0.25">
      <c r="D5608" s="3"/>
    </row>
    <row r="5615" spans="4:4" x14ac:dyDescent="0.25">
      <c r="D5615" s="3"/>
    </row>
    <row r="5618" spans="4:4" x14ac:dyDescent="0.25">
      <c r="D5618" s="3"/>
    </row>
    <row r="5621" spans="4:4" x14ac:dyDescent="0.25">
      <c r="D5621" s="3"/>
    </row>
    <row r="5632" spans="4:4" x14ac:dyDescent="0.25">
      <c r="D5632" s="3"/>
    </row>
    <row r="5638" spans="4:4" x14ac:dyDescent="0.25">
      <c r="D5638" s="3"/>
    </row>
    <row r="5642" spans="4:4" x14ac:dyDescent="0.25">
      <c r="D5642" s="3"/>
    </row>
    <row r="5667" spans="4:4" x14ac:dyDescent="0.25">
      <c r="D5667" s="3"/>
    </row>
    <row r="5676" spans="4:4" x14ac:dyDescent="0.25">
      <c r="D5676" s="3"/>
    </row>
    <row r="5678" spans="4:4" x14ac:dyDescent="0.25">
      <c r="D5678" s="3"/>
    </row>
    <row r="5680" spans="4:4" x14ac:dyDescent="0.25">
      <c r="D5680" s="3"/>
    </row>
    <row r="5683" spans="4:4" x14ac:dyDescent="0.25">
      <c r="D5683" s="3"/>
    </row>
    <row r="5696" spans="4:4" x14ac:dyDescent="0.25">
      <c r="D5696" s="3"/>
    </row>
    <row r="5701" spans="4:4" x14ac:dyDescent="0.25">
      <c r="D5701" s="3"/>
    </row>
    <row r="5719" spans="4:4" x14ac:dyDescent="0.25">
      <c r="D5719" s="3"/>
    </row>
    <row r="5729" spans="4:4" x14ac:dyDescent="0.25">
      <c r="D5729" s="3"/>
    </row>
    <row r="5741" spans="4:4" x14ac:dyDescent="0.25">
      <c r="D5741" s="3"/>
    </row>
    <row r="5749" spans="4:4" x14ac:dyDescent="0.25">
      <c r="D5749" s="3"/>
    </row>
    <row r="5766" spans="4:4" x14ac:dyDescent="0.25">
      <c r="D5766" s="3"/>
    </row>
    <row r="5809" spans="4:4" x14ac:dyDescent="0.25">
      <c r="D5809" s="3"/>
    </row>
    <row r="6068" spans="10:10" x14ac:dyDescent="0.25">
      <c r="J6068" s="8"/>
    </row>
    <row r="6439" spans="4:4" x14ac:dyDescent="0.25">
      <c r="D6439" s="3"/>
    </row>
    <row r="6668" spans="4:4" x14ac:dyDescent="0.25">
      <c r="D6668" s="3"/>
    </row>
    <row r="6681" spans="4:4" x14ac:dyDescent="0.25">
      <c r="D6681" s="3"/>
    </row>
    <row r="6689" spans="4:4" x14ac:dyDescent="0.25">
      <c r="D6689" s="3"/>
    </row>
    <row r="6690" spans="4:4" x14ac:dyDescent="0.25">
      <c r="D6690" s="3"/>
    </row>
    <row r="6695" spans="4:4" x14ac:dyDescent="0.25">
      <c r="D6695" s="3"/>
    </row>
    <row r="6701" spans="4:4" x14ac:dyDescent="0.25">
      <c r="D6701" s="3"/>
    </row>
    <row r="6703" spans="4:4" x14ac:dyDescent="0.25">
      <c r="D6703" s="3"/>
    </row>
    <row r="6708" spans="4:4" x14ac:dyDescent="0.25">
      <c r="D6708" s="3"/>
    </row>
    <row r="6714" spans="4:4" x14ac:dyDescent="0.25">
      <c r="D6714" s="3"/>
    </row>
    <row r="6722" spans="4:4" x14ac:dyDescent="0.25">
      <c r="D6722" s="3"/>
    </row>
    <row r="6725" spans="4:4" x14ac:dyDescent="0.25">
      <c r="D6725" s="3"/>
    </row>
    <row r="6734" spans="4:4" x14ac:dyDescent="0.25">
      <c r="D6734" s="3"/>
    </row>
    <row r="6740" spans="4:4" x14ac:dyDescent="0.25">
      <c r="D6740" s="3"/>
    </row>
    <row r="6743" spans="4:4" x14ac:dyDescent="0.25">
      <c r="D6743" s="3"/>
    </row>
    <row r="6745" spans="4:4" x14ac:dyDescent="0.25">
      <c r="D6745" s="3"/>
    </row>
    <row r="6750" spans="4:4" x14ac:dyDescent="0.25">
      <c r="D6750" s="3"/>
    </row>
    <row r="6752" spans="4:4" x14ac:dyDescent="0.25">
      <c r="D6752" s="3"/>
    </row>
    <row r="6758" spans="4:4" x14ac:dyDescent="0.25">
      <c r="D6758" s="3"/>
    </row>
    <row r="6760" spans="4:4" x14ac:dyDescent="0.25">
      <c r="D6760" s="3"/>
    </row>
    <row r="6774" spans="4:4" x14ac:dyDescent="0.25">
      <c r="D6774" s="3"/>
    </row>
    <row r="6776" spans="4:4" x14ac:dyDescent="0.25">
      <c r="D6776" s="3"/>
    </row>
    <row r="6780" spans="4:4" x14ac:dyDescent="0.25">
      <c r="D6780" s="3"/>
    </row>
    <row r="6794" spans="4:4" x14ac:dyDescent="0.25">
      <c r="D6794" s="3"/>
    </row>
    <row r="6798" spans="4:4" x14ac:dyDescent="0.25">
      <c r="D6798" s="3"/>
    </row>
    <row r="6811" spans="4:4" x14ac:dyDescent="0.25">
      <c r="D6811" s="3"/>
    </row>
    <row r="6815" spans="4:4" x14ac:dyDescent="0.25">
      <c r="D6815" s="3"/>
    </row>
    <row r="6827" spans="4:4" x14ac:dyDescent="0.25">
      <c r="D6827" s="3"/>
    </row>
    <row r="6828" spans="4:4" x14ac:dyDescent="0.25">
      <c r="D6828" s="3"/>
    </row>
    <row r="6835" spans="4:4" x14ac:dyDescent="0.25">
      <c r="D6835" s="3"/>
    </row>
    <row r="6839" spans="4:4" x14ac:dyDescent="0.25">
      <c r="D6839" s="3"/>
    </row>
    <row r="6846" spans="4:4" x14ac:dyDescent="0.25">
      <c r="D6846" s="3"/>
    </row>
    <row r="6847" spans="4:4" x14ac:dyDescent="0.25">
      <c r="D6847" s="3"/>
    </row>
    <row r="6859" spans="4:4" x14ac:dyDescent="0.25">
      <c r="D6859" s="3"/>
    </row>
    <row r="6868" spans="4:4" x14ac:dyDescent="0.25">
      <c r="D6868" s="3"/>
    </row>
    <row r="6873" spans="4:4" x14ac:dyDescent="0.25">
      <c r="D6873" s="3"/>
    </row>
    <row r="6886" spans="4:4" x14ac:dyDescent="0.25">
      <c r="D6886" s="3"/>
    </row>
    <row r="6888" spans="4:4" x14ac:dyDescent="0.25">
      <c r="D6888" s="3"/>
    </row>
    <row r="6889" spans="4:4" x14ac:dyDescent="0.25">
      <c r="D6889" s="3"/>
    </row>
    <row r="6901" spans="4:4" x14ac:dyDescent="0.25">
      <c r="D6901" s="3"/>
    </row>
    <row r="6909" spans="4:4" x14ac:dyDescent="0.25">
      <c r="D6909" s="3"/>
    </row>
    <row r="6927" spans="4:4" x14ac:dyDescent="0.25">
      <c r="D6927" s="3"/>
    </row>
    <row r="6933" spans="4:4" x14ac:dyDescent="0.25">
      <c r="D6933" s="3"/>
    </row>
    <row r="6934" spans="4:4" x14ac:dyDescent="0.25">
      <c r="D6934" s="3"/>
    </row>
    <row r="6944" spans="4:4" x14ac:dyDescent="0.25">
      <c r="D6944" s="3"/>
    </row>
    <row r="6945" spans="4:4" x14ac:dyDescent="0.25">
      <c r="D6945" s="3"/>
    </row>
    <row r="6953" spans="4:4" x14ac:dyDescent="0.25">
      <c r="D6953" s="3"/>
    </row>
    <row r="6957" spans="4:4" x14ac:dyDescent="0.25">
      <c r="D6957" s="3"/>
    </row>
    <row r="6960" spans="4:4" x14ac:dyDescent="0.25">
      <c r="D6960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71" spans="4:4" x14ac:dyDescent="0.25">
      <c r="D6971" s="3"/>
    </row>
    <row r="6975" spans="4:4" x14ac:dyDescent="0.25">
      <c r="D6975" s="3"/>
    </row>
    <row r="6977" spans="4:4" x14ac:dyDescent="0.25">
      <c r="D6977" s="3"/>
    </row>
    <row r="6979" spans="4:4" x14ac:dyDescent="0.25">
      <c r="D6979" s="3"/>
    </row>
    <row r="6980" spans="4:4" x14ac:dyDescent="0.25">
      <c r="D6980" s="3"/>
    </row>
    <row r="6994" spans="4:4" x14ac:dyDescent="0.25">
      <c r="D6994" s="3"/>
    </row>
    <row r="7002" spans="4:4" x14ac:dyDescent="0.25">
      <c r="D7002" s="3"/>
    </row>
    <row r="7004" spans="4:4" x14ac:dyDescent="0.25">
      <c r="D7004" s="3"/>
    </row>
    <row r="7006" spans="4:4" x14ac:dyDescent="0.25">
      <c r="D7006" s="3"/>
    </row>
    <row r="7016" spans="4:4" x14ac:dyDescent="0.25">
      <c r="D7016" s="3"/>
    </row>
    <row r="7018" spans="4:4" x14ac:dyDescent="0.25">
      <c r="D7018" s="3"/>
    </row>
    <row r="7027" spans="4:4" x14ac:dyDescent="0.25">
      <c r="D7027" s="3"/>
    </row>
    <row r="7037" spans="4:4" x14ac:dyDescent="0.25">
      <c r="D7037" s="3"/>
    </row>
    <row r="7038" spans="4:4" x14ac:dyDescent="0.25">
      <c r="D7038" s="3"/>
    </row>
    <row r="7042" spans="4:4" x14ac:dyDescent="0.25">
      <c r="D7042" s="3"/>
    </row>
    <row r="7044" spans="4:4" x14ac:dyDescent="0.25">
      <c r="D7044" s="3"/>
    </row>
    <row r="7046" spans="4:4" x14ac:dyDescent="0.25">
      <c r="D7046" s="3"/>
    </row>
    <row r="7054" spans="4:4" x14ac:dyDescent="0.25">
      <c r="D7054" s="3"/>
    </row>
    <row r="7059" spans="4:4" x14ac:dyDescent="0.25">
      <c r="D7059" s="3"/>
    </row>
    <row r="7062" spans="4:4" x14ac:dyDescent="0.25">
      <c r="D7062" s="3"/>
    </row>
    <row r="7067" spans="4:4" x14ac:dyDescent="0.25">
      <c r="D7067" s="3"/>
    </row>
    <row r="7070" spans="4:4" x14ac:dyDescent="0.25">
      <c r="D7070" s="3"/>
    </row>
    <row r="7072" spans="4:4" x14ac:dyDescent="0.25">
      <c r="D7072" s="3"/>
    </row>
    <row r="7087" spans="4:4" x14ac:dyDescent="0.25">
      <c r="D7087" s="3"/>
    </row>
    <row r="7088" spans="4:4" x14ac:dyDescent="0.25">
      <c r="D7088" s="3"/>
    </row>
    <row r="7096" spans="4:4" x14ac:dyDescent="0.25">
      <c r="D7096" s="3"/>
    </row>
    <row r="7099" spans="4:4" x14ac:dyDescent="0.25">
      <c r="D7099" s="3"/>
    </row>
    <row r="7103" spans="4:4" x14ac:dyDescent="0.25">
      <c r="D7103" s="3"/>
    </row>
    <row r="7106" spans="4:4" x14ac:dyDescent="0.25">
      <c r="D7106" s="3"/>
    </row>
    <row r="7108" spans="4:4" x14ac:dyDescent="0.25">
      <c r="D7108" s="3"/>
    </row>
    <row r="7121" spans="4:4" x14ac:dyDescent="0.25">
      <c r="D7121" s="3"/>
    </row>
    <row r="7123" spans="4:4" x14ac:dyDescent="0.25">
      <c r="D7123" s="3"/>
    </row>
    <row r="7126" spans="4:4" x14ac:dyDescent="0.25">
      <c r="D7126" s="3"/>
    </row>
    <row r="7127" spans="4:4" x14ac:dyDescent="0.25">
      <c r="D7127" s="3"/>
    </row>
    <row r="7131" spans="4:4" x14ac:dyDescent="0.25">
      <c r="D7131" s="3"/>
    </row>
    <row r="7132" spans="4:4" x14ac:dyDescent="0.25">
      <c r="D7132" s="3"/>
    </row>
    <row r="7137" spans="4:4" x14ac:dyDescent="0.25">
      <c r="D7137" s="3"/>
    </row>
    <row r="7139" spans="4:4" x14ac:dyDescent="0.25">
      <c r="D7139" s="3"/>
    </row>
    <row r="7148" spans="4:4" x14ac:dyDescent="0.25">
      <c r="D7148" s="3"/>
    </row>
    <row r="7150" spans="4:4" x14ac:dyDescent="0.25">
      <c r="D7150" s="3"/>
    </row>
    <row r="7152" spans="4:4" x14ac:dyDescent="0.25">
      <c r="D7152" s="3"/>
    </row>
    <row r="7165" spans="4:4" x14ac:dyDescent="0.25">
      <c r="D7165" s="3"/>
    </row>
    <row r="7166" spans="4:4" x14ac:dyDescent="0.25">
      <c r="D7166" s="3"/>
    </row>
    <row r="7177" spans="4:4" x14ac:dyDescent="0.25">
      <c r="D7177" s="3"/>
    </row>
    <row r="7181" spans="4:4" x14ac:dyDescent="0.25">
      <c r="D7181" s="3"/>
    </row>
    <row r="7183" spans="4:4" x14ac:dyDescent="0.25">
      <c r="D7183" s="3"/>
    </row>
    <row r="7184" spans="4:4" x14ac:dyDescent="0.25">
      <c r="D7184" s="3"/>
    </row>
    <row r="7188" spans="4:4" x14ac:dyDescent="0.25">
      <c r="D7188" s="3"/>
    </row>
    <row r="7192" spans="4:4" x14ac:dyDescent="0.25">
      <c r="D7192" s="3"/>
    </row>
    <row r="7197" spans="4:4" x14ac:dyDescent="0.25">
      <c r="D7197" s="3"/>
    </row>
    <row r="7199" spans="4:4" x14ac:dyDescent="0.25">
      <c r="D7199" s="3"/>
    </row>
    <row r="7205" spans="4:4" x14ac:dyDescent="0.25">
      <c r="D7205" s="3"/>
    </row>
    <row r="7207" spans="4:4" x14ac:dyDescent="0.25">
      <c r="D7207" s="3"/>
    </row>
    <row r="7213" spans="4:4" x14ac:dyDescent="0.25">
      <c r="D7213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40" spans="4:4" x14ac:dyDescent="0.25">
      <c r="D7240" s="3"/>
    </row>
    <row r="7242" spans="4:4" x14ac:dyDescent="0.25">
      <c r="D7242" s="3"/>
    </row>
    <row r="7245" spans="4:4" x14ac:dyDescent="0.25">
      <c r="D7245" s="3"/>
    </row>
    <row r="7246" spans="4:4" x14ac:dyDescent="0.25">
      <c r="D7246" s="3"/>
    </row>
    <row r="7254" spans="4:4" x14ac:dyDescent="0.25">
      <c r="D7254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74" spans="4:4" x14ac:dyDescent="0.25">
      <c r="D7274" s="3"/>
    </row>
    <row r="7279" spans="4:4" x14ac:dyDescent="0.25">
      <c r="D7279" s="3"/>
    </row>
    <row r="7281" spans="4:4" x14ac:dyDescent="0.25">
      <c r="D7281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5" spans="4:4" x14ac:dyDescent="0.25">
      <c r="D7295" s="3"/>
    </row>
    <row r="7297" spans="4:4" x14ac:dyDescent="0.25">
      <c r="D7297" s="3"/>
    </row>
    <row r="7299" spans="4:4" x14ac:dyDescent="0.25">
      <c r="D7299" s="3"/>
    </row>
    <row r="7307" spans="4:4" x14ac:dyDescent="0.25">
      <c r="D7307" s="3"/>
    </row>
    <row r="7308" spans="4:4" x14ac:dyDescent="0.25">
      <c r="D7308" s="3"/>
    </row>
    <row r="7312" spans="4:4" x14ac:dyDescent="0.25">
      <c r="D7312" s="3"/>
    </row>
    <row r="7317" spans="4:4" x14ac:dyDescent="0.25">
      <c r="D7317" s="3"/>
    </row>
    <row r="7325" spans="4:4" x14ac:dyDescent="0.25">
      <c r="D7325" s="3"/>
    </row>
    <row r="7326" spans="4:4" x14ac:dyDescent="0.25">
      <c r="D7326" s="3"/>
    </row>
    <row r="7334" spans="4:4" x14ac:dyDescent="0.25">
      <c r="D7334" s="3"/>
    </row>
    <row r="7335" spans="4:4" x14ac:dyDescent="0.25">
      <c r="D7335" s="3"/>
    </row>
    <row r="7339" spans="4:4" x14ac:dyDescent="0.25">
      <c r="D7339" s="3"/>
    </row>
    <row r="7347" spans="4:4" x14ac:dyDescent="0.25">
      <c r="D7347" s="3"/>
    </row>
    <row r="7351" spans="4:4" x14ac:dyDescent="0.25">
      <c r="D7351" s="3"/>
    </row>
    <row r="7352" spans="4:4" x14ac:dyDescent="0.25">
      <c r="D7352" s="3"/>
    </row>
    <row r="7360" spans="4:4" x14ac:dyDescent="0.25">
      <c r="D7360" s="3"/>
    </row>
    <row r="7361" spans="4:4" x14ac:dyDescent="0.25">
      <c r="D7361" s="3"/>
    </row>
    <row r="7365" spans="4:4" x14ac:dyDescent="0.25">
      <c r="D7365" s="3"/>
    </row>
    <row r="7368" spans="4:4" x14ac:dyDescent="0.25">
      <c r="D7368" s="3"/>
    </row>
    <row r="7377" spans="4:4" x14ac:dyDescent="0.25">
      <c r="D7377" s="3"/>
    </row>
    <row r="7382" spans="4:4" x14ac:dyDescent="0.25">
      <c r="D7382" s="3"/>
    </row>
    <row r="7383" spans="4:4" x14ac:dyDescent="0.25">
      <c r="D7383" s="3"/>
    </row>
    <row r="7400" spans="4:4" x14ac:dyDescent="0.25">
      <c r="D7400" s="3"/>
    </row>
    <row r="7402" spans="4:4" x14ac:dyDescent="0.25">
      <c r="D7402" s="3"/>
    </row>
    <row r="7403" spans="4:4" x14ac:dyDescent="0.25">
      <c r="D7403" s="3"/>
    </row>
    <row r="7407" spans="4:4" x14ac:dyDescent="0.25">
      <c r="D7407" s="3"/>
    </row>
    <row r="7415" spans="4:4" x14ac:dyDescent="0.25">
      <c r="D7415" s="3"/>
    </row>
    <row r="7419" spans="4:4" x14ac:dyDescent="0.25">
      <c r="D7419" s="3"/>
    </row>
    <row r="7424" spans="4:4" x14ac:dyDescent="0.25">
      <c r="D7424" s="3"/>
    </row>
    <row r="7433" spans="4:4" x14ac:dyDescent="0.25">
      <c r="D7433" s="3"/>
    </row>
    <row r="7438" spans="4:4" x14ac:dyDescent="0.25">
      <c r="D7438" s="3"/>
    </row>
    <row r="7447" spans="4:4" x14ac:dyDescent="0.25">
      <c r="D7447" s="3"/>
    </row>
    <row r="7450" spans="4:4" x14ac:dyDescent="0.25">
      <c r="D7450" s="3"/>
    </row>
    <row r="7455" spans="4:4" x14ac:dyDescent="0.25">
      <c r="D7455" s="3"/>
    </row>
    <row r="7459" spans="4:4" x14ac:dyDescent="0.25">
      <c r="D7459" s="3"/>
    </row>
    <row r="7463" spans="4:4" x14ac:dyDescent="0.25">
      <c r="D7463" s="3"/>
    </row>
    <row r="7469" spans="4:4" x14ac:dyDescent="0.25">
      <c r="D7469" s="3"/>
    </row>
    <row r="7494" spans="4:4" x14ac:dyDescent="0.25">
      <c r="D7494" s="3"/>
    </row>
    <row r="7497" spans="4:4" x14ac:dyDescent="0.25">
      <c r="D7497" s="3"/>
    </row>
    <row r="7504" spans="4:4" x14ac:dyDescent="0.25">
      <c r="D7504" s="3"/>
    </row>
    <row r="7510" spans="4:4" x14ac:dyDescent="0.25">
      <c r="D7510" s="3"/>
    </row>
    <row r="7518" spans="4:4" x14ac:dyDescent="0.25">
      <c r="D7518" s="3"/>
    </row>
    <row r="7530" spans="4:4" x14ac:dyDescent="0.25">
      <c r="D7530" s="3"/>
    </row>
    <row r="7547" spans="4:4" x14ac:dyDescent="0.25">
      <c r="D7547" s="3"/>
    </row>
    <row r="7556" spans="4:4" x14ac:dyDescent="0.25">
      <c r="D7556" s="3"/>
    </row>
    <row r="7558" spans="4:4" x14ac:dyDescent="0.25">
      <c r="D7558" s="3"/>
    </row>
    <row r="7559" spans="4:4" x14ac:dyDescent="0.25">
      <c r="D7559" s="3"/>
    </row>
    <row r="7562" spans="4:4" x14ac:dyDescent="0.25">
      <c r="D7562" s="3"/>
    </row>
    <row r="7579" spans="4:4" x14ac:dyDescent="0.25">
      <c r="D7579" s="3"/>
    </row>
    <row r="7583" spans="4:4" x14ac:dyDescent="0.25">
      <c r="D7583" s="3"/>
    </row>
    <row r="7585" spans="4:4" x14ac:dyDescent="0.25">
      <c r="D7585" s="3"/>
    </row>
    <row r="7587" spans="4:4" x14ac:dyDescent="0.25">
      <c r="D7587" s="3"/>
    </row>
    <row r="7596" spans="4:4" x14ac:dyDescent="0.25">
      <c r="D7596" s="3"/>
    </row>
    <row r="7598" spans="4:4" x14ac:dyDescent="0.25">
      <c r="D7598" s="3"/>
    </row>
    <row r="7600" spans="4:4" x14ac:dyDescent="0.25">
      <c r="D7600" s="3"/>
    </row>
    <row r="7602" spans="4:4" x14ac:dyDescent="0.25">
      <c r="D7602" s="3"/>
    </row>
    <row r="7612" spans="4:4" x14ac:dyDescent="0.25">
      <c r="D7612" s="3"/>
    </row>
    <row r="7613" spans="4:4" x14ac:dyDescent="0.25">
      <c r="D7613" s="3"/>
    </row>
    <row r="7620" spans="4:4" x14ac:dyDescent="0.25">
      <c r="D7620" s="3"/>
    </row>
    <row r="7624" spans="4:4" x14ac:dyDescent="0.25">
      <c r="D7624" s="3"/>
    </row>
    <row r="7630" spans="4:4" x14ac:dyDescent="0.25">
      <c r="D7630" s="3"/>
    </row>
    <row r="7635" spans="4:4" x14ac:dyDescent="0.25">
      <c r="D7635" s="3"/>
    </row>
    <row r="7639" spans="4:4" x14ac:dyDescent="0.25">
      <c r="D763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8" spans="4:4" x14ac:dyDescent="0.25">
      <c r="D7658" s="3"/>
    </row>
    <row r="7661" spans="4:4" x14ac:dyDescent="0.25">
      <c r="D7661" s="3"/>
    </row>
    <row r="7675" spans="4:4" x14ac:dyDescent="0.25">
      <c r="D7675" s="3"/>
    </row>
    <row r="7676" spans="4:4" x14ac:dyDescent="0.25">
      <c r="D7676" s="3"/>
    </row>
    <row r="7678" spans="4:4" x14ac:dyDescent="0.25">
      <c r="D7678" s="3"/>
    </row>
    <row r="7694" spans="4:4" x14ac:dyDescent="0.25">
      <c r="D7694" s="3"/>
    </row>
    <row r="7701" spans="4:4" x14ac:dyDescent="0.25">
      <c r="D7701" s="3"/>
    </row>
    <row r="7702" spans="4:4" x14ac:dyDescent="0.25">
      <c r="D7702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34" spans="4:4" x14ac:dyDescent="0.25">
      <c r="D7734" s="3"/>
    </row>
    <row r="7736" spans="4:4" x14ac:dyDescent="0.25">
      <c r="D7736" s="3"/>
    </row>
    <row r="7740" spans="4:4" x14ac:dyDescent="0.25">
      <c r="D7740" s="3"/>
    </row>
    <row r="7748" spans="4:4" x14ac:dyDescent="0.25">
      <c r="D7748" s="3"/>
    </row>
    <row r="7752" spans="4:4" x14ac:dyDescent="0.25">
      <c r="D7752" s="3"/>
    </row>
    <row r="7754" spans="4:4" x14ac:dyDescent="0.25">
      <c r="D7754" s="3"/>
    </row>
    <row r="7755" spans="4:4" x14ac:dyDescent="0.25">
      <c r="D7755" s="3"/>
    </row>
    <row r="7762" spans="4:4" x14ac:dyDescent="0.25">
      <c r="D7762" s="3"/>
    </row>
    <row r="7765" spans="4:4" x14ac:dyDescent="0.25">
      <c r="D7765" s="3"/>
    </row>
    <row r="7772" spans="4:4" x14ac:dyDescent="0.25">
      <c r="D7772" s="3"/>
    </row>
    <row r="7779" spans="4:4" x14ac:dyDescent="0.25">
      <c r="D7779" s="3"/>
    </row>
    <row r="7780" spans="4:4" x14ac:dyDescent="0.25">
      <c r="D7780" s="3"/>
    </row>
    <row r="7784" spans="4:4" x14ac:dyDescent="0.25">
      <c r="D7784" s="3"/>
    </row>
    <row r="7792" spans="4:4" x14ac:dyDescent="0.25">
      <c r="D7792" s="3"/>
    </row>
    <row r="7799" spans="4:4" x14ac:dyDescent="0.25">
      <c r="D7799" s="3"/>
    </row>
    <row r="7824" spans="4:4" x14ac:dyDescent="0.25">
      <c r="D7824" s="3"/>
    </row>
    <row r="7825" spans="4:4" x14ac:dyDescent="0.25">
      <c r="D7825" s="3"/>
    </row>
    <row r="7834" spans="4:4" x14ac:dyDescent="0.25">
      <c r="D7834" s="3"/>
    </row>
    <row r="7843" spans="4:4" x14ac:dyDescent="0.25">
      <c r="D7843" s="3"/>
    </row>
    <row r="7845" spans="4:4" x14ac:dyDescent="0.25">
      <c r="D7845" s="3"/>
    </row>
    <row r="7857" spans="4:4" x14ac:dyDescent="0.25">
      <c r="D7857" s="3"/>
    </row>
    <row r="7860" spans="4:4" x14ac:dyDescent="0.25">
      <c r="D7860" s="3"/>
    </row>
    <row r="7871" spans="4:4" x14ac:dyDescent="0.25">
      <c r="D7871" s="3"/>
    </row>
    <row r="7874" spans="4:4" x14ac:dyDescent="0.25">
      <c r="D7874" s="3"/>
    </row>
    <row r="7875" spans="4:4" x14ac:dyDescent="0.25">
      <c r="D7875" s="3"/>
    </row>
    <row r="7886" spans="4:4" x14ac:dyDescent="0.25">
      <c r="D7886" s="3"/>
    </row>
    <row r="7888" spans="4:4" x14ac:dyDescent="0.25">
      <c r="D7888" s="3"/>
    </row>
    <row r="7906" spans="4:10" x14ac:dyDescent="0.25">
      <c r="D7906" s="3"/>
    </row>
    <row r="7909" spans="4:10" x14ac:dyDescent="0.25">
      <c r="D7909" s="3"/>
    </row>
    <row r="7918" spans="4:10" x14ac:dyDescent="0.25">
      <c r="J7918" s="8"/>
    </row>
    <row r="7932" spans="4:4" x14ac:dyDescent="0.25">
      <c r="D7932" s="3"/>
    </row>
    <row r="7940" spans="4:4" x14ac:dyDescent="0.25">
      <c r="D7940" s="3"/>
    </row>
    <row r="7942" spans="4:4" x14ac:dyDescent="0.25">
      <c r="D7942" s="3"/>
    </row>
    <row r="7943" spans="4:4" x14ac:dyDescent="0.25">
      <c r="D7943" s="3"/>
    </row>
    <row r="7953" spans="4:4" x14ac:dyDescent="0.25">
      <c r="D7953" s="3"/>
    </row>
    <row r="7966" spans="4:4" x14ac:dyDescent="0.25">
      <c r="D7966" s="3"/>
    </row>
    <row r="7970" spans="4:4" x14ac:dyDescent="0.25">
      <c r="D7970" s="3"/>
    </row>
    <row r="7971" spans="4:4" x14ac:dyDescent="0.25">
      <c r="D7971" s="3"/>
    </row>
    <row r="7981" spans="4:4" x14ac:dyDescent="0.25">
      <c r="D7981" s="3"/>
    </row>
    <row r="7988" spans="4:4" x14ac:dyDescent="0.25">
      <c r="D7988" s="3"/>
    </row>
    <row r="7990" spans="4:4" x14ac:dyDescent="0.25">
      <c r="D7990" s="3"/>
    </row>
    <row r="7991" spans="4:4" x14ac:dyDescent="0.25">
      <c r="D7991" s="3"/>
    </row>
    <row r="7997" spans="4:4" x14ac:dyDescent="0.25">
      <c r="D7997" s="3"/>
    </row>
    <row r="8021" spans="4:4" x14ac:dyDescent="0.25">
      <c r="D8021" s="3"/>
    </row>
    <row r="8037" spans="4:4" x14ac:dyDescent="0.25">
      <c r="D8037" s="3"/>
    </row>
    <row r="8038" spans="4:4" x14ac:dyDescent="0.25">
      <c r="D8038" s="3"/>
    </row>
    <row r="8044" spans="4:4" x14ac:dyDescent="0.25">
      <c r="D8044" s="3"/>
    </row>
    <row r="8045" spans="4:4" x14ac:dyDescent="0.25">
      <c r="D8045" s="3"/>
    </row>
    <row r="8049" spans="4:4" x14ac:dyDescent="0.25">
      <c r="D8049" s="3"/>
    </row>
    <row r="8054" spans="4:4" x14ac:dyDescent="0.25">
      <c r="D8054" s="3"/>
    </row>
    <row r="8056" spans="4:4" x14ac:dyDescent="0.25">
      <c r="D8056" s="3"/>
    </row>
    <row r="8081" spans="4:4" x14ac:dyDescent="0.25">
      <c r="D8081" s="3"/>
    </row>
    <row r="8086" spans="4:4" x14ac:dyDescent="0.25">
      <c r="D8086" s="3"/>
    </row>
    <row r="8098" spans="4:4" x14ac:dyDescent="0.25">
      <c r="D8098" s="3"/>
    </row>
    <row r="8108" spans="4:4" x14ac:dyDescent="0.25">
      <c r="D8108" s="3"/>
    </row>
    <row r="8110" spans="4:4" x14ac:dyDescent="0.25">
      <c r="D8110" s="3"/>
    </row>
    <row r="8117" spans="4:10" x14ac:dyDescent="0.25">
      <c r="J8117" s="8"/>
    </row>
    <row r="8120" spans="4:10" x14ac:dyDescent="0.25">
      <c r="D8120" s="3"/>
    </row>
    <row r="8124" spans="4:10" x14ac:dyDescent="0.25">
      <c r="D8124" s="3"/>
    </row>
    <row r="8138" spans="4:4" x14ac:dyDescent="0.25">
      <c r="D8138" s="3"/>
    </row>
    <row r="8149" spans="4:4" x14ac:dyDescent="0.25">
      <c r="D8149" s="3"/>
    </row>
    <row r="8155" spans="4:4" x14ac:dyDescent="0.25">
      <c r="D8155" s="3"/>
    </row>
    <row r="8161" spans="4:4" x14ac:dyDescent="0.25">
      <c r="D8161" s="3"/>
    </row>
    <row r="8180" spans="4:4" x14ac:dyDescent="0.25">
      <c r="D8180" s="3"/>
    </row>
    <row r="8191" spans="4:4" x14ac:dyDescent="0.25">
      <c r="D8191" s="3"/>
    </row>
    <row r="8197" spans="4:4" x14ac:dyDescent="0.25">
      <c r="D8197" s="3"/>
    </row>
    <row r="8205" spans="4:4" x14ac:dyDescent="0.25">
      <c r="D8205" s="3"/>
    </row>
    <row r="8213" spans="4:4" x14ac:dyDescent="0.25">
      <c r="D8213" s="3"/>
    </row>
    <row r="8215" spans="4:4" x14ac:dyDescent="0.25">
      <c r="D8215" s="3"/>
    </row>
    <row r="8216" spans="4:4" x14ac:dyDescent="0.25">
      <c r="D8216" s="3"/>
    </row>
    <row r="8222" spans="4:4" x14ac:dyDescent="0.25">
      <c r="D8222" s="3"/>
    </row>
    <row r="8242" spans="4:4" x14ac:dyDescent="0.25">
      <c r="D8242" s="3"/>
    </row>
    <row r="8246" spans="4:4" x14ac:dyDescent="0.25">
      <c r="D8246" s="3"/>
    </row>
    <row r="8255" spans="4:4" x14ac:dyDescent="0.25">
      <c r="D8255" s="3"/>
    </row>
    <row r="8257" spans="4:4" x14ac:dyDescent="0.25">
      <c r="D8257" s="3"/>
    </row>
    <row r="8272" spans="4:4" x14ac:dyDescent="0.25">
      <c r="D8272" s="3"/>
    </row>
    <row r="8273" spans="4:4" x14ac:dyDescent="0.25">
      <c r="D8273" s="3"/>
    </row>
    <row r="8288" spans="4:4" x14ac:dyDescent="0.25">
      <c r="D8288" s="3"/>
    </row>
    <row r="8289" spans="4:4" x14ac:dyDescent="0.25">
      <c r="D8289" s="3"/>
    </row>
    <row r="8316" spans="4:4" x14ac:dyDescent="0.25">
      <c r="D8316" s="3"/>
    </row>
    <row r="8320" spans="4:4" x14ac:dyDescent="0.25">
      <c r="D8320" s="3"/>
    </row>
    <row r="8329" spans="4:4" x14ac:dyDescent="0.25">
      <c r="D8329" s="3"/>
    </row>
    <row r="8333" spans="4:4" x14ac:dyDescent="0.25">
      <c r="D8333" s="3"/>
    </row>
    <row r="8334" spans="4:4" x14ac:dyDescent="0.25">
      <c r="D8334" s="3"/>
    </row>
    <row r="8336" spans="4:4" x14ac:dyDescent="0.25">
      <c r="D8336" s="3"/>
    </row>
    <row r="8362" spans="4:4" x14ac:dyDescent="0.25">
      <c r="D8362" s="3"/>
    </row>
    <row r="8370" spans="4:4" x14ac:dyDescent="0.25">
      <c r="D8370" s="3"/>
    </row>
    <row r="8383" spans="4:4" x14ac:dyDescent="0.25">
      <c r="D8383" s="3"/>
    </row>
    <row r="8391" spans="4:4" x14ac:dyDescent="0.25">
      <c r="D8391" s="3"/>
    </row>
    <row r="8394" spans="4:4" x14ac:dyDescent="0.25">
      <c r="D8394" s="3"/>
    </row>
    <row r="8398" spans="4:4" x14ac:dyDescent="0.25">
      <c r="D8398" s="3"/>
    </row>
    <row r="8399" spans="4:4" x14ac:dyDescent="0.25">
      <c r="D8399" s="3"/>
    </row>
    <row r="8402" spans="4:4" x14ac:dyDescent="0.25">
      <c r="D8402" s="3"/>
    </row>
    <row r="8407" spans="4:4" x14ac:dyDescent="0.25">
      <c r="D8407" s="3"/>
    </row>
    <row r="8418" spans="4:4" x14ac:dyDescent="0.25">
      <c r="D8418" s="3"/>
    </row>
    <row r="8422" spans="4:4" x14ac:dyDescent="0.25">
      <c r="D8422" s="3"/>
    </row>
    <row r="8424" spans="4:4" x14ac:dyDescent="0.25">
      <c r="D8424" s="3"/>
    </row>
    <row r="8435" spans="4:4" x14ac:dyDescent="0.25">
      <c r="D8435" s="3"/>
    </row>
    <row r="8442" spans="4:4" x14ac:dyDescent="0.25">
      <c r="D8442" s="3"/>
    </row>
    <row r="8445" spans="4:4" x14ac:dyDescent="0.25">
      <c r="D8445" s="3"/>
    </row>
    <row r="8464" spans="4:4" x14ac:dyDescent="0.25">
      <c r="D8464" s="3"/>
    </row>
    <row r="8465" spans="4:4" x14ac:dyDescent="0.25">
      <c r="D8465" s="3"/>
    </row>
    <row r="8474" spans="4:4" x14ac:dyDescent="0.25">
      <c r="D8474" s="3"/>
    </row>
    <row r="8479" spans="4:4" x14ac:dyDescent="0.25">
      <c r="D8479" s="3"/>
    </row>
    <row r="8489" spans="4:4" x14ac:dyDescent="0.25">
      <c r="D8489" s="3"/>
    </row>
    <row r="8493" spans="4:4" x14ac:dyDescent="0.25">
      <c r="D8493" s="3"/>
    </row>
    <row r="8501" spans="4:4" x14ac:dyDescent="0.25">
      <c r="D8501" s="3"/>
    </row>
    <row r="8514" spans="4:4" x14ac:dyDescent="0.25">
      <c r="D8514" s="3"/>
    </row>
    <row r="8516" spans="4:4" x14ac:dyDescent="0.25">
      <c r="D8516" s="3"/>
    </row>
    <row r="8536" spans="4:4" x14ac:dyDescent="0.25">
      <c r="D8536" s="3"/>
    </row>
    <row r="8553" spans="4:4" x14ac:dyDescent="0.25">
      <c r="D8553" s="3"/>
    </row>
    <row r="8554" spans="4:4" x14ac:dyDescent="0.25">
      <c r="D8554" s="3"/>
    </row>
    <row r="8565" spans="4:4" x14ac:dyDescent="0.25">
      <c r="D8565" s="3"/>
    </row>
    <row r="8575" spans="4:4" x14ac:dyDescent="0.25">
      <c r="D8575" s="3"/>
    </row>
    <row r="8596" spans="4:4" x14ac:dyDescent="0.25">
      <c r="D8596" s="3"/>
    </row>
    <row r="8614" spans="4:4" x14ac:dyDescent="0.25">
      <c r="D8614" s="3"/>
    </row>
    <row r="8630" spans="4:4" x14ac:dyDescent="0.25">
      <c r="D8630" s="3"/>
    </row>
    <row r="8651" spans="4:4" x14ac:dyDescent="0.25">
      <c r="D8651" s="3"/>
    </row>
    <row r="8660" spans="4:4" x14ac:dyDescent="0.25">
      <c r="D8660" s="3"/>
    </row>
    <row r="8666" spans="4:4" x14ac:dyDescent="0.25">
      <c r="D8666" s="3"/>
    </row>
    <row r="8687" spans="4:4" x14ac:dyDescent="0.25">
      <c r="D8687" s="3"/>
    </row>
    <row r="8693" spans="4:4" x14ac:dyDescent="0.25">
      <c r="D8693" s="3"/>
    </row>
    <row r="8714" spans="4:4" x14ac:dyDescent="0.25">
      <c r="D8714" s="3"/>
    </row>
    <row r="8716" spans="4:4" x14ac:dyDescent="0.25">
      <c r="D8716" s="3"/>
    </row>
    <row r="8736" spans="4:4" x14ac:dyDescent="0.25">
      <c r="D8736" s="3"/>
    </row>
    <row r="8738" spans="4:4" x14ac:dyDescent="0.25">
      <c r="D8738" s="3"/>
    </row>
    <row r="8752" spans="4:4" x14ac:dyDescent="0.25">
      <c r="D8752" s="3"/>
    </row>
    <row r="8763" spans="4:4" x14ac:dyDescent="0.25">
      <c r="D8763" s="3"/>
    </row>
    <row r="8776" spans="4:4" x14ac:dyDescent="0.25">
      <c r="D8776" s="3"/>
    </row>
    <row r="8786" spans="4:4" x14ac:dyDescent="0.25">
      <c r="D8786" s="3"/>
    </row>
    <row r="8788" spans="4:4" x14ac:dyDescent="0.25">
      <c r="D8788" s="3"/>
    </row>
    <row r="8795" spans="4:4" x14ac:dyDescent="0.25">
      <c r="D8795" s="3"/>
    </row>
    <row r="8803" spans="4:4" x14ac:dyDescent="0.25">
      <c r="D8803" s="3"/>
    </row>
    <row r="8804" spans="4:4" x14ac:dyDescent="0.25">
      <c r="D8804" s="3"/>
    </row>
    <row r="8806" spans="4:4" x14ac:dyDescent="0.25">
      <c r="D8806" s="3"/>
    </row>
    <row r="8823" spans="4:4" x14ac:dyDescent="0.25">
      <c r="D8823" s="3"/>
    </row>
    <row r="8826" spans="4:4" x14ac:dyDescent="0.25">
      <c r="D8826" s="3"/>
    </row>
    <row r="8841" spans="4:4" x14ac:dyDescent="0.25">
      <c r="D8841" s="3"/>
    </row>
    <row r="8846" spans="4:4" x14ac:dyDescent="0.25">
      <c r="D8846" s="3"/>
    </row>
    <row r="8857" spans="4:4" x14ac:dyDescent="0.25">
      <c r="D8857" s="3"/>
    </row>
    <row r="8862" spans="4:4" x14ac:dyDescent="0.25">
      <c r="D8862" s="3"/>
    </row>
    <row r="8874" spans="4:4" x14ac:dyDescent="0.25">
      <c r="D8874" s="3"/>
    </row>
    <row r="8884" spans="4:4" x14ac:dyDescent="0.25">
      <c r="D8884" s="3"/>
    </row>
    <row r="8892" spans="4:4" x14ac:dyDescent="0.25">
      <c r="D8892" s="3"/>
    </row>
    <row r="8898" spans="4:4" x14ac:dyDescent="0.25">
      <c r="D8898" s="3"/>
    </row>
    <row r="8900" spans="4:4" x14ac:dyDescent="0.25">
      <c r="D8900" s="3"/>
    </row>
    <row r="8910" spans="4:4" x14ac:dyDescent="0.25">
      <c r="D8910" s="3"/>
    </row>
    <row r="8912" spans="4:4" x14ac:dyDescent="0.25">
      <c r="D8912" s="3"/>
    </row>
    <row r="8916" spans="4:4" x14ac:dyDescent="0.25">
      <c r="D8916" s="3"/>
    </row>
    <row r="8920" spans="4:4" x14ac:dyDescent="0.25">
      <c r="D8920" s="3"/>
    </row>
    <row r="8933" spans="4:4" x14ac:dyDescent="0.25">
      <c r="D8933" s="3"/>
    </row>
    <row r="8940" spans="4:4" x14ac:dyDescent="0.25">
      <c r="D8940" s="3"/>
    </row>
    <row r="8942" spans="4:4" x14ac:dyDescent="0.25">
      <c r="D8942" s="3"/>
    </row>
    <row r="8960" spans="4:4" x14ac:dyDescent="0.25">
      <c r="D8960" s="3"/>
    </row>
    <row r="8967" spans="4:4" x14ac:dyDescent="0.25">
      <c r="D8967" s="3"/>
    </row>
    <row r="8977" spans="4:4" x14ac:dyDescent="0.25">
      <c r="D8977" s="3"/>
    </row>
    <row r="8978" spans="4:4" x14ac:dyDescent="0.25">
      <c r="D8978" s="3"/>
    </row>
    <row r="8984" spans="4:4" x14ac:dyDescent="0.25">
      <c r="D8984" s="3"/>
    </row>
    <row r="8991" spans="4:4" x14ac:dyDescent="0.25">
      <c r="D8991" s="3"/>
    </row>
    <row r="9007" spans="4:4" x14ac:dyDescent="0.25">
      <c r="D9007" s="3"/>
    </row>
    <row r="9015" spans="4:4" x14ac:dyDescent="0.25">
      <c r="D9015" s="3"/>
    </row>
    <row r="9025" spans="4:4" x14ac:dyDescent="0.25">
      <c r="D9025" s="3"/>
    </row>
    <row r="9028" spans="4:4" x14ac:dyDescent="0.25">
      <c r="D9028" s="3"/>
    </row>
    <row r="9039" spans="4:4" x14ac:dyDescent="0.25">
      <c r="D9039" s="3"/>
    </row>
    <row r="9043" spans="4:4" x14ac:dyDescent="0.25">
      <c r="D9043" s="3"/>
    </row>
    <row r="9045" spans="4:4" x14ac:dyDescent="0.25">
      <c r="D9045" s="3"/>
    </row>
    <row r="9051" spans="4:4" x14ac:dyDescent="0.25">
      <c r="D9051" s="3"/>
    </row>
    <row r="9070" spans="4:4" x14ac:dyDescent="0.25">
      <c r="D9070" s="3"/>
    </row>
    <row r="9074" spans="4:4" x14ac:dyDescent="0.25">
      <c r="D9074" s="3"/>
    </row>
    <row r="9075" spans="4:4" x14ac:dyDescent="0.25">
      <c r="D9075" s="3"/>
    </row>
    <row r="9077" spans="4:4" x14ac:dyDescent="0.25">
      <c r="D9077" s="3"/>
    </row>
    <row r="9081" spans="4:4" x14ac:dyDescent="0.25">
      <c r="D9081" s="3"/>
    </row>
    <row r="9087" spans="4:4" x14ac:dyDescent="0.25">
      <c r="D9087" s="3"/>
    </row>
    <row r="9093" spans="4:4" x14ac:dyDescent="0.25">
      <c r="D9093" s="3"/>
    </row>
    <row r="9103" spans="4:4" x14ac:dyDescent="0.25">
      <c r="D9103" s="3"/>
    </row>
    <row r="9118" spans="4:4" x14ac:dyDescent="0.25">
      <c r="D9118" s="3"/>
    </row>
    <row r="9122" spans="4:4" x14ac:dyDescent="0.25">
      <c r="D9122" s="3"/>
    </row>
    <row r="9123" spans="4:4" x14ac:dyDescent="0.25">
      <c r="D9123" s="3"/>
    </row>
    <row r="9133" spans="4:4" x14ac:dyDescent="0.25">
      <c r="D9133" s="3"/>
    </row>
    <row r="9139" spans="4:4" x14ac:dyDescent="0.25">
      <c r="D9139" s="3"/>
    </row>
    <row r="9153" spans="4:4" x14ac:dyDescent="0.25">
      <c r="D9153" s="3"/>
    </row>
    <row r="9160" spans="4:4" x14ac:dyDescent="0.25">
      <c r="D9160" s="3"/>
    </row>
    <row r="9166" spans="4:4" x14ac:dyDescent="0.25">
      <c r="D9166" s="3"/>
    </row>
    <row r="9177" spans="4:4" x14ac:dyDescent="0.25">
      <c r="D9177" s="3"/>
    </row>
    <row r="9181" spans="4:4" x14ac:dyDescent="0.25">
      <c r="D9181" s="3"/>
    </row>
    <row r="9202" spans="4:4" x14ac:dyDescent="0.25">
      <c r="D9202" s="3"/>
    </row>
    <row r="9240" spans="4:4" x14ac:dyDescent="0.25">
      <c r="D9240" s="3"/>
    </row>
    <row r="9248" spans="4:4" x14ac:dyDescent="0.25">
      <c r="D9248" s="3"/>
    </row>
    <row r="9257" spans="4:4" x14ac:dyDescent="0.25">
      <c r="D9257" s="3"/>
    </row>
    <row r="9263" spans="4:4" x14ac:dyDescent="0.25">
      <c r="D9263" s="3"/>
    </row>
    <row r="9283" spans="4:4" x14ac:dyDescent="0.25">
      <c r="D9283" s="3"/>
    </row>
    <row r="9302" spans="4:4" x14ac:dyDescent="0.25">
      <c r="D9302" s="3"/>
    </row>
    <row r="9313" spans="4:4" x14ac:dyDescent="0.25">
      <c r="D9313" s="3"/>
    </row>
    <row r="9318" spans="4:4" x14ac:dyDescent="0.25">
      <c r="D9318" s="3"/>
    </row>
    <row r="9336" spans="4:4" x14ac:dyDescent="0.25">
      <c r="D9336" s="3"/>
    </row>
    <row r="9353" spans="4:4" x14ac:dyDescent="0.25">
      <c r="D9353" s="3"/>
    </row>
    <row r="9369" spans="4:4" x14ac:dyDescent="0.25">
      <c r="D9369" s="3"/>
    </row>
    <row r="9379" spans="4:4" x14ac:dyDescent="0.25">
      <c r="D9379" s="3"/>
    </row>
    <row r="9388" spans="4:4" x14ac:dyDescent="0.25">
      <c r="D9388" s="3"/>
    </row>
    <row r="9399" spans="4:4" x14ac:dyDescent="0.25">
      <c r="D9399" s="3"/>
    </row>
    <row r="9413" spans="4:4" x14ac:dyDescent="0.25">
      <c r="D9413" s="3"/>
    </row>
    <row r="9425" spans="4:4" x14ac:dyDescent="0.25">
      <c r="D9425" s="3"/>
    </row>
    <row r="9436" spans="4:4" x14ac:dyDescent="0.25">
      <c r="D9436" s="3"/>
    </row>
    <row r="9449" spans="4:4" x14ac:dyDescent="0.25">
      <c r="D9449" s="3"/>
    </row>
    <row r="9459" spans="4:4" x14ac:dyDescent="0.25">
      <c r="D9459" s="3"/>
    </row>
    <row r="9473" spans="4:4" x14ac:dyDescent="0.25">
      <c r="D9473" s="3"/>
    </row>
    <row r="9475" spans="4:4" x14ac:dyDescent="0.25">
      <c r="D9475" s="3"/>
    </row>
    <row r="9487" spans="4:4" x14ac:dyDescent="0.25">
      <c r="D9487" s="3"/>
    </row>
    <row r="9496" spans="4:4" x14ac:dyDescent="0.25">
      <c r="D9496" s="3"/>
    </row>
    <row r="9529" spans="4:4" x14ac:dyDescent="0.25">
      <c r="D9529" s="3"/>
    </row>
    <row r="9530" spans="4:4" x14ac:dyDescent="0.25">
      <c r="D9530" s="3"/>
    </row>
    <row r="9534" spans="4:4" x14ac:dyDescent="0.25">
      <c r="D9534" s="3"/>
    </row>
    <row r="9542" spans="4:4" x14ac:dyDescent="0.25">
      <c r="D9542" s="3"/>
    </row>
    <row r="9554" spans="4:4" x14ac:dyDescent="0.25">
      <c r="D9554" s="3"/>
    </row>
    <row r="9573" spans="4:4" x14ac:dyDescent="0.25">
      <c r="D9573" s="3"/>
    </row>
    <row r="9576" spans="4:4" x14ac:dyDescent="0.25">
      <c r="D9576" s="3"/>
    </row>
    <row r="9581" spans="4:4" x14ac:dyDescent="0.25">
      <c r="D9581" s="3"/>
    </row>
    <row r="9587" spans="4:4" x14ac:dyDescent="0.25">
      <c r="D9587" s="3"/>
    </row>
    <row r="9618" spans="4:4" x14ac:dyDescent="0.25">
      <c r="D9618" s="3"/>
    </row>
    <row r="9621" spans="4:4" x14ac:dyDescent="0.25">
      <c r="D9621" s="3"/>
    </row>
    <row r="9622" spans="4:4" x14ac:dyDescent="0.25">
      <c r="D9622" s="3"/>
    </row>
    <row r="9625" spans="4:4" x14ac:dyDescent="0.25">
      <c r="D9625" s="3"/>
    </row>
    <row r="9633" spans="4:4" x14ac:dyDescent="0.25">
      <c r="D9633" s="3"/>
    </row>
    <row r="9637" spans="4:4" x14ac:dyDescent="0.25">
      <c r="D9637" s="3"/>
    </row>
    <row r="9641" spans="4:4" x14ac:dyDescent="0.25">
      <c r="D9641" s="3"/>
    </row>
    <row r="9648" spans="4:4" x14ac:dyDescent="0.25">
      <c r="D9648" s="3"/>
    </row>
    <row r="9651" spans="4:4" x14ac:dyDescent="0.25">
      <c r="D9651" s="3"/>
    </row>
    <row r="9666" spans="4:4" x14ac:dyDescent="0.25">
      <c r="D9666" s="3"/>
    </row>
    <row r="9678" spans="4:4" x14ac:dyDescent="0.25">
      <c r="D9678" s="3"/>
    </row>
    <row r="9692" spans="4:4" x14ac:dyDescent="0.25">
      <c r="D9692" s="3"/>
    </row>
    <row r="9711" spans="4:4" x14ac:dyDescent="0.25">
      <c r="D9711" s="3"/>
    </row>
    <row r="9725" spans="4:4" x14ac:dyDescent="0.25">
      <c r="D9725" s="3"/>
    </row>
    <row r="9752" spans="4:4" x14ac:dyDescent="0.25">
      <c r="D9752" s="3"/>
    </row>
    <row r="9773" spans="4:4" x14ac:dyDescent="0.25">
      <c r="D9773" s="3"/>
    </row>
    <row r="9781" spans="4:4" x14ac:dyDescent="0.25">
      <c r="D9781" s="3"/>
    </row>
    <row r="9782" spans="4:4" x14ac:dyDescent="0.25">
      <c r="D9782" s="3"/>
    </row>
    <row r="9788" spans="4:4" x14ac:dyDescent="0.25">
      <c r="D9788" s="3"/>
    </row>
    <row r="9811" spans="4:4" x14ac:dyDescent="0.25">
      <c r="D9811" s="3"/>
    </row>
    <row r="9822" spans="4:4" x14ac:dyDescent="0.25">
      <c r="D9822" s="3"/>
    </row>
    <row r="9844" spans="4:4" x14ac:dyDescent="0.25">
      <c r="D9844" s="3"/>
    </row>
    <row r="9856" spans="4:4" x14ac:dyDescent="0.25">
      <c r="D9856" s="3"/>
    </row>
    <row r="9865" spans="4:4" x14ac:dyDescent="0.25">
      <c r="D9865" s="3"/>
    </row>
    <row r="9873" spans="4:10" x14ac:dyDescent="0.25">
      <c r="D9873" s="3"/>
    </row>
    <row r="9876" spans="4:10" x14ac:dyDescent="0.25">
      <c r="D9876" s="3"/>
    </row>
    <row r="9886" spans="4:10" x14ac:dyDescent="0.25">
      <c r="J9886" s="8"/>
    </row>
    <row r="9887" spans="4:10" x14ac:dyDescent="0.25">
      <c r="D9887" s="3"/>
    </row>
    <row r="9902" spans="4:4" x14ac:dyDescent="0.25">
      <c r="D9902" s="3"/>
    </row>
    <row r="9918" spans="4:10" x14ac:dyDescent="0.25">
      <c r="D9918" s="3"/>
    </row>
    <row r="9920" spans="4:10" x14ac:dyDescent="0.25">
      <c r="J9920" s="8"/>
    </row>
    <row r="9932" spans="4:4" x14ac:dyDescent="0.25">
      <c r="D9932" s="3"/>
    </row>
    <row r="9938" spans="4:4" x14ac:dyDescent="0.25">
      <c r="D9938" s="3"/>
    </row>
    <row r="9952" spans="4:4" x14ac:dyDescent="0.25">
      <c r="D9952" s="3"/>
    </row>
    <row r="9954" spans="4:4" x14ac:dyDescent="0.25">
      <c r="D9954" s="3"/>
    </row>
    <row r="9965" spans="4:4" x14ac:dyDescent="0.25">
      <c r="D9965" s="3"/>
    </row>
    <row r="9968" spans="4:4" x14ac:dyDescent="0.25">
      <c r="D9968" s="3"/>
    </row>
    <row r="9977" spans="4:4" x14ac:dyDescent="0.25">
      <c r="D9977" s="3"/>
    </row>
    <row r="9981" spans="4:4" x14ac:dyDescent="0.25">
      <c r="D9981" s="3"/>
    </row>
    <row r="10002" spans="4:4" x14ac:dyDescent="0.25">
      <c r="D10002" s="3"/>
    </row>
    <row r="10003" spans="4:4" x14ac:dyDescent="0.25">
      <c r="D10003" s="3"/>
    </row>
    <row r="10036" spans="4:4" x14ac:dyDescent="0.25">
      <c r="D10036" s="3"/>
    </row>
    <row r="10057" spans="4:4" x14ac:dyDescent="0.25">
      <c r="D10057" s="3"/>
    </row>
    <row r="10073" spans="4:4" x14ac:dyDescent="0.25">
      <c r="D10073" s="3"/>
    </row>
    <row r="10074" spans="4:4" x14ac:dyDescent="0.25">
      <c r="D10074" s="3"/>
    </row>
    <row r="10079" spans="4:4" x14ac:dyDescent="0.25">
      <c r="D10079" s="3"/>
    </row>
    <row r="10096" spans="4:4" x14ac:dyDescent="0.25">
      <c r="D10096" s="3"/>
    </row>
    <row r="10105" spans="4:4" x14ac:dyDescent="0.25">
      <c r="D10105" s="3"/>
    </row>
    <row r="10107" spans="4:4" x14ac:dyDescent="0.25">
      <c r="D10107" s="3"/>
    </row>
    <row r="10118" spans="4:4" x14ac:dyDescent="0.25">
      <c r="D10118" s="3"/>
    </row>
    <row r="10119" spans="4:4" x14ac:dyDescent="0.25">
      <c r="D10119" s="3"/>
    </row>
    <row r="10122" spans="4:4" x14ac:dyDescent="0.25">
      <c r="D10122" s="3"/>
    </row>
    <row r="10138" spans="4:4" x14ac:dyDescent="0.25">
      <c r="D10138" s="3"/>
    </row>
    <row r="10189" spans="4:4" x14ac:dyDescent="0.25">
      <c r="D10189" s="3"/>
    </row>
    <row r="10200" spans="4:4" x14ac:dyDescent="0.25">
      <c r="D10200" s="3"/>
    </row>
    <row r="10224" spans="4:4" x14ac:dyDescent="0.25">
      <c r="D10224" s="3"/>
    </row>
    <row r="10239" spans="4:4" x14ac:dyDescent="0.25">
      <c r="D10239" s="3"/>
    </row>
    <row r="10267" spans="4:4" x14ac:dyDescent="0.25">
      <c r="D10267" s="3"/>
    </row>
    <row r="10319" spans="4:4" x14ac:dyDescent="0.25">
      <c r="D10319" s="3"/>
    </row>
    <row r="10352" spans="4:4" x14ac:dyDescent="0.25">
      <c r="D10352" s="3"/>
    </row>
    <row r="10365" spans="4:4" x14ac:dyDescent="0.25">
      <c r="D10365" s="3"/>
    </row>
    <row r="10380" spans="4:4" x14ac:dyDescent="0.25">
      <c r="D10380" s="3"/>
    </row>
    <row r="10381" spans="4:4" x14ac:dyDescent="0.25">
      <c r="D10381" s="3"/>
    </row>
    <row r="10426" spans="4:4" x14ac:dyDescent="0.25">
      <c r="D10426" s="3"/>
    </row>
    <row r="10435" spans="4:4" x14ac:dyDescent="0.25">
      <c r="D10435" s="3"/>
    </row>
    <row r="10436" spans="4:4" x14ac:dyDescent="0.25">
      <c r="D10436" s="3"/>
    </row>
    <row r="10443" spans="4:4" x14ac:dyDescent="0.25">
      <c r="D10443" s="3"/>
    </row>
    <row r="10444" spans="4:4" x14ac:dyDescent="0.25">
      <c r="D10444" s="3"/>
    </row>
    <row r="10448" spans="4:4" x14ac:dyDescent="0.25">
      <c r="D10448" s="3"/>
    </row>
    <row r="10450" spans="4:4" x14ac:dyDescent="0.25">
      <c r="D10450" s="3"/>
    </row>
    <row r="10457" spans="4:4" x14ac:dyDescent="0.25">
      <c r="D10457" s="3"/>
    </row>
    <row r="10524" spans="10:10" x14ac:dyDescent="0.25">
      <c r="J10524" s="8"/>
    </row>
    <row r="10538" spans="4:4" x14ac:dyDescent="0.25">
      <c r="D10538" s="3"/>
    </row>
    <row r="11029" spans="4:4" x14ac:dyDescent="0.25">
      <c r="D11029" s="3"/>
    </row>
    <row r="11032" spans="4:4" x14ac:dyDescent="0.25">
      <c r="D11032" s="3"/>
    </row>
    <row r="11034" spans="4:4" x14ac:dyDescent="0.25">
      <c r="D11034" s="3"/>
    </row>
    <row r="11037" spans="4:4" x14ac:dyDescent="0.25">
      <c r="D11037" s="3"/>
    </row>
    <row r="11043" spans="4:4" x14ac:dyDescent="0.25">
      <c r="D11043" s="3"/>
    </row>
    <row r="11044" spans="4:4" x14ac:dyDescent="0.25">
      <c r="D11044" s="3"/>
    </row>
    <row r="11049" spans="4:4" x14ac:dyDescent="0.25">
      <c r="D11049" s="3"/>
    </row>
    <row r="11055" spans="4:4" x14ac:dyDescent="0.25">
      <c r="D11055" s="3"/>
    </row>
    <row r="11063" spans="4:4" x14ac:dyDescent="0.25">
      <c r="D11063" s="3"/>
    </row>
    <row r="11064" spans="4:4" x14ac:dyDescent="0.25">
      <c r="D11064" s="3"/>
    </row>
    <row r="11066" spans="4:4" x14ac:dyDescent="0.25">
      <c r="D11066" s="3"/>
    </row>
    <row r="11074" spans="4:4" x14ac:dyDescent="0.25">
      <c r="D11074" s="3"/>
    </row>
    <row r="11077" spans="4:4" x14ac:dyDescent="0.25">
      <c r="D11077" s="3"/>
    </row>
    <row r="11079" spans="4:4" x14ac:dyDescent="0.25">
      <c r="D11079" s="3"/>
    </row>
    <row r="11081" spans="4:4" x14ac:dyDescent="0.25">
      <c r="D11081" s="3"/>
    </row>
    <row r="11086" spans="4:4" x14ac:dyDescent="0.25">
      <c r="D11086" s="3"/>
    </row>
    <row r="11089" spans="4:4" x14ac:dyDescent="0.25">
      <c r="D11089" s="3"/>
    </row>
    <row r="11108" spans="4:4" x14ac:dyDescent="0.25">
      <c r="D11108" s="3"/>
    </row>
    <row r="11112" spans="4:4" x14ac:dyDescent="0.25">
      <c r="D11112" s="3"/>
    </row>
    <row r="11123" spans="4:4" x14ac:dyDescent="0.25">
      <c r="D11123" s="3"/>
    </row>
    <row r="11127" spans="4:4" x14ac:dyDescent="0.25">
      <c r="D11127" s="3"/>
    </row>
    <row r="11139" spans="4:4" x14ac:dyDescent="0.25">
      <c r="D11139" s="3"/>
    </row>
    <row r="11141" spans="4:4" x14ac:dyDescent="0.25">
      <c r="D11141" s="3"/>
    </row>
    <row r="11147" spans="4:4" x14ac:dyDescent="0.25">
      <c r="D11147" s="3"/>
    </row>
    <row r="11151" spans="4:4" x14ac:dyDescent="0.25">
      <c r="D11151" s="3"/>
    </row>
    <row r="11160" spans="4:4" x14ac:dyDescent="0.25">
      <c r="D11160" s="3"/>
    </row>
    <row r="11164" spans="4:4" x14ac:dyDescent="0.25">
      <c r="D11164" s="3"/>
    </row>
    <row r="11176" spans="4:4" x14ac:dyDescent="0.25">
      <c r="D11176" s="3"/>
    </row>
    <row r="11178" spans="4:4" x14ac:dyDescent="0.25">
      <c r="D11178" s="3"/>
    </row>
    <row r="11179" spans="4:4" x14ac:dyDescent="0.25">
      <c r="D11179" s="3"/>
    </row>
    <row r="11195" spans="4:4" x14ac:dyDescent="0.25">
      <c r="D11195" s="3"/>
    </row>
    <row r="11206" spans="4:4" x14ac:dyDescent="0.25">
      <c r="D11206" s="3"/>
    </row>
    <row r="11210" spans="4:4" x14ac:dyDescent="0.25">
      <c r="D11210" s="3"/>
    </row>
    <row r="11211" spans="4:4" x14ac:dyDescent="0.25">
      <c r="D11211" s="3"/>
    </row>
    <row r="11218" spans="4:4" x14ac:dyDescent="0.25">
      <c r="D11218" s="3"/>
    </row>
    <row r="11235" spans="4:4" x14ac:dyDescent="0.25">
      <c r="D11235" s="3"/>
    </row>
    <row r="11242" spans="4:4" x14ac:dyDescent="0.25">
      <c r="D11242" s="3"/>
    </row>
    <row r="11243" spans="4:4" x14ac:dyDescent="0.25">
      <c r="D11243" s="3"/>
    </row>
    <row r="11264" spans="4:4" x14ac:dyDescent="0.25">
      <c r="D11264" s="3"/>
    </row>
    <row r="11267" spans="4:4" x14ac:dyDescent="0.25">
      <c r="D11267" s="3"/>
    </row>
    <row r="11277" spans="4:4" x14ac:dyDescent="0.25">
      <c r="D11277" s="3"/>
    </row>
    <row r="11279" spans="4:4" x14ac:dyDescent="0.25">
      <c r="D11279" s="3"/>
    </row>
    <row r="11285" spans="4:4" x14ac:dyDescent="0.25">
      <c r="D11285" s="3"/>
    </row>
    <row r="11291" spans="4:4" x14ac:dyDescent="0.25">
      <c r="D11291" s="3"/>
    </row>
    <row r="11293" spans="4:4" x14ac:dyDescent="0.25">
      <c r="D11293" s="3"/>
    </row>
    <row r="11303" spans="4:4" x14ac:dyDescent="0.25">
      <c r="D11303" s="3"/>
    </row>
    <row r="11307" spans="4:4" x14ac:dyDescent="0.25">
      <c r="D11307" s="3"/>
    </row>
    <row r="11322" spans="4:4" x14ac:dyDescent="0.25">
      <c r="D11322" s="3"/>
    </row>
    <row r="11327" spans="4:4" x14ac:dyDescent="0.25">
      <c r="D11327" s="3"/>
    </row>
    <row r="11334" spans="4:4" x14ac:dyDescent="0.25">
      <c r="D11334" s="3"/>
    </row>
    <row r="11361" spans="4:4" x14ac:dyDescent="0.25">
      <c r="D11361" s="3"/>
    </row>
    <row r="11372" spans="4:4" x14ac:dyDescent="0.25">
      <c r="D11372" s="3"/>
    </row>
    <row r="11383" spans="4:4" x14ac:dyDescent="0.25">
      <c r="D11383" s="3"/>
    </row>
    <row r="11394" spans="4:4" x14ac:dyDescent="0.25">
      <c r="D11394" s="3"/>
    </row>
    <row r="11396" spans="4:4" x14ac:dyDescent="0.25">
      <c r="D11396" s="3"/>
    </row>
    <row r="11408" spans="4:4" x14ac:dyDescent="0.25">
      <c r="D11408" s="3"/>
    </row>
    <row r="11411" spans="4:4" x14ac:dyDescent="0.25">
      <c r="D11411" s="3"/>
    </row>
    <row r="11425" spans="4:4" x14ac:dyDescent="0.25">
      <c r="D11425" s="3"/>
    </row>
    <row r="11426" spans="4:4" x14ac:dyDescent="0.25">
      <c r="D11426" s="3"/>
    </row>
    <row r="11437" spans="4:4" x14ac:dyDescent="0.25">
      <c r="D11437" s="3"/>
    </row>
    <row r="11439" spans="4:4" x14ac:dyDescent="0.25">
      <c r="D11439" s="3"/>
    </row>
    <row r="11457" spans="4:10" x14ac:dyDescent="0.25">
      <c r="D11457" s="3"/>
    </row>
    <row r="11460" spans="4:10" x14ac:dyDescent="0.25">
      <c r="D11460" s="3"/>
    </row>
    <row r="11469" spans="4:10" x14ac:dyDescent="0.25">
      <c r="J11469" s="8"/>
    </row>
    <row r="11483" spans="4:4" x14ac:dyDescent="0.25">
      <c r="D11483" s="3"/>
    </row>
    <row r="11493" spans="4:4" x14ac:dyDescent="0.25">
      <c r="D11493" s="3"/>
    </row>
    <row r="11494" spans="4:4" x14ac:dyDescent="0.25">
      <c r="D11494" s="3"/>
    </row>
    <row r="11504" spans="4:4" x14ac:dyDescent="0.25">
      <c r="D11504" s="3"/>
    </row>
    <row r="11521" spans="4:4" x14ac:dyDescent="0.25">
      <c r="D11521" s="3"/>
    </row>
    <row r="11522" spans="4:4" x14ac:dyDescent="0.25">
      <c r="D11522" s="3"/>
    </row>
    <row r="11532" spans="4:4" x14ac:dyDescent="0.25">
      <c r="D11532" s="3"/>
    </row>
    <row r="11539" spans="4:4" x14ac:dyDescent="0.25">
      <c r="D11539" s="3"/>
    </row>
    <row r="11548" spans="4:4" x14ac:dyDescent="0.25">
      <c r="D11548" s="3"/>
    </row>
    <row r="11572" spans="4:4" x14ac:dyDescent="0.25">
      <c r="D11572" s="3"/>
    </row>
    <row r="11588" spans="4:4" x14ac:dyDescent="0.25">
      <c r="D11588" s="3"/>
    </row>
    <row r="11607" spans="4:4" x14ac:dyDescent="0.25">
      <c r="D11607" s="3"/>
    </row>
    <row r="11632" spans="4:4" x14ac:dyDescent="0.25">
      <c r="D11632" s="3"/>
    </row>
    <row r="11637" spans="4:4" x14ac:dyDescent="0.25">
      <c r="D11637" s="3"/>
    </row>
    <row r="11649" spans="4:4" x14ac:dyDescent="0.25">
      <c r="D11649" s="3"/>
    </row>
    <row r="11659" spans="4:4" x14ac:dyDescent="0.25">
      <c r="D11659" s="3"/>
    </row>
    <row r="11661" spans="4:4" x14ac:dyDescent="0.25">
      <c r="D11661" s="3"/>
    </row>
    <row r="11671" spans="4:4" x14ac:dyDescent="0.25">
      <c r="D11671" s="3"/>
    </row>
    <row r="11675" spans="4:4" x14ac:dyDescent="0.25">
      <c r="D11675" s="3"/>
    </row>
    <row r="11689" spans="4:4" x14ac:dyDescent="0.25">
      <c r="D11689" s="3"/>
    </row>
    <row r="11700" spans="4:4" x14ac:dyDescent="0.25">
      <c r="D11700" s="3"/>
    </row>
    <row r="11706" spans="4:4" x14ac:dyDescent="0.25">
      <c r="D11706" s="3"/>
    </row>
    <row r="11712" spans="4:4" x14ac:dyDescent="0.25">
      <c r="D11712" s="3"/>
    </row>
    <row r="11731" spans="4:4" x14ac:dyDescent="0.25">
      <c r="D11731" s="3"/>
    </row>
    <row r="11742" spans="4:4" x14ac:dyDescent="0.25">
      <c r="D11742" s="3"/>
    </row>
    <row r="11748" spans="4:4" x14ac:dyDescent="0.25">
      <c r="D11748" s="3"/>
    </row>
    <row r="11756" spans="4:4" x14ac:dyDescent="0.25">
      <c r="D11756" s="3"/>
    </row>
    <row r="11764" spans="4:4" x14ac:dyDescent="0.25">
      <c r="D11764" s="3"/>
    </row>
    <row r="11766" spans="4:4" x14ac:dyDescent="0.25">
      <c r="D11766" s="3"/>
    </row>
    <row r="11767" spans="4:4" x14ac:dyDescent="0.25">
      <c r="D11767" s="3"/>
    </row>
    <row r="11773" spans="4:4" x14ac:dyDescent="0.25">
      <c r="D11773" s="3"/>
    </row>
    <row r="11793" spans="4:4" x14ac:dyDescent="0.25">
      <c r="D11793" s="3"/>
    </row>
    <row r="11797" spans="4:4" x14ac:dyDescent="0.25">
      <c r="D11797" s="3"/>
    </row>
    <row r="11806" spans="4:4" x14ac:dyDescent="0.25">
      <c r="D11806" s="3"/>
    </row>
    <row r="11808" spans="4:4" x14ac:dyDescent="0.25">
      <c r="D11808" s="3"/>
    </row>
    <row r="11823" spans="4:4" x14ac:dyDescent="0.25">
      <c r="D11823" s="3"/>
    </row>
    <row r="11824" spans="4:4" x14ac:dyDescent="0.25">
      <c r="D11824" s="3"/>
    </row>
    <row r="11839" spans="4:4" x14ac:dyDescent="0.25">
      <c r="D11839" s="3"/>
    </row>
    <row r="11840" spans="4:4" x14ac:dyDescent="0.25">
      <c r="D11840" s="3"/>
    </row>
    <row r="11867" spans="4:4" x14ac:dyDescent="0.25">
      <c r="D11867" s="3"/>
    </row>
    <row r="11871" spans="4:4" x14ac:dyDescent="0.25">
      <c r="D11871" s="3"/>
    </row>
    <row r="11880" spans="4:4" x14ac:dyDescent="0.25">
      <c r="D11880" s="3"/>
    </row>
    <row r="11884" spans="4:4" x14ac:dyDescent="0.25">
      <c r="D11884" s="3"/>
    </row>
    <row r="11885" spans="4:4" x14ac:dyDescent="0.25">
      <c r="D11885" s="3"/>
    </row>
    <row r="11887" spans="4:4" x14ac:dyDescent="0.25">
      <c r="D11887" s="3"/>
    </row>
    <row r="11913" spans="4:4" x14ac:dyDescent="0.25">
      <c r="D11913" s="3"/>
    </row>
    <row r="11921" spans="4:4" x14ac:dyDescent="0.25">
      <c r="D11921" s="3"/>
    </row>
    <row r="11934" spans="4:4" x14ac:dyDescent="0.25">
      <c r="D11934" s="3"/>
    </row>
    <row r="11942" spans="4:4" x14ac:dyDescent="0.25">
      <c r="D11942" s="3"/>
    </row>
    <row r="11945" spans="4:4" x14ac:dyDescent="0.25">
      <c r="D11945" s="3"/>
    </row>
    <row r="11949" spans="4:4" x14ac:dyDescent="0.25">
      <c r="D11949" s="3"/>
    </row>
    <row r="11950" spans="4:4" x14ac:dyDescent="0.25">
      <c r="D11950" s="3"/>
    </row>
    <row r="11953" spans="4:4" x14ac:dyDescent="0.25">
      <c r="D11953" s="3"/>
    </row>
    <row r="11958" spans="4:4" x14ac:dyDescent="0.25">
      <c r="D11958" s="3"/>
    </row>
    <row r="11969" spans="4:4" x14ac:dyDescent="0.25">
      <c r="D11969" s="3"/>
    </row>
    <row r="11973" spans="4:4" x14ac:dyDescent="0.25">
      <c r="D11973" s="3"/>
    </row>
    <row r="11975" spans="4:4" x14ac:dyDescent="0.25">
      <c r="D11975" s="3"/>
    </row>
    <row r="11986" spans="4:4" x14ac:dyDescent="0.25">
      <c r="D11986" s="3"/>
    </row>
    <row r="11993" spans="4:4" x14ac:dyDescent="0.25">
      <c r="D11993" s="3"/>
    </row>
    <row r="11996" spans="4:4" x14ac:dyDescent="0.25">
      <c r="D11996" s="3"/>
    </row>
    <row r="12015" spans="4:4" x14ac:dyDescent="0.25">
      <c r="D12015" s="3"/>
    </row>
    <row r="12016" spans="4:4" x14ac:dyDescent="0.25">
      <c r="D12016" s="3"/>
    </row>
    <row r="12025" spans="4:4" x14ac:dyDescent="0.25">
      <c r="D12025" s="3"/>
    </row>
    <row r="12030" spans="4:4" x14ac:dyDescent="0.25">
      <c r="D12030" s="3"/>
    </row>
    <row r="12040" spans="4:4" x14ac:dyDescent="0.25">
      <c r="D12040" s="3"/>
    </row>
    <row r="12044" spans="4:4" x14ac:dyDescent="0.25">
      <c r="D12044" s="3"/>
    </row>
    <row r="12052" spans="4:4" x14ac:dyDescent="0.25">
      <c r="D12052" s="3"/>
    </row>
    <row r="12065" spans="4:4" x14ac:dyDescent="0.25">
      <c r="D12065" s="3"/>
    </row>
    <row r="12067" spans="4:4" x14ac:dyDescent="0.25">
      <c r="D12067" s="3"/>
    </row>
    <row r="12087" spans="4:4" x14ac:dyDescent="0.25">
      <c r="D12087" s="3"/>
    </row>
    <row r="12104" spans="4:4" x14ac:dyDescent="0.25">
      <c r="D12104" s="3"/>
    </row>
    <row r="12105" spans="4:4" x14ac:dyDescent="0.25">
      <c r="D12105" s="3"/>
    </row>
    <row r="12116" spans="4:4" x14ac:dyDescent="0.25">
      <c r="D12116" s="3"/>
    </row>
    <row r="12126" spans="4:4" x14ac:dyDescent="0.25">
      <c r="D12126" s="3"/>
    </row>
    <row r="12147" spans="4:4" x14ac:dyDescent="0.25">
      <c r="D12147" s="3"/>
    </row>
    <row r="12165" spans="4:4" x14ac:dyDescent="0.25">
      <c r="D12165" s="3"/>
    </row>
    <row r="12181" spans="4:4" x14ac:dyDescent="0.25">
      <c r="D12181" s="3"/>
    </row>
    <row r="12202" spans="4:4" x14ac:dyDescent="0.25">
      <c r="D12202" s="3"/>
    </row>
    <row r="12217" spans="4:4" x14ac:dyDescent="0.25">
      <c r="D12217" s="3"/>
    </row>
    <row r="12227" spans="4:4" x14ac:dyDescent="0.25">
      <c r="D12227" s="3"/>
    </row>
    <row r="12237" spans="4:4" x14ac:dyDescent="0.25">
      <c r="D12237" s="3"/>
    </row>
    <row r="12244" spans="4:4" x14ac:dyDescent="0.25">
      <c r="D12244" s="3"/>
    </row>
    <row r="12247" spans="4:4" x14ac:dyDescent="0.25">
      <c r="D12247" s="3"/>
    </row>
    <row r="12250" spans="4:4" x14ac:dyDescent="0.25">
      <c r="D12250" s="3"/>
    </row>
    <row r="12253" spans="4:4" x14ac:dyDescent="0.25">
      <c r="D12253" s="3"/>
    </row>
    <row r="12265" spans="4:4" x14ac:dyDescent="0.25">
      <c r="D12265" s="3"/>
    </row>
    <row r="12268" spans="4:4" x14ac:dyDescent="0.25">
      <c r="D12268" s="3"/>
    </row>
    <row r="12280" spans="4:4" x14ac:dyDescent="0.25">
      <c r="D12280" s="3"/>
    </row>
    <row r="12287" spans="4:4" x14ac:dyDescent="0.25">
      <c r="D12287" s="3"/>
    </row>
    <row r="12303" spans="4:4" x14ac:dyDescent="0.25">
      <c r="D12303" s="3"/>
    </row>
    <row r="12313" spans="4:4" x14ac:dyDescent="0.25">
      <c r="D12313" s="3"/>
    </row>
    <row r="12314" spans="4:4" x14ac:dyDescent="0.25">
      <c r="D12314" s="3"/>
    </row>
    <row r="12320" spans="4:4" x14ac:dyDescent="0.25">
      <c r="D12320" s="3"/>
    </row>
    <row r="12327" spans="4:4" x14ac:dyDescent="0.25">
      <c r="D12327" s="3"/>
    </row>
    <row r="12328" spans="4:4" x14ac:dyDescent="0.25">
      <c r="D12328" s="3"/>
    </row>
    <row r="12337" spans="4:4" x14ac:dyDescent="0.25">
      <c r="D12337" s="3"/>
    </row>
    <row r="12340" spans="4:4" x14ac:dyDescent="0.25">
      <c r="D12340" s="3"/>
    </row>
    <row r="12347" spans="4:4" x14ac:dyDescent="0.25">
      <c r="D12347" s="3"/>
    </row>
    <row r="12354" spans="4:4" x14ac:dyDescent="0.25">
      <c r="D12354" s="3"/>
    </row>
    <row r="12356" spans="4:4" x14ac:dyDescent="0.25">
      <c r="D12356" s="3"/>
    </row>
    <row r="12358" spans="4:4" x14ac:dyDescent="0.25">
      <c r="D12358" s="3"/>
    </row>
    <row r="12374" spans="4:4" x14ac:dyDescent="0.25">
      <c r="D12374" s="3"/>
    </row>
    <row r="12375" spans="4:4" x14ac:dyDescent="0.25">
      <c r="D12375" s="3"/>
    </row>
    <row r="12378" spans="4:4" x14ac:dyDescent="0.25">
      <c r="D12378" s="3"/>
    </row>
    <row r="12392" spans="4:4" x14ac:dyDescent="0.25">
      <c r="D12392" s="3"/>
    </row>
    <row r="12396" spans="4:4" x14ac:dyDescent="0.25">
      <c r="D12396" s="3"/>
    </row>
    <row r="12397" spans="4:4" x14ac:dyDescent="0.25">
      <c r="D12397" s="3"/>
    </row>
    <row r="12407" spans="4:4" x14ac:dyDescent="0.25">
      <c r="D12407" s="3"/>
    </row>
    <row r="12412" spans="4:4" x14ac:dyDescent="0.25">
      <c r="D12412" s="3"/>
    </row>
    <row r="12424" spans="4:4" x14ac:dyDescent="0.25">
      <c r="D12424" s="3"/>
    </row>
    <row r="12434" spans="4:4" x14ac:dyDescent="0.25">
      <c r="D12434" s="3"/>
    </row>
    <row r="12439" spans="4:4" x14ac:dyDescent="0.25">
      <c r="D12439" s="3"/>
    </row>
    <row r="12442" spans="4:4" x14ac:dyDescent="0.25">
      <c r="D12442" s="3"/>
    </row>
    <row r="12449" spans="4:4" x14ac:dyDescent="0.25">
      <c r="D12449" s="3"/>
    </row>
    <row r="12450" spans="4:4" x14ac:dyDescent="0.25">
      <c r="D12450" s="3"/>
    </row>
    <row r="12460" spans="4:4" x14ac:dyDescent="0.25">
      <c r="D12460" s="3"/>
    </row>
    <row r="12463" spans="4:4" x14ac:dyDescent="0.25">
      <c r="D12463" s="3"/>
    </row>
    <row r="12467" spans="4:4" x14ac:dyDescent="0.25">
      <c r="D12467" s="3"/>
    </row>
    <row r="12470" spans="4:4" x14ac:dyDescent="0.25">
      <c r="D12470" s="3"/>
    </row>
    <row r="12483" spans="4:4" x14ac:dyDescent="0.25">
      <c r="D12483" s="3"/>
    </row>
    <row r="12486" spans="4:4" x14ac:dyDescent="0.25">
      <c r="D12486" s="3"/>
    </row>
    <row r="12491" spans="4:4" x14ac:dyDescent="0.25">
      <c r="D12491" s="3"/>
    </row>
    <row r="12492" spans="4:4" x14ac:dyDescent="0.25">
      <c r="D12492" s="3"/>
    </row>
    <row r="12510" spans="4:4" x14ac:dyDescent="0.25">
      <c r="D12510" s="3"/>
    </row>
    <row r="12518" spans="4:4" x14ac:dyDescent="0.25">
      <c r="D12518" s="3"/>
    </row>
    <row r="12521" spans="4:4" x14ac:dyDescent="0.25">
      <c r="D12521" s="3"/>
    </row>
    <row r="12527" spans="4:4" x14ac:dyDescent="0.25">
      <c r="D12527" s="3"/>
    </row>
    <row r="12530" spans="4:4" x14ac:dyDescent="0.25">
      <c r="D12530" s="3"/>
    </row>
    <row r="12535" spans="4:4" x14ac:dyDescent="0.25">
      <c r="D12535" s="3"/>
    </row>
    <row r="12541" spans="4:4" x14ac:dyDescent="0.25">
      <c r="D12541" s="3"/>
    </row>
    <row r="12547" spans="4:4" x14ac:dyDescent="0.25">
      <c r="D12547" s="3"/>
    </row>
    <row r="12562" spans="4:4" x14ac:dyDescent="0.25">
      <c r="D12562" s="3"/>
    </row>
    <row r="12565" spans="4:4" x14ac:dyDescent="0.25">
      <c r="D12565" s="3"/>
    </row>
    <row r="12574" spans="4:4" x14ac:dyDescent="0.25">
      <c r="D12574" s="3"/>
    </row>
    <row r="12577" spans="4:4" x14ac:dyDescent="0.25">
      <c r="D12577" s="3"/>
    </row>
    <row r="12588" spans="4:4" x14ac:dyDescent="0.25">
      <c r="D12588" s="3"/>
    </row>
    <row r="12592" spans="4:4" x14ac:dyDescent="0.25">
      <c r="D12592" s="3"/>
    </row>
    <row r="12594" spans="4:4" x14ac:dyDescent="0.25">
      <c r="D12594" s="3"/>
    </row>
    <row r="12600" spans="4:4" x14ac:dyDescent="0.25">
      <c r="D12600" s="3"/>
    </row>
    <row r="12623" spans="4:4" x14ac:dyDescent="0.25">
      <c r="D12623" s="3"/>
    </row>
    <row r="12642" spans="4:4" x14ac:dyDescent="0.25">
      <c r="D12642" s="3"/>
    </row>
    <row r="12652" spans="4:4" x14ac:dyDescent="0.25">
      <c r="D12652" s="3"/>
    </row>
    <row r="12670" spans="4:4" x14ac:dyDescent="0.25">
      <c r="D12670" s="3"/>
    </row>
    <row r="12684" spans="4:4" x14ac:dyDescent="0.25">
      <c r="D12684" s="3"/>
    </row>
    <row r="12696" spans="4:4" x14ac:dyDescent="0.25">
      <c r="D12696" s="3"/>
    </row>
    <row r="12711" spans="4:4" x14ac:dyDescent="0.25">
      <c r="D12711" s="3"/>
    </row>
    <row r="12766" spans="4:4" x14ac:dyDescent="0.25">
      <c r="D12766" s="3"/>
    </row>
    <row r="12786" spans="4:4" x14ac:dyDescent="0.25">
      <c r="D12786" s="3"/>
    </row>
    <row r="12805" spans="4:4" x14ac:dyDescent="0.25">
      <c r="D12805" s="3"/>
    </row>
    <row r="12821" spans="4:4" x14ac:dyDescent="0.25">
      <c r="D12821" s="3"/>
    </row>
    <row r="12848" spans="4:4" x14ac:dyDescent="0.25">
      <c r="D12848" s="3"/>
    </row>
    <row r="12858" spans="4:4" x14ac:dyDescent="0.25">
      <c r="D12858" s="3"/>
    </row>
    <row r="12917" spans="4:4" x14ac:dyDescent="0.25">
      <c r="D12917" s="3"/>
    </row>
    <row r="12941" spans="4:4" x14ac:dyDescent="0.25">
      <c r="D12941" s="3"/>
    </row>
    <row r="12963" spans="4:4" x14ac:dyDescent="0.25">
      <c r="D12963" s="3"/>
    </row>
    <row r="12997" spans="4:4" x14ac:dyDescent="0.25">
      <c r="D12997" s="3"/>
    </row>
    <row r="13009" spans="4:4" x14ac:dyDescent="0.25">
      <c r="D13009" s="3"/>
    </row>
    <row r="13024" spans="4:4" x14ac:dyDescent="0.25">
      <c r="D13024" s="3"/>
    </row>
    <row r="13037" spans="4:4" x14ac:dyDescent="0.25">
      <c r="D13037" s="3"/>
    </row>
    <row r="13074" spans="4:4" x14ac:dyDescent="0.25">
      <c r="D13074" s="3"/>
    </row>
    <row r="13091" spans="4:4" x14ac:dyDescent="0.25">
      <c r="D13091" s="3"/>
    </row>
    <row r="13104" spans="4:4" x14ac:dyDescent="0.25">
      <c r="D13104" s="3"/>
    </row>
    <row r="13116" spans="4:4" x14ac:dyDescent="0.25">
      <c r="D13116" s="3"/>
    </row>
    <row r="13150" spans="4:4" x14ac:dyDescent="0.25">
      <c r="D13150" s="3"/>
    </row>
    <row r="13157" spans="4:4" x14ac:dyDescent="0.25">
      <c r="D13157" s="3"/>
    </row>
    <row r="13176" spans="4:4" x14ac:dyDescent="0.25">
      <c r="D13176" s="3"/>
    </row>
    <row r="13199" spans="4:4" x14ac:dyDescent="0.25">
      <c r="D13199" s="3"/>
    </row>
    <row r="13205" spans="4:4" x14ac:dyDescent="0.25">
      <c r="D13205" s="3"/>
    </row>
    <row r="13245" spans="4:4" x14ac:dyDescent="0.25">
      <c r="D13245" s="3"/>
    </row>
    <row r="13248" spans="4:4" x14ac:dyDescent="0.25">
      <c r="D13248" s="3"/>
    </row>
    <row r="13254" spans="4:4" x14ac:dyDescent="0.25">
      <c r="D13254" s="3"/>
    </row>
    <row r="13266" spans="4:4" x14ac:dyDescent="0.25">
      <c r="D13266" s="3"/>
    </row>
    <row r="13270" spans="4:4" x14ac:dyDescent="0.25">
      <c r="D13270" s="3"/>
    </row>
    <row r="13278" spans="4:4" x14ac:dyDescent="0.25">
      <c r="D13278" s="3"/>
    </row>
    <row r="13422" spans="4:4" x14ac:dyDescent="0.25">
      <c r="D13422" s="3"/>
    </row>
    <row r="13488" spans="4:4" x14ac:dyDescent="0.25">
      <c r="D13488" s="3"/>
    </row>
    <row r="13510" spans="4:4" x14ac:dyDescent="0.25">
      <c r="D13510" s="3"/>
    </row>
    <row r="13532" spans="10:10" x14ac:dyDescent="0.25">
      <c r="J13532" s="8"/>
    </row>
    <row r="13568" spans="10:10" x14ac:dyDescent="0.25">
      <c r="J13568" s="8"/>
    </row>
    <row r="13604" spans="4:4" x14ac:dyDescent="0.25">
      <c r="D13604" s="3"/>
    </row>
    <row r="13608" spans="4:4" x14ac:dyDescent="0.25">
      <c r="D13608" s="3"/>
    </row>
    <row r="13610" spans="4:4" x14ac:dyDescent="0.25">
      <c r="D13610" s="3"/>
    </row>
    <row r="13612" spans="4:4" x14ac:dyDescent="0.25">
      <c r="D13612" s="3"/>
    </row>
    <row r="13618" spans="4:4" x14ac:dyDescent="0.25">
      <c r="D13618" s="3"/>
    </row>
    <row r="13619" spans="4:4" x14ac:dyDescent="0.25">
      <c r="D13619" s="3"/>
    </row>
    <row r="13630" spans="4:4" x14ac:dyDescent="0.25">
      <c r="D13630" s="3"/>
    </row>
    <row r="13637" spans="4:4" x14ac:dyDescent="0.25">
      <c r="D13637" s="3"/>
    </row>
    <row r="13639" spans="4:4" x14ac:dyDescent="0.25">
      <c r="D13639" s="3"/>
    </row>
    <row r="13651" spans="4:4" x14ac:dyDescent="0.25">
      <c r="D13651" s="3"/>
    </row>
    <row r="13654" spans="4:4" x14ac:dyDescent="0.25">
      <c r="D13654" s="3"/>
    </row>
    <row r="13661" spans="4:4" x14ac:dyDescent="0.25">
      <c r="D13661" s="3"/>
    </row>
    <row r="13664" spans="4:4" x14ac:dyDescent="0.25">
      <c r="D13664" s="3"/>
    </row>
    <row r="13668" spans="4:4" x14ac:dyDescent="0.25">
      <c r="D13668" s="3"/>
    </row>
    <row r="13670" spans="4:4" x14ac:dyDescent="0.25">
      <c r="D13670" s="3"/>
    </row>
    <row r="13681" spans="4:4" x14ac:dyDescent="0.25">
      <c r="D13681" s="3"/>
    </row>
    <row r="13686" spans="4:4" x14ac:dyDescent="0.25">
      <c r="D13686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701" spans="4:4" x14ac:dyDescent="0.25">
      <c r="D13701" s="3"/>
    </row>
    <row r="13713" spans="4:4" x14ac:dyDescent="0.25">
      <c r="D13713" s="3"/>
    </row>
    <row r="13720" spans="4:4" x14ac:dyDescent="0.25">
      <c r="D13720" s="3"/>
    </row>
    <row r="13725" spans="4:4" x14ac:dyDescent="0.25">
      <c r="D13725" s="3"/>
    </row>
    <row r="13734" spans="4:4" x14ac:dyDescent="0.25">
      <c r="D13734" s="3"/>
    </row>
    <row r="13736" spans="4:4" x14ac:dyDescent="0.25">
      <c r="D13736" s="3"/>
    </row>
    <row r="13737" spans="4:4" x14ac:dyDescent="0.25">
      <c r="D13737" s="3"/>
    </row>
    <row r="13746" spans="4:4" x14ac:dyDescent="0.25">
      <c r="D13746" s="3"/>
    </row>
    <row r="13753" spans="4:4" x14ac:dyDescent="0.25">
      <c r="D13753" s="3"/>
    </row>
    <row r="13764" spans="4:4" x14ac:dyDescent="0.25">
      <c r="D13764" s="3"/>
    </row>
    <row r="13770" spans="4:4" x14ac:dyDescent="0.25">
      <c r="D13770" s="3"/>
    </row>
    <row r="13776" spans="4:4" x14ac:dyDescent="0.25">
      <c r="D13776" s="3"/>
    </row>
    <row r="13779" spans="4:4" x14ac:dyDescent="0.25">
      <c r="D13779" s="3"/>
    </row>
    <row r="13805" spans="4:4" x14ac:dyDescent="0.25">
      <c r="D13805" s="3"/>
    </row>
    <row r="13809" spans="4:4" x14ac:dyDescent="0.25">
      <c r="D13809" s="3"/>
    </row>
    <row r="13819" spans="4:4" x14ac:dyDescent="0.25">
      <c r="D13819" s="3"/>
    </row>
    <row r="13820" spans="4:4" x14ac:dyDescent="0.25">
      <c r="D13820" s="3"/>
    </row>
    <row r="13827" spans="4:4" x14ac:dyDescent="0.25">
      <c r="D13827" s="3"/>
    </row>
    <row r="13832" spans="4:4" x14ac:dyDescent="0.25">
      <c r="D13832" s="3"/>
    </row>
    <row r="13835" spans="4:4" x14ac:dyDescent="0.25">
      <c r="D13835" s="3"/>
    </row>
    <row r="13845" spans="4:4" x14ac:dyDescent="0.25">
      <c r="D13845" s="3"/>
    </row>
    <row r="13848" spans="4:4" x14ac:dyDescent="0.25">
      <c r="D13848" s="3"/>
    </row>
    <row r="13849" spans="4:4" x14ac:dyDescent="0.25">
      <c r="D13849" s="3"/>
    </row>
    <row r="13853" spans="4:4" x14ac:dyDescent="0.25">
      <c r="D13853" s="3"/>
    </row>
    <row r="13856" spans="4:4" x14ac:dyDescent="0.25">
      <c r="D13856" s="3"/>
    </row>
    <row r="13861" spans="4:4" x14ac:dyDescent="0.25">
      <c r="D13861" s="3"/>
    </row>
    <row r="13870" spans="4:4" x14ac:dyDescent="0.25">
      <c r="D13870" s="3"/>
    </row>
    <row r="13872" spans="4:4" x14ac:dyDescent="0.25">
      <c r="D13872" s="3"/>
    </row>
    <row r="13887" spans="4:4" x14ac:dyDescent="0.25">
      <c r="D13887" s="3"/>
    </row>
    <row r="13896" spans="4:4" x14ac:dyDescent="0.25">
      <c r="D13896" s="3"/>
    </row>
    <row r="13910" spans="4:4" x14ac:dyDescent="0.25">
      <c r="D13910" s="3"/>
    </row>
    <row r="13921" spans="4:4" x14ac:dyDescent="0.25">
      <c r="D13921" s="3"/>
    </row>
    <row r="13922" spans="4:4" x14ac:dyDescent="0.25">
      <c r="D13922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4" spans="4:4" x14ac:dyDescent="0.25">
      <c r="D13934" s="3"/>
    </row>
    <row r="13938" spans="4:4" x14ac:dyDescent="0.25">
      <c r="D13938" s="3"/>
    </row>
    <row r="13951" spans="4:4" x14ac:dyDescent="0.25">
      <c r="D13951" s="3"/>
    </row>
    <row r="13953" spans="4:4" x14ac:dyDescent="0.25">
      <c r="D13953" s="3"/>
    </row>
    <row r="13963" spans="4:4" x14ac:dyDescent="0.25">
      <c r="D13963" s="3"/>
    </row>
    <row r="13966" spans="4:4" x14ac:dyDescent="0.25">
      <c r="D13966" s="3"/>
    </row>
    <row r="13984" spans="4:4" x14ac:dyDescent="0.25">
      <c r="D13984" s="3"/>
    </row>
    <row r="13986" spans="4:10" x14ac:dyDescent="0.25">
      <c r="D13986" s="3"/>
    </row>
    <row r="13995" spans="4:10" x14ac:dyDescent="0.25">
      <c r="J13995" s="8"/>
    </row>
    <row r="13998" spans="4:10" x14ac:dyDescent="0.25">
      <c r="D13998" s="3"/>
    </row>
    <row r="14009" spans="4:4" x14ac:dyDescent="0.25">
      <c r="D14009" s="3"/>
    </row>
    <row r="14030" spans="4:4" x14ac:dyDescent="0.25">
      <c r="D14030" s="3"/>
    </row>
    <row r="14037" spans="4:4" x14ac:dyDescent="0.25">
      <c r="D14037" s="3"/>
    </row>
    <row r="14048" spans="4:4" x14ac:dyDescent="0.25">
      <c r="D14048" s="3"/>
    </row>
    <row r="14056" spans="4:4" x14ac:dyDescent="0.25">
      <c r="D14056" s="3"/>
    </row>
    <row r="14080" spans="4:4" x14ac:dyDescent="0.25">
      <c r="D14080" s="3"/>
    </row>
    <row r="14097" spans="4:4" x14ac:dyDescent="0.25">
      <c r="D14097" s="3"/>
    </row>
    <row r="14116" spans="4:4" x14ac:dyDescent="0.25">
      <c r="D14116" s="3"/>
    </row>
    <row r="14139" spans="4:4" x14ac:dyDescent="0.25">
      <c r="D14139" s="3"/>
    </row>
    <row r="14145" spans="4:4" x14ac:dyDescent="0.25">
      <c r="D14145" s="3"/>
    </row>
    <row r="14150" spans="4:4" x14ac:dyDescent="0.25">
      <c r="D14150" s="3"/>
    </row>
    <row r="14153" spans="4:4" x14ac:dyDescent="0.25">
      <c r="D14153" s="3"/>
    </row>
    <row r="14156" spans="4:4" x14ac:dyDescent="0.25">
      <c r="D14156" s="3"/>
    </row>
    <row r="14171" spans="4:4" x14ac:dyDescent="0.25">
      <c r="D14171" s="3"/>
    </row>
    <row r="14195" spans="4:4" x14ac:dyDescent="0.25">
      <c r="D14195" s="3"/>
    </row>
    <row r="14207" spans="4:4" x14ac:dyDescent="0.25">
      <c r="D14207" s="3"/>
    </row>
    <row r="14212" spans="4:4" x14ac:dyDescent="0.25">
      <c r="D14212" s="3"/>
    </row>
    <row r="14234" spans="4:4" x14ac:dyDescent="0.25">
      <c r="D14234" s="3"/>
    </row>
    <row r="14246" spans="4:4" x14ac:dyDescent="0.25">
      <c r="D14246" s="3"/>
    </row>
    <row r="14265" spans="4:4" x14ac:dyDescent="0.25">
      <c r="D14265" s="3"/>
    </row>
    <row r="14269" spans="4:4" x14ac:dyDescent="0.25">
      <c r="D14269" s="3"/>
    </row>
    <row r="14273" spans="4:4" x14ac:dyDescent="0.25">
      <c r="D14273" s="3"/>
    </row>
    <row r="14283" spans="4:4" x14ac:dyDescent="0.25">
      <c r="D14283" s="3"/>
    </row>
    <row r="14286" spans="4:4" x14ac:dyDescent="0.25">
      <c r="D14286" s="3"/>
    </row>
    <row r="14287" spans="4:4" x14ac:dyDescent="0.25">
      <c r="D14287" s="3"/>
    </row>
    <row r="14289" spans="4:4" x14ac:dyDescent="0.25">
      <c r="D14289" s="3"/>
    </row>
    <row r="14316" spans="4:4" x14ac:dyDescent="0.25">
      <c r="D14316" s="3"/>
    </row>
    <row r="14323" spans="4:4" x14ac:dyDescent="0.25">
      <c r="D14323" s="3"/>
    </row>
    <row r="14336" spans="4:4" x14ac:dyDescent="0.25">
      <c r="D14336" s="3"/>
    </row>
    <row r="14344" spans="4:4" x14ac:dyDescent="0.25">
      <c r="D14344" s="3"/>
    </row>
    <row r="14347" spans="4:4" x14ac:dyDescent="0.25">
      <c r="D14347" s="3"/>
    </row>
    <row r="14352" spans="4:4" x14ac:dyDescent="0.25">
      <c r="D14352" s="3"/>
    </row>
    <row r="14355" spans="4:4" x14ac:dyDescent="0.25">
      <c r="D14355" s="3"/>
    </row>
    <row r="14360" spans="4:4" x14ac:dyDescent="0.25">
      <c r="D14360" s="3"/>
    </row>
    <row r="14373" spans="4:4" x14ac:dyDescent="0.25">
      <c r="D14373" s="3"/>
    </row>
    <row r="14380" spans="4:4" x14ac:dyDescent="0.25">
      <c r="D14380" s="3"/>
    </row>
    <row r="14390" spans="4:4" x14ac:dyDescent="0.25">
      <c r="D14390" s="3"/>
    </row>
    <row r="14397" spans="4:4" x14ac:dyDescent="0.25">
      <c r="D14397" s="3"/>
    </row>
    <row r="14410" spans="4:4" x14ac:dyDescent="0.25">
      <c r="D14410" s="3"/>
    </row>
    <row r="14413" spans="4:4" x14ac:dyDescent="0.25">
      <c r="D14413" s="3"/>
    </row>
    <row r="14431" spans="4:4" x14ac:dyDescent="0.25">
      <c r="D14431" s="3"/>
    </row>
    <row r="14433" spans="4:4" x14ac:dyDescent="0.25">
      <c r="D14433" s="3"/>
    </row>
    <row r="14443" spans="4:4" x14ac:dyDescent="0.25">
      <c r="D14443" s="3"/>
    </row>
    <row r="14453" spans="4:4" x14ac:dyDescent="0.25">
      <c r="D14453" s="3"/>
    </row>
    <row r="14472" spans="4:4" x14ac:dyDescent="0.25">
      <c r="D14472" s="3"/>
    </row>
    <row r="14488" spans="4:4" x14ac:dyDescent="0.25">
      <c r="D14488" s="3"/>
    </row>
    <row r="14503" spans="4:4" x14ac:dyDescent="0.25">
      <c r="D14503" s="3"/>
    </row>
    <row r="14542" spans="4:4" x14ac:dyDescent="0.25">
      <c r="D14542" s="3"/>
    </row>
    <row r="14553" spans="4:4" x14ac:dyDescent="0.25">
      <c r="D14553" s="3"/>
    </row>
    <row r="14575" spans="4:4" x14ac:dyDescent="0.25">
      <c r="D14575" s="3"/>
    </row>
    <row r="14578" spans="4:4" x14ac:dyDescent="0.25">
      <c r="D14578" s="3"/>
    </row>
    <row r="14581" spans="4:4" x14ac:dyDescent="0.25">
      <c r="D14581" s="3"/>
    </row>
    <row r="14600" spans="4:4" x14ac:dyDescent="0.25">
      <c r="D14600" s="3"/>
    </row>
    <row r="14617" spans="4:4" x14ac:dyDescent="0.25">
      <c r="D14617" s="3"/>
    </row>
    <row r="14626" spans="4:4" x14ac:dyDescent="0.25">
      <c r="D14626" s="3"/>
    </row>
    <row r="14650" spans="4:4" x14ac:dyDescent="0.25">
      <c r="D14650" s="3"/>
    </row>
    <row r="14661" spans="4:4" x14ac:dyDescent="0.25">
      <c r="D14661" s="3"/>
    </row>
    <row r="14665" spans="4:4" x14ac:dyDescent="0.25">
      <c r="D14665" s="3"/>
    </row>
    <row r="14667" spans="4:4" x14ac:dyDescent="0.25">
      <c r="D14667" s="3"/>
    </row>
    <row r="14678" spans="4:4" x14ac:dyDescent="0.25">
      <c r="D14678" s="3"/>
    </row>
    <row r="14698" spans="4:4" x14ac:dyDescent="0.25">
      <c r="D14698" s="3"/>
    </row>
    <row r="14722" spans="4:4" x14ac:dyDescent="0.25">
      <c r="D14722" s="3"/>
    </row>
    <row r="14744" spans="4:4" x14ac:dyDescent="0.25">
      <c r="D14744" s="3"/>
    </row>
    <row r="14776" spans="4:4" x14ac:dyDescent="0.25">
      <c r="D14776" s="3"/>
    </row>
    <row r="14780" spans="4:4" x14ac:dyDescent="0.25">
      <c r="D14780" s="3"/>
    </row>
    <row r="14785" spans="4:4" x14ac:dyDescent="0.25">
      <c r="D14785" s="3"/>
    </row>
    <row r="14788" spans="4:4" x14ac:dyDescent="0.25">
      <c r="D14788" s="3"/>
    </row>
    <row r="14791" spans="4:4" x14ac:dyDescent="0.25">
      <c r="D14791" s="3"/>
    </row>
    <row r="14819" spans="4:4" x14ac:dyDescent="0.25">
      <c r="D14819" s="3"/>
    </row>
    <row r="14823" spans="4:4" x14ac:dyDescent="0.25">
      <c r="D14823" s="3"/>
    </row>
    <row r="14833" spans="4:4" x14ac:dyDescent="0.25">
      <c r="D14833" s="3"/>
    </row>
    <row r="14841" spans="4:4" x14ac:dyDescent="0.25">
      <c r="D14841" s="3"/>
    </row>
    <row r="14846" spans="4:4" x14ac:dyDescent="0.25">
      <c r="D14846" s="3"/>
    </row>
    <row r="14859" spans="4:4" x14ac:dyDescent="0.25">
      <c r="D14859" s="3"/>
    </row>
    <row r="14862" spans="4:4" x14ac:dyDescent="0.25">
      <c r="D14862" s="3"/>
    </row>
    <row r="14863" spans="4:4" x14ac:dyDescent="0.25">
      <c r="D14863" s="3"/>
    </row>
    <row r="14867" spans="4:4" x14ac:dyDescent="0.25">
      <c r="D14867" s="3"/>
    </row>
    <row r="14870" spans="4:4" x14ac:dyDescent="0.25">
      <c r="D14870" s="3"/>
    </row>
    <row r="14879" spans="4:4" x14ac:dyDescent="0.25">
      <c r="D14879" s="3"/>
    </row>
    <row r="14906" spans="4:4" x14ac:dyDescent="0.25">
      <c r="D14906" s="3"/>
    </row>
    <row r="14926" spans="4:4" x14ac:dyDescent="0.25">
      <c r="D14926" s="3"/>
    </row>
    <row r="14935" spans="4:4" x14ac:dyDescent="0.25">
      <c r="D14935" s="3"/>
    </row>
    <row r="14936" spans="4:4" x14ac:dyDescent="0.25">
      <c r="D14936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8" spans="4:4" x14ac:dyDescent="0.25">
      <c r="D14948" s="3"/>
    </row>
    <row r="14952" spans="4:4" x14ac:dyDescent="0.25">
      <c r="D14952" s="3"/>
    </row>
    <row r="14963" spans="4:4" x14ac:dyDescent="0.25">
      <c r="D14963" s="3"/>
    </row>
    <row r="14965" spans="4:4" x14ac:dyDescent="0.25">
      <c r="D14965" s="3"/>
    </row>
    <row r="14975" spans="4:4" x14ac:dyDescent="0.25">
      <c r="D14975" s="3"/>
    </row>
    <row r="14978" spans="4:4" x14ac:dyDescent="0.25">
      <c r="D14978" s="3"/>
    </row>
    <row r="14996" spans="4:10" x14ac:dyDescent="0.25">
      <c r="D14996" s="3"/>
    </row>
    <row r="14998" spans="4:10" x14ac:dyDescent="0.25">
      <c r="D14998" s="3"/>
    </row>
    <row r="15006" spans="4:10" x14ac:dyDescent="0.25">
      <c r="J15006" s="8"/>
    </row>
    <row r="15010" spans="4:4" x14ac:dyDescent="0.25">
      <c r="D15010" s="3"/>
    </row>
    <row r="15021" spans="4:4" x14ac:dyDescent="0.25">
      <c r="D15021" s="3"/>
    </row>
    <row r="15031" spans="4:4" x14ac:dyDescent="0.25">
      <c r="D15031" s="3"/>
    </row>
    <row r="15042" spans="4:4" x14ac:dyDescent="0.25">
      <c r="D15042" s="3"/>
    </row>
    <row r="15049" spans="4:4" x14ac:dyDescent="0.25">
      <c r="D15049" s="3"/>
    </row>
    <row r="15060" spans="4:4" x14ac:dyDescent="0.25">
      <c r="D15060" s="3"/>
    </row>
    <row r="15066" spans="4:4" x14ac:dyDescent="0.25">
      <c r="D15066" s="3"/>
    </row>
    <row r="15089" spans="4:4" x14ac:dyDescent="0.25">
      <c r="D15089" s="3"/>
    </row>
    <row r="15105" spans="4:4" x14ac:dyDescent="0.25">
      <c r="D15105" s="3"/>
    </row>
    <row r="15123" spans="4:4" x14ac:dyDescent="0.25">
      <c r="D15123" s="3"/>
    </row>
    <row r="15146" spans="4:4" x14ac:dyDescent="0.25">
      <c r="D15146" s="3"/>
    </row>
    <row r="15152" spans="4:4" x14ac:dyDescent="0.25">
      <c r="D15152" s="3"/>
    </row>
    <row r="15156" spans="4:4" x14ac:dyDescent="0.25">
      <c r="D15156" s="3"/>
    </row>
    <row r="15159" spans="4:4" x14ac:dyDescent="0.25">
      <c r="D15159" s="3"/>
    </row>
    <row r="15162" spans="4:4" x14ac:dyDescent="0.25">
      <c r="D15162" s="3"/>
    </row>
    <row r="15176" spans="4:4" x14ac:dyDescent="0.25">
      <c r="D15176" s="3"/>
    </row>
    <row r="15181" spans="4:4" x14ac:dyDescent="0.25">
      <c r="D15181" s="3"/>
    </row>
    <row r="15187" spans="4:4" x14ac:dyDescent="0.25">
      <c r="D15187" s="3"/>
    </row>
    <row r="15199" spans="4:4" x14ac:dyDescent="0.25">
      <c r="D15199" s="3"/>
    </row>
    <row r="15211" spans="4:4" x14ac:dyDescent="0.25">
      <c r="D15211" s="3"/>
    </row>
    <row r="15216" spans="4:4" x14ac:dyDescent="0.25">
      <c r="D15216" s="3"/>
    </row>
    <row r="15238" spans="4:4" x14ac:dyDescent="0.25">
      <c r="D15238" s="3"/>
    </row>
    <row r="15267" spans="4:4" x14ac:dyDescent="0.25">
      <c r="D15267" s="3"/>
    </row>
    <row r="15270" spans="4:4" x14ac:dyDescent="0.25">
      <c r="D15270" s="3"/>
    </row>
    <row r="15274" spans="4:4" x14ac:dyDescent="0.25">
      <c r="D15274" s="3"/>
    </row>
    <row r="15285" spans="4:4" x14ac:dyDescent="0.25">
      <c r="D15285" s="3"/>
    </row>
    <row r="15289" spans="4:4" x14ac:dyDescent="0.25">
      <c r="D15289" s="3"/>
    </row>
    <row r="15316" spans="4:4" x14ac:dyDescent="0.25">
      <c r="D15316" s="3"/>
    </row>
    <row r="15323" spans="4:4" x14ac:dyDescent="0.25">
      <c r="D15323" s="3"/>
    </row>
    <row r="15331" spans="4:4" x14ac:dyDescent="0.25">
      <c r="D15331" s="3"/>
    </row>
    <row r="15337" spans="4:4" x14ac:dyDescent="0.25">
      <c r="D15337" s="3"/>
    </row>
    <row r="15341" spans="4:4" x14ac:dyDescent="0.25">
      <c r="D15341" s="3"/>
    </row>
    <row r="15344" spans="4:4" x14ac:dyDescent="0.25">
      <c r="D15344" s="3"/>
    </row>
    <row r="15346" spans="4:4" x14ac:dyDescent="0.25">
      <c r="D15346" s="3"/>
    </row>
    <row r="15352" spans="4:4" x14ac:dyDescent="0.25">
      <c r="D15352" s="3"/>
    </row>
    <row r="15364" spans="4:4" x14ac:dyDescent="0.25">
      <c r="D15364" s="3"/>
    </row>
    <row r="15370" spans="4:4" x14ac:dyDescent="0.25">
      <c r="D15370" s="3"/>
    </row>
    <row r="15380" spans="4:4" x14ac:dyDescent="0.25">
      <c r="D15380" s="3"/>
    </row>
    <row r="15397" spans="4:4" x14ac:dyDescent="0.25">
      <c r="D15397" s="3"/>
    </row>
    <row r="15409" spans="4:4" x14ac:dyDescent="0.25">
      <c r="D15409" s="3"/>
    </row>
    <row r="15411" spans="4:4" x14ac:dyDescent="0.25">
      <c r="D15411" s="3"/>
    </row>
    <row r="15420" spans="4:4" x14ac:dyDescent="0.25">
      <c r="D15420" s="3"/>
    </row>
    <row r="15430" spans="4:4" x14ac:dyDescent="0.25">
      <c r="D15430" s="3"/>
    </row>
    <row r="15458" spans="4:4" x14ac:dyDescent="0.25">
      <c r="D15458" s="3"/>
    </row>
    <row r="15473" spans="4:4" x14ac:dyDescent="0.25">
      <c r="D15473" s="3"/>
    </row>
    <row r="15539" spans="4:4" x14ac:dyDescent="0.25">
      <c r="D15539" s="3"/>
    </row>
    <row r="15556" spans="4:4" x14ac:dyDescent="0.25">
      <c r="D15556" s="3"/>
    </row>
    <row r="15601" spans="4:4" x14ac:dyDescent="0.25">
      <c r="D15601" s="3"/>
    </row>
    <row r="15643" spans="4:4" x14ac:dyDescent="0.25">
      <c r="D15643" s="3"/>
    </row>
    <row r="15645" spans="4:4" x14ac:dyDescent="0.25">
      <c r="D15645" s="3"/>
    </row>
    <row r="15660" spans="4:4" x14ac:dyDescent="0.25">
      <c r="D15660" s="3"/>
    </row>
    <row r="15799" spans="4:4" x14ac:dyDescent="0.25">
      <c r="D15799" s="3"/>
    </row>
    <row r="15800" spans="4:4" x14ac:dyDescent="0.25">
      <c r="D15800" s="3"/>
    </row>
    <row r="15951" spans="4:4" x14ac:dyDescent="0.25">
      <c r="D15951" s="3"/>
    </row>
    <row r="16330" spans="4:4" x14ac:dyDescent="0.25">
      <c r="D16330" s="3"/>
    </row>
    <row r="16331" spans="4:4" x14ac:dyDescent="0.25">
      <c r="D16331" s="3"/>
    </row>
    <row r="16442" spans="4:4" x14ac:dyDescent="0.25">
      <c r="D16442" s="3"/>
    </row>
    <row r="17560" spans="4:4" x14ac:dyDescent="0.25">
      <c r="D17560" s="3"/>
    </row>
    <row r="17561" spans="4:4" x14ac:dyDescent="0.25">
      <c r="D17561" s="3"/>
    </row>
    <row r="17796" spans="4:4" x14ac:dyDescent="0.25">
      <c r="D17796" s="3"/>
    </row>
    <row r="17797" spans="4:4" x14ac:dyDescent="0.25">
      <c r="D17797" s="3"/>
    </row>
    <row r="18030" spans="4:4" x14ac:dyDescent="0.25">
      <c r="D18030" s="3"/>
    </row>
    <row r="18031" spans="4:4" x14ac:dyDescent="0.25">
      <c r="D18031" s="3"/>
    </row>
    <row r="18259" spans="4:4" x14ac:dyDescent="0.25">
      <c r="D18259" s="3"/>
    </row>
  </sheetData>
  <autoFilter ref="A1:J6668" xr:uid="{726E9ED1-0E63-4823-BB32-F81A6D68008C}"/>
  <sortState xmlns:xlrd2="http://schemas.microsoft.com/office/spreadsheetml/2017/richdata2" ref="A2:J18571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31647-A271-44A4-9955-AD6EA772DB00}">
  <sheetPr codeName="Planilha1"/>
  <dimension ref="A1:AE2545"/>
  <sheetViews>
    <sheetView showGridLines="0" zoomScaleNormal="100" workbookViewId="0">
      <pane ySplit="3" topLeftCell="A4" activePane="bottomLeft" state="frozen"/>
      <selection pane="bottomLeft" activeCell="F2" sqref="F2"/>
    </sheetView>
  </sheetViews>
  <sheetFormatPr defaultRowHeight="15" x14ac:dyDescent="0.25"/>
  <cols>
    <col min="1" max="1" width="9.5703125" style="9" customWidth="1"/>
    <col min="2" max="2" width="8" style="9" bestFit="1" customWidth="1"/>
    <col min="3" max="3" width="17.5703125" style="9" customWidth="1"/>
    <col min="4" max="4" width="10.5703125" style="9" bestFit="1" customWidth="1"/>
    <col min="5" max="5" width="1" customWidth="1"/>
    <col min="6" max="6" width="13.7109375" style="9" bestFit="1" customWidth="1"/>
    <col min="7" max="7" width="8.85546875" style="9" bestFit="1" customWidth="1"/>
    <col min="8" max="8" width="4.7109375" style="9" bestFit="1" customWidth="1"/>
    <col min="9" max="9" width="8" style="9" bestFit="1" customWidth="1"/>
    <col min="10" max="10" width="2" style="9" bestFit="1" customWidth="1"/>
    <col min="11" max="11" width="6.7109375" style="9" bestFit="1" customWidth="1"/>
    <col min="13" max="13" width="16.28515625" customWidth="1"/>
    <col min="14" max="14" width="6" bestFit="1" customWidth="1"/>
    <col min="15" max="15" width="13.7109375" bestFit="1" customWidth="1"/>
    <col min="16" max="16" width="5.5703125" style="9" bestFit="1" customWidth="1"/>
    <col min="17" max="17" width="9.5703125" style="10" bestFit="1" customWidth="1"/>
    <col min="18" max="18" width="18.85546875" style="9" bestFit="1" customWidth="1"/>
    <col min="19" max="19" width="8" style="9" bestFit="1" customWidth="1"/>
    <col min="20" max="20" width="6.42578125" style="9" bestFit="1" customWidth="1"/>
    <col min="21" max="21" width="11.28515625" style="11" bestFit="1" customWidth="1"/>
    <col min="22" max="22" width="2" customWidth="1"/>
    <col min="23" max="23" width="19.5703125" bestFit="1" customWidth="1"/>
    <col min="24" max="24" width="17.7109375" bestFit="1" customWidth="1"/>
  </cols>
  <sheetData>
    <row r="1" spans="1:31" s="44" customFormat="1" ht="44.25" customHeight="1" x14ac:dyDescent="0.25">
      <c r="A1" s="43"/>
      <c r="B1" s="43"/>
      <c r="C1" s="43"/>
      <c r="D1" s="43"/>
      <c r="F1" s="45"/>
      <c r="G1" s="43"/>
      <c r="H1" s="43"/>
      <c r="I1" s="43"/>
      <c r="J1" s="43"/>
      <c r="K1" s="43"/>
      <c r="M1" s="46" t="s">
        <v>227</v>
      </c>
      <c r="N1" s="47" t="s">
        <v>228</v>
      </c>
      <c r="O1" s="47" t="s">
        <v>227</v>
      </c>
      <c r="P1" s="48" t="s">
        <v>227</v>
      </c>
      <c r="Q1" s="49"/>
      <c r="R1" s="43"/>
      <c r="S1" s="43"/>
      <c r="T1" s="43"/>
      <c r="U1" s="50"/>
    </row>
    <row r="2" spans="1:31" x14ac:dyDescent="0.25">
      <c r="A2" s="12" t="s">
        <v>229</v>
      </c>
      <c r="B2" s="13"/>
      <c r="C2" s="13"/>
      <c r="D2" s="14"/>
      <c r="F2" s="1" t="s">
        <v>10</v>
      </c>
      <c r="G2" s="15">
        <v>3</v>
      </c>
      <c r="H2" s="16" t="s">
        <v>230</v>
      </c>
      <c r="I2" s="12"/>
      <c r="J2" s="12"/>
      <c r="K2" s="16"/>
      <c r="L2" s="12"/>
      <c r="M2" s="16"/>
      <c r="N2" s="12"/>
      <c r="O2" s="12"/>
      <c r="P2" s="12"/>
      <c r="Q2" s="16"/>
      <c r="R2" s="17"/>
      <c r="S2" s="12"/>
      <c r="T2" s="12"/>
      <c r="U2" s="18"/>
      <c r="V2" s="44"/>
      <c r="W2" s="44"/>
      <c r="X2" s="44"/>
      <c r="Y2" s="44"/>
      <c r="Z2" s="44"/>
      <c r="AA2" s="44"/>
      <c r="AB2" s="44"/>
      <c r="AC2" s="44"/>
      <c r="AD2" s="44"/>
      <c r="AE2" s="44"/>
    </row>
    <row r="3" spans="1:31" ht="15.75" x14ac:dyDescent="0.25">
      <c r="A3" s="36" t="s">
        <v>231</v>
      </c>
      <c r="B3" s="36" t="s">
        <v>232</v>
      </c>
      <c r="C3" s="36" t="s">
        <v>233</v>
      </c>
      <c r="D3" s="36" t="s">
        <v>234</v>
      </c>
      <c r="F3" s="36" t="s">
        <v>235</v>
      </c>
      <c r="G3" s="36" t="s">
        <v>236</v>
      </c>
      <c r="H3" s="36" t="s">
        <v>237</v>
      </c>
      <c r="I3" s="36" t="s">
        <v>238</v>
      </c>
      <c r="J3" s="36" t="s">
        <v>239</v>
      </c>
      <c r="K3" s="36" t="s">
        <v>240</v>
      </c>
      <c r="L3" s="36" t="s">
        <v>235</v>
      </c>
      <c r="M3" s="36" t="s">
        <v>233</v>
      </c>
      <c r="N3" s="36" t="s">
        <v>241</v>
      </c>
      <c r="O3" s="36" t="s">
        <v>233</v>
      </c>
      <c r="P3" s="36" t="s">
        <v>242</v>
      </c>
      <c r="Q3" s="37" t="s">
        <v>243</v>
      </c>
      <c r="R3" s="36" t="s">
        <v>244</v>
      </c>
      <c r="S3" s="36" t="s">
        <v>245</v>
      </c>
      <c r="T3" s="36" t="s">
        <v>246</v>
      </c>
      <c r="U3" s="38" t="s">
        <v>247</v>
      </c>
      <c r="V3" s="44"/>
      <c r="W3" s="38" t="s">
        <v>248</v>
      </c>
      <c r="X3" s="38" t="s">
        <v>249</v>
      </c>
      <c r="Y3" s="44"/>
      <c r="Z3" s="44"/>
      <c r="AA3" s="44"/>
      <c r="AB3" s="44"/>
      <c r="AC3" s="44"/>
      <c r="AD3" s="44"/>
      <c r="AE3" s="44"/>
    </row>
    <row r="4" spans="1:31" x14ac:dyDescent="0.25">
      <c r="A4" s="19" t="str" cm="1">
        <f t="array" ref="A4:A5">_xlfn.UNIQUE(F4:F156)</f>
        <v>Sem dados</v>
      </c>
      <c r="B4" s="20" t="str">
        <f>IF(A4="","",_xlfn.XLOOKUP(A4,Pendente!A:A,Pendente!G:G,"",0))</f>
        <v/>
      </c>
      <c r="C4" s="21" t="str">
        <f>IF(B4="","",_xlfn.XLOOKUP(B4,Pendente!G:G,Pendente!H:H,"",0))</f>
        <v/>
      </c>
      <c r="D4" s="20" t="str">
        <f>IF(A4="","",_xlfn.XLOOKUP(A4,Pendente!A:A,Pendente!L:L,"",0))</f>
        <v/>
      </c>
      <c r="F4" s="22" t="str" cm="1">
        <f t="array" ref="F4">IFERROR(IF(G2=3,_xlfn._xlws.FILTER(Pendente!A:P,Pendente!A:A=Pesquisa!F2),IF(G2=1,_xlfn._xlws.FILTER(Pendente!A:P,Pendente!G:G=Pesquisa!F2),_xlfn._xlws.FILTER(Pendente!A:P,Pendente!L:L=Pesquisa!F2))),"Sem dados")</f>
        <v>Sem dados</v>
      </c>
      <c r="G4" s="22"/>
      <c r="H4" s="22"/>
      <c r="I4" s="22"/>
      <c r="J4" s="22"/>
      <c r="K4" s="23"/>
      <c r="L4" s="24"/>
      <c r="M4" s="25"/>
      <c r="N4" s="24"/>
      <c r="O4" s="24"/>
      <c r="P4" s="22"/>
      <c r="Q4" s="26"/>
      <c r="R4" s="26"/>
      <c r="S4" s="22"/>
      <c r="T4" s="22"/>
      <c r="U4" s="27"/>
      <c r="W4" s="27">
        <f ca="1">NOW()</f>
        <v>46230.433832291666</v>
      </c>
      <c r="X4" s="51">
        <f ca="1">TODAY()</f>
        <v>46230</v>
      </c>
    </row>
    <row r="5" spans="1:31" x14ac:dyDescent="0.25">
      <c r="A5" s="19">
        <v>0</v>
      </c>
      <c r="B5" s="20" t="str">
        <f>IF(A5="","",_xlfn.XLOOKUP(A5,Pendente!A:A,Pendente!G:G,"",0))</f>
        <v/>
      </c>
      <c r="C5" s="21" t="str">
        <f>IF(B5="","",_xlfn.XLOOKUP(B5,Pendente!G:G,Pendente!H:H,"",0))</f>
        <v/>
      </c>
      <c r="D5" s="20" t="str">
        <f>IF(A5="","",_xlfn.XLOOKUP(A5,Pendente!A:A,Pendente!L:L,"",0))</f>
        <v/>
      </c>
      <c r="F5" s="22"/>
      <c r="G5" s="22"/>
      <c r="H5" s="22"/>
      <c r="I5" s="22"/>
      <c r="J5" s="22"/>
      <c r="K5" s="23"/>
      <c r="L5" s="24"/>
      <c r="M5" s="25"/>
      <c r="N5" s="24"/>
      <c r="O5" s="24"/>
      <c r="P5" s="22"/>
      <c r="Q5" s="26"/>
      <c r="R5" s="26"/>
      <c r="S5" s="22"/>
      <c r="T5" s="22"/>
      <c r="U5" s="27"/>
      <c r="W5" s="54">
        <f ca="1">U4+W4</f>
        <v>46230.433832291666</v>
      </c>
    </row>
    <row r="6" spans="1:31" x14ac:dyDescent="0.25">
      <c r="A6" s="19"/>
      <c r="B6" s="20" t="str">
        <f>IF(A6="","",_xlfn.XLOOKUP(A6,Pendente!A:A,Pendente!G:G,"",0))</f>
        <v/>
      </c>
      <c r="C6" s="21" t="str">
        <f>IF(B6="","",_xlfn.XLOOKUP(B6,Pendente!G:G,Pendente!H:H,"",0))</f>
        <v/>
      </c>
      <c r="D6" s="20" t="str">
        <f>IF(A6="","",_xlfn.XLOOKUP(A6,Pendente!A:A,Pendente!L:L,"",0))</f>
        <v/>
      </c>
      <c r="F6" s="22"/>
      <c r="G6" s="22"/>
      <c r="H6" s="22"/>
      <c r="I6" s="22"/>
      <c r="J6" s="22"/>
      <c r="K6" s="23"/>
      <c r="L6" s="24"/>
      <c r="M6" s="25"/>
      <c r="N6" s="24"/>
      <c r="O6" s="24"/>
      <c r="P6" s="22"/>
      <c r="Q6" s="26"/>
      <c r="R6" s="26"/>
      <c r="S6" s="22"/>
      <c r="T6" s="22"/>
      <c r="U6" s="27"/>
      <c r="W6" s="54">
        <f t="shared" ref="W6:W24" ca="1" si="0">U5+W5</f>
        <v>46230.433832291666</v>
      </c>
    </row>
    <row r="7" spans="1:31" x14ac:dyDescent="0.25">
      <c r="A7" s="19"/>
      <c r="B7" s="20" t="str">
        <f>IF(A7="","",_xlfn.XLOOKUP(A7,Pendente!A:A,Pendente!G:G,"",0))</f>
        <v/>
      </c>
      <c r="C7" s="21" t="str">
        <f>IF(B7="","",_xlfn.XLOOKUP(B7,Pendente!G:G,Pendente!H:H,"",0))</f>
        <v/>
      </c>
      <c r="D7" s="20" t="str">
        <f>IF(A7="","",_xlfn.XLOOKUP(A7,Pendente!A:A,Pendente!L:L,"",0))</f>
        <v/>
      </c>
      <c r="F7" s="22"/>
      <c r="G7" s="22"/>
      <c r="H7" s="22"/>
      <c r="I7" s="22"/>
      <c r="J7" s="22"/>
      <c r="K7" s="23"/>
      <c r="L7" s="24"/>
      <c r="M7" s="25"/>
      <c r="N7" s="24"/>
      <c r="O7" s="24"/>
      <c r="P7" s="22"/>
      <c r="Q7" s="26"/>
      <c r="R7" s="26"/>
      <c r="S7" s="22"/>
      <c r="T7" s="22"/>
      <c r="U7" s="27"/>
      <c r="W7" s="54">
        <f t="shared" ca="1" si="0"/>
        <v>46230.433832291666</v>
      </c>
    </row>
    <row r="8" spans="1:31" x14ac:dyDescent="0.25">
      <c r="A8" s="19"/>
      <c r="B8" s="20" t="str">
        <f>IF(A8="","",_xlfn.XLOOKUP(A8,Pendente!A:A,Pendente!G:G,"",0))</f>
        <v/>
      </c>
      <c r="C8" s="21" t="str">
        <f>IF(B8="","",_xlfn.XLOOKUP(B8,Pendente!G:G,Pendente!H:H,"",0))</f>
        <v/>
      </c>
      <c r="D8" s="20" t="str">
        <f>IF(A8="","",_xlfn.XLOOKUP(A8,Pendente!A:A,Pendente!L:L,"",0))</f>
        <v/>
      </c>
      <c r="F8" s="22"/>
      <c r="G8" s="22"/>
      <c r="H8" s="22"/>
      <c r="I8" s="22"/>
      <c r="J8" s="22"/>
      <c r="K8" s="23"/>
      <c r="L8" s="24"/>
      <c r="M8" s="25"/>
      <c r="N8" s="24"/>
      <c r="O8" s="24"/>
      <c r="P8" s="22"/>
      <c r="Q8" s="26"/>
      <c r="R8" s="26"/>
      <c r="S8" s="22"/>
      <c r="T8" s="22"/>
      <c r="U8" s="27"/>
      <c r="W8" s="54">
        <f t="shared" ca="1" si="0"/>
        <v>46230.433832291666</v>
      </c>
    </row>
    <row r="9" spans="1:31" x14ac:dyDescent="0.25">
      <c r="A9" s="19"/>
      <c r="B9" s="20" t="str">
        <f>IF(A9="","",_xlfn.XLOOKUP(A9,Pendente!A:A,Pendente!G:G,"",0))</f>
        <v/>
      </c>
      <c r="C9" s="21" t="str">
        <f>IF(B9="","",_xlfn.XLOOKUP(B9,Pendente!G:G,Pendente!H:H,"",0))</f>
        <v/>
      </c>
      <c r="D9" s="20" t="str">
        <f>IF(A9="","",_xlfn.XLOOKUP(A9,Pendente!A:A,Pendente!L:L,"",0))</f>
        <v/>
      </c>
      <c r="F9" s="22"/>
      <c r="G9" s="22"/>
      <c r="H9" s="22"/>
      <c r="I9" s="22"/>
      <c r="J9" s="22"/>
      <c r="K9" s="23"/>
      <c r="L9" s="24"/>
      <c r="M9" s="25"/>
      <c r="N9" s="24"/>
      <c r="O9" s="24"/>
      <c r="P9" s="22"/>
      <c r="Q9" s="26"/>
      <c r="R9" s="26"/>
      <c r="S9" s="22"/>
      <c r="T9" s="22"/>
      <c r="U9" s="27"/>
      <c r="W9" s="54">
        <f t="shared" ca="1" si="0"/>
        <v>46230.433832291666</v>
      </c>
    </row>
    <row r="10" spans="1:31" x14ac:dyDescent="0.25">
      <c r="A10" s="19"/>
      <c r="B10" s="20" t="str">
        <f>IF(A10="","",_xlfn.XLOOKUP(A10,Pendente!A:A,Pendente!G:G,"",0))</f>
        <v/>
      </c>
      <c r="C10" s="21" t="str">
        <f>IF(B10="","",_xlfn.XLOOKUP(B10,Pendente!G:G,Pendente!H:H,"",0))</f>
        <v/>
      </c>
      <c r="D10" s="20" t="str">
        <f>IF(A10="","",_xlfn.XLOOKUP(A10,Pendente!A:A,Pendente!L:L,"",0))</f>
        <v/>
      </c>
      <c r="F10" s="22"/>
      <c r="G10" s="22"/>
      <c r="H10" s="22"/>
      <c r="I10" s="22"/>
      <c r="J10" s="22"/>
      <c r="K10" s="23"/>
      <c r="L10" s="24"/>
      <c r="M10" s="25"/>
      <c r="N10" s="24"/>
      <c r="O10" s="24"/>
      <c r="P10" s="22"/>
      <c r="Q10" s="26"/>
      <c r="R10" s="26"/>
      <c r="S10" s="22"/>
      <c r="T10" s="22"/>
      <c r="U10" s="27"/>
      <c r="W10" s="54">
        <f t="shared" ca="1" si="0"/>
        <v>46230.433832291666</v>
      </c>
    </row>
    <row r="11" spans="1:31" x14ac:dyDescent="0.25">
      <c r="A11" s="19"/>
      <c r="B11" s="20" t="str">
        <f>IF(A11="","",_xlfn.XLOOKUP(A11,Pendente!A:A,Pendente!G:G,"",0))</f>
        <v/>
      </c>
      <c r="C11" s="21" t="str">
        <f>IF(B11="","",_xlfn.XLOOKUP(B11,Pendente!G:G,Pendente!H:H,"",0))</f>
        <v/>
      </c>
      <c r="D11" s="20" t="str">
        <f>IF(A11="","",_xlfn.XLOOKUP(A11,Pendente!A:A,Pendente!L:L,"",0))</f>
        <v/>
      </c>
      <c r="F11" s="22"/>
      <c r="G11" s="22"/>
      <c r="H11" s="22"/>
      <c r="I11" s="22"/>
      <c r="J11" s="22"/>
      <c r="K11" s="23"/>
      <c r="L11" s="24"/>
      <c r="M11" s="25"/>
      <c r="N11" s="24"/>
      <c r="O11" s="24"/>
      <c r="P11" s="22"/>
      <c r="Q11" s="26"/>
      <c r="R11" s="26"/>
      <c r="S11" s="22"/>
      <c r="T11" s="22"/>
      <c r="U11" s="27"/>
      <c r="W11" s="54">
        <f t="shared" ca="1" si="0"/>
        <v>46230.433832291666</v>
      </c>
    </row>
    <row r="12" spans="1:31" x14ac:dyDescent="0.25">
      <c r="A12" s="19"/>
      <c r="B12" s="20" t="str">
        <f>IF(A12="","",_xlfn.XLOOKUP(A12,Pendente!A:A,Pendente!G:G,"",0))</f>
        <v/>
      </c>
      <c r="C12" s="21" t="str">
        <f>IF(B12="","",_xlfn.XLOOKUP(B12,Pendente!G:G,Pendente!H:H,"",0))</f>
        <v/>
      </c>
      <c r="D12" s="20" t="str">
        <f>IF(A12="","",_xlfn.XLOOKUP(A12,Pendente!A:A,Pendente!L:L,"",0))</f>
        <v/>
      </c>
      <c r="F12" s="22"/>
      <c r="G12" s="22"/>
      <c r="H12" s="22"/>
      <c r="I12" s="22"/>
      <c r="J12" s="22"/>
      <c r="K12" s="23"/>
      <c r="L12" s="24"/>
      <c r="M12" s="25"/>
      <c r="N12" s="24"/>
      <c r="O12" s="24"/>
      <c r="P12" s="22"/>
      <c r="Q12" s="26"/>
      <c r="R12" s="26"/>
      <c r="S12" s="22"/>
      <c r="T12" s="22"/>
      <c r="U12" s="27"/>
      <c r="W12" s="54">
        <f t="shared" ca="1" si="0"/>
        <v>46230.433832291666</v>
      </c>
    </row>
    <row r="13" spans="1:31" x14ac:dyDescent="0.25">
      <c r="A13" s="19"/>
      <c r="B13" s="20" t="str">
        <f>IF(A13="","",_xlfn.XLOOKUP(A13,Pendente!A:A,Pendente!G:G,"",0))</f>
        <v/>
      </c>
      <c r="C13" s="21" t="str">
        <f>IF(B13="","",_xlfn.XLOOKUP(B13,Pendente!G:G,Pendente!H:H,"",0))</f>
        <v/>
      </c>
      <c r="D13" s="20" t="str">
        <f>IF(A13="","",_xlfn.XLOOKUP(A13,Pendente!A:A,Pendente!L:L,"",0))</f>
        <v/>
      </c>
      <c r="F13" s="22"/>
      <c r="G13" s="22"/>
      <c r="H13" s="22"/>
      <c r="I13" s="22"/>
      <c r="J13" s="22"/>
      <c r="K13" s="23"/>
      <c r="L13" s="24"/>
      <c r="M13" s="25"/>
      <c r="N13" s="24"/>
      <c r="O13" s="24" t="s">
        <v>250</v>
      </c>
      <c r="P13" s="22"/>
      <c r="Q13" s="26"/>
      <c r="R13" s="26"/>
      <c r="S13" s="22"/>
      <c r="T13" s="22"/>
      <c r="U13" s="27"/>
      <c r="W13" s="54">
        <f t="shared" ca="1" si="0"/>
        <v>46230.433832291666</v>
      </c>
    </row>
    <row r="14" spans="1:31" x14ac:dyDescent="0.25">
      <c r="A14" s="19"/>
      <c r="B14" s="20" t="str">
        <f>IF(A14="","",_xlfn.XLOOKUP(A14,Pendente!A:A,Pendente!G:G,"",0))</f>
        <v/>
      </c>
      <c r="C14" s="21" t="str">
        <f>IF(B14="","",_xlfn.XLOOKUP(B14,Pendente!G:G,Pendente!H:H,"",0))</f>
        <v/>
      </c>
      <c r="D14" s="20" t="str">
        <f>IF(A14="","",_xlfn.XLOOKUP(A14,Pendente!A:A,Pendente!L:L,"",0))</f>
        <v/>
      </c>
      <c r="F14" s="22"/>
      <c r="G14" s="22"/>
      <c r="H14" s="22"/>
      <c r="I14" s="22"/>
      <c r="J14" s="22"/>
      <c r="K14" s="23"/>
      <c r="L14" s="24"/>
      <c r="M14" s="25"/>
      <c r="N14" s="24"/>
      <c r="O14" s="24"/>
      <c r="P14" s="22"/>
      <c r="Q14" s="26"/>
      <c r="R14" s="26"/>
      <c r="S14" s="22"/>
      <c r="T14" s="22"/>
      <c r="U14" s="27"/>
      <c r="W14" s="54">
        <f t="shared" ca="1" si="0"/>
        <v>46230.433832291666</v>
      </c>
    </row>
    <row r="15" spans="1:31" x14ac:dyDescent="0.25">
      <c r="A15" s="19"/>
      <c r="B15" s="20" t="str">
        <f>IF(A15="","",_xlfn.XLOOKUP(A15,Pendente!A:A,Pendente!G:G,"",0))</f>
        <v/>
      </c>
      <c r="C15" s="21" t="str">
        <f>IF(B15="","",_xlfn.XLOOKUP(B15,Pendente!G:G,Pendente!H:H,"",0))</f>
        <v/>
      </c>
      <c r="D15" s="20" t="str">
        <f>IF(A15="","",_xlfn.XLOOKUP(A15,Pendente!A:A,Pendente!L:L,"",0))</f>
        <v/>
      </c>
      <c r="F15" s="22"/>
      <c r="G15" s="22"/>
      <c r="H15" s="22"/>
      <c r="I15" s="22"/>
      <c r="J15" s="22"/>
      <c r="K15" s="23"/>
      <c r="L15" s="24"/>
      <c r="M15" s="25"/>
      <c r="N15" s="24"/>
      <c r="O15" s="24"/>
      <c r="P15" s="22"/>
      <c r="Q15" s="26"/>
      <c r="R15" s="26"/>
      <c r="S15" s="22"/>
      <c r="T15" s="22"/>
      <c r="U15" s="27"/>
      <c r="W15" s="54">
        <f t="shared" ca="1" si="0"/>
        <v>46230.433832291666</v>
      </c>
    </row>
    <row r="16" spans="1:31" x14ac:dyDescent="0.25">
      <c r="A16" s="19"/>
      <c r="B16" s="20" t="str">
        <f>IF(A16="","",_xlfn.XLOOKUP(A16,Pendente!A:A,Pendente!G:G,"",0))</f>
        <v/>
      </c>
      <c r="C16" s="21" t="str">
        <f>IF(B16="","",_xlfn.XLOOKUP(B16,Pendente!G:G,Pendente!H:H,"",0))</f>
        <v/>
      </c>
      <c r="D16" s="20" t="str">
        <f>IF(A16="","",_xlfn.XLOOKUP(A16,Pendente!A:A,Pendente!L:L,"",0))</f>
        <v/>
      </c>
      <c r="F16" s="22"/>
      <c r="G16" s="22"/>
      <c r="H16" s="22"/>
      <c r="I16" s="22"/>
      <c r="J16" s="22"/>
      <c r="K16" s="23"/>
      <c r="L16" s="24"/>
      <c r="M16" s="25"/>
      <c r="N16" s="24"/>
      <c r="O16" s="24"/>
      <c r="P16" s="22"/>
      <c r="Q16" s="26"/>
      <c r="R16" s="26"/>
      <c r="S16" s="22"/>
      <c r="T16" s="22"/>
      <c r="U16" s="27"/>
      <c r="W16" s="54">
        <f t="shared" ca="1" si="0"/>
        <v>46230.433832291666</v>
      </c>
    </row>
    <row r="17" spans="1:23" x14ac:dyDescent="0.25">
      <c r="A17" s="19"/>
      <c r="B17" s="20" t="str">
        <f>IF(A17="","",_xlfn.XLOOKUP(A17,Pendente!A:A,Pendente!G:G,"",0))</f>
        <v/>
      </c>
      <c r="C17" s="21" t="str">
        <f>IF(B17="","",_xlfn.XLOOKUP(B17,Pendente!G:G,Pendente!H:H,"",0))</f>
        <v/>
      </c>
      <c r="D17" s="20" t="str">
        <f>IF(A17="","",_xlfn.XLOOKUP(A17,Pendente!A:A,Pendente!L:L,"",0))</f>
        <v/>
      </c>
      <c r="F17" s="22"/>
      <c r="G17" s="22"/>
      <c r="H17" s="22"/>
      <c r="I17" s="22"/>
      <c r="J17" s="22"/>
      <c r="K17" s="23"/>
      <c r="L17" s="24"/>
      <c r="M17" s="25"/>
      <c r="N17" s="24"/>
      <c r="O17" s="24"/>
      <c r="P17" s="22"/>
      <c r="Q17" s="26"/>
      <c r="R17" s="26"/>
      <c r="S17" s="22"/>
      <c r="T17" s="22"/>
      <c r="U17" s="27"/>
      <c r="W17" s="54">
        <f t="shared" ca="1" si="0"/>
        <v>46230.433832291666</v>
      </c>
    </row>
    <row r="18" spans="1:23" x14ac:dyDescent="0.25">
      <c r="A18" s="19"/>
      <c r="B18" s="20" t="str">
        <f>IF(A18="","",_xlfn.XLOOKUP(A18,Pendente!A:A,Pendente!G:G,"",0))</f>
        <v/>
      </c>
      <c r="C18" s="21" t="str">
        <f>IF(B18="","",_xlfn.XLOOKUP(B18,Pendente!G:G,Pendente!H:H,"",0))</f>
        <v/>
      </c>
      <c r="D18" s="20" t="str">
        <f>IF(A18="","",_xlfn.XLOOKUP(A18,Pendente!A:A,Pendente!L:L,"",0))</f>
        <v/>
      </c>
      <c r="F18" s="22"/>
      <c r="G18" s="22"/>
      <c r="H18" s="22"/>
      <c r="I18" s="22"/>
      <c r="J18" s="22"/>
      <c r="K18" s="23"/>
      <c r="L18" s="24"/>
      <c r="M18" s="25"/>
      <c r="N18" s="24"/>
      <c r="O18" s="24"/>
      <c r="P18" s="22"/>
      <c r="Q18" s="26"/>
      <c r="R18" s="26"/>
      <c r="S18" s="22"/>
      <c r="T18" s="22"/>
      <c r="U18" s="27"/>
      <c r="W18" s="54">
        <f t="shared" ca="1" si="0"/>
        <v>46230.433832291666</v>
      </c>
    </row>
    <row r="19" spans="1:23" x14ac:dyDescent="0.25">
      <c r="A19" s="19"/>
      <c r="B19" s="20" t="str">
        <f>IF(A19="","",_xlfn.XLOOKUP(A19,Pendente!A:A,Pendente!G:G,"",0))</f>
        <v/>
      </c>
      <c r="C19" s="21" t="str">
        <f>IF(B19="","",_xlfn.XLOOKUP(B19,Pendente!G:G,Pendente!H:H,"",0))</f>
        <v/>
      </c>
      <c r="D19" s="20" t="str">
        <f>IF(A19="","",_xlfn.XLOOKUP(A19,Pendente!A:A,Pendente!L:L,"",0))</f>
        <v/>
      </c>
      <c r="F19" s="22"/>
      <c r="G19" s="22"/>
      <c r="H19" s="22"/>
      <c r="I19" s="22"/>
      <c r="J19" s="22"/>
      <c r="K19" s="23"/>
      <c r="L19" s="24"/>
      <c r="M19" s="25"/>
      <c r="N19" s="24"/>
      <c r="O19" s="24"/>
      <c r="P19" s="22"/>
      <c r="Q19" s="26"/>
      <c r="R19" s="26"/>
      <c r="S19" s="22"/>
      <c r="T19" s="22"/>
      <c r="U19" s="27"/>
      <c r="W19" s="54">
        <f t="shared" ca="1" si="0"/>
        <v>46230.433832291666</v>
      </c>
    </row>
    <row r="20" spans="1:23" x14ac:dyDescent="0.25">
      <c r="A20" s="19"/>
      <c r="B20" s="20" t="str">
        <f>IF(A20="","",_xlfn.XLOOKUP(A20,Pendente!A:A,Pendente!G:G,"",0))</f>
        <v/>
      </c>
      <c r="C20" s="21" t="str">
        <f>IF(B20="","",_xlfn.XLOOKUP(B20,Pendente!G:G,Pendente!H:H,"",0))</f>
        <v/>
      </c>
      <c r="D20" s="20" t="str">
        <f>IF(A20="","",_xlfn.XLOOKUP(A20,Pendente!A:A,Pendente!L:L,"",0))</f>
        <v/>
      </c>
      <c r="F20" s="22"/>
      <c r="G20" s="22"/>
      <c r="H20" s="22"/>
      <c r="I20" s="22"/>
      <c r="J20" s="22"/>
      <c r="K20" s="23"/>
      <c r="L20" s="24"/>
      <c r="M20" s="25"/>
      <c r="N20" s="24"/>
      <c r="O20" s="24"/>
      <c r="P20" s="22"/>
      <c r="Q20" s="26"/>
      <c r="R20" s="26"/>
      <c r="S20" s="22"/>
      <c r="T20" s="22"/>
      <c r="U20" s="27"/>
      <c r="W20" s="54">
        <f t="shared" ca="1" si="0"/>
        <v>46230.433832291666</v>
      </c>
    </row>
    <row r="21" spans="1:23" x14ac:dyDescent="0.25">
      <c r="A21" s="19"/>
      <c r="B21" s="20" t="str">
        <f>IF(A21="","",_xlfn.XLOOKUP(A21,Pendente!A:A,Pendente!G:G,"",0))</f>
        <v/>
      </c>
      <c r="C21" s="21" t="str">
        <f>IF(B21="","",_xlfn.XLOOKUP(B21,Pendente!G:G,Pendente!H:H,"",0))</f>
        <v/>
      </c>
      <c r="D21" s="20" t="str">
        <f>IF(A21="","",_xlfn.XLOOKUP(A21,Pendente!A:A,Pendente!L:L,"",0))</f>
        <v/>
      </c>
      <c r="F21" s="22"/>
      <c r="G21" s="22"/>
      <c r="H21" s="22"/>
      <c r="I21" s="22"/>
      <c r="J21" s="22"/>
      <c r="K21" s="23"/>
      <c r="L21" s="24"/>
      <c r="M21" s="25"/>
      <c r="N21" s="24"/>
      <c r="O21" s="24"/>
      <c r="P21" s="22"/>
      <c r="Q21" s="26"/>
      <c r="R21" s="26"/>
      <c r="S21" s="22"/>
      <c r="T21" s="22"/>
      <c r="U21" s="27"/>
      <c r="W21" s="54">
        <f t="shared" ca="1" si="0"/>
        <v>46230.433832291666</v>
      </c>
    </row>
    <row r="22" spans="1:23" x14ac:dyDescent="0.25">
      <c r="A22" s="19"/>
      <c r="B22" s="20" t="str">
        <f>IF(A22="","",_xlfn.XLOOKUP(A22,Pendente!A:A,Pendente!G:G,"",0))</f>
        <v/>
      </c>
      <c r="C22" s="21" t="str">
        <f>IF(B22="","",_xlfn.XLOOKUP(B22,Pendente!G:G,Pendente!H:H,"",0))</f>
        <v/>
      </c>
      <c r="D22" s="20" t="str">
        <f>IF(A22="","",_xlfn.XLOOKUP(A22,Pendente!A:A,Pendente!L:L,"",0))</f>
        <v/>
      </c>
      <c r="F22" s="22"/>
      <c r="G22" s="22"/>
      <c r="H22" s="22"/>
      <c r="I22" s="22"/>
      <c r="J22" s="22"/>
      <c r="K22" s="23"/>
      <c r="L22" s="24"/>
      <c r="M22" s="25"/>
      <c r="N22" s="24"/>
      <c r="O22" s="24"/>
      <c r="P22" s="22"/>
      <c r="Q22" s="26"/>
      <c r="R22" s="26"/>
      <c r="S22" s="22"/>
      <c r="T22" s="22"/>
      <c r="U22" s="27"/>
      <c r="W22" s="54">
        <f t="shared" ca="1" si="0"/>
        <v>46230.433832291666</v>
      </c>
    </row>
    <row r="23" spans="1:23" x14ac:dyDescent="0.25">
      <c r="A23" s="19"/>
      <c r="B23" s="20" t="str">
        <f>IF(A23="","",_xlfn.XLOOKUP(A23,Pendente!A:A,Pendente!G:G,"",0))</f>
        <v/>
      </c>
      <c r="C23" s="21" t="str">
        <f>IF(B23="","",_xlfn.XLOOKUP(B23,Pendente!G:G,Pendente!H:H,"",0))</f>
        <v/>
      </c>
      <c r="D23" s="20" t="str">
        <f>IF(A23="","",_xlfn.XLOOKUP(A23,Pendente!A:A,Pendente!L:L,"",0))</f>
        <v/>
      </c>
      <c r="F23" s="22"/>
      <c r="G23" s="22"/>
      <c r="H23" s="22"/>
      <c r="I23" s="22"/>
      <c r="J23" s="22"/>
      <c r="K23" s="23"/>
      <c r="L23" s="24"/>
      <c r="M23" s="25"/>
      <c r="N23" s="24"/>
      <c r="O23" s="24"/>
      <c r="P23" s="22"/>
      <c r="Q23" s="26"/>
      <c r="R23" s="26"/>
      <c r="S23" s="22"/>
      <c r="T23" s="22"/>
      <c r="U23" s="27"/>
      <c r="W23" s="54">
        <f t="shared" ca="1" si="0"/>
        <v>46230.433832291666</v>
      </c>
    </row>
    <row r="24" spans="1:23" x14ac:dyDescent="0.25">
      <c r="A24" s="19"/>
      <c r="B24" s="20" t="str">
        <f>IF(A24="","",_xlfn.XLOOKUP(A24,Pendente!A:A,Pendente!G:G,"",0))</f>
        <v/>
      </c>
      <c r="C24" s="21" t="str">
        <f>IF(B24="","",_xlfn.XLOOKUP(B24,Pendente!G:G,Pendente!H:H,"",0))</f>
        <v/>
      </c>
      <c r="D24" s="20" t="str">
        <f>IF(A24="","",_xlfn.XLOOKUP(A24,Pendente!A:A,Pendente!L:L,"",0))</f>
        <v/>
      </c>
      <c r="F24" s="22"/>
      <c r="G24" s="22"/>
      <c r="H24" s="22"/>
      <c r="I24" s="22"/>
      <c r="J24" s="22"/>
      <c r="K24" s="23"/>
      <c r="L24" s="24"/>
      <c r="M24" s="25"/>
      <c r="N24" s="24"/>
      <c r="O24" s="24"/>
      <c r="P24" s="22"/>
      <c r="Q24" s="26"/>
      <c r="R24" s="26"/>
      <c r="S24" s="22"/>
      <c r="T24" s="22"/>
      <c r="U24" s="27"/>
      <c r="W24" s="54">
        <f t="shared" ca="1" si="0"/>
        <v>46230.433832291666</v>
      </c>
    </row>
    <row r="25" spans="1:23" x14ac:dyDescent="0.25">
      <c r="A25" s="19"/>
      <c r="B25" s="20" t="str">
        <f>IF(A25="","",_xlfn.XLOOKUP(A25,Pendente!A:A,Pendente!G:G,"",0))</f>
        <v/>
      </c>
      <c r="C25" s="21" t="str">
        <f>IF(B25="","",_xlfn.XLOOKUP(B25,Pendente!G:G,Pendente!H:H,"",0))</f>
        <v/>
      </c>
      <c r="D25" s="20" t="str">
        <f>IF(A25="","",_xlfn.XLOOKUP(A25,Pendente!A:A,Pendente!L:L,"",0))</f>
        <v/>
      </c>
      <c r="F25" s="22"/>
      <c r="G25" s="22"/>
      <c r="H25" s="22"/>
      <c r="I25" s="22"/>
      <c r="J25" s="22"/>
      <c r="K25" s="23"/>
      <c r="L25" s="24"/>
      <c r="M25" s="25"/>
      <c r="N25" s="24"/>
      <c r="O25" s="24"/>
      <c r="P25" s="22"/>
      <c r="Q25" s="26"/>
      <c r="R25" s="26"/>
      <c r="S25" s="22"/>
      <c r="T25" s="22"/>
      <c r="U25" s="27"/>
    </row>
    <row r="26" spans="1:23" x14ac:dyDescent="0.25">
      <c r="A26" s="19"/>
      <c r="B26" s="20" t="str">
        <f>IF(A26="","",_xlfn.XLOOKUP(A26,Pendente!A:A,Pendente!G:G,"",0))</f>
        <v/>
      </c>
      <c r="C26" s="21" t="str">
        <f>IF(B26="","",_xlfn.XLOOKUP(B26,Pendente!G:G,Pendente!H:H,"",0))</f>
        <v/>
      </c>
      <c r="D26" s="20" t="str">
        <f>IF(A26="","",_xlfn.XLOOKUP(A26,Pendente!A:A,Pendente!L:L,"",0))</f>
        <v/>
      </c>
      <c r="F26" s="22"/>
      <c r="G26" s="22"/>
      <c r="H26" s="22"/>
      <c r="I26" s="22"/>
      <c r="J26" s="22"/>
      <c r="K26" s="23"/>
      <c r="L26" s="24"/>
      <c r="M26" s="25"/>
      <c r="N26" s="24"/>
      <c r="O26" s="24"/>
      <c r="P26" s="22"/>
      <c r="Q26" s="26"/>
      <c r="R26" s="26"/>
      <c r="S26" s="22"/>
      <c r="T26" s="22"/>
      <c r="U26" s="27"/>
    </row>
    <row r="27" spans="1:23" x14ac:dyDescent="0.25">
      <c r="A27" s="19"/>
      <c r="B27" s="20" t="str">
        <f>IF(A27="","",_xlfn.XLOOKUP(A27,Pendente!A:A,Pendente!G:G,"",0))</f>
        <v/>
      </c>
      <c r="C27" s="21" t="str">
        <f>IF(B27="","",_xlfn.XLOOKUP(B27,Pendente!G:G,Pendente!H:H,"",0))</f>
        <v/>
      </c>
      <c r="D27" s="20" t="str">
        <f>IF(A27="","",_xlfn.XLOOKUP(A27,Pendente!A:A,Pendente!L:L,"",0))</f>
        <v/>
      </c>
      <c r="F27" s="22"/>
      <c r="G27" s="22"/>
      <c r="H27" s="22"/>
      <c r="I27" s="22"/>
      <c r="J27" s="22"/>
      <c r="K27" s="23"/>
      <c r="L27" s="24"/>
      <c r="M27" s="25"/>
      <c r="N27" s="24"/>
      <c r="O27" s="24"/>
      <c r="P27" s="22"/>
      <c r="Q27" s="26"/>
      <c r="R27" s="26"/>
      <c r="S27" s="22"/>
      <c r="T27" s="22"/>
      <c r="U27" s="27"/>
    </row>
    <row r="28" spans="1:23" x14ac:dyDescent="0.25">
      <c r="A28" s="19"/>
      <c r="B28" s="20" t="str">
        <f>IF(A28="","",_xlfn.XLOOKUP(A28,Pendente!A:A,Pendente!G:G,"",0))</f>
        <v/>
      </c>
      <c r="C28" s="21" t="str">
        <f>IF(B28="","",_xlfn.XLOOKUP(B28,Pendente!G:G,Pendente!H:H,"",0))</f>
        <v/>
      </c>
      <c r="D28" s="20" t="str">
        <f>IF(A28="","",_xlfn.XLOOKUP(A28,Pendente!A:A,Pendente!L:L,"",0))</f>
        <v/>
      </c>
      <c r="F28" s="22"/>
      <c r="G28" s="22"/>
      <c r="H28" s="22"/>
      <c r="I28" s="22"/>
      <c r="J28" s="22"/>
      <c r="K28" s="23"/>
      <c r="L28" s="24"/>
      <c r="M28" s="25"/>
      <c r="N28" s="24"/>
      <c r="O28" s="24"/>
      <c r="P28" s="22"/>
      <c r="Q28" s="26"/>
      <c r="R28" s="26"/>
      <c r="S28" s="22"/>
      <c r="T28" s="22"/>
      <c r="U28" s="27"/>
    </row>
    <row r="29" spans="1:23" x14ac:dyDescent="0.25">
      <c r="A29" s="19"/>
      <c r="B29" s="20" t="str">
        <f>IF(A29="","",_xlfn.XLOOKUP(A29,Pendente!A:A,Pendente!G:G,"",0))</f>
        <v/>
      </c>
      <c r="C29" s="21" t="str">
        <f>IF(B29="","",_xlfn.XLOOKUP(B29,Pendente!G:G,Pendente!H:H,"",0))</f>
        <v/>
      </c>
      <c r="D29" s="20" t="str">
        <f>IF(A29="","",_xlfn.XLOOKUP(A29,Pendente!A:A,Pendente!L:L,"",0))</f>
        <v/>
      </c>
      <c r="F29" s="22"/>
      <c r="G29" s="22"/>
      <c r="H29" s="22"/>
      <c r="I29" s="22"/>
      <c r="J29" s="22"/>
      <c r="K29" s="23"/>
      <c r="L29" s="24"/>
      <c r="M29" s="25"/>
      <c r="N29" s="24"/>
      <c r="O29" s="24"/>
      <c r="P29" s="22"/>
      <c r="Q29" s="26"/>
      <c r="R29" s="26"/>
      <c r="S29" s="22"/>
      <c r="T29" s="22"/>
      <c r="U29" s="27"/>
    </row>
    <row r="30" spans="1:23" x14ac:dyDescent="0.25">
      <c r="A30" s="19"/>
      <c r="B30" s="20" t="str">
        <f>IF(A30="","",_xlfn.XLOOKUP(A30,Pendente!A:A,Pendente!G:G,"",0))</f>
        <v/>
      </c>
      <c r="C30" s="21" t="str">
        <f>IF(B30="","",_xlfn.XLOOKUP(B30,Pendente!G:G,Pendente!H:H,"",0))</f>
        <v/>
      </c>
      <c r="D30" s="20" t="str">
        <f>IF(A30="","",_xlfn.XLOOKUP(A30,Pendente!A:A,Pendente!L:L,"",0))</f>
        <v/>
      </c>
      <c r="F30" s="22"/>
      <c r="G30" s="22"/>
      <c r="H30" s="22"/>
      <c r="I30" s="22"/>
      <c r="J30" s="22"/>
      <c r="K30" s="23"/>
      <c r="L30" s="24"/>
      <c r="M30" s="25"/>
      <c r="N30" s="24"/>
      <c r="O30" s="24"/>
      <c r="P30" s="22"/>
      <c r="Q30" s="26"/>
      <c r="R30" s="26"/>
      <c r="S30" s="22"/>
      <c r="T30" s="22"/>
      <c r="U30" s="27"/>
    </row>
    <row r="31" spans="1:23" x14ac:dyDescent="0.25">
      <c r="A31" s="19"/>
      <c r="B31" s="20" t="str">
        <f>IF(A31="","",_xlfn.XLOOKUP(A31,Pendente!A:A,Pendente!G:G,"",0))</f>
        <v/>
      </c>
      <c r="C31" s="21" t="str">
        <f>IF(B31="","",_xlfn.XLOOKUP(B31,Pendente!G:G,Pendente!H:H,"",0))</f>
        <v/>
      </c>
      <c r="D31" s="20" t="str">
        <f>IF(A31="","",_xlfn.XLOOKUP(A31,Pendente!A:A,Pendente!L:L,"",0))</f>
        <v/>
      </c>
      <c r="F31" s="22"/>
      <c r="G31" s="22"/>
      <c r="H31" s="22"/>
      <c r="I31" s="22"/>
      <c r="J31" s="22"/>
      <c r="K31" s="23"/>
      <c r="L31" s="24"/>
      <c r="M31" s="25"/>
      <c r="N31" s="24"/>
      <c r="O31" s="24"/>
      <c r="P31" s="22"/>
      <c r="Q31" s="26"/>
      <c r="R31" s="26"/>
      <c r="S31" s="22"/>
      <c r="T31" s="22"/>
      <c r="U31" s="27"/>
    </row>
    <row r="32" spans="1:23" x14ac:dyDescent="0.25">
      <c r="A32" s="19"/>
      <c r="B32" s="20" t="str">
        <f>IF(A32="","",_xlfn.XLOOKUP(A32,Pendente!A:A,Pendente!G:G,"",0))</f>
        <v/>
      </c>
      <c r="C32" s="21" t="str">
        <f>IF(B32="","",_xlfn.XLOOKUP(B32,Pendente!G:G,Pendente!H:H,"",0))</f>
        <v/>
      </c>
      <c r="D32" s="20" t="str">
        <f>IF(A32="","",_xlfn.XLOOKUP(A32,Pendente!A:A,Pendente!L:L,"",0))</f>
        <v/>
      </c>
      <c r="F32" s="22"/>
      <c r="G32" s="22"/>
      <c r="H32" s="22"/>
      <c r="I32" s="22"/>
      <c r="J32" s="22"/>
      <c r="K32" s="23"/>
      <c r="L32" s="24"/>
      <c r="M32" s="25"/>
      <c r="N32" s="24"/>
      <c r="O32" s="24"/>
      <c r="P32" s="22"/>
      <c r="Q32" s="26"/>
      <c r="R32" s="26"/>
      <c r="S32" s="22"/>
      <c r="T32" s="22"/>
      <c r="U32" s="27"/>
    </row>
    <row r="33" spans="1:21" x14ac:dyDescent="0.25">
      <c r="A33" s="19"/>
      <c r="B33" s="20" t="str">
        <f>IF(A33="","",_xlfn.XLOOKUP(A33,Pendente!A:A,Pendente!G:G,"",0))</f>
        <v/>
      </c>
      <c r="C33" s="21" t="str">
        <f>IF(B33="","",_xlfn.XLOOKUP(B33,Pendente!G:G,Pendente!H:H,"",0))</f>
        <v/>
      </c>
      <c r="D33" s="20" t="str">
        <f>IF(A33="","",_xlfn.XLOOKUP(A33,Pendente!A:A,Pendente!L:L,"",0))</f>
        <v/>
      </c>
      <c r="F33" s="22"/>
      <c r="G33" s="22"/>
      <c r="H33" s="22"/>
      <c r="I33" s="22"/>
      <c r="J33" s="22"/>
      <c r="K33" s="23"/>
      <c r="L33" s="24"/>
      <c r="M33" s="25"/>
      <c r="N33" s="24"/>
      <c r="O33" s="24"/>
      <c r="P33" s="22"/>
      <c r="Q33" s="26"/>
      <c r="R33" s="26"/>
      <c r="S33" s="22"/>
      <c r="T33" s="22"/>
      <c r="U33" s="27"/>
    </row>
    <row r="34" spans="1:21" x14ac:dyDescent="0.25">
      <c r="A34" s="19"/>
      <c r="B34" s="20" t="str">
        <f>IF(A34="","",_xlfn.XLOOKUP(A34,Pendente!A:A,Pendente!G:G,"",0))</f>
        <v/>
      </c>
      <c r="C34" s="21" t="str">
        <f>IF(B34="","",_xlfn.XLOOKUP(B34,Pendente!G:G,Pendente!H:H,"",0))</f>
        <v/>
      </c>
      <c r="D34" s="20" t="str">
        <f>IF(A34="","",_xlfn.XLOOKUP(A34,Pendente!A:A,Pendente!L:L,"",0))</f>
        <v/>
      </c>
      <c r="F34" s="22"/>
      <c r="G34" s="22"/>
      <c r="H34" s="22"/>
      <c r="I34" s="22"/>
      <c r="J34" s="22"/>
      <c r="K34" s="23"/>
      <c r="L34" s="24"/>
      <c r="M34" s="25"/>
      <c r="N34" s="24"/>
      <c r="O34" s="24"/>
      <c r="P34" s="22"/>
      <c r="Q34" s="26"/>
      <c r="R34" s="26"/>
      <c r="S34" s="22"/>
      <c r="T34" s="22"/>
      <c r="U34" s="27"/>
    </row>
    <row r="35" spans="1:21" x14ac:dyDescent="0.25">
      <c r="A35" s="19"/>
      <c r="B35" s="20" t="str">
        <f>IF(A35="","",_xlfn.XLOOKUP(A35,Pendente!A:A,Pendente!G:G,"",0))</f>
        <v/>
      </c>
      <c r="C35" s="21" t="str">
        <f>IF(B35="","",_xlfn.XLOOKUP(B35,Pendente!G:G,Pendente!H:H,"",0))</f>
        <v/>
      </c>
      <c r="D35" s="20" t="str">
        <f>IF(A35="","",_xlfn.XLOOKUP(A35,Pendente!A:A,Pendente!L:L,"",0))</f>
        <v/>
      </c>
      <c r="F35" s="22"/>
      <c r="G35" s="22"/>
      <c r="H35" s="22"/>
      <c r="I35" s="22"/>
      <c r="J35" s="22"/>
      <c r="K35" s="23"/>
      <c r="L35" s="24"/>
      <c r="M35" s="25"/>
      <c r="N35" s="24"/>
      <c r="O35" s="24"/>
      <c r="P35" s="22"/>
      <c r="Q35" s="26"/>
      <c r="R35" s="26"/>
      <c r="S35" s="22"/>
      <c r="T35" s="22"/>
      <c r="U35" s="27"/>
    </row>
    <row r="36" spans="1:21" x14ac:dyDescent="0.25">
      <c r="A36" s="19"/>
      <c r="B36" s="20" t="str">
        <f>IF(A36="","",_xlfn.XLOOKUP(A36,Pendente!A:A,Pendente!G:G,"",0))</f>
        <v/>
      </c>
      <c r="C36" s="21" t="str">
        <f>IF(B36="","",_xlfn.XLOOKUP(B36,Pendente!G:G,Pendente!H:H,"",0))</f>
        <v/>
      </c>
      <c r="D36" s="20" t="str">
        <f>IF(A36="","",_xlfn.XLOOKUP(A36,Pendente!A:A,Pendente!L:L,"",0))</f>
        <v/>
      </c>
      <c r="F36" s="22"/>
      <c r="G36" s="22"/>
      <c r="H36" s="22"/>
      <c r="I36" s="22"/>
      <c r="J36" s="22"/>
      <c r="K36" s="23"/>
      <c r="L36" s="24"/>
      <c r="M36" s="25"/>
      <c r="N36" s="24"/>
      <c r="O36" s="24"/>
      <c r="P36" s="22"/>
      <c r="Q36" s="26"/>
      <c r="R36" s="26"/>
      <c r="S36" s="22"/>
      <c r="T36" s="22"/>
      <c r="U36" s="27"/>
    </row>
    <row r="37" spans="1:21" x14ac:dyDescent="0.25">
      <c r="A37" s="19"/>
      <c r="B37" s="20" t="str">
        <f>IF(A37="","",_xlfn.XLOOKUP(A37,Pendente!A:A,Pendente!G:G,"",0))</f>
        <v/>
      </c>
      <c r="C37" s="21" t="str">
        <f>IF(B37="","",_xlfn.XLOOKUP(B37,Pendente!G:G,Pendente!H:H,"",0))</f>
        <v/>
      </c>
      <c r="D37" s="20" t="str">
        <f>IF(A37="","",_xlfn.XLOOKUP(A37,Pendente!A:A,Pendente!L:L,"",0))</f>
        <v/>
      </c>
      <c r="F37" s="22"/>
      <c r="G37" s="22"/>
      <c r="H37" s="22"/>
      <c r="I37" s="22"/>
      <c r="J37" s="22"/>
      <c r="K37" s="23"/>
      <c r="L37" s="24"/>
      <c r="M37" s="25"/>
      <c r="N37" s="24"/>
      <c r="O37" s="24"/>
      <c r="P37" s="22"/>
      <c r="Q37" s="26"/>
      <c r="R37" s="26"/>
      <c r="S37" s="22"/>
      <c r="T37" s="22"/>
      <c r="U37" s="27"/>
    </row>
    <row r="38" spans="1:21" x14ac:dyDescent="0.25">
      <c r="A38" s="19"/>
      <c r="B38" s="20" t="str">
        <f>IF(A38="","",_xlfn.XLOOKUP(A38,Pendente!A:A,Pendente!G:G,"",0))</f>
        <v/>
      </c>
      <c r="C38" s="21" t="str">
        <f>IF(B38="","",_xlfn.XLOOKUP(B38,Pendente!G:G,Pendente!H:H,"",0))</f>
        <v/>
      </c>
      <c r="D38" s="20" t="str">
        <f>IF(A38="","",_xlfn.XLOOKUP(A38,Pendente!A:A,Pendente!L:L,"",0))</f>
        <v/>
      </c>
      <c r="F38" s="22"/>
      <c r="G38" s="22"/>
      <c r="H38" s="22"/>
      <c r="I38" s="22"/>
      <c r="J38" s="22"/>
      <c r="K38" s="23"/>
      <c r="L38" s="24"/>
      <c r="M38" s="25"/>
      <c r="N38" s="24"/>
      <c r="O38" s="24"/>
      <c r="P38" s="22"/>
      <c r="Q38" s="26"/>
      <c r="R38" s="26"/>
      <c r="S38" s="22"/>
      <c r="T38" s="22"/>
      <c r="U38" s="27"/>
    </row>
    <row r="39" spans="1:21" x14ac:dyDescent="0.25">
      <c r="A39" s="19"/>
      <c r="B39" s="20" t="str">
        <f>IF(A39="","",_xlfn.XLOOKUP(A39,Pendente!A:A,Pendente!G:G,"",0))</f>
        <v/>
      </c>
      <c r="C39" s="21" t="str">
        <f>IF(B39="","",_xlfn.XLOOKUP(B39,Pendente!G:G,Pendente!H:H,"",0))</f>
        <v/>
      </c>
      <c r="D39" s="20" t="str">
        <f>IF(A39="","",_xlfn.XLOOKUP(A39,Pendente!A:A,Pendente!L:L,"",0))</f>
        <v/>
      </c>
      <c r="F39" s="22"/>
      <c r="G39" s="22"/>
      <c r="H39" s="22"/>
      <c r="I39" s="22"/>
      <c r="J39" s="22"/>
      <c r="K39" s="23"/>
      <c r="L39" s="24"/>
      <c r="M39" s="25"/>
      <c r="N39" s="24"/>
      <c r="O39" s="24"/>
      <c r="P39" s="22"/>
      <c r="Q39" s="26"/>
      <c r="R39" s="26"/>
      <c r="S39" s="22"/>
      <c r="T39" s="22"/>
      <c r="U39" s="27"/>
    </row>
    <row r="40" spans="1:21" x14ac:dyDescent="0.25">
      <c r="A40" s="19"/>
      <c r="B40" s="20" t="str">
        <f>IF(A40="","",_xlfn.XLOOKUP(A40,Pendente!A:A,Pendente!G:G,"",0))</f>
        <v/>
      </c>
      <c r="C40" s="21" t="str">
        <f>IF(B40="","",_xlfn.XLOOKUP(B40,Pendente!G:G,Pendente!H:H,"",0))</f>
        <v/>
      </c>
      <c r="D40" s="20" t="str">
        <f>IF(A40="","",_xlfn.XLOOKUP(A40,Pendente!A:A,Pendente!L:L,"",0))</f>
        <v/>
      </c>
      <c r="F40" s="22"/>
      <c r="G40" s="22"/>
      <c r="H40" s="22"/>
      <c r="I40" s="22"/>
      <c r="J40" s="22"/>
      <c r="K40" s="23"/>
      <c r="L40" s="24"/>
      <c r="M40" s="25"/>
      <c r="N40" s="24"/>
      <c r="O40" s="24"/>
      <c r="P40" s="22"/>
      <c r="Q40" s="26"/>
      <c r="R40" s="26"/>
      <c r="S40" s="22"/>
      <c r="T40" s="22"/>
      <c r="U40" s="27"/>
    </row>
    <row r="41" spans="1:21" x14ac:dyDescent="0.25">
      <c r="A41" s="19"/>
      <c r="B41" s="20" t="str">
        <f>IF(A41="","",_xlfn.XLOOKUP(A41,Pendente!A:A,Pendente!G:G,"",0))</f>
        <v/>
      </c>
      <c r="C41" s="21" t="str">
        <f>IF(B41="","",_xlfn.XLOOKUP(B41,Pendente!G:G,Pendente!H:H,"",0))</f>
        <v/>
      </c>
      <c r="D41" s="20" t="str">
        <f>IF(A41="","",_xlfn.XLOOKUP(A41,Pendente!A:A,Pendente!L:L,"",0))</f>
        <v/>
      </c>
      <c r="F41" s="22"/>
      <c r="G41" s="22"/>
      <c r="H41" s="22"/>
      <c r="I41" s="22"/>
      <c r="J41" s="22"/>
      <c r="K41" s="23"/>
      <c r="L41" s="24"/>
      <c r="M41" s="25"/>
      <c r="N41" s="24"/>
      <c r="O41" s="24"/>
      <c r="P41" s="22"/>
      <c r="Q41" s="26"/>
      <c r="R41" s="26"/>
      <c r="S41" s="22"/>
      <c r="T41" s="22"/>
      <c r="U41" s="27"/>
    </row>
    <row r="42" spans="1:21" x14ac:dyDescent="0.25">
      <c r="A42" s="19"/>
      <c r="B42" s="20" t="str">
        <f>IF(A42="","",_xlfn.XLOOKUP(A42,Pendente!A:A,Pendente!G:G,"",0))</f>
        <v/>
      </c>
      <c r="C42" s="21" t="str">
        <f>IF(B42="","",_xlfn.XLOOKUP(B42,Pendente!G:G,Pendente!H:H,"",0))</f>
        <v/>
      </c>
      <c r="D42" s="20" t="str">
        <f>IF(A42="","",_xlfn.XLOOKUP(A42,Pendente!A:A,Pendente!L:L,"",0))</f>
        <v/>
      </c>
      <c r="F42" s="22"/>
      <c r="G42" s="22"/>
      <c r="H42" s="22"/>
      <c r="I42" s="22"/>
      <c r="J42" s="22"/>
      <c r="K42" s="23"/>
      <c r="L42" s="24"/>
      <c r="M42" s="25"/>
      <c r="N42" s="24"/>
      <c r="O42" s="24"/>
      <c r="P42" s="22"/>
      <c r="Q42" s="26"/>
      <c r="R42" s="26"/>
      <c r="S42" s="22"/>
      <c r="T42" s="22"/>
      <c r="U42" s="27"/>
    </row>
    <row r="43" spans="1:21" x14ac:dyDescent="0.25">
      <c r="A43" s="19"/>
      <c r="B43" s="20" t="str">
        <f>IF(A43="","",_xlfn.XLOOKUP(A43,Pendente!A:A,Pendente!G:G,"",0))</f>
        <v/>
      </c>
      <c r="C43" s="21" t="str">
        <f>IF(B43="","",_xlfn.XLOOKUP(B43,Pendente!G:G,Pendente!H:H,"",0))</f>
        <v/>
      </c>
      <c r="D43" s="20" t="str">
        <f>IF(A43="","",_xlfn.XLOOKUP(A43,Pendente!A:A,Pendente!L:L,"",0))</f>
        <v/>
      </c>
      <c r="F43" s="22"/>
      <c r="G43" s="22"/>
      <c r="H43" s="22"/>
      <c r="I43" s="22"/>
      <c r="J43" s="22"/>
      <c r="K43" s="23"/>
      <c r="L43" s="24"/>
      <c r="M43" s="25"/>
      <c r="N43" s="24"/>
      <c r="O43" s="24"/>
      <c r="P43" s="22"/>
      <c r="Q43" s="26"/>
      <c r="R43" s="26"/>
      <c r="S43" s="22"/>
      <c r="T43" s="22"/>
      <c r="U43" s="27"/>
    </row>
    <row r="44" spans="1:21" x14ac:dyDescent="0.25">
      <c r="A44" s="28"/>
      <c r="B44" s="20" t="str">
        <f>IF(A44="","",_xlfn.XLOOKUP(A44,Pendente!A:A,Pendente!G:G,"",0))</f>
        <v/>
      </c>
      <c r="C44" s="21" t="str">
        <f>IF(B44="","",_xlfn.XLOOKUP(B44,Pendente!G:G,Pendente!H:H,"",0))</f>
        <v/>
      </c>
      <c r="D44" s="20" t="str">
        <f>IF(A44="","",_xlfn.XLOOKUP(A44,Pendente!A:A,Pendente!L:L,"",0))</f>
        <v/>
      </c>
      <c r="F44" s="22"/>
      <c r="G44" s="22"/>
      <c r="H44" s="22"/>
      <c r="I44" s="22"/>
      <c r="J44" s="22"/>
      <c r="K44" s="23"/>
      <c r="L44" s="24"/>
      <c r="M44" s="25"/>
      <c r="N44" s="24"/>
      <c r="O44" s="24"/>
      <c r="P44" s="22"/>
      <c r="Q44" s="26"/>
      <c r="R44" s="26"/>
      <c r="S44" s="22"/>
      <c r="T44" s="22"/>
      <c r="U44" s="27"/>
    </row>
    <row r="45" spans="1:21" x14ac:dyDescent="0.25">
      <c r="A45" s="28"/>
      <c r="B45" s="20" t="str">
        <f>IF(A45="","",_xlfn.XLOOKUP(A45,Pendente!A:A,Pendente!G:G,"",0))</f>
        <v/>
      </c>
      <c r="C45" s="21" t="str">
        <f>IF(B45="","",_xlfn.XLOOKUP(B45,Pendente!G:G,Pendente!H:H,"",0))</f>
        <v/>
      </c>
      <c r="D45" s="20" t="str">
        <f>IF(A45="","",_xlfn.XLOOKUP(A45,Pendente!A:A,Pendente!L:L,"",0))</f>
        <v/>
      </c>
      <c r="F45" s="22"/>
      <c r="G45" s="22"/>
      <c r="H45" s="22"/>
      <c r="I45" s="22"/>
      <c r="J45" s="22"/>
      <c r="K45" s="23"/>
      <c r="L45" s="24"/>
      <c r="M45" s="25"/>
      <c r="N45" s="24"/>
      <c r="O45" s="24"/>
      <c r="P45" s="22"/>
      <c r="Q45" s="26"/>
      <c r="R45" s="26"/>
      <c r="S45" s="22"/>
      <c r="T45" s="22"/>
      <c r="U45" s="27"/>
    </row>
    <row r="46" spans="1:21" x14ac:dyDescent="0.25">
      <c r="A46" s="28"/>
      <c r="B46" s="20" t="str">
        <f>IF(A46="","",_xlfn.XLOOKUP(A46,Pendente!A:A,Pendente!G:G,"",0))</f>
        <v/>
      </c>
      <c r="C46" s="21" t="str">
        <f>IF(B46="","",_xlfn.XLOOKUP(B46,Pendente!G:G,Pendente!H:H,"",0))</f>
        <v/>
      </c>
      <c r="D46" s="20" t="str">
        <f>IF(A46="","",_xlfn.XLOOKUP(A46,Pendente!A:A,Pendente!L:L,"",0))</f>
        <v/>
      </c>
      <c r="F46" s="22"/>
      <c r="G46" s="22"/>
      <c r="H46" s="22"/>
      <c r="I46" s="22"/>
      <c r="J46" s="22"/>
      <c r="K46" s="23"/>
      <c r="L46" s="24"/>
      <c r="M46" s="25"/>
      <c r="N46" s="24"/>
      <c r="O46" s="24"/>
      <c r="P46" s="22"/>
      <c r="Q46" s="26"/>
      <c r="R46" s="26"/>
      <c r="S46" s="22"/>
      <c r="T46" s="22"/>
      <c r="U46" s="27"/>
    </row>
    <row r="47" spans="1:21" x14ac:dyDescent="0.25">
      <c r="A47" s="28"/>
      <c r="B47" s="20" t="str">
        <f>IF(A47="","",_xlfn.XLOOKUP(A47,Pendente!A:A,Pendente!G:G,"",0))</f>
        <v/>
      </c>
      <c r="C47" s="21" t="str">
        <f>IF(B47="","",_xlfn.XLOOKUP(B47,Pendente!G:G,Pendente!H:H,"",0))</f>
        <v/>
      </c>
      <c r="D47" s="20" t="str">
        <f>IF(A47="","",_xlfn.XLOOKUP(A47,Pendente!A:A,Pendente!L:L,"",0))</f>
        <v/>
      </c>
      <c r="F47" s="22"/>
      <c r="G47" s="22"/>
      <c r="H47" s="22"/>
      <c r="I47" s="22"/>
      <c r="J47" s="22"/>
      <c r="K47" s="23"/>
      <c r="L47" s="24"/>
      <c r="M47" s="25"/>
      <c r="N47" s="24"/>
      <c r="O47" s="24"/>
      <c r="P47" s="22"/>
      <c r="Q47" s="26"/>
      <c r="R47" s="26"/>
      <c r="S47" s="22"/>
      <c r="T47" s="22"/>
      <c r="U47" s="27"/>
    </row>
    <row r="48" spans="1:21" x14ac:dyDescent="0.25">
      <c r="A48" s="28"/>
      <c r="B48" s="20" t="str">
        <f>IF(A48="","",_xlfn.XLOOKUP(A48,Pendente!A:A,Pendente!G:G,"",0))</f>
        <v/>
      </c>
      <c r="C48" s="21" t="str">
        <f>IF(B48="","",_xlfn.XLOOKUP(B48,Pendente!G:G,Pendente!H:H,"",0))</f>
        <v/>
      </c>
      <c r="D48" s="20" t="str">
        <f>IF(A48="","",_xlfn.XLOOKUP(A48,Pendente!A:A,Pendente!L:L,"",0))</f>
        <v/>
      </c>
      <c r="F48" s="22"/>
      <c r="G48" s="22"/>
      <c r="H48" s="22"/>
      <c r="I48" s="22"/>
      <c r="J48" s="22"/>
      <c r="K48" s="23"/>
      <c r="L48" s="24"/>
      <c r="M48" s="25"/>
      <c r="N48" s="24"/>
      <c r="O48" s="24"/>
      <c r="P48" s="22"/>
      <c r="Q48" s="26"/>
      <c r="R48" s="26"/>
      <c r="S48" s="22"/>
      <c r="T48" s="22"/>
      <c r="U48" s="27"/>
    </row>
    <row r="49" spans="1:21" x14ac:dyDescent="0.25">
      <c r="A49" s="28"/>
      <c r="B49" s="20" t="str">
        <f>IF(A49="","",_xlfn.XLOOKUP(A49,Pendente!A:A,Pendente!G:G,"",0))</f>
        <v/>
      </c>
      <c r="C49" s="21" t="str">
        <f>IF(B49="","",_xlfn.XLOOKUP(B49,Pendente!G:G,Pendente!H:H,"",0))</f>
        <v/>
      </c>
      <c r="D49" s="20" t="str">
        <f>IF(A49="","",_xlfn.XLOOKUP(A49,Pendente!A:A,Pendente!L:L,"",0))</f>
        <v/>
      </c>
      <c r="F49" s="22"/>
      <c r="G49" s="22"/>
      <c r="H49" s="22"/>
      <c r="I49" s="22"/>
      <c r="J49" s="22"/>
      <c r="K49" s="23"/>
      <c r="L49" s="24"/>
      <c r="M49" s="25"/>
      <c r="N49" s="24"/>
      <c r="O49" s="24"/>
      <c r="P49" s="22"/>
      <c r="Q49" s="26"/>
      <c r="R49" s="26"/>
      <c r="S49" s="22"/>
      <c r="T49" s="22"/>
      <c r="U49" s="27"/>
    </row>
    <row r="50" spans="1:21" x14ac:dyDescent="0.25">
      <c r="A50" s="28"/>
      <c r="B50" s="20" t="str">
        <f>IF(A50="","",_xlfn.XLOOKUP(A50,Pendente!A:A,Pendente!G:G,"",0))</f>
        <v/>
      </c>
      <c r="C50" s="21" t="str">
        <f>IF(B50="","",_xlfn.XLOOKUP(B50,Pendente!G:G,Pendente!H:H,"",0))</f>
        <v/>
      </c>
      <c r="D50" s="20" t="str">
        <f>IF(A50="","",_xlfn.XLOOKUP(A50,Pendente!A:A,Pendente!L:L,"",0))</f>
        <v/>
      </c>
      <c r="F50" s="22"/>
      <c r="G50" s="22"/>
      <c r="H50" s="22"/>
      <c r="I50" s="22"/>
      <c r="J50" s="22"/>
      <c r="K50" s="23"/>
      <c r="L50" s="24"/>
      <c r="M50" s="25"/>
      <c r="N50" s="24"/>
      <c r="O50" s="24"/>
      <c r="P50" s="22"/>
      <c r="Q50" s="26"/>
      <c r="R50" s="26"/>
      <c r="S50" s="22"/>
      <c r="T50" s="22"/>
      <c r="U50" s="27"/>
    </row>
    <row r="51" spans="1:21" x14ac:dyDescent="0.25">
      <c r="A51" s="28"/>
      <c r="B51" s="20" t="str">
        <f>IF(A51="","",_xlfn.XLOOKUP(A51,Pendente!A:A,Pendente!G:G,"",0))</f>
        <v/>
      </c>
      <c r="C51" s="21" t="str">
        <f>IF(B51="","",_xlfn.XLOOKUP(B51,Pendente!G:G,Pendente!H:H,"",0))</f>
        <v/>
      </c>
      <c r="D51" s="20" t="str">
        <f>IF(A51="","",_xlfn.XLOOKUP(A51,Pendente!A:A,Pendente!L:L,"",0))</f>
        <v/>
      </c>
      <c r="F51" s="22"/>
      <c r="G51" s="22"/>
      <c r="H51" s="22"/>
      <c r="I51" s="22"/>
      <c r="J51" s="22"/>
      <c r="K51" s="23"/>
      <c r="L51" s="24"/>
      <c r="M51" s="25"/>
      <c r="N51" s="24"/>
      <c r="O51" s="24"/>
      <c r="P51" s="22"/>
      <c r="Q51" s="26"/>
      <c r="R51" s="26"/>
      <c r="S51" s="22"/>
      <c r="T51" s="22"/>
      <c r="U51" s="27"/>
    </row>
    <row r="52" spans="1:21" x14ac:dyDescent="0.25">
      <c r="A52" s="28"/>
      <c r="B52" s="20" t="str">
        <f>IF(A52="","",_xlfn.XLOOKUP(A52,Pendente!A:A,Pendente!G:G,"",0))</f>
        <v/>
      </c>
      <c r="C52" s="21" t="str">
        <f>IF(B52="","",_xlfn.XLOOKUP(B52,Pendente!G:G,Pendente!H:H,"",0))</f>
        <v/>
      </c>
      <c r="D52" s="20" t="str">
        <f>IF(A52="","",_xlfn.XLOOKUP(A52,Pendente!A:A,Pendente!L:L,"",0))</f>
        <v/>
      </c>
      <c r="F52" s="22"/>
      <c r="G52" s="22"/>
      <c r="H52" s="22"/>
      <c r="I52" s="22"/>
      <c r="J52" s="22"/>
      <c r="K52" s="23"/>
      <c r="L52" s="24"/>
      <c r="M52" s="25"/>
      <c r="N52" s="24"/>
      <c r="O52" s="24"/>
      <c r="P52" s="22"/>
      <c r="Q52" s="26"/>
      <c r="R52" s="26"/>
      <c r="S52" s="22"/>
      <c r="T52" s="22"/>
      <c r="U52" s="27"/>
    </row>
    <row r="53" spans="1:21" x14ac:dyDescent="0.25">
      <c r="A53" s="28"/>
      <c r="B53" s="20" t="str">
        <f>IF(A53="","",_xlfn.XLOOKUP(A53,Pendente!A:A,Pendente!G:G,"",0))</f>
        <v/>
      </c>
      <c r="C53" s="21" t="str">
        <f>IF(B53="","",_xlfn.XLOOKUP(B53,Pendente!G:G,Pendente!H:H,"",0))</f>
        <v/>
      </c>
      <c r="D53" s="20" t="str">
        <f>IF(A53="","",_xlfn.XLOOKUP(A53,Pendente!A:A,Pendente!L:L,"",0))</f>
        <v/>
      </c>
      <c r="F53" s="22"/>
      <c r="G53" s="22"/>
      <c r="H53" s="22"/>
      <c r="I53" s="22"/>
      <c r="J53" s="22"/>
      <c r="K53" s="23"/>
      <c r="L53" s="24"/>
      <c r="M53" s="25"/>
      <c r="N53" s="24"/>
      <c r="O53" s="24"/>
      <c r="P53" s="22"/>
      <c r="Q53" s="26"/>
      <c r="R53" s="26"/>
      <c r="S53" s="22"/>
      <c r="T53" s="22"/>
      <c r="U53" s="27"/>
    </row>
    <row r="54" spans="1:21" x14ac:dyDescent="0.25">
      <c r="A54" s="28"/>
      <c r="B54" s="20" t="str">
        <f>IF(A54="","",_xlfn.XLOOKUP(A54,Pendente!A:A,Pendente!G:G,"",0))</f>
        <v/>
      </c>
      <c r="C54" s="21" t="str">
        <f>IF(B54="","",_xlfn.XLOOKUP(B54,Pendente!G:G,Pendente!H:H,"",0))</f>
        <v/>
      </c>
      <c r="D54" s="20" t="str">
        <f>IF(A54="","",_xlfn.XLOOKUP(A54,Pendente!A:A,Pendente!L:L,"",0))</f>
        <v/>
      </c>
      <c r="F54" s="22"/>
      <c r="G54" s="22"/>
      <c r="H54" s="22"/>
      <c r="I54" s="22"/>
      <c r="J54" s="22"/>
      <c r="K54" s="23"/>
      <c r="L54" s="24"/>
      <c r="M54" s="25"/>
      <c r="N54" s="24"/>
      <c r="O54" s="24"/>
      <c r="P54" s="22"/>
      <c r="Q54" s="26"/>
      <c r="R54" s="26"/>
      <c r="S54" s="22"/>
      <c r="T54" s="22"/>
      <c r="U54" s="27"/>
    </row>
    <row r="55" spans="1:21" x14ac:dyDescent="0.25">
      <c r="A55" s="28"/>
      <c r="B55" s="20" t="str">
        <f>IF(A55="","",_xlfn.XLOOKUP(A55,Pendente!A:A,Pendente!G:G,"",0))</f>
        <v/>
      </c>
      <c r="C55" s="21" t="str">
        <f>IF(B55="","",_xlfn.XLOOKUP(B55,Pendente!G:G,Pendente!H:H,"",0))</f>
        <v/>
      </c>
      <c r="D55" s="20" t="str">
        <f>IF(A55="","",_xlfn.XLOOKUP(A55,Pendente!A:A,Pendente!L:L,"",0))</f>
        <v/>
      </c>
      <c r="F55" s="22"/>
      <c r="G55" s="22"/>
      <c r="H55" s="22"/>
      <c r="I55" s="22"/>
      <c r="J55" s="22"/>
      <c r="K55" s="23"/>
      <c r="L55" s="24"/>
      <c r="M55" s="25"/>
      <c r="N55" s="24"/>
      <c r="O55" s="24"/>
      <c r="P55" s="22"/>
      <c r="Q55" s="26"/>
      <c r="R55" s="26"/>
      <c r="S55" s="22"/>
      <c r="T55" s="22"/>
      <c r="U55" s="27"/>
    </row>
    <row r="56" spans="1:21" x14ac:dyDescent="0.25">
      <c r="A56" s="28"/>
      <c r="B56" s="20" t="str">
        <f>IF(A56="","",_xlfn.XLOOKUP(A56,Pendente!A:A,Pendente!G:G,"",0))</f>
        <v/>
      </c>
      <c r="C56" s="21" t="str">
        <f>IF(B56="","",_xlfn.XLOOKUP(B56,Pendente!G:G,Pendente!H:H,"",0))</f>
        <v/>
      </c>
      <c r="D56" s="20" t="str">
        <f>IF(A56="","",_xlfn.XLOOKUP(A56,Pendente!A:A,Pendente!L:L,"",0))</f>
        <v/>
      </c>
      <c r="F56" s="22"/>
      <c r="G56" s="22"/>
      <c r="H56" s="22"/>
      <c r="I56" s="22"/>
      <c r="J56" s="22"/>
      <c r="K56" s="23"/>
      <c r="L56" s="24"/>
      <c r="M56" s="25"/>
      <c r="N56" s="24"/>
      <c r="O56" s="24"/>
      <c r="P56" s="22"/>
      <c r="Q56" s="26"/>
      <c r="R56" s="26"/>
      <c r="S56" s="22"/>
      <c r="T56" s="22"/>
      <c r="U56" s="27"/>
    </row>
    <row r="57" spans="1:21" x14ac:dyDescent="0.25">
      <c r="A57" s="28"/>
      <c r="B57" s="20" t="str">
        <f>IF(A57="","",_xlfn.XLOOKUP(A57,Pendente!A:A,Pendente!G:G,"",0))</f>
        <v/>
      </c>
      <c r="C57" s="21" t="str">
        <f>IF(B57="","",_xlfn.XLOOKUP(B57,Pendente!G:G,Pendente!H:H,"",0))</f>
        <v/>
      </c>
      <c r="D57" s="20" t="str">
        <f>IF(A57="","",_xlfn.XLOOKUP(A57,Pendente!A:A,Pendente!L:L,"",0))</f>
        <v/>
      </c>
      <c r="F57" s="22"/>
      <c r="G57" s="22"/>
      <c r="H57" s="22"/>
      <c r="I57" s="22"/>
      <c r="J57" s="22"/>
      <c r="K57" s="23"/>
      <c r="L57" s="24"/>
      <c r="M57" s="25"/>
      <c r="N57" s="24"/>
      <c r="O57" s="24"/>
      <c r="P57" s="22"/>
      <c r="Q57" s="26"/>
      <c r="R57" s="26"/>
      <c r="S57" s="22"/>
      <c r="T57" s="22"/>
      <c r="U57" s="27"/>
    </row>
    <row r="58" spans="1:21" x14ac:dyDescent="0.25">
      <c r="A58" s="28"/>
      <c r="B58" s="20" t="str">
        <f>IF(A58="","",_xlfn.XLOOKUP(A58,Pendente!A:A,Pendente!G:G,"",0))</f>
        <v/>
      </c>
      <c r="C58" s="21" t="str">
        <f>IF(B58="","",_xlfn.XLOOKUP(B58,Pendente!G:G,Pendente!H:H,"",0))</f>
        <v/>
      </c>
      <c r="D58" s="20" t="str">
        <f>IF(A58="","",_xlfn.XLOOKUP(A58,Pendente!A:A,Pendente!L:L,"",0))</f>
        <v/>
      </c>
      <c r="F58" s="22"/>
      <c r="G58" s="22"/>
      <c r="H58" s="22"/>
      <c r="I58" s="22"/>
      <c r="J58" s="22"/>
      <c r="K58" s="23"/>
      <c r="L58" s="24"/>
      <c r="M58" s="25"/>
      <c r="N58" s="24"/>
      <c r="O58" s="24"/>
      <c r="P58" s="22"/>
      <c r="Q58" s="26"/>
      <c r="R58" s="26"/>
      <c r="S58" s="22"/>
      <c r="T58" s="22"/>
      <c r="U58" s="27"/>
    </row>
    <row r="59" spans="1:21" x14ac:dyDescent="0.25">
      <c r="A59" s="28"/>
      <c r="B59" s="20" t="str">
        <f>IF(A59="","",_xlfn.XLOOKUP(A59,Pendente!A:A,Pendente!G:G,"",0))</f>
        <v/>
      </c>
      <c r="C59" s="21" t="str">
        <f>IF(B59="","",_xlfn.XLOOKUP(B59,Pendente!G:G,Pendente!H:H,"",0))</f>
        <v/>
      </c>
      <c r="D59" s="20" t="str">
        <f>IF(A59="","",_xlfn.XLOOKUP(A59,Pendente!A:A,Pendente!L:L,"",0))</f>
        <v/>
      </c>
      <c r="F59" s="22"/>
      <c r="G59" s="22"/>
      <c r="H59" s="22"/>
      <c r="I59" s="22"/>
      <c r="J59" s="22"/>
      <c r="K59" s="23"/>
      <c r="L59" s="24"/>
      <c r="M59" s="25"/>
      <c r="N59" s="24"/>
      <c r="O59" s="24"/>
      <c r="P59" s="22"/>
      <c r="Q59" s="26"/>
      <c r="R59" s="26"/>
      <c r="S59" s="22"/>
      <c r="T59" s="22"/>
      <c r="U59" s="27"/>
    </row>
    <row r="60" spans="1:21" x14ac:dyDescent="0.25">
      <c r="A60" s="28"/>
      <c r="B60" s="20" t="str">
        <f>IF(A60="","",_xlfn.XLOOKUP(A60,Pendente!A:A,Pendente!G:G,"",0))</f>
        <v/>
      </c>
      <c r="C60" s="21" t="str">
        <f>IF(B60="","",_xlfn.XLOOKUP(B60,Pendente!G:G,Pendente!H:H,"",0))</f>
        <v/>
      </c>
      <c r="D60" s="20" t="str">
        <f>IF(A60="","",_xlfn.XLOOKUP(A60,Pendente!A:A,Pendente!L:L,"",0))</f>
        <v/>
      </c>
      <c r="F60" s="22"/>
      <c r="G60" s="22"/>
      <c r="H60" s="22"/>
      <c r="I60" s="22"/>
      <c r="J60" s="22"/>
      <c r="K60" s="23"/>
      <c r="L60" s="24"/>
      <c r="M60" s="25"/>
      <c r="N60" s="24"/>
      <c r="O60" s="24"/>
      <c r="P60" s="22"/>
      <c r="Q60" s="26"/>
      <c r="R60" s="26"/>
      <c r="S60" s="22"/>
      <c r="T60" s="22"/>
      <c r="U60" s="27"/>
    </row>
    <row r="61" spans="1:21" x14ac:dyDescent="0.25">
      <c r="A61" s="28"/>
      <c r="B61" s="20" t="str">
        <f>IF(A61="","",_xlfn.XLOOKUP(A61,Pendente!A:A,Pendente!G:G,"",0))</f>
        <v/>
      </c>
      <c r="C61" s="21" t="str">
        <f>IF(B61="","",_xlfn.XLOOKUP(B61,Pendente!G:G,Pendente!H:H,"",0))</f>
        <v/>
      </c>
      <c r="D61" s="20" t="str">
        <f>IF(A61="","",_xlfn.XLOOKUP(A61,Pendente!A:A,Pendente!L:L,"",0))</f>
        <v/>
      </c>
      <c r="F61" s="22"/>
      <c r="G61" s="22"/>
      <c r="H61" s="22"/>
      <c r="I61" s="22"/>
      <c r="J61" s="22"/>
      <c r="K61" s="23"/>
      <c r="L61" s="24"/>
      <c r="M61" s="25"/>
      <c r="N61" s="24"/>
      <c r="O61" s="24"/>
      <c r="P61" s="22"/>
      <c r="Q61" s="26"/>
      <c r="R61" s="26"/>
      <c r="S61" s="22"/>
      <c r="T61" s="22"/>
      <c r="U61" s="27"/>
    </row>
    <row r="62" spans="1:21" x14ac:dyDescent="0.25">
      <c r="A62" s="28"/>
      <c r="B62" s="20" t="str">
        <f>IF(A62="","",_xlfn.XLOOKUP(A62,Pendente!A:A,Pendente!G:G,"",0))</f>
        <v/>
      </c>
      <c r="C62" s="21" t="str">
        <f>IF(B62="","",_xlfn.XLOOKUP(B62,Pendente!G:G,Pendente!H:H,"",0))</f>
        <v/>
      </c>
      <c r="D62" s="20" t="str">
        <f>IF(A62="","",_xlfn.XLOOKUP(A62,Pendente!A:A,Pendente!L:L,"",0))</f>
        <v/>
      </c>
      <c r="F62" s="22"/>
      <c r="G62" s="22"/>
      <c r="H62" s="22"/>
      <c r="I62" s="22"/>
      <c r="J62" s="22"/>
      <c r="K62" s="23"/>
      <c r="L62" s="24"/>
      <c r="M62" s="25"/>
      <c r="N62" s="24"/>
      <c r="O62" s="24"/>
      <c r="P62" s="22"/>
      <c r="Q62" s="26"/>
      <c r="R62" s="26"/>
      <c r="S62" s="22"/>
      <c r="T62" s="22"/>
      <c r="U62" s="27"/>
    </row>
    <row r="63" spans="1:21" x14ac:dyDescent="0.25">
      <c r="A63" s="28"/>
      <c r="B63" s="20" t="str">
        <f>IF(A63="","",_xlfn.XLOOKUP(A63,Pendente!A:A,Pendente!G:G,"",0))</f>
        <v/>
      </c>
      <c r="C63" s="21" t="str">
        <f>IF(B63="","",_xlfn.XLOOKUP(B63,Pendente!G:G,Pendente!H:H,"",0))</f>
        <v/>
      </c>
      <c r="D63" s="20" t="str">
        <f>IF(A63="","",_xlfn.XLOOKUP(A63,Pendente!A:A,Pendente!L:L,"",0))</f>
        <v/>
      </c>
      <c r="F63" s="22"/>
      <c r="G63" s="22"/>
      <c r="H63" s="22"/>
      <c r="I63" s="22"/>
      <c r="J63" s="22"/>
      <c r="K63" s="23"/>
      <c r="L63" s="24"/>
      <c r="M63" s="25"/>
      <c r="N63" s="24"/>
      <c r="O63" s="24"/>
      <c r="P63" s="22"/>
      <c r="Q63" s="26"/>
      <c r="R63" s="26"/>
      <c r="S63" s="22"/>
      <c r="T63" s="22"/>
      <c r="U63" s="27"/>
    </row>
    <row r="64" spans="1:21" x14ac:dyDescent="0.25">
      <c r="A64" s="28"/>
      <c r="B64" s="20" t="str">
        <f>IF(A64="","",_xlfn.XLOOKUP(A64,Pendente!A:A,Pendente!G:G,"",0))</f>
        <v/>
      </c>
      <c r="C64" s="21" t="str">
        <f>IF(B64="","",_xlfn.XLOOKUP(B64,Pendente!G:G,Pendente!H:H,"",0))</f>
        <v/>
      </c>
      <c r="D64" s="20" t="str">
        <f>IF(A64="","",_xlfn.XLOOKUP(A64,Pendente!A:A,Pendente!L:L,"",0))</f>
        <v/>
      </c>
      <c r="F64" s="22"/>
      <c r="G64" s="22"/>
      <c r="H64" s="22"/>
      <c r="I64" s="22"/>
      <c r="J64" s="22"/>
      <c r="K64" s="23"/>
      <c r="L64" s="24"/>
      <c r="M64" s="25"/>
      <c r="N64" s="24"/>
      <c r="O64" s="24"/>
      <c r="P64" s="22"/>
      <c r="Q64" s="26"/>
      <c r="R64" s="26"/>
      <c r="S64" s="22"/>
      <c r="T64" s="22"/>
      <c r="U64" s="27"/>
    </row>
    <row r="65" spans="1:21" x14ac:dyDescent="0.25">
      <c r="A65" s="28"/>
      <c r="B65" s="20" t="str">
        <f>IF(A65="","",_xlfn.XLOOKUP(A65,Pendente!A:A,Pendente!G:G,"",0))</f>
        <v/>
      </c>
      <c r="C65" s="21" t="str">
        <f>IF(B65="","",_xlfn.XLOOKUP(B65,Pendente!G:G,Pendente!H:H,"",0))</f>
        <v/>
      </c>
      <c r="D65" s="20" t="str">
        <f>IF(A65="","",_xlfn.XLOOKUP(A65,Pendente!A:A,Pendente!L:L,"",0))</f>
        <v/>
      </c>
      <c r="F65" s="22"/>
      <c r="G65" s="22"/>
      <c r="H65" s="22"/>
      <c r="I65" s="22"/>
      <c r="J65" s="22"/>
      <c r="K65" s="23"/>
      <c r="L65" s="24"/>
      <c r="M65" s="25"/>
      <c r="N65" s="24"/>
      <c r="O65" s="24"/>
      <c r="P65" s="22"/>
      <c r="Q65" s="26"/>
      <c r="R65" s="26"/>
      <c r="S65" s="22"/>
      <c r="T65" s="22"/>
      <c r="U65" s="27"/>
    </row>
    <row r="66" spans="1:21" x14ac:dyDescent="0.25">
      <c r="A66" s="28"/>
      <c r="B66" s="20" t="str">
        <f>IF(A66="","",_xlfn.XLOOKUP(A66,Pendente!A:A,Pendente!G:G,"",0))</f>
        <v/>
      </c>
      <c r="C66" s="21" t="str">
        <f>IF(B66="","",_xlfn.XLOOKUP(B66,Pendente!G:G,Pendente!H:H,"",0))</f>
        <v/>
      </c>
      <c r="D66" s="20" t="str">
        <f>IF(A66="","",_xlfn.XLOOKUP(A66,Pendente!A:A,Pendente!L:L,"",0))</f>
        <v/>
      </c>
      <c r="F66" s="22"/>
      <c r="G66" s="22"/>
      <c r="H66" s="22"/>
      <c r="I66" s="22"/>
      <c r="J66" s="22"/>
      <c r="K66" s="23"/>
      <c r="L66" s="24"/>
      <c r="M66" s="25"/>
      <c r="N66" s="24"/>
      <c r="O66" s="24"/>
      <c r="P66" s="22"/>
      <c r="Q66" s="26"/>
      <c r="R66" s="26"/>
      <c r="S66" s="22"/>
      <c r="T66" s="22"/>
      <c r="U66" s="27"/>
    </row>
    <row r="67" spans="1:21" x14ac:dyDescent="0.25">
      <c r="A67" s="28"/>
      <c r="B67" s="20" t="str">
        <f>IF(A67="","",_xlfn.XLOOKUP(A67,Pendente!A:A,Pendente!G:G,"",0))</f>
        <v/>
      </c>
      <c r="C67" s="21" t="str">
        <f>IF(B67="","",_xlfn.XLOOKUP(B67,Pendente!G:G,Pendente!H:H,"",0))</f>
        <v/>
      </c>
      <c r="D67" s="20" t="str">
        <f>IF(A67="","",_xlfn.XLOOKUP(A67,Pendente!A:A,Pendente!L:L,"",0))</f>
        <v/>
      </c>
      <c r="F67" s="22"/>
      <c r="G67" s="22"/>
      <c r="H67" s="22"/>
      <c r="I67" s="22"/>
      <c r="J67" s="22"/>
      <c r="K67" s="23"/>
      <c r="L67" s="24"/>
      <c r="M67" s="25"/>
      <c r="N67" s="24"/>
      <c r="O67" s="24"/>
      <c r="P67" s="22"/>
      <c r="Q67" s="26"/>
      <c r="R67" s="26"/>
      <c r="S67" s="22"/>
      <c r="T67" s="22"/>
      <c r="U67" s="27"/>
    </row>
    <row r="68" spans="1:21" x14ac:dyDescent="0.25">
      <c r="A68" s="28"/>
      <c r="B68" s="20" t="str">
        <f>IF(A68="","",_xlfn.XLOOKUP(A68,Pendente!A:A,Pendente!G:G,"",0))</f>
        <v/>
      </c>
      <c r="C68" s="21" t="str">
        <f>IF(B68="","",_xlfn.XLOOKUP(B68,Pendente!G:G,Pendente!H:H,"",0))</f>
        <v/>
      </c>
      <c r="D68" s="20" t="str">
        <f>IF(A68="","",_xlfn.XLOOKUP(A68,Pendente!A:A,Pendente!L:L,"",0))</f>
        <v/>
      </c>
      <c r="F68" s="22"/>
      <c r="G68" s="22"/>
      <c r="H68" s="22"/>
      <c r="I68" s="22"/>
      <c r="J68" s="22"/>
      <c r="K68" s="23"/>
      <c r="L68" s="24"/>
      <c r="M68" s="25"/>
      <c r="N68" s="24"/>
      <c r="O68" s="24"/>
      <c r="P68" s="22"/>
      <c r="Q68" s="26"/>
      <c r="R68" s="26"/>
      <c r="S68" s="22"/>
      <c r="T68" s="22"/>
      <c r="U68" s="27"/>
    </row>
    <row r="69" spans="1:21" x14ac:dyDescent="0.25">
      <c r="A69" s="28"/>
      <c r="B69" s="20" t="str">
        <f>IF(A69="","",_xlfn.XLOOKUP(A69,Pendente!A:A,Pendente!G:G,"",0))</f>
        <v/>
      </c>
      <c r="C69" s="21" t="str">
        <f>IF(B69="","",_xlfn.XLOOKUP(B69,Pendente!G:G,Pendente!H:H,"",0))</f>
        <v/>
      </c>
      <c r="D69" s="20" t="str">
        <f>IF(A69="","",_xlfn.XLOOKUP(A69,Pendente!A:A,Pendente!L:L,"",0))</f>
        <v/>
      </c>
      <c r="F69" s="22"/>
      <c r="G69" s="22"/>
      <c r="H69" s="22"/>
      <c r="I69" s="22"/>
      <c r="J69" s="22"/>
      <c r="K69" s="23"/>
      <c r="L69" s="24"/>
      <c r="M69" s="25"/>
      <c r="N69" s="24"/>
      <c r="O69" s="24"/>
      <c r="P69" s="22"/>
      <c r="Q69" s="26"/>
      <c r="R69" s="26"/>
      <c r="S69" s="22"/>
      <c r="T69" s="22"/>
      <c r="U69" s="27"/>
    </row>
    <row r="70" spans="1:21" x14ac:dyDescent="0.25">
      <c r="A70" s="28"/>
      <c r="B70" s="20" t="str">
        <f>IF(A70="","",_xlfn.XLOOKUP(A70,Pendente!A:A,Pendente!G:G,"",0))</f>
        <v/>
      </c>
      <c r="C70" s="21" t="str">
        <f>IF(B70="","",_xlfn.XLOOKUP(B70,Pendente!G:G,Pendente!H:H,"",0))</f>
        <v/>
      </c>
      <c r="D70" s="20" t="str">
        <f>IF(A70="","",_xlfn.XLOOKUP(A70,Pendente!A:A,Pendente!L:L,"",0))</f>
        <v/>
      </c>
      <c r="F70" s="22"/>
      <c r="G70" s="22"/>
      <c r="H70" s="22"/>
      <c r="I70" s="22"/>
      <c r="J70" s="22"/>
      <c r="K70" s="23"/>
      <c r="L70" s="24"/>
      <c r="M70" s="25"/>
      <c r="N70" s="24"/>
      <c r="O70" s="24"/>
      <c r="P70" s="22"/>
      <c r="Q70" s="26"/>
      <c r="R70" s="26"/>
      <c r="S70" s="22"/>
      <c r="T70" s="22"/>
      <c r="U70" s="27"/>
    </row>
    <row r="71" spans="1:21" x14ac:dyDescent="0.25">
      <c r="A71" s="28"/>
      <c r="B71" s="20" t="str">
        <f>IF(A71="","",_xlfn.XLOOKUP(A71,Pendente!A:A,Pendente!G:G,"",0))</f>
        <v/>
      </c>
      <c r="C71" s="21" t="str">
        <f>IF(B71="","",_xlfn.XLOOKUP(B71,Pendente!G:G,Pendente!H:H,"",0))</f>
        <v/>
      </c>
      <c r="D71" s="20" t="str">
        <f>IF(A71="","",_xlfn.XLOOKUP(A71,Pendente!A:A,Pendente!L:L,"",0))</f>
        <v/>
      </c>
      <c r="F71" s="22"/>
      <c r="G71" s="22"/>
      <c r="H71" s="22"/>
      <c r="I71" s="22"/>
      <c r="J71" s="22"/>
      <c r="K71" s="23"/>
      <c r="L71" s="24"/>
      <c r="M71" s="25"/>
      <c r="N71" s="24"/>
      <c r="O71" s="24"/>
      <c r="P71" s="22"/>
      <c r="Q71" s="26"/>
      <c r="R71" s="26"/>
      <c r="S71" s="22"/>
      <c r="T71" s="22"/>
      <c r="U71" s="27"/>
    </row>
    <row r="72" spans="1:21" x14ac:dyDescent="0.25">
      <c r="A72" s="28"/>
      <c r="B72" s="20" t="str">
        <f>IF(A72="","",_xlfn.XLOOKUP(A72,Pendente!A:A,Pendente!G:G,"",0))</f>
        <v/>
      </c>
      <c r="C72" s="21" t="str">
        <f>IF(B72="","",_xlfn.XLOOKUP(B72,Pendente!G:G,Pendente!H:H,"",0))</f>
        <v/>
      </c>
      <c r="D72" s="20" t="str">
        <f>IF(A72="","",_xlfn.XLOOKUP(A72,Pendente!A:A,Pendente!L:L,"",0))</f>
        <v/>
      </c>
      <c r="F72" s="22"/>
      <c r="G72" s="22"/>
      <c r="H72" s="22"/>
      <c r="I72" s="22"/>
      <c r="J72" s="22"/>
      <c r="K72" s="23"/>
      <c r="L72" s="24"/>
      <c r="M72" s="25"/>
      <c r="N72" s="24"/>
      <c r="O72" s="24"/>
      <c r="P72" s="22"/>
      <c r="Q72" s="26"/>
      <c r="R72" s="26"/>
      <c r="S72" s="22"/>
      <c r="T72" s="22"/>
      <c r="U72" s="27"/>
    </row>
    <row r="73" spans="1:21" x14ac:dyDescent="0.25">
      <c r="A73" s="28"/>
      <c r="B73" s="20" t="str">
        <f>IF(A73="","",_xlfn.XLOOKUP(A73,Pendente!A:A,Pendente!G:G,"",0))</f>
        <v/>
      </c>
      <c r="C73" s="21" t="str">
        <f>IF(B73="","",_xlfn.XLOOKUP(B73,Pendente!G:G,Pendente!H:H,"",0))</f>
        <v/>
      </c>
      <c r="D73" s="20" t="str">
        <f>IF(A73="","",_xlfn.XLOOKUP(A73,Pendente!A:A,Pendente!L:L,"",0))</f>
        <v/>
      </c>
      <c r="F73" s="22"/>
      <c r="G73" s="22"/>
      <c r="H73" s="22"/>
      <c r="I73" s="22"/>
      <c r="J73" s="22"/>
      <c r="K73" s="23"/>
      <c r="L73" s="24"/>
      <c r="M73" s="25"/>
      <c r="N73" s="24"/>
      <c r="O73" s="24"/>
      <c r="P73" s="22"/>
      <c r="Q73" s="26"/>
      <c r="R73" s="26"/>
      <c r="S73" s="22"/>
      <c r="T73" s="22"/>
      <c r="U73" s="27"/>
    </row>
    <row r="74" spans="1:21" x14ac:dyDescent="0.25">
      <c r="A74" s="28"/>
      <c r="B74" s="29"/>
      <c r="C74" s="21"/>
      <c r="D74" s="20"/>
      <c r="F74" s="22"/>
      <c r="G74" s="22"/>
      <c r="H74" s="22"/>
      <c r="I74" s="22"/>
      <c r="J74" s="22"/>
      <c r="K74" s="23"/>
      <c r="L74" s="24"/>
      <c r="M74" s="25"/>
      <c r="N74" s="24"/>
      <c r="O74" s="24"/>
      <c r="P74" s="22"/>
      <c r="Q74" s="26"/>
      <c r="R74" s="26"/>
      <c r="S74" s="22"/>
      <c r="T74" s="22"/>
      <c r="U74" s="27"/>
    </row>
    <row r="75" spans="1:21" x14ac:dyDescent="0.25">
      <c r="A75" s="28"/>
      <c r="B75" s="29"/>
      <c r="C75" s="21"/>
      <c r="D75" s="20"/>
      <c r="F75" s="22"/>
      <c r="G75" s="22"/>
      <c r="H75" s="22"/>
      <c r="I75" s="22"/>
      <c r="J75" s="22"/>
      <c r="K75" s="23"/>
      <c r="L75" s="24"/>
      <c r="M75" s="25"/>
      <c r="N75" s="24"/>
      <c r="O75" s="24"/>
      <c r="P75" s="22"/>
      <c r="Q75" s="26"/>
      <c r="R75" s="26"/>
      <c r="S75" s="22"/>
      <c r="T75" s="22"/>
      <c r="U75" s="27"/>
    </row>
    <row r="76" spans="1:21" x14ac:dyDescent="0.25">
      <c r="A76" s="28"/>
      <c r="B76" s="29"/>
      <c r="C76" s="21"/>
      <c r="D76" s="20"/>
      <c r="F76" s="22"/>
      <c r="G76" s="22"/>
      <c r="H76" s="22"/>
      <c r="I76" s="22"/>
      <c r="J76" s="22"/>
      <c r="K76" s="23"/>
      <c r="L76" s="24"/>
      <c r="M76" s="25"/>
      <c r="N76" s="24"/>
      <c r="O76" s="24"/>
      <c r="P76" s="22"/>
      <c r="Q76" s="26"/>
      <c r="R76" s="26"/>
      <c r="S76" s="22"/>
      <c r="T76" s="22"/>
      <c r="U76" s="27"/>
    </row>
    <row r="77" spans="1:21" x14ac:dyDescent="0.25">
      <c r="A77" s="28"/>
      <c r="B77" s="29"/>
      <c r="C77" s="21"/>
      <c r="D77" s="20"/>
      <c r="F77" s="22"/>
      <c r="G77" s="22"/>
      <c r="H77" s="22"/>
      <c r="I77" s="22"/>
      <c r="J77" s="22"/>
      <c r="K77" s="23"/>
      <c r="L77" s="24"/>
      <c r="M77" s="25"/>
      <c r="N77" s="24"/>
      <c r="O77" s="24"/>
      <c r="P77" s="22"/>
      <c r="Q77" s="26"/>
      <c r="R77" s="26"/>
      <c r="S77" s="22"/>
      <c r="T77" s="22"/>
      <c r="U77" s="27"/>
    </row>
    <row r="78" spans="1:21" x14ac:dyDescent="0.25">
      <c r="A78" s="28"/>
      <c r="B78" s="29"/>
      <c r="C78" s="21"/>
      <c r="D78" s="20"/>
      <c r="F78" s="22"/>
      <c r="G78" s="22"/>
      <c r="H78" s="22"/>
      <c r="I78" s="22"/>
      <c r="J78" s="22"/>
      <c r="K78" s="23"/>
      <c r="L78" s="24"/>
      <c r="M78" s="25"/>
      <c r="N78" s="24"/>
      <c r="O78" s="24"/>
      <c r="P78" s="22"/>
      <c r="Q78" s="26"/>
      <c r="R78" s="26"/>
      <c r="S78" s="22"/>
      <c r="T78" s="22"/>
      <c r="U78" s="27"/>
    </row>
    <row r="79" spans="1:21" x14ac:dyDescent="0.25">
      <c r="A79" s="28"/>
      <c r="B79" s="29"/>
      <c r="C79" s="21"/>
      <c r="D79" s="20"/>
      <c r="F79" s="22"/>
      <c r="G79" s="22"/>
      <c r="H79" s="22"/>
      <c r="I79" s="22"/>
      <c r="J79" s="22"/>
      <c r="K79" s="23"/>
      <c r="L79" s="24"/>
      <c r="M79" s="25"/>
      <c r="N79" s="24"/>
      <c r="O79" s="24"/>
      <c r="P79" s="22"/>
      <c r="Q79" s="26"/>
      <c r="R79" s="26"/>
      <c r="S79" s="22"/>
      <c r="T79" s="22"/>
      <c r="U79" s="27"/>
    </row>
    <row r="80" spans="1:21" x14ac:dyDescent="0.25">
      <c r="A80" s="28"/>
      <c r="B80" s="29"/>
      <c r="C80" s="21"/>
      <c r="D80" s="20"/>
      <c r="F80" s="22"/>
      <c r="G80" s="22"/>
      <c r="H80" s="22"/>
      <c r="I80" s="22"/>
      <c r="J80" s="22"/>
      <c r="K80" s="23"/>
      <c r="L80" s="24"/>
      <c r="M80" s="25"/>
      <c r="N80" s="24"/>
      <c r="O80" s="24"/>
      <c r="P80" s="22"/>
      <c r="Q80" s="26"/>
      <c r="R80" s="26"/>
      <c r="S80" s="22"/>
      <c r="T80" s="22"/>
      <c r="U80" s="27"/>
    </row>
    <row r="81" spans="1:21" x14ac:dyDescent="0.25">
      <c r="A81" s="28"/>
      <c r="B81" s="29"/>
      <c r="C81" s="21"/>
      <c r="D81" s="20"/>
      <c r="F81" s="22"/>
      <c r="G81" s="22"/>
      <c r="H81" s="22"/>
      <c r="I81" s="22"/>
      <c r="J81" s="22"/>
      <c r="K81" s="23"/>
      <c r="L81" s="24"/>
      <c r="M81" s="25"/>
      <c r="N81" s="24"/>
      <c r="O81" s="24"/>
      <c r="P81" s="22"/>
      <c r="Q81" s="26"/>
      <c r="R81" s="26"/>
      <c r="S81" s="22"/>
      <c r="T81" s="22"/>
      <c r="U81" s="27"/>
    </row>
    <row r="82" spans="1:21" x14ac:dyDescent="0.25">
      <c r="A82" s="28"/>
      <c r="B82" s="29"/>
      <c r="C82" s="21"/>
      <c r="D82" s="20"/>
      <c r="F82" s="22"/>
      <c r="G82" s="22"/>
      <c r="H82" s="22"/>
      <c r="I82" s="22"/>
      <c r="J82" s="22"/>
      <c r="K82" s="23"/>
      <c r="L82" s="24"/>
      <c r="M82" s="25"/>
      <c r="N82" s="24"/>
      <c r="O82" s="24"/>
      <c r="P82" s="22"/>
      <c r="Q82" s="26"/>
      <c r="R82" s="26"/>
      <c r="S82" s="22"/>
      <c r="T82" s="22"/>
      <c r="U82" s="27"/>
    </row>
    <row r="83" spans="1:21" x14ac:dyDescent="0.25">
      <c r="A83" s="28"/>
      <c r="B83" s="29"/>
      <c r="C83" s="21"/>
      <c r="D83" s="20"/>
      <c r="F83" s="22"/>
      <c r="G83" s="22"/>
      <c r="H83" s="22"/>
      <c r="I83" s="22"/>
      <c r="J83" s="22"/>
      <c r="K83" s="23"/>
      <c r="L83" s="24"/>
      <c r="M83" s="25"/>
      <c r="N83" s="24"/>
      <c r="O83" s="24"/>
      <c r="P83" s="22"/>
      <c r="Q83" s="26"/>
      <c r="R83" s="26"/>
      <c r="S83" s="22"/>
      <c r="T83" s="22"/>
      <c r="U83" s="27"/>
    </row>
    <row r="84" spans="1:21" x14ac:dyDescent="0.25">
      <c r="A84" s="28"/>
      <c r="B84" s="29"/>
      <c r="C84" s="21"/>
      <c r="D84" s="20"/>
      <c r="F84" s="22"/>
      <c r="G84" s="22"/>
      <c r="H84" s="22"/>
      <c r="I84" s="22"/>
      <c r="J84" s="22"/>
      <c r="K84" s="23"/>
      <c r="L84" s="24"/>
      <c r="M84" s="25"/>
      <c r="N84" s="24"/>
      <c r="O84" s="24"/>
      <c r="P84" s="22"/>
      <c r="Q84" s="26"/>
      <c r="R84" s="26"/>
      <c r="S84" s="22"/>
      <c r="T84" s="22"/>
      <c r="U84" s="27"/>
    </row>
    <row r="85" spans="1:21" x14ac:dyDescent="0.25">
      <c r="A85" s="28"/>
      <c r="B85" s="29"/>
      <c r="C85" s="21"/>
      <c r="D85" s="20"/>
      <c r="F85" s="22"/>
      <c r="G85" s="22"/>
      <c r="H85" s="22"/>
      <c r="I85" s="22"/>
      <c r="J85" s="22"/>
      <c r="K85" s="23"/>
      <c r="L85" s="24"/>
      <c r="M85" s="25"/>
      <c r="N85" s="24"/>
      <c r="O85" s="24"/>
      <c r="P85" s="22"/>
      <c r="Q85" s="26"/>
      <c r="R85" s="26"/>
      <c r="S85" s="22"/>
      <c r="T85" s="22"/>
      <c r="U85" s="27"/>
    </row>
    <row r="86" spans="1:21" x14ac:dyDescent="0.25">
      <c r="A86" s="28"/>
      <c r="B86" s="29"/>
      <c r="C86" s="21"/>
      <c r="D86" s="20"/>
      <c r="F86" s="22"/>
      <c r="G86" s="22"/>
      <c r="H86" s="22"/>
      <c r="I86" s="22"/>
      <c r="J86" s="22"/>
      <c r="K86" s="23"/>
      <c r="L86" s="24"/>
      <c r="M86" s="25"/>
      <c r="N86" s="24"/>
      <c r="O86" s="24"/>
      <c r="P86" s="22"/>
      <c r="Q86" s="26"/>
      <c r="R86" s="26"/>
      <c r="S86" s="22"/>
      <c r="T86" s="22"/>
      <c r="U86" s="27"/>
    </row>
    <row r="87" spans="1:21" x14ac:dyDescent="0.25">
      <c r="A87" s="28"/>
      <c r="B87" s="29"/>
      <c r="C87" s="21"/>
      <c r="D87" s="20"/>
      <c r="F87" s="22"/>
      <c r="G87" s="22"/>
      <c r="H87" s="22"/>
      <c r="I87" s="22"/>
      <c r="J87" s="22"/>
      <c r="K87" s="23"/>
      <c r="L87" s="24"/>
      <c r="M87" s="25"/>
      <c r="N87" s="24"/>
      <c r="O87" s="24"/>
      <c r="P87" s="22"/>
      <c r="Q87" s="26"/>
      <c r="R87" s="26"/>
      <c r="S87" s="22"/>
      <c r="T87" s="22"/>
      <c r="U87" s="27"/>
    </row>
    <row r="88" spans="1:21" x14ac:dyDescent="0.25">
      <c r="A88" s="28"/>
      <c r="B88" s="29"/>
      <c r="C88" s="21"/>
      <c r="D88" s="20"/>
      <c r="F88" s="22"/>
      <c r="G88" s="22"/>
      <c r="H88" s="22"/>
      <c r="I88" s="22"/>
      <c r="J88" s="22"/>
      <c r="K88" s="23"/>
      <c r="L88" s="24"/>
      <c r="M88" s="25"/>
      <c r="N88" s="24"/>
      <c r="O88" s="24"/>
      <c r="P88" s="22"/>
      <c r="Q88" s="26"/>
      <c r="R88" s="26"/>
      <c r="S88" s="22"/>
      <c r="T88" s="22"/>
      <c r="U88" s="27"/>
    </row>
    <row r="89" spans="1:21" x14ac:dyDescent="0.25">
      <c r="A89" s="28"/>
      <c r="B89" s="29"/>
      <c r="C89" s="21"/>
      <c r="D89" s="20"/>
      <c r="F89" s="22"/>
      <c r="G89" s="22"/>
      <c r="H89" s="22"/>
      <c r="I89" s="22"/>
      <c r="J89" s="22"/>
      <c r="K89" s="23"/>
      <c r="L89" s="24"/>
      <c r="M89" s="25"/>
      <c r="N89" s="24"/>
      <c r="O89" s="24"/>
      <c r="P89" s="22"/>
      <c r="Q89" s="26"/>
      <c r="R89" s="26"/>
      <c r="S89" s="22"/>
      <c r="T89" s="22"/>
      <c r="U89" s="27"/>
    </row>
    <row r="90" spans="1:21" x14ac:dyDescent="0.25">
      <c r="A90" s="28"/>
      <c r="B90" s="29"/>
      <c r="C90" s="21"/>
      <c r="D90" s="20"/>
      <c r="F90" s="22"/>
      <c r="G90" s="22"/>
      <c r="H90" s="22"/>
      <c r="I90" s="22"/>
      <c r="J90" s="22"/>
      <c r="K90" s="23"/>
      <c r="L90" s="24"/>
      <c r="M90" s="25"/>
      <c r="N90" s="24"/>
      <c r="O90" s="24"/>
      <c r="P90" s="22"/>
      <c r="Q90" s="26"/>
      <c r="R90" s="26"/>
      <c r="S90" s="22"/>
      <c r="T90" s="22"/>
      <c r="U90" s="27"/>
    </row>
    <row r="91" spans="1:21" x14ac:dyDescent="0.25">
      <c r="A91" s="28"/>
      <c r="B91" s="29"/>
      <c r="C91" s="21"/>
      <c r="D91" s="20"/>
      <c r="F91" s="22"/>
      <c r="G91" s="22"/>
      <c r="H91" s="22"/>
      <c r="I91" s="22"/>
      <c r="J91" s="22"/>
      <c r="K91" s="23"/>
      <c r="L91" s="24"/>
      <c r="M91" s="25"/>
      <c r="N91" s="24"/>
      <c r="O91" s="24"/>
      <c r="P91" s="22"/>
      <c r="Q91" s="26"/>
      <c r="R91" s="26"/>
      <c r="S91" s="22"/>
      <c r="T91" s="22"/>
      <c r="U91" s="27"/>
    </row>
    <row r="92" spans="1:21" x14ac:dyDescent="0.25">
      <c r="A92" s="28"/>
      <c r="B92" s="29"/>
      <c r="C92" s="21"/>
      <c r="D92" s="20"/>
      <c r="F92" s="22"/>
      <c r="G92" s="22"/>
      <c r="H92" s="22"/>
      <c r="I92" s="22"/>
      <c r="J92" s="22"/>
      <c r="K92" s="23"/>
      <c r="L92" s="24"/>
      <c r="M92" s="25"/>
      <c r="N92" s="24"/>
      <c r="O92" s="24"/>
      <c r="P92" s="22"/>
      <c r="Q92" s="26"/>
      <c r="R92" s="26"/>
      <c r="S92" s="22"/>
      <c r="T92" s="22"/>
      <c r="U92" s="27"/>
    </row>
    <row r="93" spans="1:21" x14ac:dyDescent="0.25">
      <c r="A93" s="28"/>
      <c r="B93" s="29"/>
      <c r="C93" s="21"/>
      <c r="D93" s="20"/>
      <c r="F93" s="22"/>
      <c r="G93" s="22"/>
      <c r="H93" s="22"/>
      <c r="I93" s="22"/>
      <c r="J93" s="22"/>
      <c r="K93" s="23"/>
      <c r="L93" s="24"/>
      <c r="M93" s="25"/>
      <c r="N93" s="24"/>
      <c r="O93" s="24"/>
      <c r="P93" s="22"/>
      <c r="Q93" s="26"/>
      <c r="R93" s="26"/>
      <c r="S93" s="22"/>
      <c r="T93" s="22"/>
      <c r="U93" s="27"/>
    </row>
    <row r="94" spans="1:21" x14ac:dyDescent="0.25">
      <c r="A94" s="28"/>
      <c r="B94" s="29"/>
      <c r="C94" s="21"/>
      <c r="D94" s="20"/>
      <c r="F94" s="22"/>
      <c r="G94" s="22"/>
      <c r="H94" s="22"/>
      <c r="I94" s="22"/>
      <c r="J94" s="22"/>
      <c r="K94" s="23"/>
      <c r="L94" s="24"/>
      <c r="M94" s="25"/>
      <c r="N94" s="24"/>
      <c r="O94" s="24"/>
      <c r="P94" s="22"/>
      <c r="Q94" s="26"/>
      <c r="R94" s="26"/>
      <c r="S94" s="22"/>
      <c r="T94" s="22"/>
      <c r="U94" s="27"/>
    </row>
    <row r="95" spans="1:21" x14ac:dyDescent="0.25">
      <c r="A95" s="28"/>
      <c r="B95" s="29"/>
      <c r="C95" s="21"/>
      <c r="D95" s="20"/>
      <c r="F95" s="22"/>
      <c r="G95" s="22"/>
      <c r="H95" s="22"/>
      <c r="I95" s="22"/>
      <c r="J95" s="22"/>
      <c r="K95" s="23"/>
      <c r="L95" s="24"/>
      <c r="M95" s="25"/>
      <c r="N95" s="24"/>
      <c r="O95" s="24"/>
      <c r="P95" s="22"/>
      <c r="Q95" s="26"/>
      <c r="R95" s="26"/>
      <c r="S95" s="22"/>
      <c r="T95" s="22"/>
      <c r="U95" s="27"/>
    </row>
    <row r="96" spans="1:21" x14ac:dyDescent="0.25">
      <c r="A96" s="28"/>
      <c r="B96" s="29"/>
      <c r="C96" s="21"/>
      <c r="D96" s="20"/>
      <c r="F96" s="22"/>
      <c r="G96" s="22"/>
      <c r="H96" s="22"/>
      <c r="I96" s="22"/>
      <c r="J96" s="22"/>
      <c r="K96" s="23"/>
      <c r="L96" s="24"/>
      <c r="M96" s="25"/>
      <c r="N96" s="24"/>
      <c r="O96" s="24"/>
      <c r="P96" s="22"/>
      <c r="Q96" s="26"/>
      <c r="R96" s="26"/>
      <c r="S96" s="22"/>
      <c r="T96" s="22"/>
      <c r="U96" s="27"/>
    </row>
    <row r="97" spans="1:21" x14ac:dyDescent="0.25">
      <c r="A97" s="28"/>
      <c r="B97" s="29"/>
      <c r="C97" s="21"/>
      <c r="D97" s="20"/>
      <c r="F97" s="22"/>
      <c r="G97" s="22"/>
      <c r="H97" s="22"/>
      <c r="I97" s="22"/>
      <c r="J97" s="22"/>
      <c r="K97" s="23"/>
      <c r="L97" s="24"/>
      <c r="M97" s="25"/>
      <c r="N97" s="24"/>
      <c r="O97" s="24"/>
      <c r="P97" s="22"/>
      <c r="Q97" s="26"/>
      <c r="R97" s="26"/>
      <c r="S97" s="22"/>
      <c r="T97" s="22"/>
      <c r="U97" s="27"/>
    </row>
    <row r="98" spans="1:21" x14ac:dyDescent="0.25">
      <c r="A98" s="28"/>
      <c r="B98" s="29"/>
      <c r="C98" s="21"/>
      <c r="D98" s="20"/>
      <c r="F98" s="22"/>
      <c r="G98" s="22"/>
      <c r="H98" s="22"/>
      <c r="I98" s="22"/>
      <c r="J98" s="22"/>
      <c r="K98" s="23"/>
      <c r="L98" s="24"/>
      <c r="M98" s="25"/>
      <c r="N98" s="24"/>
      <c r="O98" s="24"/>
      <c r="P98" s="22"/>
      <c r="Q98" s="26"/>
      <c r="R98" s="26"/>
      <c r="S98" s="22"/>
      <c r="T98" s="22"/>
      <c r="U98" s="27"/>
    </row>
    <row r="99" spans="1:21" x14ac:dyDescent="0.25">
      <c r="A99" s="28"/>
      <c r="B99" s="29"/>
      <c r="C99" s="21"/>
      <c r="D99" s="20"/>
      <c r="F99" s="22"/>
      <c r="G99" s="22"/>
      <c r="H99" s="22"/>
      <c r="I99" s="22"/>
      <c r="J99" s="22"/>
      <c r="K99" s="23"/>
      <c r="L99" s="24"/>
      <c r="M99" s="25"/>
      <c r="N99" s="24"/>
      <c r="O99" s="24"/>
      <c r="P99" s="22"/>
      <c r="Q99" s="26"/>
      <c r="R99" s="26"/>
      <c r="S99" s="22"/>
      <c r="T99" s="22"/>
      <c r="U99" s="27"/>
    </row>
    <row r="100" spans="1:21" x14ac:dyDescent="0.25">
      <c r="A100" s="28"/>
      <c r="B100" s="29"/>
      <c r="C100" s="21"/>
      <c r="D100" s="20"/>
      <c r="F100" s="22"/>
      <c r="G100" s="22"/>
      <c r="H100" s="22"/>
      <c r="I100" s="22"/>
      <c r="J100" s="22"/>
      <c r="K100" s="23"/>
      <c r="L100" s="24"/>
      <c r="M100" s="25"/>
      <c r="N100" s="24"/>
      <c r="O100" s="24"/>
      <c r="P100" s="22"/>
      <c r="Q100" s="26"/>
      <c r="R100" s="26"/>
      <c r="S100" s="22"/>
      <c r="T100" s="22"/>
      <c r="U100" s="27"/>
    </row>
    <row r="101" spans="1:21" x14ac:dyDescent="0.25">
      <c r="A101" s="28"/>
      <c r="B101" s="29"/>
      <c r="C101" s="21"/>
      <c r="D101" s="20"/>
      <c r="F101" s="22"/>
      <c r="G101" s="22"/>
      <c r="H101" s="22"/>
      <c r="I101" s="22"/>
      <c r="J101" s="22"/>
      <c r="K101" s="23"/>
      <c r="L101" s="24"/>
      <c r="M101" s="25"/>
      <c r="N101" s="24"/>
      <c r="O101" s="24"/>
      <c r="P101" s="22"/>
      <c r="Q101" s="26"/>
      <c r="R101" s="26"/>
      <c r="S101" s="22"/>
      <c r="T101" s="22"/>
      <c r="U101" s="27"/>
    </row>
    <row r="102" spans="1:21" x14ac:dyDescent="0.25">
      <c r="A102" s="28"/>
      <c r="B102" s="29"/>
      <c r="C102" s="21"/>
      <c r="D102" s="20"/>
      <c r="F102" s="22"/>
      <c r="G102" s="22"/>
      <c r="H102" s="22"/>
      <c r="I102" s="22"/>
      <c r="J102" s="22"/>
      <c r="K102" s="23"/>
      <c r="L102" s="24"/>
      <c r="M102" s="25"/>
      <c r="N102" s="24"/>
      <c r="O102" s="24"/>
      <c r="P102" s="22"/>
      <c r="Q102" s="26"/>
      <c r="R102" s="26"/>
      <c r="S102" s="22"/>
      <c r="T102" s="22"/>
      <c r="U102" s="27"/>
    </row>
    <row r="103" spans="1:21" x14ac:dyDescent="0.25">
      <c r="A103" s="28"/>
      <c r="B103" s="29"/>
      <c r="C103" s="21"/>
      <c r="D103" s="20"/>
      <c r="F103" s="22"/>
      <c r="G103" s="22"/>
      <c r="H103" s="22"/>
      <c r="I103" s="22"/>
      <c r="J103" s="22"/>
      <c r="K103" s="23"/>
      <c r="L103" s="24"/>
      <c r="M103" s="25"/>
      <c r="N103" s="24"/>
      <c r="O103" s="24"/>
      <c r="P103" s="22"/>
      <c r="Q103" s="26"/>
      <c r="R103" s="26"/>
      <c r="S103" s="22"/>
      <c r="T103" s="22"/>
      <c r="U103" s="27"/>
    </row>
    <row r="104" spans="1:21" x14ac:dyDescent="0.25">
      <c r="A104" s="28"/>
      <c r="B104" s="29"/>
      <c r="C104" s="21"/>
      <c r="D104" s="20"/>
      <c r="F104" s="22"/>
      <c r="G104" s="22"/>
      <c r="H104" s="22"/>
      <c r="I104" s="22"/>
      <c r="J104" s="22"/>
      <c r="K104" s="23"/>
      <c r="L104" s="24"/>
      <c r="M104" s="25"/>
      <c r="N104" s="24"/>
      <c r="O104" s="24"/>
      <c r="P104" s="22"/>
      <c r="Q104" s="26"/>
      <c r="R104" s="26"/>
      <c r="S104" s="22"/>
      <c r="T104" s="22"/>
      <c r="U104" s="27"/>
    </row>
    <row r="105" spans="1:21" x14ac:dyDescent="0.25">
      <c r="A105" s="28"/>
      <c r="B105" s="29"/>
      <c r="C105" s="21"/>
      <c r="D105" s="20"/>
      <c r="F105" s="22"/>
      <c r="G105" s="22"/>
      <c r="H105" s="22"/>
      <c r="I105" s="22"/>
      <c r="J105" s="22"/>
      <c r="K105" s="23"/>
      <c r="L105" s="24"/>
      <c r="M105" s="25"/>
      <c r="N105" s="24"/>
      <c r="O105" s="24"/>
      <c r="P105" s="22"/>
      <c r="Q105" s="26"/>
      <c r="R105" s="26"/>
      <c r="S105" s="22"/>
      <c r="T105" s="22"/>
      <c r="U105" s="27"/>
    </row>
    <row r="106" spans="1:21" x14ac:dyDescent="0.25">
      <c r="A106" s="28"/>
      <c r="B106" s="29"/>
      <c r="C106" s="21"/>
      <c r="D106" s="20"/>
      <c r="F106" s="22"/>
      <c r="G106" s="22"/>
      <c r="H106" s="22"/>
      <c r="I106" s="22"/>
      <c r="J106" s="22"/>
      <c r="K106" s="23"/>
      <c r="L106" s="24"/>
      <c r="M106" s="25"/>
      <c r="N106" s="24"/>
      <c r="O106" s="24"/>
      <c r="P106" s="22"/>
      <c r="Q106" s="26"/>
      <c r="R106" s="26"/>
      <c r="S106" s="22"/>
      <c r="T106" s="22"/>
      <c r="U106" s="27"/>
    </row>
    <row r="107" spans="1:21" x14ac:dyDescent="0.25">
      <c r="A107" s="28"/>
      <c r="B107" s="29"/>
      <c r="C107" s="21"/>
      <c r="D107" s="20"/>
      <c r="F107" s="22"/>
      <c r="G107" s="22"/>
      <c r="H107" s="22"/>
      <c r="I107" s="22"/>
      <c r="J107" s="22"/>
      <c r="K107" s="23"/>
      <c r="L107" s="24"/>
      <c r="M107" s="25"/>
      <c r="N107" s="24"/>
      <c r="O107" s="24"/>
      <c r="P107" s="22"/>
      <c r="Q107" s="26"/>
      <c r="R107" s="26"/>
      <c r="S107" s="22"/>
      <c r="T107" s="22"/>
      <c r="U107" s="27"/>
    </row>
    <row r="108" spans="1:21" x14ac:dyDescent="0.25">
      <c r="A108" s="28"/>
      <c r="B108" s="29"/>
      <c r="C108" s="21"/>
      <c r="D108" s="20"/>
      <c r="F108" s="22"/>
      <c r="G108" s="22"/>
      <c r="H108" s="22"/>
      <c r="I108" s="22"/>
      <c r="J108" s="22"/>
      <c r="K108" s="23"/>
      <c r="L108" s="24"/>
      <c r="M108" s="25"/>
      <c r="N108" s="24"/>
      <c r="O108" s="24"/>
      <c r="P108" s="22"/>
      <c r="Q108" s="26"/>
      <c r="R108" s="26"/>
      <c r="S108" s="22"/>
      <c r="T108" s="22"/>
      <c r="U108" s="27"/>
    </row>
    <row r="109" spans="1:21" x14ac:dyDescent="0.25">
      <c r="A109" s="28"/>
      <c r="B109" s="29"/>
      <c r="C109" s="21"/>
      <c r="D109" s="20"/>
      <c r="F109" s="22"/>
      <c r="G109" s="22"/>
      <c r="H109" s="22"/>
      <c r="I109" s="22"/>
      <c r="J109" s="22"/>
      <c r="K109" s="23"/>
      <c r="L109" s="24"/>
      <c r="M109" s="25"/>
      <c r="N109" s="24"/>
      <c r="O109" s="24"/>
      <c r="P109" s="22"/>
      <c r="Q109" s="26"/>
      <c r="R109" s="26"/>
      <c r="S109" s="22"/>
      <c r="T109" s="22"/>
      <c r="U109" s="27"/>
    </row>
    <row r="110" spans="1:21" x14ac:dyDescent="0.25">
      <c r="A110" s="28"/>
      <c r="B110" s="29"/>
      <c r="C110" s="21"/>
      <c r="D110" s="20"/>
      <c r="F110" s="22"/>
      <c r="G110" s="22"/>
      <c r="H110" s="22"/>
      <c r="I110" s="22"/>
      <c r="J110" s="22"/>
      <c r="K110" s="23"/>
      <c r="L110" s="24"/>
      <c r="M110" s="25"/>
      <c r="N110" s="24"/>
      <c r="O110" s="24"/>
      <c r="P110" s="22"/>
      <c r="Q110" s="26"/>
      <c r="R110" s="26"/>
      <c r="S110" s="22"/>
      <c r="T110" s="22"/>
      <c r="U110" s="27"/>
    </row>
    <row r="111" spans="1:21" x14ac:dyDescent="0.25">
      <c r="A111" s="28"/>
      <c r="B111" s="29"/>
      <c r="C111" s="21"/>
      <c r="D111" s="20"/>
      <c r="F111" s="22"/>
      <c r="G111" s="22"/>
      <c r="H111" s="22"/>
      <c r="I111" s="22"/>
      <c r="J111" s="22"/>
      <c r="K111" s="23"/>
      <c r="L111" s="24"/>
      <c r="M111" s="25"/>
      <c r="N111" s="24"/>
      <c r="O111" s="24"/>
      <c r="P111" s="22"/>
      <c r="Q111" s="26"/>
      <c r="R111" s="26"/>
      <c r="S111" s="22"/>
      <c r="T111" s="22"/>
      <c r="U111" s="27"/>
    </row>
    <row r="112" spans="1:21" x14ac:dyDescent="0.25">
      <c r="A112" s="28"/>
      <c r="B112" s="29"/>
      <c r="C112" s="21"/>
      <c r="D112" s="20"/>
      <c r="F112" s="22"/>
      <c r="G112" s="22"/>
      <c r="H112" s="22"/>
      <c r="I112" s="22"/>
      <c r="J112" s="22"/>
      <c r="K112" s="23"/>
      <c r="L112" s="24"/>
      <c r="M112" s="25"/>
      <c r="N112" s="24"/>
      <c r="O112" s="24"/>
      <c r="P112" s="22"/>
      <c r="Q112" s="26"/>
      <c r="R112" s="26"/>
      <c r="S112" s="22"/>
      <c r="T112" s="22"/>
      <c r="U112" s="27"/>
    </row>
    <row r="113" spans="1:21" x14ac:dyDescent="0.25">
      <c r="A113" s="28"/>
      <c r="B113" s="29"/>
      <c r="C113" s="21"/>
      <c r="D113" s="20"/>
      <c r="F113" s="22"/>
      <c r="G113" s="22"/>
      <c r="H113" s="22"/>
      <c r="I113" s="22"/>
      <c r="J113" s="22"/>
      <c r="K113" s="23"/>
      <c r="L113" s="24"/>
      <c r="M113" s="25"/>
      <c r="N113" s="24"/>
      <c r="O113" s="24"/>
      <c r="P113" s="22"/>
      <c r="Q113" s="26"/>
      <c r="R113" s="26"/>
      <c r="S113" s="22"/>
      <c r="T113" s="22"/>
      <c r="U113" s="27"/>
    </row>
    <row r="114" spans="1:21" x14ac:dyDescent="0.25">
      <c r="A114" s="28"/>
      <c r="B114" s="29"/>
      <c r="C114" s="21"/>
      <c r="D114" s="20"/>
      <c r="F114" s="22"/>
      <c r="G114" s="22"/>
      <c r="H114" s="22"/>
      <c r="I114" s="22"/>
      <c r="J114" s="22"/>
      <c r="K114" s="23"/>
      <c r="L114" s="24"/>
      <c r="M114" s="25"/>
      <c r="N114" s="24"/>
      <c r="O114" s="24"/>
      <c r="P114" s="22"/>
      <c r="Q114" s="26"/>
      <c r="R114" s="26"/>
      <c r="S114" s="22"/>
      <c r="T114" s="22"/>
      <c r="U114" s="27"/>
    </row>
    <row r="115" spans="1:21" x14ac:dyDescent="0.25">
      <c r="A115" s="28"/>
      <c r="B115" s="29"/>
      <c r="C115" s="21"/>
      <c r="D115" s="20"/>
      <c r="F115" s="22"/>
      <c r="G115" s="22"/>
      <c r="H115" s="22"/>
      <c r="I115" s="22"/>
      <c r="J115" s="22"/>
      <c r="K115" s="23"/>
      <c r="L115" s="24"/>
      <c r="M115" s="25"/>
      <c r="N115" s="24"/>
      <c r="O115" s="24"/>
      <c r="P115" s="22"/>
      <c r="Q115" s="26"/>
      <c r="R115" s="26"/>
      <c r="S115" s="22"/>
      <c r="T115" s="22"/>
      <c r="U115" s="27"/>
    </row>
    <row r="116" spans="1:21" x14ac:dyDescent="0.25">
      <c r="A116" s="28"/>
      <c r="B116" s="29"/>
      <c r="C116" s="21"/>
      <c r="D116" s="20"/>
      <c r="F116" s="22"/>
      <c r="G116" s="22"/>
      <c r="H116" s="22"/>
      <c r="I116" s="22"/>
      <c r="J116" s="22"/>
      <c r="K116" s="23"/>
      <c r="L116" s="24"/>
      <c r="M116" s="25"/>
      <c r="N116" s="24"/>
      <c r="O116" s="24"/>
      <c r="P116" s="22"/>
      <c r="Q116" s="26"/>
      <c r="R116" s="26"/>
      <c r="S116" s="22"/>
      <c r="T116" s="22"/>
      <c r="U116" s="27"/>
    </row>
    <row r="117" spans="1:21" x14ac:dyDescent="0.25">
      <c r="A117" s="28"/>
      <c r="B117" s="29"/>
      <c r="C117" s="21"/>
      <c r="D117" s="20"/>
      <c r="F117" s="22"/>
      <c r="G117" s="22"/>
      <c r="H117" s="22"/>
      <c r="I117" s="22"/>
      <c r="J117" s="22"/>
      <c r="K117" s="23"/>
      <c r="L117" s="24"/>
      <c r="M117" s="25"/>
      <c r="N117" s="24"/>
      <c r="O117" s="24"/>
      <c r="P117" s="22"/>
      <c r="Q117" s="26"/>
      <c r="R117" s="26"/>
      <c r="S117" s="22"/>
      <c r="T117" s="22"/>
      <c r="U117" s="27"/>
    </row>
    <row r="118" spans="1:21" x14ac:dyDescent="0.25">
      <c r="A118" s="28"/>
      <c r="B118" s="29"/>
      <c r="C118" s="21"/>
      <c r="D118" s="20"/>
      <c r="F118" s="22"/>
      <c r="G118" s="22"/>
      <c r="H118" s="22"/>
      <c r="I118" s="22"/>
      <c r="J118" s="22"/>
      <c r="K118" s="23"/>
      <c r="L118" s="24"/>
      <c r="M118" s="25"/>
      <c r="N118" s="24"/>
      <c r="O118" s="24"/>
      <c r="P118" s="22"/>
      <c r="Q118" s="26"/>
      <c r="R118" s="26"/>
      <c r="S118" s="22"/>
      <c r="T118" s="22"/>
      <c r="U118" s="27"/>
    </row>
    <row r="119" spans="1:21" x14ac:dyDescent="0.25">
      <c r="A119" s="28"/>
      <c r="B119" s="29"/>
      <c r="C119" s="21"/>
      <c r="D119" s="20"/>
      <c r="F119" s="22"/>
      <c r="G119" s="22"/>
      <c r="H119" s="22"/>
      <c r="I119" s="22"/>
      <c r="J119" s="22"/>
      <c r="K119" s="23"/>
      <c r="L119" s="24"/>
      <c r="M119" s="25"/>
      <c r="N119" s="24"/>
      <c r="O119" s="24"/>
      <c r="P119" s="22"/>
      <c r="Q119" s="26"/>
      <c r="R119" s="26"/>
      <c r="S119" s="22"/>
      <c r="T119" s="22"/>
      <c r="U119" s="27"/>
    </row>
    <row r="120" spans="1:21" x14ac:dyDescent="0.25">
      <c r="A120" s="28"/>
      <c r="B120" s="29"/>
      <c r="C120" s="21"/>
      <c r="D120" s="20"/>
      <c r="F120" s="22"/>
      <c r="G120" s="22"/>
      <c r="H120" s="22"/>
      <c r="I120" s="22"/>
      <c r="J120" s="22"/>
      <c r="K120" s="23"/>
      <c r="L120" s="24"/>
      <c r="M120" s="25"/>
      <c r="N120" s="24"/>
      <c r="O120" s="24"/>
      <c r="P120" s="22"/>
      <c r="Q120" s="26"/>
      <c r="R120" s="26"/>
      <c r="S120" s="22"/>
      <c r="T120" s="22"/>
      <c r="U120" s="27"/>
    </row>
    <row r="121" spans="1:21" x14ac:dyDescent="0.25">
      <c r="A121" s="28"/>
      <c r="B121" s="29"/>
      <c r="C121" s="21"/>
      <c r="D121" s="20"/>
      <c r="F121" s="22"/>
      <c r="G121" s="22"/>
      <c r="H121" s="22"/>
      <c r="I121" s="22"/>
      <c r="J121" s="22"/>
      <c r="K121" s="23"/>
      <c r="L121" s="24"/>
      <c r="M121" s="25"/>
      <c r="N121" s="24"/>
      <c r="O121" s="24"/>
      <c r="P121" s="22"/>
      <c r="Q121" s="26"/>
      <c r="R121" s="26"/>
      <c r="S121" s="22"/>
      <c r="T121" s="22"/>
      <c r="U121" s="27"/>
    </row>
    <row r="122" spans="1:21" x14ac:dyDescent="0.25">
      <c r="A122" s="28"/>
      <c r="B122" s="29"/>
      <c r="C122" s="21"/>
      <c r="D122" s="20"/>
      <c r="F122" s="22"/>
      <c r="G122" s="22"/>
      <c r="H122" s="22"/>
      <c r="I122" s="22"/>
      <c r="J122" s="22"/>
      <c r="K122" s="23"/>
      <c r="L122" s="24"/>
      <c r="M122" s="25"/>
      <c r="N122" s="24"/>
      <c r="O122" s="24"/>
      <c r="P122" s="22"/>
      <c r="Q122" s="26"/>
      <c r="R122" s="26"/>
      <c r="S122" s="22"/>
      <c r="T122" s="22"/>
      <c r="U122" s="27"/>
    </row>
    <row r="123" spans="1:21" x14ac:dyDescent="0.25">
      <c r="A123" s="28"/>
      <c r="B123" s="29"/>
      <c r="C123" s="21"/>
      <c r="D123" s="20"/>
      <c r="F123" s="22"/>
      <c r="G123" s="22"/>
      <c r="H123" s="22"/>
      <c r="I123" s="22"/>
      <c r="J123" s="22"/>
      <c r="K123" s="23"/>
      <c r="L123" s="24"/>
      <c r="M123" s="25"/>
      <c r="N123" s="24"/>
      <c r="O123" s="24"/>
      <c r="P123" s="22"/>
      <c r="Q123" s="26"/>
      <c r="R123" s="26"/>
      <c r="S123" s="22"/>
      <c r="T123" s="22"/>
      <c r="U123" s="27"/>
    </row>
    <row r="124" spans="1:21" x14ac:dyDescent="0.25">
      <c r="A124" s="28"/>
      <c r="B124" s="29"/>
      <c r="C124" s="21"/>
      <c r="D124" s="20"/>
      <c r="F124" s="22"/>
      <c r="G124" s="22"/>
      <c r="H124" s="22"/>
      <c r="I124" s="22"/>
      <c r="J124" s="22"/>
      <c r="K124" s="23"/>
      <c r="L124" s="24"/>
      <c r="M124" s="25"/>
      <c r="N124" s="24"/>
      <c r="O124" s="24"/>
      <c r="P124" s="22"/>
      <c r="Q124" s="26"/>
      <c r="R124" s="26"/>
      <c r="S124" s="22"/>
      <c r="T124" s="22"/>
      <c r="U124" s="27"/>
    </row>
    <row r="125" spans="1:21" x14ac:dyDescent="0.25">
      <c r="A125" s="28"/>
      <c r="B125" s="29"/>
      <c r="C125" s="21"/>
      <c r="D125" s="20"/>
      <c r="F125" s="22"/>
      <c r="G125" s="22"/>
      <c r="H125" s="22"/>
      <c r="I125" s="22"/>
      <c r="J125" s="22"/>
      <c r="K125" s="23"/>
      <c r="L125" s="24"/>
      <c r="M125" s="25"/>
      <c r="N125" s="24"/>
      <c r="O125" s="24"/>
      <c r="P125" s="22"/>
      <c r="Q125" s="26"/>
      <c r="R125" s="26"/>
      <c r="S125" s="22"/>
      <c r="T125" s="22"/>
      <c r="U125" s="27"/>
    </row>
    <row r="126" spans="1:21" x14ac:dyDescent="0.25">
      <c r="A126" s="28"/>
      <c r="B126" s="29"/>
      <c r="C126" s="21"/>
      <c r="D126" s="20"/>
      <c r="F126" s="22"/>
      <c r="G126" s="22"/>
      <c r="H126" s="22"/>
      <c r="I126" s="22"/>
      <c r="J126" s="22"/>
      <c r="K126" s="23"/>
      <c r="L126" s="24"/>
      <c r="M126" s="25"/>
      <c r="N126" s="24"/>
      <c r="O126" s="24"/>
      <c r="P126" s="22"/>
      <c r="Q126" s="26"/>
      <c r="R126" s="26"/>
      <c r="S126" s="22"/>
      <c r="T126" s="22"/>
      <c r="U126" s="27"/>
    </row>
    <row r="127" spans="1:21" x14ac:dyDescent="0.25">
      <c r="A127" s="28"/>
      <c r="B127" s="29"/>
      <c r="C127" s="21"/>
      <c r="D127" s="20"/>
      <c r="F127" s="22"/>
      <c r="G127" s="22"/>
      <c r="H127" s="22"/>
      <c r="I127" s="22"/>
      <c r="J127" s="22"/>
      <c r="K127" s="23"/>
      <c r="L127" s="24"/>
      <c r="M127" s="25"/>
      <c r="N127" s="24"/>
      <c r="O127" s="24"/>
      <c r="P127" s="22"/>
      <c r="Q127" s="26"/>
      <c r="R127" s="26"/>
      <c r="S127" s="22"/>
      <c r="T127" s="22"/>
      <c r="U127" s="27"/>
    </row>
    <row r="128" spans="1:21" x14ac:dyDescent="0.25">
      <c r="A128" s="28"/>
      <c r="B128" s="29"/>
      <c r="C128" s="21"/>
      <c r="D128" s="20"/>
      <c r="F128" s="22"/>
      <c r="G128" s="22"/>
      <c r="H128" s="22"/>
      <c r="I128" s="22"/>
      <c r="J128" s="22"/>
      <c r="K128" s="23"/>
      <c r="L128" s="24"/>
      <c r="M128" s="25"/>
      <c r="N128" s="24"/>
      <c r="O128" s="24"/>
      <c r="P128" s="22"/>
      <c r="Q128" s="26"/>
      <c r="R128" s="26"/>
      <c r="S128" s="22"/>
      <c r="T128" s="22"/>
      <c r="U128" s="27"/>
    </row>
    <row r="129" spans="1:21" x14ac:dyDescent="0.25">
      <c r="A129" s="28"/>
      <c r="B129" s="29"/>
      <c r="C129" s="21"/>
      <c r="D129" s="20"/>
      <c r="F129" s="22"/>
      <c r="G129" s="22"/>
      <c r="H129" s="22"/>
      <c r="I129" s="22"/>
      <c r="J129" s="22"/>
      <c r="K129" s="23"/>
      <c r="L129" s="24"/>
      <c r="M129" s="25"/>
      <c r="N129" s="24"/>
      <c r="O129" s="24"/>
      <c r="P129" s="22"/>
      <c r="Q129" s="26"/>
      <c r="R129" s="26"/>
      <c r="S129" s="22"/>
      <c r="T129" s="22"/>
      <c r="U129" s="27"/>
    </row>
    <row r="130" spans="1:21" x14ac:dyDescent="0.25">
      <c r="A130" s="28"/>
      <c r="B130" s="29"/>
      <c r="C130" s="21"/>
      <c r="D130" s="20"/>
      <c r="F130" s="22"/>
      <c r="G130" s="22"/>
      <c r="H130" s="22"/>
      <c r="I130" s="22"/>
      <c r="J130" s="22"/>
      <c r="K130" s="23"/>
      <c r="L130" s="24"/>
      <c r="M130" s="25"/>
      <c r="N130" s="24"/>
      <c r="O130" s="24"/>
      <c r="P130" s="22"/>
      <c r="Q130" s="26"/>
      <c r="R130" s="26"/>
      <c r="S130" s="22"/>
      <c r="T130" s="22"/>
      <c r="U130" s="27"/>
    </row>
    <row r="131" spans="1:21" x14ac:dyDescent="0.25">
      <c r="A131" s="28"/>
      <c r="B131" s="29"/>
      <c r="C131" s="21"/>
      <c r="D131" s="20"/>
      <c r="F131" s="22"/>
      <c r="G131" s="22"/>
      <c r="H131" s="22"/>
      <c r="I131" s="22"/>
      <c r="J131" s="22"/>
      <c r="K131" s="23"/>
      <c r="L131" s="24"/>
      <c r="M131" s="25"/>
      <c r="N131" s="24"/>
      <c r="O131" s="24"/>
      <c r="P131" s="22"/>
      <c r="Q131" s="26"/>
      <c r="R131" s="26"/>
      <c r="S131" s="22"/>
      <c r="T131" s="22"/>
      <c r="U131" s="27"/>
    </row>
    <row r="132" spans="1:21" x14ac:dyDescent="0.25">
      <c r="A132" s="28"/>
      <c r="B132" s="29"/>
      <c r="C132" s="21"/>
      <c r="D132" s="20"/>
      <c r="F132" s="22"/>
      <c r="G132" s="22"/>
      <c r="H132" s="22"/>
      <c r="I132" s="22"/>
      <c r="J132" s="22"/>
      <c r="K132" s="23"/>
      <c r="L132" s="24"/>
      <c r="M132" s="25"/>
      <c r="N132" s="24"/>
      <c r="O132" s="24"/>
      <c r="P132" s="22"/>
      <c r="Q132" s="26"/>
      <c r="R132" s="26"/>
      <c r="S132" s="22"/>
      <c r="T132" s="22"/>
      <c r="U132" s="27"/>
    </row>
    <row r="133" spans="1:21" x14ac:dyDescent="0.25">
      <c r="A133" s="28"/>
      <c r="B133" s="29"/>
      <c r="C133" s="21"/>
      <c r="D133" s="20"/>
      <c r="F133" s="22"/>
      <c r="G133" s="22"/>
      <c r="H133" s="22"/>
      <c r="I133" s="22"/>
      <c r="J133" s="22"/>
      <c r="K133" s="23"/>
      <c r="L133" s="24"/>
      <c r="M133" s="25"/>
      <c r="N133" s="24"/>
      <c r="O133" s="24"/>
      <c r="P133" s="22"/>
      <c r="Q133" s="26"/>
      <c r="R133" s="26"/>
      <c r="S133" s="22"/>
      <c r="T133" s="22"/>
      <c r="U133" s="27"/>
    </row>
    <row r="134" spans="1:21" x14ac:dyDescent="0.25">
      <c r="A134" s="28"/>
      <c r="B134" s="29"/>
      <c r="C134" s="21"/>
      <c r="D134" s="20"/>
      <c r="F134" s="22"/>
      <c r="G134" s="22"/>
      <c r="H134" s="22"/>
      <c r="I134" s="22"/>
      <c r="J134" s="22"/>
      <c r="K134" s="23"/>
      <c r="L134" s="24"/>
      <c r="M134" s="25"/>
      <c r="N134" s="24"/>
      <c r="O134" s="24"/>
      <c r="P134" s="22"/>
      <c r="Q134" s="26"/>
      <c r="R134" s="26"/>
      <c r="S134" s="22"/>
      <c r="T134" s="22"/>
      <c r="U134" s="27"/>
    </row>
    <row r="135" spans="1:21" x14ac:dyDescent="0.25">
      <c r="A135" s="28"/>
      <c r="B135" s="29"/>
      <c r="C135" s="21"/>
      <c r="D135" s="20"/>
      <c r="F135" s="22"/>
      <c r="G135" s="22"/>
      <c r="H135" s="22"/>
      <c r="I135" s="22"/>
      <c r="J135" s="22"/>
      <c r="K135" s="23"/>
      <c r="L135" s="24"/>
      <c r="M135" s="25"/>
      <c r="N135" s="24"/>
      <c r="O135" s="24"/>
      <c r="P135" s="22"/>
      <c r="Q135" s="26"/>
      <c r="R135" s="26"/>
      <c r="S135" s="22"/>
      <c r="T135" s="22"/>
      <c r="U135" s="27"/>
    </row>
    <row r="136" spans="1:21" x14ac:dyDescent="0.25">
      <c r="A136" s="28"/>
      <c r="B136" s="29"/>
      <c r="C136" s="21"/>
      <c r="D136" s="20"/>
      <c r="F136" s="22"/>
      <c r="G136" s="22"/>
      <c r="H136" s="22"/>
      <c r="I136" s="22"/>
      <c r="J136" s="22"/>
      <c r="K136" s="23"/>
      <c r="L136" s="24"/>
      <c r="M136" s="25"/>
      <c r="N136" s="24"/>
      <c r="O136" s="24"/>
      <c r="P136" s="22"/>
      <c r="Q136" s="26"/>
      <c r="R136" s="26"/>
      <c r="S136" s="22"/>
      <c r="T136" s="22"/>
      <c r="U136" s="27"/>
    </row>
    <row r="137" spans="1:21" x14ac:dyDescent="0.25">
      <c r="A137" s="28"/>
      <c r="B137" s="29"/>
      <c r="C137" s="21"/>
      <c r="D137" s="20"/>
      <c r="F137" s="22"/>
      <c r="G137" s="22"/>
      <c r="H137" s="22"/>
      <c r="I137" s="22"/>
      <c r="J137" s="22"/>
      <c r="K137" s="23"/>
      <c r="L137" s="24"/>
      <c r="M137" s="25"/>
      <c r="N137" s="24"/>
      <c r="O137" s="24"/>
      <c r="P137" s="22"/>
      <c r="Q137" s="26"/>
      <c r="R137" s="26"/>
      <c r="S137" s="22"/>
      <c r="T137" s="22"/>
      <c r="U137" s="27"/>
    </row>
    <row r="138" spans="1:21" x14ac:dyDescent="0.25">
      <c r="A138" s="28"/>
      <c r="B138" s="29"/>
      <c r="C138" s="21"/>
      <c r="D138" s="20"/>
      <c r="F138" s="22"/>
      <c r="G138" s="22"/>
      <c r="H138" s="22"/>
      <c r="I138" s="22"/>
      <c r="J138" s="22"/>
      <c r="K138" s="23"/>
      <c r="L138" s="24"/>
      <c r="M138" s="25"/>
      <c r="N138" s="24"/>
      <c r="O138" s="24"/>
      <c r="P138" s="22"/>
      <c r="Q138" s="26"/>
      <c r="R138" s="26"/>
      <c r="S138" s="22"/>
      <c r="T138" s="22"/>
      <c r="U138" s="27"/>
    </row>
    <row r="139" spans="1:21" x14ac:dyDescent="0.25">
      <c r="A139" s="28"/>
      <c r="B139" s="29"/>
      <c r="C139" s="21"/>
      <c r="D139" s="20"/>
      <c r="F139" s="22"/>
      <c r="G139" s="22"/>
      <c r="H139" s="22"/>
      <c r="I139" s="22"/>
      <c r="J139" s="22"/>
      <c r="K139" s="23"/>
      <c r="L139" s="24"/>
      <c r="M139" s="25"/>
      <c r="N139" s="24"/>
      <c r="O139" s="24"/>
      <c r="P139" s="22"/>
      <c r="Q139" s="26"/>
      <c r="R139" s="26"/>
      <c r="S139" s="22"/>
      <c r="T139" s="22"/>
      <c r="U139" s="27"/>
    </row>
    <row r="140" spans="1:21" x14ac:dyDescent="0.25">
      <c r="A140" s="28"/>
      <c r="B140" s="29"/>
      <c r="C140" s="21"/>
      <c r="D140" s="20"/>
      <c r="F140" s="22"/>
      <c r="G140" s="22"/>
      <c r="H140" s="22"/>
      <c r="I140" s="22"/>
      <c r="J140" s="22"/>
      <c r="K140" s="23"/>
      <c r="L140" s="24"/>
      <c r="M140" s="25"/>
      <c r="N140" s="24"/>
      <c r="O140" s="24"/>
      <c r="P140" s="22"/>
      <c r="Q140" s="26"/>
      <c r="R140" s="26"/>
      <c r="S140" s="22"/>
      <c r="T140" s="22"/>
      <c r="U140" s="27"/>
    </row>
    <row r="141" spans="1:21" x14ac:dyDescent="0.25">
      <c r="A141" s="28"/>
      <c r="B141" s="29"/>
      <c r="C141" s="21"/>
      <c r="D141" s="20"/>
      <c r="F141" s="22"/>
      <c r="G141" s="22"/>
      <c r="H141" s="22"/>
      <c r="I141" s="22"/>
      <c r="J141" s="22"/>
      <c r="K141" s="23"/>
      <c r="L141" s="24"/>
      <c r="M141" s="25"/>
      <c r="N141" s="24"/>
      <c r="O141" s="24"/>
      <c r="P141" s="22"/>
      <c r="Q141" s="26"/>
      <c r="R141" s="26"/>
      <c r="S141" s="22"/>
      <c r="T141" s="22"/>
      <c r="U141" s="27"/>
    </row>
    <row r="142" spans="1:21" x14ac:dyDescent="0.25">
      <c r="A142" s="28"/>
      <c r="B142" s="29"/>
      <c r="C142" s="21"/>
      <c r="D142" s="20"/>
      <c r="F142" s="22"/>
      <c r="G142" s="22"/>
      <c r="H142" s="22"/>
      <c r="I142" s="22"/>
      <c r="J142" s="22"/>
      <c r="K142" s="23"/>
      <c r="L142" s="24"/>
      <c r="M142" s="25"/>
      <c r="N142" s="24"/>
      <c r="O142" s="24"/>
      <c r="P142" s="22"/>
      <c r="Q142" s="26"/>
      <c r="R142" s="26"/>
      <c r="S142" s="22"/>
      <c r="T142" s="22"/>
      <c r="U142" s="27"/>
    </row>
    <row r="143" spans="1:21" x14ac:dyDescent="0.25">
      <c r="A143" s="28"/>
      <c r="B143" s="29"/>
      <c r="C143" s="21"/>
      <c r="D143" s="20"/>
      <c r="F143" s="22"/>
      <c r="G143" s="22"/>
      <c r="H143" s="22"/>
      <c r="I143" s="22"/>
      <c r="J143" s="22"/>
      <c r="K143" s="23"/>
      <c r="L143" s="24"/>
      <c r="M143" s="25"/>
      <c r="N143" s="24"/>
      <c r="O143" s="24"/>
      <c r="P143" s="22"/>
      <c r="Q143" s="26"/>
      <c r="R143" s="26"/>
      <c r="S143" s="22"/>
      <c r="T143" s="22"/>
      <c r="U143" s="27"/>
    </row>
    <row r="144" spans="1:21" x14ac:dyDescent="0.25">
      <c r="A144" s="28"/>
      <c r="B144" s="29"/>
      <c r="C144" s="21"/>
      <c r="D144" s="20"/>
      <c r="F144" s="22"/>
      <c r="G144" s="22"/>
      <c r="H144" s="22"/>
      <c r="I144" s="22"/>
      <c r="J144" s="22"/>
      <c r="K144" s="23"/>
      <c r="L144" s="24"/>
      <c r="M144" s="25"/>
      <c r="N144" s="24"/>
      <c r="O144" s="24"/>
      <c r="P144" s="22"/>
      <c r="Q144" s="26"/>
      <c r="R144" s="26"/>
      <c r="S144" s="22"/>
      <c r="T144" s="22"/>
      <c r="U144" s="27"/>
    </row>
    <row r="145" spans="1:21" x14ac:dyDescent="0.25">
      <c r="A145" s="28"/>
      <c r="B145" s="29"/>
      <c r="C145" s="21"/>
      <c r="D145" s="20"/>
      <c r="F145" s="22"/>
      <c r="G145" s="22"/>
      <c r="H145" s="22"/>
      <c r="I145" s="22"/>
      <c r="J145" s="22"/>
      <c r="K145" s="23"/>
      <c r="L145" s="24"/>
      <c r="M145" s="25"/>
      <c r="N145" s="24"/>
      <c r="O145" s="24"/>
      <c r="P145" s="22"/>
      <c r="Q145" s="26"/>
      <c r="R145" s="26"/>
      <c r="S145" s="22"/>
      <c r="T145" s="22"/>
      <c r="U145" s="27"/>
    </row>
    <row r="146" spans="1:21" x14ac:dyDescent="0.25">
      <c r="A146" s="28"/>
      <c r="B146" s="29"/>
      <c r="C146" s="21"/>
      <c r="D146" s="20"/>
      <c r="F146" s="22"/>
      <c r="G146" s="22"/>
      <c r="H146" s="22"/>
      <c r="I146" s="22"/>
      <c r="J146" s="22"/>
      <c r="K146" s="23"/>
      <c r="L146" s="24"/>
      <c r="M146" s="25"/>
      <c r="N146" s="24"/>
      <c r="O146" s="24"/>
      <c r="P146" s="22"/>
      <c r="Q146" s="26"/>
      <c r="R146" s="26"/>
      <c r="S146" s="22"/>
      <c r="T146" s="22"/>
      <c r="U146" s="27"/>
    </row>
    <row r="147" spans="1:21" x14ac:dyDescent="0.25">
      <c r="A147" s="28"/>
      <c r="B147" s="29"/>
      <c r="C147" s="21"/>
      <c r="D147" s="20"/>
      <c r="F147" s="22"/>
      <c r="G147" s="22"/>
      <c r="H147" s="22"/>
      <c r="I147" s="22"/>
      <c r="J147" s="22"/>
      <c r="K147" s="23"/>
      <c r="L147" s="24"/>
      <c r="M147" s="25"/>
      <c r="N147" s="24"/>
      <c r="O147" s="24"/>
      <c r="P147" s="22"/>
      <c r="Q147" s="26"/>
      <c r="R147" s="26"/>
      <c r="S147" s="22"/>
      <c r="T147" s="22"/>
      <c r="U147" s="27"/>
    </row>
    <row r="148" spans="1:21" x14ac:dyDescent="0.25">
      <c r="A148" s="28"/>
      <c r="B148" s="29"/>
      <c r="C148" s="21"/>
      <c r="D148" s="20"/>
      <c r="F148" s="22"/>
      <c r="G148" s="22"/>
      <c r="H148" s="22"/>
      <c r="I148" s="22"/>
      <c r="J148" s="22"/>
      <c r="K148" s="23"/>
      <c r="L148" s="24"/>
      <c r="M148" s="25"/>
      <c r="N148" s="24"/>
      <c r="O148" s="24"/>
      <c r="P148" s="22"/>
      <c r="Q148" s="26"/>
      <c r="R148" s="26"/>
      <c r="S148" s="22"/>
      <c r="T148" s="22"/>
      <c r="U148" s="27"/>
    </row>
    <row r="149" spans="1:21" x14ac:dyDescent="0.25">
      <c r="A149" s="28"/>
      <c r="B149" s="29"/>
      <c r="C149" s="21"/>
      <c r="D149" s="20"/>
      <c r="F149" s="22"/>
      <c r="G149" s="22"/>
      <c r="H149" s="22"/>
      <c r="I149" s="22"/>
      <c r="J149" s="22"/>
      <c r="K149" s="23"/>
      <c r="L149" s="24"/>
      <c r="M149" s="25"/>
      <c r="N149" s="24"/>
      <c r="O149" s="24"/>
      <c r="P149" s="22"/>
      <c r="Q149" s="26"/>
      <c r="R149" s="26"/>
      <c r="S149" s="22"/>
      <c r="T149" s="22"/>
      <c r="U149" s="27"/>
    </row>
    <row r="150" spans="1:21" x14ac:dyDescent="0.25">
      <c r="A150" s="28"/>
      <c r="B150" s="29"/>
      <c r="C150" s="21"/>
      <c r="D150" s="20"/>
      <c r="F150" s="22"/>
      <c r="G150" s="22"/>
      <c r="H150" s="22"/>
      <c r="I150" s="22"/>
      <c r="J150" s="22"/>
      <c r="K150" s="23"/>
      <c r="L150" s="24"/>
      <c r="M150" s="25"/>
      <c r="N150" s="24"/>
      <c r="O150" s="24"/>
      <c r="P150" s="22"/>
      <c r="Q150" s="26"/>
      <c r="R150" s="26"/>
      <c r="S150" s="22"/>
      <c r="T150" s="22"/>
      <c r="U150" s="27"/>
    </row>
    <row r="151" spans="1:21" x14ac:dyDescent="0.25">
      <c r="A151" s="28"/>
      <c r="B151" s="29"/>
      <c r="C151" s="21"/>
      <c r="D151" s="20"/>
      <c r="F151" s="22"/>
      <c r="G151" s="22"/>
      <c r="H151" s="22"/>
      <c r="I151" s="22"/>
      <c r="J151" s="22"/>
      <c r="K151" s="23"/>
      <c r="L151" s="24"/>
      <c r="M151" s="25"/>
      <c r="N151" s="24"/>
      <c r="O151" s="24"/>
      <c r="P151" s="22"/>
      <c r="Q151" s="26"/>
      <c r="R151" s="26"/>
      <c r="S151" s="22"/>
      <c r="T151" s="22"/>
      <c r="U151" s="27"/>
    </row>
    <row r="152" spans="1:21" x14ac:dyDescent="0.25">
      <c r="A152" s="28"/>
      <c r="B152" s="29"/>
      <c r="C152" s="21"/>
      <c r="D152" s="20"/>
      <c r="F152" s="22"/>
      <c r="G152" s="22"/>
      <c r="H152" s="22"/>
      <c r="I152" s="22"/>
      <c r="J152" s="22"/>
      <c r="K152" s="23"/>
      <c r="L152" s="24"/>
      <c r="M152" s="25"/>
      <c r="N152" s="24"/>
      <c r="O152" s="24"/>
      <c r="P152" s="22"/>
      <c r="Q152" s="26"/>
      <c r="R152" s="26"/>
      <c r="S152" s="22"/>
      <c r="T152" s="22"/>
      <c r="U152" s="27"/>
    </row>
    <row r="153" spans="1:21" x14ac:dyDescent="0.25">
      <c r="A153" s="28"/>
      <c r="B153" s="29"/>
      <c r="C153" s="21"/>
      <c r="D153" s="20"/>
      <c r="F153" s="22"/>
      <c r="G153" s="22"/>
      <c r="H153" s="22"/>
      <c r="I153" s="22"/>
      <c r="J153" s="22"/>
      <c r="K153" s="23"/>
      <c r="L153" s="24"/>
      <c r="M153" s="25"/>
      <c r="N153" s="24"/>
      <c r="O153" s="24"/>
      <c r="P153" s="22"/>
      <c r="Q153" s="26"/>
      <c r="R153" s="26"/>
      <c r="S153" s="22"/>
      <c r="T153" s="22"/>
      <c r="U153" s="27"/>
    </row>
    <row r="154" spans="1:21" x14ac:dyDescent="0.25">
      <c r="A154" s="28"/>
      <c r="B154" s="29"/>
      <c r="C154" s="21"/>
      <c r="D154" s="20"/>
      <c r="F154" s="22"/>
      <c r="G154" s="22"/>
      <c r="H154" s="22"/>
      <c r="I154" s="22"/>
      <c r="J154" s="22"/>
      <c r="K154" s="23"/>
      <c r="L154" s="24"/>
      <c r="M154" s="25"/>
      <c r="N154" s="24"/>
      <c r="O154" s="24"/>
      <c r="P154" s="22"/>
      <c r="Q154" s="26"/>
      <c r="R154" s="26"/>
      <c r="S154" s="22"/>
      <c r="T154" s="22"/>
      <c r="U154" s="27"/>
    </row>
    <row r="155" spans="1:21" x14ac:dyDescent="0.25">
      <c r="A155" s="28"/>
      <c r="B155" s="29"/>
      <c r="C155" s="21"/>
      <c r="D155" s="20"/>
      <c r="F155" s="22"/>
      <c r="G155" s="22"/>
      <c r="H155" s="22"/>
      <c r="I155" s="22"/>
      <c r="J155" s="22"/>
      <c r="K155" s="23"/>
      <c r="L155" s="24"/>
      <c r="M155" s="25"/>
      <c r="N155" s="24"/>
      <c r="O155" s="24"/>
      <c r="P155" s="22"/>
      <c r="Q155" s="26"/>
      <c r="R155" s="26"/>
      <c r="S155" s="22"/>
      <c r="T155" s="22"/>
      <c r="U155" s="27"/>
    </row>
    <row r="156" spans="1:21" x14ac:dyDescent="0.25">
      <c r="A156" s="28"/>
      <c r="B156" s="29"/>
      <c r="C156" s="21"/>
      <c r="D156" s="20"/>
      <c r="F156" s="22"/>
      <c r="G156" s="22"/>
      <c r="H156" s="22"/>
      <c r="I156" s="22"/>
      <c r="J156" s="22"/>
      <c r="K156" s="23"/>
      <c r="L156" s="24"/>
      <c r="M156" s="25"/>
      <c r="N156" s="24"/>
      <c r="O156" s="24"/>
      <c r="P156" s="22"/>
      <c r="Q156" s="26"/>
      <c r="R156" s="26"/>
      <c r="S156" s="22"/>
      <c r="T156" s="22"/>
      <c r="U156" s="27"/>
    </row>
    <row r="157" spans="1:21" x14ac:dyDescent="0.25">
      <c r="K157" s="10"/>
      <c r="M157" s="30"/>
      <c r="R157" s="31"/>
    </row>
    <row r="158" spans="1:21" x14ac:dyDescent="0.25">
      <c r="A158" s="9" t="s">
        <v>251</v>
      </c>
      <c r="B158" s="9" t="s">
        <v>251</v>
      </c>
      <c r="C158" s="9" t="s">
        <v>251</v>
      </c>
      <c r="D158" s="9" t="s">
        <v>251</v>
      </c>
      <c r="E158" s="9" t="s">
        <v>251</v>
      </c>
      <c r="F158" s="9" t="s">
        <v>251</v>
      </c>
      <c r="G158" s="9" t="s">
        <v>251</v>
      </c>
      <c r="H158" s="9" t="s">
        <v>251</v>
      </c>
      <c r="I158" s="9" t="s">
        <v>251</v>
      </c>
      <c r="J158" s="9" t="s">
        <v>251</v>
      </c>
      <c r="K158" s="9" t="s">
        <v>251</v>
      </c>
      <c r="L158" s="9" t="s">
        <v>251</v>
      </c>
      <c r="M158" s="9" t="s">
        <v>251</v>
      </c>
      <c r="N158" s="9" t="s">
        <v>251</v>
      </c>
      <c r="O158" s="9" t="s">
        <v>251</v>
      </c>
      <c r="P158" s="9" t="s">
        <v>251</v>
      </c>
      <c r="Q158" s="9" t="s">
        <v>251</v>
      </c>
      <c r="R158" s="9" t="s">
        <v>251</v>
      </c>
      <c r="S158" s="9" t="s">
        <v>251</v>
      </c>
      <c r="T158" s="9" t="s">
        <v>251</v>
      </c>
      <c r="U158" s="9" t="s">
        <v>251</v>
      </c>
    </row>
    <row r="159" spans="1:21" x14ac:dyDescent="0.25">
      <c r="K159" s="10"/>
      <c r="M159" s="30"/>
      <c r="R159" s="31"/>
    </row>
    <row r="160" spans="1:21" x14ac:dyDescent="0.25">
      <c r="K160" s="10"/>
      <c r="M160" s="30"/>
      <c r="R160" s="31"/>
    </row>
    <row r="161" spans="11:18" x14ac:dyDescent="0.25">
      <c r="K161" s="10"/>
      <c r="M161" s="30"/>
      <c r="R161" s="31"/>
    </row>
    <row r="162" spans="11:18" x14ac:dyDescent="0.25">
      <c r="K162" s="10"/>
      <c r="M162" s="30"/>
      <c r="R162" s="31"/>
    </row>
    <row r="163" spans="11:18" x14ac:dyDescent="0.25">
      <c r="K163" s="10"/>
      <c r="M163" s="30"/>
      <c r="R163" s="31"/>
    </row>
    <row r="164" spans="11:18" x14ac:dyDescent="0.25">
      <c r="K164" s="10"/>
      <c r="M164" s="30"/>
      <c r="R164" s="31"/>
    </row>
    <row r="165" spans="11:18" x14ac:dyDescent="0.25">
      <c r="K165" s="10"/>
      <c r="M165" s="30"/>
      <c r="R165" s="31"/>
    </row>
    <row r="166" spans="11:18" x14ac:dyDescent="0.25">
      <c r="K166" s="10"/>
      <c r="M166" s="30"/>
      <c r="R166" s="31"/>
    </row>
    <row r="167" spans="11:18" x14ac:dyDescent="0.25">
      <c r="K167" s="10"/>
      <c r="M167" s="30"/>
      <c r="R167" s="31"/>
    </row>
    <row r="168" spans="11:18" x14ac:dyDescent="0.25">
      <c r="K168" s="10"/>
      <c r="M168" s="30"/>
      <c r="R168" s="31"/>
    </row>
    <row r="169" spans="11:18" x14ac:dyDescent="0.25">
      <c r="K169" s="10"/>
      <c r="M169" s="30"/>
      <c r="R169" s="31"/>
    </row>
    <row r="170" spans="11:18" x14ac:dyDescent="0.25">
      <c r="K170" s="10"/>
      <c r="M170" s="30"/>
      <c r="R170" s="31"/>
    </row>
    <row r="171" spans="11:18" x14ac:dyDescent="0.25">
      <c r="K171" s="10"/>
      <c r="M171" s="30"/>
      <c r="R171" s="31"/>
    </row>
    <row r="172" spans="11:18" x14ac:dyDescent="0.25">
      <c r="K172" s="10"/>
      <c r="M172" s="30"/>
      <c r="R172" s="31"/>
    </row>
    <row r="173" spans="11:18" x14ac:dyDescent="0.25">
      <c r="K173" s="10"/>
      <c r="M173" s="30"/>
      <c r="R173" s="31"/>
    </row>
    <row r="174" spans="11:18" x14ac:dyDescent="0.25">
      <c r="K174" s="10"/>
      <c r="M174" s="30"/>
      <c r="R174" s="31"/>
    </row>
    <row r="175" spans="11:18" x14ac:dyDescent="0.25">
      <c r="K175" s="10"/>
      <c r="M175" s="30"/>
      <c r="R175" s="31"/>
    </row>
    <row r="176" spans="11:18" x14ac:dyDescent="0.25">
      <c r="K176" s="10"/>
      <c r="M176" s="30"/>
      <c r="R176" s="31"/>
    </row>
    <row r="177" spans="11:18" x14ac:dyDescent="0.25">
      <c r="K177" s="10"/>
      <c r="M177" s="30"/>
      <c r="R177" s="31"/>
    </row>
    <row r="178" spans="11:18" x14ac:dyDescent="0.25">
      <c r="K178" s="10"/>
      <c r="M178" s="30"/>
      <c r="R178" s="31"/>
    </row>
    <row r="179" spans="11:18" x14ac:dyDescent="0.25">
      <c r="K179" s="10"/>
      <c r="M179" s="30"/>
      <c r="R179" s="31"/>
    </row>
    <row r="180" spans="11:18" x14ac:dyDescent="0.25">
      <c r="K180" s="10"/>
      <c r="M180" s="30"/>
      <c r="R180" s="31"/>
    </row>
    <row r="181" spans="11:18" x14ac:dyDescent="0.25">
      <c r="K181" s="10"/>
      <c r="M181" s="30"/>
      <c r="R181" s="31"/>
    </row>
    <row r="182" spans="11:18" x14ac:dyDescent="0.25">
      <c r="K182" s="10"/>
      <c r="M182" s="30"/>
      <c r="R182" s="31"/>
    </row>
    <row r="183" spans="11:18" x14ac:dyDescent="0.25">
      <c r="K183" s="10"/>
      <c r="M183" s="30"/>
      <c r="R183" s="31"/>
    </row>
    <row r="184" spans="11:18" x14ac:dyDescent="0.25">
      <c r="K184" s="10"/>
      <c r="M184" s="30"/>
      <c r="R184" s="31"/>
    </row>
    <row r="185" spans="11:18" x14ac:dyDescent="0.25">
      <c r="K185" s="10"/>
      <c r="M185" s="30"/>
      <c r="R185" s="31"/>
    </row>
    <row r="186" spans="11:18" x14ac:dyDescent="0.25">
      <c r="K186" s="10"/>
      <c r="M186" s="30"/>
      <c r="R186" s="31"/>
    </row>
    <row r="187" spans="11:18" x14ac:dyDescent="0.25">
      <c r="K187" s="10"/>
      <c r="M187" s="30"/>
      <c r="R187" s="31"/>
    </row>
    <row r="188" spans="11:18" x14ac:dyDescent="0.25">
      <c r="K188" s="10"/>
      <c r="M188" s="30"/>
      <c r="R188" s="31"/>
    </row>
    <row r="189" spans="11:18" x14ac:dyDescent="0.25">
      <c r="K189" s="10"/>
      <c r="M189" s="30"/>
      <c r="R189" s="31"/>
    </row>
    <row r="190" spans="11:18" x14ac:dyDescent="0.25">
      <c r="K190" s="10"/>
      <c r="M190" s="30"/>
      <c r="R190" s="31"/>
    </row>
    <row r="191" spans="11:18" x14ac:dyDescent="0.25">
      <c r="K191" s="10"/>
      <c r="M191" s="30"/>
      <c r="R191" s="31"/>
    </row>
    <row r="192" spans="11:18" x14ac:dyDescent="0.25">
      <c r="K192" s="10"/>
      <c r="M192" s="30"/>
      <c r="R192" s="31"/>
    </row>
    <row r="193" spans="11:18" x14ac:dyDescent="0.25">
      <c r="K193" s="10"/>
      <c r="M193" s="30"/>
      <c r="R193" s="31"/>
    </row>
    <row r="194" spans="11:18" x14ac:dyDescent="0.25">
      <c r="K194" s="10"/>
      <c r="M194" s="30"/>
      <c r="R194" s="31"/>
    </row>
    <row r="195" spans="11:18" x14ac:dyDescent="0.25">
      <c r="K195" s="10"/>
      <c r="M195" s="30"/>
      <c r="R195" s="31"/>
    </row>
    <row r="196" spans="11:18" x14ac:dyDescent="0.25">
      <c r="K196" s="10"/>
      <c r="M196" s="30"/>
      <c r="R196" s="31"/>
    </row>
    <row r="197" spans="11:18" x14ac:dyDescent="0.25">
      <c r="K197" s="10"/>
      <c r="M197" s="30"/>
      <c r="R197" s="31"/>
    </row>
    <row r="198" spans="11:18" x14ac:dyDescent="0.25">
      <c r="K198" s="10"/>
      <c r="M198" s="30"/>
      <c r="R198" s="31"/>
    </row>
    <row r="199" spans="11:18" x14ac:dyDescent="0.25">
      <c r="K199" s="10"/>
      <c r="M199" s="30"/>
      <c r="R199" s="31"/>
    </row>
    <row r="200" spans="11:18" x14ac:dyDescent="0.25">
      <c r="K200" s="10"/>
      <c r="M200" s="30"/>
      <c r="R200" s="31"/>
    </row>
    <row r="201" spans="11:18" x14ac:dyDescent="0.25">
      <c r="K201" s="10"/>
      <c r="M201" s="30"/>
      <c r="R201" s="31"/>
    </row>
    <row r="202" spans="11:18" x14ac:dyDescent="0.25">
      <c r="K202" s="10"/>
      <c r="M202" s="30"/>
      <c r="R202" s="31"/>
    </row>
    <row r="203" spans="11:18" x14ac:dyDescent="0.25">
      <c r="K203" s="10"/>
      <c r="M203" s="30"/>
      <c r="R203" s="31"/>
    </row>
    <row r="204" spans="11:18" x14ac:dyDescent="0.25">
      <c r="K204" s="10"/>
      <c r="M204" s="30"/>
      <c r="R204" s="31"/>
    </row>
    <row r="205" spans="11:18" x14ac:dyDescent="0.25">
      <c r="K205" s="10"/>
      <c r="M205" s="30"/>
      <c r="R205" s="31"/>
    </row>
    <row r="206" spans="11:18" x14ac:dyDescent="0.25">
      <c r="K206" s="10"/>
      <c r="M206" s="30"/>
      <c r="R206" s="31"/>
    </row>
    <row r="207" spans="11:18" x14ac:dyDescent="0.25">
      <c r="K207" s="10"/>
      <c r="M207" s="30"/>
      <c r="R207" s="31"/>
    </row>
    <row r="208" spans="11:18" x14ac:dyDescent="0.25">
      <c r="K208" s="10"/>
      <c r="M208" s="30"/>
      <c r="R208" s="31"/>
    </row>
    <row r="209" spans="11:18" x14ac:dyDescent="0.25">
      <c r="K209" s="10"/>
      <c r="M209" s="30"/>
      <c r="R209" s="31"/>
    </row>
    <row r="210" spans="11:18" x14ac:dyDescent="0.25">
      <c r="K210" s="10"/>
      <c r="M210" s="30"/>
      <c r="R210" s="31"/>
    </row>
    <row r="211" spans="11:18" x14ac:dyDescent="0.25">
      <c r="K211" s="10"/>
      <c r="M211" s="30"/>
      <c r="P211" s="32"/>
      <c r="R211" s="31"/>
    </row>
    <row r="212" spans="11:18" x14ac:dyDescent="0.25">
      <c r="K212" s="10"/>
      <c r="M212" s="30"/>
      <c r="R212" s="31"/>
    </row>
    <row r="213" spans="11:18" x14ac:dyDescent="0.25">
      <c r="K213" s="10"/>
      <c r="M213" s="30"/>
      <c r="R213" s="31"/>
    </row>
    <row r="214" spans="11:18" x14ac:dyDescent="0.25">
      <c r="K214" s="10"/>
      <c r="M214" s="30"/>
      <c r="R214" s="31"/>
    </row>
    <row r="215" spans="11:18" x14ac:dyDescent="0.25">
      <c r="K215" s="10"/>
      <c r="M215" s="30"/>
      <c r="R215" s="31"/>
    </row>
    <row r="216" spans="11:18" x14ac:dyDescent="0.25">
      <c r="K216" s="10"/>
      <c r="M216" s="30"/>
      <c r="R216" s="31"/>
    </row>
    <row r="217" spans="11:18" x14ac:dyDescent="0.25">
      <c r="K217" s="10"/>
      <c r="M217" s="30"/>
      <c r="R217" s="31"/>
    </row>
    <row r="218" spans="11:18" x14ac:dyDescent="0.25">
      <c r="K218" s="10"/>
      <c r="M218" s="30"/>
      <c r="R218" s="31"/>
    </row>
    <row r="219" spans="11:18" x14ac:dyDescent="0.25">
      <c r="K219" s="10"/>
      <c r="M219" s="30"/>
      <c r="R219" s="31"/>
    </row>
    <row r="220" spans="11:18" x14ac:dyDescent="0.25">
      <c r="K220" s="10"/>
      <c r="M220" s="30"/>
      <c r="R220" s="31"/>
    </row>
    <row r="221" spans="11:18" x14ac:dyDescent="0.25">
      <c r="K221" s="10"/>
      <c r="M221" s="30"/>
      <c r="R221" s="31"/>
    </row>
    <row r="222" spans="11:18" x14ac:dyDescent="0.25">
      <c r="K222" s="10"/>
      <c r="M222" s="30"/>
      <c r="R222" s="31"/>
    </row>
    <row r="223" spans="11:18" x14ac:dyDescent="0.25">
      <c r="K223" s="10"/>
      <c r="M223" s="30"/>
      <c r="R223" s="31"/>
    </row>
    <row r="224" spans="11:18" x14ac:dyDescent="0.25">
      <c r="K224" s="10"/>
      <c r="M224" s="30"/>
      <c r="R224" s="31"/>
    </row>
    <row r="225" spans="11:18" x14ac:dyDescent="0.25">
      <c r="K225" s="10"/>
      <c r="M225" s="30"/>
      <c r="R225" s="31"/>
    </row>
    <row r="226" spans="11:18" x14ac:dyDescent="0.25">
      <c r="K226" s="10"/>
      <c r="M226" s="30"/>
      <c r="R226" s="31"/>
    </row>
    <row r="227" spans="11:18" x14ac:dyDescent="0.25">
      <c r="K227" s="10"/>
      <c r="M227" s="30"/>
      <c r="R227" s="31"/>
    </row>
    <row r="228" spans="11:18" x14ac:dyDescent="0.25">
      <c r="K228" s="10"/>
      <c r="M228" s="30"/>
      <c r="R228" s="31"/>
    </row>
    <row r="229" spans="11:18" x14ac:dyDescent="0.25">
      <c r="K229" s="10"/>
      <c r="M229" s="30"/>
      <c r="R229" s="31"/>
    </row>
    <row r="230" spans="11:18" x14ac:dyDescent="0.25">
      <c r="K230" s="10"/>
      <c r="M230" s="30"/>
      <c r="R230" s="31"/>
    </row>
    <row r="231" spans="11:18" x14ac:dyDescent="0.25">
      <c r="K231" s="10"/>
      <c r="M231" s="30"/>
      <c r="R231" s="31"/>
    </row>
    <row r="232" spans="11:18" x14ac:dyDescent="0.25">
      <c r="K232" s="10"/>
      <c r="M232" s="30"/>
      <c r="R232" s="31"/>
    </row>
    <row r="233" spans="11:18" x14ac:dyDescent="0.25">
      <c r="K233" s="10"/>
      <c r="M233" s="30"/>
      <c r="R233" s="31"/>
    </row>
    <row r="234" spans="11:18" x14ac:dyDescent="0.25">
      <c r="K234" s="10"/>
      <c r="M234" s="30"/>
      <c r="R234" s="31"/>
    </row>
    <row r="235" spans="11:18" x14ac:dyDescent="0.25">
      <c r="K235" s="10"/>
      <c r="M235" s="30"/>
      <c r="R235" s="31"/>
    </row>
    <row r="236" spans="11:18" x14ac:dyDescent="0.25">
      <c r="K236" s="10"/>
      <c r="M236" s="30"/>
      <c r="R236" s="31"/>
    </row>
    <row r="237" spans="11:18" x14ac:dyDescent="0.25">
      <c r="K237" s="10"/>
      <c r="M237" s="30"/>
      <c r="R237" s="31"/>
    </row>
    <row r="238" spans="11:18" x14ac:dyDescent="0.25">
      <c r="K238" s="10"/>
      <c r="M238" s="30"/>
      <c r="R238" s="31"/>
    </row>
    <row r="239" spans="11:18" x14ac:dyDescent="0.25">
      <c r="K239" s="10"/>
      <c r="M239" s="30"/>
      <c r="R239" s="31"/>
    </row>
    <row r="240" spans="11:18" x14ac:dyDescent="0.25">
      <c r="K240" s="10"/>
      <c r="M240" s="30"/>
      <c r="R240" s="31"/>
    </row>
    <row r="241" spans="11:18" x14ac:dyDescent="0.25">
      <c r="K241" s="10"/>
      <c r="M241" s="30"/>
      <c r="R241" s="31"/>
    </row>
    <row r="242" spans="11:18" x14ac:dyDescent="0.25">
      <c r="K242" s="10"/>
      <c r="M242" s="30"/>
      <c r="R242" s="31"/>
    </row>
    <row r="243" spans="11:18" x14ac:dyDescent="0.25">
      <c r="K243" s="10"/>
      <c r="M243" s="30"/>
      <c r="R243" s="33"/>
    </row>
    <row r="244" spans="11:18" x14ac:dyDescent="0.25">
      <c r="K244" s="10"/>
      <c r="M244" s="30"/>
      <c r="R244" s="31"/>
    </row>
    <row r="245" spans="11:18" x14ac:dyDescent="0.25">
      <c r="K245" s="10"/>
      <c r="M245" s="30"/>
      <c r="R245" s="31"/>
    </row>
    <row r="246" spans="11:18" x14ac:dyDescent="0.25">
      <c r="K246" s="10"/>
      <c r="M246" s="30"/>
      <c r="R246" s="31"/>
    </row>
    <row r="247" spans="11:18" x14ac:dyDescent="0.25">
      <c r="K247" s="10"/>
      <c r="M247" s="30"/>
      <c r="R247" s="31"/>
    </row>
    <row r="248" spans="11:18" x14ac:dyDescent="0.25">
      <c r="K248" s="10"/>
      <c r="M248" s="30"/>
      <c r="R248" s="31"/>
    </row>
    <row r="249" spans="11:18" x14ac:dyDescent="0.25">
      <c r="K249" s="10"/>
      <c r="M249" s="30"/>
      <c r="R249" s="31"/>
    </row>
    <row r="250" spans="11:18" x14ac:dyDescent="0.25">
      <c r="K250" s="10"/>
      <c r="M250" s="30"/>
      <c r="R250" s="31"/>
    </row>
    <row r="251" spans="11:18" x14ac:dyDescent="0.25">
      <c r="K251" s="10"/>
      <c r="M251" s="30"/>
      <c r="R251" s="31"/>
    </row>
    <row r="252" spans="11:18" x14ac:dyDescent="0.25">
      <c r="K252" s="10"/>
      <c r="M252" s="30"/>
      <c r="R252" s="31"/>
    </row>
    <row r="253" spans="11:18" x14ac:dyDescent="0.25">
      <c r="K253" s="10"/>
      <c r="M253" s="30"/>
      <c r="R253" s="31"/>
    </row>
    <row r="254" spans="11:18" x14ac:dyDescent="0.25">
      <c r="K254" s="10"/>
      <c r="M254" s="30"/>
      <c r="R254" s="31"/>
    </row>
    <row r="255" spans="11:18" x14ac:dyDescent="0.25">
      <c r="K255" s="10"/>
      <c r="M255" s="30"/>
      <c r="R255" s="31"/>
    </row>
    <row r="256" spans="11:18" x14ac:dyDescent="0.25">
      <c r="K256" s="10"/>
      <c r="M256" s="30"/>
      <c r="R256" s="31"/>
    </row>
    <row r="257" spans="11:18" x14ac:dyDescent="0.25">
      <c r="K257" s="10"/>
      <c r="M257" s="30"/>
      <c r="R257" s="31"/>
    </row>
    <row r="258" spans="11:18" x14ac:dyDescent="0.25">
      <c r="K258" s="10"/>
      <c r="M258" s="30"/>
      <c r="R258" s="31"/>
    </row>
    <row r="259" spans="11:18" x14ac:dyDescent="0.25">
      <c r="K259" s="10"/>
      <c r="M259" s="30"/>
      <c r="R259" s="31"/>
    </row>
    <row r="260" spans="11:18" x14ac:dyDescent="0.25">
      <c r="K260" s="10"/>
      <c r="M260" s="30"/>
      <c r="R260" s="31"/>
    </row>
    <row r="261" spans="11:18" x14ac:dyDescent="0.25">
      <c r="K261" s="10"/>
      <c r="M261" s="30"/>
      <c r="R261" s="31"/>
    </row>
    <row r="262" spans="11:18" x14ac:dyDescent="0.25">
      <c r="K262" s="10"/>
      <c r="M262" s="30"/>
      <c r="R262" s="31"/>
    </row>
    <row r="263" spans="11:18" x14ac:dyDescent="0.25">
      <c r="K263" s="10"/>
      <c r="M263" s="30"/>
      <c r="R263" s="31"/>
    </row>
    <row r="264" spans="11:18" x14ac:dyDescent="0.25">
      <c r="K264" s="10"/>
      <c r="M264" s="30"/>
      <c r="R264" s="31"/>
    </row>
    <row r="265" spans="11:18" x14ac:dyDescent="0.25">
      <c r="K265" s="10"/>
      <c r="M265" s="30"/>
      <c r="R265" s="31"/>
    </row>
    <row r="266" spans="11:18" x14ac:dyDescent="0.25">
      <c r="K266" s="10"/>
      <c r="M266" s="30"/>
      <c r="R266" s="31"/>
    </row>
    <row r="267" spans="11:18" x14ac:dyDescent="0.25">
      <c r="K267" s="10"/>
      <c r="M267" s="30"/>
      <c r="R267" s="31"/>
    </row>
    <row r="268" spans="11:18" x14ac:dyDescent="0.25">
      <c r="K268" s="10"/>
      <c r="M268" s="30"/>
      <c r="R268" s="31"/>
    </row>
    <row r="269" spans="11:18" x14ac:dyDescent="0.25">
      <c r="K269" s="10"/>
      <c r="M269" s="30"/>
      <c r="R269" s="31"/>
    </row>
    <row r="270" spans="11:18" x14ac:dyDescent="0.25">
      <c r="K270" s="10"/>
      <c r="M270" s="30"/>
      <c r="R270" s="31"/>
    </row>
    <row r="271" spans="11:18" x14ac:dyDescent="0.25">
      <c r="K271" s="10"/>
      <c r="M271" s="30"/>
      <c r="R271" s="31"/>
    </row>
    <row r="272" spans="11:18" x14ac:dyDescent="0.25">
      <c r="K272" s="10"/>
      <c r="M272" s="30"/>
      <c r="R272" s="31"/>
    </row>
    <row r="273" spans="11:18" x14ac:dyDescent="0.25">
      <c r="K273" s="10"/>
      <c r="M273" s="30"/>
      <c r="R273" s="31"/>
    </row>
    <row r="274" spans="11:18" x14ac:dyDescent="0.25">
      <c r="K274" s="10"/>
      <c r="M274" s="30"/>
      <c r="R274" s="31"/>
    </row>
    <row r="275" spans="11:18" x14ac:dyDescent="0.25">
      <c r="K275" s="10"/>
      <c r="M275" s="30"/>
      <c r="R275" s="31"/>
    </row>
    <row r="276" spans="11:18" x14ac:dyDescent="0.25">
      <c r="K276" s="10"/>
      <c r="M276" s="30"/>
      <c r="R276" s="31"/>
    </row>
    <row r="277" spans="11:18" x14ac:dyDescent="0.25">
      <c r="K277" s="10"/>
      <c r="M277" s="30"/>
      <c r="R277" s="31"/>
    </row>
    <row r="278" spans="11:18" x14ac:dyDescent="0.25">
      <c r="K278" s="10"/>
      <c r="M278" s="30"/>
      <c r="R278" s="31"/>
    </row>
    <row r="279" spans="11:18" x14ac:dyDescent="0.25">
      <c r="K279" s="10"/>
      <c r="M279" s="30"/>
      <c r="R279" s="31"/>
    </row>
    <row r="280" spans="11:18" x14ac:dyDescent="0.25">
      <c r="K280" s="10"/>
      <c r="M280" s="30"/>
      <c r="R280" s="31"/>
    </row>
    <row r="281" spans="11:18" x14ac:dyDescent="0.25">
      <c r="K281" s="10"/>
      <c r="M281" s="30"/>
      <c r="R281" s="31"/>
    </row>
    <row r="282" spans="11:18" x14ac:dyDescent="0.25">
      <c r="K282" s="10"/>
      <c r="M282" s="30"/>
      <c r="R282" s="31"/>
    </row>
    <row r="283" spans="11:18" x14ac:dyDescent="0.25">
      <c r="K283" s="10"/>
      <c r="M283" s="30"/>
      <c r="R283" s="31"/>
    </row>
    <row r="284" spans="11:18" x14ac:dyDescent="0.25">
      <c r="K284" s="10"/>
      <c r="M284" s="30"/>
      <c r="R284" s="31"/>
    </row>
    <row r="285" spans="11:18" x14ac:dyDescent="0.25">
      <c r="K285" s="10"/>
      <c r="M285" s="30"/>
      <c r="R285" s="31"/>
    </row>
    <row r="286" spans="11:18" x14ac:dyDescent="0.25">
      <c r="K286" s="10"/>
      <c r="M286" s="30"/>
      <c r="R286" s="31"/>
    </row>
    <row r="287" spans="11:18" x14ac:dyDescent="0.25">
      <c r="K287" s="10"/>
      <c r="M287" s="30"/>
      <c r="R287" s="31"/>
    </row>
    <row r="288" spans="11:18" x14ac:dyDescent="0.25">
      <c r="K288" s="10"/>
      <c r="M288" s="30"/>
      <c r="R288" s="31"/>
    </row>
    <row r="289" spans="11:18" x14ac:dyDescent="0.25">
      <c r="K289" s="10"/>
      <c r="M289" s="30"/>
      <c r="R289" s="31"/>
    </row>
    <row r="290" spans="11:18" x14ac:dyDescent="0.25">
      <c r="K290" s="10"/>
      <c r="M290" s="30"/>
      <c r="R290" s="31"/>
    </row>
    <row r="291" spans="11:18" x14ac:dyDescent="0.25">
      <c r="K291" s="10"/>
      <c r="M291" s="30"/>
      <c r="R291" s="31"/>
    </row>
    <row r="292" spans="11:18" x14ac:dyDescent="0.25">
      <c r="K292" s="10"/>
      <c r="M292" s="30"/>
      <c r="R292" s="31"/>
    </row>
    <row r="293" spans="11:18" x14ac:dyDescent="0.25">
      <c r="K293" s="10"/>
      <c r="M293" s="30"/>
      <c r="R293" s="31"/>
    </row>
    <row r="294" spans="11:18" x14ac:dyDescent="0.25">
      <c r="K294" s="10"/>
      <c r="M294" s="30"/>
      <c r="R294" s="31"/>
    </row>
    <row r="295" spans="11:18" x14ac:dyDescent="0.25">
      <c r="K295" s="10"/>
      <c r="M295" s="30"/>
      <c r="R295" s="31"/>
    </row>
    <row r="296" spans="11:18" x14ac:dyDescent="0.25">
      <c r="K296" s="10"/>
      <c r="M296" s="30"/>
      <c r="R296" s="31"/>
    </row>
    <row r="297" spans="11:18" x14ac:dyDescent="0.25">
      <c r="K297" s="10"/>
      <c r="M297" s="30"/>
      <c r="R297" s="31"/>
    </row>
    <row r="298" spans="11:18" x14ac:dyDescent="0.25">
      <c r="K298" s="10"/>
      <c r="M298" s="30"/>
      <c r="R298" s="31"/>
    </row>
    <row r="299" spans="11:18" x14ac:dyDescent="0.25">
      <c r="K299" s="10"/>
      <c r="M299" s="30"/>
      <c r="R299" s="31"/>
    </row>
    <row r="300" spans="11:18" x14ac:dyDescent="0.25">
      <c r="K300" s="10"/>
      <c r="M300" s="30"/>
      <c r="R300" s="31"/>
    </row>
    <row r="301" spans="11:18" x14ac:dyDescent="0.25">
      <c r="K301" s="10"/>
      <c r="M301" s="30"/>
      <c r="R301" s="31"/>
    </row>
    <row r="302" spans="11:18" x14ac:dyDescent="0.25">
      <c r="K302" s="10"/>
      <c r="M302" s="30"/>
      <c r="R302" s="31"/>
    </row>
    <row r="303" spans="11:18" x14ac:dyDescent="0.25">
      <c r="K303" s="10"/>
      <c r="M303" s="30"/>
      <c r="R303" s="31"/>
    </row>
    <row r="304" spans="11:18" x14ac:dyDescent="0.25">
      <c r="K304" s="10"/>
      <c r="M304" s="30"/>
      <c r="R304" s="31"/>
    </row>
    <row r="305" spans="11:18" x14ac:dyDescent="0.25">
      <c r="K305" s="10"/>
      <c r="M305" s="30"/>
      <c r="R305" s="31"/>
    </row>
    <row r="306" spans="11:18" x14ac:dyDescent="0.25">
      <c r="K306" s="10"/>
      <c r="M306" s="30"/>
      <c r="R306" s="31"/>
    </row>
    <row r="307" spans="11:18" x14ac:dyDescent="0.25">
      <c r="K307" s="10"/>
      <c r="M307" s="30"/>
      <c r="R307" s="31"/>
    </row>
    <row r="308" spans="11:18" x14ac:dyDescent="0.25">
      <c r="K308" s="10"/>
      <c r="M308" s="30"/>
      <c r="R308" s="31"/>
    </row>
    <row r="309" spans="11:18" x14ac:dyDescent="0.25">
      <c r="K309" s="10"/>
      <c r="M309" s="30"/>
      <c r="R309" s="31"/>
    </row>
    <row r="310" spans="11:18" x14ac:dyDescent="0.25">
      <c r="K310" s="10"/>
      <c r="M310" s="30"/>
      <c r="R310" s="31"/>
    </row>
    <row r="311" spans="11:18" x14ac:dyDescent="0.25">
      <c r="K311" s="10"/>
      <c r="M311" s="30"/>
      <c r="R311" s="31"/>
    </row>
    <row r="312" spans="11:18" x14ac:dyDescent="0.25">
      <c r="K312" s="10"/>
      <c r="M312" s="30"/>
      <c r="R312" s="31"/>
    </row>
    <row r="313" spans="11:18" x14ac:dyDescent="0.25">
      <c r="K313" s="10"/>
      <c r="M313" s="30"/>
      <c r="R313" s="31"/>
    </row>
    <row r="314" spans="11:18" x14ac:dyDescent="0.25">
      <c r="K314" s="10"/>
      <c r="M314" s="30"/>
      <c r="R314" s="31"/>
    </row>
    <row r="315" spans="11:18" x14ac:dyDescent="0.25">
      <c r="K315" s="10"/>
      <c r="M315" s="30"/>
      <c r="R315" s="31"/>
    </row>
    <row r="316" spans="11:18" x14ac:dyDescent="0.25">
      <c r="K316" s="10"/>
      <c r="M316" s="30"/>
      <c r="R316" s="31"/>
    </row>
    <row r="317" spans="11:18" x14ac:dyDescent="0.25">
      <c r="K317" s="10"/>
      <c r="M317" s="30"/>
      <c r="R317" s="31"/>
    </row>
    <row r="318" spans="11:18" x14ac:dyDescent="0.25">
      <c r="K318" s="10"/>
      <c r="M318" s="30"/>
      <c r="R318" s="31"/>
    </row>
    <row r="319" spans="11:18" x14ac:dyDescent="0.25">
      <c r="K319" s="10"/>
      <c r="M319" s="30"/>
      <c r="R319" s="31"/>
    </row>
    <row r="320" spans="11:18" x14ac:dyDescent="0.25">
      <c r="K320" s="10"/>
      <c r="M320" s="30"/>
      <c r="R320" s="31"/>
    </row>
    <row r="321" spans="11:18" x14ac:dyDescent="0.25">
      <c r="K321" s="10"/>
      <c r="M321" s="30"/>
      <c r="R321" s="31"/>
    </row>
    <row r="322" spans="11:18" x14ac:dyDescent="0.25">
      <c r="K322" s="10"/>
      <c r="M322" s="30"/>
      <c r="R322" s="31"/>
    </row>
    <row r="323" spans="11:18" x14ac:dyDescent="0.25">
      <c r="K323" s="10"/>
      <c r="M323" s="30"/>
      <c r="R323" s="31"/>
    </row>
    <row r="324" spans="11:18" x14ac:dyDescent="0.25">
      <c r="K324" s="10"/>
      <c r="M324" s="30"/>
      <c r="R324" s="31"/>
    </row>
    <row r="325" spans="11:18" x14ac:dyDescent="0.25">
      <c r="K325" s="10"/>
      <c r="M325" s="30"/>
      <c r="R325" s="31"/>
    </row>
    <row r="326" spans="11:18" x14ac:dyDescent="0.25">
      <c r="K326" s="10"/>
      <c r="M326" s="30"/>
      <c r="R326" s="31"/>
    </row>
    <row r="327" spans="11:18" x14ac:dyDescent="0.25">
      <c r="K327" s="10"/>
      <c r="M327" s="30"/>
      <c r="R327" s="31"/>
    </row>
    <row r="328" spans="11:18" x14ac:dyDescent="0.25">
      <c r="K328" s="10"/>
      <c r="M328" s="30"/>
      <c r="R328" s="31"/>
    </row>
    <row r="329" spans="11:18" x14ac:dyDescent="0.25">
      <c r="K329" s="10"/>
      <c r="M329" s="30"/>
      <c r="R329" s="31"/>
    </row>
    <row r="330" spans="11:18" x14ac:dyDescent="0.25">
      <c r="K330" s="10"/>
      <c r="M330" s="30"/>
      <c r="R330" s="31"/>
    </row>
    <row r="331" spans="11:18" x14ac:dyDescent="0.25">
      <c r="K331" s="10"/>
      <c r="M331" s="30"/>
      <c r="R331" s="31"/>
    </row>
    <row r="332" spans="11:18" x14ac:dyDescent="0.25">
      <c r="K332" s="10"/>
      <c r="M332" s="30"/>
      <c r="R332" s="31"/>
    </row>
    <row r="333" spans="11:18" x14ac:dyDescent="0.25">
      <c r="K333" s="10"/>
      <c r="M333" s="30"/>
      <c r="R333" s="31"/>
    </row>
    <row r="334" spans="11:18" x14ac:dyDescent="0.25">
      <c r="K334" s="10"/>
      <c r="M334" s="30"/>
      <c r="R334" s="31"/>
    </row>
    <row r="335" spans="11:18" x14ac:dyDescent="0.25">
      <c r="K335" s="10"/>
      <c r="M335" s="30"/>
      <c r="R335" s="31"/>
    </row>
    <row r="336" spans="11:18" x14ac:dyDescent="0.25">
      <c r="K336" s="10"/>
      <c r="M336" s="30"/>
      <c r="R336" s="31"/>
    </row>
    <row r="337" spans="11:18" x14ac:dyDescent="0.25">
      <c r="K337" s="10"/>
      <c r="M337" s="30"/>
      <c r="R337" s="31"/>
    </row>
    <row r="338" spans="11:18" x14ac:dyDescent="0.25">
      <c r="K338" s="10"/>
      <c r="M338" s="30"/>
      <c r="R338" s="31"/>
    </row>
    <row r="339" spans="11:18" x14ac:dyDescent="0.25">
      <c r="K339" s="10"/>
      <c r="M339" s="30"/>
      <c r="R339" s="31"/>
    </row>
    <row r="340" spans="11:18" x14ac:dyDescent="0.25">
      <c r="K340" s="10"/>
      <c r="M340" s="30"/>
      <c r="R340" s="31"/>
    </row>
    <row r="341" spans="11:18" x14ac:dyDescent="0.25">
      <c r="K341" s="10"/>
      <c r="M341" s="30"/>
      <c r="R341" s="31"/>
    </row>
    <row r="342" spans="11:18" x14ac:dyDescent="0.25">
      <c r="K342" s="10"/>
      <c r="M342" s="30"/>
      <c r="R342" s="31"/>
    </row>
    <row r="343" spans="11:18" x14ac:dyDescent="0.25">
      <c r="K343" s="10"/>
      <c r="M343" s="30"/>
      <c r="R343" s="31"/>
    </row>
    <row r="344" spans="11:18" x14ac:dyDescent="0.25">
      <c r="K344" s="10"/>
      <c r="M344" s="30"/>
      <c r="R344" s="31"/>
    </row>
    <row r="345" spans="11:18" x14ac:dyDescent="0.25">
      <c r="K345" s="10"/>
      <c r="M345" s="30"/>
      <c r="R345" s="31"/>
    </row>
    <row r="346" spans="11:18" x14ac:dyDescent="0.25">
      <c r="K346" s="10"/>
      <c r="M346" s="30"/>
      <c r="R346" s="31"/>
    </row>
    <row r="347" spans="11:18" x14ac:dyDescent="0.25">
      <c r="K347" s="10"/>
      <c r="M347" s="30"/>
      <c r="R347" s="31"/>
    </row>
    <row r="348" spans="11:18" x14ac:dyDescent="0.25">
      <c r="K348" s="10"/>
      <c r="M348" s="30"/>
      <c r="R348" s="31"/>
    </row>
    <row r="349" spans="11:18" x14ac:dyDescent="0.25">
      <c r="K349" s="10"/>
      <c r="M349" s="30"/>
      <c r="R349" s="31"/>
    </row>
    <row r="350" spans="11:18" x14ac:dyDescent="0.25">
      <c r="K350" s="10"/>
      <c r="M350" s="30"/>
      <c r="R350" s="31"/>
    </row>
    <row r="351" spans="11:18" x14ac:dyDescent="0.25">
      <c r="K351" s="10"/>
      <c r="M351" s="30"/>
      <c r="R351" s="31"/>
    </row>
    <row r="352" spans="11:18" x14ac:dyDescent="0.25">
      <c r="K352" s="10"/>
      <c r="M352" s="30"/>
      <c r="R352" s="31"/>
    </row>
    <row r="353" spans="11:18" x14ac:dyDescent="0.25">
      <c r="K353" s="10"/>
      <c r="M353" s="30"/>
      <c r="R353" s="31"/>
    </row>
    <row r="354" spans="11:18" x14ac:dyDescent="0.25">
      <c r="K354" s="10"/>
      <c r="M354" s="30"/>
      <c r="R354" s="31"/>
    </row>
    <row r="355" spans="11:18" x14ac:dyDescent="0.25">
      <c r="K355" s="10"/>
      <c r="M355" s="30"/>
      <c r="R355" s="31"/>
    </row>
    <row r="356" spans="11:18" x14ac:dyDescent="0.25">
      <c r="K356" s="10"/>
      <c r="M356" s="30"/>
      <c r="R356" s="31"/>
    </row>
    <row r="357" spans="11:18" x14ac:dyDescent="0.25">
      <c r="K357" s="10"/>
      <c r="M357" s="30"/>
      <c r="R357" s="31"/>
    </row>
    <row r="358" spans="11:18" x14ac:dyDescent="0.25">
      <c r="K358" s="10"/>
      <c r="M358" s="30"/>
      <c r="R358" s="31"/>
    </row>
    <row r="359" spans="11:18" x14ac:dyDescent="0.25">
      <c r="K359" s="10"/>
      <c r="M359" s="30"/>
      <c r="R359" s="31"/>
    </row>
    <row r="360" spans="11:18" x14ac:dyDescent="0.25">
      <c r="K360" s="10"/>
      <c r="M360" s="30"/>
      <c r="R360" s="31"/>
    </row>
    <row r="361" spans="11:18" x14ac:dyDescent="0.25">
      <c r="K361" s="10"/>
      <c r="M361" s="30"/>
      <c r="R361" s="31"/>
    </row>
    <row r="362" spans="11:18" x14ac:dyDescent="0.25">
      <c r="K362" s="10"/>
      <c r="M362" s="30"/>
      <c r="R362" s="31"/>
    </row>
    <row r="363" spans="11:18" x14ac:dyDescent="0.25">
      <c r="K363" s="10"/>
      <c r="M363" s="30"/>
      <c r="R363" s="31"/>
    </row>
    <row r="364" spans="11:18" x14ac:dyDescent="0.25">
      <c r="K364" s="10"/>
      <c r="M364" s="30"/>
      <c r="R364" s="31"/>
    </row>
    <row r="365" spans="11:18" x14ac:dyDescent="0.25">
      <c r="K365" s="10"/>
      <c r="M365" s="30"/>
      <c r="R365" s="31"/>
    </row>
    <row r="366" spans="11:18" x14ac:dyDescent="0.25">
      <c r="K366" s="10"/>
      <c r="M366" s="30"/>
      <c r="R366" s="31"/>
    </row>
    <row r="367" spans="11:18" x14ac:dyDescent="0.25">
      <c r="K367" s="10"/>
      <c r="M367" s="30"/>
      <c r="R367" s="31"/>
    </row>
    <row r="368" spans="11:18" x14ac:dyDescent="0.25">
      <c r="K368" s="10"/>
      <c r="M368" s="30"/>
      <c r="R368" s="31"/>
    </row>
    <row r="369" spans="11:18" x14ac:dyDescent="0.25">
      <c r="K369" s="10"/>
      <c r="M369" s="30"/>
      <c r="R369" s="31"/>
    </row>
    <row r="370" spans="11:18" x14ac:dyDescent="0.25">
      <c r="K370" s="10"/>
      <c r="M370" s="30"/>
      <c r="R370" s="31"/>
    </row>
    <row r="371" spans="11:18" x14ac:dyDescent="0.25">
      <c r="K371" s="10"/>
      <c r="M371" s="30"/>
      <c r="R371" s="31"/>
    </row>
    <row r="372" spans="11:18" x14ac:dyDescent="0.25">
      <c r="K372" s="10"/>
      <c r="M372" s="30"/>
      <c r="R372" s="31"/>
    </row>
    <row r="373" spans="11:18" x14ac:dyDescent="0.25">
      <c r="K373" s="10"/>
      <c r="M373" s="30"/>
      <c r="R373" s="31"/>
    </row>
    <row r="374" spans="11:18" x14ac:dyDescent="0.25">
      <c r="K374" s="10"/>
      <c r="M374" s="30"/>
      <c r="R374" s="31"/>
    </row>
    <row r="375" spans="11:18" x14ac:dyDescent="0.25">
      <c r="K375" s="10"/>
      <c r="M375" s="30"/>
      <c r="R375" s="31"/>
    </row>
    <row r="376" spans="11:18" x14ac:dyDescent="0.25">
      <c r="K376" s="10"/>
      <c r="M376" s="30"/>
      <c r="R376" s="31"/>
    </row>
    <row r="377" spans="11:18" x14ac:dyDescent="0.25">
      <c r="K377" s="10"/>
      <c r="M377" s="30"/>
      <c r="R377" s="31"/>
    </row>
    <row r="378" spans="11:18" x14ac:dyDescent="0.25">
      <c r="K378" s="10"/>
      <c r="M378" s="30"/>
      <c r="R378" s="31"/>
    </row>
    <row r="379" spans="11:18" x14ac:dyDescent="0.25">
      <c r="K379" s="10"/>
      <c r="M379" s="30"/>
      <c r="R379" s="31"/>
    </row>
    <row r="380" spans="11:18" x14ac:dyDescent="0.25">
      <c r="K380" s="10"/>
      <c r="M380" s="30"/>
      <c r="R380" s="31"/>
    </row>
    <row r="381" spans="11:18" x14ac:dyDescent="0.25">
      <c r="K381" s="10"/>
      <c r="M381" s="30"/>
      <c r="R381" s="31"/>
    </row>
    <row r="382" spans="11:18" x14ac:dyDescent="0.25">
      <c r="K382" s="10"/>
      <c r="M382" s="30"/>
      <c r="R382" s="31"/>
    </row>
    <row r="383" spans="11:18" x14ac:dyDescent="0.25">
      <c r="K383" s="10"/>
      <c r="M383" s="30"/>
      <c r="R383" s="31"/>
    </row>
    <row r="384" spans="11:18" x14ac:dyDescent="0.25">
      <c r="K384" s="10"/>
      <c r="M384" s="30"/>
      <c r="R384" s="31"/>
    </row>
    <row r="385" spans="11:18" x14ac:dyDescent="0.25">
      <c r="K385" s="10"/>
      <c r="M385" s="30"/>
      <c r="R385" s="31"/>
    </row>
    <row r="386" spans="11:18" x14ac:dyDescent="0.25">
      <c r="K386" s="10"/>
      <c r="M386" s="30"/>
      <c r="R386" s="31"/>
    </row>
    <row r="387" spans="11:18" x14ac:dyDescent="0.25">
      <c r="K387" s="10"/>
      <c r="M387" s="30"/>
      <c r="R387" s="31"/>
    </row>
    <row r="388" spans="11:18" x14ac:dyDescent="0.25">
      <c r="K388" s="10"/>
      <c r="M388" s="30"/>
      <c r="R388" s="31"/>
    </row>
    <row r="389" spans="11:18" x14ac:dyDescent="0.25">
      <c r="K389" s="10"/>
      <c r="M389" s="30"/>
      <c r="R389" s="31"/>
    </row>
    <row r="390" spans="11:18" x14ac:dyDescent="0.25">
      <c r="K390" s="10"/>
      <c r="M390" s="30"/>
      <c r="R390" s="31"/>
    </row>
    <row r="391" spans="11:18" x14ac:dyDescent="0.25">
      <c r="K391" s="10"/>
      <c r="M391" s="30"/>
      <c r="R391" s="31"/>
    </row>
    <row r="392" spans="11:18" x14ac:dyDescent="0.25">
      <c r="K392" s="10"/>
      <c r="M392" s="30"/>
      <c r="R392" s="31"/>
    </row>
    <row r="393" spans="11:18" x14ac:dyDescent="0.25">
      <c r="K393" s="10"/>
      <c r="M393" s="30"/>
      <c r="R393" s="31"/>
    </row>
    <row r="394" spans="11:18" x14ac:dyDescent="0.25">
      <c r="K394" s="10"/>
      <c r="M394" s="30"/>
      <c r="R394" s="31"/>
    </row>
    <row r="395" spans="11:18" x14ac:dyDescent="0.25">
      <c r="K395" s="10"/>
      <c r="M395" s="30"/>
      <c r="R395" s="31"/>
    </row>
    <row r="396" spans="11:18" x14ac:dyDescent="0.25">
      <c r="K396" s="10"/>
      <c r="M396" s="30"/>
      <c r="R396" s="31"/>
    </row>
    <row r="397" spans="11:18" x14ac:dyDescent="0.25">
      <c r="K397" s="10"/>
      <c r="M397" s="30"/>
      <c r="R397" s="31"/>
    </row>
    <row r="398" spans="11:18" x14ac:dyDescent="0.25">
      <c r="K398" s="10"/>
      <c r="M398" s="30"/>
      <c r="R398" s="31"/>
    </row>
    <row r="399" spans="11:18" x14ac:dyDescent="0.25">
      <c r="K399" s="10"/>
      <c r="M399" s="30"/>
      <c r="R399" s="31"/>
    </row>
    <row r="400" spans="11:18" x14ac:dyDescent="0.25">
      <c r="K400" s="10"/>
      <c r="M400" s="30"/>
      <c r="R400" s="31"/>
    </row>
    <row r="401" spans="11:18" x14ac:dyDescent="0.25">
      <c r="K401" s="10"/>
      <c r="M401" s="30"/>
      <c r="R401" s="31"/>
    </row>
    <row r="402" spans="11:18" x14ac:dyDescent="0.25">
      <c r="K402" s="10"/>
      <c r="M402" s="30"/>
      <c r="R402" s="31"/>
    </row>
    <row r="403" spans="11:18" x14ac:dyDescent="0.25">
      <c r="K403" s="10"/>
      <c r="M403" s="30"/>
      <c r="R403" s="31"/>
    </row>
    <row r="404" spans="11:18" x14ac:dyDescent="0.25">
      <c r="K404" s="10"/>
      <c r="M404" s="30"/>
      <c r="R404" s="31"/>
    </row>
    <row r="405" spans="11:18" x14ac:dyDescent="0.25">
      <c r="K405" s="10"/>
      <c r="M405" s="30"/>
      <c r="R405" s="31"/>
    </row>
    <row r="406" spans="11:18" x14ac:dyDescent="0.25">
      <c r="K406" s="10"/>
      <c r="M406" s="30"/>
      <c r="R406" s="31"/>
    </row>
    <row r="407" spans="11:18" x14ac:dyDescent="0.25">
      <c r="K407" s="10"/>
      <c r="M407" s="30"/>
      <c r="R407" s="31"/>
    </row>
    <row r="408" spans="11:18" x14ac:dyDescent="0.25">
      <c r="K408" s="10"/>
      <c r="M408" s="30"/>
      <c r="R408" s="31"/>
    </row>
    <row r="409" spans="11:18" x14ac:dyDescent="0.25">
      <c r="K409" s="10"/>
      <c r="M409" s="30"/>
      <c r="R409" s="31"/>
    </row>
    <row r="410" spans="11:18" x14ac:dyDescent="0.25">
      <c r="K410" s="10"/>
      <c r="M410" s="30"/>
      <c r="R410" s="31"/>
    </row>
    <row r="411" spans="11:18" x14ac:dyDescent="0.25">
      <c r="K411" s="10"/>
      <c r="M411" s="30"/>
      <c r="R411" s="31"/>
    </row>
    <row r="412" spans="11:18" x14ac:dyDescent="0.25">
      <c r="K412" s="10"/>
      <c r="M412" s="30"/>
      <c r="R412" s="31"/>
    </row>
    <row r="413" spans="11:18" x14ac:dyDescent="0.25">
      <c r="K413" s="10"/>
      <c r="M413" s="30"/>
      <c r="R413" s="31"/>
    </row>
    <row r="414" spans="11:18" x14ac:dyDescent="0.25">
      <c r="K414" s="10"/>
      <c r="M414" s="30"/>
      <c r="R414" s="31"/>
    </row>
    <row r="415" spans="11:18" x14ac:dyDescent="0.25">
      <c r="K415" s="10"/>
      <c r="M415" s="30"/>
      <c r="R415" s="31"/>
    </row>
    <row r="416" spans="11:18" x14ac:dyDescent="0.25">
      <c r="K416" s="10"/>
      <c r="M416" s="30"/>
      <c r="R416" s="31"/>
    </row>
    <row r="417" spans="11:18" x14ac:dyDescent="0.25">
      <c r="K417" s="10"/>
      <c r="M417" s="30"/>
      <c r="R417" s="31"/>
    </row>
    <row r="418" spans="11:18" x14ac:dyDescent="0.25">
      <c r="K418" s="10"/>
      <c r="M418" s="30"/>
      <c r="R418" s="31"/>
    </row>
    <row r="419" spans="11:18" x14ac:dyDescent="0.25">
      <c r="K419" s="10"/>
      <c r="M419" s="30"/>
      <c r="R419" s="31"/>
    </row>
    <row r="420" spans="11:18" x14ac:dyDescent="0.25">
      <c r="K420" s="10"/>
      <c r="M420" s="30"/>
      <c r="R420" s="31"/>
    </row>
    <row r="421" spans="11:18" x14ac:dyDescent="0.25">
      <c r="K421" s="10"/>
      <c r="M421" s="30"/>
      <c r="R421" s="31"/>
    </row>
    <row r="422" spans="11:18" x14ac:dyDescent="0.25">
      <c r="K422" s="10"/>
      <c r="M422" s="30"/>
      <c r="R422" s="31"/>
    </row>
    <row r="423" spans="11:18" x14ac:dyDescent="0.25">
      <c r="K423" s="10"/>
      <c r="M423" s="30"/>
      <c r="R423" s="31"/>
    </row>
    <row r="424" spans="11:18" x14ac:dyDescent="0.25">
      <c r="K424" s="10"/>
      <c r="M424" s="30"/>
      <c r="R424" s="31"/>
    </row>
    <row r="425" spans="11:18" x14ac:dyDescent="0.25">
      <c r="K425" s="10"/>
      <c r="M425" s="30"/>
      <c r="R425" s="31"/>
    </row>
    <row r="426" spans="11:18" x14ac:dyDescent="0.25">
      <c r="K426" s="10"/>
      <c r="M426" s="30"/>
      <c r="R426" s="31"/>
    </row>
    <row r="427" spans="11:18" x14ac:dyDescent="0.25">
      <c r="K427" s="10"/>
      <c r="M427" s="30"/>
      <c r="R427" s="31"/>
    </row>
    <row r="428" spans="11:18" x14ac:dyDescent="0.25">
      <c r="K428" s="10"/>
      <c r="M428" s="30"/>
      <c r="R428" s="31"/>
    </row>
    <row r="429" spans="11:18" x14ac:dyDescent="0.25">
      <c r="K429" s="10"/>
      <c r="M429" s="30"/>
      <c r="R429" s="31"/>
    </row>
    <row r="430" spans="11:18" x14ac:dyDescent="0.25">
      <c r="K430" s="10"/>
      <c r="M430" s="30"/>
      <c r="R430" s="31"/>
    </row>
    <row r="431" spans="11:18" x14ac:dyDescent="0.25">
      <c r="K431" s="10"/>
      <c r="M431" s="30"/>
      <c r="R431" s="31"/>
    </row>
    <row r="432" spans="11:18" x14ac:dyDescent="0.25">
      <c r="K432" s="10"/>
      <c r="M432" s="30"/>
      <c r="R432" s="31"/>
    </row>
    <row r="433" spans="11:18" x14ac:dyDescent="0.25">
      <c r="K433" s="10"/>
      <c r="M433" s="30"/>
      <c r="R433" s="31"/>
    </row>
    <row r="434" spans="11:18" x14ac:dyDescent="0.25">
      <c r="K434" s="10"/>
      <c r="M434" s="30"/>
      <c r="R434" s="31"/>
    </row>
    <row r="435" spans="11:18" x14ac:dyDescent="0.25">
      <c r="K435" s="10"/>
      <c r="M435" s="30"/>
      <c r="R435" s="31"/>
    </row>
    <row r="436" spans="11:18" x14ac:dyDescent="0.25">
      <c r="K436" s="10"/>
      <c r="M436" s="30"/>
      <c r="R436" s="31"/>
    </row>
    <row r="437" spans="11:18" x14ac:dyDescent="0.25">
      <c r="K437" s="10"/>
      <c r="M437" s="30"/>
      <c r="R437" s="31"/>
    </row>
    <row r="438" spans="11:18" x14ac:dyDescent="0.25">
      <c r="K438" s="10"/>
      <c r="M438" s="30"/>
      <c r="R438" s="31"/>
    </row>
    <row r="439" spans="11:18" x14ac:dyDescent="0.25">
      <c r="K439" s="10"/>
      <c r="M439" s="30"/>
      <c r="R439" s="31"/>
    </row>
    <row r="440" spans="11:18" x14ac:dyDescent="0.25">
      <c r="K440" s="10"/>
      <c r="M440" s="30"/>
      <c r="R440" s="31"/>
    </row>
    <row r="441" spans="11:18" x14ac:dyDescent="0.25">
      <c r="K441" s="10"/>
      <c r="M441" s="30"/>
      <c r="R441" s="31"/>
    </row>
    <row r="442" spans="11:18" x14ac:dyDescent="0.25">
      <c r="K442" s="10"/>
      <c r="M442" s="30"/>
      <c r="R442" s="31"/>
    </row>
    <row r="443" spans="11:18" x14ac:dyDescent="0.25">
      <c r="K443" s="10"/>
      <c r="M443" s="30"/>
      <c r="R443" s="31"/>
    </row>
    <row r="444" spans="11:18" x14ac:dyDescent="0.25">
      <c r="K444" s="10"/>
      <c r="M444" s="30"/>
      <c r="R444" s="31"/>
    </row>
    <row r="445" spans="11:18" x14ac:dyDescent="0.25">
      <c r="K445" s="10"/>
      <c r="M445" s="30"/>
      <c r="R445" s="31"/>
    </row>
    <row r="446" spans="11:18" x14ac:dyDescent="0.25">
      <c r="K446" s="10"/>
      <c r="M446" s="30"/>
      <c r="R446" s="31"/>
    </row>
    <row r="447" spans="11:18" x14ac:dyDescent="0.25">
      <c r="K447" s="10"/>
      <c r="M447" s="30"/>
      <c r="R447" s="31"/>
    </row>
    <row r="448" spans="11:18" x14ac:dyDescent="0.25">
      <c r="K448" s="10"/>
      <c r="M448" s="30"/>
      <c r="R448" s="31"/>
    </row>
    <row r="449" spans="8:18" x14ac:dyDescent="0.25">
      <c r="K449" s="10"/>
      <c r="M449" s="30"/>
      <c r="R449" s="31"/>
    </row>
    <row r="450" spans="8:18" x14ac:dyDescent="0.25">
      <c r="K450" s="10"/>
      <c r="M450" s="30"/>
      <c r="R450" s="31"/>
    </row>
    <row r="451" spans="8:18" x14ac:dyDescent="0.25">
      <c r="H451" s="34"/>
      <c r="K451" s="10"/>
      <c r="M451" s="30"/>
      <c r="R451" s="31"/>
    </row>
    <row r="452" spans="8:18" x14ac:dyDescent="0.25">
      <c r="H452" s="34"/>
      <c r="K452" s="10"/>
      <c r="M452" s="30"/>
      <c r="R452" s="31"/>
    </row>
    <row r="453" spans="8:18" x14ac:dyDescent="0.25">
      <c r="H453" s="34"/>
      <c r="K453" s="10"/>
      <c r="M453" s="30"/>
      <c r="R453" s="31"/>
    </row>
    <row r="454" spans="8:18" x14ac:dyDescent="0.25">
      <c r="H454" s="34"/>
      <c r="K454" s="10"/>
      <c r="M454" s="30"/>
      <c r="R454" s="31"/>
    </row>
    <row r="455" spans="8:18" x14ac:dyDescent="0.25">
      <c r="K455" s="10"/>
      <c r="M455" s="30"/>
      <c r="R455" s="31"/>
    </row>
    <row r="456" spans="8:18" x14ac:dyDescent="0.25">
      <c r="K456" s="10"/>
      <c r="M456" s="30"/>
      <c r="R456" s="31"/>
    </row>
    <row r="457" spans="8:18" x14ac:dyDescent="0.25">
      <c r="K457" s="10"/>
      <c r="M457" s="30"/>
      <c r="R457" s="31"/>
    </row>
    <row r="458" spans="8:18" x14ac:dyDescent="0.25">
      <c r="K458" s="10"/>
      <c r="M458" s="30"/>
      <c r="R458" s="31"/>
    </row>
    <row r="459" spans="8:18" x14ac:dyDescent="0.25">
      <c r="K459" s="10"/>
      <c r="M459" s="30"/>
      <c r="R459" s="31"/>
    </row>
    <row r="460" spans="8:18" x14ac:dyDescent="0.25">
      <c r="K460" s="10"/>
      <c r="M460" s="30"/>
      <c r="R460" s="31"/>
    </row>
    <row r="461" spans="8:18" x14ac:dyDescent="0.25">
      <c r="K461" s="10"/>
      <c r="M461" s="30"/>
      <c r="R461" s="31"/>
    </row>
    <row r="462" spans="8:18" x14ac:dyDescent="0.25">
      <c r="K462" s="10"/>
      <c r="M462" s="30"/>
      <c r="R462" s="31"/>
    </row>
    <row r="463" spans="8:18" x14ac:dyDescent="0.25">
      <c r="K463" s="10"/>
      <c r="M463" s="30"/>
      <c r="R463" s="31"/>
    </row>
    <row r="464" spans="8:18" x14ac:dyDescent="0.25">
      <c r="K464" s="10"/>
      <c r="M464" s="30"/>
      <c r="R464" s="31"/>
    </row>
    <row r="465" spans="11:18" x14ac:dyDescent="0.25">
      <c r="K465" s="10"/>
      <c r="M465" s="30"/>
      <c r="R465" s="31"/>
    </row>
    <row r="466" spans="11:18" x14ac:dyDescent="0.25">
      <c r="K466" s="10"/>
      <c r="M466" s="30"/>
      <c r="R466" s="31"/>
    </row>
    <row r="467" spans="11:18" x14ac:dyDescent="0.25">
      <c r="K467" s="10"/>
      <c r="M467" s="30"/>
      <c r="R467" s="31"/>
    </row>
    <row r="468" spans="11:18" x14ac:dyDescent="0.25">
      <c r="K468" s="10"/>
      <c r="M468" s="30"/>
      <c r="R468" s="31"/>
    </row>
    <row r="469" spans="11:18" x14ac:dyDescent="0.25">
      <c r="K469" s="10"/>
      <c r="M469" s="30"/>
      <c r="R469" s="31"/>
    </row>
    <row r="470" spans="11:18" x14ac:dyDescent="0.25">
      <c r="K470" s="10"/>
      <c r="M470" s="30"/>
      <c r="R470" s="31"/>
    </row>
    <row r="471" spans="11:18" x14ac:dyDescent="0.25">
      <c r="K471" s="10"/>
      <c r="M471" s="30"/>
      <c r="R471" s="31"/>
    </row>
    <row r="472" spans="11:18" x14ac:dyDescent="0.25">
      <c r="K472" s="10"/>
      <c r="M472" s="30"/>
      <c r="R472" s="31"/>
    </row>
    <row r="473" spans="11:18" x14ac:dyDescent="0.25">
      <c r="K473" s="10"/>
      <c r="M473" s="30"/>
      <c r="R473" s="31"/>
    </row>
    <row r="474" spans="11:18" x14ac:dyDescent="0.25">
      <c r="K474" s="10"/>
      <c r="M474" s="30"/>
      <c r="R474" s="31"/>
    </row>
    <row r="475" spans="11:18" x14ac:dyDescent="0.25">
      <c r="K475" s="10"/>
      <c r="M475" s="30"/>
      <c r="R475" s="31"/>
    </row>
    <row r="476" spans="11:18" x14ac:dyDescent="0.25">
      <c r="K476" s="10"/>
      <c r="M476" s="30"/>
      <c r="R476" s="31"/>
    </row>
    <row r="477" spans="11:18" x14ac:dyDescent="0.25">
      <c r="K477" s="10"/>
      <c r="M477" s="30"/>
      <c r="R477" s="31"/>
    </row>
    <row r="478" spans="11:18" x14ac:dyDescent="0.25">
      <c r="K478" s="10"/>
      <c r="M478" s="30"/>
      <c r="R478" s="31"/>
    </row>
    <row r="479" spans="11:18" x14ac:dyDescent="0.25">
      <c r="K479" s="10"/>
      <c r="M479" s="30"/>
      <c r="R479" s="31"/>
    </row>
    <row r="480" spans="11:18" x14ac:dyDescent="0.25">
      <c r="K480" s="10"/>
      <c r="M480" s="30"/>
      <c r="R480" s="31"/>
    </row>
    <row r="481" spans="11:18" x14ac:dyDescent="0.25">
      <c r="K481" s="10"/>
      <c r="M481" s="30"/>
      <c r="R481" s="31"/>
    </row>
    <row r="482" spans="11:18" x14ac:dyDescent="0.25">
      <c r="K482" s="10"/>
      <c r="M482" s="30"/>
      <c r="R482" s="31"/>
    </row>
    <row r="483" spans="11:18" x14ac:dyDescent="0.25">
      <c r="K483" s="10"/>
      <c r="M483" s="30"/>
      <c r="R483" s="31"/>
    </row>
    <row r="484" spans="11:18" x14ac:dyDescent="0.25">
      <c r="K484" s="10"/>
      <c r="M484" s="30"/>
      <c r="R484" s="31"/>
    </row>
    <row r="485" spans="11:18" x14ac:dyDescent="0.25">
      <c r="K485" s="10"/>
      <c r="M485" s="30"/>
      <c r="R485" s="31"/>
    </row>
    <row r="486" spans="11:18" x14ac:dyDescent="0.25">
      <c r="K486" s="10"/>
      <c r="M486" s="30"/>
      <c r="R486" s="31"/>
    </row>
    <row r="487" spans="11:18" x14ac:dyDescent="0.25">
      <c r="K487" s="10"/>
      <c r="M487" s="30"/>
      <c r="R487" s="31"/>
    </row>
    <row r="488" spans="11:18" x14ac:dyDescent="0.25">
      <c r="K488" s="10"/>
      <c r="M488" s="30"/>
      <c r="R488" s="31"/>
    </row>
    <row r="489" spans="11:18" x14ac:dyDescent="0.25">
      <c r="K489" s="10"/>
      <c r="M489" s="30"/>
      <c r="R489" s="31"/>
    </row>
    <row r="490" spans="11:18" x14ac:dyDescent="0.25">
      <c r="K490" s="10"/>
      <c r="M490" s="30"/>
      <c r="R490" s="31"/>
    </row>
    <row r="491" spans="11:18" x14ac:dyDescent="0.25">
      <c r="K491" s="10"/>
      <c r="M491" s="30"/>
      <c r="R491" s="31"/>
    </row>
    <row r="492" spans="11:18" x14ac:dyDescent="0.25">
      <c r="K492" s="10"/>
      <c r="M492" s="30"/>
      <c r="R492" s="31"/>
    </row>
    <row r="493" spans="11:18" x14ac:dyDescent="0.25">
      <c r="K493" s="10"/>
      <c r="M493" s="30"/>
      <c r="R493" s="31"/>
    </row>
    <row r="494" spans="11:18" x14ac:dyDescent="0.25">
      <c r="K494" s="10"/>
      <c r="M494" s="30"/>
      <c r="R494" s="31"/>
    </row>
    <row r="495" spans="11:18" x14ac:dyDescent="0.25">
      <c r="K495" s="10"/>
      <c r="M495" s="30"/>
      <c r="R495" s="31"/>
    </row>
    <row r="496" spans="11:18" x14ac:dyDescent="0.25">
      <c r="K496" s="10"/>
      <c r="M496" s="30"/>
      <c r="R496" s="31"/>
    </row>
    <row r="497" spans="11:18" x14ac:dyDescent="0.25">
      <c r="K497" s="10"/>
      <c r="M497" s="30"/>
      <c r="R497" s="31"/>
    </row>
    <row r="498" spans="11:18" x14ac:dyDescent="0.25">
      <c r="K498" s="10"/>
      <c r="M498" s="30"/>
      <c r="R498" s="31"/>
    </row>
    <row r="499" spans="11:18" x14ac:dyDescent="0.25">
      <c r="K499" s="10"/>
      <c r="M499" s="30"/>
      <c r="R499" s="31"/>
    </row>
    <row r="500" spans="11:18" x14ac:dyDescent="0.25">
      <c r="K500" s="10"/>
      <c r="M500" s="30"/>
      <c r="R500" s="31"/>
    </row>
    <row r="501" spans="11:18" x14ac:dyDescent="0.25">
      <c r="K501" s="10"/>
      <c r="M501" s="30"/>
      <c r="R501" s="31"/>
    </row>
    <row r="502" spans="11:18" x14ac:dyDescent="0.25">
      <c r="K502" s="10"/>
      <c r="M502" s="30"/>
      <c r="R502" s="31"/>
    </row>
    <row r="503" spans="11:18" x14ac:dyDescent="0.25">
      <c r="K503" s="10"/>
      <c r="M503" s="30"/>
      <c r="R503" s="31"/>
    </row>
    <row r="504" spans="11:18" x14ac:dyDescent="0.25">
      <c r="K504" s="10"/>
      <c r="M504" s="30"/>
      <c r="R504" s="31"/>
    </row>
    <row r="505" spans="11:18" x14ac:dyDescent="0.25">
      <c r="K505" s="10"/>
      <c r="M505" s="30"/>
      <c r="R505" s="31"/>
    </row>
    <row r="506" spans="11:18" x14ac:dyDescent="0.25">
      <c r="K506" s="10"/>
      <c r="M506" s="30"/>
      <c r="R506" s="31"/>
    </row>
    <row r="507" spans="11:18" x14ac:dyDescent="0.25">
      <c r="K507" s="10"/>
      <c r="M507" s="30"/>
      <c r="R507" s="31"/>
    </row>
    <row r="508" spans="11:18" x14ac:dyDescent="0.25">
      <c r="K508" s="10"/>
      <c r="M508" s="30"/>
      <c r="R508" s="31"/>
    </row>
    <row r="509" spans="11:18" x14ac:dyDescent="0.25">
      <c r="K509" s="10"/>
      <c r="M509" s="30"/>
      <c r="R509" s="31"/>
    </row>
    <row r="510" spans="11:18" x14ac:dyDescent="0.25">
      <c r="K510" s="10"/>
      <c r="M510" s="30"/>
      <c r="R510" s="31"/>
    </row>
    <row r="511" spans="11:18" x14ac:dyDescent="0.25">
      <c r="K511" s="10"/>
      <c r="M511" s="30"/>
      <c r="R511" s="31"/>
    </row>
    <row r="512" spans="11:18" x14ac:dyDescent="0.25">
      <c r="K512" s="10"/>
      <c r="M512" s="30"/>
      <c r="R512" s="31"/>
    </row>
    <row r="513" spans="11:18" x14ac:dyDescent="0.25">
      <c r="K513" s="10"/>
      <c r="M513" s="30"/>
      <c r="R513" s="31"/>
    </row>
    <row r="514" spans="11:18" x14ac:dyDescent="0.25">
      <c r="K514" s="10"/>
      <c r="M514" s="30"/>
      <c r="R514" s="31"/>
    </row>
    <row r="515" spans="11:18" x14ac:dyDescent="0.25">
      <c r="K515" s="10"/>
      <c r="M515" s="30"/>
      <c r="R515" s="31"/>
    </row>
    <row r="516" spans="11:18" x14ac:dyDescent="0.25">
      <c r="K516" s="10"/>
      <c r="M516" s="30"/>
      <c r="R516" s="31"/>
    </row>
    <row r="517" spans="11:18" x14ac:dyDescent="0.25">
      <c r="K517" s="10"/>
      <c r="M517" s="30"/>
      <c r="R517" s="31"/>
    </row>
    <row r="518" spans="11:18" x14ac:dyDescent="0.25">
      <c r="K518" s="10"/>
      <c r="M518" s="30"/>
      <c r="R518" s="31"/>
    </row>
    <row r="519" spans="11:18" x14ac:dyDescent="0.25">
      <c r="K519" s="10"/>
      <c r="M519" s="30"/>
      <c r="R519" s="31"/>
    </row>
    <row r="520" spans="11:18" x14ac:dyDescent="0.25">
      <c r="K520" s="10"/>
      <c r="M520" s="30"/>
      <c r="R520" s="31"/>
    </row>
    <row r="521" spans="11:18" x14ac:dyDescent="0.25">
      <c r="K521" s="10"/>
      <c r="M521" s="30"/>
      <c r="R521" s="31"/>
    </row>
    <row r="522" spans="11:18" x14ac:dyDescent="0.25">
      <c r="K522" s="10"/>
      <c r="M522" s="30"/>
      <c r="R522" s="31"/>
    </row>
    <row r="523" spans="11:18" x14ac:dyDescent="0.25">
      <c r="K523" s="10"/>
      <c r="M523" s="30"/>
      <c r="R523" s="31"/>
    </row>
    <row r="524" spans="11:18" x14ac:dyDescent="0.25">
      <c r="K524" s="10"/>
      <c r="M524" s="30"/>
      <c r="R524" s="31"/>
    </row>
    <row r="525" spans="11:18" x14ac:dyDescent="0.25">
      <c r="K525" s="10"/>
      <c r="M525" s="30"/>
      <c r="R525" s="31"/>
    </row>
    <row r="526" spans="11:18" x14ac:dyDescent="0.25">
      <c r="K526" s="10"/>
      <c r="M526" s="30"/>
      <c r="R526" s="31"/>
    </row>
    <row r="527" spans="11:18" x14ac:dyDescent="0.25">
      <c r="K527" s="10"/>
      <c r="M527" s="30"/>
      <c r="R527" s="31"/>
    </row>
    <row r="528" spans="11:18" x14ac:dyDescent="0.25">
      <c r="K528" s="10"/>
      <c r="M528" s="30"/>
      <c r="R528" s="31"/>
    </row>
    <row r="529" spans="11:18" x14ac:dyDescent="0.25">
      <c r="K529" s="10"/>
      <c r="M529" s="30"/>
      <c r="R529" s="31"/>
    </row>
    <row r="530" spans="11:18" x14ac:dyDescent="0.25">
      <c r="K530" s="10"/>
      <c r="M530" s="30"/>
      <c r="R530" s="31"/>
    </row>
    <row r="531" spans="11:18" x14ac:dyDescent="0.25">
      <c r="K531" s="10"/>
      <c r="M531" s="30"/>
      <c r="R531" s="31"/>
    </row>
    <row r="532" spans="11:18" x14ac:dyDescent="0.25">
      <c r="K532" s="10"/>
      <c r="M532" s="30"/>
      <c r="R532" s="31"/>
    </row>
    <row r="533" spans="11:18" x14ac:dyDescent="0.25">
      <c r="K533" s="10"/>
      <c r="M533" s="30"/>
      <c r="R533" s="31"/>
    </row>
    <row r="534" spans="11:18" x14ac:dyDescent="0.25">
      <c r="K534" s="10"/>
      <c r="M534" s="30"/>
      <c r="R534" s="31"/>
    </row>
    <row r="535" spans="11:18" x14ac:dyDescent="0.25">
      <c r="K535" s="10"/>
      <c r="M535" s="30"/>
      <c r="R535" s="33"/>
    </row>
    <row r="536" spans="11:18" x14ac:dyDescent="0.25">
      <c r="K536" s="10"/>
      <c r="M536" s="30"/>
      <c r="R536" s="31"/>
    </row>
    <row r="537" spans="11:18" x14ac:dyDescent="0.25">
      <c r="K537" s="10"/>
      <c r="M537" s="30"/>
      <c r="R537" s="31"/>
    </row>
    <row r="538" spans="11:18" x14ac:dyDescent="0.25">
      <c r="K538" s="10"/>
      <c r="M538" s="30"/>
      <c r="R538" s="31"/>
    </row>
    <row r="539" spans="11:18" x14ac:dyDescent="0.25">
      <c r="K539" s="10"/>
      <c r="M539" s="30"/>
      <c r="R539" s="31"/>
    </row>
    <row r="540" spans="11:18" x14ac:dyDescent="0.25">
      <c r="K540" s="10"/>
      <c r="M540" s="30"/>
      <c r="R540" s="31"/>
    </row>
    <row r="541" spans="11:18" x14ac:dyDescent="0.25">
      <c r="K541" s="10"/>
      <c r="M541" s="30"/>
      <c r="R541" s="31"/>
    </row>
    <row r="542" spans="11:18" x14ac:dyDescent="0.25">
      <c r="K542" s="10"/>
      <c r="M542" s="30"/>
      <c r="R542" s="31"/>
    </row>
    <row r="543" spans="11:18" x14ac:dyDescent="0.25">
      <c r="K543" s="10"/>
      <c r="M543" s="30"/>
      <c r="R543" s="31"/>
    </row>
    <row r="544" spans="11:18" x14ac:dyDescent="0.25">
      <c r="K544" s="10"/>
      <c r="M544" s="30"/>
      <c r="R544" s="31"/>
    </row>
    <row r="545" spans="11:18" x14ac:dyDescent="0.25">
      <c r="K545" s="10"/>
      <c r="M545" s="30"/>
      <c r="R545" s="31"/>
    </row>
    <row r="546" spans="11:18" x14ac:dyDescent="0.25">
      <c r="K546" s="10"/>
      <c r="M546" s="30"/>
      <c r="R546" s="31"/>
    </row>
    <row r="547" spans="11:18" x14ac:dyDescent="0.25">
      <c r="K547" s="10"/>
      <c r="M547" s="30"/>
      <c r="R547" s="31"/>
    </row>
    <row r="548" spans="11:18" x14ac:dyDescent="0.25">
      <c r="K548" s="10"/>
      <c r="M548" s="30"/>
      <c r="R548" s="31"/>
    </row>
    <row r="549" spans="11:18" x14ac:dyDescent="0.25">
      <c r="K549" s="10"/>
      <c r="M549" s="30"/>
      <c r="R549" s="31"/>
    </row>
    <row r="550" spans="11:18" x14ac:dyDescent="0.25">
      <c r="K550" s="10"/>
      <c r="M550" s="30"/>
      <c r="R550" s="31"/>
    </row>
    <row r="551" spans="11:18" x14ac:dyDescent="0.25">
      <c r="K551" s="10"/>
      <c r="M551" s="30"/>
      <c r="R551" s="31"/>
    </row>
    <row r="552" spans="11:18" x14ac:dyDescent="0.25">
      <c r="K552" s="10"/>
      <c r="M552" s="30"/>
      <c r="R552" s="31"/>
    </row>
    <row r="553" spans="11:18" x14ac:dyDescent="0.25">
      <c r="K553" s="10"/>
      <c r="M553" s="30"/>
      <c r="R553" s="31"/>
    </row>
    <row r="554" spans="11:18" x14ac:dyDescent="0.25">
      <c r="K554" s="10"/>
      <c r="M554" s="30"/>
      <c r="R554" s="31"/>
    </row>
    <row r="555" spans="11:18" x14ac:dyDescent="0.25">
      <c r="K555" s="10"/>
      <c r="M555" s="30"/>
      <c r="R555" s="31"/>
    </row>
    <row r="556" spans="11:18" x14ac:dyDescent="0.25">
      <c r="K556" s="10"/>
      <c r="M556" s="30"/>
      <c r="R556" s="31"/>
    </row>
    <row r="557" spans="11:18" x14ac:dyDescent="0.25">
      <c r="K557" s="10"/>
      <c r="M557" s="30"/>
      <c r="R557" s="31"/>
    </row>
    <row r="558" spans="11:18" x14ac:dyDescent="0.25">
      <c r="K558" s="10"/>
      <c r="M558" s="30"/>
      <c r="R558" s="31"/>
    </row>
    <row r="559" spans="11:18" x14ac:dyDescent="0.25">
      <c r="K559" s="10"/>
      <c r="M559" s="30"/>
      <c r="R559" s="31"/>
    </row>
    <row r="560" spans="11:18" x14ac:dyDescent="0.25">
      <c r="K560" s="10"/>
      <c r="M560" s="30"/>
      <c r="R560" s="31"/>
    </row>
    <row r="561" spans="11:18" x14ac:dyDescent="0.25">
      <c r="K561" s="10"/>
      <c r="M561" s="30"/>
      <c r="R561" s="31"/>
    </row>
    <row r="562" spans="11:18" x14ac:dyDescent="0.25">
      <c r="K562" s="10"/>
      <c r="M562" s="30"/>
      <c r="R562" s="31"/>
    </row>
    <row r="563" spans="11:18" x14ac:dyDescent="0.25">
      <c r="K563" s="10"/>
      <c r="M563" s="30"/>
      <c r="R563" s="31"/>
    </row>
    <row r="564" spans="11:18" x14ac:dyDescent="0.25">
      <c r="K564" s="10"/>
      <c r="M564" s="30"/>
      <c r="R564" s="31"/>
    </row>
    <row r="565" spans="11:18" x14ac:dyDescent="0.25">
      <c r="K565" s="10"/>
      <c r="M565" s="30"/>
      <c r="R565" s="31"/>
    </row>
    <row r="566" spans="11:18" x14ac:dyDescent="0.25">
      <c r="K566" s="10"/>
      <c r="M566" s="30"/>
      <c r="R566" s="31"/>
    </row>
    <row r="567" spans="11:18" x14ac:dyDescent="0.25">
      <c r="K567" s="10"/>
      <c r="M567" s="30"/>
      <c r="R567" s="31"/>
    </row>
    <row r="568" spans="11:18" x14ac:dyDescent="0.25">
      <c r="K568" s="10"/>
      <c r="M568" s="30"/>
      <c r="R568" s="31"/>
    </row>
    <row r="569" spans="11:18" x14ac:dyDescent="0.25">
      <c r="K569" s="10"/>
      <c r="M569" s="30"/>
      <c r="R569" s="31"/>
    </row>
    <row r="570" spans="11:18" x14ac:dyDescent="0.25">
      <c r="K570" s="10"/>
      <c r="M570" s="30"/>
      <c r="R570" s="31"/>
    </row>
    <row r="571" spans="11:18" x14ac:dyDescent="0.25">
      <c r="K571" s="10"/>
      <c r="M571" s="30"/>
      <c r="R571" s="31"/>
    </row>
    <row r="572" spans="11:18" x14ac:dyDescent="0.25">
      <c r="K572" s="10"/>
      <c r="M572" s="30"/>
      <c r="R572" s="31"/>
    </row>
    <row r="573" spans="11:18" x14ac:dyDescent="0.25">
      <c r="K573" s="10"/>
      <c r="M573" s="30"/>
      <c r="R573" s="31"/>
    </row>
    <row r="574" spans="11:18" x14ac:dyDescent="0.25">
      <c r="K574" s="10"/>
      <c r="M574" s="30"/>
      <c r="R574" s="31"/>
    </row>
    <row r="575" spans="11:18" x14ac:dyDescent="0.25">
      <c r="K575" s="10"/>
      <c r="M575" s="30"/>
      <c r="R575" s="31"/>
    </row>
    <row r="576" spans="11:18" x14ac:dyDescent="0.25">
      <c r="K576" s="10"/>
      <c r="M576" s="30"/>
      <c r="R576" s="31"/>
    </row>
    <row r="577" spans="11:18" x14ac:dyDescent="0.25">
      <c r="K577" s="10"/>
      <c r="M577" s="30"/>
      <c r="R577" s="31"/>
    </row>
    <row r="578" spans="11:18" x14ac:dyDescent="0.25">
      <c r="K578" s="10"/>
      <c r="M578" s="30"/>
      <c r="R578" s="31"/>
    </row>
    <row r="579" spans="11:18" x14ac:dyDescent="0.25">
      <c r="K579" s="10"/>
      <c r="M579" s="30"/>
      <c r="R579" s="31"/>
    </row>
    <row r="580" spans="11:18" x14ac:dyDescent="0.25">
      <c r="K580" s="10"/>
      <c r="M580" s="30"/>
      <c r="R580" s="31"/>
    </row>
    <row r="581" spans="11:18" x14ac:dyDescent="0.25">
      <c r="K581" s="10"/>
      <c r="M581" s="30"/>
      <c r="R581" s="31"/>
    </row>
    <row r="582" spans="11:18" x14ac:dyDescent="0.25">
      <c r="K582" s="10"/>
      <c r="M582" s="30"/>
      <c r="R582" s="31"/>
    </row>
    <row r="583" spans="11:18" x14ac:dyDescent="0.25">
      <c r="K583" s="10"/>
      <c r="M583" s="30"/>
      <c r="R583" s="31"/>
    </row>
    <row r="584" spans="11:18" x14ac:dyDescent="0.25">
      <c r="K584" s="10"/>
      <c r="M584" s="30"/>
      <c r="R584" s="31"/>
    </row>
    <row r="585" spans="11:18" x14ac:dyDescent="0.25">
      <c r="K585" s="10"/>
      <c r="M585" s="30"/>
      <c r="R585" s="31"/>
    </row>
    <row r="586" spans="11:18" x14ac:dyDescent="0.25">
      <c r="K586" s="10"/>
      <c r="M586" s="30"/>
      <c r="R586" s="31"/>
    </row>
    <row r="587" spans="11:18" x14ac:dyDescent="0.25">
      <c r="K587" s="10"/>
      <c r="M587" s="30"/>
      <c r="R587" s="31"/>
    </row>
    <row r="588" spans="11:18" x14ac:dyDescent="0.25">
      <c r="K588" s="10"/>
      <c r="M588" s="30"/>
      <c r="R588" s="31"/>
    </row>
    <row r="589" spans="11:18" x14ac:dyDescent="0.25">
      <c r="K589" s="10"/>
      <c r="M589" s="30"/>
      <c r="R589" s="31"/>
    </row>
    <row r="590" spans="11:18" x14ac:dyDescent="0.25">
      <c r="K590" s="10"/>
      <c r="M590" s="30"/>
      <c r="R590" s="31"/>
    </row>
    <row r="591" spans="11:18" x14ac:dyDescent="0.25">
      <c r="K591" s="10"/>
      <c r="M591" s="30"/>
      <c r="R591" s="31"/>
    </row>
    <row r="592" spans="11:18" x14ac:dyDescent="0.25">
      <c r="K592" s="10"/>
      <c r="M592" s="30"/>
      <c r="R592" s="31"/>
    </row>
    <row r="593" spans="11:18" x14ac:dyDescent="0.25">
      <c r="K593" s="10"/>
      <c r="M593" s="30"/>
      <c r="R593" s="31"/>
    </row>
    <row r="594" spans="11:18" x14ac:dyDescent="0.25">
      <c r="K594" s="10"/>
      <c r="M594" s="30"/>
      <c r="R594" s="31"/>
    </row>
    <row r="595" spans="11:18" x14ac:dyDescent="0.25">
      <c r="K595" s="10"/>
      <c r="M595" s="30"/>
      <c r="R595" s="31"/>
    </row>
    <row r="596" spans="11:18" x14ac:dyDescent="0.25">
      <c r="K596" s="10"/>
      <c r="M596" s="30"/>
      <c r="R596" s="31"/>
    </row>
    <row r="597" spans="11:18" x14ac:dyDescent="0.25">
      <c r="K597" s="10"/>
      <c r="M597" s="30"/>
      <c r="R597" s="31"/>
    </row>
    <row r="598" spans="11:18" x14ac:dyDescent="0.25">
      <c r="K598" s="10"/>
      <c r="M598" s="30"/>
      <c r="R598" s="31"/>
    </row>
    <row r="599" spans="11:18" x14ac:dyDescent="0.25">
      <c r="K599" s="10"/>
      <c r="M599" s="30"/>
      <c r="R599" s="31"/>
    </row>
    <row r="600" spans="11:18" x14ac:dyDescent="0.25">
      <c r="K600" s="10"/>
      <c r="M600" s="30"/>
      <c r="R600" s="31"/>
    </row>
    <row r="601" spans="11:18" x14ac:dyDescent="0.25">
      <c r="K601" s="10"/>
      <c r="M601" s="30"/>
      <c r="R601" s="31"/>
    </row>
    <row r="602" spans="11:18" x14ac:dyDescent="0.25">
      <c r="K602" s="10"/>
      <c r="M602" s="30"/>
      <c r="R602" s="31"/>
    </row>
    <row r="603" spans="11:18" x14ac:dyDescent="0.25">
      <c r="K603" s="10"/>
      <c r="M603" s="30"/>
      <c r="R603" s="31"/>
    </row>
    <row r="604" spans="11:18" x14ac:dyDescent="0.25">
      <c r="K604" s="10"/>
      <c r="M604" s="30"/>
      <c r="R604" s="31"/>
    </row>
    <row r="605" spans="11:18" x14ac:dyDescent="0.25">
      <c r="K605" s="10"/>
      <c r="M605" s="30"/>
      <c r="R605" s="31"/>
    </row>
    <row r="606" spans="11:18" x14ac:dyDescent="0.25">
      <c r="K606" s="10"/>
      <c r="M606" s="30"/>
      <c r="R606" s="31"/>
    </row>
    <row r="607" spans="11:18" x14ac:dyDescent="0.25">
      <c r="K607" s="10"/>
      <c r="M607" s="30"/>
      <c r="R607" s="31"/>
    </row>
    <row r="608" spans="11:18" x14ac:dyDescent="0.25">
      <c r="K608" s="10"/>
      <c r="M608" s="30"/>
      <c r="R608" s="31"/>
    </row>
    <row r="609" spans="11:18" x14ac:dyDescent="0.25">
      <c r="K609" s="10"/>
      <c r="M609" s="30"/>
      <c r="R609" s="31"/>
    </row>
    <row r="610" spans="11:18" x14ac:dyDescent="0.25">
      <c r="K610" s="10"/>
      <c r="M610" s="30"/>
      <c r="R610" s="31"/>
    </row>
    <row r="611" spans="11:18" x14ac:dyDescent="0.25">
      <c r="K611" s="10"/>
      <c r="M611" s="30"/>
      <c r="R611" s="31"/>
    </row>
    <row r="612" spans="11:18" x14ac:dyDescent="0.25">
      <c r="K612" s="10"/>
      <c r="M612" s="30"/>
      <c r="R612" s="31"/>
    </row>
    <row r="613" spans="11:18" x14ac:dyDescent="0.25">
      <c r="K613" s="10"/>
      <c r="M613" s="30"/>
      <c r="R613" s="31"/>
    </row>
    <row r="614" spans="11:18" x14ac:dyDescent="0.25">
      <c r="K614" s="10"/>
      <c r="M614" s="30"/>
      <c r="R614" s="31"/>
    </row>
    <row r="615" spans="11:18" x14ac:dyDescent="0.25">
      <c r="K615" s="10"/>
      <c r="M615" s="30"/>
      <c r="R615" s="31"/>
    </row>
    <row r="616" spans="11:18" x14ac:dyDescent="0.25">
      <c r="K616" s="10"/>
      <c r="M616" s="30"/>
      <c r="R616" s="31"/>
    </row>
    <row r="617" spans="11:18" x14ac:dyDescent="0.25">
      <c r="K617" s="10"/>
      <c r="M617" s="30"/>
      <c r="R617" s="31"/>
    </row>
    <row r="618" spans="11:18" x14ac:dyDescent="0.25">
      <c r="K618" s="10"/>
      <c r="M618" s="30"/>
      <c r="R618" s="31"/>
    </row>
    <row r="619" spans="11:18" x14ac:dyDescent="0.25">
      <c r="K619" s="10"/>
      <c r="M619" s="30"/>
      <c r="R619" s="31"/>
    </row>
    <row r="620" spans="11:18" x14ac:dyDescent="0.25">
      <c r="K620" s="10"/>
      <c r="M620" s="30"/>
      <c r="R620" s="31"/>
    </row>
    <row r="621" spans="11:18" x14ac:dyDescent="0.25">
      <c r="K621" s="10"/>
      <c r="M621" s="30"/>
      <c r="R621" s="31"/>
    </row>
    <row r="622" spans="11:18" x14ac:dyDescent="0.25">
      <c r="K622" s="10"/>
      <c r="M622" s="30"/>
      <c r="R622" s="31"/>
    </row>
    <row r="623" spans="11:18" x14ac:dyDescent="0.25">
      <c r="K623" s="10"/>
      <c r="M623" s="30"/>
      <c r="R623" s="31"/>
    </row>
    <row r="624" spans="11:18" x14ac:dyDescent="0.25">
      <c r="K624" s="10"/>
      <c r="M624" s="30"/>
      <c r="R624" s="31"/>
    </row>
    <row r="625" spans="8:18" x14ac:dyDescent="0.25">
      <c r="K625" s="10"/>
      <c r="M625" s="30"/>
      <c r="R625" s="31"/>
    </row>
    <row r="626" spans="8:18" x14ac:dyDescent="0.25">
      <c r="K626" s="10"/>
      <c r="M626" s="30"/>
      <c r="R626" s="31"/>
    </row>
    <row r="627" spans="8:18" x14ac:dyDescent="0.25">
      <c r="K627" s="10"/>
      <c r="M627" s="30"/>
      <c r="R627" s="31"/>
    </row>
    <row r="628" spans="8:18" x14ac:dyDescent="0.25">
      <c r="K628" s="10"/>
      <c r="M628" s="30"/>
      <c r="R628" s="31"/>
    </row>
    <row r="629" spans="8:18" x14ac:dyDescent="0.25">
      <c r="K629" s="10"/>
      <c r="M629" s="30"/>
      <c r="R629" s="31"/>
    </row>
    <row r="630" spans="8:18" x14ac:dyDescent="0.25">
      <c r="K630" s="10"/>
      <c r="M630" s="30"/>
      <c r="R630" s="31"/>
    </row>
    <row r="631" spans="8:18" x14ac:dyDescent="0.25">
      <c r="K631" s="10"/>
      <c r="M631" s="30"/>
      <c r="R631" s="31"/>
    </row>
    <row r="632" spans="8:18" x14ac:dyDescent="0.25">
      <c r="K632" s="10"/>
      <c r="M632" s="30"/>
      <c r="R632" s="31"/>
    </row>
    <row r="633" spans="8:18" x14ac:dyDescent="0.25">
      <c r="K633" s="10"/>
      <c r="M633" s="30"/>
      <c r="R633" s="31"/>
    </row>
    <row r="634" spans="8:18" x14ac:dyDescent="0.25">
      <c r="K634" s="10"/>
      <c r="M634" s="30"/>
      <c r="R634" s="31"/>
    </row>
    <row r="635" spans="8:18" x14ac:dyDescent="0.25">
      <c r="K635" s="10"/>
      <c r="M635" s="30"/>
      <c r="R635" s="31"/>
    </row>
    <row r="636" spans="8:18" x14ac:dyDescent="0.25">
      <c r="H636" s="34"/>
      <c r="K636" s="10"/>
      <c r="M636" s="30"/>
      <c r="R636" s="31"/>
    </row>
    <row r="637" spans="8:18" x14ac:dyDescent="0.25">
      <c r="H637" s="34"/>
      <c r="K637" s="10"/>
      <c r="M637" s="30"/>
      <c r="R637" s="31"/>
    </row>
    <row r="638" spans="8:18" x14ac:dyDescent="0.25">
      <c r="H638" s="34"/>
      <c r="K638" s="10"/>
      <c r="M638" s="30"/>
      <c r="R638" s="31"/>
    </row>
    <row r="639" spans="8:18" x14ac:dyDescent="0.25">
      <c r="K639" s="10"/>
      <c r="M639" s="30"/>
      <c r="R639" s="31"/>
    </row>
    <row r="640" spans="8:18" x14ac:dyDescent="0.25">
      <c r="K640" s="10"/>
      <c r="M640" s="30"/>
      <c r="R640" s="31"/>
    </row>
    <row r="641" spans="11:18" x14ac:dyDescent="0.25">
      <c r="K641" s="10"/>
      <c r="M641" s="30"/>
      <c r="R641" s="31"/>
    </row>
    <row r="642" spans="11:18" x14ac:dyDescent="0.25">
      <c r="K642" s="10"/>
      <c r="M642" s="30"/>
      <c r="R642" s="31"/>
    </row>
    <row r="643" spans="11:18" x14ac:dyDescent="0.25">
      <c r="K643" s="10"/>
      <c r="M643" s="30"/>
      <c r="R643" s="31"/>
    </row>
    <row r="644" spans="11:18" x14ac:dyDescent="0.25">
      <c r="K644" s="10"/>
      <c r="M644" s="30"/>
      <c r="R644" s="31"/>
    </row>
    <row r="645" spans="11:18" x14ac:dyDescent="0.25">
      <c r="K645" s="10"/>
      <c r="M645" s="30"/>
      <c r="R645" s="31"/>
    </row>
    <row r="646" spans="11:18" x14ac:dyDescent="0.25">
      <c r="K646" s="10"/>
      <c r="M646" s="30"/>
      <c r="R646" s="31"/>
    </row>
    <row r="647" spans="11:18" x14ac:dyDescent="0.25">
      <c r="K647" s="10"/>
      <c r="M647" s="30"/>
      <c r="R647" s="31"/>
    </row>
    <row r="648" spans="11:18" x14ac:dyDescent="0.25">
      <c r="K648" s="10"/>
      <c r="M648" s="30"/>
      <c r="R648" s="31"/>
    </row>
    <row r="649" spans="11:18" x14ac:dyDescent="0.25">
      <c r="K649" s="10"/>
      <c r="M649" s="30"/>
      <c r="R649" s="31"/>
    </row>
    <row r="650" spans="11:18" x14ac:dyDescent="0.25">
      <c r="K650" s="10"/>
      <c r="M650" s="30"/>
      <c r="R650" s="31"/>
    </row>
    <row r="651" spans="11:18" x14ac:dyDescent="0.25">
      <c r="K651" s="10"/>
      <c r="M651" s="30"/>
      <c r="R651" s="31"/>
    </row>
    <row r="652" spans="11:18" x14ac:dyDescent="0.25">
      <c r="K652" s="10"/>
      <c r="M652" s="30"/>
      <c r="R652" s="31"/>
    </row>
    <row r="653" spans="11:18" x14ac:dyDescent="0.25">
      <c r="K653" s="10"/>
      <c r="M653" s="30"/>
      <c r="R653" s="31"/>
    </row>
    <row r="654" spans="11:18" x14ac:dyDescent="0.25">
      <c r="K654" s="10"/>
      <c r="M654" s="30"/>
      <c r="R654" s="31"/>
    </row>
    <row r="655" spans="11:18" x14ac:dyDescent="0.25">
      <c r="K655" s="10"/>
      <c r="M655" s="30"/>
      <c r="R655" s="31"/>
    </row>
    <row r="656" spans="11:18" x14ac:dyDescent="0.25">
      <c r="K656" s="10"/>
      <c r="M656" s="30"/>
      <c r="R656" s="31"/>
    </row>
    <row r="657" spans="11:18" x14ac:dyDescent="0.25">
      <c r="K657" s="10"/>
      <c r="M657" s="30"/>
      <c r="R657" s="31"/>
    </row>
    <row r="658" spans="11:18" x14ac:dyDescent="0.25">
      <c r="K658" s="10"/>
      <c r="M658" s="30"/>
      <c r="R658" s="31"/>
    </row>
    <row r="659" spans="11:18" x14ac:dyDescent="0.25">
      <c r="K659" s="10"/>
      <c r="M659" s="30"/>
      <c r="R659" s="31"/>
    </row>
    <row r="660" spans="11:18" x14ac:dyDescent="0.25">
      <c r="K660" s="10"/>
      <c r="M660" s="30"/>
      <c r="R660" s="31"/>
    </row>
    <row r="661" spans="11:18" x14ac:dyDescent="0.25">
      <c r="K661" s="10"/>
      <c r="M661" s="30"/>
      <c r="R661" s="31"/>
    </row>
    <row r="662" spans="11:18" x14ac:dyDescent="0.25">
      <c r="K662" s="10"/>
      <c r="M662" s="30"/>
      <c r="R662" s="31"/>
    </row>
    <row r="663" spans="11:18" x14ac:dyDescent="0.25">
      <c r="K663" s="10"/>
      <c r="M663" s="30"/>
      <c r="R663" s="31"/>
    </row>
    <row r="664" spans="11:18" x14ac:dyDescent="0.25">
      <c r="K664" s="10"/>
      <c r="M664" s="30"/>
      <c r="R664" s="31"/>
    </row>
    <row r="665" spans="11:18" x14ac:dyDescent="0.25">
      <c r="K665" s="10"/>
      <c r="M665" s="30"/>
      <c r="R665" s="31"/>
    </row>
    <row r="666" spans="11:18" x14ac:dyDescent="0.25">
      <c r="K666" s="10"/>
      <c r="M666" s="30"/>
      <c r="R666" s="31"/>
    </row>
    <row r="667" spans="11:18" x14ac:dyDescent="0.25">
      <c r="K667" s="10"/>
      <c r="M667" s="30"/>
      <c r="R667" s="31"/>
    </row>
    <row r="668" spans="11:18" x14ac:dyDescent="0.25">
      <c r="K668" s="10"/>
      <c r="M668" s="30"/>
      <c r="R668" s="31"/>
    </row>
    <row r="669" spans="11:18" x14ac:dyDescent="0.25">
      <c r="K669" s="10"/>
      <c r="M669" s="30"/>
      <c r="R669" s="31"/>
    </row>
    <row r="670" spans="11:18" x14ac:dyDescent="0.25">
      <c r="K670" s="10"/>
      <c r="M670" s="30"/>
      <c r="R670" s="31"/>
    </row>
    <row r="671" spans="11:18" x14ac:dyDescent="0.25">
      <c r="K671" s="10"/>
      <c r="M671" s="30"/>
      <c r="R671" s="31"/>
    </row>
    <row r="672" spans="11:18" x14ac:dyDescent="0.25">
      <c r="K672" s="10"/>
      <c r="M672" s="30"/>
      <c r="R672" s="31"/>
    </row>
    <row r="673" spans="11:18" x14ac:dyDescent="0.25">
      <c r="K673" s="10"/>
      <c r="M673" s="30"/>
      <c r="R673" s="31"/>
    </row>
    <row r="674" spans="11:18" x14ac:dyDescent="0.25">
      <c r="K674" s="10"/>
      <c r="M674" s="30"/>
      <c r="R674" s="31"/>
    </row>
    <row r="675" spans="11:18" x14ac:dyDescent="0.25">
      <c r="K675" s="10"/>
      <c r="M675" s="30"/>
      <c r="R675" s="31"/>
    </row>
    <row r="676" spans="11:18" x14ac:dyDescent="0.25">
      <c r="K676" s="10"/>
      <c r="M676" s="30"/>
      <c r="R676" s="31"/>
    </row>
    <row r="677" spans="11:18" x14ac:dyDescent="0.25">
      <c r="K677" s="10"/>
      <c r="M677" s="30"/>
      <c r="R677" s="31"/>
    </row>
    <row r="678" spans="11:18" x14ac:dyDescent="0.25">
      <c r="K678" s="10"/>
      <c r="M678" s="30"/>
      <c r="R678" s="31"/>
    </row>
    <row r="679" spans="11:18" x14ac:dyDescent="0.25">
      <c r="K679" s="10"/>
      <c r="M679" s="30"/>
      <c r="R679" s="31"/>
    </row>
    <row r="680" spans="11:18" x14ac:dyDescent="0.25">
      <c r="K680" s="10"/>
      <c r="M680" s="30"/>
      <c r="R680" s="31"/>
    </row>
    <row r="681" spans="11:18" x14ac:dyDescent="0.25">
      <c r="K681" s="10"/>
      <c r="M681" s="30"/>
      <c r="R681" s="31"/>
    </row>
    <row r="682" spans="11:18" x14ac:dyDescent="0.25">
      <c r="K682" s="10"/>
      <c r="M682" s="30"/>
      <c r="R682" s="31"/>
    </row>
    <row r="683" spans="11:18" x14ac:dyDescent="0.25">
      <c r="K683" s="10"/>
      <c r="M683" s="30"/>
      <c r="R683" s="31"/>
    </row>
    <row r="684" spans="11:18" x14ac:dyDescent="0.25">
      <c r="K684" s="10"/>
      <c r="M684" s="30"/>
      <c r="R684" s="31"/>
    </row>
    <row r="685" spans="11:18" x14ac:dyDescent="0.25">
      <c r="K685" s="10"/>
      <c r="M685" s="30"/>
      <c r="R685" s="31"/>
    </row>
    <row r="686" spans="11:18" x14ac:dyDescent="0.25">
      <c r="K686" s="10"/>
      <c r="M686" s="30"/>
      <c r="R686" s="31"/>
    </row>
    <row r="687" spans="11:18" x14ac:dyDescent="0.25">
      <c r="K687" s="10"/>
      <c r="M687" s="30"/>
      <c r="R687" s="31"/>
    </row>
    <row r="688" spans="11:18" x14ac:dyDescent="0.25">
      <c r="K688" s="10"/>
      <c r="M688" s="30"/>
      <c r="R688" s="31"/>
    </row>
    <row r="689" spans="11:18" x14ac:dyDescent="0.25">
      <c r="K689" s="10"/>
      <c r="M689" s="30"/>
      <c r="R689" s="31"/>
    </row>
    <row r="690" spans="11:18" x14ac:dyDescent="0.25">
      <c r="K690" s="10"/>
      <c r="M690" s="30"/>
      <c r="R690" s="31"/>
    </row>
    <row r="691" spans="11:18" x14ac:dyDescent="0.25">
      <c r="K691" s="10"/>
      <c r="M691" s="30"/>
      <c r="R691" s="31"/>
    </row>
    <row r="692" spans="11:18" x14ac:dyDescent="0.25">
      <c r="K692" s="10"/>
      <c r="M692" s="30"/>
      <c r="R692" s="31"/>
    </row>
    <row r="693" spans="11:18" x14ac:dyDescent="0.25">
      <c r="K693" s="10"/>
      <c r="M693" s="30"/>
      <c r="R693" s="31"/>
    </row>
    <row r="694" spans="11:18" x14ac:dyDescent="0.25">
      <c r="K694" s="10"/>
      <c r="M694" s="30"/>
      <c r="R694" s="31"/>
    </row>
    <row r="695" spans="11:18" x14ac:dyDescent="0.25">
      <c r="K695" s="10"/>
      <c r="M695" s="30"/>
      <c r="R695" s="31"/>
    </row>
    <row r="696" spans="11:18" x14ac:dyDescent="0.25">
      <c r="K696" s="10"/>
      <c r="M696" s="30"/>
      <c r="R696" s="31"/>
    </row>
    <row r="697" spans="11:18" x14ac:dyDescent="0.25">
      <c r="K697" s="10"/>
      <c r="M697" s="30"/>
      <c r="R697" s="31"/>
    </row>
    <row r="698" spans="11:18" x14ac:dyDescent="0.25">
      <c r="K698" s="10"/>
      <c r="M698" s="30"/>
      <c r="R698" s="31"/>
    </row>
    <row r="699" spans="11:18" x14ac:dyDescent="0.25">
      <c r="K699" s="10"/>
      <c r="M699" s="30"/>
      <c r="R699" s="31"/>
    </row>
    <row r="700" spans="11:18" x14ac:dyDescent="0.25">
      <c r="K700" s="10"/>
      <c r="M700" s="30"/>
      <c r="R700" s="31"/>
    </row>
    <row r="701" spans="11:18" x14ac:dyDescent="0.25">
      <c r="K701" s="10"/>
      <c r="M701" s="30"/>
      <c r="R701" s="31"/>
    </row>
    <row r="702" spans="11:18" x14ac:dyDescent="0.25">
      <c r="K702" s="10"/>
      <c r="M702" s="30"/>
      <c r="R702" s="31"/>
    </row>
    <row r="703" spans="11:18" x14ac:dyDescent="0.25">
      <c r="K703" s="10"/>
      <c r="M703" s="30"/>
      <c r="R703" s="31"/>
    </row>
    <row r="704" spans="11:18" x14ac:dyDescent="0.25">
      <c r="K704" s="10"/>
      <c r="M704" s="30"/>
      <c r="R704" s="31"/>
    </row>
    <row r="705" spans="8:18" x14ac:dyDescent="0.25">
      <c r="K705" s="10"/>
      <c r="M705" s="30"/>
      <c r="R705" s="31"/>
    </row>
    <row r="706" spans="8:18" x14ac:dyDescent="0.25">
      <c r="K706" s="10"/>
      <c r="M706" s="30"/>
      <c r="R706" s="31"/>
    </row>
    <row r="707" spans="8:18" x14ac:dyDescent="0.25">
      <c r="K707" s="10"/>
      <c r="M707" s="30"/>
      <c r="R707" s="31"/>
    </row>
    <row r="708" spans="8:18" x14ac:dyDescent="0.25">
      <c r="K708" s="10"/>
      <c r="M708" s="30"/>
      <c r="R708" s="31"/>
    </row>
    <row r="709" spans="8:18" x14ac:dyDescent="0.25">
      <c r="H709" s="34"/>
      <c r="K709" s="10"/>
      <c r="M709" s="30"/>
      <c r="R709" s="31"/>
    </row>
    <row r="710" spans="8:18" x14ac:dyDescent="0.25">
      <c r="K710" s="10"/>
      <c r="M710" s="30"/>
      <c r="R710" s="31"/>
    </row>
    <row r="711" spans="8:18" x14ac:dyDescent="0.25">
      <c r="K711" s="10"/>
      <c r="M711" s="30"/>
      <c r="R711" s="31"/>
    </row>
    <row r="712" spans="8:18" x14ac:dyDescent="0.25">
      <c r="K712" s="10"/>
      <c r="M712" s="30"/>
      <c r="R712" s="31"/>
    </row>
    <row r="713" spans="8:18" x14ac:dyDescent="0.25">
      <c r="K713" s="10"/>
      <c r="M713" s="30"/>
      <c r="R713" s="31"/>
    </row>
    <row r="714" spans="8:18" x14ac:dyDescent="0.25">
      <c r="K714" s="10"/>
      <c r="M714" s="30"/>
      <c r="R714" s="31"/>
    </row>
    <row r="715" spans="8:18" x14ac:dyDescent="0.25">
      <c r="K715" s="10"/>
      <c r="M715" s="30"/>
      <c r="R715" s="31"/>
    </row>
    <row r="716" spans="8:18" x14ac:dyDescent="0.25">
      <c r="K716" s="10"/>
      <c r="M716" s="30"/>
      <c r="R716" s="31"/>
    </row>
    <row r="717" spans="8:18" x14ac:dyDescent="0.25">
      <c r="K717" s="10"/>
      <c r="M717" s="30"/>
      <c r="R717" s="31"/>
    </row>
    <row r="718" spans="8:18" x14ac:dyDescent="0.25">
      <c r="K718" s="10"/>
      <c r="M718" s="30"/>
      <c r="R718" s="31"/>
    </row>
    <row r="719" spans="8:18" x14ac:dyDescent="0.25">
      <c r="K719" s="10"/>
      <c r="M719" s="30"/>
      <c r="R719" s="31"/>
    </row>
    <row r="720" spans="8:18" x14ac:dyDescent="0.25">
      <c r="K720" s="10"/>
      <c r="M720" s="30"/>
      <c r="R720" s="31"/>
    </row>
    <row r="721" spans="11:18" x14ac:dyDescent="0.25">
      <c r="K721" s="10"/>
      <c r="M721" s="30"/>
      <c r="R721" s="31"/>
    </row>
    <row r="722" spans="11:18" x14ac:dyDescent="0.25">
      <c r="K722" s="10"/>
      <c r="M722" s="30"/>
      <c r="R722" s="31"/>
    </row>
    <row r="723" spans="11:18" x14ac:dyDescent="0.25">
      <c r="K723" s="10"/>
      <c r="M723" s="30"/>
      <c r="R723" s="31"/>
    </row>
    <row r="724" spans="11:18" x14ac:dyDescent="0.25">
      <c r="K724" s="10"/>
      <c r="M724" s="30"/>
      <c r="R724" s="31"/>
    </row>
    <row r="725" spans="11:18" x14ac:dyDescent="0.25">
      <c r="K725" s="10"/>
      <c r="M725" s="30"/>
      <c r="R725" s="31"/>
    </row>
    <row r="726" spans="11:18" x14ac:dyDescent="0.25">
      <c r="K726" s="10"/>
      <c r="M726" s="30"/>
      <c r="R726" s="31"/>
    </row>
    <row r="727" spans="11:18" x14ac:dyDescent="0.25">
      <c r="K727" s="10"/>
      <c r="M727" s="30"/>
      <c r="R727" s="31"/>
    </row>
    <row r="728" spans="11:18" x14ac:dyDescent="0.25">
      <c r="K728" s="10"/>
      <c r="M728" s="30"/>
      <c r="R728" s="31"/>
    </row>
    <row r="729" spans="11:18" x14ac:dyDescent="0.25">
      <c r="K729" s="10"/>
      <c r="M729" s="30"/>
      <c r="R729" s="31"/>
    </row>
    <row r="730" spans="11:18" x14ac:dyDescent="0.25">
      <c r="K730" s="10"/>
      <c r="M730" s="30"/>
      <c r="R730" s="31"/>
    </row>
    <row r="731" spans="11:18" x14ac:dyDescent="0.25">
      <c r="K731" s="10"/>
      <c r="M731" s="30"/>
      <c r="R731" s="31"/>
    </row>
    <row r="732" spans="11:18" x14ac:dyDescent="0.25">
      <c r="K732" s="10"/>
      <c r="M732" s="30"/>
      <c r="R732" s="31"/>
    </row>
    <row r="733" spans="11:18" x14ac:dyDescent="0.25">
      <c r="K733" s="10"/>
      <c r="M733" s="30"/>
      <c r="R733" s="31"/>
    </row>
    <row r="734" spans="11:18" x14ac:dyDescent="0.25">
      <c r="K734" s="10"/>
      <c r="M734" s="30"/>
      <c r="R734" s="31"/>
    </row>
    <row r="735" spans="11:18" x14ac:dyDescent="0.25">
      <c r="K735" s="10"/>
      <c r="M735" s="30"/>
      <c r="R735" s="31"/>
    </row>
    <row r="736" spans="11:18" x14ac:dyDescent="0.25">
      <c r="K736" s="10"/>
      <c r="M736" s="30"/>
      <c r="R736" s="31"/>
    </row>
    <row r="737" spans="11:18" x14ac:dyDescent="0.25">
      <c r="K737" s="10"/>
      <c r="M737" s="30"/>
      <c r="R737" s="31"/>
    </row>
    <row r="738" spans="11:18" x14ac:dyDescent="0.25">
      <c r="K738" s="10"/>
      <c r="M738" s="30"/>
      <c r="R738" s="31"/>
    </row>
    <row r="739" spans="11:18" x14ac:dyDescent="0.25">
      <c r="K739" s="10"/>
      <c r="M739" s="30"/>
      <c r="R739" s="31"/>
    </row>
    <row r="740" spans="11:18" x14ac:dyDescent="0.25">
      <c r="K740" s="10"/>
      <c r="M740" s="30"/>
      <c r="R740" s="31"/>
    </row>
    <row r="741" spans="11:18" x14ac:dyDescent="0.25">
      <c r="K741" s="10"/>
      <c r="M741" s="30"/>
      <c r="R741" s="31"/>
    </row>
    <row r="742" spans="11:18" x14ac:dyDescent="0.25">
      <c r="K742" s="10"/>
      <c r="M742" s="30"/>
      <c r="R742" s="31"/>
    </row>
    <row r="743" spans="11:18" x14ac:dyDescent="0.25">
      <c r="K743" s="10"/>
      <c r="M743" s="30"/>
      <c r="R743" s="31"/>
    </row>
    <row r="744" spans="11:18" x14ac:dyDescent="0.25">
      <c r="K744" s="10"/>
      <c r="M744" s="30"/>
      <c r="R744" s="31"/>
    </row>
    <row r="745" spans="11:18" x14ac:dyDescent="0.25">
      <c r="K745" s="10"/>
      <c r="M745" s="30"/>
      <c r="R745" s="31"/>
    </row>
    <row r="746" spans="11:18" x14ac:dyDescent="0.25">
      <c r="K746" s="10"/>
      <c r="M746" s="30"/>
      <c r="R746" s="31"/>
    </row>
    <row r="747" spans="11:18" x14ac:dyDescent="0.25">
      <c r="K747" s="10"/>
      <c r="M747" s="30"/>
      <c r="R747" s="31"/>
    </row>
    <row r="748" spans="11:18" x14ac:dyDescent="0.25">
      <c r="K748" s="10"/>
      <c r="M748" s="30"/>
      <c r="R748" s="31"/>
    </row>
    <row r="749" spans="11:18" x14ac:dyDescent="0.25">
      <c r="K749" s="10"/>
      <c r="M749" s="30"/>
      <c r="R749" s="31"/>
    </row>
    <row r="750" spans="11:18" x14ac:dyDescent="0.25">
      <c r="K750" s="10"/>
      <c r="M750" s="30"/>
      <c r="R750" s="31"/>
    </row>
    <row r="751" spans="11:18" x14ac:dyDescent="0.25">
      <c r="K751" s="10"/>
      <c r="M751" s="30"/>
      <c r="R751" s="31"/>
    </row>
    <row r="752" spans="11:18" x14ac:dyDescent="0.25">
      <c r="K752" s="10"/>
      <c r="M752" s="30"/>
      <c r="R752" s="31"/>
    </row>
    <row r="753" spans="11:18" x14ac:dyDescent="0.25">
      <c r="K753" s="10"/>
      <c r="M753" s="30"/>
      <c r="R753" s="31"/>
    </row>
    <row r="754" spans="11:18" x14ac:dyDescent="0.25">
      <c r="K754" s="10"/>
      <c r="M754" s="30"/>
      <c r="R754" s="31"/>
    </row>
    <row r="755" spans="11:18" x14ac:dyDescent="0.25">
      <c r="K755" s="10"/>
      <c r="M755" s="30"/>
      <c r="R755" s="31"/>
    </row>
    <row r="756" spans="11:18" x14ac:dyDescent="0.25">
      <c r="K756" s="10"/>
      <c r="M756" s="30"/>
      <c r="R756" s="31"/>
    </row>
    <row r="757" spans="11:18" x14ac:dyDescent="0.25">
      <c r="K757" s="10"/>
      <c r="M757" s="30"/>
      <c r="R757" s="31"/>
    </row>
    <row r="758" spans="11:18" x14ac:dyDescent="0.25">
      <c r="K758" s="10"/>
      <c r="M758" s="30"/>
      <c r="R758" s="31"/>
    </row>
    <row r="759" spans="11:18" x14ac:dyDescent="0.25">
      <c r="K759" s="10"/>
      <c r="M759" s="30"/>
      <c r="R759" s="31"/>
    </row>
    <row r="760" spans="11:18" x14ac:dyDescent="0.25">
      <c r="K760" s="10"/>
      <c r="M760" s="30"/>
      <c r="R760" s="31"/>
    </row>
    <row r="761" spans="11:18" x14ac:dyDescent="0.25">
      <c r="K761" s="10"/>
      <c r="M761" s="30"/>
      <c r="R761" s="31"/>
    </row>
    <row r="762" spans="11:18" x14ac:dyDescent="0.25">
      <c r="K762" s="10"/>
      <c r="M762" s="30"/>
      <c r="R762" s="31"/>
    </row>
    <row r="763" spans="11:18" x14ac:dyDescent="0.25">
      <c r="K763" s="10"/>
      <c r="M763" s="30"/>
      <c r="R763" s="31"/>
    </row>
    <row r="764" spans="11:18" x14ac:dyDescent="0.25">
      <c r="K764" s="10"/>
      <c r="M764" s="30"/>
      <c r="R764" s="31"/>
    </row>
    <row r="765" spans="11:18" x14ac:dyDescent="0.25">
      <c r="K765" s="10"/>
      <c r="M765" s="30"/>
      <c r="R765" s="31"/>
    </row>
    <row r="766" spans="11:18" x14ac:dyDescent="0.25">
      <c r="K766" s="10"/>
      <c r="M766" s="30"/>
      <c r="R766" s="31"/>
    </row>
    <row r="767" spans="11:18" x14ac:dyDescent="0.25">
      <c r="K767" s="10"/>
      <c r="M767" s="30"/>
      <c r="R767" s="31"/>
    </row>
    <row r="768" spans="11:18" x14ac:dyDescent="0.25">
      <c r="K768" s="10"/>
      <c r="M768" s="30"/>
      <c r="R768" s="31"/>
    </row>
    <row r="769" spans="11:18" x14ac:dyDescent="0.25">
      <c r="K769" s="10"/>
      <c r="M769" s="30"/>
      <c r="R769" s="31"/>
    </row>
    <row r="770" spans="11:18" x14ac:dyDescent="0.25">
      <c r="K770" s="10"/>
      <c r="M770" s="30"/>
      <c r="R770" s="31"/>
    </row>
    <row r="771" spans="11:18" x14ac:dyDescent="0.25">
      <c r="K771" s="10"/>
      <c r="M771" s="30"/>
      <c r="R771" s="31"/>
    </row>
    <row r="772" spans="11:18" x14ac:dyDescent="0.25">
      <c r="K772" s="10"/>
      <c r="M772" s="30"/>
      <c r="R772" s="31"/>
    </row>
    <row r="773" spans="11:18" x14ac:dyDescent="0.25">
      <c r="K773" s="10"/>
      <c r="M773" s="30"/>
      <c r="R773" s="31"/>
    </row>
    <row r="774" spans="11:18" x14ac:dyDescent="0.25">
      <c r="K774" s="10"/>
      <c r="M774" s="30"/>
      <c r="R774" s="31"/>
    </row>
    <row r="775" spans="11:18" x14ac:dyDescent="0.25">
      <c r="K775" s="10"/>
      <c r="M775" s="30"/>
      <c r="R775" s="31"/>
    </row>
    <row r="776" spans="11:18" x14ac:dyDescent="0.25">
      <c r="K776" s="10"/>
      <c r="M776" s="30"/>
      <c r="R776" s="31"/>
    </row>
    <row r="777" spans="11:18" x14ac:dyDescent="0.25">
      <c r="K777" s="10"/>
      <c r="M777" s="30"/>
      <c r="R777" s="31"/>
    </row>
    <row r="778" spans="11:18" x14ac:dyDescent="0.25">
      <c r="K778" s="10"/>
      <c r="M778" s="30"/>
      <c r="R778" s="31"/>
    </row>
    <row r="779" spans="11:18" x14ac:dyDescent="0.25">
      <c r="K779" s="10"/>
      <c r="M779" s="30"/>
      <c r="R779" s="31"/>
    </row>
    <row r="780" spans="11:18" x14ac:dyDescent="0.25">
      <c r="K780" s="10"/>
      <c r="M780" s="30"/>
      <c r="R780" s="31"/>
    </row>
    <row r="781" spans="11:18" x14ac:dyDescent="0.25">
      <c r="K781" s="10"/>
      <c r="M781" s="30"/>
      <c r="R781" s="31"/>
    </row>
    <row r="782" spans="11:18" x14ac:dyDescent="0.25">
      <c r="K782" s="10"/>
      <c r="M782" s="30"/>
      <c r="R782" s="31"/>
    </row>
    <row r="783" spans="11:18" x14ac:dyDescent="0.25">
      <c r="K783" s="10"/>
      <c r="M783" s="30"/>
      <c r="R783" s="31"/>
    </row>
    <row r="784" spans="11:18" x14ac:dyDescent="0.25">
      <c r="K784" s="10"/>
      <c r="M784" s="30"/>
      <c r="R784" s="31"/>
    </row>
    <row r="785" spans="11:18" x14ac:dyDescent="0.25">
      <c r="K785" s="10"/>
      <c r="M785" s="30"/>
      <c r="R785" s="31"/>
    </row>
    <row r="786" spans="11:18" x14ac:dyDescent="0.25">
      <c r="K786" s="10"/>
      <c r="M786" s="30"/>
      <c r="R786" s="31"/>
    </row>
    <row r="787" spans="11:18" x14ac:dyDescent="0.25">
      <c r="K787" s="10"/>
      <c r="M787" s="30"/>
      <c r="R787" s="31"/>
    </row>
    <row r="788" spans="11:18" x14ac:dyDescent="0.25">
      <c r="K788" s="10"/>
      <c r="M788" s="30"/>
      <c r="R788" s="31"/>
    </row>
    <row r="789" spans="11:18" x14ac:dyDescent="0.25">
      <c r="K789" s="10"/>
      <c r="M789" s="30"/>
      <c r="R789" s="31"/>
    </row>
    <row r="790" spans="11:18" x14ac:dyDescent="0.25">
      <c r="K790" s="10"/>
      <c r="M790" s="30"/>
      <c r="R790" s="31"/>
    </row>
    <row r="791" spans="11:18" x14ac:dyDescent="0.25">
      <c r="K791" s="10"/>
      <c r="M791" s="30"/>
      <c r="R791" s="31"/>
    </row>
    <row r="792" spans="11:18" x14ac:dyDescent="0.25">
      <c r="K792" s="10"/>
      <c r="M792" s="30"/>
      <c r="R792" s="31"/>
    </row>
    <row r="793" spans="11:18" x14ac:dyDescent="0.25">
      <c r="K793" s="10"/>
      <c r="M793" s="30"/>
      <c r="R793" s="31"/>
    </row>
    <row r="794" spans="11:18" x14ac:dyDescent="0.25">
      <c r="K794" s="10"/>
      <c r="M794" s="30"/>
      <c r="R794" s="31"/>
    </row>
    <row r="795" spans="11:18" x14ac:dyDescent="0.25">
      <c r="K795" s="10"/>
      <c r="M795" s="30"/>
      <c r="R795" s="31"/>
    </row>
    <row r="796" spans="11:18" x14ac:dyDescent="0.25">
      <c r="K796" s="10"/>
      <c r="M796" s="30"/>
      <c r="R796" s="31"/>
    </row>
    <row r="797" spans="11:18" x14ac:dyDescent="0.25">
      <c r="K797" s="10"/>
      <c r="M797" s="30"/>
      <c r="P797" s="32"/>
      <c r="R797" s="31"/>
    </row>
    <row r="798" spans="11:18" x14ac:dyDescent="0.25">
      <c r="K798" s="10"/>
      <c r="M798" s="30"/>
      <c r="P798" s="32"/>
      <c r="R798" s="31"/>
    </row>
    <row r="799" spans="11:18" x14ac:dyDescent="0.25">
      <c r="K799" s="10"/>
      <c r="M799" s="30"/>
      <c r="P799" s="32"/>
      <c r="R799" s="31"/>
    </row>
    <row r="800" spans="11:18" x14ac:dyDescent="0.25">
      <c r="K800" s="10"/>
      <c r="M800" s="30"/>
      <c r="P800" s="32"/>
      <c r="R800" s="31"/>
    </row>
    <row r="801" spans="11:18" x14ac:dyDescent="0.25">
      <c r="K801" s="10"/>
      <c r="M801" s="30"/>
      <c r="P801" s="32"/>
      <c r="R801" s="31"/>
    </row>
    <row r="802" spans="11:18" x14ac:dyDescent="0.25">
      <c r="K802" s="10"/>
      <c r="M802" s="30"/>
      <c r="P802" s="32"/>
      <c r="R802" s="31"/>
    </row>
    <row r="803" spans="11:18" x14ac:dyDescent="0.25">
      <c r="K803" s="10"/>
      <c r="M803" s="30"/>
      <c r="P803" s="32"/>
      <c r="R803" s="31"/>
    </row>
    <row r="804" spans="11:18" x14ac:dyDescent="0.25">
      <c r="K804" s="10"/>
      <c r="M804" s="30"/>
      <c r="P804" s="32"/>
      <c r="R804" s="31"/>
    </row>
    <row r="805" spans="11:18" x14ac:dyDescent="0.25">
      <c r="K805" s="10"/>
      <c r="M805" s="30"/>
      <c r="P805" s="32"/>
      <c r="R805" s="31"/>
    </row>
    <row r="806" spans="11:18" x14ac:dyDescent="0.25">
      <c r="K806" s="10"/>
      <c r="M806" s="30"/>
      <c r="P806" s="32"/>
      <c r="R806" s="31"/>
    </row>
    <row r="807" spans="11:18" x14ac:dyDescent="0.25">
      <c r="K807" s="10"/>
      <c r="M807" s="30"/>
      <c r="P807" s="32"/>
      <c r="R807" s="31"/>
    </row>
    <row r="808" spans="11:18" x14ac:dyDescent="0.25">
      <c r="K808" s="10"/>
      <c r="M808" s="30"/>
      <c r="R808" s="31"/>
    </row>
    <row r="809" spans="11:18" x14ac:dyDescent="0.25">
      <c r="K809" s="10"/>
      <c r="M809" s="30"/>
      <c r="R809" s="31"/>
    </row>
    <row r="810" spans="11:18" x14ac:dyDescent="0.25">
      <c r="K810" s="10"/>
      <c r="M810" s="30"/>
      <c r="R810" s="31"/>
    </row>
    <row r="811" spans="11:18" x14ac:dyDescent="0.25">
      <c r="K811" s="10"/>
      <c r="M811" s="30"/>
      <c r="R811" s="31"/>
    </row>
    <row r="812" spans="11:18" x14ac:dyDescent="0.25">
      <c r="K812" s="10"/>
      <c r="M812" s="30"/>
      <c r="R812" s="31"/>
    </row>
    <row r="813" spans="11:18" x14ac:dyDescent="0.25">
      <c r="K813" s="10"/>
      <c r="M813" s="30"/>
      <c r="R813" s="31"/>
    </row>
    <row r="814" spans="11:18" x14ac:dyDescent="0.25">
      <c r="K814" s="10"/>
      <c r="M814" s="30"/>
      <c r="R814" s="31"/>
    </row>
    <row r="815" spans="11:18" x14ac:dyDescent="0.25">
      <c r="K815" s="10"/>
      <c r="M815" s="30"/>
      <c r="R815" s="31"/>
    </row>
    <row r="816" spans="11:18" x14ac:dyDescent="0.25">
      <c r="K816" s="10"/>
      <c r="M816" s="30"/>
      <c r="R816" s="31"/>
    </row>
    <row r="817" spans="11:18" x14ac:dyDescent="0.25">
      <c r="K817" s="10"/>
      <c r="M817" s="30"/>
      <c r="R817" s="31"/>
    </row>
    <row r="818" spans="11:18" x14ac:dyDescent="0.25">
      <c r="K818" s="10"/>
      <c r="M818" s="30"/>
      <c r="R818" s="31"/>
    </row>
    <row r="819" spans="11:18" x14ac:dyDescent="0.25">
      <c r="K819" s="10"/>
      <c r="M819" s="30"/>
      <c r="R819" s="31"/>
    </row>
    <row r="820" spans="11:18" x14ac:dyDescent="0.25">
      <c r="K820" s="10"/>
      <c r="M820" s="30"/>
      <c r="R820" s="31"/>
    </row>
    <row r="821" spans="11:18" x14ac:dyDescent="0.25">
      <c r="K821" s="10"/>
      <c r="M821" s="30"/>
      <c r="R821" s="31"/>
    </row>
    <row r="822" spans="11:18" x14ac:dyDescent="0.25">
      <c r="K822" s="10"/>
      <c r="M822" s="30"/>
      <c r="R822" s="31"/>
    </row>
    <row r="823" spans="11:18" x14ac:dyDescent="0.25">
      <c r="K823" s="10"/>
      <c r="M823" s="30"/>
      <c r="R823" s="31"/>
    </row>
    <row r="824" spans="11:18" x14ac:dyDescent="0.25">
      <c r="K824" s="10"/>
      <c r="M824" s="30"/>
      <c r="R824" s="31"/>
    </row>
    <row r="825" spans="11:18" x14ac:dyDescent="0.25">
      <c r="K825" s="10"/>
      <c r="M825" s="30"/>
      <c r="R825" s="31"/>
    </row>
    <row r="826" spans="11:18" x14ac:dyDescent="0.25">
      <c r="K826" s="10"/>
      <c r="M826" s="30"/>
      <c r="R826" s="31"/>
    </row>
    <row r="827" spans="11:18" x14ac:dyDescent="0.25">
      <c r="K827" s="10"/>
      <c r="M827" s="30"/>
      <c r="R827" s="31"/>
    </row>
    <row r="828" spans="11:18" x14ac:dyDescent="0.25">
      <c r="K828" s="10"/>
      <c r="M828" s="30"/>
      <c r="P828" s="32"/>
      <c r="R828" s="31"/>
    </row>
    <row r="829" spans="11:18" x14ac:dyDescent="0.25">
      <c r="K829" s="10"/>
      <c r="M829" s="30"/>
      <c r="P829" s="32"/>
      <c r="R829" s="31"/>
    </row>
    <row r="830" spans="11:18" x14ac:dyDescent="0.25">
      <c r="K830" s="10"/>
      <c r="M830" s="30"/>
      <c r="P830" s="32"/>
      <c r="R830" s="31"/>
    </row>
    <row r="831" spans="11:18" x14ac:dyDescent="0.25">
      <c r="K831" s="10"/>
      <c r="M831" s="30"/>
      <c r="P831" s="32"/>
      <c r="R831" s="31"/>
    </row>
    <row r="832" spans="11:18" x14ac:dyDescent="0.25">
      <c r="K832" s="10"/>
      <c r="M832" s="30"/>
      <c r="P832" s="32"/>
      <c r="R832" s="31"/>
    </row>
    <row r="833" spans="11:18" x14ac:dyDescent="0.25">
      <c r="K833" s="10"/>
      <c r="M833" s="30"/>
      <c r="P833" s="32"/>
      <c r="R833" s="31"/>
    </row>
    <row r="834" spans="11:18" x14ac:dyDescent="0.25">
      <c r="K834" s="10"/>
      <c r="M834" s="30"/>
      <c r="P834" s="32"/>
      <c r="R834" s="31"/>
    </row>
    <row r="835" spans="11:18" x14ac:dyDescent="0.25">
      <c r="K835" s="10"/>
      <c r="M835" s="30"/>
      <c r="P835" s="32"/>
      <c r="R835" s="31"/>
    </row>
    <row r="836" spans="11:18" x14ac:dyDescent="0.25">
      <c r="K836" s="10"/>
      <c r="M836" s="30"/>
      <c r="P836" s="32"/>
      <c r="R836" s="31"/>
    </row>
    <row r="837" spans="11:18" x14ac:dyDescent="0.25">
      <c r="K837" s="10"/>
      <c r="M837" s="30"/>
      <c r="P837" s="32"/>
      <c r="R837" s="31"/>
    </row>
    <row r="838" spans="11:18" x14ac:dyDescent="0.25">
      <c r="K838" s="10"/>
      <c r="M838" s="30"/>
      <c r="P838" s="32"/>
      <c r="R838" s="31"/>
    </row>
    <row r="839" spans="11:18" x14ac:dyDescent="0.25">
      <c r="K839" s="10"/>
      <c r="M839" s="30"/>
      <c r="P839" s="32"/>
      <c r="R839" s="31"/>
    </row>
    <row r="840" spans="11:18" x14ac:dyDescent="0.25">
      <c r="K840" s="10"/>
      <c r="M840" s="30"/>
      <c r="P840" s="32"/>
      <c r="R840" s="31"/>
    </row>
    <row r="841" spans="11:18" x14ac:dyDescent="0.25">
      <c r="K841" s="10"/>
      <c r="M841" s="30"/>
      <c r="P841" s="32"/>
      <c r="R841" s="31"/>
    </row>
    <row r="842" spans="11:18" x14ac:dyDescent="0.25">
      <c r="K842" s="10"/>
      <c r="M842" s="30"/>
      <c r="P842" s="32"/>
      <c r="R842" s="31"/>
    </row>
    <row r="843" spans="11:18" x14ac:dyDescent="0.25">
      <c r="K843" s="10"/>
      <c r="M843" s="30"/>
      <c r="P843" s="32"/>
      <c r="R843" s="31"/>
    </row>
    <row r="844" spans="11:18" x14ac:dyDescent="0.25">
      <c r="K844" s="10"/>
      <c r="M844" s="30"/>
      <c r="P844" s="32"/>
      <c r="R844" s="31"/>
    </row>
    <row r="845" spans="11:18" x14ac:dyDescent="0.25">
      <c r="K845" s="10"/>
      <c r="M845" s="30"/>
      <c r="P845" s="32"/>
      <c r="R845" s="31"/>
    </row>
    <row r="846" spans="11:18" x14ac:dyDescent="0.25">
      <c r="K846" s="10"/>
      <c r="M846" s="30"/>
      <c r="P846" s="32"/>
      <c r="R846" s="31"/>
    </row>
    <row r="847" spans="11:18" x14ac:dyDescent="0.25">
      <c r="K847" s="10"/>
      <c r="M847" s="30"/>
      <c r="P847" s="32"/>
      <c r="R847" s="31"/>
    </row>
    <row r="848" spans="11:18" x14ac:dyDescent="0.25">
      <c r="K848" s="10"/>
      <c r="M848" s="30"/>
      <c r="P848" s="32"/>
      <c r="R848" s="31"/>
    </row>
    <row r="849" spans="11:18" x14ac:dyDescent="0.25">
      <c r="K849" s="10"/>
      <c r="M849" s="30"/>
      <c r="P849" s="32"/>
      <c r="R849" s="31"/>
    </row>
    <row r="850" spans="11:18" x14ac:dyDescent="0.25">
      <c r="K850" s="10"/>
      <c r="M850" s="30"/>
      <c r="P850" s="32"/>
      <c r="R850" s="31"/>
    </row>
    <row r="851" spans="11:18" x14ac:dyDescent="0.25">
      <c r="K851" s="10"/>
      <c r="M851" s="30"/>
      <c r="P851" s="32"/>
      <c r="R851" s="31"/>
    </row>
    <row r="852" spans="11:18" x14ac:dyDescent="0.25">
      <c r="K852" s="10"/>
      <c r="M852" s="30"/>
      <c r="P852" s="32"/>
      <c r="R852" s="31"/>
    </row>
    <row r="853" spans="11:18" x14ac:dyDescent="0.25">
      <c r="K853" s="10"/>
      <c r="M853" s="30"/>
      <c r="P853" s="32"/>
      <c r="R853" s="31"/>
    </row>
    <row r="854" spans="11:18" x14ac:dyDescent="0.25">
      <c r="K854" s="10"/>
      <c r="M854" s="30"/>
      <c r="P854" s="32"/>
      <c r="R854" s="31"/>
    </row>
    <row r="855" spans="11:18" x14ac:dyDescent="0.25">
      <c r="K855" s="10"/>
      <c r="M855" s="30"/>
      <c r="P855" s="32"/>
      <c r="R855" s="31"/>
    </row>
    <row r="856" spans="11:18" x14ac:dyDescent="0.25">
      <c r="K856" s="10"/>
      <c r="M856" s="30"/>
      <c r="P856" s="32"/>
      <c r="R856" s="31"/>
    </row>
    <row r="857" spans="11:18" x14ac:dyDescent="0.25">
      <c r="K857" s="10"/>
      <c r="M857" s="30"/>
      <c r="P857" s="32"/>
      <c r="R857" s="31"/>
    </row>
    <row r="858" spans="11:18" x14ac:dyDescent="0.25">
      <c r="K858" s="10"/>
      <c r="M858" s="30"/>
      <c r="P858" s="32"/>
      <c r="R858" s="31"/>
    </row>
    <row r="859" spans="11:18" x14ac:dyDescent="0.25">
      <c r="K859" s="10"/>
      <c r="M859" s="30"/>
      <c r="P859" s="32"/>
      <c r="R859" s="31"/>
    </row>
    <row r="860" spans="11:18" x14ac:dyDescent="0.25">
      <c r="K860" s="10"/>
      <c r="M860" s="30"/>
      <c r="P860" s="32"/>
      <c r="R860" s="31"/>
    </row>
    <row r="861" spans="11:18" x14ac:dyDescent="0.25">
      <c r="K861" s="10"/>
      <c r="M861" s="30"/>
      <c r="R861" s="31"/>
    </row>
    <row r="862" spans="11:18" x14ac:dyDescent="0.25">
      <c r="K862" s="10"/>
      <c r="M862" s="30"/>
      <c r="R862" s="31"/>
    </row>
    <row r="863" spans="11:18" x14ac:dyDescent="0.25">
      <c r="K863" s="10"/>
      <c r="M863" s="30"/>
      <c r="R863" s="31"/>
    </row>
    <row r="864" spans="11:18" x14ac:dyDescent="0.25">
      <c r="K864" s="10"/>
      <c r="M864" s="30"/>
      <c r="R864" s="31"/>
    </row>
    <row r="865" spans="11:18" x14ac:dyDescent="0.25">
      <c r="K865" s="10"/>
      <c r="M865" s="30"/>
      <c r="R865" s="31"/>
    </row>
    <row r="866" spans="11:18" x14ac:dyDescent="0.25">
      <c r="K866" s="10"/>
      <c r="M866" s="30"/>
      <c r="R866" s="31"/>
    </row>
    <row r="867" spans="11:18" x14ac:dyDescent="0.25">
      <c r="K867" s="10"/>
      <c r="M867" s="30"/>
      <c r="R867" s="31"/>
    </row>
    <row r="868" spans="11:18" x14ac:dyDescent="0.25">
      <c r="K868" s="10"/>
      <c r="M868" s="30"/>
      <c r="R868" s="31"/>
    </row>
    <row r="869" spans="11:18" x14ac:dyDescent="0.25">
      <c r="K869" s="10"/>
      <c r="M869" s="30"/>
      <c r="R869" s="31"/>
    </row>
    <row r="870" spans="11:18" x14ac:dyDescent="0.25">
      <c r="K870" s="10"/>
      <c r="M870" s="30"/>
      <c r="R870" s="31"/>
    </row>
    <row r="871" spans="11:18" x14ac:dyDescent="0.25">
      <c r="K871" s="10"/>
      <c r="M871" s="30"/>
      <c r="R871" s="31"/>
    </row>
    <row r="872" spans="11:18" x14ac:dyDescent="0.25">
      <c r="K872" s="10"/>
      <c r="M872" s="30"/>
      <c r="R872" s="31"/>
    </row>
    <row r="873" spans="11:18" x14ac:dyDescent="0.25">
      <c r="K873" s="10"/>
      <c r="M873" s="30"/>
      <c r="R873" s="31"/>
    </row>
    <row r="874" spans="11:18" x14ac:dyDescent="0.25">
      <c r="K874" s="10"/>
      <c r="M874" s="30"/>
      <c r="R874" s="31"/>
    </row>
    <row r="875" spans="11:18" x14ac:dyDescent="0.25">
      <c r="K875" s="10"/>
      <c r="M875" s="30"/>
      <c r="R875" s="31"/>
    </row>
    <row r="876" spans="11:18" x14ac:dyDescent="0.25">
      <c r="K876" s="10"/>
      <c r="M876" s="30"/>
      <c r="R876" s="31"/>
    </row>
    <row r="877" spans="11:18" x14ac:dyDescent="0.25">
      <c r="K877" s="10"/>
      <c r="M877" s="30"/>
      <c r="R877" s="31"/>
    </row>
    <row r="878" spans="11:18" x14ac:dyDescent="0.25">
      <c r="K878" s="10"/>
      <c r="M878" s="30"/>
      <c r="R878" s="31"/>
    </row>
    <row r="879" spans="11:18" x14ac:dyDescent="0.25">
      <c r="K879" s="10"/>
      <c r="M879" s="30"/>
      <c r="R879" s="31"/>
    </row>
    <row r="880" spans="11:18" x14ac:dyDescent="0.25">
      <c r="K880" s="10"/>
      <c r="M880" s="30"/>
      <c r="R880" s="31"/>
    </row>
    <row r="881" spans="11:18" x14ac:dyDescent="0.25">
      <c r="K881" s="10"/>
      <c r="M881" s="30"/>
      <c r="R881" s="31"/>
    </row>
    <row r="882" spans="11:18" x14ac:dyDescent="0.25">
      <c r="K882" s="10"/>
      <c r="M882" s="30"/>
      <c r="R882" s="31"/>
    </row>
    <row r="883" spans="11:18" x14ac:dyDescent="0.25">
      <c r="K883" s="10"/>
      <c r="M883" s="30"/>
      <c r="R883" s="31"/>
    </row>
    <row r="884" spans="11:18" x14ac:dyDescent="0.25">
      <c r="K884" s="10"/>
      <c r="M884" s="30"/>
      <c r="R884" s="31"/>
    </row>
    <row r="885" spans="11:18" x14ac:dyDescent="0.25">
      <c r="K885" s="10"/>
      <c r="M885" s="30"/>
      <c r="R885" s="31"/>
    </row>
    <row r="886" spans="11:18" x14ac:dyDescent="0.25">
      <c r="K886" s="10"/>
      <c r="M886" s="30"/>
      <c r="R886" s="31"/>
    </row>
    <row r="887" spans="11:18" x14ac:dyDescent="0.25">
      <c r="K887" s="10"/>
      <c r="M887" s="30"/>
      <c r="P887" s="32"/>
      <c r="R887" s="31"/>
    </row>
    <row r="888" spans="11:18" x14ac:dyDescent="0.25">
      <c r="K888" s="10"/>
      <c r="M888" s="30"/>
      <c r="P888" s="32"/>
      <c r="R888" s="31"/>
    </row>
    <row r="889" spans="11:18" x14ac:dyDescent="0.25">
      <c r="K889" s="10"/>
      <c r="M889" s="30"/>
      <c r="P889" s="32"/>
      <c r="R889" s="31"/>
    </row>
    <row r="890" spans="11:18" x14ac:dyDescent="0.25">
      <c r="K890" s="10"/>
      <c r="M890" s="30"/>
      <c r="P890" s="32"/>
      <c r="R890" s="31"/>
    </row>
    <row r="891" spans="11:18" x14ac:dyDescent="0.25">
      <c r="K891" s="10"/>
      <c r="M891" s="30"/>
      <c r="R891" s="31"/>
    </row>
    <row r="892" spans="11:18" x14ac:dyDescent="0.25">
      <c r="K892" s="10"/>
      <c r="M892" s="30"/>
      <c r="R892" s="31"/>
    </row>
    <row r="893" spans="11:18" x14ac:dyDescent="0.25">
      <c r="K893" s="10"/>
      <c r="M893" s="30"/>
      <c r="R893" s="31"/>
    </row>
    <row r="894" spans="11:18" x14ac:dyDescent="0.25">
      <c r="K894" s="10"/>
      <c r="M894" s="30"/>
      <c r="R894" s="31"/>
    </row>
    <row r="895" spans="11:18" x14ac:dyDescent="0.25">
      <c r="K895" s="10"/>
      <c r="M895" s="30"/>
      <c r="R895" s="31"/>
    </row>
    <row r="896" spans="11:18" x14ac:dyDescent="0.25">
      <c r="K896" s="10"/>
      <c r="M896" s="30"/>
      <c r="R896" s="31"/>
    </row>
    <row r="897" spans="11:18" x14ac:dyDescent="0.25">
      <c r="K897" s="10"/>
      <c r="M897" s="30"/>
      <c r="R897" s="31"/>
    </row>
    <row r="898" spans="11:18" x14ac:dyDescent="0.25">
      <c r="K898" s="10"/>
      <c r="M898" s="30"/>
      <c r="R898" s="31"/>
    </row>
    <row r="899" spans="11:18" x14ac:dyDescent="0.25">
      <c r="K899" s="10"/>
      <c r="M899" s="30"/>
      <c r="R899" s="31"/>
    </row>
    <row r="900" spans="11:18" x14ac:dyDescent="0.25">
      <c r="K900" s="10"/>
      <c r="M900" s="30"/>
      <c r="R900" s="31"/>
    </row>
    <row r="901" spans="11:18" x14ac:dyDescent="0.25">
      <c r="K901" s="10"/>
      <c r="M901" s="30"/>
      <c r="R901" s="31"/>
    </row>
    <row r="902" spans="11:18" x14ac:dyDescent="0.25">
      <c r="K902" s="10"/>
      <c r="M902" s="30"/>
      <c r="R902" s="31"/>
    </row>
    <row r="903" spans="11:18" x14ac:dyDescent="0.25">
      <c r="K903" s="10"/>
      <c r="M903" s="30"/>
      <c r="R903" s="31"/>
    </row>
    <row r="904" spans="11:18" x14ac:dyDescent="0.25">
      <c r="K904" s="10"/>
      <c r="M904" s="30"/>
      <c r="R904" s="31"/>
    </row>
    <row r="905" spans="11:18" x14ac:dyDescent="0.25">
      <c r="K905" s="10"/>
      <c r="M905" s="30"/>
      <c r="P905" s="32"/>
      <c r="R905" s="31"/>
    </row>
    <row r="906" spans="11:18" x14ac:dyDescent="0.25">
      <c r="K906" s="10"/>
      <c r="M906" s="30"/>
      <c r="P906" s="32"/>
      <c r="R906" s="31"/>
    </row>
    <row r="907" spans="11:18" x14ac:dyDescent="0.25">
      <c r="K907" s="10"/>
      <c r="M907" s="30"/>
      <c r="P907" s="32"/>
      <c r="R907" s="31"/>
    </row>
    <row r="908" spans="11:18" x14ac:dyDescent="0.25">
      <c r="K908" s="10"/>
      <c r="M908" s="30"/>
      <c r="P908" s="32"/>
      <c r="R908" s="31"/>
    </row>
    <row r="909" spans="11:18" x14ac:dyDescent="0.25">
      <c r="K909" s="10"/>
      <c r="M909" s="30"/>
      <c r="P909" s="32"/>
      <c r="R909" s="31"/>
    </row>
    <row r="910" spans="11:18" x14ac:dyDescent="0.25">
      <c r="K910" s="10"/>
      <c r="M910" s="30"/>
      <c r="P910" s="32"/>
      <c r="R910" s="31"/>
    </row>
    <row r="911" spans="11:18" x14ac:dyDescent="0.25">
      <c r="K911" s="10"/>
      <c r="M911" s="30"/>
      <c r="R911" s="31"/>
    </row>
    <row r="912" spans="11:18" x14ac:dyDescent="0.25">
      <c r="K912" s="10"/>
      <c r="M912" s="30"/>
      <c r="R912" s="31"/>
    </row>
    <row r="913" spans="8:18" x14ac:dyDescent="0.25">
      <c r="K913" s="10"/>
      <c r="M913" s="30"/>
      <c r="R913" s="31"/>
    </row>
    <row r="914" spans="8:18" x14ac:dyDescent="0.25">
      <c r="K914" s="10"/>
      <c r="M914" s="30"/>
      <c r="R914" s="31"/>
    </row>
    <row r="915" spans="8:18" x14ac:dyDescent="0.25">
      <c r="K915" s="10"/>
      <c r="M915" s="30"/>
      <c r="R915" s="31"/>
    </row>
    <row r="916" spans="8:18" x14ac:dyDescent="0.25">
      <c r="K916" s="10"/>
      <c r="M916" s="30"/>
      <c r="R916" s="31"/>
    </row>
    <row r="917" spans="8:18" x14ac:dyDescent="0.25">
      <c r="K917" s="10"/>
      <c r="M917" s="30"/>
      <c r="R917" s="31"/>
    </row>
    <row r="918" spans="8:18" x14ac:dyDescent="0.25">
      <c r="K918" s="10"/>
      <c r="M918" s="30"/>
      <c r="R918" s="31"/>
    </row>
    <row r="919" spans="8:18" x14ac:dyDescent="0.25">
      <c r="K919" s="10"/>
      <c r="M919" s="30"/>
      <c r="R919" s="31"/>
    </row>
    <row r="920" spans="8:18" x14ac:dyDescent="0.25">
      <c r="K920" s="10"/>
      <c r="M920" s="30"/>
      <c r="R920" s="31"/>
    </row>
    <row r="921" spans="8:18" x14ac:dyDescent="0.25">
      <c r="K921" s="10"/>
      <c r="M921" s="30"/>
      <c r="R921" s="31"/>
    </row>
    <row r="922" spans="8:18" x14ac:dyDescent="0.25">
      <c r="K922" s="10"/>
      <c r="M922" s="30"/>
      <c r="R922" s="31"/>
    </row>
    <row r="923" spans="8:18" x14ac:dyDescent="0.25">
      <c r="K923" s="10"/>
      <c r="M923" s="30"/>
      <c r="R923" s="31"/>
    </row>
    <row r="924" spans="8:18" x14ac:dyDescent="0.25">
      <c r="K924" s="10"/>
      <c r="M924" s="30"/>
      <c r="R924" s="31"/>
    </row>
    <row r="925" spans="8:18" x14ac:dyDescent="0.25">
      <c r="H925" s="34"/>
      <c r="K925" s="10"/>
      <c r="M925" s="30"/>
      <c r="R925" s="31"/>
    </row>
    <row r="926" spans="8:18" x14ac:dyDescent="0.25">
      <c r="H926" s="34"/>
      <c r="K926" s="10"/>
      <c r="M926" s="30"/>
      <c r="R926" s="31"/>
    </row>
    <row r="927" spans="8:18" x14ac:dyDescent="0.25">
      <c r="H927" s="34"/>
      <c r="K927" s="10"/>
      <c r="M927" s="30"/>
      <c r="R927" s="31"/>
    </row>
    <row r="928" spans="8:18" x14ac:dyDescent="0.25">
      <c r="K928" s="10"/>
      <c r="M928" s="30"/>
      <c r="R928" s="31"/>
    </row>
    <row r="929" spans="11:18" x14ac:dyDescent="0.25">
      <c r="K929" s="10"/>
      <c r="M929" s="30"/>
      <c r="R929" s="31"/>
    </row>
    <row r="930" spans="11:18" x14ac:dyDescent="0.25">
      <c r="K930" s="10"/>
      <c r="M930" s="30"/>
      <c r="R930" s="31"/>
    </row>
    <row r="931" spans="11:18" x14ac:dyDescent="0.25">
      <c r="K931" s="10"/>
      <c r="M931" s="30"/>
      <c r="R931" s="31"/>
    </row>
    <row r="932" spans="11:18" x14ac:dyDescent="0.25">
      <c r="K932" s="10"/>
      <c r="M932" s="30"/>
      <c r="R932" s="31"/>
    </row>
    <row r="933" spans="11:18" x14ac:dyDescent="0.25">
      <c r="K933" s="10"/>
      <c r="M933" s="30"/>
      <c r="R933" s="31"/>
    </row>
    <row r="934" spans="11:18" x14ac:dyDescent="0.25">
      <c r="K934" s="10"/>
      <c r="M934" s="30"/>
      <c r="R934" s="31"/>
    </row>
    <row r="935" spans="11:18" x14ac:dyDescent="0.25">
      <c r="K935" s="10"/>
      <c r="M935" s="30"/>
      <c r="R935" s="31"/>
    </row>
    <row r="936" spans="11:18" x14ac:dyDescent="0.25">
      <c r="K936" s="10"/>
      <c r="M936" s="30"/>
      <c r="R936" s="31"/>
    </row>
    <row r="937" spans="11:18" x14ac:dyDescent="0.25">
      <c r="K937" s="10"/>
      <c r="M937" s="30"/>
      <c r="R937" s="31"/>
    </row>
    <row r="938" spans="11:18" x14ac:dyDescent="0.25">
      <c r="K938" s="10"/>
      <c r="M938" s="30"/>
      <c r="R938" s="31"/>
    </row>
    <row r="939" spans="11:18" x14ac:dyDescent="0.25">
      <c r="K939" s="10"/>
      <c r="M939" s="30"/>
      <c r="R939" s="31"/>
    </row>
    <row r="940" spans="11:18" x14ac:dyDescent="0.25">
      <c r="K940" s="10"/>
      <c r="M940" s="30"/>
      <c r="R940" s="31"/>
    </row>
    <row r="941" spans="11:18" x14ac:dyDescent="0.25">
      <c r="K941" s="10"/>
      <c r="M941" s="30"/>
      <c r="R941" s="31"/>
    </row>
    <row r="942" spans="11:18" x14ac:dyDescent="0.25">
      <c r="K942" s="10"/>
      <c r="M942" s="30"/>
      <c r="R942" s="31"/>
    </row>
    <row r="943" spans="11:18" x14ac:dyDescent="0.25">
      <c r="K943" s="10"/>
      <c r="M943" s="30"/>
      <c r="R943" s="31"/>
    </row>
    <row r="944" spans="11:18" x14ac:dyDescent="0.25">
      <c r="K944" s="10"/>
      <c r="M944" s="30"/>
      <c r="R944" s="31"/>
    </row>
    <row r="945" spans="11:18" x14ac:dyDescent="0.25">
      <c r="K945" s="10"/>
      <c r="M945" s="30"/>
      <c r="R945" s="31"/>
    </row>
    <row r="946" spans="11:18" x14ac:dyDescent="0.25">
      <c r="K946" s="10"/>
      <c r="M946" s="30"/>
      <c r="R946" s="31"/>
    </row>
    <row r="947" spans="11:18" x14ac:dyDescent="0.25">
      <c r="K947" s="10"/>
      <c r="M947" s="30"/>
      <c r="R947" s="31"/>
    </row>
    <row r="948" spans="11:18" x14ac:dyDescent="0.25">
      <c r="K948" s="10"/>
      <c r="M948" s="30"/>
      <c r="R948" s="31"/>
    </row>
    <row r="949" spans="11:18" x14ac:dyDescent="0.25">
      <c r="K949" s="10"/>
      <c r="M949" s="30"/>
      <c r="R949" s="31"/>
    </row>
    <row r="950" spans="11:18" x14ac:dyDescent="0.25">
      <c r="K950" s="10"/>
      <c r="M950" s="30"/>
      <c r="R950" s="31"/>
    </row>
    <row r="951" spans="11:18" x14ac:dyDescent="0.25">
      <c r="K951" s="10"/>
      <c r="M951" s="30"/>
      <c r="R951" s="31"/>
    </row>
    <row r="952" spans="11:18" x14ac:dyDescent="0.25">
      <c r="K952" s="10"/>
      <c r="M952" s="30"/>
      <c r="R952" s="31"/>
    </row>
    <row r="953" spans="11:18" x14ac:dyDescent="0.25">
      <c r="K953" s="10"/>
      <c r="M953" s="30"/>
      <c r="R953" s="31"/>
    </row>
    <row r="954" spans="11:18" x14ac:dyDescent="0.25">
      <c r="K954" s="10"/>
      <c r="M954" s="30"/>
      <c r="R954" s="31"/>
    </row>
    <row r="955" spans="11:18" x14ac:dyDescent="0.25">
      <c r="K955" s="10"/>
      <c r="M955" s="30"/>
      <c r="R955" s="31"/>
    </row>
    <row r="956" spans="11:18" x14ac:dyDescent="0.25">
      <c r="K956" s="10"/>
      <c r="M956" s="30"/>
      <c r="R956" s="31"/>
    </row>
    <row r="957" spans="11:18" x14ac:dyDescent="0.25">
      <c r="K957" s="10"/>
      <c r="M957" s="30"/>
      <c r="R957" s="31"/>
    </row>
    <row r="958" spans="11:18" x14ac:dyDescent="0.25">
      <c r="K958" s="10"/>
      <c r="M958" s="30"/>
      <c r="R958" s="31"/>
    </row>
    <row r="959" spans="11:18" x14ac:dyDescent="0.25">
      <c r="K959" s="10"/>
      <c r="M959" s="30"/>
      <c r="R959" s="31"/>
    </row>
    <row r="960" spans="11:18" x14ac:dyDescent="0.25">
      <c r="K960" s="10"/>
      <c r="M960" s="30"/>
      <c r="R960" s="31"/>
    </row>
    <row r="961" spans="11:18" x14ac:dyDescent="0.25">
      <c r="K961" s="10"/>
      <c r="M961" s="30"/>
      <c r="R961" s="31"/>
    </row>
    <row r="962" spans="11:18" x14ac:dyDescent="0.25">
      <c r="K962" s="10"/>
      <c r="M962" s="30"/>
      <c r="R962" s="31"/>
    </row>
    <row r="963" spans="11:18" x14ac:dyDescent="0.25">
      <c r="K963" s="10"/>
      <c r="M963" s="30"/>
      <c r="R963" s="31"/>
    </row>
    <row r="964" spans="11:18" x14ac:dyDescent="0.25">
      <c r="K964" s="10"/>
      <c r="M964" s="30"/>
      <c r="R964" s="31"/>
    </row>
    <row r="965" spans="11:18" x14ac:dyDescent="0.25">
      <c r="K965" s="10"/>
      <c r="M965" s="30"/>
      <c r="R965" s="31"/>
    </row>
    <row r="966" spans="11:18" x14ac:dyDescent="0.25">
      <c r="K966" s="10"/>
      <c r="M966" s="30"/>
      <c r="R966" s="31"/>
    </row>
    <row r="967" spans="11:18" x14ac:dyDescent="0.25">
      <c r="K967" s="10"/>
      <c r="M967" s="30"/>
      <c r="R967" s="31"/>
    </row>
    <row r="968" spans="11:18" x14ac:dyDescent="0.25">
      <c r="K968" s="10"/>
      <c r="M968" s="30"/>
      <c r="R968" s="31"/>
    </row>
    <row r="969" spans="11:18" x14ac:dyDescent="0.25">
      <c r="K969" s="10"/>
      <c r="M969" s="30"/>
      <c r="R969" s="31"/>
    </row>
    <row r="970" spans="11:18" x14ac:dyDescent="0.25">
      <c r="K970" s="10"/>
      <c r="M970" s="30"/>
      <c r="R970" s="31"/>
    </row>
    <row r="971" spans="11:18" x14ac:dyDescent="0.25">
      <c r="K971" s="10"/>
      <c r="M971" s="30"/>
      <c r="R971" s="31"/>
    </row>
    <row r="972" spans="11:18" x14ac:dyDescent="0.25">
      <c r="K972" s="10"/>
      <c r="M972" s="30"/>
      <c r="R972" s="31"/>
    </row>
    <row r="973" spans="11:18" x14ac:dyDescent="0.25">
      <c r="K973" s="10"/>
      <c r="M973" s="30"/>
      <c r="R973" s="31"/>
    </row>
    <row r="974" spans="11:18" x14ac:dyDescent="0.25">
      <c r="K974" s="10"/>
      <c r="M974" s="30"/>
      <c r="R974" s="31"/>
    </row>
    <row r="975" spans="11:18" x14ac:dyDescent="0.25">
      <c r="K975" s="10"/>
      <c r="M975" s="30"/>
      <c r="R975" s="31"/>
    </row>
    <row r="976" spans="11:18" x14ac:dyDescent="0.25">
      <c r="K976" s="10"/>
      <c r="M976" s="30"/>
      <c r="R976" s="31"/>
    </row>
    <row r="977" spans="11:18" x14ac:dyDescent="0.25">
      <c r="K977" s="10"/>
      <c r="M977" s="30"/>
      <c r="R977" s="31"/>
    </row>
    <row r="978" spans="11:18" x14ac:dyDescent="0.25">
      <c r="K978" s="10"/>
      <c r="M978" s="30"/>
      <c r="R978" s="31"/>
    </row>
    <row r="979" spans="11:18" x14ac:dyDescent="0.25">
      <c r="K979" s="10"/>
      <c r="M979" s="30"/>
      <c r="R979" s="31"/>
    </row>
    <row r="980" spans="11:18" x14ac:dyDescent="0.25">
      <c r="K980" s="10"/>
      <c r="M980" s="30"/>
      <c r="R980" s="31"/>
    </row>
    <row r="981" spans="11:18" x14ac:dyDescent="0.25">
      <c r="K981" s="10"/>
      <c r="M981" s="30"/>
      <c r="P981" s="32"/>
      <c r="R981" s="31"/>
    </row>
    <row r="982" spans="11:18" x14ac:dyDescent="0.25">
      <c r="K982" s="10"/>
      <c r="M982" s="30"/>
      <c r="P982" s="32"/>
      <c r="R982" s="31"/>
    </row>
    <row r="983" spans="11:18" x14ac:dyDescent="0.25">
      <c r="K983" s="10"/>
      <c r="M983" s="30"/>
      <c r="P983" s="32"/>
      <c r="R983" s="31"/>
    </row>
    <row r="984" spans="11:18" x14ac:dyDescent="0.25">
      <c r="K984" s="10"/>
      <c r="M984" s="30"/>
      <c r="P984" s="32"/>
      <c r="R984" s="31"/>
    </row>
    <row r="985" spans="11:18" x14ac:dyDescent="0.25">
      <c r="K985" s="10"/>
      <c r="M985" s="30"/>
      <c r="P985" s="32"/>
      <c r="R985" s="31"/>
    </row>
    <row r="986" spans="11:18" x14ac:dyDescent="0.25">
      <c r="K986" s="10"/>
      <c r="M986" s="30"/>
      <c r="P986" s="32"/>
      <c r="R986" s="31"/>
    </row>
    <row r="987" spans="11:18" x14ac:dyDescent="0.25">
      <c r="K987" s="10"/>
      <c r="M987" s="30"/>
      <c r="P987" s="32"/>
      <c r="R987" s="31"/>
    </row>
    <row r="988" spans="11:18" x14ac:dyDescent="0.25">
      <c r="K988" s="10"/>
      <c r="M988" s="30"/>
      <c r="P988" s="32"/>
      <c r="R988" s="31"/>
    </row>
    <row r="989" spans="11:18" x14ac:dyDescent="0.25">
      <c r="K989" s="10"/>
      <c r="M989" s="30"/>
      <c r="P989" s="32"/>
      <c r="R989" s="31"/>
    </row>
    <row r="990" spans="11:18" x14ac:dyDescent="0.25">
      <c r="K990" s="10"/>
      <c r="M990" s="30"/>
      <c r="P990" s="32"/>
      <c r="R990" s="31"/>
    </row>
    <row r="991" spans="11:18" x14ac:dyDescent="0.25">
      <c r="K991" s="10"/>
      <c r="M991" s="30"/>
      <c r="P991" s="32"/>
      <c r="R991" s="31"/>
    </row>
    <row r="992" spans="11:18" x14ac:dyDescent="0.25">
      <c r="K992" s="10"/>
      <c r="M992" s="30"/>
      <c r="P992" s="32"/>
      <c r="R992" s="31"/>
    </row>
    <row r="993" spans="11:18" x14ac:dyDescent="0.25">
      <c r="K993" s="10"/>
      <c r="M993" s="30"/>
      <c r="P993" s="32"/>
      <c r="R993" s="31"/>
    </row>
    <row r="994" spans="11:18" x14ac:dyDescent="0.25">
      <c r="K994" s="10"/>
      <c r="M994" s="30"/>
      <c r="P994" s="32"/>
      <c r="R994" s="31"/>
    </row>
    <row r="995" spans="11:18" x14ac:dyDescent="0.25">
      <c r="K995" s="10"/>
      <c r="M995" s="30"/>
      <c r="P995" s="32"/>
      <c r="R995" s="31"/>
    </row>
    <row r="996" spans="11:18" x14ac:dyDescent="0.25">
      <c r="K996" s="10"/>
      <c r="M996" s="30"/>
      <c r="P996" s="32"/>
      <c r="R996" s="31"/>
    </row>
    <row r="997" spans="11:18" x14ac:dyDescent="0.25">
      <c r="K997" s="10"/>
      <c r="M997" s="30"/>
      <c r="P997" s="32"/>
      <c r="R997" s="31"/>
    </row>
    <row r="998" spans="11:18" x14ac:dyDescent="0.25">
      <c r="K998" s="10"/>
      <c r="M998" s="30"/>
      <c r="P998" s="32"/>
      <c r="R998" s="31"/>
    </row>
    <row r="999" spans="11:18" x14ac:dyDescent="0.25">
      <c r="K999" s="10"/>
      <c r="M999" s="30"/>
      <c r="P999" s="32"/>
      <c r="R999" s="31"/>
    </row>
    <row r="1000" spans="11:18" x14ac:dyDescent="0.25">
      <c r="K1000" s="10"/>
      <c r="M1000" s="30"/>
      <c r="R1000" s="31"/>
    </row>
    <row r="1001" spans="11:18" x14ac:dyDescent="0.25">
      <c r="K1001" s="10"/>
      <c r="M1001" s="30"/>
      <c r="R1001" s="31"/>
    </row>
    <row r="1002" spans="11:18" x14ac:dyDescent="0.25">
      <c r="K1002" s="10"/>
      <c r="M1002" s="30"/>
      <c r="P1002" s="32"/>
      <c r="R1002" s="31"/>
    </row>
    <row r="1003" spans="11:18" x14ac:dyDescent="0.25">
      <c r="K1003" s="10"/>
      <c r="M1003" s="30"/>
      <c r="R1003" s="31"/>
    </row>
    <row r="1004" spans="11:18" x14ac:dyDescent="0.25">
      <c r="K1004" s="10"/>
      <c r="M1004" s="30"/>
      <c r="R1004" s="31"/>
    </row>
    <row r="1005" spans="11:18" x14ac:dyDescent="0.25">
      <c r="K1005" s="10"/>
      <c r="M1005" s="30"/>
      <c r="R1005" s="31"/>
    </row>
    <row r="1006" spans="11:18" x14ac:dyDescent="0.25">
      <c r="K1006" s="10"/>
      <c r="M1006" s="30"/>
      <c r="R1006" s="31"/>
    </row>
    <row r="1007" spans="11:18" x14ac:dyDescent="0.25">
      <c r="K1007" s="10"/>
      <c r="M1007" s="30"/>
      <c r="R1007" s="31"/>
    </row>
    <row r="1008" spans="11:18" x14ac:dyDescent="0.25">
      <c r="K1008" s="10"/>
      <c r="M1008" s="30"/>
      <c r="R1008" s="31"/>
    </row>
    <row r="1009" spans="11:18" x14ac:dyDescent="0.25">
      <c r="K1009" s="10"/>
      <c r="M1009" s="30"/>
      <c r="R1009" s="31"/>
    </row>
    <row r="1010" spans="11:18" x14ac:dyDescent="0.25">
      <c r="K1010" s="10"/>
      <c r="M1010" s="30"/>
      <c r="R1010" s="31"/>
    </row>
    <row r="1011" spans="11:18" x14ac:dyDescent="0.25">
      <c r="K1011" s="10"/>
      <c r="M1011" s="30"/>
      <c r="R1011" s="31"/>
    </row>
    <row r="1012" spans="11:18" x14ac:dyDescent="0.25">
      <c r="K1012" s="10"/>
      <c r="M1012" s="30"/>
      <c r="R1012" s="31"/>
    </row>
    <row r="1013" spans="11:18" x14ac:dyDescent="0.25">
      <c r="K1013" s="10"/>
      <c r="M1013" s="30"/>
      <c r="R1013" s="31"/>
    </row>
    <row r="1014" spans="11:18" x14ac:dyDescent="0.25">
      <c r="K1014" s="10"/>
      <c r="M1014" s="30"/>
      <c r="R1014" s="31"/>
    </row>
    <row r="1015" spans="11:18" x14ac:dyDescent="0.25">
      <c r="K1015" s="10"/>
      <c r="M1015" s="30"/>
      <c r="P1015" s="32"/>
      <c r="R1015" s="31"/>
    </row>
    <row r="1016" spans="11:18" x14ac:dyDescent="0.25">
      <c r="K1016" s="10"/>
      <c r="M1016" s="30"/>
      <c r="P1016" s="32"/>
      <c r="R1016" s="31"/>
    </row>
    <row r="1017" spans="11:18" x14ac:dyDescent="0.25">
      <c r="K1017" s="10"/>
      <c r="M1017" s="30"/>
      <c r="P1017" s="32"/>
      <c r="R1017" s="31"/>
    </row>
    <row r="1018" spans="11:18" x14ac:dyDescent="0.25">
      <c r="K1018" s="10"/>
      <c r="M1018" s="30"/>
      <c r="P1018" s="32"/>
      <c r="R1018" s="31"/>
    </row>
    <row r="1019" spans="11:18" x14ac:dyDescent="0.25">
      <c r="K1019" s="10"/>
      <c r="M1019" s="30"/>
      <c r="P1019" s="32"/>
      <c r="R1019" s="31"/>
    </row>
    <row r="1020" spans="11:18" x14ac:dyDescent="0.25">
      <c r="K1020" s="10"/>
      <c r="M1020" s="30"/>
      <c r="P1020" s="32"/>
      <c r="R1020" s="31"/>
    </row>
    <row r="1021" spans="11:18" x14ac:dyDescent="0.25">
      <c r="K1021" s="10"/>
      <c r="M1021" s="30"/>
      <c r="P1021" s="32"/>
      <c r="R1021" s="31"/>
    </row>
    <row r="1022" spans="11:18" x14ac:dyDescent="0.25">
      <c r="K1022" s="10"/>
      <c r="M1022" s="30"/>
      <c r="P1022" s="32"/>
      <c r="R1022" s="31"/>
    </row>
    <row r="1023" spans="11:18" x14ac:dyDescent="0.25">
      <c r="K1023" s="10"/>
      <c r="M1023" s="30"/>
      <c r="P1023" s="32"/>
      <c r="R1023" s="31"/>
    </row>
    <row r="1024" spans="11:18" x14ac:dyDescent="0.25">
      <c r="K1024" s="10"/>
      <c r="M1024" s="30"/>
      <c r="P1024" s="32"/>
      <c r="R1024" s="31"/>
    </row>
    <row r="1025" spans="8:18" x14ac:dyDescent="0.25">
      <c r="K1025" s="10"/>
      <c r="M1025" s="30"/>
      <c r="P1025" s="32"/>
      <c r="R1025" s="31"/>
    </row>
    <row r="1026" spans="8:18" x14ac:dyDescent="0.25">
      <c r="K1026" s="10"/>
      <c r="M1026" s="30"/>
      <c r="P1026" s="32"/>
      <c r="R1026" s="31"/>
    </row>
    <row r="1027" spans="8:18" x14ac:dyDescent="0.25">
      <c r="K1027" s="10"/>
      <c r="M1027" s="30"/>
      <c r="P1027" s="32"/>
      <c r="R1027" s="31"/>
    </row>
    <row r="1028" spans="8:18" x14ac:dyDescent="0.25">
      <c r="K1028" s="10"/>
      <c r="M1028" s="30"/>
      <c r="P1028" s="32"/>
      <c r="R1028" s="31"/>
    </row>
    <row r="1029" spans="8:18" x14ac:dyDescent="0.25">
      <c r="H1029" s="34"/>
      <c r="K1029" s="10"/>
      <c r="M1029" s="30"/>
      <c r="P1029" s="32"/>
      <c r="R1029" s="31"/>
    </row>
    <row r="1030" spans="8:18" x14ac:dyDescent="0.25">
      <c r="H1030" s="34"/>
      <c r="K1030" s="10"/>
      <c r="M1030" s="30"/>
      <c r="R1030" s="31"/>
    </row>
    <row r="1031" spans="8:18" x14ac:dyDescent="0.25">
      <c r="H1031" s="34"/>
      <c r="K1031" s="10"/>
      <c r="M1031" s="30"/>
      <c r="R1031" s="31"/>
    </row>
    <row r="1032" spans="8:18" x14ac:dyDescent="0.25">
      <c r="H1032" s="34"/>
      <c r="K1032" s="10"/>
      <c r="M1032" s="30"/>
      <c r="R1032" s="31"/>
    </row>
    <row r="1033" spans="8:18" x14ac:dyDescent="0.25">
      <c r="K1033" s="10"/>
      <c r="M1033" s="30"/>
      <c r="R1033" s="31"/>
    </row>
    <row r="1034" spans="8:18" x14ac:dyDescent="0.25">
      <c r="K1034" s="10"/>
      <c r="M1034" s="30"/>
      <c r="R1034" s="31"/>
    </row>
    <row r="1035" spans="8:18" x14ac:dyDescent="0.25">
      <c r="K1035" s="10"/>
      <c r="M1035" s="30"/>
      <c r="R1035" s="33"/>
    </row>
    <row r="1036" spans="8:18" x14ac:dyDescent="0.25">
      <c r="K1036" s="10"/>
      <c r="M1036" s="30"/>
      <c r="R1036" s="31"/>
    </row>
    <row r="1037" spans="8:18" x14ac:dyDescent="0.25">
      <c r="K1037" s="10"/>
      <c r="M1037" s="30"/>
      <c r="R1037" s="31"/>
    </row>
    <row r="1038" spans="8:18" x14ac:dyDescent="0.25">
      <c r="K1038" s="10"/>
      <c r="M1038" s="30"/>
      <c r="R1038" s="31"/>
    </row>
    <row r="1039" spans="8:18" x14ac:dyDescent="0.25">
      <c r="K1039" s="10"/>
      <c r="M1039" s="30"/>
      <c r="R1039" s="31"/>
    </row>
    <row r="1040" spans="8:18" x14ac:dyDescent="0.25">
      <c r="K1040" s="10"/>
      <c r="M1040" s="30"/>
      <c r="R1040" s="31"/>
    </row>
    <row r="1041" spans="11:18" x14ac:dyDescent="0.25">
      <c r="K1041" s="10"/>
      <c r="M1041" s="30"/>
      <c r="R1041" s="31"/>
    </row>
    <row r="1042" spans="11:18" x14ac:dyDescent="0.25">
      <c r="K1042" s="10"/>
      <c r="M1042" s="30"/>
      <c r="R1042" s="31"/>
    </row>
    <row r="1043" spans="11:18" x14ac:dyDescent="0.25">
      <c r="K1043" s="10"/>
      <c r="M1043" s="30"/>
      <c r="R1043" s="31"/>
    </row>
    <row r="1044" spans="11:18" x14ac:dyDescent="0.25">
      <c r="K1044" s="10"/>
      <c r="M1044" s="30"/>
      <c r="R1044" s="31"/>
    </row>
    <row r="1045" spans="11:18" x14ac:dyDescent="0.25">
      <c r="K1045" s="10"/>
      <c r="M1045" s="30"/>
      <c r="R1045" s="33"/>
    </row>
    <row r="1046" spans="11:18" x14ac:dyDescent="0.25">
      <c r="K1046" s="10"/>
      <c r="M1046" s="30"/>
      <c r="R1046" s="31"/>
    </row>
    <row r="1047" spans="11:18" x14ac:dyDescent="0.25">
      <c r="K1047" s="10"/>
      <c r="M1047" s="30"/>
      <c r="R1047" s="31"/>
    </row>
    <row r="1048" spans="11:18" x14ac:dyDescent="0.25">
      <c r="K1048" s="10"/>
      <c r="M1048" s="30"/>
      <c r="R1048" s="31"/>
    </row>
    <row r="1049" spans="11:18" x14ac:dyDescent="0.25">
      <c r="K1049" s="10"/>
      <c r="M1049" s="30"/>
      <c r="R1049" s="31"/>
    </row>
    <row r="1050" spans="11:18" x14ac:dyDescent="0.25">
      <c r="K1050" s="10"/>
      <c r="M1050" s="30"/>
      <c r="R1050" s="31"/>
    </row>
    <row r="1051" spans="11:18" x14ac:dyDescent="0.25">
      <c r="K1051" s="10"/>
      <c r="M1051" s="30"/>
      <c r="R1051" s="33"/>
    </row>
    <row r="1052" spans="11:18" x14ac:dyDescent="0.25">
      <c r="K1052" s="10"/>
      <c r="M1052" s="30"/>
      <c r="R1052" s="31"/>
    </row>
    <row r="1053" spans="11:18" x14ac:dyDescent="0.25">
      <c r="K1053" s="10"/>
      <c r="M1053" s="30"/>
      <c r="R1053" s="31"/>
    </row>
    <row r="1054" spans="11:18" x14ac:dyDescent="0.25">
      <c r="K1054" s="10"/>
      <c r="M1054" s="30"/>
      <c r="R1054" s="31"/>
    </row>
    <row r="1055" spans="11:18" x14ac:dyDescent="0.25">
      <c r="K1055" s="10"/>
      <c r="M1055" s="30"/>
      <c r="R1055" s="31"/>
    </row>
    <row r="1056" spans="11:18" x14ac:dyDescent="0.25">
      <c r="K1056" s="10"/>
      <c r="M1056" s="30"/>
      <c r="R1056" s="31"/>
    </row>
    <row r="1057" spans="11:18" x14ac:dyDescent="0.25">
      <c r="K1057" s="10"/>
      <c r="M1057" s="30"/>
      <c r="R1057" s="31"/>
    </row>
    <row r="1058" spans="11:18" x14ac:dyDescent="0.25">
      <c r="K1058" s="10"/>
      <c r="M1058" s="30"/>
      <c r="R1058" s="31"/>
    </row>
    <row r="1059" spans="11:18" x14ac:dyDescent="0.25">
      <c r="K1059" s="10"/>
      <c r="M1059" s="30"/>
      <c r="R1059" s="31"/>
    </row>
    <row r="1060" spans="11:18" x14ac:dyDescent="0.25">
      <c r="K1060" s="10"/>
      <c r="M1060" s="30"/>
      <c r="R1060" s="31"/>
    </row>
    <row r="1061" spans="11:18" x14ac:dyDescent="0.25">
      <c r="K1061" s="10"/>
      <c r="M1061" s="30"/>
      <c r="R1061" s="31"/>
    </row>
    <row r="1062" spans="11:18" x14ac:dyDescent="0.25">
      <c r="K1062" s="10"/>
      <c r="M1062" s="30"/>
      <c r="R1062" s="31"/>
    </row>
    <row r="1063" spans="11:18" x14ac:dyDescent="0.25">
      <c r="K1063" s="10"/>
      <c r="M1063" s="30"/>
      <c r="R1063" s="31"/>
    </row>
    <row r="1064" spans="11:18" x14ac:dyDescent="0.25">
      <c r="K1064" s="10"/>
      <c r="M1064" s="30"/>
      <c r="R1064" s="31"/>
    </row>
    <row r="1065" spans="11:18" x14ac:dyDescent="0.25">
      <c r="K1065" s="10"/>
      <c r="M1065" s="30"/>
      <c r="R1065" s="31"/>
    </row>
    <row r="1066" spans="11:18" x14ac:dyDescent="0.25">
      <c r="K1066" s="10"/>
      <c r="M1066" s="30"/>
      <c r="R1066" s="31"/>
    </row>
    <row r="1067" spans="11:18" x14ac:dyDescent="0.25">
      <c r="K1067" s="10"/>
      <c r="M1067" s="30"/>
      <c r="R1067" s="31"/>
    </row>
    <row r="1068" spans="11:18" x14ac:dyDescent="0.25">
      <c r="K1068" s="10"/>
      <c r="M1068" s="30"/>
      <c r="R1068" s="31"/>
    </row>
    <row r="1069" spans="11:18" x14ac:dyDescent="0.25">
      <c r="K1069" s="10"/>
      <c r="M1069" s="30"/>
      <c r="R1069" s="31"/>
    </row>
    <row r="1070" spans="11:18" x14ac:dyDescent="0.25">
      <c r="K1070" s="10"/>
      <c r="M1070" s="30"/>
      <c r="R1070" s="31"/>
    </row>
    <row r="1071" spans="11:18" x14ac:dyDescent="0.25">
      <c r="K1071" s="10"/>
      <c r="M1071" s="30"/>
      <c r="R1071" s="31"/>
    </row>
    <row r="1072" spans="11:18" x14ac:dyDescent="0.25">
      <c r="K1072" s="10"/>
      <c r="M1072" s="30"/>
      <c r="R1072" s="31"/>
    </row>
    <row r="1073" spans="11:18" x14ac:dyDescent="0.25">
      <c r="K1073" s="10"/>
      <c r="M1073" s="30"/>
      <c r="R1073" s="31"/>
    </row>
    <row r="1074" spans="11:18" x14ac:dyDescent="0.25">
      <c r="K1074" s="10"/>
      <c r="M1074" s="30"/>
      <c r="R1074" s="31"/>
    </row>
    <row r="1075" spans="11:18" x14ac:dyDescent="0.25">
      <c r="K1075" s="10"/>
      <c r="M1075" s="30"/>
      <c r="R1075" s="31"/>
    </row>
    <row r="1076" spans="11:18" x14ac:dyDescent="0.25">
      <c r="K1076" s="10"/>
      <c r="M1076" s="30"/>
      <c r="R1076" s="31"/>
    </row>
    <row r="1077" spans="11:18" x14ac:dyDescent="0.25">
      <c r="K1077" s="10"/>
      <c r="M1077" s="30"/>
      <c r="R1077" s="31"/>
    </row>
    <row r="1078" spans="11:18" x14ac:dyDescent="0.25">
      <c r="K1078" s="10"/>
      <c r="M1078" s="30"/>
      <c r="R1078" s="31"/>
    </row>
    <row r="1079" spans="11:18" x14ac:dyDescent="0.25">
      <c r="K1079" s="10"/>
      <c r="M1079" s="30"/>
      <c r="R1079" s="31"/>
    </row>
    <row r="1080" spans="11:18" x14ac:dyDescent="0.25">
      <c r="K1080" s="10"/>
      <c r="M1080" s="30"/>
      <c r="R1080" s="31"/>
    </row>
    <row r="1081" spans="11:18" x14ac:dyDescent="0.25">
      <c r="K1081" s="10"/>
      <c r="M1081" s="30"/>
      <c r="R1081" s="31"/>
    </row>
    <row r="1082" spans="11:18" x14ac:dyDescent="0.25">
      <c r="K1082" s="10"/>
      <c r="M1082" s="30"/>
      <c r="R1082" s="31"/>
    </row>
    <row r="1083" spans="11:18" x14ac:dyDescent="0.25">
      <c r="K1083" s="10"/>
      <c r="M1083" s="30"/>
      <c r="R1083" s="31"/>
    </row>
    <row r="1084" spans="11:18" x14ac:dyDescent="0.25">
      <c r="K1084" s="10"/>
      <c r="M1084" s="30"/>
      <c r="R1084" s="31"/>
    </row>
    <row r="1085" spans="11:18" x14ac:dyDescent="0.25">
      <c r="K1085" s="10"/>
      <c r="M1085" s="30"/>
      <c r="R1085" s="31"/>
    </row>
    <row r="1086" spans="11:18" x14ac:dyDescent="0.25">
      <c r="K1086" s="10"/>
      <c r="M1086" s="30"/>
      <c r="R1086" s="31"/>
    </row>
    <row r="1087" spans="11:18" x14ac:dyDescent="0.25">
      <c r="K1087" s="10"/>
      <c r="M1087" s="30"/>
      <c r="R1087" s="31"/>
    </row>
    <row r="1088" spans="11:18" x14ac:dyDescent="0.25">
      <c r="K1088" s="10"/>
      <c r="M1088" s="30"/>
      <c r="R1088" s="31"/>
    </row>
    <row r="1089" spans="11:18" x14ac:dyDescent="0.25">
      <c r="K1089" s="10"/>
      <c r="M1089" s="30"/>
      <c r="R1089" s="31"/>
    </row>
    <row r="1090" spans="11:18" x14ac:dyDescent="0.25">
      <c r="K1090" s="10"/>
      <c r="M1090" s="30"/>
      <c r="R1090" s="31"/>
    </row>
    <row r="1091" spans="11:18" x14ac:dyDescent="0.25">
      <c r="K1091" s="10"/>
      <c r="M1091" s="30"/>
      <c r="R1091" s="31"/>
    </row>
    <row r="1092" spans="11:18" x14ac:dyDescent="0.25">
      <c r="K1092" s="10"/>
      <c r="M1092" s="30"/>
      <c r="R1092" s="31"/>
    </row>
    <row r="1093" spans="11:18" x14ac:dyDescent="0.25">
      <c r="K1093" s="10"/>
      <c r="M1093" s="30"/>
      <c r="R1093" s="31"/>
    </row>
    <row r="1094" spans="11:18" x14ac:dyDescent="0.25">
      <c r="K1094" s="10"/>
      <c r="M1094" s="30"/>
      <c r="R1094" s="31"/>
    </row>
    <row r="1095" spans="11:18" x14ac:dyDescent="0.25">
      <c r="K1095" s="10"/>
      <c r="M1095" s="30"/>
      <c r="R1095" s="31"/>
    </row>
    <row r="1096" spans="11:18" x14ac:dyDescent="0.25">
      <c r="K1096" s="10"/>
      <c r="M1096" s="30"/>
      <c r="R1096" s="31"/>
    </row>
    <row r="1097" spans="11:18" x14ac:dyDescent="0.25">
      <c r="K1097" s="10"/>
      <c r="M1097" s="30"/>
      <c r="R1097" s="31"/>
    </row>
    <row r="1098" spans="11:18" x14ac:dyDescent="0.25">
      <c r="K1098" s="10"/>
      <c r="M1098" s="30"/>
      <c r="R1098" s="31"/>
    </row>
    <row r="1099" spans="11:18" x14ac:dyDescent="0.25">
      <c r="K1099" s="10"/>
      <c r="M1099" s="30"/>
      <c r="R1099" s="31"/>
    </row>
    <row r="1100" spans="11:18" x14ac:dyDescent="0.25">
      <c r="K1100" s="10"/>
      <c r="M1100" s="30"/>
      <c r="R1100" s="31"/>
    </row>
    <row r="1101" spans="11:18" x14ac:dyDescent="0.25">
      <c r="K1101" s="10"/>
      <c r="M1101" s="30"/>
      <c r="R1101" s="31"/>
    </row>
    <row r="1102" spans="11:18" x14ac:dyDescent="0.25">
      <c r="K1102" s="10"/>
      <c r="M1102" s="30"/>
      <c r="R1102" s="31"/>
    </row>
    <row r="1103" spans="11:18" x14ac:dyDescent="0.25">
      <c r="K1103" s="10"/>
      <c r="M1103" s="30"/>
      <c r="R1103" s="31"/>
    </row>
    <row r="1104" spans="11:18" x14ac:dyDescent="0.25">
      <c r="K1104" s="10"/>
      <c r="M1104" s="30"/>
      <c r="R1104" s="31"/>
    </row>
    <row r="1105" spans="11:18" x14ac:dyDescent="0.25">
      <c r="K1105" s="10"/>
      <c r="M1105" s="30"/>
      <c r="R1105" s="31"/>
    </row>
    <row r="1106" spans="11:18" x14ac:dyDescent="0.25">
      <c r="K1106" s="10"/>
      <c r="M1106" s="30"/>
      <c r="R1106" s="31"/>
    </row>
    <row r="1107" spans="11:18" x14ac:dyDescent="0.25">
      <c r="K1107" s="10"/>
      <c r="M1107" s="30"/>
      <c r="R1107" s="31"/>
    </row>
    <row r="1108" spans="11:18" x14ac:dyDescent="0.25">
      <c r="K1108" s="10"/>
      <c r="M1108" s="30"/>
      <c r="R1108" s="31"/>
    </row>
    <row r="1109" spans="11:18" x14ac:dyDescent="0.25">
      <c r="K1109" s="10"/>
      <c r="M1109" s="30"/>
      <c r="R1109" s="31"/>
    </row>
    <row r="1110" spans="11:18" x14ac:dyDescent="0.25">
      <c r="K1110" s="10"/>
      <c r="M1110" s="30"/>
      <c r="R1110" s="31"/>
    </row>
    <row r="1111" spans="11:18" x14ac:dyDescent="0.25">
      <c r="K1111" s="10"/>
      <c r="M1111" s="30"/>
      <c r="R1111" s="31"/>
    </row>
    <row r="1112" spans="11:18" x14ac:dyDescent="0.25">
      <c r="K1112" s="10"/>
      <c r="M1112" s="30"/>
      <c r="R1112" s="31"/>
    </row>
    <row r="1113" spans="11:18" x14ac:dyDescent="0.25">
      <c r="K1113" s="10"/>
      <c r="M1113" s="30"/>
      <c r="R1113" s="31"/>
    </row>
    <row r="1114" spans="11:18" x14ac:dyDescent="0.25">
      <c r="K1114" s="10"/>
      <c r="M1114" s="30"/>
      <c r="R1114" s="31"/>
    </row>
    <row r="1115" spans="11:18" x14ac:dyDescent="0.25">
      <c r="K1115" s="10"/>
      <c r="M1115" s="30"/>
      <c r="R1115" s="31"/>
    </row>
    <row r="1116" spans="11:18" x14ac:dyDescent="0.25">
      <c r="K1116" s="10"/>
      <c r="M1116" s="30"/>
      <c r="R1116" s="31"/>
    </row>
    <row r="1117" spans="11:18" x14ac:dyDescent="0.25">
      <c r="K1117" s="10"/>
      <c r="M1117" s="30"/>
      <c r="R1117" s="31"/>
    </row>
    <row r="1118" spans="11:18" x14ac:dyDescent="0.25">
      <c r="K1118" s="10"/>
      <c r="M1118" s="30"/>
      <c r="R1118" s="31"/>
    </row>
    <row r="1119" spans="11:18" x14ac:dyDescent="0.25">
      <c r="K1119" s="10"/>
      <c r="M1119" s="30"/>
      <c r="R1119" s="31"/>
    </row>
    <row r="1120" spans="11:18" x14ac:dyDescent="0.25">
      <c r="K1120" s="10"/>
      <c r="M1120" s="30"/>
      <c r="R1120" s="31"/>
    </row>
    <row r="1121" spans="11:18" x14ac:dyDescent="0.25">
      <c r="K1121" s="10"/>
      <c r="M1121" s="30"/>
      <c r="R1121" s="31"/>
    </row>
    <row r="1122" spans="11:18" x14ac:dyDescent="0.25">
      <c r="K1122" s="10"/>
      <c r="M1122" s="30"/>
      <c r="R1122" s="31"/>
    </row>
    <row r="1123" spans="11:18" x14ac:dyDescent="0.25">
      <c r="K1123" s="10"/>
      <c r="M1123" s="30"/>
      <c r="R1123" s="31"/>
    </row>
    <row r="1124" spans="11:18" x14ac:dyDescent="0.25">
      <c r="K1124" s="10"/>
      <c r="M1124" s="30"/>
      <c r="R1124" s="31"/>
    </row>
    <row r="1125" spans="11:18" x14ac:dyDescent="0.25">
      <c r="K1125" s="10"/>
      <c r="M1125" s="30"/>
      <c r="R1125" s="31"/>
    </row>
    <row r="1126" spans="11:18" x14ac:dyDescent="0.25">
      <c r="K1126" s="10"/>
      <c r="M1126" s="30"/>
      <c r="R1126" s="31"/>
    </row>
    <row r="1127" spans="11:18" x14ac:dyDescent="0.25">
      <c r="K1127" s="10"/>
      <c r="M1127" s="30"/>
      <c r="R1127" s="31"/>
    </row>
    <row r="1128" spans="11:18" x14ac:dyDescent="0.25">
      <c r="K1128" s="10"/>
      <c r="M1128" s="30"/>
      <c r="R1128" s="31"/>
    </row>
    <row r="1129" spans="11:18" x14ac:dyDescent="0.25">
      <c r="K1129" s="10"/>
      <c r="M1129" s="30"/>
      <c r="R1129" s="31"/>
    </row>
    <row r="1130" spans="11:18" x14ac:dyDescent="0.25">
      <c r="K1130" s="10"/>
      <c r="M1130" s="30"/>
      <c r="R1130" s="31"/>
    </row>
    <row r="1131" spans="11:18" x14ac:dyDescent="0.25">
      <c r="K1131" s="10"/>
      <c r="M1131" s="30"/>
      <c r="R1131" s="31"/>
    </row>
    <row r="1132" spans="11:18" x14ac:dyDescent="0.25">
      <c r="K1132" s="10"/>
      <c r="M1132" s="30"/>
      <c r="R1132" s="31"/>
    </row>
    <row r="1133" spans="11:18" x14ac:dyDescent="0.25">
      <c r="K1133" s="10"/>
      <c r="M1133" s="30"/>
      <c r="R1133" s="31"/>
    </row>
    <row r="1134" spans="11:18" x14ac:dyDescent="0.25">
      <c r="K1134" s="10"/>
      <c r="M1134" s="30"/>
      <c r="R1134" s="31"/>
    </row>
    <row r="1135" spans="11:18" x14ac:dyDescent="0.25">
      <c r="K1135" s="10"/>
      <c r="M1135" s="30"/>
      <c r="R1135" s="31"/>
    </row>
    <row r="1136" spans="11:18" x14ac:dyDescent="0.25">
      <c r="K1136" s="10"/>
      <c r="M1136" s="30"/>
      <c r="R1136" s="31"/>
    </row>
    <row r="1137" spans="11:18" x14ac:dyDescent="0.25">
      <c r="K1137" s="10"/>
      <c r="M1137" s="30"/>
      <c r="R1137" s="31"/>
    </row>
    <row r="1138" spans="11:18" x14ac:dyDescent="0.25">
      <c r="K1138" s="10"/>
      <c r="M1138" s="30"/>
      <c r="R1138" s="31"/>
    </row>
    <row r="1139" spans="11:18" x14ac:dyDescent="0.25">
      <c r="K1139" s="10"/>
      <c r="M1139" s="30"/>
      <c r="R1139" s="31"/>
    </row>
    <row r="1140" spans="11:18" x14ac:dyDescent="0.25">
      <c r="K1140" s="10"/>
      <c r="M1140" s="30"/>
      <c r="R1140" s="31"/>
    </row>
    <row r="1141" spans="11:18" x14ac:dyDescent="0.25">
      <c r="K1141" s="10"/>
      <c r="M1141" s="30"/>
      <c r="R1141" s="31"/>
    </row>
    <row r="1142" spans="11:18" x14ac:dyDescent="0.25">
      <c r="K1142" s="10"/>
      <c r="M1142" s="30"/>
      <c r="R1142" s="31"/>
    </row>
    <row r="1143" spans="11:18" x14ac:dyDescent="0.25">
      <c r="K1143" s="10"/>
      <c r="M1143" s="30"/>
      <c r="R1143" s="31"/>
    </row>
    <row r="1144" spans="11:18" x14ac:dyDescent="0.25">
      <c r="K1144" s="10"/>
      <c r="M1144" s="30"/>
      <c r="R1144" s="31"/>
    </row>
    <row r="1145" spans="11:18" x14ac:dyDescent="0.25">
      <c r="K1145" s="10"/>
      <c r="M1145" s="30"/>
      <c r="R1145" s="31"/>
    </row>
    <row r="1146" spans="11:18" x14ac:dyDescent="0.25">
      <c r="K1146" s="10"/>
      <c r="M1146" s="30"/>
      <c r="R1146" s="31"/>
    </row>
    <row r="1147" spans="11:18" x14ac:dyDescent="0.25">
      <c r="K1147" s="10"/>
      <c r="M1147" s="30"/>
      <c r="P1147" s="32"/>
      <c r="R1147" s="31"/>
    </row>
    <row r="1148" spans="11:18" x14ac:dyDescent="0.25">
      <c r="K1148" s="10"/>
      <c r="M1148" s="30"/>
      <c r="R1148" s="31"/>
    </row>
    <row r="1149" spans="11:18" x14ac:dyDescent="0.25">
      <c r="K1149" s="10"/>
      <c r="M1149" s="30"/>
      <c r="R1149" s="31"/>
    </row>
    <row r="1150" spans="11:18" x14ac:dyDescent="0.25">
      <c r="K1150" s="10"/>
      <c r="M1150" s="30"/>
      <c r="R1150" s="31"/>
    </row>
    <row r="1151" spans="11:18" x14ac:dyDescent="0.25">
      <c r="K1151" s="10"/>
      <c r="M1151" s="30"/>
      <c r="R1151" s="31"/>
    </row>
    <row r="1152" spans="11:18" x14ac:dyDescent="0.25">
      <c r="K1152" s="10"/>
      <c r="M1152" s="30"/>
      <c r="R1152" s="31"/>
    </row>
    <row r="1153" spans="11:18" x14ac:dyDescent="0.25">
      <c r="K1153" s="10"/>
      <c r="M1153" s="30"/>
      <c r="R1153" s="31"/>
    </row>
    <row r="1154" spans="11:18" x14ac:dyDescent="0.25">
      <c r="K1154" s="10"/>
      <c r="M1154" s="30"/>
      <c r="R1154" s="31"/>
    </row>
    <row r="1155" spans="11:18" x14ac:dyDescent="0.25">
      <c r="K1155" s="10"/>
      <c r="M1155" s="30"/>
      <c r="R1155" s="31"/>
    </row>
    <row r="1156" spans="11:18" x14ac:dyDescent="0.25">
      <c r="K1156" s="10"/>
      <c r="M1156" s="30"/>
      <c r="R1156" s="31"/>
    </row>
    <row r="1157" spans="11:18" x14ac:dyDescent="0.25">
      <c r="K1157" s="10"/>
      <c r="M1157" s="30"/>
      <c r="R1157" s="31"/>
    </row>
    <row r="1158" spans="11:18" x14ac:dyDescent="0.25">
      <c r="K1158" s="10"/>
      <c r="M1158" s="30"/>
      <c r="P1158" s="32"/>
      <c r="R1158" s="31"/>
    </row>
    <row r="1159" spans="11:18" x14ac:dyDescent="0.25">
      <c r="K1159" s="10"/>
      <c r="M1159" s="30"/>
      <c r="P1159" s="32"/>
      <c r="R1159" s="31"/>
    </row>
    <row r="1160" spans="11:18" x14ac:dyDescent="0.25">
      <c r="K1160" s="10"/>
      <c r="M1160" s="30"/>
      <c r="P1160" s="32"/>
      <c r="R1160" s="31"/>
    </row>
    <row r="1161" spans="11:18" x14ac:dyDescent="0.25">
      <c r="K1161" s="10"/>
      <c r="M1161" s="30"/>
      <c r="P1161" s="32"/>
      <c r="R1161" s="31"/>
    </row>
    <row r="1162" spans="11:18" x14ac:dyDescent="0.25">
      <c r="K1162" s="10"/>
      <c r="M1162" s="30"/>
      <c r="P1162" s="32"/>
      <c r="R1162" s="31"/>
    </row>
    <row r="1163" spans="11:18" x14ac:dyDescent="0.25">
      <c r="K1163" s="10"/>
      <c r="M1163" s="30"/>
      <c r="P1163" s="32"/>
      <c r="R1163" s="31"/>
    </row>
    <row r="1164" spans="11:18" x14ac:dyDescent="0.25">
      <c r="K1164" s="10"/>
      <c r="M1164" s="30"/>
      <c r="P1164" s="32"/>
      <c r="R1164" s="31"/>
    </row>
    <row r="1165" spans="11:18" x14ac:dyDescent="0.25">
      <c r="K1165" s="10"/>
      <c r="M1165" s="30"/>
      <c r="P1165" s="32"/>
      <c r="R1165" s="31"/>
    </row>
    <row r="1166" spans="11:18" x14ac:dyDescent="0.25">
      <c r="K1166" s="10"/>
      <c r="M1166" s="30"/>
      <c r="P1166" s="32"/>
      <c r="R1166" s="31"/>
    </row>
    <row r="1167" spans="11:18" x14ac:dyDescent="0.25">
      <c r="K1167" s="10"/>
      <c r="M1167" s="30"/>
      <c r="P1167" s="32"/>
      <c r="R1167" s="31"/>
    </row>
    <row r="1168" spans="11:18" x14ac:dyDescent="0.25">
      <c r="K1168" s="10"/>
      <c r="M1168" s="30"/>
      <c r="P1168" s="32"/>
      <c r="R1168" s="31"/>
    </row>
    <row r="1169" spans="11:18" x14ac:dyDescent="0.25">
      <c r="K1169" s="10"/>
      <c r="M1169" s="30"/>
      <c r="P1169" s="32"/>
      <c r="R1169" s="31"/>
    </row>
    <row r="1170" spans="11:18" x14ac:dyDescent="0.25">
      <c r="K1170" s="10"/>
      <c r="M1170" s="30"/>
      <c r="P1170" s="32"/>
      <c r="R1170" s="31"/>
    </row>
    <row r="1171" spans="11:18" x14ac:dyDescent="0.25">
      <c r="K1171" s="10"/>
      <c r="M1171" s="30"/>
      <c r="P1171" s="32"/>
      <c r="R1171" s="31"/>
    </row>
    <row r="1172" spans="11:18" x14ac:dyDescent="0.25">
      <c r="K1172" s="10"/>
      <c r="M1172" s="30"/>
      <c r="P1172" s="32"/>
      <c r="R1172" s="31"/>
    </row>
    <row r="1173" spans="11:18" x14ac:dyDescent="0.25">
      <c r="K1173" s="10"/>
      <c r="M1173" s="30"/>
      <c r="P1173" s="32"/>
      <c r="R1173" s="31"/>
    </row>
    <row r="1174" spans="11:18" x14ac:dyDescent="0.25">
      <c r="K1174" s="10"/>
      <c r="M1174" s="30"/>
      <c r="P1174" s="32"/>
      <c r="R1174" s="31"/>
    </row>
    <row r="1175" spans="11:18" x14ac:dyDescent="0.25">
      <c r="K1175" s="10"/>
      <c r="M1175" s="30"/>
      <c r="R1175" s="31"/>
    </row>
    <row r="1176" spans="11:18" x14ac:dyDescent="0.25">
      <c r="K1176" s="10"/>
      <c r="M1176" s="30"/>
      <c r="R1176" s="31"/>
    </row>
    <row r="1177" spans="11:18" x14ac:dyDescent="0.25">
      <c r="K1177" s="10"/>
      <c r="M1177" s="30"/>
      <c r="R1177" s="31"/>
    </row>
    <row r="1178" spans="11:18" x14ac:dyDescent="0.25">
      <c r="K1178" s="10"/>
      <c r="M1178" s="30"/>
      <c r="R1178" s="31"/>
    </row>
    <row r="1179" spans="11:18" x14ac:dyDescent="0.25">
      <c r="K1179" s="10"/>
      <c r="M1179" s="30"/>
      <c r="R1179" s="31"/>
    </row>
    <row r="1180" spans="11:18" x14ac:dyDescent="0.25">
      <c r="K1180" s="10"/>
      <c r="M1180" s="30"/>
      <c r="R1180" s="31"/>
    </row>
    <row r="1181" spans="11:18" x14ac:dyDescent="0.25">
      <c r="K1181" s="10"/>
      <c r="M1181" s="30"/>
      <c r="R1181" s="31"/>
    </row>
    <row r="1182" spans="11:18" x14ac:dyDescent="0.25">
      <c r="K1182" s="10"/>
      <c r="M1182" s="30"/>
      <c r="R1182" s="31"/>
    </row>
    <row r="1183" spans="11:18" x14ac:dyDescent="0.25">
      <c r="K1183" s="10"/>
      <c r="M1183" s="30"/>
      <c r="R1183" s="31"/>
    </row>
    <row r="1184" spans="11:18" x14ac:dyDescent="0.25">
      <c r="K1184" s="10"/>
      <c r="M1184" s="30"/>
      <c r="R1184" s="31"/>
    </row>
    <row r="1185" spans="11:18" x14ac:dyDescent="0.25">
      <c r="K1185" s="10"/>
      <c r="M1185" s="30"/>
      <c r="R1185" s="31"/>
    </row>
    <row r="1186" spans="11:18" x14ac:dyDescent="0.25">
      <c r="K1186" s="10"/>
      <c r="M1186" s="30"/>
      <c r="R1186" s="31"/>
    </row>
    <row r="1187" spans="11:18" x14ac:dyDescent="0.25">
      <c r="K1187" s="10"/>
      <c r="M1187" s="30"/>
      <c r="R1187" s="31"/>
    </row>
    <row r="1188" spans="11:18" x14ac:dyDescent="0.25">
      <c r="K1188" s="10"/>
      <c r="M1188" s="30"/>
      <c r="R1188" s="31"/>
    </row>
    <row r="1189" spans="11:18" x14ac:dyDescent="0.25">
      <c r="K1189" s="10"/>
      <c r="M1189" s="30"/>
      <c r="R1189" s="31"/>
    </row>
    <row r="1190" spans="11:18" x14ac:dyDescent="0.25">
      <c r="K1190" s="10"/>
      <c r="M1190" s="30"/>
      <c r="R1190" s="31"/>
    </row>
    <row r="1191" spans="11:18" x14ac:dyDescent="0.25">
      <c r="K1191" s="10"/>
      <c r="M1191" s="30"/>
      <c r="R1191" s="31"/>
    </row>
    <row r="1192" spans="11:18" x14ac:dyDescent="0.25">
      <c r="K1192" s="10"/>
      <c r="M1192" s="30"/>
      <c r="R1192" s="31"/>
    </row>
    <row r="1193" spans="11:18" x14ac:dyDescent="0.25">
      <c r="K1193" s="10"/>
      <c r="M1193" s="30"/>
      <c r="R1193" s="31"/>
    </row>
    <row r="1194" spans="11:18" x14ac:dyDescent="0.25">
      <c r="K1194" s="10"/>
      <c r="M1194" s="30"/>
      <c r="R1194" s="31"/>
    </row>
    <row r="1195" spans="11:18" x14ac:dyDescent="0.25">
      <c r="K1195" s="10"/>
      <c r="M1195" s="30"/>
      <c r="R1195" s="31"/>
    </row>
    <row r="1196" spans="11:18" x14ac:dyDescent="0.25">
      <c r="K1196" s="10"/>
      <c r="M1196" s="30"/>
      <c r="R1196" s="31"/>
    </row>
    <row r="1197" spans="11:18" x14ac:dyDescent="0.25">
      <c r="K1197" s="10"/>
      <c r="M1197" s="30"/>
      <c r="P1197" s="32"/>
      <c r="R1197" s="31"/>
    </row>
    <row r="1198" spans="11:18" x14ac:dyDescent="0.25">
      <c r="K1198" s="10"/>
      <c r="M1198" s="30"/>
      <c r="P1198" s="32"/>
      <c r="R1198" s="31"/>
    </row>
    <row r="1199" spans="11:18" x14ac:dyDescent="0.25">
      <c r="K1199" s="10"/>
      <c r="M1199" s="30"/>
      <c r="P1199" s="32"/>
      <c r="R1199" s="31"/>
    </row>
    <row r="1200" spans="11:18" x14ac:dyDescent="0.25">
      <c r="K1200" s="10"/>
      <c r="M1200" s="30"/>
      <c r="P1200" s="32"/>
      <c r="R1200" s="31"/>
    </row>
    <row r="1201" spans="11:18" x14ac:dyDescent="0.25">
      <c r="K1201" s="10"/>
      <c r="M1201" s="30"/>
      <c r="P1201" s="32"/>
      <c r="R1201" s="31"/>
    </row>
    <row r="1202" spans="11:18" x14ac:dyDescent="0.25">
      <c r="K1202" s="10"/>
      <c r="M1202" s="30"/>
      <c r="P1202" s="32"/>
      <c r="R1202" s="31"/>
    </row>
    <row r="1203" spans="11:18" x14ac:dyDescent="0.25">
      <c r="K1203" s="10"/>
      <c r="M1203" s="30"/>
      <c r="P1203" s="32"/>
      <c r="R1203" s="31"/>
    </row>
    <row r="1204" spans="11:18" x14ac:dyDescent="0.25">
      <c r="K1204" s="10"/>
      <c r="M1204" s="30"/>
      <c r="P1204" s="32"/>
      <c r="R1204" s="31"/>
    </row>
    <row r="1205" spans="11:18" x14ac:dyDescent="0.25">
      <c r="K1205" s="10"/>
      <c r="M1205" s="30"/>
      <c r="P1205" s="32"/>
      <c r="R1205" s="31"/>
    </row>
    <row r="1206" spans="11:18" x14ac:dyDescent="0.25">
      <c r="K1206" s="10"/>
      <c r="M1206" s="30"/>
      <c r="P1206" s="32"/>
      <c r="R1206" s="31"/>
    </row>
    <row r="1207" spans="11:18" x14ac:dyDescent="0.25">
      <c r="K1207" s="10"/>
      <c r="M1207" s="30"/>
      <c r="P1207" s="32"/>
      <c r="R1207" s="31"/>
    </row>
    <row r="1208" spans="11:18" x14ac:dyDescent="0.25">
      <c r="K1208" s="10"/>
      <c r="M1208" s="30"/>
      <c r="P1208" s="32"/>
      <c r="R1208" s="31"/>
    </row>
    <row r="1209" spans="11:18" x14ac:dyDescent="0.25">
      <c r="K1209" s="10"/>
      <c r="M1209" s="30"/>
      <c r="P1209" s="32"/>
      <c r="R1209" s="31"/>
    </row>
    <row r="1210" spans="11:18" x14ac:dyDescent="0.25">
      <c r="K1210" s="10"/>
      <c r="M1210" s="30"/>
      <c r="P1210" s="32"/>
      <c r="R1210" s="31"/>
    </row>
    <row r="1211" spans="11:18" x14ac:dyDescent="0.25">
      <c r="K1211" s="10"/>
      <c r="M1211" s="30"/>
      <c r="P1211" s="32"/>
      <c r="R1211" s="31"/>
    </row>
    <row r="1212" spans="11:18" x14ac:dyDescent="0.25">
      <c r="K1212" s="10"/>
      <c r="M1212" s="30"/>
      <c r="P1212" s="32"/>
      <c r="R1212" s="31"/>
    </row>
    <row r="1213" spans="11:18" x14ac:dyDescent="0.25">
      <c r="K1213" s="10"/>
      <c r="M1213" s="30"/>
      <c r="P1213" s="32"/>
      <c r="R1213" s="31"/>
    </row>
    <row r="1214" spans="11:18" x14ac:dyDescent="0.25">
      <c r="K1214" s="10"/>
      <c r="M1214" s="30"/>
      <c r="P1214" s="32"/>
      <c r="R1214" s="31"/>
    </row>
    <row r="1215" spans="11:18" x14ac:dyDescent="0.25">
      <c r="K1215" s="10"/>
      <c r="M1215" s="30"/>
      <c r="P1215" s="32"/>
      <c r="R1215" s="31"/>
    </row>
    <row r="1216" spans="11:18" x14ac:dyDescent="0.25">
      <c r="K1216" s="10"/>
      <c r="M1216" s="30"/>
      <c r="P1216" s="32"/>
      <c r="R1216" s="31"/>
    </row>
    <row r="1217" spans="11:18" x14ac:dyDescent="0.25">
      <c r="K1217" s="10"/>
      <c r="M1217" s="30"/>
      <c r="P1217" s="32"/>
      <c r="R1217" s="31"/>
    </row>
    <row r="1218" spans="11:18" x14ac:dyDescent="0.25">
      <c r="K1218" s="10"/>
      <c r="M1218" s="30"/>
      <c r="P1218" s="32"/>
      <c r="R1218" s="31"/>
    </row>
    <row r="1219" spans="11:18" x14ac:dyDescent="0.25">
      <c r="K1219" s="10"/>
      <c r="M1219" s="30"/>
      <c r="P1219" s="32"/>
      <c r="R1219" s="31"/>
    </row>
    <row r="1220" spans="11:18" x14ac:dyDescent="0.25">
      <c r="K1220" s="10"/>
      <c r="M1220" s="30"/>
      <c r="P1220" s="32"/>
      <c r="R1220" s="31"/>
    </row>
    <row r="1221" spans="11:18" x14ac:dyDescent="0.25">
      <c r="K1221" s="10"/>
      <c r="M1221" s="30"/>
      <c r="P1221" s="32"/>
      <c r="R1221" s="31"/>
    </row>
    <row r="1222" spans="11:18" x14ac:dyDescent="0.25">
      <c r="K1222" s="10"/>
      <c r="M1222" s="30"/>
      <c r="P1222" s="32"/>
      <c r="R1222" s="31"/>
    </row>
    <row r="1223" spans="11:18" x14ac:dyDescent="0.25">
      <c r="K1223" s="10"/>
      <c r="M1223" s="30"/>
      <c r="P1223" s="32"/>
      <c r="R1223" s="31"/>
    </row>
    <row r="1224" spans="11:18" x14ac:dyDescent="0.25">
      <c r="K1224" s="10"/>
      <c r="M1224" s="30"/>
      <c r="P1224" s="32"/>
      <c r="R1224" s="31"/>
    </row>
    <row r="1225" spans="11:18" x14ac:dyDescent="0.25">
      <c r="K1225" s="10"/>
      <c r="M1225" s="30"/>
      <c r="P1225" s="32"/>
      <c r="R1225" s="31"/>
    </row>
    <row r="1226" spans="11:18" x14ac:dyDescent="0.25">
      <c r="K1226" s="10"/>
      <c r="M1226" s="30"/>
      <c r="P1226" s="32"/>
      <c r="R1226" s="31"/>
    </row>
    <row r="1227" spans="11:18" x14ac:dyDescent="0.25">
      <c r="K1227" s="10"/>
      <c r="M1227" s="30"/>
      <c r="P1227" s="32"/>
      <c r="R1227" s="31"/>
    </row>
    <row r="1228" spans="11:18" x14ac:dyDescent="0.25">
      <c r="K1228" s="10"/>
      <c r="M1228" s="30"/>
      <c r="P1228" s="32"/>
      <c r="R1228" s="31"/>
    </row>
    <row r="1229" spans="11:18" x14ac:dyDescent="0.25">
      <c r="K1229" s="10"/>
      <c r="M1229" s="30"/>
      <c r="P1229" s="32"/>
      <c r="R1229" s="31"/>
    </row>
    <row r="1230" spans="11:18" x14ac:dyDescent="0.25">
      <c r="K1230" s="10"/>
      <c r="M1230" s="30"/>
      <c r="P1230" s="32"/>
      <c r="R1230" s="31"/>
    </row>
    <row r="1231" spans="11:18" x14ac:dyDescent="0.25">
      <c r="K1231" s="10"/>
      <c r="M1231" s="30"/>
      <c r="P1231" s="32"/>
      <c r="R1231" s="31"/>
    </row>
    <row r="1232" spans="11:18" x14ac:dyDescent="0.25">
      <c r="K1232" s="10"/>
      <c r="M1232" s="30"/>
      <c r="P1232" s="32"/>
      <c r="R1232" s="31"/>
    </row>
    <row r="1233" spans="11:18" x14ac:dyDescent="0.25">
      <c r="K1233" s="10"/>
      <c r="M1233" s="30"/>
      <c r="P1233" s="32"/>
      <c r="R1233" s="31"/>
    </row>
    <row r="1234" spans="11:18" x14ac:dyDescent="0.25">
      <c r="K1234" s="10"/>
      <c r="M1234" s="30"/>
      <c r="P1234" s="32"/>
      <c r="R1234" s="31"/>
    </row>
    <row r="1235" spans="11:18" x14ac:dyDescent="0.25">
      <c r="K1235" s="10"/>
      <c r="M1235" s="30"/>
      <c r="P1235" s="32"/>
      <c r="R1235" s="31"/>
    </row>
    <row r="1236" spans="11:18" x14ac:dyDescent="0.25">
      <c r="K1236" s="10"/>
      <c r="M1236" s="30"/>
      <c r="P1236" s="32"/>
      <c r="R1236" s="31"/>
    </row>
    <row r="1237" spans="11:18" x14ac:dyDescent="0.25">
      <c r="K1237" s="10"/>
      <c r="M1237" s="30"/>
      <c r="P1237" s="32"/>
      <c r="R1237" s="31"/>
    </row>
    <row r="1238" spans="11:18" x14ac:dyDescent="0.25">
      <c r="K1238" s="10"/>
      <c r="M1238" s="30"/>
      <c r="P1238" s="32"/>
      <c r="R1238" s="31"/>
    </row>
    <row r="1239" spans="11:18" x14ac:dyDescent="0.25">
      <c r="K1239" s="10"/>
      <c r="M1239" s="30"/>
      <c r="P1239" s="32"/>
      <c r="R1239" s="31"/>
    </row>
    <row r="1240" spans="11:18" x14ac:dyDescent="0.25">
      <c r="K1240" s="10"/>
      <c r="M1240" s="30"/>
      <c r="P1240" s="32"/>
      <c r="R1240" s="31"/>
    </row>
    <row r="1241" spans="11:18" x14ac:dyDescent="0.25">
      <c r="K1241" s="10"/>
      <c r="M1241" s="30"/>
      <c r="P1241" s="32"/>
      <c r="R1241" s="31"/>
    </row>
    <row r="1242" spans="11:18" x14ac:dyDescent="0.25">
      <c r="K1242" s="10"/>
      <c r="M1242" s="30"/>
      <c r="P1242" s="32"/>
      <c r="R1242" s="31"/>
    </row>
    <row r="1243" spans="11:18" x14ac:dyDescent="0.25">
      <c r="K1243" s="10"/>
      <c r="M1243" s="30"/>
      <c r="P1243" s="32"/>
      <c r="R1243" s="31"/>
    </row>
    <row r="1244" spans="11:18" x14ac:dyDescent="0.25">
      <c r="K1244" s="10"/>
      <c r="M1244" s="30"/>
      <c r="P1244" s="32"/>
      <c r="R1244" s="31"/>
    </row>
    <row r="1245" spans="11:18" x14ac:dyDescent="0.25">
      <c r="K1245" s="10"/>
      <c r="M1245" s="30"/>
      <c r="P1245" s="32"/>
      <c r="R1245" s="31"/>
    </row>
    <row r="1246" spans="11:18" x14ac:dyDescent="0.25">
      <c r="K1246" s="10"/>
      <c r="M1246" s="30"/>
      <c r="P1246" s="32"/>
      <c r="R1246" s="31"/>
    </row>
    <row r="1247" spans="11:18" x14ac:dyDescent="0.25">
      <c r="K1247" s="10"/>
      <c r="M1247" s="30"/>
      <c r="P1247" s="32"/>
      <c r="R1247" s="31"/>
    </row>
    <row r="1248" spans="11:18" x14ac:dyDescent="0.25">
      <c r="K1248" s="10"/>
      <c r="M1248" s="30"/>
      <c r="P1248" s="32"/>
      <c r="R1248" s="31"/>
    </row>
    <row r="1249" spans="11:18" x14ac:dyDescent="0.25">
      <c r="K1249" s="10"/>
      <c r="M1249" s="30"/>
      <c r="R1249" s="31"/>
    </row>
    <row r="1250" spans="11:18" x14ac:dyDescent="0.25">
      <c r="K1250" s="10"/>
      <c r="M1250" s="30"/>
      <c r="R1250" s="31"/>
    </row>
    <row r="1251" spans="11:18" x14ac:dyDescent="0.25">
      <c r="K1251" s="10"/>
      <c r="M1251" s="30"/>
      <c r="R1251" s="31"/>
    </row>
    <row r="1252" spans="11:18" x14ac:dyDescent="0.25">
      <c r="K1252" s="10"/>
      <c r="M1252" s="30"/>
      <c r="R1252" s="31"/>
    </row>
    <row r="1253" spans="11:18" x14ac:dyDescent="0.25">
      <c r="K1253" s="10"/>
      <c r="M1253" s="30"/>
      <c r="R1253" s="31"/>
    </row>
    <row r="1254" spans="11:18" x14ac:dyDescent="0.25">
      <c r="K1254" s="10"/>
      <c r="M1254" s="30"/>
      <c r="R1254" s="31"/>
    </row>
    <row r="1255" spans="11:18" x14ac:dyDescent="0.25">
      <c r="K1255" s="10"/>
      <c r="M1255" s="30"/>
      <c r="R1255" s="31"/>
    </row>
    <row r="1256" spans="11:18" x14ac:dyDescent="0.25">
      <c r="K1256" s="10"/>
      <c r="M1256" s="30"/>
      <c r="R1256" s="31"/>
    </row>
    <row r="1257" spans="11:18" x14ac:dyDescent="0.25">
      <c r="K1257" s="10"/>
      <c r="M1257" s="30"/>
      <c r="R1257" s="31"/>
    </row>
    <row r="1258" spans="11:18" x14ac:dyDescent="0.25">
      <c r="K1258" s="10"/>
      <c r="M1258" s="30"/>
      <c r="R1258" s="31"/>
    </row>
    <row r="1259" spans="11:18" x14ac:dyDescent="0.25">
      <c r="K1259" s="10"/>
      <c r="M1259" s="30"/>
      <c r="R1259" s="31"/>
    </row>
    <row r="1260" spans="11:18" x14ac:dyDescent="0.25">
      <c r="K1260" s="10"/>
      <c r="M1260" s="30"/>
      <c r="R1260" s="31"/>
    </row>
    <row r="1261" spans="11:18" x14ac:dyDescent="0.25">
      <c r="K1261" s="10"/>
      <c r="M1261" s="30"/>
      <c r="R1261" s="31"/>
    </row>
    <row r="1262" spans="11:18" x14ac:dyDescent="0.25">
      <c r="K1262" s="10"/>
      <c r="M1262" s="30"/>
      <c r="R1262" s="31"/>
    </row>
    <row r="1263" spans="11:18" x14ac:dyDescent="0.25">
      <c r="K1263" s="10"/>
      <c r="M1263" s="30"/>
      <c r="R1263" s="31"/>
    </row>
    <row r="1264" spans="11:18" x14ac:dyDescent="0.25">
      <c r="K1264" s="10"/>
      <c r="M1264" s="30"/>
      <c r="R1264" s="31"/>
    </row>
    <row r="1265" spans="11:18" x14ac:dyDescent="0.25">
      <c r="K1265" s="10"/>
      <c r="M1265" s="30"/>
      <c r="R1265" s="31"/>
    </row>
    <row r="1266" spans="11:18" x14ac:dyDescent="0.25">
      <c r="K1266" s="10"/>
      <c r="M1266" s="30"/>
      <c r="R1266" s="31"/>
    </row>
    <row r="1267" spans="11:18" x14ac:dyDescent="0.25">
      <c r="K1267" s="10"/>
      <c r="M1267" s="30"/>
      <c r="R1267" s="31"/>
    </row>
    <row r="1268" spans="11:18" x14ac:dyDescent="0.25">
      <c r="K1268" s="10"/>
      <c r="M1268" s="30"/>
      <c r="R1268" s="31"/>
    </row>
    <row r="1269" spans="11:18" x14ac:dyDescent="0.25">
      <c r="K1269" s="10"/>
      <c r="M1269" s="30"/>
      <c r="R1269" s="31"/>
    </row>
    <row r="1270" spans="11:18" x14ac:dyDescent="0.25">
      <c r="K1270" s="10"/>
      <c r="M1270" s="30"/>
      <c r="R1270" s="31"/>
    </row>
    <row r="1271" spans="11:18" x14ac:dyDescent="0.25">
      <c r="K1271" s="10"/>
      <c r="M1271" s="30"/>
      <c r="R1271" s="31"/>
    </row>
    <row r="1272" spans="11:18" x14ac:dyDescent="0.25">
      <c r="K1272" s="10"/>
      <c r="M1272" s="30"/>
      <c r="R1272" s="31"/>
    </row>
    <row r="1273" spans="11:18" x14ac:dyDescent="0.25">
      <c r="K1273" s="10"/>
      <c r="M1273" s="30"/>
      <c r="R1273" s="31"/>
    </row>
    <row r="1274" spans="11:18" x14ac:dyDescent="0.25">
      <c r="K1274" s="10"/>
      <c r="M1274" s="30"/>
      <c r="R1274" s="31"/>
    </row>
    <row r="1275" spans="11:18" x14ac:dyDescent="0.25">
      <c r="K1275" s="10"/>
      <c r="M1275" s="30"/>
      <c r="R1275" s="31"/>
    </row>
    <row r="1276" spans="11:18" x14ac:dyDescent="0.25">
      <c r="K1276" s="10"/>
      <c r="M1276" s="30"/>
      <c r="R1276" s="31"/>
    </row>
    <row r="1277" spans="11:18" x14ac:dyDescent="0.25">
      <c r="K1277" s="10"/>
      <c r="M1277" s="30"/>
      <c r="R1277" s="31"/>
    </row>
    <row r="1278" spans="11:18" x14ac:dyDescent="0.25">
      <c r="K1278" s="10"/>
      <c r="M1278" s="30"/>
      <c r="R1278" s="31"/>
    </row>
    <row r="1279" spans="11:18" x14ac:dyDescent="0.25">
      <c r="K1279" s="10"/>
      <c r="M1279" s="30"/>
      <c r="R1279" s="31"/>
    </row>
    <row r="1280" spans="11:18" x14ac:dyDescent="0.25">
      <c r="K1280" s="10"/>
      <c r="M1280" s="30"/>
      <c r="R1280" s="31"/>
    </row>
    <row r="1281" spans="11:18" x14ac:dyDescent="0.25">
      <c r="K1281" s="10"/>
      <c r="M1281" s="30"/>
      <c r="R1281" s="31"/>
    </row>
    <row r="1282" spans="11:18" x14ac:dyDescent="0.25">
      <c r="K1282" s="10"/>
      <c r="M1282" s="30"/>
      <c r="R1282" s="31"/>
    </row>
    <row r="1283" spans="11:18" x14ac:dyDescent="0.25">
      <c r="K1283" s="10"/>
      <c r="M1283" s="30"/>
      <c r="R1283" s="31"/>
    </row>
    <row r="1284" spans="11:18" x14ac:dyDescent="0.25">
      <c r="K1284" s="10"/>
      <c r="M1284" s="30"/>
      <c r="R1284" s="31"/>
    </row>
    <row r="1285" spans="11:18" x14ac:dyDescent="0.25">
      <c r="K1285" s="10"/>
      <c r="M1285" s="30"/>
      <c r="R1285" s="31"/>
    </row>
    <row r="1286" spans="11:18" x14ac:dyDescent="0.25">
      <c r="K1286" s="10"/>
      <c r="M1286" s="30"/>
      <c r="R1286" s="31"/>
    </row>
    <row r="1287" spans="11:18" x14ac:dyDescent="0.25">
      <c r="K1287" s="10"/>
      <c r="M1287" s="30"/>
      <c r="R1287" s="31"/>
    </row>
    <row r="1288" spans="11:18" x14ac:dyDescent="0.25">
      <c r="K1288" s="10"/>
      <c r="M1288" s="30"/>
      <c r="R1288" s="31"/>
    </row>
    <row r="1289" spans="11:18" x14ac:dyDescent="0.25">
      <c r="K1289" s="10"/>
      <c r="M1289" s="30"/>
      <c r="R1289" s="31"/>
    </row>
    <row r="1290" spans="11:18" x14ac:dyDescent="0.25">
      <c r="K1290" s="10"/>
      <c r="M1290" s="30"/>
      <c r="R1290" s="31"/>
    </row>
    <row r="1291" spans="11:18" x14ac:dyDescent="0.25">
      <c r="K1291" s="10"/>
      <c r="M1291" s="30"/>
      <c r="R1291" s="31"/>
    </row>
    <row r="1292" spans="11:18" x14ac:dyDescent="0.25">
      <c r="K1292" s="10"/>
      <c r="M1292" s="30"/>
      <c r="P1292" s="32"/>
      <c r="R1292" s="31"/>
    </row>
    <row r="1293" spans="11:18" x14ac:dyDescent="0.25">
      <c r="K1293" s="10"/>
      <c r="M1293" s="30"/>
      <c r="P1293" s="32"/>
      <c r="R1293" s="31"/>
    </row>
    <row r="1294" spans="11:18" x14ac:dyDescent="0.25">
      <c r="K1294" s="10"/>
      <c r="M1294" s="30"/>
      <c r="P1294" s="32"/>
      <c r="R1294" s="31"/>
    </row>
    <row r="1295" spans="11:18" x14ac:dyDescent="0.25">
      <c r="K1295" s="10"/>
      <c r="M1295" s="30"/>
      <c r="P1295" s="32"/>
      <c r="R1295" s="31"/>
    </row>
    <row r="1296" spans="11:18" x14ac:dyDescent="0.25">
      <c r="K1296" s="10"/>
      <c r="M1296" s="30"/>
      <c r="R1296" s="31"/>
    </row>
    <row r="1297" spans="11:18" x14ac:dyDescent="0.25">
      <c r="K1297" s="10"/>
      <c r="M1297" s="30"/>
      <c r="R1297" s="31"/>
    </row>
    <row r="1298" spans="11:18" x14ac:dyDescent="0.25">
      <c r="K1298" s="10"/>
      <c r="M1298" s="30"/>
      <c r="R1298" s="31"/>
    </row>
    <row r="1299" spans="11:18" x14ac:dyDescent="0.25">
      <c r="K1299" s="10"/>
      <c r="M1299" s="30"/>
      <c r="R1299" s="31"/>
    </row>
    <row r="1300" spans="11:18" x14ac:dyDescent="0.25">
      <c r="K1300" s="10"/>
      <c r="M1300" s="30"/>
      <c r="R1300" s="31"/>
    </row>
    <row r="1301" spans="11:18" x14ac:dyDescent="0.25">
      <c r="K1301" s="10"/>
      <c r="M1301" s="30"/>
      <c r="R1301" s="31"/>
    </row>
    <row r="1302" spans="11:18" x14ac:dyDescent="0.25">
      <c r="K1302" s="10"/>
      <c r="M1302" s="30"/>
      <c r="R1302" s="31"/>
    </row>
    <row r="1303" spans="11:18" x14ac:dyDescent="0.25">
      <c r="K1303" s="10"/>
      <c r="M1303" s="30"/>
      <c r="R1303" s="31"/>
    </row>
    <row r="1304" spans="11:18" x14ac:dyDescent="0.25">
      <c r="K1304" s="10"/>
      <c r="M1304" s="30"/>
      <c r="R1304" s="31"/>
    </row>
    <row r="1305" spans="11:18" x14ac:dyDescent="0.25">
      <c r="K1305" s="10"/>
      <c r="M1305" s="30"/>
      <c r="R1305" s="31"/>
    </row>
    <row r="1306" spans="11:18" x14ac:dyDescent="0.25">
      <c r="K1306" s="10"/>
      <c r="M1306" s="30"/>
      <c r="R1306" s="31"/>
    </row>
    <row r="1307" spans="11:18" x14ac:dyDescent="0.25">
      <c r="K1307" s="10"/>
      <c r="M1307" s="30"/>
      <c r="R1307" s="31"/>
    </row>
    <row r="1308" spans="11:18" x14ac:dyDescent="0.25">
      <c r="K1308" s="10"/>
      <c r="M1308" s="30"/>
      <c r="R1308" s="31"/>
    </row>
    <row r="1309" spans="11:18" x14ac:dyDescent="0.25">
      <c r="K1309" s="10"/>
      <c r="M1309" s="30"/>
      <c r="R1309" s="31"/>
    </row>
    <row r="1310" spans="11:18" x14ac:dyDescent="0.25">
      <c r="K1310" s="10"/>
      <c r="M1310" s="30"/>
      <c r="R1310" s="31"/>
    </row>
    <row r="1311" spans="11:18" x14ac:dyDescent="0.25">
      <c r="K1311" s="10"/>
      <c r="M1311" s="30"/>
      <c r="R1311" s="31"/>
    </row>
    <row r="1312" spans="11:18" x14ac:dyDescent="0.25">
      <c r="K1312" s="10"/>
      <c r="M1312" s="30"/>
      <c r="R1312" s="31"/>
    </row>
    <row r="1313" spans="11:18" x14ac:dyDescent="0.25">
      <c r="K1313" s="10"/>
      <c r="M1313" s="30"/>
      <c r="R1313" s="31"/>
    </row>
    <row r="1314" spans="11:18" x14ac:dyDescent="0.25">
      <c r="K1314" s="10"/>
      <c r="M1314" s="30"/>
      <c r="P1314" s="32"/>
      <c r="R1314" s="31"/>
    </row>
    <row r="1315" spans="11:18" x14ac:dyDescent="0.25">
      <c r="K1315" s="10"/>
      <c r="M1315" s="30"/>
      <c r="P1315" s="32"/>
      <c r="R1315" s="31"/>
    </row>
    <row r="1316" spans="11:18" x14ac:dyDescent="0.25">
      <c r="K1316" s="10"/>
      <c r="M1316" s="30"/>
      <c r="P1316" s="32"/>
      <c r="R1316" s="31"/>
    </row>
    <row r="1317" spans="11:18" x14ac:dyDescent="0.25">
      <c r="K1317" s="10"/>
      <c r="M1317" s="30"/>
      <c r="P1317" s="32"/>
      <c r="R1317" s="31"/>
    </row>
    <row r="1318" spans="11:18" x14ac:dyDescent="0.25">
      <c r="K1318" s="10"/>
      <c r="M1318" s="30"/>
      <c r="P1318" s="32"/>
      <c r="R1318" s="31"/>
    </row>
    <row r="1319" spans="11:18" x14ac:dyDescent="0.25">
      <c r="K1319" s="10"/>
      <c r="M1319" s="30"/>
      <c r="P1319" s="32"/>
      <c r="R1319" s="31"/>
    </row>
    <row r="1320" spans="11:18" x14ac:dyDescent="0.25">
      <c r="K1320" s="10"/>
      <c r="M1320" s="30"/>
      <c r="P1320" s="32"/>
      <c r="R1320" s="31"/>
    </row>
    <row r="1321" spans="11:18" x14ac:dyDescent="0.25">
      <c r="K1321" s="10"/>
      <c r="M1321" s="30"/>
      <c r="P1321" s="32"/>
      <c r="R1321" s="31"/>
    </row>
    <row r="1322" spans="11:18" x14ac:dyDescent="0.25">
      <c r="K1322" s="10"/>
      <c r="M1322" s="30"/>
      <c r="R1322" s="31"/>
    </row>
    <row r="1323" spans="11:18" x14ac:dyDescent="0.25">
      <c r="K1323" s="10"/>
      <c r="M1323" s="30"/>
      <c r="R1323" s="31"/>
    </row>
    <row r="1324" spans="11:18" x14ac:dyDescent="0.25">
      <c r="K1324" s="10"/>
      <c r="M1324" s="30"/>
      <c r="R1324" s="31"/>
    </row>
    <row r="1325" spans="11:18" x14ac:dyDescent="0.25">
      <c r="K1325" s="10"/>
      <c r="M1325" s="30"/>
      <c r="R1325" s="31"/>
    </row>
    <row r="1326" spans="11:18" x14ac:dyDescent="0.25">
      <c r="K1326" s="10"/>
      <c r="M1326" s="30"/>
      <c r="R1326" s="31"/>
    </row>
    <row r="1327" spans="11:18" x14ac:dyDescent="0.25">
      <c r="K1327" s="10"/>
      <c r="M1327" s="30"/>
      <c r="R1327" s="31"/>
    </row>
    <row r="1328" spans="11:18" x14ac:dyDescent="0.25">
      <c r="K1328" s="10"/>
      <c r="M1328" s="30"/>
      <c r="R1328" s="31"/>
    </row>
    <row r="1329" spans="11:18" x14ac:dyDescent="0.25">
      <c r="K1329" s="10"/>
      <c r="M1329" s="30"/>
      <c r="R1329" s="31"/>
    </row>
    <row r="1330" spans="11:18" x14ac:dyDescent="0.25">
      <c r="K1330" s="10"/>
      <c r="M1330" s="30"/>
      <c r="R1330" s="31"/>
    </row>
    <row r="1331" spans="11:18" x14ac:dyDescent="0.25">
      <c r="K1331" s="10"/>
      <c r="M1331" s="30"/>
      <c r="R1331" s="31"/>
    </row>
    <row r="1332" spans="11:18" x14ac:dyDescent="0.25">
      <c r="K1332" s="10"/>
      <c r="M1332" s="30"/>
      <c r="R1332" s="31"/>
    </row>
    <row r="1333" spans="11:18" x14ac:dyDescent="0.25">
      <c r="K1333" s="10"/>
      <c r="M1333" s="30"/>
      <c r="R1333" s="31"/>
    </row>
    <row r="1334" spans="11:18" x14ac:dyDescent="0.25">
      <c r="K1334" s="10"/>
      <c r="M1334" s="30"/>
      <c r="R1334" s="31"/>
    </row>
    <row r="1335" spans="11:18" x14ac:dyDescent="0.25">
      <c r="K1335" s="10"/>
      <c r="M1335" s="30"/>
      <c r="R1335" s="31"/>
    </row>
    <row r="1336" spans="11:18" x14ac:dyDescent="0.25">
      <c r="K1336" s="10"/>
      <c r="M1336" s="30"/>
      <c r="R1336" s="31"/>
    </row>
    <row r="1337" spans="11:18" x14ac:dyDescent="0.25">
      <c r="K1337" s="10"/>
      <c r="M1337" s="30"/>
      <c r="R1337" s="31"/>
    </row>
    <row r="1338" spans="11:18" x14ac:dyDescent="0.25">
      <c r="K1338" s="10"/>
      <c r="M1338" s="30"/>
      <c r="R1338" s="31"/>
    </row>
    <row r="1339" spans="11:18" x14ac:dyDescent="0.25">
      <c r="K1339" s="10"/>
      <c r="M1339" s="30"/>
      <c r="R1339" s="31"/>
    </row>
    <row r="1340" spans="11:18" x14ac:dyDescent="0.25">
      <c r="K1340" s="10"/>
      <c r="M1340" s="30"/>
      <c r="R1340" s="31"/>
    </row>
    <row r="1341" spans="11:18" x14ac:dyDescent="0.25">
      <c r="K1341" s="10"/>
      <c r="M1341" s="30"/>
      <c r="R1341" s="31"/>
    </row>
    <row r="1342" spans="11:18" x14ac:dyDescent="0.25">
      <c r="K1342" s="10"/>
      <c r="M1342" s="30"/>
      <c r="R1342" s="31"/>
    </row>
    <row r="1343" spans="11:18" x14ac:dyDescent="0.25">
      <c r="K1343" s="10"/>
      <c r="M1343" s="30"/>
      <c r="R1343" s="31"/>
    </row>
    <row r="1344" spans="11:18" x14ac:dyDescent="0.25">
      <c r="K1344" s="10"/>
      <c r="M1344" s="30"/>
      <c r="R1344" s="31"/>
    </row>
    <row r="1345" spans="8:18" x14ac:dyDescent="0.25">
      <c r="K1345" s="10"/>
      <c r="M1345" s="30"/>
      <c r="R1345" s="31"/>
    </row>
    <row r="1346" spans="8:18" x14ac:dyDescent="0.25">
      <c r="K1346" s="10"/>
      <c r="M1346" s="30"/>
      <c r="R1346" s="31"/>
    </row>
    <row r="1347" spans="8:18" x14ac:dyDescent="0.25">
      <c r="K1347" s="10"/>
      <c r="M1347" s="30"/>
      <c r="R1347" s="31"/>
    </row>
    <row r="1348" spans="8:18" x14ac:dyDescent="0.25">
      <c r="K1348" s="10"/>
      <c r="M1348" s="30"/>
      <c r="R1348" s="31"/>
    </row>
    <row r="1349" spans="8:18" x14ac:dyDescent="0.25">
      <c r="K1349" s="10"/>
      <c r="M1349" s="30"/>
      <c r="R1349" s="31"/>
    </row>
    <row r="1350" spans="8:18" x14ac:dyDescent="0.25">
      <c r="K1350" s="10"/>
      <c r="M1350" s="30"/>
      <c r="R1350" s="31"/>
    </row>
    <row r="1351" spans="8:18" x14ac:dyDescent="0.25">
      <c r="K1351" s="10"/>
      <c r="M1351" s="30"/>
      <c r="R1351" s="31"/>
    </row>
    <row r="1352" spans="8:18" x14ac:dyDescent="0.25">
      <c r="H1352" s="34"/>
      <c r="K1352" s="10"/>
      <c r="M1352" s="30"/>
      <c r="R1352" s="31"/>
    </row>
    <row r="1353" spans="8:18" x14ac:dyDescent="0.25">
      <c r="H1353" s="34"/>
      <c r="K1353" s="10"/>
      <c r="M1353" s="30"/>
      <c r="R1353" s="31"/>
    </row>
    <row r="1354" spans="8:18" x14ac:dyDescent="0.25">
      <c r="H1354" s="34"/>
      <c r="K1354" s="10"/>
      <c r="M1354" s="30"/>
      <c r="R1354" s="31"/>
    </row>
    <row r="1355" spans="8:18" x14ac:dyDescent="0.25">
      <c r="K1355" s="10"/>
      <c r="M1355" s="30"/>
      <c r="R1355" s="31"/>
    </row>
    <row r="1356" spans="8:18" x14ac:dyDescent="0.25">
      <c r="K1356" s="10"/>
      <c r="M1356" s="30"/>
      <c r="R1356" s="31"/>
    </row>
    <row r="1357" spans="8:18" x14ac:dyDescent="0.25">
      <c r="K1357" s="10"/>
      <c r="M1357" s="30"/>
      <c r="R1357" s="31"/>
    </row>
    <row r="1358" spans="8:18" x14ac:dyDescent="0.25">
      <c r="K1358" s="10"/>
      <c r="M1358" s="30"/>
      <c r="R1358" s="31"/>
    </row>
    <row r="1359" spans="8:18" x14ac:dyDescent="0.25">
      <c r="K1359" s="10"/>
      <c r="M1359" s="30"/>
      <c r="R1359" s="31"/>
    </row>
    <row r="1360" spans="8:18" x14ac:dyDescent="0.25">
      <c r="K1360" s="10"/>
      <c r="M1360" s="30"/>
      <c r="R1360" s="31"/>
    </row>
    <row r="1361" spans="11:18" x14ac:dyDescent="0.25">
      <c r="K1361" s="10"/>
      <c r="M1361" s="30"/>
      <c r="R1361" s="31"/>
    </row>
    <row r="1362" spans="11:18" x14ac:dyDescent="0.25">
      <c r="K1362" s="10"/>
      <c r="M1362" s="30"/>
      <c r="R1362" s="31"/>
    </row>
    <row r="1363" spans="11:18" x14ac:dyDescent="0.25">
      <c r="K1363" s="10"/>
      <c r="M1363" s="30"/>
      <c r="R1363" s="31"/>
    </row>
    <row r="1364" spans="11:18" x14ac:dyDescent="0.25">
      <c r="K1364" s="10"/>
      <c r="M1364" s="30"/>
      <c r="R1364" s="31"/>
    </row>
    <row r="1365" spans="11:18" x14ac:dyDescent="0.25">
      <c r="K1365" s="10"/>
      <c r="M1365" s="30"/>
      <c r="R1365" s="31"/>
    </row>
    <row r="1366" spans="11:18" x14ac:dyDescent="0.25">
      <c r="K1366" s="10"/>
      <c r="M1366" s="30"/>
      <c r="R1366" s="31"/>
    </row>
    <row r="1367" spans="11:18" x14ac:dyDescent="0.25">
      <c r="K1367" s="10"/>
      <c r="M1367" s="30"/>
      <c r="R1367" s="31"/>
    </row>
    <row r="1368" spans="11:18" x14ac:dyDescent="0.25">
      <c r="K1368" s="10"/>
      <c r="M1368" s="30"/>
      <c r="R1368" s="31"/>
    </row>
    <row r="1369" spans="11:18" x14ac:dyDescent="0.25">
      <c r="K1369" s="10"/>
      <c r="M1369" s="30"/>
      <c r="R1369" s="31"/>
    </row>
    <row r="1370" spans="11:18" x14ac:dyDescent="0.25">
      <c r="K1370" s="10"/>
      <c r="M1370" s="30"/>
      <c r="R1370" s="31"/>
    </row>
    <row r="1371" spans="11:18" x14ac:dyDescent="0.25">
      <c r="K1371" s="10"/>
      <c r="M1371" s="30"/>
      <c r="R1371" s="31"/>
    </row>
    <row r="1372" spans="11:18" x14ac:dyDescent="0.25">
      <c r="K1372" s="10"/>
      <c r="M1372" s="30"/>
      <c r="R1372" s="31"/>
    </row>
    <row r="1373" spans="11:18" x14ac:dyDescent="0.25">
      <c r="K1373" s="10"/>
      <c r="M1373" s="30"/>
      <c r="R1373" s="31"/>
    </row>
    <row r="1374" spans="11:18" x14ac:dyDescent="0.25">
      <c r="K1374" s="10"/>
      <c r="M1374" s="30"/>
      <c r="R1374" s="31"/>
    </row>
    <row r="1375" spans="11:18" x14ac:dyDescent="0.25">
      <c r="K1375" s="10"/>
      <c r="M1375" s="30"/>
      <c r="R1375" s="31"/>
    </row>
    <row r="1376" spans="11:18" x14ac:dyDescent="0.25">
      <c r="K1376" s="10"/>
      <c r="M1376" s="30"/>
      <c r="R1376" s="31"/>
    </row>
    <row r="1377" spans="11:18" x14ac:dyDescent="0.25">
      <c r="K1377" s="10"/>
      <c r="M1377" s="30"/>
      <c r="R1377" s="31"/>
    </row>
    <row r="1378" spans="11:18" x14ac:dyDescent="0.25">
      <c r="K1378" s="10"/>
      <c r="M1378" s="30"/>
      <c r="R1378" s="31"/>
    </row>
    <row r="1379" spans="11:18" x14ac:dyDescent="0.25">
      <c r="K1379" s="10"/>
      <c r="M1379" s="30"/>
      <c r="R1379" s="31"/>
    </row>
    <row r="1380" spans="11:18" x14ac:dyDescent="0.25">
      <c r="K1380" s="10"/>
      <c r="M1380" s="30"/>
      <c r="R1380" s="31"/>
    </row>
    <row r="1381" spans="11:18" x14ac:dyDescent="0.25">
      <c r="K1381" s="10"/>
      <c r="M1381" s="30"/>
      <c r="R1381" s="31"/>
    </row>
    <row r="1382" spans="11:18" x14ac:dyDescent="0.25">
      <c r="K1382" s="10"/>
      <c r="M1382" s="30"/>
      <c r="R1382" s="31"/>
    </row>
    <row r="1383" spans="11:18" x14ac:dyDescent="0.25">
      <c r="K1383" s="10"/>
      <c r="M1383" s="30"/>
      <c r="R1383" s="31"/>
    </row>
    <row r="1384" spans="11:18" x14ac:dyDescent="0.25">
      <c r="K1384" s="10"/>
      <c r="M1384" s="30"/>
      <c r="R1384" s="31"/>
    </row>
    <row r="1385" spans="11:18" x14ac:dyDescent="0.25">
      <c r="K1385" s="10"/>
      <c r="M1385" s="30"/>
      <c r="R1385" s="31"/>
    </row>
    <row r="1386" spans="11:18" x14ac:dyDescent="0.25">
      <c r="K1386" s="10"/>
      <c r="M1386" s="30"/>
      <c r="R1386" s="31"/>
    </row>
    <row r="1387" spans="11:18" x14ac:dyDescent="0.25">
      <c r="K1387" s="10"/>
      <c r="M1387" s="30"/>
      <c r="R1387" s="31"/>
    </row>
    <row r="1388" spans="11:18" x14ac:dyDescent="0.25">
      <c r="K1388" s="10"/>
      <c r="M1388" s="30"/>
      <c r="R1388" s="31"/>
    </row>
    <row r="1389" spans="11:18" x14ac:dyDescent="0.25">
      <c r="K1389" s="10"/>
      <c r="M1389" s="30"/>
      <c r="R1389" s="31"/>
    </row>
    <row r="1390" spans="11:18" x14ac:dyDescent="0.25">
      <c r="K1390" s="10"/>
      <c r="M1390" s="30"/>
      <c r="R1390" s="31"/>
    </row>
    <row r="1391" spans="11:18" x14ac:dyDescent="0.25">
      <c r="K1391" s="10"/>
      <c r="M1391" s="30"/>
      <c r="R1391" s="31"/>
    </row>
    <row r="1392" spans="11:18" x14ac:dyDescent="0.25">
      <c r="K1392" s="10"/>
      <c r="M1392" s="30"/>
      <c r="R1392" s="31"/>
    </row>
    <row r="1393" spans="11:18" x14ac:dyDescent="0.25">
      <c r="K1393" s="10"/>
      <c r="M1393" s="30"/>
      <c r="R1393" s="31"/>
    </row>
    <row r="1394" spans="11:18" x14ac:dyDescent="0.25">
      <c r="K1394" s="10"/>
      <c r="M1394" s="30"/>
      <c r="R1394" s="31"/>
    </row>
    <row r="1395" spans="11:18" x14ac:dyDescent="0.25">
      <c r="K1395" s="10"/>
      <c r="M1395" s="30"/>
      <c r="R1395" s="31"/>
    </row>
    <row r="1396" spans="11:18" x14ac:dyDescent="0.25">
      <c r="K1396" s="10"/>
      <c r="M1396" s="30"/>
      <c r="R1396" s="31"/>
    </row>
    <row r="1397" spans="11:18" x14ac:dyDescent="0.25">
      <c r="K1397" s="10"/>
      <c r="M1397" s="30"/>
      <c r="R1397" s="31"/>
    </row>
    <row r="1398" spans="11:18" x14ac:dyDescent="0.25">
      <c r="K1398" s="10"/>
      <c r="M1398" s="30"/>
      <c r="R1398" s="31"/>
    </row>
    <row r="1399" spans="11:18" x14ac:dyDescent="0.25">
      <c r="K1399" s="10"/>
      <c r="M1399" s="30"/>
      <c r="R1399" s="31"/>
    </row>
    <row r="1400" spans="11:18" x14ac:dyDescent="0.25">
      <c r="K1400" s="10"/>
      <c r="M1400" s="30"/>
      <c r="R1400" s="31"/>
    </row>
    <row r="1401" spans="11:18" x14ac:dyDescent="0.25">
      <c r="K1401" s="10"/>
      <c r="M1401" s="30"/>
      <c r="R1401" s="31"/>
    </row>
    <row r="1402" spans="11:18" x14ac:dyDescent="0.25">
      <c r="K1402" s="10"/>
      <c r="M1402" s="30"/>
      <c r="R1402" s="31"/>
    </row>
    <row r="1403" spans="11:18" x14ac:dyDescent="0.25">
      <c r="K1403" s="10"/>
      <c r="M1403" s="30"/>
      <c r="R1403" s="31"/>
    </row>
    <row r="1404" spans="11:18" x14ac:dyDescent="0.25">
      <c r="K1404" s="10"/>
      <c r="M1404" s="30"/>
      <c r="R1404" s="31"/>
    </row>
    <row r="1405" spans="11:18" x14ac:dyDescent="0.25">
      <c r="K1405" s="10"/>
      <c r="M1405" s="30"/>
      <c r="R1405" s="31"/>
    </row>
    <row r="1406" spans="11:18" x14ac:dyDescent="0.25">
      <c r="K1406" s="10"/>
      <c r="M1406" s="30"/>
      <c r="R1406" s="31"/>
    </row>
    <row r="1407" spans="11:18" x14ac:dyDescent="0.25">
      <c r="K1407" s="10"/>
      <c r="M1407" s="30"/>
      <c r="R1407" s="31"/>
    </row>
    <row r="1408" spans="11:18" x14ac:dyDescent="0.25">
      <c r="K1408" s="10"/>
      <c r="M1408" s="30"/>
      <c r="R1408" s="33"/>
    </row>
    <row r="1409" spans="11:18" x14ac:dyDescent="0.25">
      <c r="K1409" s="10"/>
      <c r="M1409" s="30"/>
      <c r="R1409" s="33"/>
    </row>
    <row r="1410" spans="11:18" x14ac:dyDescent="0.25">
      <c r="K1410" s="10"/>
      <c r="M1410" s="30"/>
      <c r="R1410" s="33"/>
    </row>
    <row r="1411" spans="11:18" x14ac:dyDescent="0.25">
      <c r="K1411" s="10"/>
      <c r="M1411" s="30"/>
      <c r="R1411" s="31"/>
    </row>
    <row r="1412" spans="11:18" x14ac:dyDescent="0.25">
      <c r="K1412" s="10"/>
      <c r="M1412" s="30"/>
      <c r="R1412" s="31"/>
    </row>
    <row r="1413" spans="11:18" x14ac:dyDescent="0.25">
      <c r="K1413" s="10"/>
      <c r="M1413" s="30"/>
      <c r="R1413" s="31"/>
    </row>
    <row r="1414" spans="11:18" x14ac:dyDescent="0.25">
      <c r="K1414" s="10"/>
      <c r="M1414" s="30"/>
      <c r="R1414" s="31"/>
    </row>
    <row r="1415" spans="11:18" x14ac:dyDescent="0.25">
      <c r="K1415" s="10"/>
      <c r="M1415" s="30"/>
      <c r="R1415" s="31"/>
    </row>
    <row r="1416" spans="11:18" x14ac:dyDescent="0.25">
      <c r="K1416" s="10"/>
      <c r="M1416" s="30"/>
      <c r="R1416" s="31"/>
    </row>
    <row r="1417" spans="11:18" x14ac:dyDescent="0.25">
      <c r="K1417" s="10"/>
      <c r="M1417" s="30"/>
      <c r="R1417" s="31"/>
    </row>
    <row r="1418" spans="11:18" x14ac:dyDescent="0.25">
      <c r="K1418" s="10"/>
      <c r="M1418" s="30"/>
      <c r="R1418" s="31"/>
    </row>
    <row r="1419" spans="11:18" x14ac:dyDescent="0.25">
      <c r="K1419" s="10"/>
      <c r="M1419" s="30"/>
      <c r="R1419" s="31"/>
    </row>
    <row r="1420" spans="11:18" x14ac:dyDescent="0.25">
      <c r="K1420" s="10"/>
      <c r="M1420" s="30"/>
      <c r="R1420" s="31"/>
    </row>
    <row r="1421" spans="11:18" x14ac:dyDescent="0.25">
      <c r="K1421" s="10"/>
      <c r="M1421" s="30"/>
      <c r="R1421" s="31"/>
    </row>
    <row r="1422" spans="11:18" x14ac:dyDescent="0.25">
      <c r="K1422" s="10"/>
      <c r="M1422" s="30"/>
      <c r="R1422" s="31"/>
    </row>
    <row r="1423" spans="11:18" x14ac:dyDescent="0.25">
      <c r="K1423" s="10"/>
      <c r="M1423" s="30"/>
      <c r="R1423" s="31"/>
    </row>
    <row r="1424" spans="11:18" x14ac:dyDescent="0.25">
      <c r="K1424" s="10"/>
      <c r="M1424" s="30"/>
      <c r="R1424" s="31"/>
    </row>
    <row r="1425" spans="11:18" x14ac:dyDescent="0.25">
      <c r="K1425" s="10"/>
      <c r="M1425" s="30"/>
      <c r="R1425" s="31"/>
    </row>
    <row r="1426" spans="11:18" x14ac:dyDescent="0.25">
      <c r="K1426" s="10"/>
      <c r="M1426" s="30"/>
      <c r="R1426" s="31"/>
    </row>
    <row r="1427" spans="11:18" x14ac:dyDescent="0.25">
      <c r="K1427" s="10"/>
      <c r="M1427" s="30"/>
      <c r="P1427" s="32"/>
      <c r="R1427" s="31"/>
    </row>
    <row r="1428" spans="11:18" x14ac:dyDescent="0.25">
      <c r="K1428" s="10"/>
      <c r="M1428" s="30"/>
      <c r="P1428" s="32"/>
      <c r="R1428" s="31"/>
    </row>
    <row r="1429" spans="11:18" x14ac:dyDescent="0.25">
      <c r="K1429" s="10"/>
      <c r="M1429" s="30"/>
      <c r="P1429" s="32"/>
      <c r="R1429" s="31"/>
    </row>
    <row r="1430" spans="11:18" x14ac:dyDescent="0.25">
      <c r="K1430" s="10"/>
      <c r="M1430" s="30"/>
      <c r="P1430" s="32"/>
      <c r="R1430" s="31"/>
    </row>
    <row r="1431" spans="11:18" x14ac:dyDescent="0.25">
      <c r="K1431" s="10"/>
      <c r="M1431" s="30"/>
      <c r="P1431" s="32"/>
      <c r="R1431" s="31"/>
    </row>
    <row r="1432" spans="11:18" x14ac:dyDescent="0.25">
      <c r="K1432" s="10"/>
      <c r="M1432" s="30"/>
      <c r="P1432" s="32"/>
      <c r="R1432" s="31"/>
    </row>
    <row r="1433" spans="11:18" x14ac:dyDescent="0.25">
      <c r="K1433" s="10"/>
      <c r="M1433" s="30"/>
      <c r="P1433" s="32"/>
      <c r="R1433" s="31"/>
    </row>
    <row r="1434" spans="11:18" x14ac:dyDescent="0.25">
      <c r="K1434" s="10"/>
      <c r="M1434" s="30"/>
      <c r="P1434" s="32"/>
      <c r="R1434" s="31"/>
    </row>
    <row r="1435" spans="11:18" x14ac:dyDescent="0.25">
      <c r="K1435" s="10"/>
      <c r="M1435" s="30"/>
      <c r="P1435" s="32"/>
      <c r="R1435" s="31"/>
    </row>
    <row r="1436" spans="11:18" x14ac:dyDescent="0.25">
      <c r="K1436" s="10"/>
      <c r="M1436" s="30"/>
      <c r="P1436" s="32"/>
      <c r="R1436" s="31"/>
    </row>
    <row r="1437" spans="11:18" x14ac:dyDescent="0.25">
      <c r="K1437" s="10"/>
      <c r="M1437" s="30"/>
      <c r="P1437" s="32"/>
      <c r="R1437" s="31"/>
    </row>
    <row r="1438" spans="11:18" x14ac:dyDescent="0.25">
      <c r="K1438" s="10"/>
      <c r="M1438" s="30"/>
      <c r="P1438" s="32"/>
      <c r="R1438" s="31"/>
    </row>
    <row r="1439" spans="11:18" x14ac:dyDescent="0.25">
      <c r="K1439" s="10"/>
      <c r="M1439" s="30"/>
      <c r="P1439" s="32"/>
      <c r="R1439" s="31"/>
    </row>
    <row r="1440" spans="11:18" x14ac:dyDescent="0.25">
      <c r="K1440" s="10"/>
      <c r="M1440" s="30"/>
      <c r="P1440" s="32"/>
      <c r="R1440" s="31"/>
    </row>
    <row r="1441" spans="11:18" x14ac:dyDescent="0.25">
      <c r="K1441" s="10"/>
      <c r="M1441" s="30"/>
      <c r="P1441" s="32"/>
      <c r="R1441" s="31"/>
    </row>
    <row r="1442" spans="11:18" x14ac:dyDescent="0.25">
      <c r="K1442" s="10"/>
      <c r="M1442" s="30"/>
      <c r="P1442" s="32"/>
      <c r="R1442" s="31"/>
    </row>
    <row r="1443" spans="11:18" x14ac:dyDescent="0.25">
      <c r="K1443" s="10"/>
      <c r="M1443" s="30"/>
      <c r="P1443" s="32"/>
      <c r="R1443" s="31"/>
    </row>
    <row r="1444" spans="11:18" x14ac:dyDescent="0.25">
      <c r="K1444" s="10"/>
      <c r="M1444" s="30"/>
      <c r="P1444" s="32"/>
      <c r="R1444" s="31"/>
    </row>
    <row r="1445" spans="11:18" x14ac:dyDescent="0.25">
      <c r="K1445" s="10"/>
      <c r="M1445" s="30"/>
      <c r="P1445" s="32"/>
      <c r="R1445" s="31"/>
    </row>
    <row r="1446" spans="11:18" x14ac:dyDescent="0.25">
      <c r="K1446" s="10"/>
      <c r="M1446" s="30"/>
      <c r="P1446" s="32"/>
      <c r="R1446" s="31"/>
    </row>
    <row r="1447" spans="11:18" x14ac:dyDescent="0.25">
      <c r="K1447" s="10"/>
      <c r="M1447" s="30"/>
      <c r="P1447" s="32"/>
      <c r="R1447" s="31"/>
    </row>
    <row r="1448" spans="11:18" x14ac:dyDescent="0.25">
      <c r="K1448" s="10"/>
      <c r="M1448" s="30"/>
      <c r="P1448" s="32"/>
      <c r="R1448" s="31"/>
    </row>
    <row r="1449" spans="11:18" x14ac:dyDescent="0.25">
      <c r="K1449" s="10"/>
      <c r="M1449" s="30"/>
      <c r="P1449" s="32"/>
      <c r="R1449" s="31"/>
    </row>
    <row r="1450" spans="11:18" x14ac:dyDescent="0.25">
      <c r="K1450" s="10"/>
      <c r="M1450" s="30"/>
      <c r="R1450" s="31"/>
    </row>
    <row r="1451" spans="11:18" x14ac:dyDescent="0.25">
      <c r="K1451" s="10"/>
      <c r="M1451" s="30"/>
      <c r="R1451" s="31"/>
    </row>
    <row r="1452" spans="11:18" x14ac:dyDescent="0.25">
      <c r="K1452" s="10"/>
      <c r="M1452" s="30"/>
      <c r="P1452" s="32"/>
      <c r="R1452" s="31"/>
    </row>
    <row r="1453" spans="11:18" x14ac:dyDescent="0.25">
      <c r="K1453" s="10"/>
      <c r="M1453" s="30"/>
      <c r="R1453" s="31"/>
    </row>
    <row r="1454" spans="11:18" x14ac:dyDescent="0.25">
      <c r="K1454" s="10"/>
      <c r="M1454" s="30"/>
      <c r="R1454" s="31"/>
    </row>
    <row r="1455" spans="11:18" x14ac:dyDescent="0.25">
      <c r="K1455" s="10"/>
      <c r="M1455" s="30"/>
      <c r="R1455" s="31"/>
    </row>
    <row r="1456" spans="11:18" x14ac:dyDescent="0.25">
      <c r="K1456" s="10"/>
      <c r="M1456" s="30"/>
      <c r="R1456" s="31"/>
    </row>
    <row r="1457" spans="11:18" x14ac:dyDescent="0.25">
      <c r="K1457" s="10"/>
      <c r="M1457" s="30"/>
      <c r="R1457" s="31"/>
    </row>
    <row r="1458" spans="11:18" x14ac:dyDescent="0.25">
      <c r="K1458" s="10"/>
      <c r="M1458" s="30"/>
      <c r="R1458" s="31"/>
    </row>
    <row r="1459" spans="11:18" x14ac:dyDescent="0.25">
      <c r="K1459" s="10"/>
      <c r="M1459" s="30"/>
      <c r="R1459" s="31"/>
    </row>
    <row r="1460" spans="11:18" x14ac:dyDescent="0.25">
      <c r="K1460" s="10"/>
      <c r="M1460" s="30"/>
      <c r="R1460" s="31"/>
    </row>
    <row r="1461" spans="11:18" x14ac:dyDescent="0.25">
      <c r="K1461" s="10"/>
      <c r="M1461" s="30"/>
      <c r="R1461" s="31"/>
    </row>
    <row r="1462" spans="11:18" x14ac:dyDescent="0.25">
      <c r="K1462" s="10"/>
      <c r="M1462" s="30"/>
      <c r="R1462" s="31"/>
    </row>
    <row r="1463" spans="11:18" x14ac:dyDescent="0.25">
      <c r="K1463" s="10"/>
      <c r="M1463" s="30"/>
      <c r="R1463" s="31"/>
    </row>
    <row r="1464" spans="11:18" x14ac:dyDescent="0.25">
      <c r="K1464" s="10"/>
      <c r="M1464" s="30"/>
      <c r="R1464" s="31"/>
    </row>
    <row r="1465" spans="11:18" x14ac:dyDescent="0.25">
      <c r="K1465" s="10"/>
      <c r="M1465" s="30"/>
      <c r="R1465" s="31"/>
    </row>
    <row r="1466" spans="11:18" x14ac:dyDescent="0.25">
      <c r="K1466" s="10"/>
      <c r="M1466" s="30"/>
      <c r="R1466" s="31"/>
    </row>
    <row r="1467" spans="11:18" x14ac:dyDescent="0.25">
      <c r="K1467" s="10"/>
      <c r="M1467" s="30"/>
      <c r="R1467" s="31"/>
    </row>
    <row r="1468" spans="11:18" x14ac:dyDescent="0.25">
      <c r="K1468" s="10"/>
      <c r="M1468" s="30"/>
      <c r="R1468" s="31"/>
    </row>
    <row r="1469" spans="11:18" x14ac:dyDescent="0.25">
      <c r="K1469" s="10"/>
      <c r="M1469" s="30"/>
      <c r="R1469" s="31"/>
    </row>
    <row r="1470" spans="11:18" x14ac:dyDescent="0.25">
      <c r="K1470" s="10"/>
      <c r="M1470" s="30"/>
      <c r="R1470" s="31"/>
    </row>
    <row r="1471" spans="11:18" x14ac:dyDescent="0.25">
      <c r="K1471" s="10"/>
      <c r="M1471" s="30"/>
      <c r="R1471" s="31"/>
    </row>
    <row r="1472" spans="11:18" x14ac:dyDescent="0.25">
      <c r="K1472" s="10"/>
      <c r="M1472" s="30"/>
      <c r="P1472" s="32"/>
      <c r="R1472" s="31"/>
    </row>
    <row r="1473" spans="11:18" x14ac:dyDescent="0.25">
      <c r="K1473" s="10"/>
      <c r="M1473" s="30"/>
      <c r="P1473" s="32"/>
      <c r="R1473" s="31"/>
    </row>
    <row r="1474" spans="11:18" x14ac:dyDescent="0.25">
      <c r="K1474" s="10"/>
      <c r="M1474" s="30"/>
      <c r="P1474" s="32"/>
      <c r="R1474" s="31"/>
    </row>
    <row r="1475" spans="11:18" x14ac:dyDescent="0.25">
      <c r="K1475" s="10"/>
      <c r="M1475" s="30"/>
      <c r="P1475" s="32"/>
      <c r="R1475" s="31"/>
    </row>
    <row r="1476" spans="11:18" x14ac:dyDescent="0.25">
      <c r="K1476" s="10"/>
      <c r="M1476" s="30"/>
      <c r="P1476" s="32"/>
      <c r="R1476" s="31"/>
    </row>
    <row r="1477" spans="11:18" x14ac:dyDescent="0.25">
      <c r="K1477" s="10"/>
      <c r="M1477" s="30"/>
      <c r="P1477" s="32"/>
      <c r="R1477" s="31"/>
    </row>
    <row r="1478" spans="11:18" x14ac:dyDescent="0.25">
      <c r="K1478" s="10"/>
      <c r="M1478" s="30"/>
      <c r="P1478" s="32"/>
      <c r="R1478" s="31"/>
    </row>
    <row r="1479" spans="11:18" x14ac:dyDescent="0.25">
      <c r="K1479" s="10"/>
      <c r="M1479" s="30"/>
      <c r="P1479" s="32"/>
      <c r="R1479" s="31"/>
    </row>
    <row r="1480" spans="11:18" x14ac:dyDescent="0.25">
      <c r="K1480" s="10"/>
      <c r="M1480" s="30"/>
      <c r="P1480" s="32"/>
      <c r="R1480" s="31"/>
    </row>
    <row r="1481" spans="11:18" x14ac:dyDescent="0.25">
      <c r="K1481" s="10"/>
      <c r="M1481" s="30"/>
      <c r="P1481" s="32"/>
      <c r="R1481" s="31"/>
    </row>
    <row r="1482" spans="11:18" x14ac:dyDescent="0.25">
      <c r="K1482" s="10"/>
      <c r="M1482" s="30"/>
      <c r="P1482" s="32"/>
      <c r="R1482" s="31"/>
    </row>
    <row r="1483" spans="11:18" x14ac:dyDescent="0.25">
      <c r="K1483" s="10"/>
      <c r="M1483" s="30"/>
      <c r="P1483" s="32"/>
      <c r="R1483" s="31"/>
    </row>
    <row r="1484" spans="11:18" x14ac:dyDescent="0.25">
      <c r="K1484" s="10"/>
      <c r="M1484" s="30"/>
      <c r="P1484" s="32"/>
      <c r="R1484" s="31"/>
    </row>
    <row r="1485" spans="11:18" x14ac:dyDescent="0.25">
      <c r="K1485" s="10"/>
      <c r="M1485" s="30"/>
      <c r="P1485" s="32"/>
      <c r="R1485" s="31"/>
    </row>
    <row r="1486" spans="11:18" x14ac:dyDescent="0.25">
      <c r="K1486" s="10"/>
      <c r="M1486" s="30"/>
      <c r="P1486" s="32"/>
      <c r="R1486" s="31"/>
    </row>
    <row r="1487" spans="11:18" x14ac:dyDescent="0.25">
      <c r="K1487" s="10"/>
      <c r="M1487" s="30"/>
      <c r="P1487" s="32"/>
      <c r="R1487" s="31"/>
    </row>
    <row r="1488" spans="11:18" x14ac:dyDescent="0.25">
      <c r="K1488" s="10"/>
      <c r="M1488" s="30"/>
      <c r="P1488" s="32"/>
      <c r="R1488" s="31"/>
    </row>
    <row r="1489" spans="11:18" x14ac:dyDescent="0.25">
      <c r="K1489" s="10"/>
      <c r="M1489" s="30"/>
      <c r="P1489" s="32"/>
      <c r="R1489" s="31"/>
    </row>
    <row r="1490" spans="11:18" x14ac:dyDescent="0.25">
      <c r="K1490" s="10"/>
      <c r="M1490" s="30"/>
      <c r="P1490" s="32"/>
      <c r="R1490" s="31"/>
    </row>
    <row r="1491" spans="11:18" x14ac:dyDescent="0.25">
      <c r="K1491" s="10"/>
      <c r="M1491" s="30"/>
      <c r="P1491" s="32"/>
      <c r="R1491" s="31"/>
    </row>
    <row r="1492" spans="11:18" x14ac:dyDescent="0.25">
      <c r="K1492" s="10"/>
      <c r="M1492" s="30"/>
      <c r="P1492" s="32"/>
      <c r="R1492" s="31"/>
    </row>
    <row r="1493" spans="11:18" x14ac:dyDescent="0.25">
      <c r="K1493" s="10"/>
      <c r="M1493" s="30"/>
      <c r="P1493" s="32"/>
      <c r="R1493" s="31"/>
    </row>
    <row r="1494" spans="11:18" x14ac:dyDescent="0.25">
      <c r="K1494" s="10"/>
      <c r="M1494" s="30"/>
      <c r="P1494" s="32"/>
      <c r="R1494" s="31"/>
    </row>
    <row r="1495" spans="11:18" x14ac:dyDescent="0.25">
      <c r="K1495" s="10"/>
      <c r="M1495" s="30"/>
      <c r="R1495" s="31"/>
    </row>
    <row r="1496" spans="11:18" x14ac:dyDescent="0.25">
      <c r="K1496" s="10"/>
      <c r="M1496" s="30"/>
      <c r="R1496" s="31"/>
    </row>
    <row r="1497" spans="11:18" x14ac:dyDescent="0.25">
      <c r="K1497" s="10"/>
      <c r="M1497" s="30"/>
      <c r="R1497" s="31"/>
    </row>
    <row r="1498" spans="11:18" x14ac:dyDescent="0.25">
      <c r="K1498" s="10"/>
      <c r="M1498" s="30"/>
      <c r="R1498" s="31"/>
    </row>
    <row r="1499" spans="11:18" x14ac:dyDescent="0.25">
      <c r="K1499" s="10"/>
      <c r="M1499" s="30"/>
      <c r="R1499" s="31"/>
    </row>
    <row r="1500" spans="11:18" x14ac:dyDescent="0.25">
      <c r="K1500" s="10"/>
      <c r="M1500" s="30"/>
      <c r="R1500" s="33"/>
    </row>
    <row r="1501" spans="11:18" x14ac:dyDescent="0.25">
      <c r="K1501" s="10"/>
      <c r="M1501" s="30"/>
      <c r="R1501" s="31"/>
    </row>
    <row r="1502" spans="11:18" x14ac:dyDescent="0.25">
      <c r="K1502" s="10"/>
      <c r="M1502" s="30"/>
      <c r="R1502" s="31"/>
    </row>
    <row r="1503" spans="11:18" x14ac:dyDescent="0.25">
      <c r="K1503" s="10"/>
      <c r="M1503" s="30"/>
      <c r="R1503" s="31"/>
    </row>
    <row r="1504" spans="11:18" x14ac:dyDescent="0.25">
      <c r="K1504" s="10"/>
      <c r="M1504" s="30"/>
      <c r="R1504" s="31"/>
    </row>
    <row r="1505" spans="11:18" x14ac:dyDescent="0.25">
      <c r="K1505" s="10"/>
      <c r="M1505" s="30"/>
      <c r="R1505" s="31"/>
    </row>
    <row r="1506" spans="11:18" x14ac:dyDescent="0.25">
      <c r="K1506" s="10"/>
      <c r="M1506" s="30"/>
      <c r="R1506" s="31"/>
    </row>
    <row r="1507" spans="11:18" x14ac:dyDescent="0.25">
      <c r="K1507" s="10"/>
      <c r="M1507" s="30"/>
      <c r="R1507" s="31"/>
    </row>
    <row r="1508" spans="11:18" x14ac:dyDescent="0.25">
      <c r="K1508" s="10"/>
      <c r="M1508" s="30"/>
      <c r="R1508" s="33"/>
    </row>
    <row r="1509" spans="11:18" x14ac:dyDescent="0.25">
      <c r="K1509" s="10"/>
      <c r="M1509" s="30"/>
      <c r="R1509" s="31"/>
    </row>
    <row r="1510" spans="11:18" x14ac:dyDescent="0.25">
      <c r="K1510" s="10"/>
      <c r="M1510" s="30"/>
      <c r="R1510" s="31"/>
    </row>
    <row r="1511" spans="11:18" x14ac:dyDescent="0.25">
      <c r="K1511" s="10"/>
      <c r="M1511" s="30"/>
      <c r="R1511" s="31"/>
    </row>
    <row r="1512" spans="11:18" x14ac:dyDescent="0.25">
      <c r="K1512" s="10"/>
      <c r="M1512" s="30"/>
      <c r="R1512" s="33"/>
    </row>
    <row r="1513" spans="11:18" x14ac:dyDescent="0.25">
      <c r="K1513" s="10"/>
      <c r="M1513" s="30"/>
      <c r="R1513" s="31"/>
    </row>
    <row r="1514" spans="11:18" x14ac:dyDescent="0.25">
      <c r="K1514" s="10"/>
      <c r="M1514" s="30"/>
      <c r="R1514" s="31"/>
    </row>
    <row r="1515" spans="11:18" x14ac:dyDescent="0.25">
      <c r="K1515" s="10"/>
      <c r="M1515" s="30"/>
      <c r="R1515" s="31"/>
    </row>
    <row r="1516" spans="11:18" x14ac:dyDescent="0.25">
      <c r="K1516" s="10"/>
      <c r="M1516" s="30"/>
      <c r="R1516" s="31"/>
    </row>
    <row r="1517" spans="11:18" x14ac:dyDescent="0.25">
      <c r="K1517" s="10"/>
      <c r="M1517" s="30"/>
      <c r="R1517" s="31"/>
    </row>
    <row r="1518" spans="11:18" x14ac:dyDescent="0.25">
      <c r="K1518" s="10"/>
      <c r="M1518" s="30"/>
      <c r="R1518" s="33"/>
    </row>
    <row r="1519" spans="11:18" x14ac:dyDescent="0.25">
      <c r="K1519" s="10"/>
      <c r="M1519" s="30"/>
      <c r="R1519" s="31"/>
    </row>
    <row r="1520" spans="11:18" x14ac:dyDescent="0.25">
      <c r="K1520" s="10"/>
      <c r="M1520" s="30"/>
      <c r="R1520" s="31"/>
    </row>
    <row r="1521" spans="11:18" x14ac:dyDescent="0.25">
      <c r="K1521" s="10"/>
      <c r="M1521" s="30"/>
      <c r="R1521" s="31"/>
    </row>
    <row r="1522" spans="11:18" x14ac:dyDescent="0.25">
      <c r="K1522" s="10"/>
      <c r="M1522" s="30"/>
      <c r="R1522" s="31"/>
    </row>
    <row r="1523" spans="11:18" x14ac:dyDescent="0.25">
      <c r="K1523" s="10"/>
      <c r="M1523" s="30"/>
      <c r="R1523" s="31"/>
    </row>
    <row r="1524" spans="11:18" x14ac:dyDescent="0.25">
      <c r="K1524" s="10"/>
      <c r="M1524" s="30"/>
      <c r="R1524" s="31"/>
    </row>
    <row r="1525" spans="11:18" x14ac:dyDescent="0.25">
      <c r="K1525" s="10"/>
      <c r="M1525" s="30"/>
      <c r="R1525" s="31"/>
    </row>
    <row r="1526" spans="11:18" x14ac:dyDescent="0.25">
      <c r="K1526" s="10"/>
      <c r="M1526" s="30"/>
      <c r="R1526" s="31"/>
    </row>
    <row r="1527" spans="11:18" x14ac:dyDescent="0.25">
      <c r="K1527" s="10"/>
      <c r="M1527" s="30"/>
      <c r="R1527" s="31"/>
    </row>
    <row r="1528" spans="11:18" x14ac:dyDescent="0.25">
      <c r="K1528" s="10"/>
      <c r="M1528" s="30"/>
      <c r="R1528" s="31"/>
    </row>
    <row r="1529" spans="11:18" x14ac:dyDescent="0.25">
      <c r="K1529" s="10"/>
      <c r="M1529" s="30"/>
      <c r="R1529" s="31"/>
    </row>
    <row r="1530" spans="11:18" x14ac:dyDescent="0.25">
      <c r="K1530" s="10"/>
      <c r="M1530" s="30"/>
      <c r="R1530" s="31"/>
    </row>
    <row r="1531" spans="11:18" x14ac:dyDescent="0.25">
      <c r="K1531" s="10"/>
      <c r="M1531" s="30"/>
      <c r="R1531" s="31"/>
    </row>
    <row r="1532" spans="11:18" x14ac:dyDescent="0.25">
      <c r="K1532" s="10"/>
      <c r="M1532" s="30"/>
      <c r="R1532" s="31"/>
    </row>
    <row r="1533" spans="11:18" x14ac:dyDescent="0.25">
      <c r="K1533" s="10"/>
      <c r="M1533" s="30"/>
      <c r="R1533" s="31"/>
    </row>
    <row r="1534" spans="11:18" x14ac:dyDescent="0.25">
      <c r="K1534" s="10"/>
      <c r="M1534" s="30"/>
      <c r="R1534" s="31"/>
    </row>
    <row r="1535" spans="11:18" x14ac:dyDescent="0.25">
      <c r="K1535" s="10"/>
      <c r="M1535" s="30"/>
      <c r="R1535" s="31"/>
    </row>
    <row r="1536" spans="11:18" x14ac:dyDescent="0.25">
      <c r="K1536" s="10"/>
      <c r="M1536" s="30"/>
      <c r="R1536" s="31"/>
    </row>
    <row r="1537" spans="11:18" x14ac:dyDescent="0.25">
      <c r="K1537" s="10"/>
      <c r="M1537" s="30"/>
      <c r="R1537" s="31"/>
    </row>
    <row r="1538" spans="11:18" x14ac:dyDescent="0.25">
      <c r="K1538" s="10"/>
      <c r="M1538" s="30"/>
      <c r="R1538" s="33"/>
    </row>
    <row r="1539" spans="11:18" x14ac:dyDescent="0.25">
      <c r="K1539" s="10"/>
      <c r="M1539" s="30"/>
      <c r="R1539" s="31"/>
    </row>
    <row r="1540" spans="11:18" x14ac:dyDescent="0.25">
      <c r="K1540" s="10"/>
      <c r="M1540" s="30"/>
      <c r="R1540" s="31"/>
    </row>
    <row r="1541" spans="11:18" x14ac:dyDescent="0.25">
      <c r="K1541" s="10"/>
      <c r="M1541" s="30"/>
      <c r="R1541" s="31"/>
    </row>
    <row r="1542" spans="11:18" x14ac:dyDescent="0.25">
      <c r="K1542" s="10"/>
      <c r="M1542" s="30"/>
      <c r="R1542" s="31"/>
    </row>
    <row r="1543" spans="11:18" x14ac:dyDescent="0.25">
      <c r="K1543" s="10"/>
      <c r="M1543" s="30"/>
      <c r="R1543" s="31"/>
    </row>
    <row r="1544" spans="11:18" x14ac:dyDescent="0.25">
      <c r="K1544" s="10"/>
      <c r="M1544" s="30"/>
      <c r="R1544" s="31"/>
    </row>
    <row r="1545" spans="11:18" x14ac:dyDescent="0.25">
      <c r="K1545" s="10"/>
      <c r="M1545" s="30"/>
      <c r="R1545" s="31"/>
    </row>
    <row r="1546" spans="11:18" x14ac:dyDescent="0.25">
      <c r="K1546" s="10"/>
      <c r="M1546" s="30"/>
      <c r="R1546" s="31"/>
    </row>
    <row r="1547" spans="11:18" x14ac:dyDescent="0.25">
      <c r="K1547" s="10"/>
      <c r="M1547" s="30"/>
      <c r="R1547" s="31"/>
    </row>
    <row r="1548" spans="11:18" x14ac:dyDescent="0.25">
      <c r="K1548" s="10"/>
      <c r="M1548" s="30"/>
      <c r="R1548" s="31"/>
    </row>
    <row r="1549" spans="11:18" x14ac:dyDescent="0.25">
      <c r="K1549" s="10"/>
      <c r="M1549" s="30"/>
      <c r="R1549" s="31"/>
    </row>
    <row r="1550" spans="11:18" x14ac:dyDescent="0.25">
      <c r="K1550" s="10"/>
      <c r="M1550" s="30"/>
      <c r="R1550" s="31"/>
    </row>
    <row r="1551" spans="11:18" x14ac:dyDescent="0.25">
      <c r="K1551" s="10"/>
      <c r="M1551" s="30"/>
      <c r="R1551" s="31"/>
    </row>
    <row r="1552" spans="11:18" x14ac:dyDescent="0.25">
      <c r="K1552" s="10"/>
      <c r="M1552" s="30"/>
      <c r="R1552" s="31"/>
    </row>
    <row r="1553" spans="11:18" x14ac:dyDescent="0.25">
      <c r="K1553" s="10"/>
      <c r="M1553" s="30"/>
      <c r="R1553" s="31"/>
    </row>
    <row r="1554" spans="11:18" x14ac:dyDescent="0.25">
      <c r="K1554" s="10"/>
      <c r="M1554" s="30"/>
      <c r="R1554" s="31"/>
    </row>
    <row r="1555" spans="11:18" x14ac:dyDescent="0.25">
      <c r="K1555" s="10"/>
      <c r="M1555" s="30"/>
      <c r="R1555" s="31"/>
    </row>
    <row r="1556" spans="11:18" x14ac:dyDescent="0.25">
      <c r="K1556" s="10"/>
      <c r="M1556" s="30"/>
      <c r="R1556" s="31"/>
    </row>
    <row r="1557" spans="11:18" x14ac:dyDescent="0.25">
      <c r="K1557" s="10"/>
      <c r="M1557" s="30"/>
      <c r="R1557" s="31"/>
    </row>
    <row r="1558" spans="11:18" x14ac:dyDescent="0.25">
      <c r="K1558" s="10"/>
      <c r="M1558" s="30"/>
      <c r="R1558" s="31"/>
    </row>
    <row r="1559" spans="11:18" x14ac:dyDescent="0.25">
      <c r="K1559" s="10"/>
      <c r="M1559" s="30"/>
      <c r="R1559" s="31"/>
    </row>
    <row r="1560" spans="11:18" x14ac:dyDescent="0.25">
      <c r="K1560" s="10"/>
      <c r="M1560" s="30"/>
      <c r="R1560" s="31"/>
    </row>
    <row r="1561" spans="11:18" x14ac:dyDescent="0.25">
      <c r="K1561" s="10"/>
      <c r="M1561" s="30"/>
      <c r="R1561" s="31"/>
    </row>
    <row r="1562" spans="11:18" x14ac:dyDescent="0.25">
      <c r="K1562" s="10"/>
      <c r="M1562" s="30"/>
      <c r="R1562" s="31"/>
    </row>
    <row r="1563" spans="11:18" x14ac:dyDescent="0.25">
      <c r="K1563" s="10"/>
      <c r="M1563" s="30"/>
      <c r="R1563" s="31"/>
    </row>
    <row r="1564" spans="11:18" x14ac:dyDescent="0.25">
      <c r="K1564" s="10"/>
      <c r="M1564" s="30"/>
      <c r="R1564" s="31"/>
    </row>
    <row r="1565" spans="11:18" x14ac:dyDescent="0.25">
      <c r="K1565" s="10"/>
      <c r="M1565" s="30"/>
      <c r="R1565" s="31"/>
    </row>
    <row r="1566" spans="11:18" x14ac:dyDescent="0.25">
      <c r="K1566" s="10"/>
      <c r="M1566" s="30"/>
      <c r="R1566" s="31"/>
    </row>
    <row r="1567" spans="11:18" x14ac:dyDescent="0.25">
      <c r="K1567" s="10"/>
      <c r="M1567" s="30"/>
      <c r="R1567" s="31"/>
    </row>
    <row r="1568" spans="11:18" x14ac:dyDescent="0.25">
      <c r="K1568" s="10"/>
      <c r="M1568" s="30"/>
      <c r="R1568" s="31"/>
    </row>
    <row r="1569" spans="11:18" x14ac:dyDescent="0.25">
      <c r="K1569" s="10"/>
      <c r="M1569" s="30"/>
      <c r="R1569" s="31"/>
    </row>
    <row r="1570" spans="11:18" x14ac:dyDescent="0.25">
      <c r="K1570" s="10"/>
      <c r="M1570" s="30"/>
      <c r="R1570" s="31"/>
    </row>
    <row r="1571" spans="11:18" x14ac:dyDescent="0.25">
      <c r="K1571" s="10"/>
      <c r="M1571" s="30"/>
      <c r="R1571" s="31"/>
    </row>
    <row r="1572" spans="11:18" x14ac:dyDescent="0.25">
      <c r="K1572" s="10"/>
      <c r="M1572" s="30"/>
      <c r="R1572" s="31"/>
    </row>
    <row r="1573" spans="11:18" x14ac:dyDescent="0.25">
      <c r="K1573" s="10"/>
      <c r="M1573" s="30"/>
      <c r="R1573" s="31"/>
    </row>
    <row r="1574" spans="11:18" x14ac:dyDescent="0.25">
      <c r="K1574" s="10"/>
      <c r="M1574" s="30"/>
      <c r="R1574" s="31"/>
    </row>
    <row r="1575" spans="11:18" x14ac:dyDescent="0.25">
      <c r="K1575" s="10"/>
      <c r="M1575" s="30"/>
      <c r="R1575" s="31"/>
    </row>
    <row r="1576" spans="11:18" x14ac:dyDescent="0.25">
      <c r="K1576" s="10"/>
      <c r="M1576" s="30"/>
      <c r="R1576" s="31"/>
    </row>
    <row r="1577" spans="11:18" x14ac:dyDescent="0.25">
      <c r="K1577" s="10"/>
      <c r="M1577" s="30"/>
      <c r="R1577" s="31"/>
    </row>
    <row r="1578" spans="11:18" x14ac:dyDescent="0.25">
      <c r="K1578" s="10"/>
      <c r="M1578" s="30"/>
      <c r="R1578" s="31"/>
    </row>
    <row r="1579" spans="11:18" x14ac:dyDescent="0.25">
      <c r="K1579" s="10"/>
      <c r="M1579" s="30"/>
      <c r="R1579" s="31"/>
    </row>
    <row r="1580" spans="11:18" x14ac:dyDescent="0.25">
      <c r="K1580" s="10"/>
      <c r="M1580" s="30"/>
      <c r="R1580" s="31"/>
    </row>
    <row r="1581" spans="11:18" x14ac:dyDescent="0.25">
      <c r="K1581" s="10"/>
      <c r="M1581" s="30"/>
      <c r="R1581" s="31"/>
    </row>
    <row r="1582" spans="11:18" x14ac:dyDescent="0.25">
      <c r="K1582" s="10"/>
      <c r="M1582" s="30"/>
      <c r="R1582" s="31"/>
    </row>
    <row r="1583" spans="11:18" x14ac:dyDescent="0.25">
      <c r="K1583" s="10"/>
      <c r="M1583" s="30"/>
      <c r="R1583" s="31"/>
    </row>
    <row r="1584" spans="11:18" x14ac:dyDescent="0.25">
      <c r="K1584" s="10"/>
      <c r="M1584" s="30"/>
      <c r="R1584" s="31"/>
    </row>
    <row r="1585" spans="11:18" x14ac:dyDescent="0.25">
      <c r="K1585" s="10"/>
      <c r="M1585" s="30"/>
      <c r="R1585" s="31"/>
    </row>
    <row r="1586" spans="11:18" x14ac:dyDescent="0.25">
      <c r="K1586" s="10"/>
      <c r="M1586" s="30"/>
      <c r="R1586" s="31"/>
    </row>
    <row r="1587" spans="11:18" x14ac:dyDescent="0.25">
      <c r="K1587" s="10"/>
      <c r="M1587" s="30"/>
      <c r="R1587" s="31"/>
    </row>
    <row r="1588" spans="11:18" x14ac:dyDescent="0.25">
      <c r="K1588" s="10"/>
      <c r="M1588" s="30"/>
      <c r="R1588" s="31"/>
    </row>
    <row r="1589" spans="11:18" x14ac:dyDescent="0.25">
      <c r="K1589" s="10"/>
      <c r="M1589" s="30"/>
      <c r="R1589" s="31"/>
    </row>
    <row r="1590" spans="11:18" x14ac:dyDescent="0.25">
      <c r="K1590" s="10"/>
      <c r="M1590" s="30"/>
      <c r="R1590" s="31"/>
    </row>
    <row r="1591" spans="11:18" x14ac:dyDescent="0.25">
      <c r="K1591" s="10"/>
      <c r="M1591" s="30"/>
      <c r="R1591" s="31"/>
    </row>
    <row r="1592" spans="11:18" x14ac:dyDescent="0.25">
      <c r="K1592" s="10"/>
      <c r="M1592" s="30"/>
      <c r="R1592" s="31"/>
    </row>
    <row r="1593" spans="11:18" x14ac:dyDescent="0.25">
      <c r="K1593" s="10"/>
      <c r="M1593" s="30"/>
      <c r="R1593" s="31"/>
    </row>
    <row r="1594" spans="11:18" x14ac:dyDescent="0.25">
      <c r="K1594" s="10"/>
      <c r="M1594" s="30"/>
      <c r="R1594" s="31"/>
    </row>
    <row r="1595" spans="11:18" x14ac:dyDescent="0.25">
      <c r="K1595" s="10"/>
      <c r="M1595" s="30"/>
      <c r="R1595" s="31"/>
    </row>
    <row r="1596" spans="11:18" x14ac:dyDescent="0.25">
      <c r="K1596" s="10"/>
      <c r="M1596" s="30"/>
      <c r="R1596" s="31"/>
    </row>
    <row r="1597" spans="11:18" x14ac:dyDescent="0.25">
      <c r="K1597" s="10"/>
      <c r="M1597" s="30"/>
      <c r="R1597" s="31"/>
    </row>
    <row r="1598" spans="11:18" x14ac:dyDescent="0.25">
      <c r="K1598" s="10"/>
      <c r="M1598" s="30"/>
      <c r="R1598" s="31"/>
    </row>
    <row r="1599" spans="11:18" x14ac:dyDescent="0.25">
      <c r="K1599" s="10"/>
      <c r="M1599" s="30"/>
      <c r="R1599" s="31"/>
    </row>
    <row r="1600" spans="11:18" x14ac:dyDescent="0.25">
      <c r="K1600" s="10"/>
      <c r="M1600" s="30"/>
      <c r="R1600" s="31"/>
    </row>
    <row r="1601" spans="11:18" x14ac:dyDescent="0.25">
      <c r="K1601" s="10"/>
      <c r="M1601" s="30"/>
      <c r="R1601" s="31"/>
    </row>
    <row r="1602" spans="11:18" x14ac:dyDescent="0.25">
      <c r="K1602" s="10"/>
      <c r="M1602" s="30"/>
      <c r="R1602" s="31"/>
    </row>
    <row r="1603" spans="11:18" x14ac:dyDescent="0.25">
      <c r="K1603" s="10"/>
      <c r="M1603" s="30"/>
      <c r="R1603" s="31"/>
    </row>
    <row r="1604" spans="11:18" x14ac:dyDescent="0.25">
      <c r="K1604" s="10"/>
      <c r="M1604" s="30"/>
      <c r="R1604" s="31"/>
    </row>
    <row r="1605" spans="11:18" x14ac:dyDescent="0.25">
      <c r="K1605" s="10"/>
      <c r="M1605" s="30"/>
      <c r="R1605" s="31"/>
    </row>
    <row r="1606" spans="11:18" x14ac:dyDescent="0.25">
      <c r="K1606" s="10"/>
      <c r="M1606" s="30"/>
      <c r="R1606" s="31"/>
    </row>
    <row r="1607" spans="11:18" x14ac:dyDescent="0.25">
      <c r="K1607" s="10"/>
      <c r="M1607" s="30"/>
      <c r="R1607" s="31"/>
    </row>
    <row r="1608" spans="11:18" x14ac:dyDescent="0.25">
      <c r="K1608" s="10"/>
      <c r="M1608" s="30"/>
      <c r="R1608" s="31"/>
    </row>
    <row r="1609" spans="11:18" x14ac:dyDescent="0.25">
      <c r="K1609" s="10"/>
      <c r="M1609" s="30"/>
      <c r="R1609" s="31"/>
    </row>
    <row r="1610" spans="11:18" x14ac:dyDescent="0.25">
      <c r="K1610" s="10"/>
      <c r="M1610" s="30"/>
      <c r="R1610" s="31"/>
    </row>
    <row r="1611" spans="11:18" x14ac:dyDescent="0.25">
      <c r="K1611" s="10"/>
      <c r="M1611" s="30"/>
      <c r="R1611" s="31"/>
    </row>
    <row r="1612" spans="11:18" x14ac:dyDescent="0.25">
      <c r="K1612" s="10"/>
      <c r="M1612" s="30"/>
      <c r="R1612" s="31"/>
    </row>
    <row r="1613" spans="11:18" x14ac:dyDescent="0.25">
      <c r="K1613" s="10"/>
      <c r="M1613" s="30"/>
      <c r="R1613" s="31"/>
    </row>
    <row r="1614" spans="11:18" x14ac:dyDescent="0.25">
      <c r="K1614" s="10"/>
      <c r="M1614" s="30"/>
      <c r="R1614" s="31"/>
    </row>
    <row r="1615" spans="11:18" x14ac:dyDescent="0.25">
      <c r="K1615" s="10"/>
      <c r="M1615" s="30"/>
      <c r="R1615" s="31"/>
    </row>
    <row r="1616" spans="11:18" x14ac:dyDescent="0.25">
      <c r="K1616" s="10"/>
      <c r="M1616" s="30"/>
      <c r="R1616" s="31"/>
    </row>
    <row r="1617" spans="11:18" x14ac:dyDescent="0.25">
      <c r="K1617" s="10"/>
      <c r="M1617" s="30"/>
      <c r="R1617" s="31"/>
    </row>
    <row r="1618" spans="11:18" x14ac:dyDescent="0.25">
      <c r="K1618" s="10"/>
      <c r="M1618" s="30"/>
      <c r="R1618" s="31"/>
    </row>
    <row r="1619" spans="11:18" x14ac:dyDescent="0.25">
      <c r="K1619" s="10"/>
      <c r="M1619" s="30"/>
      <c r="R1619" s="31"/>
    </row>
    <row r="1620" spans="11:18" x14ac:dyDescent="0.25">
      <c r="K1620" s="10"/>
      <c r="M1620" s="30"/>
      <c r="R1620" s="31"/>
    </row>
    <row r="1621" spans="11:18" x14ac:dyDescent="0.25">
      <c r="K1621" s="10"/>
      <c r="M1621" s="30"/>
      <c r="R1621" s="31"/>
    </row>
    <row r="1622" spans="11:18" x14ac:dyDescent="0.25">
      <c r="K1622" s="10"/>
      <c r="M1622" s="30"/>
      <c r="R1622" s="31"/>
    </row>
    <row r="1623" spans="11:18" x14ac:dyDescent="0.25">
      <c r="K1623" s="10"/>
      <c r="M1623" s="30"/>
      <c r="R1623" s="31"/>
    </row>
    <row r="1624" spans="11:18" x14ac:dyDescent="0.25">
      <c r="K1624" s="10"/>
      <c r="M1624" s="30"/>
      <c r="R1624" s="31"/>
    </row>
    <row r="1625" spans="11:18" x14ac:dyDescent="0.25">
      <c r="K1625" s="10"/>
      <c r="M1625" s="30"/>
      <c r="R1625" s="31"/>
    </row>
    <row r="1626" spans="11:18" x14ac:dyDescent="0.25">
      <c r="K1626" s="10"/>
      <c r="M1626" s="30"/>
      <c r="R1626" s="31"/>
    </row>
    <row r="1627" spans="11:18" x14ac:dyDescent="0.25">
      <c r="K1627" s="10"/>
      <c r="M1627" s="30"/>
      <c r="R1627" s="31"/>
    </row>
    <row r="1628" spans="11:18" x14ac:dyDescent="0.25">
      <c r="K1628" s="10"/>
      <c r="M1628" s="30"/>
      <c r="R1628" s="31"/>
    </row>
    <row r="1629" spans="11:18" x14ac:dyDescent="0.25">
      <c r="K1629" s="10"/>
      <c r="M1629" s="30"/>
      <c r="R1629" s="31"/>
    </row>
    <row r="1630" spans="11:18" x14ac:dyDescent="0.25">
      <c r="K1630" s="10"/>
      <c r="M1630" s="30"/>
      <c r="R1630" s="31"/>
    </row>
    <row r="1631" spans="11:18" x14ac:dyDescent="0.25">
      <c r="K1631" s="10"/>
      <c r="M1631" s="30"/>
      <c r="R1631" s="31"/>
    </row>
    <row r="1632" spans="11:18" x14ac:dyDescent="0.25">
      <c r="K1632" s="10"/>
      <c r="M1632" s="30"/>
      <c r="R1632" s="31"/>
    </row>
    <row r="1633" spans="11:18" x14ac:dyDescent="0.25">
      <c r="K1633" s="10"/>
      <c r="M1633" s="30"/>
      <c r="R1633" s="31"/>
    </row>
    <row r="1634" spans="11:18" x14ac:dyDescent="0.25">
      <c r="K1634" s="10"/>
      <c r="M1634" s="30"/>
      <c r="R1634" s="31"/>
    </row>
    <row r="1635" spans="11:18" x14ac:dyDescent="0.25">
      <c r="K1635" s="10"/>
      <c r="M1635" s="30"/>
      <c r="R1635" s="31"/>
    </row>
    <row r="1636" spans="11:18" x14ac:dyDescent="0.25">
      <c r="K1636" s="10"/>
      <c r="M1636" s="30"/>
      <c r="R1636" s="31"/>
    </row>
    <row r="1637" spans="11:18" x14ac:dyDescent="0.25">
      <c r="K1637" s="10"/>
      <c r="M1637" s="30"/>
      <c r="R1637" s="31"/>
    </row>
    <row r="1638" spans="11:18" x14ac:dyDescent="0.25">
      <c r="K1638" s="10"/>
      <c r="M1638" s="30"/>
      <c r="R1638" s="31"/>
    </row>
    <row r="1639" spans="11:18" x14ac:dyDescent="0.25">
      <c r="K1639" s="10"/>
      <c r="M1639" s="30"/>
      <c r="R1639" s="31"/>
    </row>
    <row r="1640" spans="11:18" x14ac:dyDescent="0.25">
      <c r="K1640" s="10"/>
      <c r="M1640" s="30"/>
      <c r="R1640" s="31"/>
    </row>
    <row r="1641" spans="11:18" x14ac:dyDescent="0.25">
      <c r="K1641" s="10"/>
      <c r="M1641" s="30"/>
      <c r="R1641" s="31"/>
    </row>
    <row r="1642" spans="11:18" x14ac:dyDescent="0.25">
      <c r="K1642" s="10"/>
      <c r="M1642" s="30"/>
      <c r="R1642" s="31"/>
    </row>
    <row r="1643" spans="11:18" x14ac:dyDescent="0.25">
      <c r="K1643" s="10"/>
      <c r="M1643" s="30"/>
      <c r="R1643" s="31"/>
    </row>
    <row r="1644" spans="11:18" x14ac:dyDescent="0.25">
      <c r="K1644" s="10"/>
      <c r="M1644" s="30"/>
      <c r="R1644" s="31"/>
    </row>
    <row r="1645" spans="11:18" x14ac:dyDescent="0.25">
      <c r="K1645" s="10"/>
      <c r="M1645" s="30"/>
      <c r="R1645" s="31"/>
    </row>
    <row r="1646" spans="11:18" x14ac:dyDescent="0.25">
      <c r="K1646" s="10"/>
      <c r="M1646" s="30"/>
      <c r="R1646" s="31"/>
    </row>
    <row r="1647" spans="11:18" x14ac:dyDescent="0.25">
      <c r="K1647" s="10"/>
      <c r="M1647" s="30"/>
      <c r="R1647" s="31"/>
    </row>
    <row r="1648" spans="11:18" x14ac:dyDescent="0.25">
      <c r="K1648" s="10"/>
      <c r="M1648" s="30"/>
      <c r="R1648" s="31"/>
    </row>
    <row r="1649" spans="11:18" x14ac:dyDescent="0.25">
      <c r="K1649" s="10"/>
      <c r="M1649" s="30"/>
      <c r="R1649" s="31"/>
    </row>
    <row r="1650" spans="11:18" x14ac:dyDescent="0.25">
      <c r="K1650" s="10"/>
      <c r="M1650" s="30"/>
      <c r="R1650" s="31"/>
    </row>
    <row r="1651" spans="11:18" x14ac:dyDescent="0.25">
      <c r="K1651" s="10"/>
      <c r="M1651" s="30"/>
      <c r="R1651" s="31"/>
    </row>
    <row r="1652" spans="11:18" x14ac:dyDescent="0.25">
      <c r="K1652" s="10"/>
      <c r="M1652" s="30"/>
      <c r="R1652" s="31"/>
    </row>
    <row r="1653" spans="11:18" x14ac:dyDescent="0.25">
      <c r="K1653" s="10"/>
      <c r="M1653" s="30"/>
      <c r="R1653" s="31"/>
    </row>
    <row r="1654" spans="11:18" x14ac:dyDescent="0.25">
      <c r="K1654" s="10"/>
      <c r="M1654" s="30"/>
      <c r="R1654" s="31"/>
    </row>
    <row r="1655" spans="11:18" x14ac:dyDescent="0.25">
      <c r="K1655" s="10"/>
      <c r="M1655" s="30"/>
      <c r="R1655" s="31"/>
    </row>
    <row r="1656" spans="11:18" x14ac:dyDescent="0.25">
      <c r="K1656" s="10"/>
      <c r="M1656" s="30"/>
      <c r="R1656" s="31"/>
    </row>
    <row r="1657" spans="11:18" x14ac:dyDescent="0.25">
      <c r="K1657" s="10"/>
      <c r="M1657" s="30"/>
      <c r="R1657" s="31"/>
    </row>
    <row r="1658" spans="11:18" x14ac:dyDescent="0.25">
      <c r="K1658" s="10"/>
      <c r="M1658" s="30"/>
      <c r="P1658" s="32"/>
      <c r="R1658" s="31"/>
    </row>
    <row r="1659" spans="11:18" x14ac:dyDescent="0.25">
      <c r="K1659" s="10"/>
      <c r="M1659" s="30"/>
      <c r="P1659" s="32"/>
      <c r="R1659" s="31"/>
    </row>
    <row r="1660" spans="11:18" x14ac:dyDescent="0.25">
      <c r="K1660" s="10"/>
      <c r="M1660" s="30"/>
      <c r="P1660" s="32"/>
      <c r="R1660" s="31"/>
    </row>
    <row r="1661" spans="11:18" x14ac:dyDescent="0.25">
      <c r="K1661" s="10"/>
      <c r="M1661" s="30"/>
      <c r="P1661" s="32"/>
      <c r="R1661" s="31"/>
    </row>
    <row r="1662" spans="11:18" x14ac:dyDescent="0.25">
      <c r="K1662" s="10"/>
      <c r="M1662" s="30"/>
      <c r="P1662" s="32"/>
      <c r="R1662" s="31"/>
    </row>
    <row r="1663" spans="11:18" x14ac:dyDescent="0.25">
      <c r="K1663" s="10"/>
      <c r="M1663" s="30"/>
      <c r="P1663" s="32"/>
      <c r="R1663" s="31"/>
    </row>
    <row r="1664" spans="11:18" x14ac:dyDescent="0.25">
      <c r="K1664" s="10"/>
      <c r="M1664" s="30"/>
      <c r="P1664" s="32"/>
      <c r="R1664" s="31"/>
    </row>
    <row r="1665" spans="11:18" x14ac:dyDescent="0.25">
      <c r="K1665" s="10"/>
      <c r="M1665" s="30"/>
      <c r="P1665" s="32"/>
      <c r="R1665" s="31"/>
    </row>
    <row r="1666" spans="11:18" x14ac:dyDescent="0.25">
      <c r="K1666" s="10"/>
      <c r="M1666" s="30"/>
      <c r="P1666" s="32"/>
      <c r="R1666" s="31"/>
    </row>
    <row r="1667" spans="11:18" x14ac:dyDescent="0.25">
      <c r="K1667" s="10"/>
      <c r="M1667" s="30"/>
      <c r="P1667" s="32"/>
      <c r="R1667" s="31"/>
    </row>
    <row r="1668" spans="11:18" x14ac:dyDescent="0.25">
      <c r="K1668" s="10"/>
      <c r="M1668" s="30"/>
      <c r="P1668" s="32"/>
      <c r="R1668" s="31"/>
    </row>
    <row r="1669" spans="11:18" x14ac:dyDescent="0.25">
      <c r="K1669" s="10"/>
      <c r="M1669" s="30"/>
      <c r="P1669" s="32"/>
      <c r="R1669" s="31"/>
    </row>
    <row r="1670" spans="11:18" x14ac:dyDescent="0.25">
      <c r="K1670" s="10"/>
      <c r="M1670" s="30"/>
      <c r="R1670" s="31"/>
    </row>
    <row r="1671" spans="11:18" x14ac:dyDescent="0.25">
      <c r="K1671" s="10"/>
      <c r="M1671" s="30"/>
      <c r="R1671" s="31"/>
    </row>
    <row r="1672" spans="11:18" x14ac:dyDescent="0.25">
      <c r="K1672" s="10"/>
      <c r="M1672" s="30"/>
      <c r="R1672" s="31"/>
    </row>
    <row r="1673" spans="11:18" x14ac:dyDescent="0.25">
      <c r="K1673" s="10"/>
      <c r="M1673" s="30"/>
      <c r="R1673" s="31"/>
    </row>
    <row r="1674" spans="11:18" x14ac:dyDescent="0.25">
      <c r="K1674" s="10"/>
      <c r="M1674" s="30"/>
      <c r="R1674" s="31"/>
    </row>
    <row r="1675" spans="11:18" x14ac:dyDescent="0.25">
      <c r="K1675" s="10"/>
      <c r="M1675" s="30"/>
      <c r="R1675" s="31"/>
    </row>
    <row r="1676" spans="11:18" x14ac:dyDescent="0.25">
      <c r="K1676" s="10"/>
      <c r="M1676" s="30"/>
      <c r="R1676" s="31"/>
    </row>
    <row r="1677" spans="11:18" x14ac:dyDescent="0.25">
      <c r="K1677" s="10"/>
      <c r="M1677" s="30"/>
      <c r="R1677" s="31"/>
    </row>
    <row r="1678" spans="11:18" x14ac:dyDescent="0.25">
      <c r="K1678" s="10"/>
      <c r="M1678" s="30"/>
      <c r="R1678" s="31"/>
    </row>
    <row r="1679" spans="11:18" x14ac:dyDescent="0.25">
      <c r="K1679" s="10"/>
      <c r="M1679" s="30"/>
      <c r="R1679" s="31"/>
    </row>
    <row r="1680" spans="11:18" x14ac:dyDescent="0.25">
      <c r="K1680" s="10"/>
      <c r="M1680" s="30"/>
      <c r="R1680" s="31"/>
    </row>
    <row r="1681" spans="11:18" x14ac:dyDescent="0.25">
      <c r="K1681" s="10"/>
      <c r="M1681" s="30"/>
      <c r="R1681" s="31"/>
    </row>
    <row r="1682" spans="11:18" x14ac:dyDescent="0.25">
      <c r="K1682" s="10"/>
      <c r="M1682" s="30"/>
      <c r="R1682" s="31"/>
    </row>
    <row r="1683" spans="11:18" x14ac:dyDescent="0.25">
      <c r="K1683" s="10"/>
      <c r="M1683" s="30"/>
      <c r="R1683" s="31"/>
    </row>
    <row r="1684" spans="11:18" x14ac:dyDescent="0.25">
      <c r="K1684" s="10"/>
      <c r="M1684" s="30"/>
      <c r="P1684" s="32"/>
      <c r="R1684" s="31"/>
    </row>
    <row r="1685" spans="11:18" x14ac:dyDescent="0.25">
      <c r="K1685" s="10"/>
      <c r="M1685" s="30"/>
      <c r="P1685" s="32"/>
      <c r="R1685" s="31"/>
    </row>
    <row r="1686" spans="11:18" x14ac:dyDescent="0.25">
      <c r="K1686" s="10"/>
      <c r="M1686" s="30"/>
      <c r="P1686" s="32"/>
      <c r="R1686" s="31"/>
    </row>
    <row r="1687" spans="11:18" x14ac:dyDescent="0.25">
      <c r="K1687" s="10"/>
      <c r="M1687" s="30"/>
      <c r="P1687" s="32"/>
      <c r="R1687" s="31"/>
    </row>
    <row r="1688" spans="11:18" x14ac:dyDescent="0.25">
      <c r="K1688" s="10"/>
      <c r="M1688" s="30"/>
      <c r="P1688" s="32"/>
      <c r="R1688" s="31"/>
    </row>
    <row r="1689" spans="11:18" x14ac:dyDescent="0.25">
      <c r="K1689" s="10"/>
      <c r="M1689" s="30"/>
      <c r="P1689" s="32"/>
      <c r="R1689" s="31"/>
    </row>
    <row r="1690" spans="11:18" x14ac:dyDescent="0.25">
      <c r="K1690" s="10"/>
      <c r="M1690" s="30"/>
      <c r="P1690" s="32"/>
      <c r="R1690" s="31"/>
    </row>
    <row r="1691" spans="11:18" x14ac:dyDescent="0.25">
      <c r="K1691" s="10"/>
      <c r="M1691" s="30"/>
      <c r="P1691" s="32"/>
      <c r="R1691" s="31"/>
    </row>
    <row r="1692" spans="11:18" x14ac:dyDescent="0.25">
      <c r="K1692" s="10"/>
      <c r="M1692" s="30"/>
      <c r="P1692" s="32"/>
      <c r="R1692" s="31"/>
    </row>
    <row r="1693" spans="11:18" x14ac:dyDescent="0.25">
      <c r="K1693" s="10"/>
      <c r="M1693" s="30"/>
      <c r="P1693" s="32"/>
      <c r="R1693" s="31"/>
    </row>
    <row r="1694" spans="11:18" x14ac:dyDescent="0.25">
      <c r="K1694" s="10"/>
      <c r="M1694" s="30"/>
      <c r="P1694" s="32"/>
      <c r="R1694" s="31"/>
    </row>
    <row r="1695" spans="11:18" x14ac:dyDescent="0.25">
      <c r="K1695" s="10"/>
      <c r="M1695" s="30"/>
      <c r="P1695" s="32"/>
      <c r="R1695" s="31"/>
    </row>
    <row r="1696" spans="11:18" x14ac:dyDescent="0.25">
      <c r="K1696" s="10"/>
      <c r="M1696" s="30"/>
      <c r="P1696" s="32"/>
      <c r="R1696" s="31"/>
    </row>
    <row r="1697" spans="11:18" x14ac:dyDescent="0.25">
      <c r="K1697" s="10"/>
      <c r="M1697" s="30"/>
      <c r="P1697" s="32"/>
      <c r="R1697" s="31"/>
    </row>
    <row r="1698" spans="11:18" x14ac:dyDescent="0.25">
      <c r="K1698" s="10"/>
      <c r="M1698" s="30"/>
      <c r="P1698" s="32"/>
      <c r="R1698" s="31"/>
    </row>
    <row r="1699" spans="11:18" x14ac:dyDescent="0.25">
      <c r="K1699" s="10"/>
      <c r="M1699" s="30"/>
      <c r="P1699" s="32"/>
      <c r="R1699" s="31"/>
    </row>
    <row r="1700" spans="11:18" x14ac:dyDescent="0.25">
      <c r="K1700" s="10"/>
      <c r="M1700" s="30"/>
      <c r="P1700" s="32"/>
      <c r="R1700" s="31"/>
    </row>
    <row r="1701" spans="11:18" x14ac:dyDescent="0.25">
      <c r="K1701" s="10"/>
      <c r="M1701" s="30"/>
      <c r="P1701" s="32"/>
      <c r="R1701" s="31"/>
    </row>
    <row r="1702" spans="11:18" x14ac:dyDescent="0.25">
      <c r="K1702" s="10"/>
      <c r="M1702" s="30"/>
      <c r="P1702" s="32"/>
      <c r="R1702" s="31"/>
    </row>
    <row r="1703" spans="11:18" x14ac:dyDescent="0.25">
      <c r="K1703" s="10"/>
      <c r="M1703" s="30"/>
      <c r="P1703" s="32"/>
      <c r="R1703" s="31"/>
    </row>
    <row r="1704" spans="11:18" x14ac:dyDescent="0.25">
      <c r="K1704" s="10"/>
      <c r="M1704" s="30"/>
      <c r="P1704" s="32"/>
      <c r="R1704" s="31"/>
    </row>
    <row r="1705" spans="11:18" x14ac:dyDescent="0.25">
      <c r="K1705" s="10"/>
      <c r="M1705" s="30"/>
      <c r="R1705" s="31"/>
    </row>
    <row r="1706" spans="11:18" x14ac:dyDescent="0.25">
      <c r="K1706" s="10"/>
      <c r="M1706" s="30"/>
      <c r="R1706" s="31"/>
    </row>
    <row r="1707" spans="11:18" x14ac:dyDescent="0.25">
      <c r="K1707" s="10"/>
      <c r="M1707" s="30"/>
      <c r="R1707" s="31"/>
    </row>
    <row r="1708" spans="11:18" x14ac:dyDescent="0.25">
      <c r="K1708" s="10"/>
      <c r="M1708" s="30"/>
      <c r="R1708" s="31"/>
    </row>
    <row r="1709" spans="11:18" x14ac:dyDescent="0.25">
      <c r="K1709" s="10"/>
      <c r="M1709" s="30"/>
      <c r="R1709" s="31"/>
    </row>
    <row r="1710" spans="11:18" x14ac:dyDescent="0.25">
      <c r="K1710" s="10"/>
      <c r="M1710" s="30"/>
      <c r="R1710" s="31"/>
    </row>
    <row r="1711" spans="11:18" x14ac:dyDescent="0.25">
      <c r="K1711" s="10"/>
      <c r="M1711" s="30"/>
      <c r="R1711" s="31"/>
    </row>
    <row r="1712" spans="11:18" x14ac:dyDescent="0.25">
      <c r="K1712" s="10"/>
      <c r="M1712" s="30"/>
      <c r="R1712" s="31"/>
    </row>
    <row r="1713" spans="11:18" x14ac:dyDescent="0.25">
      <c r="K1713" s="10"/>
      <c r="M1713" s="30"/>
      <c r="R1713" s="31"/>
    </row>
    <row r="1714" spans="11:18" x14ac:dyDescent="0.25">
      <c r="K1714" s="10"/>
      <c r="M1714" s="30"/>
      <c r="R1714" s="31"/>
    </row>
    <row r="1715" spans="11:18" x14ac:dyDescent="0.25">
      <c r="K1715" s="10"/>
      <c r="M1715" s="30"/>
      <c r="R1715" s="31"/>
    </row>
    <row r="1716" spans="11:18" x14ac:dyDescent="0.25">
      <c r="K1716" s="10"/>
      <c r="M1716" s="30"/>
      <c r="R1716" s="31"/>
    </row>
    <row r="1717" spans="11:18" x14ac:dyDescent="0.25">
      <c r="K1717" s="10"/>
      <c r="M1717" s="30"/>
      <c r="R1717" s="31"/>
    </row>
    <row r="1718" spans="11:18" x14ac:dyDescent="0.25">
      <c r="K1718" s="10"/>
      <c r="M1718" s="30"/>
      <c r="R1718" s="31"/>
    </row>
    <row r="1719" spans="11:18" x14ac:dyDescent="0.25">
      <c r="K1719" s="10"/>
      <c r="M1719" s="30"/>
      <c r="R1719" s="31"/>
    </row>
    <row r="1720" spans="11:18" x14ac:dyDescent="0.25">
      <c r="K1720" s="10"/>
      <c r="M1720" s="30"/>
      <c r="R1720" s="31"/>
    </row>
    <row r="1721" spans="11:18" x14ac:dyDescent="0.25">
      <c r="K1721" s="10"/>
      <c r="M1721" s="30"/>
      <c r="R1721" s="31"/>
    </row>
    <row r="1722" spans="11:18" x14ac:dyDescent="0.25">
      <c r="K1722" s="10"/>
      <c r="M1722" s="30"/>
      <c r="R1722" s="31"/>
    </row>
    <row r="1723" spans="11:18" x14ac:dyDescent="0.25">
      <c r="K1723" s="10"/>
      <c r="M1723" s="30"/>
      <c r="R1723" s="31"/>
    </row>
    <row r="1724" spans="11:18" x14ac:dyDescent="0.25">
      <c r="K1724" s="10"/>
      <c r="M1724" s="30"/>
      <c r="R1724" s="31"/>
    </row>
    <row r="1725" spans="11:18" x14ac:dyDescent="0.25">
      <c r="K1725" s="10"/>
      <c r="M1725" s="30"/>
      <c r="R1725" s="31"/>
    </row>
    <row r="1726" spans="11:18" x14ac:dyDescent="0.25">
      <c r="K1726" s="10"/>
      <c r="M1726" s="30"/>
      <c r="R1726" s="31"/>
    </row>
    <row r="1727" spans="11:18" x14ac:dyDescent="0.25">
      <c r="K1727" s="10"/>
      <c r="M1727" s="30"/>
      <c r="R1727" s="31"/>
    </row>
    <row r="1728" spans="11:18" x14ac:dyDescent="0.25">
      <c r="K1728" s="10"/>
      <c r="M1728" s="30"/>
      <c r="R1728" s="31"/>
    </row>
    <row r="1729" spans="11:18" x14ac:dyDescent="0.25">
      <c r="K1729" s="10"/>
      <c r="M1729" s="30"/>
      <c r="R1729" s="31"/>
    </row>
    <row r="1730" spans="11:18" x14ac:dyDescent="0.25">
      <c r="K1730" s="10"/>
      <c r="M1730" s="30"/>
      <c r="R1730" s="31"/>
    </row>
    <row r="1731" spans="11:18" x14ac:dyDescent="0.25">
      <c r="K1731" s="10"/>
      <c r="M1731" s="30"/>
      <c r="R1731" s="31"/>
    </row>
    <row r="1732" spans="11:18" x14ac:dyDescent="0.25">
      <c r="K1732" s="10"/>
      <c r="M1732" s="30"/>
      <c r="R1732" s="31"/>
    </row>
    <row r="1733" spans="11:18" x14ac:dyDescent="0.25">
      <c r="K1733" s="10"/>
      <c r="M1733" s="30"/>
      <c r="R1733" s="31"/>
    </row>
    <row r="1734" spans="11:18" x14ac:dyDescent="0.25">
      <c r="K1734" s="10"/>
      <c r="M1734" s="30"/>
      <c r="R1734" s="31"/>
    </row>
    <row r="1735" spans="11:18" x14ac:dyDescent="0.25">
      <c r="K1735" s="10"/>
      <c r="M1735" s="30"/>
      <c r="R1735" s="31"/>
    </row>
    <row r="1736" spans="11:18" x14ac:dyDescent="0.25">
      <c r="K1736" s="10"/>
      <c r="M1736" s="30"/>
      <c r="R1736" s="31"/>
    </row>
    <row r="1737" spans="11:18" x14ac:dyDescent="0.25">
      <c r="K1737" s="10"/>
      <c r="M1737" s="30"/>
      <c r="R1737" s="31"/>
    </row>
    <row r="1738" spans="11:18" x14ac:dyDescent="0.25">
      <c r="K1738" s="10"/>
      <c r="M1738" s="30"/>
      <c r="R1738" s="31"/>
    </row>
    <row r="1739" spans="11:18" x14ac:dyDescent="0.25">
      <c r="K1739" s="10"/>
      <c r="M1739" s="30"/>
      <c r="R1739" s="31"/>
    </row>
    <row r="1740" spans="11:18" x14ac:dyDescent="0.25">
      <c r="K1740" s="10"/>
      <c r="M1740" s="30"/>
      <c r="R1740" s="31"/>
    </row>
    <row r="1741" spans="11:18" x14ac:dyDescent="0.25">
      <c r="K1741" s="10"/>
      <c r="M1741" s="30"/>
      <c r="R1741" s="31"/>
    </row>
    <row r="1742" spans="11:18" x14ac:dyDescent="0.25">
      <c r="K1742" s="10"/>
      <c r="M1742" s="30"/>
      <c r="R1742" s="31"/>
    </row>
    <row r="1743" spans="11:18" x14ac:dyDescent="0.25">
      <c r="K1743" s="10"/>
      <c r="M1743" s="30"/>
      <c r="P1743" s="32"/>
      <c r="R1743" s="31"/>
    </row>
    <row r="1744" spans="11:18" x14ac:dyDescent="0.25">
      <c r="K1744" s="10"/>
      <c r="M1744" s="30"/>
      <c r="P1744" s="32"/>
      <c r="R1744" s="31"/>
    </row>
    <row r="1745" spans="11:18" x14ac:dyDescent="0.25">
      <c r="K1745" s="10"/>
      <c r="M1745" s="30"/>
      <c r="P1745" s="32"/>
      <c r="R1745" s="31"/>
    </row>
    <row r="1746" spans="11:18" x14ac:dyDescent="0.25">
      <c r="K1746" s="10"/>
      <c r="M1746" s="30"/>
      <c r="P1746" s="32"/>
      <c r="R1746" s="31"/>
    </row>
    <row r="1747" spans="11:18" x14ac:dyDescent="0.25">
      <c r="K1747" s="10"/>
      <c r="M1747" s="30"/>
      <c r="P1747" s="32"/>
      <c r="R1747" s="31"/>
    </row>
    <row r="1748" spans="11:18" x14ac:dyDescent="0.25">
      <c r="K1748" s="10"/>
      <c r="M1748" s="30"/>
      <c r="P1748" s="32"/>
      <c r="R1748" s="31"/>
    </row>
    <row r="1749" spans="11:18" x14ac:dyDescent="0.25">
      <c r="K1749" s="10"/>
      <c r="M1749" s="30"/>
      <c r="P1749" s="32"/>
      <c r="R1749" s="31"/>
    </row>
    <row r="1750" spans="11:18" x14ac:dyDescent="0.25">
      <c r="K1750" s="10"/>
      <c r="M1750" s="30"/>
      <c r="P1750" s="32"/>
      <c r="R1750" s="31"/>
    </row>
    <row r="1751" spans="11:18" x14ac:dyDescent="0.25">
      <c r="K1751" s="10"/>
      <c r="M1751" s="30"/>
      <c r="P1751" s="32"/>
      <c r="R1751" s="31"/>
    </row>
    <row r="1752" spans="11:18" x14ac:dyDescent="0.25">
      <c r="K1752" s="10"/>
      <c r="M1752" s="30"/>
      <c r="P1752" s="32"/>
      <c r="R1752" s="31"/>
    </row>
    <row r="1753" spans="11:18" x14ac:dyDescent="0.25">
      <c r="K1753" s="10"/>
      <c r="M1753" s="30"/>
      <c r="P1753" s="32"/>
      <c r="R1753" s="31"/>
    </row>
    <row r="1754" spans="11:18" x14ac:dyDescent="0.25">
      <c r="K1754" s="10"/>
      <c r="M1754" s="30"/>
      <c r="P1754" s="32"/>
      <c r="R1754" s="31"/>
    </row>
    <row r="1755" spans="11:18" x14ac:dyDescent="0.25">
      <c r="K1755" s="10"/>
      <c r="M1755" s="30"/>
      <c r="P1755" s="32"/>
      <c r="R1755" s="31"/>
    </row>
    <row r="1756" spans="11:18" x14ac:dyDescent="0.25">
      <c r="K1756" s="10"/>
      <c r="M1756" s="30"/>
      <c r="P1756" s="32"/>
      <c r="R1756" s="31"/>
    </row>
    <row r="1757" spans="11:18" x14ac:dyDescent="0.25">
      <c r="K1757" s="10"/>
      <c r="M1757" s="30"/>
      <c r="P1757" s="32"/>
      <c r="R1757" s="31"/>
    </row>
    <row r="1758" spans="11:18" x14ac:dyDescent="0.25">
      <c r="K1758" s="10"/>
      <c r="M1758" s="30"/>
      <c r="P1758" s="32"/>
      <c r="R1758" s="31"/>
    </row>
    <row r="1759" spans="11:18" x14ac:dyDescent="0.25">
      <c r="K1759" s="10"/>
      <c r="M1759" s="30"/>
      <c r="P1759" s="32"/>
      <c r="R1759" s="31"/>
    </row>
    <row r="1760" spans="11:18" x14ac:dyDescent="0.25">
      <c r="K1760" s="10"/>
      <c r="M1760" s="30"/>
      <c r="P1760" s="32"/>
      <c r="R1760" s="31"/>
    </row>
    <row r="1761" spans="11:18" x14ac:dyDescent="0.25">
      <c r="K1761" s="10"/>
      <c r="M1761" s="30"/>
      <c r="P1761" s="32"/>
      <c r="R1761" s="31"/>
    </row>
    <row r="1762" spans="11:18" x14ac:dyDescent="0.25">
      <c r="K1762" s="10"/>
      <c r="M1762" s="30"/>
      <c r="P1762" s="32"/>
      <c r="R1762" s="31"/>
    </row>
    <row r="1763" spans="11:18" x14ac:dyDescent="0.25">
      <c r="K1763" s="10"/>
      <c r="M1763" s="30"/>
      <c r="P1763" s="32"/>
      <c r="R1763" s="31"/>
    </row>
    <row r="1764" spans="11:18" x14ac:dyDescent="0.25">
      <c r="K1764" s="10"/>
      <c r="M1764" s="30"/>
      <c r="P1764" s="32"/>
      <c r="R1764" s="31"/>
    </row>
    <row r="1765" spans="11:18" x14ac:dyDescent="0.25">
      <c r="K1765" s="10"/>
      <c r="M1765" s="30"/>
      <c r="P1765" s="32"/>
      <c r="R1765" s="31"/>
    </row>
    <row r="1766" spans="11:18" x14ac:dyDescent="0.25">
      <c r="K1766" s="10"/>
      <c r="M1766" s="30"/>
      <c r="P1766" s="32"/>
      <c r="R1766" s="31"/>
    </row>
    <row r="1767" spans="11:18" x14ac:dyDescent="0.25">
      <c r="K1767" s="10"/>
      <c r="M1767" s="30"/>
      <c r="P1767" s="32"/>
      <c r="R1767" s="31"/>
    </row>
    <row r="1768" spans="11:18" x14ac:dyDescent="0.25">
      <c r="K1768" s="10"/>
      <c r="M1768" s="30"/>
      <c r="P1768" s="32"/>
      <c r="R1768" s="31"/>
    </row>
    <row r="1769" spans="11:18" x14ac:dyDescent="0.25">
      <c r="K1769" s="10"/>
      <c r="M1769" s="30"/>
      <c r="P1769" s="32"/>
      <c r="R1769" s="31"/>
    </row>
    <row r="1770" spans="11:18" x14ac:dyDescent="0.25">
      <c r="K1770" s="10"/>
      <c r="M1770" s="30"/>
      <c r="P1770" s="32"/>
      <c r="R1770" s="31"/>
    </row>
    <row r="1771" spans="11:18" x14ac:dyDescent="0.25">
      <c r="K1771" s="10"/>
      <c r="M1771" s="30"/>
      <c r="P1771" s="32"/>
      <c r="R1771" s="31"/>
    </row>
    <row r="1772" spans="11:18" x14ac:dyDescent="0.25">
      <c r="K1772" s="10"/>
      <c r="M1772" s="30"/>
      <c r="P1772" s="32"/>
      <c r="R1772" s="31"/>
    </row>
    <row r="1773" spans="11:18" x14ac:dyDescent="0.25">
      <c r="K1773" s="10"/>
      <c r="M1773" s="30"/>
      <c r="P1773" s="32"/>
      <c r="R1773" s="31"/>
    </row>
    <row r="1774" spans="11:18" x14ac:dyDescent="0.25">
      <c r="K1774" s="10"/>
      <c r="M1774" s="30"/>
      <c r="P1774" s="32"/>
      <c r="R1774" s="31"/>
    </row>
    <row r="1775" spans="11:18" x14ac:dyDescent="0.25">
      <c r="K1775" s="10"/>
      <c r="M1775" s="30"/>
      <c r="P1775" s="32"/>
      <c r="R1775" s="31"/>
    </row>
    <row r="1776" spans="11:18" x14ac:dyDescent="0.25">
      <c r="K1776" s="10"/>
      <c r="M1776" s="30"/>
      <c r="P1776" s="32"/>
      <c r="R1776" s="31"/>
    </row>
    <row r="1777" spans="11:18" x14ac:dyDescent="0.25">
      <c r="K1777" s="10"/>
      <c r="M1777" s="30"/>
      <c r="P1777" s="32"/>
      <c r="R1777" s="31"/>
    </row>
    <row r="1778" spans="11:18" x14ac:dyDescent="0.25">
      <c r="K1778" s="10"/>
      <c r="M1778" s="30"/>
      <c r="P1778" s="32"/>
      <c r="R1778" s="31"/>
    </row>
    <row r="1779" spans="11:18" x14ac:dyDescent="0.25">
      <c r="K1779" s="10"/>
      <c r="M1779" s="30"/>
      <c r="P1779" s="32"/>
      <c r="R1779" s="31"/>
    </row>
    <row r="1780" spans="11:18" x14ac:dyDescent="0.25">
      <c r="K1780" s="10"/>
      <c r="M1780" s="30"/>
      <c r="P1780" s="32"/>
      <c r="R1780" s="31"/>
    </row>
    <row r="1781" spans="11:18" x14ac:dyDescent="0.25">
      <c r="K1781" s="10"/>
      <c r="M1781" s="30"/>
      <c r="P1781" s="32"/>
      <c r="R1781" s="31"/>
    </row>
    <row r="1782" spans="11:18" x14ac:dyDescent="0.25">
      <c r="K1782" s="10"/>
      <c r="M1782" s="30"/>
      <c r="P1782" s="32"/>
      <c r="R1782" s="31"/>
    </row>
    <row r="1783" spans="11:18" x14ac:dyDescent="0.25">
      <c r="K1783" s="10"/>
      <c r="M1783" s="30"/>
      <c r="P1783" s="32"/>
      <c r="R1783" s="31"/>
    </row>
    <row r="1784" spans="11:18" x14ac:dyDescent="0.25">
      <c r="K1784" s="10"/>
      <c r="M1784" s="30"/>
      <c r="P1784" s="32"/>
      <c r="R1784" s="31"/>
    </row>
    <row r="1785" spans="11:18" x14ac:dyDescent="0.25">
      <c r="K1785" s="10"/>
      <c r="M1785" s="30"/>
      <c r="P1785" s="32"/>
      <c r="R1785" s="31"/>
    </row>
    <row r="1786" spans="11:18" x14ac:dyDescent="0.25">
      <c r="K1786" s="10"/>
      <c r="M1786" s="30"/>
      <c r="P1786" s="32"/>
      <c r="R1786" s="31"/>
    </row>
    <row r="1787" spans="11:18" x14ac:dyDescent="0.25">
      <c r="K1787" s="10"/>
      <c r="M1787" s="30"/>
      <c r="P1787" s="32"/>
      <c r="R1787" s="31"/>
    </row>
    <row r="1788" spans="11:18" x14ac:dyDescent="0.25">
      <c r="K1788" s="10"/>
      <c r="M1788" s="30"/>
      <c r="P1788" s="32"/>
      <c r="R1788" s="31"/>
    </row>
    <row r="1789" spans="11:18" x14ac:dyDescent="0.25">
      <c r="K1789" s="10"/>
      <c r="M1789" s="30"/>
      <c r="P1789" s="32"/>
      <c r="R1789" s="31"/>
    </row>
    <row r="1790" spans="11:18" x14ac:dyDescent="0.25">
      <c r="K1790" s="10"/>
      <c r="M1790" s="30"/>
      <c r="P1790" s="32"/>
      <c r="R1790" s="31"/>
    </row>
    <row r="1791" spans="11:18" x14ac:dyDescent="0.25">
      <c r="K1791" s="10"/>
      <c r="M1791" s="30"/>
      <c r="P1791" s="32"/>
      <c r="R1791" s="31"/>
    </row>
    <row r="1792" spans="11:18" x14ac:dyDescent="0.25">
      <c r="K1792" s="10"/>
      <c r="M1792" s="30"/>
      <c r="P1792" s="32"/>
      <c r="R1792" s="31"/>
    </row>
    <row r="1793" spans="11:18" x14ac:dyDescent="0.25">
      <c r="K1793" s="10"/>
      <c r="M1793" s="30"/>
      <c r="P1793" s="32"/>
      <c r="R1793" s="31"/>
    </row>
    <row r="1794" spans="11:18" x14ac:dyDescent="0.25">
      <c r="K1794" s="10"/>
      <c r="M1794" s="30"/>
      <c r="P1794" s="32"/>
      <c r="R1794" s="31"/>
    </row>
    <row r="1795" spans="11:18" x14ac:dyDescent="0.25">
      <c r="K1795" s="10"/>
      <c r="M1795" s="30"/>
      <c r="P1795" s="32"/>
      <c r="R1795" s="31"/>
    </row>
    <row r="1796" spans="11:18" x14ac:dyDescent="0.25">
      <c r="K1796" s="10"/>
      <c r="M1796" s="30"/>
      <c r="P1796" s="32"/>
      <c r="R1796" s="31"/>
    </row>
    <row r="1797" spans="11:18" x14ac:dyDescent="0.25">
      <c r="K1797" s="10"/>
      <c r="M1797" s="30"/>
      <c r="P1797" s="32"/>
      <c r="R1797" s="31"/>
    </row>
    <row r="1798" spans="11:18" x14ac:dyDescent="0.25">
      <c r="K1798" s="10"/>
      <c r="M1798" s="30"/>
      <c r="P1798" s="32"/>
      <c r="R1798" s="31"/>
    </row>
    <row r="1799" spans="11:18" x14ac:dyDescent="0.25">
      <c r="K1799" s="10"/>
      <c r="M1799" s="30"/>
      <c r="P1799" s="32"/>
      <c r="R1799" s="31"/>
    </row>
    <row r="1800" spans="11:18" x14ac:dyDescent="0.25">
      <c r="K1800" s="10"/>
      <c r="M1800" s="30"/>
      <c r="P1800" s="32"/>
      <c r="R1800" s="31"/>
    </row>
    <row r="1801" spans="11:18" x14ac:dyDescent="0.25">
      <c r="K1801" s="10"/>
      <c r="M1801" s="30"/>
      <c r="P1801" s="32"/>
      <c r="R1801" s="31"/>
    </row>
    <row r="1802" spans="11:18" x14ac:dyDescent="0.25">
      <c r="K1802" s="10"/>
      <c r="M1802" s="30"/>
      <c r="P1802" s="32"/>
      <c r="R1802" s="31"/>
    </row>
    <row r="1803" spans="11:18" x14ac:dyDescent="0.25">
      <c r="K1803" s="10"/>
      <c r="M1803" s="30"/>
      <c r="P1803" s="32"/>
      <c r="R1803" s="31"/>
    </row>
    <row r="1804" spans="11:18" x14ac:dyDescent="0.25">
      <c r="K1804" s="10"/>
      <c r="M1804" s="30"/>
      <c r="P1804" s="32"/>
      <c r="R1804" s="31"/>
    </row>
    <row r="1805" spans="11:18" x14ac:dyDescent="0.25">
      <c r="K1805" s="10"/>
      <c r="M1805" s="30"/>
      <c r="P1805" s="32"/>
      <c r="R1805" s="31"/>
    </row>
    <row r="1806" spans="11:18" x14ac:dyDescent="0.25">
      <c r="K1806" s="10"/>
      <c r="M1806" s="30"/>
      <c r="P1806" s="32"/>
      <c r="R1806" s="31"/>
    </row>
    <row r="1807" spans="11:18" x14ac:dyDescent="0.25">
      <c r="K1807" s="10"/>
      <c r="M1807" s="30"/>
      <c r="P1807" s="32"/>
      <c r="R1807" s="31"/>
    </row>
    <row r="1808" spans="11:18" x14ac:dyDescent="0.25">
      <c r="K1808" s="10"/>
      <c r="M1808" s="30"/>
      <c r="P1808" s="32"/>
      <c r="R1808" s="31"/>
    </row>
    <row r="1809" spans="11:18" x14ac:dyDescent="0.25">
      <c r="K1809" s="10"/>
      <c r="M1809" s="30"/>
      <c r="P1809" s="32"/>
      <c r="R1809" s="31"/>
    </row>
    <row r="1810" spans="11:18" x14ac:dyDescent="0.25">
      <c r="K1810" s="10"/>
      <c r="M1810" s="30"/>
      <c r="P1810" s="32"/>
      <c r="R1810" s="31"/>
    </row>
    <row r="1811" spans="11:18" x14ac:dyDescent="0.25">
      <c r="K1811" s="10"/>
      <c r="M1811" s="30"/>
      <c r="P1811" s="32"/>
      <c r="R1811" s="31"/>
    </row>
    <row r="1812" spans="11:18" x14ac:dyDescent="0.25">
      <c r="K1812" s="10"/>
      <c r="M1812" s="30"/>
      <c r="P1812" s="32"/>
      <c r="R1812" s="31"/>
    </row>
    <row r="1813" spans="11:18" x14ac:dyDescent="0.25">
      <c r="K1813" s="10"/>
      <c r="M1813" s="30"/>
      <c r="P1813" s="32"/>
      <c r="R1813" s="31"/>
    </row>
    <row r="1814" spans="11:18" x14ac:dyDescent="0.25">
      <c r="K1814" s="10"/>
      <c r="M1814" s="30"/>
      <c r="P1814" s="32"/>
      <c r="R1814" s="31"/>
    </row>
    <row r="1815" spans="11:18" x14ac:dyDescent="0.25">
      <c r="K1815" s="10"/>
      <c r="M1815" s="30"/>
      <c r="R1815" s="31"/>
    </row>
    <row r="1816" spans="11:18" x14ac:dyDescent="0.25">
      <c r="K1816" s="10"/>
      <c r="M1816" s="30"/>
      <c r="R1816" s="31"/>
    </row>
    <row r="1817" spans="11:18" x14ac:dyDescent="0.25">
      <c r="K1817" s="10"/>
      <c r="M1817" s="30"/>
      <c r="R1817" s="31"/>
    </row>
    <row r="1818" spans="11:18" x14ac:dyDescent="0.25">
      <c r="K1818" s="10"/>
      <c r="M1818" s="30"/>
      <c r="R1818" s="31"/>
    </row>
    <row r="1819" spans="11:18" x14ac:dyDescent="0.25">
      <c r="K1819" s="10"/>
      <c r="M1819" s="30"/>
      <c r="R1819" s="31"/>
    </row>
    <row r="1820" spans="11:18" x14ac:dyDescent="0.25">
      <c r="K1820" s="10"/>
      <c r="M1820" s="30"/>
      <c r="R1820" s="31"/>
    </row>
    <row r="1821" spans="11:18" x14ac:dyDescent="0.25">
      <c r="K1821" s="10"/>
      <c r="M1821" s="30"/>
      <c r="R1821" s="31"/>
    </row>
    <row r="1822" spans="11:18" x14ac:dyDescent="0.25">
      <c r="K1822" s="10"/>
      <c r="M1822" s="30"/>
      <c r="R1822" s="31"/>
    </row>
    <row r="1823" spans="11:18" x14ac:dyDescent="0.25">
      <c r="K1823" s="10"/>
      <c r="M1823" s="30"/>
      <c r="R1823" s="31"/>
    </row>
    <row r="1824" spans="11:18" x14ac:dyDescent="0.25">
      <c r="K1824" s="10"/>
      <c r="M1824" s="30"/>
      <c r="R1824" s="31"/>
    </row>
    <row r="1825" spans="11:18" x14ac:dyDescent="0.25">
      <c r="K1825" s="10"/>
      <c r="M1825" s="30"/>
      <c r="R1825" s="31"/>
    </row>
    <row r="1826" spans="11:18" x14ac:dyDescent="0.25">
      <c r="K1826" s="10"/>
      <c r="M1826" s="30"/>
      <c r="R1826" s="31"/>
    </row>
    <row r="1827" spans="11:18" x14ac:dyDescent="0.25">
      <c r="K1827" s="10"/>
      <c r="M1827" s="30"/>
      <c r="R1827" s="31"/>
    </row>
    <row r="1828" spans="11:18" x14ac:dyDescent="0.25">
      <c r="K1828" s="10"/>
      <c r="M1828" s="30"/>
      <c r="R1828" s="31"/>
    </row>
    <row r="1829" spans="11:18" x14ac:dyDescent="0.25">
      <c r="K1829" s="10"/>
      <c r="M1829" s="30"/>
      <c r="R1829" s="31"/>
    </row>
    <row r="1830" spans="11:18" x14ac:dyDescent="0.25">
      <c r="K1830" s="10"/>
      <c r="M1830" s="30"/>
      <c r="R1830" s="31"/>
    </row>
    <row r="1831" spans="11:18" x14ac:dyDescent="0.25">
      <c r="K1831" s="10"/>
      <c r="M1831" s="30"/>
      <c r="R1831" s="31"/>
    </row>
    <row r="1832" spans="11:18" x14ac:dyDescent="0.25">
      <c r="K1832" s="10"/>
      <c r="M1832" s="30"/>
      <c r="R1832" s="31"/>
    </row>
    <row r="1833" spans="11:18" x14ac:dyDescent="0.25">
      <c r="K1833" s="10"/>
      <c r="M1833" s="30"/>
      <c r="R1833" s="31"/>
    </row>
    <row r="1834" spans="11:18" x14ac:dyDescent="0.25">
      <c r="K1834" s="10"/>
      <c r="M1834" s="30"/>
      <c r="R1834" s="31"/>
    </row>
    <row r="1835" spans="11:18" x14ac:dyDescent="0.25">
      <c r="K1835" s="10"/>
      <c r="M1835" s="30"/>
      <c r="R1835" s="31"/>
    </row>
    <row r="1836" spans="11:18" x14ac:dyDescent="0.25">
      <c r="K1836" s="10"/>
      <c r="M1836" s="30"/>
      <c r="R1836" s="31"/>
    </row>
    <row r="1837" spans="11:18" x14ac:dyDescent="0.25">
      <c r="K1837" s="10"/>
      <c r="M1837" s="30"/>
      <c r="R1837" s="31"/>
    </row>
    <row r="1838" spans="11:18" x14ac:dyDescent="0.25">
      <c r="K1838" s="10"/>
      <c r="M1838" s="30"/>
      <c r="R1838" s="31"/>
    </row>
    <row r="1839" spans="11:18" x14ac:dyDescent="0.25">
      <c r="K1839" s="10"/>
      <c r="M1839" s="30"/>
      <c r="R1839" s="31"/>
    </row>
    <row r="1840" spans="11:18" x14ac:dyDescent="0.25">
      <c r="K1840" s="10"/>
      <c r="M1840" s="30"/>
      <c r="R1840" s="31"/>
    </row>
    <row r="1841" spans="11:18" x14ac:dyDescent="0.25">
      <c r="K1841" s="10"/>
      <c r="M1841" s="30"/>
      <c r="R1841" s="31"/>
    </row>
    <row r="1842" spans="11:18" x14ac:dyDescent="0.25">
      <c r="K1842" s="10"/>
      <c r="M1842" s="30"/>
      <c r="R1842" s="31"/>
    </row>
    <row r="1843" spans="11:18" x14ac:dyDescent="0.25">
      <c r="K1843" s="10"/>
      <c r="M1843" s="30"/>
      <c r="R1843" s="31"/>
    </row>
    <row r="1844" spans="11:18" x14ac:dyDescent="0.25">
      <c r="K1844" s="10"/>
      <c r="M1844" s="30"/>
      <c r="R1844" s="31"/>
    </row>
    <row r="1845" spans="11:18" x14ac:dyDescent="0.25">
      <c r="K1845" s="10"/>
      <c r="M1845" s="30"/>
      <c r="R1845" s="31"/>
    </row>
    <row r="1846" spans="11:18" x14ac:dyDescent="0.25">
      <c r="K1846" s="10"/>
      <c r="M1846" s="30"/>
      <c r="R1846" s="31"/>
    </row>
    <row r="1847" spans="11:18" x14ac:dyDescent="0.25">
      <c r="K1847" s="10"/>
      <c r="M1847" s="30"/>
      <c r="R1847" s="31"/>
    </row>
    <row r="1848" spans="11:18" x14ac:dyDescent="0.25">
      <c r="K1848" s="10"/>
      <c r="M1848" s="30"/>
      <c r="R1848" s="31"/>
    </row>
    <row r="1849" spans="11:18" x14ac:dyDescent="0.25">
      <c r="K1849" s="10"/>
      <c r="M1849" s="30"/>
      <c r="R1849" s="31"/>
    </row>
    <row r="1850" spans="11:18" x14ac:dyDescent="0.25">
      <c r="K1850" s="10"/>
      <c r="M1850" s="30"/>
      <c r="R1850" s="31"/>
    </row>
    <row r="1851" spans="11:18" x14ac:dyDescent="0.25">
      <c r="K1851" s="10"/>
      <c r="M1851" s="30"/>
      <c r="R1851" s="31"/>
    </row>
    <row r="1852" spans="11:18" x14ac:dyDescent="0.25">
      <c r="K1852" s="10"/>
      <c r="M1852" s="30"/>
      <c r="R1852" s="31"/>
    </row>
    <row r="1853" spans="11:18" x14ac:dyDescent="0.25">
      <c r="K1853" s="10"/>
      <c r="M1853" s="30"/>
      <c r="R1853" s="31"/>
    </row>
    <row r="1854" spans="11:18" x14ac:dyDescent="0.25">
      <c r="K1854" s="10"/>
      <c r="M1854" s="30"/>
      <c r="R1854" s="31"/>
    </row>
    <row r="1855" spans="11:18" x14ac:dyDescent="0.25">
      <c r="K1855" s="10"/>
      <c r="M1855" s="30"/>
      <c r="R1855" s="31"/>
    </row>
    <row r="1856" spans="11:18" x14ac:dyDescent="0.25">
      <c r="K1856" s="10"/>
      <c r="M1856" s="30"/>
      <c r="R1856" s="31"/>
    </row>
    <row r="1857" spans="11:18" x14ac:dyDescent="0.25">
      <c r="K1857" s="10"/>
      <c r="M1857" s="30"/>
      <c r="R1857" s="31"/>
    </row>
    <row r="1858" spans="11:18" x14ac:dyDescent="0.25">
      <c r="K1858" s="10"/>
      <c r="M1858" s="30"/>
      <c r="R1858" s="31"/>
    </row>
    <row r="1859" spans="11:18" x14ac:dyDescent="0.25">
      <c r="K1859" s="10"/>
      <c r="M1859" s="30"/>
      <c r="R1859" s="31"/>
    </row>
    <row r="1860" spans="11:18" x14ac:dyDescent="0.25">
      <c r="K1860" s="10"/>
      <c r="M1860" s="30"/>
      <c r="R1860" s="31"/>
    </row>
    <row r="1861" spans="11:18" x14ac:dyDescent="0.25">
      <c r="K1861" s="10"/>
      <c r="M1861" s="30"/>
      <c r="R1861" s="31"/>
    </row>
    <row r="1862" spans="11:18" x14ac:dyDescent="0.25">
      <c r="K1862" s="10"/>
      <c r="M1862" s="30"/>
      <c r="R1862" s="31"/>
    </row>
    <row r="1863" spans="11:18" x14ac:dyDescent="0.25">
      <c r="K1863" s="10"/>
      <c r="M1863" s="30"/>
      <c r="R1863" s="31"/>
    </row>
    <row r="1864" spans="11:18" x14ac:dyDescent="0.25">
      <c r="K1864" s="10"/>
      <c r="M1864" s="30"/>
      <c r="R1864" s="31"/>
    </row>
    <row r="1865" spans="11:18" x14ac:dyDescent="0.25">
      <c r="K1865" s="10"/>
      <c r="M1865" s="30"/>
      <c r="R1865" s="31"/>
    </row>
    <row r="1866" spans="11:18" x14ac:dyDescent="0.25">
      <c r="K1866" s="10"/>
      <c r="M1866" s="30"/>
      <c r="R1866" s="31"/>
    </row>
    <row r="1867" spans="11:18" x14ac:dyDescent="0.25">
      <c r="K1867" s="10"/>
      <c r="M1867" s="30"/>
      <c r="R1867" s="31"/>
    </row>
    <row r="1868" spans="11:18" x14ac:dyDescent="0.25">
      <c r="K1868" s="10"/>
      <c r="M1868" s="30"/>
      <c r="R1868" s="31"/>
    </row>
    <row r="1869" spans="11:18" x14ac:dyDescent="0.25">
      <c r="K1869" s="10"/>
      <c r="M1869" s="30"/>
      <c r="R1869" s="31"/>
    </row>
    <row r="1870" spans="11:18" x14ac:dyDescent="0.25">
      <c r="K1870" s="10"/>
      <c r="M1870" s="30"/>
      <c r="R1870" s="31"/>
    </row>
    <row r="1871" spans="11:18" x14ac:dyDescent="0.25">
      <c r="K1871" s="10"/>
      <c r="M1871" s="30"/>
      <c r="R1871" s="31"/>
    </row>
    <row r="1872" spans="11:18" x14ac:dyDescent="0.25">
      <c r="K1872" s="10"/>
      <c r="M1872" s="30"/>
      <c r="R1872" s="31"/>
    </row>
    <row r="1873" spans="11:18" x14ac:dyDescent="0.25">
      <c r="K1873" s="10"/>
      <c r="M1873" s="30"/>
      <c r="R1873" s="31"/>
    </row>
    <row r="1874" spans="11:18" x14ac:dyDescent="0.25">
      <c r="K1874" s="10"/>
      <c r="M1874" s="30"/>
      <c r="R1874" s="31"/>
    </row>
    <row r="1875" spans="11:18" x14ac:dyDescent="0.25">
      <c r="K1875" s="10"/>
      <c r="M1875" s="30"/>
      <c r="P1875" s="32"/>
      <c r="R1875" s="31"/>
    </row>
    <row r="1876" spans="11:18" x14ac:dyDescent="0.25">
      <c r="K1876" s="10"/>
      <c r="M1876" s="30"/>
      <c r="P1876" s="32"/>
      <c r="R1876" s="31"/>
    </row>
    <row r="1877" spans="11:18" x14ac:dyDescent="0.25">
      <c r="K1877" s="10"/>
      <c r="M1877" s="30"/>
      <c r="P1877" s="32"/>
      <c r="R1877" s="31"/>
    </row>
    <row r="1878" spans="11:18" x14ac:dyDescent="0.25">
      <c r="K1878" s="10"/>
      <c r="M1878" s="30"/>
      <c r="P1878" s="32"/>
      <c r="R1878" s="31"/>
    </row>
    <row r="1879" spans="11:18" x14ac:dyDescent="0.25">
      <c r="K1879" s="10"/>
      <c r="M1879" s="30"/>
      <c r="P1879" s="32"/>
      <c r="R1879" s="31"/>
    </row>
    <row r="1880" spans="11:18" x14ac:dyDescent="0.25">
      <c r="K1880" s="10"/>
      <c r="M1880" s="30"/>
      <c r="P1880" s="32"/>
      <c r="R1880" s="31"/>
    </row>
    <row r="1881" spans="11:18" x14ac:dyDescent="0.25">
      <c r="K1881" s="10"/>
      <c r="M1881" s="30"/>
      <c r="P1881" s="32"/>
      <c r="R1881" s="31"/>
    </row>
    <row r="1882" spans="11:18" x14ac:dyDescent="0.25">
      <c r="K1882" s="10"/>
      <c r="M1882" s="30"/>
      <c r="P1882" s="32"/>
      <c r="R1882" s="31"/>
    </row>
    <row r="1883" spans="11:18" x14ac:dyDescent="0.25">
      <c r="K1883" s="10"/>
      <c r="M1883" s="30"/>
      <c r="R1883" s="31"/>
    </row>
    <row r="1884" spans="11:18" x14ac:dyDescent="0.25">
      <c r="K1884" s="10"/>
      <c r="M1884" s="30"/>
      <c r="R1884" s="31"/>
    </row>
    <row r="1885" spans="11:18" x14ac:dyDescent="0.25">
      <c r="K1885" s="10"/>
      <c r="M1885" s="30"/>
      <c r="R1885" s="31"/>
    </row>
    <row r="1886" spans="11:18" x14ac:dyDescent="0.25">
      <c r="K1886" s="10"/>
      <c r="M1886" s="30"/>
      <c r="R1886" s="31"/>
    </row>
    <row r="1887" spans="11:18" x14ac:dyDescent="0.25">
      <c r="K1887" s="10"/>
      <c r="M1887" s="30"/>
      <c r="R1887" s="31"/>
    </row>
    <row r="1888" spans="11:18" x14ac:dyDescent="0.25">
      <c r="K1888" s="10"/>
      <c r="M1888" s="30"/>
      <c r="R1888" s="31"/>
    </row>
    <row r="1889" spans="11:18" x14ac:dyDescent="0.25">
      <c r="K1889" s="10"/>
      <c r="M1889" s="30"/>
      <c r="R1889" s="31"/>
    </row>
    <row r="1890" spans="11:18" x14ac:dyDescent="0.25">
      <c r="K1890" s="10"/>
      <c r="M1890" s="30"/>
      <c r="R1890" s="31"/>
    </row>
    <row r="1891" spans="11:18" x14ac:dyDescent="0.25">
      <c r="K1891" s="10"/>
      <c r="M1891" s="30"/>
      <c r="R1891" s="31"/>
    </row>
    <row r="1892" spans="11:18" x14ac:dyDescent="0.25">
      <c r="K1892" s="10"/>
      <c r="M1892" s="30"/>
      <c r="R1892" s="31"/>
    </row>
    <row r="1893" spans="11:18" x14ac:dyDescent="0.25">
      <c r="K1893" s="10"/>
      <c r="M1893" s="30"/>
      <c r="R1893" s="31"/>
    </row>
    <row r="1894" spans="11:18" x14ac:dyDescent="0.25">
      <c r="K1894" s="10"/>
      <c r="M1894" s="30"/>
      <c r="R1894" s="31"/>
    </row>
    <row r="1895" spans="11:18" x14ac:dyDescent="0.25">
      <c r="K1895" s="10"/>
      <c r="M1895" s="30"/>
      <c r="R1895" s="31"/>
    </row>
    <row r="1896" spans="11:18" x14ac:dyDescent="0.25">
      <c r="K1896" s="10"/>
      <c r="M1896" s="30"/>
      <c r="R1896" s="31"/>
    </row>
    <row r="1897" spans="11:18" x14ac:dyDescent="0.25">
      <c r="K1897" s="10"/>
      <c r="M1897" s="30"/>
      <c r="R1897" s="31"/>
    </row>
    <row r="1898" spans="11:18" x14ac:dyDescent="0.25">
      <c r="K1898" s="10"/>
      <c r="M1898" s="30"/>
      <c r="R1898" s="31"/>
    </row>
    <row r="1899" spans="11:18" x14ac:dyDescent="0.25">
      <c r="K1899" s="10"/>
      <c r="M1899" s="30"/>
      <c r="R1899" s="31"/>
    </row>
    <row r="1900" spans="11:18" x14ac:dyDescent="0.25">
      <c r="K1900" s="10"/>
      <c r="M1900" s="30"/>
      <c r="R1900" s="31"/>
    </row>
    <row r="1901" spans="11:18" x14ac:dyDescent="0.25">
      <c r="K1901" s="10"/>
      <c r="M1901" s="30"/>
      <c r="R1901" s="31"/>
    </row>
    <row r="1902" spans="11:18" x14ac:dyDescent="0.25">
      <c r="K1902" s="10"/>
      <c r="M1902" s="30"/>
      <c r="R1902" s="31"/>
    </row>
    <row r="1903" spans="11:18" x14ac:dyDescent="0.25">
      <c r="K1903" s="10"/>
      <c r="M1903" s="30"/>
      <c r="P1903" s="32"/>
      <c r="R1903" s="31"/>
    </row>
    <row r="1904" spans="11:18" x14ac:dyDescent="0.25">
      <c r="K1904" s="10"/>
      <c r="M1904" s="30"/>
      <c r="P1904" s="32"/>
      <c r="R1904" s="31"/>
    </row>
    <row r="1905" spans="11:18" x14ac:dyDescent="0.25">
      <c r="K1905" s="10"/>
      <c r="M1905" s="30"/>
      <c r="P1905" s="32"/>
      <c r="R1905" s="31"/>
    </row>
    <row r="1906" spans="11:18" x14ac:dyDescent="0.25">
      <c r="K1906" s="10"/>
      <c r="M1906" s="30"/>
      <c r="P1906" s="32"/>
      <c r="R1906" s="31"/>
    </row>
    <row r="1907" spans="11:18" x14ac:dyDescent="0.25">
      <c r="K1907" s="10"/>
      <c r="M1907" s="30"/>
      <c r="P1907" s="32"/>
      <c r="R1907" s="31"/>
    </row>
    <row r="1908" spans="11:18" x14ac:dyDescent="0.25">
      <c r="K1908" s="10"/>
      <c r="M1908" s="30"/>
      <c r="P1908" s="32"/>
      <c r="R1908" s="31"/>
    </row>
    <row r="1909" spans="11:18" x14ac:dyDescent="0.25">
      <c r="K1909" s="10"/>
      <c r="M1909" s="30"/>
      <c r="P1909" s="32"/>
      <c r="R1909" s="31"/>
    </row>
    <row r="1910" spans="11:18" x14ac:dyDescent="0.25">
      <c r="K1910" s="10"/>
      <c r="M1910" s="30"/>
      <c r="P1910" s="32"/>
      <c r="R1910" s="31"/>
    </row>
    <row r="1911" spans="11:18" x14ac:dyDescent="0.25">
      <c r="K1911" s="10"/>
      <c r="M1911" s="30"/>
      <c r="P1911" s="32"/>
      <c r="R1911" s="31"/>
    </row>
    <row r="1912" spans="11:18" x14ac:dyDescent="0.25">
      <c r="K1912" s="10"/>
      <c r="M1912" s="30"/>
      <c r="P1912" s="32"/>
      <c r="R1912" s="31"/>
    </row>
    <row r="1913" spans="11:18" x14ac:dyDescent="0.25">
      <c r="K1913" s="10"/>
      <c r="M1913" s="30"/>
      <c r="R1913" s="31"/>
    </row>
    <row r="1914" spans="11:18" x14ac:dyDescent="0.25">
      <c r="K1914" s="10"/>
      <c r="M1914" s="30"/>
      <c r="R1914" s="31"/>
    </row>
    <row r="1915" spans="11:18" x14ac:dyDescent="0.25">
      <c r="K1915" s="10"/>
      <c r="M1915" s="30"/>
      <c r="R1915" s="31"/>
    </row>
    <row r="1916" spans="11:18" x14ac:dyDescent="0.25">
      <c r="K1916" s="10"/>
      <c r="M1916" s="30"/>
      <c r="R1916" s="31"/>
    </row>
    <row r="1917" spans="11:18" x14ac:dyDescent="0.25">
      <c r="K1917" s="10"/>
      <c r="M1917" s="30"/>
      <c r="R1917" s="31"/>
    </row>
    <row r="1918" spans="11:18" x14ac:dyDescent="0.25">
      <c r="K1918" s="10"/>
      <c r="M1918" s="30"/>
      <c r="R1918" s="31"/>
    </row>
    <row r="1919" spans="11:18" x14ac:dyDescent="0.25">
      <c r="K1919" s="10"/>
      <c r="M1919" s="30"/>
      <c r="R1919" s="31"/>
    </row>
    <row r="1920" spans="11:18" x14ac:dyDescent="0.25">
      <c r="K1920" s="10"/>
      <c r="M1920" s="30"/>
      <c r="R1920" s="31"/>
    </row>
    <row r="1921" spans="11:18" x14ac:dyDescent="0.25">
      <c r="K1921" s="10"/>
      <c r="M1921" s="30"/>
      <c r="R1921" s="31"/>
    </row>
    <row r="1922" spans="11:18" x14ac:dyDescent="0.25">
      <c r="K1922" s="10"/>
      <c r="M1922" s="30"/>
      <c r="R1922" s="31"/>
    </row>
    <row r="1923" spans="11:18" x14ac:dyDescent="0.25">
      <c r="K1923" s="10"/>
      <c r="M1923" s="30"/>
      <c r="R1923" s="31"/>
    </row>
    <row r="1924" spans="11:18" x14ac:dyDescent="0.25">
      <c r="K1924" s="10"/>
      <c r="M1924" s="30"/>
      <c r="R1924" s="31"/>
    </row>
    <row r="1925" spans="11:18" x14ac:dyDescent="0.25">
      <c r="K1925" s="10"/>
      <c r="M1925" s="30"/>
      <c r="R1925" s="31"/>
    </row>
    <row r="1926" spans="11:18" x14ac:dyDescent="0.25">
      <c r="K1926" s="10"/>
      <c r="M1926" s="30"/>
      <c r="R1926" s="31"/>
    </row>
    <row r="1927" spans="11:18" x14ac:dyDescent="0.25">
      <c r="K1927" s="10"/>
      <c r="M1927" s="30"/>
      <c r="R1927" s="31"/>
    </row>
    <row r="1928" spans="11:18" x14ac:dyDescent="0.25">
      <c r="K1928" s="10"/>
      <c r="M1928" s="30"/>
      <c r="R1928" s="31"/>
    </row>
    <row r="1929" spans="11:18" x14ac:dyDescent="0.25">
      <c r="K1929" s="10"/>
      <c r="M1929" s="30"/>
      <c r="R1929" s="31"/>
    </row>
    <row r="1930" spans="11:18" x14ac:dyDescent="0.25">
      <c r="K1930" s="10"/>
      <c r="M1930" s="30"/>
      <c r="R1930" s="31"/>
    </row>
    <row r="1931" spans="11:18" x14ac:dyDescent="0.25">
      <c r="K1931" s="10"/>
      <c r="M1931" s="30"/>
      <c r="R1931" s="31"/>
    </row>
    <row r="1932" spans="11:18" x14ac:dyDescent="0.25">
      <c r="K1932" s="10"/>
      <c r="M1932" s="30"/>
      <c r="R1932" s="31"/>
    </row>
    <row r="1933" spans="11:18" x14ac:dyDescent="0.25">
      <c r="K1933" s="10"/>
      <c r="M1933" s="30"/>
      <c r="R1933" s="31"/>
    </row>
    <row r="1934" spans="11:18" x14ac:dyDescent="0.25">
      <c r="K1934" s="10"/>
      <c r="M1934" s="30"/>
      <c r="R1934" s="31"/>
    </row>
    <row r="1935" spans="11:18" x14ac:dyDescent="0.25">
      <c r="K1935" s="10"/>
      <c r="M1935" s="30"/>
      <c r="R1935" s="31"/>
    </row>
    <row r="1936" spans="11:18" x14ac:dyDescent="0.25">
      <c r="K1936" s="10"/>
      <c r="M1936" s="30"/>
      <c r="R1936" s="31"/>
    </row>
    <row r="1937" spans="11:18" x14ac:dyDescent="0.25">
      <c r="K1937" s="10"/>
      <c r="M1937" s="30"/>
      <c r="R1937" s="31"/>
    </row>
    <row r="1938" spans="11:18" x14ac:dyDescent="0.25">
      <c r="K1938" s="10"/>
      <c r="M1938" s="30"/>
      <c r="R1938" s="31"/>
    </row>
    <row r="1939" spans="11:18" x14ac:dyDescent="0.25">
      <c r="K1939" s="10"/>
      <c r="M1939" s="30"/>
      <c r="R1939" s="31"/>
    </row>
    <row r="1940" spans="11:18" x14ac:dyDescent="0.25">
      <c r="K1940" s="10"/>
      <c r="M1940" s="30"/>
      <c r="R1940" s="31"/>
    </row>
    <row r="1941" spans="11:18" x14ac:dyDescent="0.25">
      <c r="K1941" s="10"/>
      <c r="M1941" s="30"/>
      <c r="R1941" s="31"/>
    </row>
    <row r="1942" spans="11:18" x14ac:dyDescent="0.25">
      <c r="K1942" s="10"/>
      <c r="M1942" s="30"/>
      <c r="R1942" s="31"/>
    </row>
    <row r="1943" spans="11:18" x14ac:dyDescent="0.25">
      <c r="K1943" s="10"/>
      <c r="M1943" s="30"/>
      <c r="R1943" s="31"/>
    </row>
    <row r="1944" spans="11:18" x14ac:dyDescent="0.25">
      <c r="K1944" s="10"/>
      <c r="M1944" s="30"/>
      <c r="R1944" s="31"/>
    </row>
    <row r="1945" spans="11:18" x14ac:dyDescent="0.25">
      <c r="K1945" s="10"/>
      <c r="M1945" s="30"/>
      <c r="R1945" s="31"/>
    </row>
    <row r="1946" spans="11:18" x14ac:dyDescent="0.25">
      <c r="K1946" s="10"/>
      <c r="M1946" s="30"/>
      <c r="R1946" s="31"/>
    </row>
    <row r="1947" spans="11:18" x14ac:dyDescent="0.25">
      <c r="K1947" s="10"/>
      <c r="M1947" s="30"/>
      <c r="R1947" s="31"/>
    </row>
    <row r="1948" spans="11:18" x14ac:dyDescent="0.25">
      <c r="K1948" s="10"/>
      <c r="M1948" s="30"/>
      <c r="R1948" s="31"/>
    </row>
    <row r="1949" spans="11:18" x14ac:dyDescent="0.25">
      <c r="K1949" s="10"/>
      <c r="M1949" s="30"/>
      <c r="R1949" s="31"/>
    </row>
    <row r="1950" spans="11:18" x14ac:dyDescent="0.25">
      <c r="K1950" s="10"/>
      <c r="M1950" s="30"/>
      <c r="R1950" s="31"/>
    </row>
    <row r="1951" spans="11:18" x14ac:dyDescent="0.25">
      <c r="K1951" s="10"/>
      <c r="M1951" s="30"/>
      <c r="R1951" s="31"/>
    </row>
    <row r="1952" spans="11:18" x14ac:dyDescent="0.25">
      <c r="K1952" s="10"/>
      <c r="M1952" s="30"/>
      <c r="R1952" s="31"/>
    </row>
    <row r="1953" spans="11:18" x14ac:dyDescent="0.25">
      <c r="K1953" s="10"/>
      <c r="M1953" s="30"/>
      <c r="R1953" s="31"/>
    </row>
    <row r="1954" spans="11:18" x14ac:dyDescent="0.25">
      <c r="K1954" s="10"/>
      <c r="M1954" s="30"/>
      <c r="R1954" s="31"/>
    </row>
    <row r="1955" spans="11:18" x14ac:dyDescent="0.25">
      <c r="K1955" s="10"/>
      <c r="M1955" s="30"/>
      <c r="R1955" s="31"/>
    </row>
    <row r="1956" spans="11:18" x14ac:dyDescent="0.25">
      <c r="K1956" s="10"/>
      <c r="M1956" s="30"/>
      <c r="R1956" s="31"/>
    </row>
    <row r="1957" spans="11:18" x14ac:dyDescent="0.25">
      <c r="K1957" s="10"/>
      <c r="M1957" s="30"/>
      <c r="R1957" s="31"/>
    </row>
    <row r="1958" spans="11:18" x14ac:dyDescent="0.25">
      <c r="K1958" s="10"/>
      <c r="M1958" s="30"/>
      <c r="R1958" s="31"/>
    </row>
    <row r="1959" spans="11:18" x14ac:dyDescent="0.25">
      <c r="K1959" s="10"/>
      <c r="M1959" s="30"/>
      <c r="R1959" s="31"/>
    </row>
    <row r="1960" spans="11:18" x14ac:dyDescent="0.25">
      <c r="K1960" s="10"/>
      <c r="M1960" s="30"/>
      <c r="R1960" s="31"/>
    </row>
    <row r="1961" spans="11:18" x14ac:dyDescent="0.25">
      <c r="K1961" s="10"/>
      <c r="M1961" s="30"/>
      <c r="R1961" s="31"/>
    </row>
    <row r="1962" spans="11:18" x14ac:dyDescent="0.25">
      <c r="K1962" s="10"/>
      <c r="M1962" s="30"/>
      <c r="R1962" s="31"/>
    </row>
    <row r="1963" spans="11:18" x14ac:dyDescent="0.25">
      <c r="K1963" s="10"/>
      <c r="M1963" s="30"/>
      <c r="R1963" s="31"/>
    </row>
    <row r="1964" spans="11:18" x14ac:dyDescent="0.25">
      <c r="K1964" s="10"/>
      <c r="M1964" s="30"/>
      <c r="R1964" s="31"/>
    </row>
    <row r="1965" spans="11:18" x14ac:dyDescent="0.25">
      <c r="K1965" s="10"/>
      <c r="M1965" s="30"/>
      <c r="R1965" s="31"/>
    </row>
    <row r="1966" spans="11:18" x14ac:dyDescent="0.25">
      <c r="K1966" s="10"/>
      <c r="M1966" s="30"/>
      <c r="R1966" s="31"/>
    </row>
    <row r="1967" spans="11:18" x14ac:dyDescent="0.25">
      <c r="K1967" s="10"/>
      <c r="M1967" s="30"/>
      <c r="R1967" s="31"/>
    </row>
    <row r="1968" spans="11:18" x14ac:dyDescent="0.25">
      <c r="K1968" s="10"/>
      <c r="M1968" s="30"/>
      <c r="R1968" s="31"/>
    </row>
    <row r="1969" spans="11:18" x14ac:dyDescent="0.25">
      <c r="K1969" s="10"/>
      <c r="M1969" s="30"/>
      <c r="R1969" s="31"/>
    </row>
    <row r="1970" spans="11:18" x14ac:dyDescent="0.25">
      <c r="K1970" s="10"/>
      <c r="M1970" s="30"/>
      <c r="R1970" s="31"/>
    </row>
    <row r="1971" spans="11:18" x14ac:dyDescent="0.25">
      <c r="K1971" s="10"/>
      <c r="M1971" s="30"/>
      <c r="R1971" s="31"/>
    </row>
    <row r="1972" spans="11:18" x14ac:dyDescent="0.25">
      <c r="K1972" s="10"/>
      <c r="M1972" s="30"/>
      <c r="R1972" s="31"/>
    </row>
    <row r="1973" spans="11:18" x14ac:dyDescent="0.25">
      <c r="K1973" s="10"/>
      <c r="M1973" s="30"/>
      <c r="R1973" s="31"/>
    </row>
    <row r="1974" spans="11:18" x14ac:dyDescent="0.25">
      <c r="K1974" s="10"/>
      <c r="M1974" s="30"/>
      <c r="R1974" s="31"/>
    </row>
    <row r="1975" spans="11:18" x14ac:dyDescent="0.25">
      <c r="K1975" s="10"/>
      <c r="M1975" s="30"/>
      <c r="R1975" s="31"/>
    </row>
    <row r="1976" spans="11:18" x14ac:dyDescent="0.25">
      <c r="K1976" s="10"/>
      <c r="M1976" s="30"/>
      <c r="R1976" s="31"/>
    </row>
    <row r="1977" spans="11:18" x14ac:dyDescent="0.25">
      <c r="K1977" s="10"/>
      <c r="M1977" s="30"/>
      <c r="R1977" s="31"/>
    </row>
    <row r="1978" spans="11:18" x14ac:dyDescent="0.25">
      <c r="K1978" s="10"/>
      <c r="M1978" s="30"/>
      <c r="R1978" s="31"/>
    </row>
    <row r="1979" spans="11:18" x14ac:dyDescent="0.25">
      <c r="K1979" s="10"/>
      <c r="M1979" s="30"/>
      <c r="R1979" s="31"/>
    </row>
    <row r="1980" spans="11:18" x14ac:dyDescent="0.25">
      <c r="K1980" s="10"/>
      <c r="M1980" s="30"/>
      <c r="R1980" s="31"/>
    </row>
    <row r="1981" spans="11:18" x14ac:dyDescent="0.25">
      <c r="K1981" s="10"/>
      <c r="M1981" s="30"/>
      <c r="R1981" s="31"/>
    </row>
    <row r="1982" spans="11:18" x14ac:dyDescent="0.25">
      <c r="K1982" s="10"/>
      <c r="M1982" s="30"/>
      <c r="R1982" s="31"/>
    </row>
    <row r="1983" spans="11:18" x14ac:dyDescent="0.25">
      <c r="K1983" s="10"/>
      <c r="M1983" s="30"/>
      <c r="R1983" s="31"/>
    </row>
    <row r="1984" spans="11:18" x14ac:dyDescent="0.25">
      <c r="K1984" s="10"/>
      <c r="M1984" s="30"/>
      <c r="R1984" s="31"/>
    </row>
    <row r="1985" spans="11:18" x14ac:dyDescent="0.25">
      <c r="K1985" s="10"/>
      <c r="M1985" s="30"/>
      <c r="R1985" s="31"/>
    </row>
    <row r="1986" spans="11:18" x14ac:dyDescent="0.25">
      <c r="K1986" s="10"/>
      <c r="M1986" s="30"/>
      <c r="R1986" s="31"/>
    </row>
    <row r="1987" spans="11:18" x14ac:dyDescent="0.25">
      <c r="K1987" s="10"/>
      <c r="M1987" s="30"/>
      <c r="R1987" s="31"/>
    </row>
    <row r="1988" spans="11:18" x14ac:dyDescent="0.25">
      <c r="K1988" s="10"/>
      <c r="M1988" s="30"/>
      <c r="R1988" s="31"/>
    </row>
    <row r="1989" spans="11:18" x14ac:dyDescent="0.25">
      <c r="K1989" s="10"/>
      <c r="M1989" s="30"/>
      <c r="R1989" s="31"/>
    </row>
    <row r="1990" spans="11:18" x14ac:dyDescent="0.25">
      <c r="K1990" s="10"/>
      <c r="M1990" s="30"/>
      <c r="R1990" s="31"/>
    </row>
    <row r="1991" spans="11:18" x14ac:dyDescent="0.25">
      <c r="K1991" s="10"/>
      <c r="M1991" s="30"/>
      <c r="R1991" s="31"/>
    </row>
    <row r="1992" spans="11:18" x14ac:dyDescent="0.25">
      <c r="K1992" s="10"/>
      <c r="M1992" s="30"/>
      <c r="R1992" s="31"/>
    </row>
    <row r="1993" spans="11:18" x14ac:dyDescent="0.25">
      <c r="K1993" s="10"/>
      <c r="M1993" s="30"/>
      <c r="R1993" s="31"/>
    </row>
    <row r="1994" spans="11:18" x14ac:dyDescent="0.25">
      <c r="K1994" s="10"/>
      <c r="M1994" s="30"/>
      <c r="R1994" s="31"/>
    </row>
    <row r="1995" spans="11:18" x14ac:dyDescent="0.25">
      <c r="K1995" s="10"/>
      <c r="M1995" s="30"/>
      <c r="R1995" s="31"/>
    </row>
    <row r="1996" spans="11:18" x14ac:dyDescent="0.25">
      <c r="K1996" s="10"/>
      <c r="M1996" s="30"/>
      <c r="R1996" s="31"/>
    </row>
    <row r="1997" spans="11:18" x14ac:dyDescent="0.25">
      <c r="K1997" s="10"/>
      <c r="M1997" s="30"/>
      <c r="R1997" s="31"/>
    </row>
    <row r="1998" spans="11:18" x14ac:dyDescent="0.25">
      <c r="K1998" s="10"/>
      <c r="M1998" s="30"/>
      <c r="R1998" s="31"/>
    </row>
    <row r="1999" spans="11:18" x14ac:dyDescent="0.25">
      <c r="K1999" s="10"/>
      <c r="M1999" s="30"/>
      <c r="R1999" s="31"/>
    </row>
    <row r="2000" spans="11:18" x14ac:dyDescent="0.25">
      <c r="K2000" s="10"/>
      <c r="M2000" s="30"/>
      <c r="R2000" s="31"/>
    </row>
    <row r="2001" spans="11:18" x14ac:dyDescent="0.25">
      <c r="K2001" s="10"/>
      <c r="M2001" s="30"/>
      <c r="R2001" s="31"/>
    </row>
    <row r="2002" spans="11:18" x14ac:dyDescent="0.25">
      <c r="K2002" s="10"/>
      <c r="M2002" s="30"/>
      <c r="R2002" s="31"/>
    </row>
    <row r="2003" spans="11:18" x14ac:dyDescent="0.25">
      <c r="K2003" s="10"/>
      <c r="M2003" s="30"/>
      <c r="R2003" s="31"/>
    </row>
    <row r="2004" spans="11:18" x14ac:dyDescent="0.25">
      <c r="K2004" s="10"/>
      <c r="M2004" s="30"/>
      <c r="R2004" s="31"/>
    </row>
    <row r="2005" spans="11:18" x14ac:dyDescent="0.25">
      <c r="K2005" s="10"/>
      <c r="M2005" s="30"/>
      <c r="R2005" s="31"/>
    </row>
    <row r="2006" spans="11:18" x14ac:dyDescent="0.25">
      <c r="K2006" s="10"/>
      <c r="M2006" s="30"/>
      <c r="R2006" s="31"/>
    </row>
    <row r="2007" spans="11:18" x14ac:dyDescent="0.25">
      <c r="K2007" s="10"/>
      <c r="M2007" s="30"/>
      <c r="R2007" s="31"/>
    </row>
    <row r="2008" spans="11:18" x14ac:dyDescent="0.25">
      <c r="K2008" s="10"/>
      <c r="M2008" s="30"/>
      <c r="R2008" s="31"/>
    </row>
    <row r="2009" spans="11:18" x14ac:dyDescent="0.25">
      <c r="K2009" s="10"/>
      <c r="M2009" s="30"/>
      <c r="R2009" s="31"/>
    </row>
    <row r="2010" spans="11:18" x14ac:dyDescent="0.25">
      <c r="K2010" s="10"/>
      <c r="M2010" s="30"/>
      <c r="R2010" s="31"/>
    </row>
    <row r="2011" spans="11:18" x14ac:dyDescent="0.25">
      <c r="K2011" s="10"/>
      <c r="M2011" s="30"/>
      <c r="R2011" s="31"/>
    </row>
    <row r="2012" spans="11:18" x14ac:dyDescent="0.25">
      <c r="K2012" s="10"/>
      <c r="M2012" s="30"/>
      <c r="R2012" s="31"/>
    </row>
    <row r="2013" spans="11:18" x14ac:dyDescent="0.25">
      <c r="K2013" s="10"/>
      <c r="M2013" s="30"/>
      <c r="R2013" s="31"/>
    </row>
    <row r="2014" spans="11:18" x14ac:dyDescent="0.25">
      <c r="K2014" s="10"/>
      <c r="M2014" s="30"/>
      <c r="R2014" s="31"/>
    </row>
    <row r="2015" spans="11:18" x14ac:dyDescent="0.25">
      <c r="K2015" s="10"/>
      <c r="M2015" s="30"/>
      <c r="R2015" s="31"/>
    </row>
    <row r="2016" spans="11:18" x14ac:dyDescent="0.25">
      <c r="K2016" s="10"/>
      <c r="M2016" s="30"/>
      <c r="R2016" s="31"/>
    </row>
    <row r="2017" spans="11:18" x14ac:dyDescent="0.25">
      <c r="K2017" s="10"/>
      <c r="M2017" s="30"/>
      <c r="R2017" s="31"/>
    </row>
    <row r="2018" spans="11:18" x14ac:dyDescent="0.25">
      <c r="K2018" s="10"/>
      <c r="M2018" s="30"/>
      <c r="R2018" s="31"/>
    </row>
    <row r="2019" spans="11:18" x14ac:dyDescent="0.25">
      <c r="K2019" s="10"/>
      <c r="M2019" s="30"/>
      <c r="R2019" s="31"/>
    </row>
    <row r="2020" spans="11:18" x14ac:dyDescent="0.25">
      <c r="K2020" s="10"/>
      <c r="M2020" s="30"/>
      <c r="R2020" s="31"/>
    </row>
    <row r="2021" spans="11:18" x14ac:dyDescent="0.25">
      <c r="K2021" s="10"/>
      <c r="M2021" s="30"/>
      <c r="R2021" s="31"/>
    </row>
    <row r="2022" spans="11:18" x14ac:dyDescent="0.25">
      <c r="K2022" s="10"/>
      <c r="M2022" s="30"/>
      <c r="R2022" s="31"/>
    </row>
    <row r="2023" spans="11:18" x14ac:dyDescent="0.25">
      <c r="K2023" s="10"/>
      <c r="M2023" s="30"/>
      <c r="R2023" s="31"/>
    </row>
    <row r="2024" spans="11:18" x14ac:dyDescent="0.25">
      <c r="K2024" s="10"/>
      <c r="M2024" s="30"/>
      <c r="R2024" s="31"/>
    </row>
    <row r="2025" spans="11:18" x14ac:dyDescent="0.25">
      <c r="K2025" s="10"/>
      <c r="M2025" s="30"/>
      <c r="R2025" s="31"/>
    </row>
    <row r="2026" spans="11:18" x14ac:dyDescent="0.25">
      <c r="K2026" s="10"/>
      <c r="M2026" s="30"/>
      <c r="R2026" s="31"/>
    </row>
    <row r="2027" spans="11:18" x14ac:dyDescent="0.25">
      <c r="K2027" s="10"/>
      <c r="M2027" s="30"/>
      <c r="R2027" s="31"/>
    </row>
    <row r="2028" spans="11:18" x14ac:dyDescent="0.25">
      <c r="K2028" s="10"/>
      <c r="M2028" s="30"/>
      <c r="R2028" s="31"/>
    </row>
    <row r="2029" spans="11:18" x14ac:dyDescent="0.25">
      <c r="K2029" s="10"/>
      <c r="M2029" s="30"/>
      <c r="R2029" s="31"/>
    </row>
    <row r="2030" spans="11:18" x14ac:dyDescent="0.25">
      <c r="K2030" s="10"/>
      <c r="M2030" s="30"/>
      <c r="R2030" s="31"/>
    </row>
    <row r="2031" spans="11:18" x14ac:dyDescent="0.25">
      <c r="K2031" s="10"/>
      <c r="M2031" s="30"/>
      <c r="R2031" s="31"/>
    </row>
    <row r="2032" spans="11:18" x14ac:dyDescent="0.25">
      <c r="K2032" s="10"/>
      <c r="M2032" s="30"/>
      <c r="R2032" s="31"/>
    </row>
    <row r="2033" spans="11:18" x14ac:dyDescent="0.25">
      <c r="K2033" s="10"/>
      <c r="M2033" s="30"/>
      <c r="R2033" s="31"/>
    </row>
    <row r="2034" spans="11:18" x14ac:dyDescent="0.25">
      <c r="K2034" s="10"/>
      <c r="M2034" s="30"/>
      <c r="R2034" s="31"/>
    </row>
    <row r="2035" spans="11:18" x14ac:dyDescent="0.25">
      <c r="K2035" s="10"/>
      <c r="M2035" s="30"/>
      <c r="R2035" s="31"/>
    </row>
    <row r="2036" spans="11:18" x14ac:dyDescent="0.25">
      <c r="K2036" s="10"/>
      <c r="M2036" s="30"/>
      <c r="R2036" s="31"/>
    </row>
    <row r="2037" spans="11:18" x14ac:dyDescent="0.25">
      <c r="K2037" s="10"/>
      <c r="M2037" s="30"/>
      <c r="R2037" s="31"/>
    </row>
    <row r="2038" spans="11:18" x14ac:dyDescent="0.25">
      <c r="K2038" s="10"/>
      <c r="M2038" s="30"/>
      <c r="R2038" s="31"/>
    </row>
    <row r="2039" spans="11:18" x14ac:dyDescent="0.25">
      <c r="K2039" s="10"/>
      <c r="M2039" s="30"/>
      <c r="R2039" s="31"/>
    </row>
    <row r="2040" spans="11:18" x14ac:dyDescent="0.25">
      <c r="K2040" s="10"/>
      <c r="M2040" s="30"/>
      <c r="R2040" s="31"/>
    </row>
    <row r="2041" spans="11:18" x14ac:dyDescent="0.25">
      <c r="K2041" s="10"/>
      <c r="M2041" s="30"/>
      <c r="R2041" s="31"/>
    </row>
    <row r="2042" spans="11:18" x14ac:dyDescent="0.25">
      <c r="K2042" s="10"/>
      <c r="M2042" s="30"/>
      <c r="R2042" s="31"/>
    </row>
    <row r="2043" spans="11:18" x14ac:dyDescent="0.25">
      <c r="K2043" s="10"/>
      <c r="M2043" s="30"/>
      <c r="R2043" s="31"/>
    </row>
    <row r="2044" spans="11:18" x14ac:dyDescent="0.25">
      <c r="K2044" s="10"/>
      <c r="M2044" s="30"/>
      <c r="R2044" s="31"/>
    </row>
    <row r="2045" spans="11:18" x14ac:dyDescent="0.25">
      <c r="K2045" s="10"/>
      <c r="M2045" s="30"/>
      <c r="R2045" s="31"/>
    </row>
    <row r="2046" spans="11:18" x14ac:dyDescent="0.25">
      <c r="K2046" s="10"/>
      <c r="M2046" s="30"/>
      <c r="R2046" s="31"/>
    </row>
    <row r="2047" spans="11:18" x14ac:dyDescent="0.25">
      <c r="K2047" s="10"/>
      <c r="M2047" s="30"/>
      <c r="R2047" s="31"/>
    </row>
    <row r="2048" spans="11:18" x14ac:dyDescent="0.25">
      <c r="K2048" s="10"/>
      <c r="M2048" s="30"/>
      <c r="R2048" s="31"/>
    </row>
    <row r="2049" spans="11:18" x14ac:dyDescent="0.25">
      <c r="K2049" s="10"/>
      <c r="M2049" s="30"/>
      <c r="R2049" s="31"/>
    </row>
    <row r="2050" spans="11:18" x14ac:dyDescent="0.25">
      <c r="K2050" s="10"/>
      <c r="M2050" s="30"/>
      <c r="R2050" s="31"/>
    </row>
    <row r="2051" spans="11:18" x14ac:dyDescent="0.25">
      <c r="K2051" s="10"/>
      <c r="M2051" s="30"/>
      <c r="R2051" s="31"/>
    </row>
    <row r="2052" spans="11:18" x14ac:dyDescent="0.25">
      <c r="K2052" s="10"/>
      <c r="M2052" s="30"/>
      <c r="R2052" s="31"/>
    </row>
    <row r="2053" spans="11:18" x14ac:dyDescent="0.25">
      <c r="K2053" s="10"/>
      <c r="M2053" s="30"/>
      <c r="R2053" s="33"/>
    </row>
    <row r="2054" spans="11:18" x14ac:dyDescent="0.25">
      <c r="K2054" s="10"/>
      <c r="M2054" s="30"/>
      <c r="R2054" s="31"/>
    </row>
    <row r="2055" spans="11:18" x14ac:dyDescent="0.25">
      <c r="K2055" s="10"/>
      <c r="M2055" s="30"/>
      <c r="R2055" s="33"/>
    </row>
    <row r="2056" spans="11:18" x14ac:dyDescent="0.25">
      <c r="K2056" s="10"/>
      <c r="M2056" s="30"/>
      <c r="R2056" s="33"/>
    </row>
    <row r="2057" spans="11:18" x14ac:dyDescent="0.25">
      <c r="K2057" s="10"/>
      <c r="M2057" s="30"/>
      <c r="R2057" s="33"/>
    </row>
    <row r="2058" spans="11:18" x14ac:dyDescent="0.25">
      <c r="K2058" s="10"/>
      <c r="M2058" s="30"/>
      <c r="R2058" s="33"/>
    </row>
    <row r="2059" spans="11:18" x14ac:dyDescent="0.25">
      <c r="K2059" s="10"/>
      <c r="M2059" s="30"/>
      <c r="R2059" s="31"/>
    </row>
    <row r="2060" spans="11:18" x14ac:dyDescent="0.25">
      <c r="K2060" s="10"/>
      <c r="M2060" s="30"/>
      <c r="R2060" s="31"/>
    </row>
    <row r="2061" spans="11:18" x14ac:dyDescent="0.25">
      <c r="K2061" s="10"/>
      <c r="M2061" s="30"/>
      <c r="R2061" s="31"/>
    </row>
    <row r="2062" spans="11:18" x14ac:dyDescent="0.25">
      <c r="K2062" s="10"/>
      <c r="M2062" s="30"/>
      <c r="R2062" s="31"/>
    </row>
    <row r="2063" spans="11:18" x14ac:dyDescent="0.25">
      <c r="K2063" s="10"/>
      <c r="M2063" s="30"/>
      <c r="R2063" s="31"/>
    </row>
    <row r="2064" spans="11:18" x14ac:dyDescent="0.25">
      <c r="K2064" s="10"/>
      <c r="M2064" s="30"/>
      <c r="R2064" s="31"/>
    </row>
    <row r="2065" spans="11:18" x14ac:dyDescent="0.25">
      <c r="K2065" s="10"/>
      <c r="M2065" s="30"/>
      <c r="R2065" s="31"/>
    </row>
    <row r="2066" spans="11:18" x14ac:dyDescent="0.25">
      <c r="K2066" s="10"/>
      <c r="M2066" s="30"/>
      <c r="R2066" s="31"/>
    </row>
    <row r="2067" spans="11:18" x14ac:dyDescent="0.25">
      <c r="K2067" s="10"/>
      <c r="M2067" s="30"/>
      <c r="R2067" s="31"/>
    </row>
    <row r="2068" spans="11:18" x14ac:dyDescent="0.25">
      <c r="K2068" s="10"/>
      <c r="M2068" s="30"/>
      <c r="R2068" s="31"/>
    </row>
    <row r="2069" spans="11:18" x14ac:dyDescent="0.25">
      <c r="K2069" s="10"/>
      <c r="M2069" s="30"/>
      <c r="R2069" s="31"/>
    </row>
    <row r="2070" spans="11:18" x14ac:dyDescent="0.25">
      <c r="K2070" s="10"/>
      <c r="M2070" s="30"/>
      <c r="R2070" s="31"/>
    </row>
    <row r="2071" spans="11:18" x14ac:dyDescent="0.25">
      <c r="K2071" s="10"/>
      <c r="M2071" s="30"/>
      <c r="R2071" s="31"/>
    </row>
    <row r="2072" spans="11:18" x14ac:dyDescent="0.25">
      <c r="K2072" s="10"/>
      <c r="M2072" s="30"/>
      <c r="R2072" s="31"/>
    </row>
    <row r="2073" spans="11:18" x14ac:dyDescent="0.25">
      <c r="K2073" s="10"/>
      <c r="M2073" s="30"/>
      <c r="R2073" s="31"/>
    </row>
    <row r="2074" spans="11:18" x14ac:dyDescent="0.25">
      <c r="K2074" s="10"/>
      <c r="M2074" s="30"/>
      <c r="R2074" s="31"/>
    </row>
    <row r="2075" spans="11:18" x14ac:dyDescent="0.25">
      <c r="K2075" s="10"/>
      <c r="M2075" s="30"/>
      <c r="R2075" s="31"/>
    </row>
    <row r="2076" spans="11:18" x14ac:dyDescent="0.25">
      <c r="K2076" s="10"/>
      <c r="M2076" s="30"/>
      <c r="P2076" s="32"/>
      <c r="R2076" s="31"/>
    </row>
    <row r="2077" spans="11:18" x14ac:dyDescent="0.25">
      <c r="K2077" s="10"/>
      <c r="M2077" s="30"/>
      <c r="P2077" s="32"/>
      <c r="R2077" s="31"/>
    </row>
    <row r="2078" spans="11:18" x14ac:dyDescent="0.25">
      <c r="K2078" s="10"/>
      <c r="M2078" s="30"/>
      <c r="P2078" s="32"/>
      <c r="R2078" s="31"/>
    </row>
    <row r="2079" spans="11:18" x14ac:dyDescent="0.25">
      <c r="K2079" s="10"/>
      <c r="M2079" s="30"/>
      <c r="P2079" s="32"/>
      <c r="R2079" s="31"/>
    </row>
    <row r="2080" spans="11:18" x14ac:dyDescent="0.25">
      <c r="K2080" s="10"/>
      <c r="M2080" s="30"/>
      <c r="P2080" s="32"/>
      <c r="R2080" s="31"/>
    </row>
    <row r="2081" spans="11:18" x14ac:dyDescent="0.25">
      <c r="K2081" s="10"/>
      <c r="M2081" s="30"/>
      <c r="P2081" s="32"/>
      <c r="R2081" s="31"/>
    </row>
    <row r="2082" spans="11:18" x14ac:dyDescent="0.25">
      <c r="K2082" s="10"/>
      <c r="M2082" s="30"/>
      <c r="P2082" s="32"/>
      <c r="R2082" s="31"/>
    </row>
    <row r="2083" spans="11:18" x14ac:dyDescent="0.25">
      <c r="K2083" s="10"/>
      <c r="M2083" s="30"/>
      <c r="P2083" s="32"/>
      <c r="R2083" s="31"/>
    </row>
    <row r="2084" spans="11:18" x14ac:dyDescent="0.25">
      <c r="K2084" s="10"/>
      <c r="M2084" s="30"/>
      <c r="P2084" s="32"/>
      <c r="R2084" s="31"/>
    </row>
    <row r="2085" spans="11:18" x14ac:dyDescent="0.25">
      <c r="K2085" s="10"/>
      <c r="M2085" s="30"/>
      <c r="P2085" s="32"/>
      <c r="R2085" s="31"/>
    </row>
    <row r="2086" spans="11:18" x14ac:dyDescent="0.25">
      <c r="K2086" s="10"/>
      <c r="M2086" s="30"/>
      <c r="P2086" s="32"/>
      <c r="R2086" s="31"/>
    </row>
    <row r="2087" spans="11:18" x14ac:dyDescent="0.25">
      <c r="K2087" s="10"/>
      <c r="M2087" s="30"/>
      <c r="P2087" s="32"/>
      <c r="R2087" s="31"/>
    </row>
    <row r="2088" spans="11:18" x14ac:dyDescent="0.25">
      <c r="K2088" s="10"/>
      <c r="M2088" s="30"/>
      <c r="P2088" s="32"/>
      <c r="R2088" s="31"/>
    </row>
    <row r="2089" spans="11:18" x14ac:dyDescent="0.25">
      <c r="K2089" s="10"/>
      <c r="M2089" s="30"/>
      <c r="P2089" s="32"/>
      <c r="R2089" s="31"/>
    </row>
    <row r="2090" spans="11:18" x14ac:dyDescent="0.25">
      <c r="K2090" s="10"/>
      <c r="M2090" s="30"/>
      <c r="P2090" s="32"/>
      <c r="R2090" s="31"/>
    </row>
    <row r="2091" spans="11:18" x14ac:dyDescent="0.25">
      <c r="K2091" s="10"/>
      <c r="M2091" s="30"/>
      <c r="P2091" s="32"/>
      <c r="R2091" s="31"/>
    </row>
    <row r="2092" spans="11:18" x14ac:dyDescent="0.25">
      <c r="K2092" s="10"/>
      <c r="M2092" s="30"/>
      <c r="P2092" s="32"/>
      <c r="R2092" s="31"/>
    </row>
    <row r="2093" spans="11:18" x14ac:dyDescent="0.25">
      <c r="K2093" s="10"/>
      <c r="M2093" s="30"/>
      <c r="P2093" s="32"/>
      <c r="R2093" s="31"/>
    </row>
    <row r="2094" spans="11:18" x14ac:dyDescent="0.25">
      <c r="K2094" s="10"/>
      <c r="M2094" s="30"/>
      <c r="P2094" s="32"/>
      <c r="R2094" s="31"/>
    </row>
    <row r="2095" spans="11:18" x14ac:dyDescent="0.25">
      <c r="K2095" s="10"/>
      <c r="M2095" s="30"/>
      <c r="P2095" s="32"/>
      <c r="R2095" s="31"/>
    </row>
    <row r="2096" spans="11:18" x14ac:dyDescent="0.25">
      <c r="K2096" s="10"/>
      <c r="M2096" s="30"/>
      <c r="P2096" s="32"/>
      <c r="R2096" s="31"/>
    </row>
    <row r="2097" spans="11:18" x14ac:dyDescent="0.25">
      <c r="K2097" s="10"/>
      <c r="M2097" s="30"/>
      <c r="P2097" s="32"/>
      <c r="R2097" s="31"/>
    </row>
    <row r="2098" spans="11:18" x14ac:dyDescent="0.25">
      <c r="K2098" s="10"/>
      <c r="M2098" s="30"/>
      <c r="P2098" s="32"/>
      <c r="R2098" s="31"/>
    </row>
    <row r="2099" spans="11:18" x14ac:dyDescent="0.25">
      <c r="K2099" s="10"/>
      <c r="M2099" s="30"/>
      <c r="P2099" s="32"/>
      <c r="R2099" s="31"/>
    </row>
    <row r="2100" spans="11:18" x14ac:dyDescent="0.25">
      <c r="K2100" s="10"/>
      <c r="M2100" s="30"/>
      <c r="P2100" s="32"/>
      <c r="R2100" s="31"/>
    </row>
    <row r="2101" spans="11:18" x14ac:dyDescent="0.25">
      <c r="K2101" s="10"/>
      <c r="M2101" s="30"/>
      <c r="P2101" s="32"/>
      <c r="R2101" s="31"/>
    </row>
    <row r="2102" spans="11:18" x14ac:dyDescent="0.25">
      <c r="K2102" s="10"/>
      <c r="M2102" s="30"/>
      <c r="P2102" s="32"/>
      <c r="R2102" s="31"/>
    </row>
    <row r="2103" spans="11:18" x14ac:dyDescent="0.25">
      <c r="K2103" s="10"/>
      <c r="M2103" s="30"/>
      <c r="P2103" s="32"/>
      <c r="R2103" s="31"/>
    </row>
    <row r="2104" spans="11:18" x14ac:dyDescent="0.25">
      <c r="K2104" s="10"/>
      <c r="M2104" s="30"/>
      <c r="R2104" s="31"/>
    </row>
    <row r="2105" spans="11:18" x14ac:dyDescent="0.25">
      <c r="K2105" s="10"/>
      <c r="M2105" s="30"/>
      <c r="R2105" s="31"/>
    </row>
    <row r="2106" spans="11:18" x14ac:dyDescent="0.25">
      <c r="K2106" s="10"/>
      <c r="M2106" s="30"/>
      <c r="P2106" s="32"/>
      <c r="R2106" s="31"/>
    </row>
    <row r="2107" spans="11:18" x14ac:dyDescent="0.25">
      <c r="K2107" s="10"/>
      <c r="M2107" s="30"/>
      <c r="P2107" s="32"/>
      <c r="R2107" s="31"/>
    </row>
    <row r="2108" spans="11:18" x14ac:dyDescent="0.25">
      <c r="K2108" s="10"/>
      <c r="M2108" s="30"/>
      <c r="P2108" s="32"/>
      <c r="R2108" s="31"/>
    </row>
    <row r="2109" spans="11:18" x14ac:dyDescent="0.25">
      <c r="K2109" s="10"/>
      <c r="M2109" s="30"/>
      <c r="P2109" s="32"/>
      <c r="R2109" s="31"/>
    </row>
    <row r="2110" spans="11:18" x14ac:dyDescent="0.25">
      <c r="K2110" s="10"/>
      <c r="M2110" s="30"/>
      <c r="P2110" s="32"/>
      <c r="R2110" s="31"/>
    </row>
    <row r="2111" spans="11:18" x14ac:dyDescent="0.25">
      <c r="K2111" s="10"/>
      <c r="M2111" s="30"/>
      <c r="P2111" s="32"/>
      <c r="R2111" s="31"/>
    </row>
    <row r="2112" spans="11:18" x14ac:dyDescent="0.25">
      <c r="K2112" s="10"/>
      <c r="M2112" s="30"/>
      <c r="P2112" s="32"/>
      <c r="R2112" s="31"/>
    </row>
    <row r="2113" spans="11:18" x14ac:dyDescent="0.25">
      <c r="K2113" s="10"/>
      <c r="M2113" s="30"/>
      <c r="R2113" s="31"/>
    </row>
    <row r="2114" spans="11:18" x14ac:dyDescent="0.25">
      <c r="K2114" s="10"/>
      <c r="M2114" s="30"/>
      <c r="R2114" s="31"/>
    </row>
    <row r="2115" spans="11:18" x14ac:dyDescent="0.25">
      <c r="K2115" s="10"/>
      <c r="M2115" s="30"/>
      <c r="R2115" s="31"/>
    </row>
    <row r="2116" spans="11:18" x14ac:dyDescent="0.25">
      <c r="K2116" s="10"/>
      <c r="M2116" s="30"/>
      <c r="R2116" s="31"/>
    </row>
    <row r="2117" spans="11:18" x14ac:dyDescent="0.25">
      <c r="K2117" s="10"/>
      <c r="M2117" s="30"/>
      <c r="R2117" s="31"/>
    </row>
    <row r="2118" spans="11:18" x14ac:dyDescent="0.25">
      <c r="K2118" s="10"/>
      <c r="M2118" s="30"/>
      <c r="R2118" s="31"/>
    </row>
    <row r="2119" spans="11:18" x14ac:dyDescent="0.25">
      <c r="K2119" s="10"/>
      <c r="M2119" s="30"/>
      <c r="R2119" s="31"/>
    </row>
    <row r="2120" spans="11:18" x14ac:dyDescent="0.25">
      <c r="K2120" s="10"/>
      <c r="M2120" s="30"/>
      <c r="R2120" s="31"/>
    </row>
    <row r="2121" spans="11:18" x14ac:dyDescent="0.25">
      <c r="K2121" s="10"/>
      <c r="M2121" s="30"/>
      <c r="R2121" s="31"/>
    </row>
    <row r="2122" spans="11:18" x14ac:dyDescent="0.25">
      <c r="K2122" s="10"/>
      <c r="M2122" s="30"/>
      <c r="R2122" s="31"/>
    </row>
    <row r="2123" spans="11:18" x14ac:dyDescent="0.25">
      <c r="K2123" s="10"/>
      <c r="M2123" s="30"/>
      <c r="R2123" s="31"/>
    </row>
    <row r="2124" spans="11:18" x14ac:dyDescent="0.25">
      <c r="K2124" s="10"/>
      <c r="M2124" s="30"/>
      <c r="R2124" s="31"/>
    </row>
    <row r="2125" spans="11:18" x14ac:dyDescent="0.25">
      <c r="K2125" s="10"/>
      <c r="M2125" s="30"/>
      <c r="R2125" s="31"/>
    </row>
    <row r="2126" spans="11:18" x14ac:dyDescent="0.25">
      <c r="K2126" s="10"/>
      <c r="M2126" s="30"/>
      <c r="R2126" s="31"/>
    </row>
    <row r="2127" spans="11:18" x14ac:dyDescent="0.25">
      <c r="K2127" s="10"/>
      <c r="M2127" s="30"/>
      <c r="R2127" s="31"/>
    </row>
    <row r="2128" spans="11:18" x14ac:dyDescent="0.25">
      <c r="K2128" s="10"/>
      <c r="M2128" s="30"/>
      <c r="R2128" s="31"/>
    </row>
    <row r="2129" spans="11:18" x14ac:dyDescent="0.25">
      <c r="K2129" s="10"/>
      <c r="M2129" s="30"/>
      <c r="R2129" s="31"/>
    </row>
    <row r="2130" spans="11:18" x14ac:dyDescent="0.25">
      <c r="K2130" s="10"/>
      <c r="M2130" s="30"/>
      <c r="R2130" s="31"/>
    </row>
    <row r="2131" spans="11:18" x14ac:dyDescent="0.25">
      <c r="K2131" s="10"/>
      <c r="M2131" s="30"/>
      <c r="R2131" s="31"/>
    </row>
    <row r="2132" spans="11:18" x14ac:dyDescent="0.25">
      <c r="K2132" s="10"/>
      <c r="M2132" s="30"/>
      <c r="R2132" s="31"/>
    </row>
    <row r="2133" spans="11:18" x14ac:dyDescent="0.25">
      <c r="K2133" s="10"/>
      <c r="M2133" s="30"/>
      <c r="R2133" s="31"/>
    </row>
    <row r="2134" spans="11:18" x14ac:dyDescent="0.25">
      <c r="K2134" s="10"/>
      <c r="M2134" s="30"/>
      <c r="R2134" s="31"/>
    </row>
    <row r="2135" spans="11:18" x14ac:dyDescent="0.25">
      <c r="K2135" s="10"/>
      <c r="M2135" s="30"/>
      <c r="R2135" s="31"/>
    </row>
    <row r="2136" spans="11:18" x14ac:dyDescent="0.25">
      <c r="K2136" s="10"/>
      <c r="M2136" s="30"/>
      <c r="R2136" s="31"/>
    </row>
    <row r="2137" spans="11:18" x14ac:dyDescent="0.25">
      <c r="K2137" s="10"/>
      <c r="M2137" s="30"/>
      <c r="R2137" s="31"/>
    </row>
    <row r="2138" spans="11:18" x14ac:dyDescent="0.25">
      <c r="K2138" s="10"/>
      <c r="M2138" s="30"/>
      <c r="R2138" s="31"/>
    </row>
    <row r="2139" spans="11:18" x14ac:dyDescent="0.25">
      <c r="K2139" s="10"/>
      <c r="M2139" s="30"/>
      <c r="R2139" s="31"/>
    </row>
    <row r="2140" spans="11:18" x14ac:dyDescent="0.25">
      <c r="K2140" s="10"/>
      <c r="M2140" s="30"/>
      <c r="R2140" s="31"/>
    </row>
    <row r="2141" spans="11:18" x14ac:dyDescent="0.25">
      <c r="K2141" s="10"/>
      <c r="M2141" s="30"/>
      <c r="P2141" s="32"/>
      <c r="R2141" s="31"/>
    </row>
    <row r="2142" spans="11:18" x14ac:dyDescent="0.25">
      <c r="K2142" s="10"/>
      <c r="M2142" s="30"/>
      <c r="P2142" s="32"/>
      <c r="R2142" s="31"/>
    </row>
    <row r="2143" spans="11:18" x14ac:dyDescent="0.25">
      <c r="K2143" s="10"/>
      <c r="M2143" s="30"/>
      <c r="P2143" s="32"/>
      <c r="R2143" s="31"/>
    </row>
    <row r="2144" spans="11:18" x14ac:dyDescent="0.25">
      <c r="K2144" s="10"/>
      <c r="M2144" s="30"/>
      <c r="P2144" s="32"/>
      <c r="R2144" s="31"/>
    </row>
    <row r="2145" spans="11:18" x14ac:dyDescent="0.25">
      <c r="K2145" s="10"/>
      <c r="M2145" s="30"/>
      <c r="P2145" s="32"/>
      <c r="R2145" s="31"/>
    </row>
    <row r="2146" spans="11:18" x14ac:dyDescent="0.25">
      <c r="K2146" s="10"/>
      <c r="M2146" s="30"/>
      <c r="P2146" s="32"/>
      <c r="R2146" s="31"/>
    </row>
    <row r="2147" spans="11:18" x14ac:dyDescent="0.25">
      <c r="K2147" s="10"/>
      <c r="M2147" s="30"/>
      <c r="P2147" s="32"/>
      <c r="R2147" s="31"/>
    </row>
    <row r="2148" spans="11:18" x14ac:dyDescent="0.25">
      <c r="K2148" s="10"/>
      <c r="M2148" s="30"/>
      <c r="P2148" s="32"/>
      <c r="R2148" s="31"/>
    </row>
    <row r="2149" spans="11:18" x14ac:dyDescent="0.25">
      <c r="K2149" s="10"/>
      <c r="M2149" s="30"/>
      <c r="P2149" s="32"/>
      <c r="R2149" s="31"/>
    </row>
    <row r="2150" spans="11:18" x14ac:dyDescent="0.25">
      <c r="K2150" s="10"/>
      <c r="M2150" s="30"/>
      <c r="P2150" s="32"/>
      <c r="R2150" s="31"/>
    </row>
    <row r="2151" spans="11:18" x14ac:dyDescent="0.25">
      <c r="K2151" s="10"/>
      <c r="M2151" s="30"/>
      <c r="P2151" s="32"/>
      <c r="R2151" s="31"/>
    </row>
    <row r="2152" spans="11:18" x14ac:dyDescent="0.25">
      <c r="K2152" s="10"/>
      <c r="M2152" s="30"/>
      <c r="P2152" s="32"/>
      <c r="R2152" s="31"/>
    </row>
    <row r="2153" spans="11:18" x14ac:dyDescent="0.25">
      <c r="K2153" s="10"/>
      <c r="M2153" s="30"/>
      <c r="P2153" s="32"/>
      <c r="R2153" s="31"/>
    </row>
    <row r="2154" spans="11:18" x14ac:dyDescent="0.25">
      <c r="K2154" s="10"/>
      <c r="M2154" s="30"/>
      <c r="P2154" s="32"/>
      <c r="R2154" s="31"/>
    </row>
    <row r="2155" spans="11:18" x14ac:dyDescent="0.25">
      <c r="K2155" s="10"/>
      <c r="M2155" s="30"/>
      <c r="P2155" s="32"/>
      <c r="R2155" s="31"/>
    </row>
    <row r="2156" spans="11:18" x14ac:dyDescent="0.25">
      <c r="K2156" s="10"/>
      <c r="M2156" s="30"/>
      <c r="P2156" s="32"/>
      <c r="R2156" s="31"/>
    </row>
    <row r="2157" spans="11:18" x14ac:dyDescent="0.25">
      <c r="K2157" s="10"/>
      <c r="M2157" s="30"/>
      <c r="P2157" s="32"/>
      <c r="R2157" s="31"/>
    </row>
    <row r="2158" spans="11:18" x14ac:dyDescent="0.25">
      <c r="K2158" s="10"/>
      <c r="M2158" s="30"/>
      <c r="P2158" s="32"/>
      <c r="R2158" s="31"/>
    </row>
    <row r="2159" spans="11:18" x14ac:dyDescent="0.25">
      <c r="K2159" s="10"/>
      <c r="M2159" s="30"/>
      <c r="P2159" s="32"/>
      <c r="R2159" s="31"/>
    </row>
    <row r="2160" spans="11:18" x14ac:dyDescent="0.25">
      <c r="K2160" s="10"/>
      <c r="M2160" s="30"/>
      <c r="P2160" s="32"/>
      <c r="R2160" s="31"/>
    </row>
    <row r="2161" spans="11:18" x14ac:dyDescent="0.25">
      <c r="K2161" s="10"/>
      <c r="M2161" s="30"/>
      <c r="P2161" s="32"/>
      <c r="R2161" s="31"/>
    </row>
    <row r="2162" spans="11:18" x14ac:dyDescent="0.25">
      <c r="K2162" s="10"/>
      <c r="M2162" s="30"/>
      <c r="P2162" s="32"/>
      <c r="R2162" s="31"/>
    </row>
    <row r="2163" spans="11:18" x14ac:dyDescent="0.25">
      <c r="K2163" s="10"/>
      <c r="M2163" s="30"/>
      <c r="P2163" s="32"/>
      <c r="R2163" s="31"/>
    </row>
    <row r="2164" spans="11:18" x14ac:dyDescent="0.25">
      <c r="K2164" s="10"/>
      <c r="M2164" s="30"/>
      <c r="P2164" s="32"/>
      <c r="R2164" s="31"/>
    </row>
    <row r="2165" spans="11:18" x14ac:dyDescent="0.25">
      <c r="K2165" s="10"/>
      <c r="M2165" s="30"/>
      <c r="P2165" s="32"/>
      <c r="R2165" s="31"/>
    </row>
    <row r="2166" spans="11:18" x14ac:dyDescent="0.25">
      <c r="K2166" s="10"/>
      <c r="M2166" s="30"/>
      <c r="P2166" s="32"/>
      <c r="R2166" s="31"/>
    </row>
    <row r="2167" spans="11:18" x14ac:dyDescent="0.25">
      <c r="K2167" s="10"/>
      <c r="M2167" s="30"/>
      <c r="P2167" s="32"/>
      <c r="R2167" s="31"/>
    </row>
    <row r="2168" spans="11:18" x14ac:dyDescent="0.25">
      <c r="K2168" s="10"/>
      <c r="M2168" s="30"/>
      <c r="P2168" s="32"/>
      <c r="R2168" s="31"/>
    </row>
    <row r="2169" spans="11:18" x14ac:dyDescent="0.25">
      <c r="K2169" s="10"/>
      <c r="M2169" s="30"/>
      <c r="P2169" s="32"/>
      <c r="R2169" s="31"/>
    </row>
    <row r="2170" spans="11:18" x14ac:dyDescent="0.25">
      <c r="K2170" s="10"/>
      <c r="M2170" s="30"/>
      <c r="R2170" s="31"/>
    </row>
    <row r="2171" spans="11:18" x14ac:dyDescent="0.25">
      <c r="K2171" s="10"/>
      <c r="M2171" s="30"/>
      <c r="R2171" s="31"/>
    </row>
    <row r="2172" spans="11:18" x14ac:dyDescent="0.25">
      <c r="K2172" s="10"/>
      <c r="M2172" s="30"/>
      <c r="R2172" s="31"/>
    </row>
    <row r="2173" spans="11:18" x14ac:dyDescent="0.25">
      <c r="K2173" s="10"/>
      <c r="M2173" s="30"/>
      <c r="R2173" s="31"/>
    </row>
    <row r="2174" spans="11:18" x14ac:dyDescent="0.25">
      <c r="K2174" s="10"/>
      <c r="M2174" s="30"/>
      <c r="R2174" s="31"/>
    </row>
    <row r="2175" spans="11:18" x14ac:dyDescent="0.25">
      <c r="K2175" s="10"/>
      <c r="M2175" s="30"/>
      <c r="R2175" s="31"/>
    </row>
    <row r="2176" spans="11:18" x14ac:dyDescent="0.25">
      <c r="K2176" s="10"/>
      <c r="M2176" s="30"/>
      <c r="R2176" s="31"/>
    </row>
    <row r="2177" spans="8:18" x14ac:dyDescent="0.25">
      <c r="K2177" s="10"/>
      <c r="M2177" s="30"/>
      <c r="R2177" s="31"/>
    </row>
    <row r="2178" spans="8:18" x14ac:dyDescent="0.25">
      <c r="K2178" s="10"/>
      <c r="M2178" s="30"/>
      <c r="R2178" s="31"/>
    </row>
    <row r="2179" spans="8:18" x14ac:dyDescent="0.25">
      <c r="K2179" s="10"/>
      <c r="M2179" s="30"/>
      <c r="R2179" s="31"/>
    </row>
    <row r="2180" spans="8:18" x14ac:dyDescent="0.25">
      <c r="K2180" s="10"/>
      <c r="M2180" s="30"/>
      <c r="R2180" s="31"/>
    </row>
    <row r="2181" spans="8:18" x14ac:dyDescent="0.25">
      <c r="K2181" s="10"/>
      <c r="M2181" s="30"/>
      <c r="R2181" s="31"/>
    </row>
    <row r="2182" spans="8:18" x14ac:dyDescent="0.25">
      <c r="H2182" s="34"/>
      <c r="K2182" s="10"/>
      <c r="M2182" s="30"/>
      <c r="R2182" s="31"/>
    </row>
    <row r="2183" spans="8:18" x14ac:dyDescent="0.25">
      <c r="H2183" s="34"/>
      <c r="K2183" s="10"/>
      <c r="M2183" s="30"/>
      <c r="R2183" s="31"/>
    </row>
    <row r="2184" spans="8:18" x14ac:dyDescent="0.25">
      <c r="K2184" s="10"/>
      <c r="M2184" s="30"/>
      <c r="R2184" s="31"/>
    </row>
    <row r="2185" spans="8:18" x14ac:dyDescent="0.25">
      <c r="K2185" s="10"/>
      <c r="M2185" s="30"/>
      <c r="R2185" s="31"/>
    </row>
    <row r="2186" spans="8:18" x14ac:dyDescent="0.25">
      <c r="K2186" s="10"/>
      <c r="M2186" s="30"/>
      <c r="R2186" s="31"/>
    </row>
    <row r="2187" spans="8:18" x14ac:dyDescent="0.25">
      <c r="K2187" s="10"/>
      <c r="M2187" s="30"/>
      <c r="R2187" s="31"/>
    </row>
    <row r="2188" spans="8:18" x14ac:dyDescent="0.25">
      <c r="K2188" s="10"/>
      <c r="M2188" s="30"/>
      <c r="R2188" s="33"/>
    </row>
    <row r="2189" spans="8:18" x14ac:dyDescent="0.25">
      <c r="K2189" s="10"/>
      <c r="M2189" s="30"/>
      <c r="R2189" s="31"/>
    </row>
    <row r="2190" spans="8:18" x14ac:dyDescent="0.25">
      <c r="K2190" s="10"/>
      <c r="M2190" s="30"/>
      <c r="R2190" s="31"/>
    </row>
    <row r="2191" spans="8:18" x14ac:dyDescent="0.25">
      <c r="K2191" s="10"/>
      <c r="M2191" s="30"/>
      <c r="R2191" s="31"/>
    </row>
    <row r="2192" spans="8:18" x14ac:dyDescent="0.25">
      <c r="K2192" s="10"/>
      <c r="M2192" s="30"/>
      <c r="R2192" s="31"/>
    </row>
    <row r="2193" spans="11:18" x14ac:dyDescent="0.25">
      <c r="K2193" s="10"/>
      <c r="M2193" s="30"/>
      <c r="R2193" s="31"/>
    </row>
    <row r="2194" spans="11:18" x14ac:dyDescent="0.25">
      <c r="K2194" s="10"/>
      <c r="M2194" s="30"/>
      <c r="R2194" s="31"/>
    </row>
    <row r="2195" spans="11:18" x14ac:dyDescent="0.25">
      <c r="K2195" s="10"/>
      <c r="M2195" s="30"/>
      <c r="R2195" s="31"/>
    </row>
    <row r="2196" spans="11:18" x14ac:dyDescent="0.25">
      <c r="K2196" s="10"/>
      <c r="M2196" s="30"/>
      <c r="R2196" s="33"/>
    </row>
    <row r="2197" spans="11:18" x14ac:dyDescent="0.25">
      <c r="K2197" s="10"/>
      <c r="M2197" s="30"/>
      <c r="R2197" s="31"/>
    </row>
    <row r="2198" spans="11:18" x14ac:dyDescent="0.25">
      <c r="K2198" s="10"/>
      <c r="M2198" s="30"/>
      <c r="R2198" s="31"/>
    </row>
    <row r="2199" spans="11:18" x14ac:dyDescent="0.25">
      <c r="K2199" s="10"/>
      <c r="M2199" s="30"/>
      <c r="R2199" s="31"/>
    </row>
    <row r="2200" spans="11:18" x14ac:dyDescent="0.25">
      <c r="K2200" s="10"/>
      <c r="M2200" s="30"/>
      <c r="R2200" s="31"/>
    </row>
    <row r="2201" spans="11:18" x14ac:dyDescent="0.25">
      <c r="K2201" s="10"/>
      <c r="M2201" s="30"/>
      <c r="R2201" s="31"/>
    </row>
    <row r="2202" spans="11:18" x14ac:dyDescent="0.25">
      <c r="K2202" s="10"/>
      <c r="M2202" s="30"/>
      <c r="R2202" s="33"/>
    </row>
    <row r="2203" spans="11:18" x14ac:dyDescent="0.25">
      <c r="K2203" s="10"/>
      <c r="M2203" s="30"/>
      <c r="R2203" s="31"/>
    </row>
    <row r="2204" spans="11:18" x14ac:dyDescent="0.25">
      <c r="K2204" s="10"/>
      <c r="M2204" s="30"/>
      <c r="R2204" s="31"/>
    </row>
    <row r="2205" spans="11:18" x14ac:dyDescent="0.25">
      <c r="K2205" s="10"/>
      <c r="M2205" s="30"/>
      <c r="R2205" s="31"/>
    </row>
    <row r="2206" spans="11:18" x14ac:dyDescent="0.25">
      <c r="K2206" s="10"/>
      <c r="M2206" s="30"/>
      <c r="R2206" s="31"/>
    </row>
    <row r="2207" spans="11:18" x14ac:dyDescent="0.25">
      <c r="K2207" s="10"/>
      <c r="M2207" s="30"/>
      <c r="R2207" s="31"/>
    </row>
    <row r="2208" spans="11:18" x14ac:dyDescent="0.25">
      <c r="K2208" s="10"/>
      <c r="M2208" s="30"/>
      <c r="R2208" s="33"/>
    </row>
    <row r="2209" spans="11:18" x14ac:dyDescent="0.25">
      <c r="K2209" s="10"/>
      <c r="M2209" s="30"/>
      <c r="R2209" s="31"/>
    </row>
    <row r="2210" spans="11:18" x14ac:dyDescent="0.25">
      <c r="K2210" s="10"/>
      <c r="M2210" s="30"/>
      <c r="R2210" s="31"/>
    </row>
    <row r="2211" spans="11:18" x14ac:dyDescent="0.25">
      <c r="K2211" s="10"/>
      <c r="M2211" s="30"/>
      <c r="R2211" s="31"/>
    </row>
    <row r="2212" spans="11:18" x14ac:dyDescent="0.25">
      <c r="K2212" s="10"/>
      <c r="M2212" s="30"/>
      <c r="R2212" s="31"/>
    </row>
    <row r="2213" spans="11:18" x14ac:dyDescent="0.25">
      <c r="K2213" s="10"/>
      <c r="M2213" s="30"/>
      <c r="R2213" s="31"/>
    </row>
    <row r="2214" spans="11:18" x14ac:dyDescent="0.25">
      <c r="K2214" s="10"/>
      <c r="M2214" s="30"/>
      <c r="R2214" s="31"/>
    </row>
    <row r="2215" spans="11:18" x14ac:dyDescent="0.25">
      <c r="K2215" s="10"/>
      <c r="M2215" s="30"/>
      <c r="R2215" s="31"/>
    </row>
    <row r="2216" spans="11:18" x14ac:dyDescent="0.25">
      <c r="K2216" s="10"/>
      <c r="M2216" s="30"/>
      <c r="R2216" s="31"/>
    </row>
    <row r="2217" spans="11:18" x14ac:dyDescent="0.25">
      <c r="K2217" s="10"/>
      <c r="M2217" s="30"/>
      <c r="R2217" s="31"/>
    </row>
    <row r="2218" spans="11:18" x14ac:dyDescent="0.25">
      <c r="K2218" s="10"/>
      <c r="M2218" s="30"/>
      <c r="R2218" s="31"/>
    </row>
    <row r="2219" spans="11:18" x14ac:dyDescent="0.25">
      <c r="K2219" s="10"/>
      <c r="M2219" s="30"/>
      <c r="R2219" s="31"/>
    </row>
    <row r="2220" spans="11:18" x14ac:dyDescent="0.25">
      <c r="K2220" s="10"/>
      <c r="M2220" s="30"/>
      <c r="R2220" s="31"/>
    </row>
    <row r="2221" spans="11:18" x14ac:dyDescent="0.25">
      <c r="K2221" s="10"/>
      <c r="M2221" s="30"/>
      <c r="R2221" s="31"/>
    </row>
    <row r="2222" spans="11:18" x14ac:dyDescent="0.25">
      <c r="K2222" s="10"/>
      <c r="M2222" s="30"/>
      <c r="R2222" s="31"/>
    </row>
    <row r="2223" spans="11:18" x14ac:dyDescent="0.25">
      <c r="K2223" s="10"/>
      <c r="M2223" s="30"/>
      <c r="R2223" s="31"/>
    </row>
    <row r="2224" spans="11:18" x14ac:dyDescent="0.25">
      <c r="K2224" s="10"/>
      <c r="M2224" s="30"/>
      <c r="R2224" s="31"/>
    </row>
    <row r="2225" spans="11:18" x14ac:dyDescent="0.25">
      <c r="K2225" s="10"/>
      <c r="M2225" s="30"/>
      <c r="R2225" s="33"/>
    </row>
    <row r="2226" spans="11:18" x14ac:dyDescent="0.25">
      <c r="K2226" s="10"/>
      <c r="M2226" s="30"/>
      <c r="R2226" s="31"/>
    </row>
    <row r="2227" spans="11:18" x14ac:dyDescent="0.25">
      <c r="K2227" s="10"/>
      <c r="M2227" s="30"/>
      <c r="R2227" s="31"/>
    </row>
    <row r="2228" spans="11:18" x14ac:dyDescent="0.25">
      <c r="K2228" s="10"/>
      <c r="M2228" s="30"/>
      <c r="R2228" s="31"/>
    </row>
    <row r="2229" spans="11:18" x14ac:dyDescent="0.25">
      <c r="K2229" s="10"/>
      <c r="M2229" s="30"/>
      <c r="R2229" s="31"/>
    </row>
    <row r="2230" spans="11:18" x14ac:dyDescent="0.25">
      <c r="K2230" s="10"/>
      <c r="M2230" s="30"/>
      <c r="R2230" s="31"/>
    </row>
    <row r="2231" spans="11:18" x14ac:dyDescent="0.25">
      <c r="K2231" s="10"/>
      <c r="M2231" s="30"/>
      <c r="R2231" s="31"/>
    </row>
    <row r="2232" spans="11:18" x14ac:dyDescent="0.25">
      <c r="K2232" s="10"/>
      <c r="M2232" s="30"/>
      <c r="R2232" s="33"/>
    </row>
    <row r="2233" spans="11:18" x14ac:dyDescent="0.25">
      <c r="K2233" s="10"/>
      <c r="M2233" s="30"/>
      <c r="R2233" s="31"/>
    </row>
    <row r="2234" spans="11:18" x14ac:dyDescent="0.25">
      <c r="K2234" s="10"/>
      <c r="M2234" s="30"/>
      <c r="R2234" s="31"/>
    </row>
    <row r="2235" spans="11:18" x14ac:dyDescent="0.25">
      <c r="K2235" s="10"/>
      <c r="M2235" s="30"/>
      <c r="R2235" s="31"/>
    </row>
    <row r="2236" spans="11:18" x14ac:dyDescent="0.25">
      <c r="K2236" s="10"/>
      <c r="M2236" s="30"/>
      <c r="R2236" s="31"/>
    </row>
    <row r="2237" spans="11:18" x14ac:dyDescent="0.25">
      <c r="K2237" s="10"/>
      <c r="M2237" s="30"/>
      <c r="R2237" s="31"/>
    </row>
    <row r="2238" spans="11:18" x14ac:dyDescent="0.25">
      <c r="K2238" s="10"/>
      <c r="M2238" s="30"/>
      <c r="R2238" s="31"/>
    </row>
    <row r="2239" spans="11:18" x14ac:dyDescent="0.25">
      <c r="K2239" s="10"/>
      <c r="M2239" s="30"/>
      <c r="R2239" s="31"/>
    </row>
    <row r="2240" spans="11:18" x14ac:dyDescent="0.25">
      <c r="K2240" s="10"/>
      <c r="M2240" s="30"/>
      <c r="R2240" s="33"/>
    </row>
    <row r="2241" spans="11:18" x14ac:dyDescent="0.25">
      <c r="K2241" s="10"/>
      <c r="M2241" s="30"/>
      <c r="R2241" s="31"/>
    </row>
    <row r="2242" spans="11:18" x14ac:dyDescent="0.25">
      <c r="K2242" s="10"/>
      <c r="M2242" s="30"/>
      <c r="R2242" s="31"/>
    </row>
    <row r="2243" spans="11:18" x14ac:dyDescent="0.25">
      <c r="K2243" s="10"/>
      <c r="M2243" s="30"/>
      <c r="R2243" s="31"/>
    </row>
    <row r="2244" spans="11:18" x14ac:dyDescent="0.25">
      <c r="K2244" s="10"/>
      <c r="M2244" s="30"/>
      <c r="R2244" s="31"/>
    </row>
    <row r="2245" spans="11:18" x14ac:dyDescent="0.25">
      <c r="K2245" s="10"/>
      <c r="M2245" s="30"/>
      <c r="R2245" s="31"/>
    </row>
    <row r="2246" spans="11:18" x14ac:dyDescent="0.25">
      <c r="K2246" s="10"/>
      <c r="M2246" s="30"/>
      <c r="R2246" s="31"/>
    </row>
    <row r="2247" spans="11:18" x14ac:dyDescent="0.25">
      <c r="K2247" s="10"/>
      <c r="M2247" s="30"/>
      <c r="R2247" s="31"/>
    </row>
    <row r="2248" spans="11:18" x14ac:dyDescent="0.25">
      <c r="K2248" s="10"/>
      <c r="M2248" s="30"/>
      <c r="R2248" s="31"/>
    </row>
    <row r="2249" spans="11:18" x14ac:dyDescent="0.25">
      <c r="K2249" s="10"/>
      <c r="M2249" s="30"/>
      <c r="R2249" s="31"/>
    </row>
    <row r="2250" spans="11:18" x14ac:dyDescent="0.25">
      <c r="K2250" s="10"/>
      <c r="M2250" s="30"/>
      <c r="R2250" s="31"/>
    </row>
    <row r="2251" spans="11:18" x14ac:dyDescent="0.25">
      <c r="K2251" s="10"/>
      <c r="M2251" s="30"/>
      <c r="R2251" s="31"/>
    </row>
    <row r="2252" spans="11:18" x14ac:dyDescent="0.25">
      <c r="K2252" s="10"/>
      <c r="M2252" s="30"/>
      <c r="R2252" s="31"/>
    </row>
    <row r="2253" spans="11:18" x14ac:dyDescent="0.25">
      <c r="K2253" s="10"/>
      <c r="M2253" s="30"/>
      <c r="R2253" s="31"/>
    </row>
    <row r="2254" spans="11:18" x14ac:dyDescent="0.25">
      <c r="K2254" s="10"/>
      <c r="M2254" s="30"/>
      <c r="R2254" s="31"/>
    </row>
    <row r="2255" spans="11:18" x14ac:dyDescent="0.25">
      <c r="K2255" s="10"/>
      <c r="M2255" s="30"/>
      <c r="R2255" s="31"/>
    </row>
    <row r="2256" spans="11:18" x14ac:dyDescent="0.25">
      <c r="K2256" s="10"/>
      <c r="M2256" s="30"/>
      <c r="R2256" s="31"/>
    </row>
    <row r="2257" spans="11:18" x14ac:dyDescent="0.25">
      <c r="K2257" s="10"/>
      <c r="M2257" s="30"/>
      <c r="R2257" s="31"/>
    </row>
    <row r="2258" spans="11:18" x14ac:dyDescent="0.25">
      <c r="K2258" s="10"/>
      <c r="M2258" s="30"/>
      <c r="R2258" s="31"/>
    </row>
    <row r="2259" spans="11:18" x14ac:dyDescent="0.25">
      <c r="K2259" s="10"/>
      <c r="M2259" s="30"/>
      <c r="R2259" s="31"/>
    </row>
    <row r="2260" spans="11:18" x14ac:dyDescent="0.25">
      <c r="K2260" s="10"/>
      <c r="M2260" s="30"/>
      <c r="R2260" s="31"/>
    </row>
    <row r="2261" spans="11:18" x14ac:dyDescent="0.25">
      <c r="K2261" s="10"/>
      <c r="M2261" s="30"/>
      <c r="R2261" s="31"/>
    </row>
    <row r="2262" spans="11:18" x14ac:dyDescent="0.25">
      <c r="K2262" s="10"/>
      <c r="M2262" s="30"/>
      <c r="R2262" s="31"/>
    </row>
    <row r="2263" spans="11:18" x14ac:dyDescent="0.25">
      <c r="K2263" s="10"/>
      <c r="M2263" s="30"/>
      <c r="R2263" s="31"/>
    </row>
    <row r="2264" spans="11:18" x14ac:dyDescent="0.25">
      <c r="K2264" s="10"/>
      <c r="M2264" s="30"/>
      <c r="R2264" s="31"/>
    </row>
    <row r="2265" spans="11:18" x14ac:dyDescent="0.25">
      <c r="K2265" s="10"/>
      <c r="M2265" s="30"/>
      <c r="R2265" s="31"/>
    </row>
    <row r="2266" spans="11:18" x14ac:dyDescent="0.25">
      <c r="K2266" s="10"/>
      <c r="M2266" s="30"/>
      <c r="R2266" s="31"/>
    </row>
    <row r="2267" spans="11:18" x14ac:dyDescent="0.25">
      <c r="K2267" s="10"/>
      <c r="M2267" s="30"/>
      <c r="R2267" s="31"/>
    </row>
    <row r="2268" spans="11:18" x14ac:dyDescent="0.25">
      <c r="K2268" s="10"/>
      <c r="M2268" s="30"/>
      <c r="R2268" s="31"/>
    </row>
    <row r="2269" spans="11:18" x14ac:dyDescent="0.25">
      <c r="K2269" s="10"/>
      <c r="M2269" s="30"/>
      <c r="R2269" s="31"/>
    </row>
    <row r="2270" spans="11:18" x14ac:dyDescent="0.25">
      <c r="K2270" s="10"/>
      <c r="M2270" s="30"/>
      <c r="R2270" s="31"/>
    </row>
    <row r="2271" spans="11:18" x14ac:dyDescent="0.25">
      <c r="K2271" s="10"/>
      <c r="M2271" s="30"/>
      <c r="R2271" s="31"/>
    </row>
    <row r="2272" spans="11:18" x14ac:dyDescent="0.25">
      <c r="K2272" s="10"/>
      <c r="M2272" s="30"/>
      <c r="R2272" s="31"/>
    </row>
    <row r="2273" spans="11:18" x14ac:dyDescent="0.25">
      <c r="K2273" s="10"/>
      <c r="M2273" s="30"/>
      <c r="R2273" s="31"/>
    </row>
    <row r="2274" spans="11:18" x14ac:dyDescent="0.25">
      <c r="K2274" s="10"/>
      <c r="M2274" s="30"/>
      <c r="R2274" s="31"/>
    </row>
    <row r="2275" spans="11:18" x14ac:dyDescent="0.25">
      <c r="K2275" s="10"/>
      <c r="M2275" s="30"/>
      <c r="R2275" s="31"/>
    </row>
    <row r="2276" spans="11:18" x14ac:dyDescent="0.25">
      <c r="K2276" s="10"/>
      <c r="M2276" s="30"/>
      <c r="R2276" s="31"/>
    </row>
    <row r="2277" spans="11:18" x14ac:dyDescent="0.25">
      <c r="K2277" s="10"/>
      <c r="M2277" s="30"/>
      <c r="R2277" s="31"/>
    </row>
    <row r="2278" spans="11:18" x14ac:dyDescent="0.25">
      <c r="K2278" s="10"/>
      <c r="M2278" s="30"/>
      <c r="R2278" s="31"/>
    </row>
    <row r="2279" spans="11:18" x14ac:dyDescent="0.25">
      <c r="K2279" s="10"/>
      <c r="M2279" s="30"/>
      <c r="R2279" s="31"/>
    </row>
    <row r="2280" spans="11:18" x14ac:dyDescent="0.25">
      <c r="K2280" s="10"/>
      <c r="M2280" s="30"/>
      <c r="R2280" s="31"/>
    </row>
    <row r="2281" spans="11:18" x14ac:dyDescent="0.25">
      <c r="K2281" s="10"/>
      <c r="M2281" s="30"/>
      <c r="R2281" s="31"/>
    </row>
    <row r="2282" spans="11:18" x14ac:dyDescent="0.25">
      <c r="K2282" s="10"/>
      <c r="M2282" s="30"/>
      <c r="R2282" s="31"/>
    </row>
    <row r="2283" spans="11:18" x14ac:dyDescent="0.25">
      <c r="K2283" s="10"/>
      <c r="M2283" s="30"/>
      <c r="R2283" s="31"/>
    </row>
    <row r="2284" spans="11:18" x14ac:dyDescent="0.25">
      <c r="K2284" s="10"/>
      <c r="M2284" s="30"/>
      <c r="R2284" s="31"/>
    </row>
    <row r="2285" spans="11:18" x14ac:dyDescent="0.25">
      <c r="K2285" s="10"/>
      <c r="M2285" s="30"/>
      <c r="R2285" s="31"/>
    </row>
    <row r="2286" spans="11:18" x14ac:dyDescent="0.25">
      <c r="K2286" s="10"/>
      <c r="M2286" s="30"/>
      <c r="R2286" s="31"/>
    </row>
    <row r="2287" spans="11:18" x14ac:dyDescent="0.25">
      <c r="K2287" s="10"/>
      <c r="M2287" s="30"/>
      <c r="R2287" s="31"/>
    </row>
    <row r="2288" spans="11:18" x14ac:dyDescent="0.25">
      <c r="K2288" s="10"/>
      <c r="M2288" s="30"/>
      <c r="R2288" s="31"/>
    </row>
    <row r="2289" spans="11:18" x14ac:dyDescent="0.25">
      <c r="K2289" s="10"/>
      <c r="M2289" s="30"/>
      <c r="R2289" s="31"/>
    </row>
    <row r="2290" spans="11:18" x14ac:dyDescent="0.25">
      <c r="K2290" s="10"/>
      <c r="M2290" s="30"/>
      <c r="R2290" s="31"/>
    </row>
    <row r="2291" spans="11:18" x14ac:dyDescent="0.25">
      <c r="K2291" s="10"/>
      <c r="M2291" s="30"/>
      <c r="R2291" s="31"/>
    </row>
    <row r="2292" spans="11:18" x14ac:dyDescent="0.25">
      <c r="K2292" s="10"/>
      <c r="M2292" s="30"/>
      <c r="R2292" s="31"/>
    </row>
    <row r="2293" spans="11:18" x14ac:dyDescent="0.25">
      <c r="K2293" s="10"/>
      <c r="M2293" s="30"/>
      <c r="R2293" s="31"/>
    </row>
    <row r="2294" spans="11:18" x14ac:dyDescent="0.25">
      <c r="K2294" s="10"/>
      <c r="M2294" s="30"/>
      <c r="R2294" s="31"/>
    </row>
    <row r="2295" spans="11:18" x14ac:dyDescent="0.25">
      <c r="K2295" s="10"/>
      <c r="M2295" s="30"/>
      <c r="R2295" s="31"/>
    </row>
    <row r="2296" spans="11:18" x14ac:dyDescent="0.25">
      <c r="K2296" s="10"/>
      <c r="M2296" s="30"/>
      <c r="R2296" s="31"/>
    </row>
    <row r="2297" spans="11:18" x14ac:dyDescent="0.25">
      <c r="K2297" s="10"/>
      <c r="M2297" s="30"/>
      <c r="R2297" s="31"/>
    </row>
    <row r="2298" spans="11:18" x14ac:dyDescent="0.25">
      <c r="K2298" s="10"/>
      <c r="M2298" s="30"/>
      <c r="R2298" s="31"/>
    </row>
    <row r="2299" spans="11:18" x14ac:dyDescent="0.25">
      <c r="K2299" s="10"/>
      <c r="M2299" s="30"/>
      <c r="R2299" s="31"/>
    </row>
    <row r="2300" spans="11:18" x14ac:dyDescent="0.25">
      <c r="K2300" s="10"/>
      <c r="M2300" s="30"/>
      <c r="R2300" s="31"/>
    </row>
    <row r="2301" spans="11:18" x14ac:dyDescent="0.25">
      <c r="K2301" s="10"/>
      <c r="M2301" s="30"/>
      <c r="R2301" s="31"/>
    </row>
    <row r="2302" spans="11:18" x14ac:dyDescent="0.25">
      <c r="K2302" s="10"/>
      <c r="M2302" s="30"/>
      <c r="R2302" s="31"/>
    </row>
    <row r="2303" spans="11:18" x14ac:dyDescent="0.25">
      <c r="K2303" s="10"/>
      <c r="M2303" s="30"/>
      <c r="R2303" s="31"/>
    </row>
    <row r="2304" spans="11:18" x14ac:dyDescent="0.25">
      <c r="K2304" s="10"/>
      <c r="M2304" s="30"/>
      <c r="R2304" s="31"/>
    </row>
    <row r="2305" spans="11:18" x14ac:dyDescent="0.25">
      <c r="K2305" s="10"/>
      <c r="M2305" s="30"/>
      <c r="R2305" s="31"/>
    </row>
    <row r="2306" spans="11:18" x14ac:dyDescent="0.25">
      <c r="K2306" s="10"/>
      <c r="M2306" s="30"/>
      <c r="R2306" s="31"/>
    </row>
    <row r="2307" spans="11:18" x14ac:dyDescent="0.25">
      <c r="K2307" s="10"/>
      <c r="M2307" s="30"/>
      <c r="R2307" s="31"/>
    </row>
    <row r="2308" spans="11:18" x14ac:dyDescent="0.25">
      <c r="K2308" s="10"/>
      <c r="M2308" s="30"/>
      <c r="R2308" s="31"/>
    </row>
    <row r="2309" spans="11:18" x14ac:dyDescent="0.25">
      <c r="K2309" s="10"/>
      <c r="M2309" s="30"/>
      <c r="R2309" s="31"/>
    </row>
    <row r="2310" spans="11:18" x14ac:dyDescent="0.25">
      <c r="K2310" s="10"/>
      <c r="M2310" s="30"/>
      <c r="R2310" s="31"/>
    </row>
    <row r="2311" spans="11:18" x14ac:dyDescent="0.25">
      <c r="K2311" s="10"/>
      <c r="M2311" s="30"/>
      <c r="R2311" s="31"/>
    </row>
    <row r="2312" spans="11:18" x14ac:dyDescent="0.25">
      <c r="K2312" s="10"/>
      <c r="M2312" s="30"/>
      <c r="R2312" s="31"/>
    </row>
    <row r="2313" spans="11:18" x14ac:dyDescent="0.25">
      <c r="K2313" s="10"/>
      <c r="M2313" s="30"/>
      <c r="R2313" s="31"/>
    </row>
    <row r="2314" spans="11:18" x14ac:dyDescent="0.25">
      <c r="K2314" s="10"/>
      <c r="M2314" s="30"/>
      <c r="R2314" s="31"/>
    </row>
    <row r="2315" spans="11:18" x14ac:dyDescent="0.25">
      <c r="K2315" s="10"/>
      <c r="M2315" s="30"/>
      <c r="R2315" s="31"/>
    </row>
    <row r="2316" spans="11:18" x14ac:dyDescent="0.25">
      <c r="K2316" s="10"/>
      <c r="M2316" s="30"/>
      <c r="R2316" s="31"/>
    </row>
    <row r="2317" spans="11:18" x14ac:dyDescent="0.25">
      <c r="K2317" s="10"/>
      <c r="M2317" s="30"/>
      <c r="R2317" s="31"/>
    </row>
    <row r="2318" spans="11:18" x14ac:dyDescent="0.25">
      <c r="K2318" s="10"/>
      <c r="M2318" s="30"/>
      <c r="R2318" s="31"/>
    </row>
    <row r="2319" spans="11:18" x14ac:dyDescent="0.25">
      <c r="K2319" s="10"/>
      <c r="M2319" s="30"/>
      <c r="R2319" s="31"/>
    </row>
    <row r="2320" spans="11:18" x14ac:dyDescent="0.25">
      <c r="K2320" s="10"/>
      <c r="M2320" s="30"/>
      <c r="R2320" s="31"/>
    </row>
    <row r="2321" spans="11:18" x14ac:dyDescent="0.25">
      <c r="K2321" s="10"/>
      <c r="M2321" s="30"/>
      <c r="R2321" s="31"/>
    </row>
    <row r="2322" spans="11:18" x14ac:dyDescent="0.25">
      <c r="K2322" s="10"/>
      <c r="M2322" s="30"/>
      <c r="R2322" s="31"/>
    </row>
    <row r="2323" spans="11:18" x14ac:dyDescent="0.25">
      <c r="K2323" s="10"/>
      <c r="M2323" s="30"/>
      <c r="R2323" s="31"/>
    </row>
    <row r="2324" spans="11:18" x14ac:dyDescent="0.25">
      <c r="K2324" s="10"/>
      <c r="M2324" s="30"/>
      <c r="R2324" s="31"/>
    </row>
    <row r="2325" spans="11:18" x14ac:dyDescent="0.25">
      <c r="K2325" s="10"/>
      <c r="M2325" s="30"/>
      <c r="R2325" s="31"/>
    </row>
    <row r="2326" spans="11:18" x14ac:dyDescent="0.25">
      <c r="K2326" s="10"/>
      <c r="M2326" s="30"/>
      <c r="R2326" s="31"/>
    </row>
    <row r="2327" spans="11:18" x14ac:dyDescent="0.25">
      <c r="K2327" s="10"/>
      <c r="M2327" s="30"/>
      <c r="R2327" s="31"/>
    </row>
    <row r="2328" spans="11:18" x14ac:dyDescent="0.25">
      <c r="K2328" s="10"/>
      <c r="M2328" s="30"/>
      <c r="R2328" s="31"/>
    </row>
    <row r="2329" spans="11:18" x14ac:dyDescent="0.25">
      <c r="K2329" s="10"/>
      <c r="M2329" s="30"/>
      <c r="R2329" s="31"/>
    </row>
    <row r="2330" spans="11:18" x14ac:dyDescent="0.25">
      <c r="K2330" s="10"/>
      <c r="M2330" s="30"/>
      <c r="R2330" s="31"/>
    </row>
    <row r="2331" spans="11:18" x14ac:dyDescent="0.25">
      <c r="K2331" s="10"/>
      <c r="M2331" s="30"/>
      <c r="R2331" s="31"/>
    </row>
    <row r="2332" spans="11:18" x14ac:dyDescent="0.25">
      <c r="K2332" s="10"/>
      <c r="M2332" s="30"/>
      <c r="R2332" s="31"/>
    </row>
    <row r="2333" spans="11:18" x14ac:dyDescent="0.25">
      <c r="K2333" s="10"/>
      <c r="M2333" s="30"/>
      <c r="R2333" s="31"/>
    </row>
    <row r="2334" spans="11:18" x14ac:dyDescent="0.25">
      <c r="K2334" s="10"/>
      <c r="M2334" s="30"/>
      <c r="R2334" s="31"/>
    </row>
    <row r="2335" spans="11:18" x14ac:dyDescent="0.25">
      <c r="K2335" s="10"/>
      <c r="M2335" s="30"/>
      <c r="R2335" s="31"/>
    </row>
    <row r="2336" spans="11:18" x14ac:dyDescent="0.25">
      <c r="K2336" s="10"/>
      <c r="M2336" s="30"/>
      <c r="R2336" s="31"/>
    </row>
    <row r="2337" spans="11:18" x14ac:dyDescent="0.25">
      <c r="K2337" s="10"/>
      <c r="M2337" s="30"/>
      <c r="R2337" s="31"/>
    </row>
    <row r="2338" spans="11:18" x14ac:dyDescent="0.25">
      <c r="K2338" s="10"/>
      <c r="M2338" s="30"/>
      <c r="R2338" s="31"/>
    </row>
    <row r="2339" spans="11:18" x14ac:dyDescent="0.25">
      <c r="K2339" s="10"/>
      <c r="M2339" s="30"/>
      <c r="R2339" s="31"/>
    </row>
    <row r="2340" spans="11:18" x14ac:dyDescent="0.25">
      <c r="K2340" s="10"/>
      <c r="M2340" s="30"/>
      <c r="R2340" s="31"/>
    </row>
    <row r="2341" spans="11:18" x14ac:dyDescent="0.25">
      <c r="K2341" s="10"/>
      <c r="M2341" s="30"/>
      <c r="R2341" s="31"/>
    </row>
    <row r="2342" spans="11:18" x14ac:dyDescent="0.25">
      <c r="K2342" s="10"/>
      <c r="M2342" s="30"/>
      <c r="R2342" s="31"/>
    </row>
    <row r="2343" spans="11:18" x14ac:dyDescent="0.25">
      <c r="K2343" s="10"/>
      <c r="M2343" s="30"/>
      <c r="R2343" s="31"/>
    </row>
    <row r="2344" spans="11:18" x14ac:dyDescent="0.25">
      <c r="K2344" s="10"/>
      <c r="M2344" s="30"/>
      <c r="R2344" s="31"/>
    </row>
    <row r="2345" spans="11:18" x14ac:dyDescent="0.25">
      <c r="K2345" s="10"/>
      <c r="M2345" s="30"/>
      <c r="R2345" s="31"/>
    </row>
    <row r="2346" spans="11:18" x14ac:dyDescent="0.25">
      <c r="K2346" s="10"/>
      <c r="M2346" s="30"/>
      <c r="R2346" s="31"/>
    </row>
    <row r="2347" spans="11:18" x14ac:dyDescent="0.25">
      <c r="K2347" s="10"/>
      <c r="M2347" s="30"/>
      <c r="R2347" s="31"/>
    </row>
    <row r="2348" spans="11:18" x14ac:dyDescent="0.25">
      <c r="K2348" s="10"/>
      <c r="M2348" s="30"/>
      <c r="R2348" s="31"/>
    </row>
    <row r="2349" spans="11:18" x14ac:dyDescent="0.25">
      <c r="K2349" s="10"/>
      <c r="M2349" s="30"/>
      <c r="R2349" s="31"/>
    </row>
    <row r="2350" spans="11:18" x14ac:dyDescent="0.25">
      <c r="K2350" s="10"/>
      <c r="M2350" s="30"/>
      <c r="R2350" s="31"/>
    </row>
    <row r="2351" spans="11:18" x14ac:dyDescent="0.25">
      <c r="K2351" s="10"/>
      <c r="M2351" s="30"/>
      <c r="R2351" s="31"/>
    </row>
    <row r="2352" spans="11:18" x14ac:dyDescent="0.25">
      <c r="K2352" s="10"/>
      <c r="M2352" s="30"/>
      <c r="R2352" s="31"/>
    </row>
    <row r="2353" spans="11:18" x14ac:dyDescent="0.25">
      <c r="K2353" s="10"/>
      <c r="M2353" s="30"/>
      <c r="R2353" s="31"/>
    </row>
    <row r="2354" spans="11:18" x14ac:dyDescent="0.25">
      <c r="K2354" s="10"/>
      <c r="M2354" s="30"/>
      <c r="R2354" s="31"/>
    </row>
    <row r="2355" spans="11:18" x14ac:dyDescent="0.25">
      <c r="K2355" s="10"/>
      <c r="M2355" s="30"/>
      <c r="R2355" s="31"/>
    </row>
    <row r="2356" spans="11:18" x14ac:dyDescent="0.25">
      <c r="K2356" s="10"/>
      <c r="M2356" s="30"/>
      <c r="R2356" s="31"/>
    </row>
    <row r="2357" spans="11:18" x14ac:dyDescent="0.25">
      <c r="K2357" s="10"/>
      <c r="M2357" s="30"/>
      <c r="R2357" s="31"/>
    </row>
    <row r="2358" spans="11:18" x14ac:dyDescent="0.25">
      <c r="K2358" s="10"/>
      <c r="M2358" s="30"/>
      <c r="R2358" s="31"/>
    </row>
    <row r="2359" spans="11:18" x14ac:dyDescent="0.25">
      <c r="K2359" s="10"/>
      <c r="M2359" s="30"/>
      <c r="R2359" s="31"/>
    </row>
    <row r="2360" spans="11:18" x14ac:dyDescent="0.25">
      <c r="K2360" s="10"/>
      <c r="M2360" s="30"/>
      <c r="R2360" s="31"/>
    </row>
    <row r="2361" spans="11:18" x14ac:dyDescent="0.25">
      <c r="K2361" s="10"/>
      <c r="M2361" s="30"/>
      <c r="R2361" s="31"/>
    </row>
    <row r="2362" spans="11:18" x14ac:dyDescent="0.25">
      <c r="K2362" s="10"/>
      <c r="M2362" s="30"/>
      <c r="R2362" s="31"/>
    </row>
    <row r="2363" spans="11:18" x14ac:dyDescent="0.25">
      <c r="K2363" s="10"/>
      <c r="M2363" s="30"/>
      <c r="R2363" s="31"/>
    </row>
    <row r="2364" spans="11:18" x14ac:dyDescent="0.25">
      <c r="K2364" s="10"/>
      <c r="M2364" s="30"/>
      <c r="R2364" s="31"/>
    </row>
    <row r="2365" spans="11:18" x14ac:dyDescent="0.25">
      <c r="K2365" s="10"/>
      <c r="M2365" s="30"/>
      <c r="R2365" s="31"/>
    </row>
    <row r="2366" spans="11:18" x14ac:dyDescent="0.25">
      <c r="K2366" s="10"/>
      <c r="M2366" s="30"/>
      <c r="R2366" s="31"/>
    </row>
    <row r="2367" spans="11:18" x14ac:dyDescent="0.25">
      <c r="K2367" s="10"/>
      <c r="M2367" s="30"/>
      <c r="R2367" s="31"/>
    </row>
    <row r="2368" spans="11:18" x14ac:dyDescent="0.25">
      <c r="K2368" s="10"/>
      <c r="M2368" s="30"/>
      <c r="R2368" s="31"/>
    </row>
    <row r="2369" spans="11:18" x14ac:dyDescent="0.25">
      <c r="K2369" s="10"/>
      <c r="M2369" s="30"/>
      <c r="R2369" s="31"/>
    </row>
    <row r="2370" spans="11:18" x14ac:dyDescent="0.25">
      <c r="K2370" s="10"/>
      <c r="M2370" s="30"/>
      <c r="R2370" s="31"/>
    </row>
    <row r="2371" spans="11:18" x14ac:dyDescent="0.25">
      <c r="K2371" s="10"/>
      <c r="M2371" s="30"/>
      <c r="R2371" s="31"/>
    </row>
    <row r="2372" spans="11:18" x14ac:dyDescent="0.25">
      <c r="K2372" s="10"/>
      <c r="M2372" s="30"/>
      <c r="R2372" s="31"/>
    </row>
    <row r="2373" spans="11:18" x14ac:dyDescent="0.25">
      <c r="K2373" s="10"/>
      <c r="M2373" s="30"/>
      <c r="R2373" s="31"/>
    </row>
    <row r="2374" spans="11:18" x14ac:dyDescent="0.25">
      <c r="K2374" s="10"/>
      <c r="M2374" s="30"/>
      <c r="R2374" s="31"/>
    </row>
    <row r="2375" spans="11:18" x14ac:dyDescent="0.25">
      <c r="K2375" s="10"/>
      <c r="M2375" s="30"/>
      <c r="R2375" s="31"/>
    </row>
    <row r="2376" spans="11:18" x14ac:dyDescent="0.25">
      <c r="K2376" s="10"/>
      <c r="M2376" s="30"/>
      <c r="R2376" s="31"/>
    </row>
    <row r="2377" spans="11:18" x14ac:dyDescent="0.25">
      <c r="K2377" s="10"/>
      <c r="M2377" s="30"/>
      <c r="R2377" s="31"/>
    </row>
    <row r="2378" spans="11:18" x14ac:dyDescent="0.25">
      <c r="K2378" s="10"/>
      <c r="M2378" s="30"/>
      <c r="R2378" s="31"/>
    </row>
    <row r="2379" spans="11:18" x14ac:dyDescent="0.25">
      <c r="K2379" s="10"/>
      <c r="M2379" s="30"/>
      <c r="R2379" s="31"/>
    </row>
    <row r="2380" spans="11:18" x14ac:dyDescent="0.25">
      <c r="K2380" s="10"/>
      <c r="M2380" s="30"/>
      <c r="R2380" s="31"/>
    </row>
    <row r="2381" spans="11:18" x14ac:dyDescent="0.25">
      <c r="K2381" s="10"/>
      <c r="M2381" s="30"/>
      <c r="R2381" s="31"/>
    </row>
    <row r="2382" spans="11:18" x14ac:dyDescent="0.25">
      <c r="K2382" s="10"/>
      <c r="M2382" s="30"/>
      <c r="R2382" s="31"/>
    </row>
    <row r="2383" spans="11:18" x14ac:dyDescent="0.25">
      <c r="K2383" s="10"/>
      <c r="M2383" s="30"/>
      <c r="R2383" s="31"/>
    </row>
    <row r="2384" spans="11:18" x14ac:dyDescent="0.25">
      <c r="K2384" s="10"/>
      <c r="M2384" s="30"/>
      <c r="R2384" s="31"/>
    </row>
    <row r="2385" spans="11:18" x14ac:dyDescent="0.25">
      <c r="K2385" s="10"/>
      <c r="M2385" s="30"/>
      <c r="R2385" s="31"/>
    </row>
    <row r="2386" spans="11:18" x14ac:dyDescent="0.25">
      <c r="K2386" s="10"/>
      <c r="M2386" s="30"/>
      <c r="R2386" s="31"/>
    </row>
    <row r="2387" spans="11:18" x14ac:dyDescent="0.25">
      <c r="K2387" s="10"/>
      <c r="M2387" s="30"/>
      <c r="R2387" s="31"/>
    </row>
    <row r="2388" spans="11:18" x14ac:dyDescent="0.25">
      <c r="K2388" s="10"/>
      <c r="M2388" s="30"/>
      <c r="R2388" s="31"/>
    </row>
    <row r="2389" spans="11:18" x14ac:dyDescent="0.25">
      <c r="K2389" s="10"/>
      <c r="M2389" s="30"/>
      <c r="R2389" s="31"/>
    </row>
    <row r="2390" spans="11:18" x14ac:dyDescent="0.25">
      <c r="K2390" s="10"/>
      <c r="M2390" s="30"/>
      <c r="R2390" s="31"/>
    </row>
    <row r="2391" spans="11:18" x14ac:dyDescent="0.25">
      <c r="K2391" s="10"/>
      <c r="M2391" s="30"/>
      <c r="R2391" s="31"/>
    </row>
    <row r="2392" spans="11:18" x14ac:dyDescent="0.25">
      <c r="K2392" s="10"/>
      <c r="M2392" s="30"/>
      <c r="R2392" s="31"/>
    </row>
    <row r="2393" spans="11:18" x14ac:dyDescent="0.25">
      <c r="K2393" s="10"/>
      <c r="M2393" s="30"/>
      <c r="R2393" s="31"/>
    </row>
    <row r="2394" spans="11:18" x14ac:dyDescent="0.25">
      <c r="K2394" s="10"/>
      <c r="M2394" s="30"/>
      <c r="R2394" s="31"/>
    </row>
    <row r="2395" spans="11:18" x14ac:dyDescent="0.25">
      <c r="K2395" s="10"/>
      <c r="M2395" s="30"/>
      <c r="R2395" s="31"/>
    </row>
    <row r="2396" spans="11:18" x14ac:dyDescent="0.25">
      <c r="K2396" s="10"/>
      <c r="M2396" s="30"/>
      <c r="R2396" s="31"/>
    </row>
    <row r="2397" spans="11:18" x14ac:dyDescent="0.25">
      <c r="K2397" s="10"/>
      <c r="M2397" s="30"/>
      <c r="R2397" s="31"/>
    </row>
    <row r="2398" spans="11:18" x14ac:dyDescent="0.25">
      <c r="K2398" s="10"/>
      <c r="M2398" s="30"/>
      <c r="R2398" s="31"/>
    </row>
    <row r="2399" spans="11:18" x14ac:dyDescent="0.25">
      <c r="K2399" s="10"/>
      <c r="M2399" s="30"/>
      <c r="R2399" s="31"/>
    </row>
    <row r="2400" spans="11:18" x14ac:dyDescent="0.25">
      <c r="K2400" s="10"/>
      <c r="M2400" s="30"/>
      <c r="R2400" s="31"/>
    </row>
    <row r="2401" spans="11:18" x14ac:dyDescent="0.25">
      <c r="K2401" s="10"/>
      <c r="M2401" s="30"/>
      <c r="R2401" s="31"/>
    </row>
    <row r="2402" spans="11:18" x14ac:dyDescent="0.25">
      <c r="K2402" s="10"/>
      <c r="M2402" s="30"/>
      <c r="R2402" s="31"/>
    </row>
    <row r="2403" spans="11:18" x14ac:dyDescent="0.25">
      <c r="K2403" s="10"/>
      <c r="M2403" s="30"/>
      <c r="R2403" s="31"/>
    </row>
    <row r="2404" spans="11:18" x14ac:dyDescent="0.25">
      <c r="K2404" s="10"/>
      <c r="M2404" s="30"/>
      <c r="R2404" s="31"/>
    </row>
    <row r="2405" spans="11:18" x14ac:dyDescent="0.25">
      <c r="K2405" s="10"/>
      <c r="M2405" s="30"/>
      <c r="R2405" s="31"/>
    </row>
    <row r="2406" spans="11:18" x14ac:dyDescent="0.25">
      <c r="K2406" s="10"/>
      <c r="M2406" s="30"/>
      <c r="R2406" s="31"/>
    </row>
    <row r="2407" spans="11:18" x14ac:dyDescent="0.25">
      <c r="K2407" s="10"/>
      <c r="M2407" s="30"/>
      <c r="R2407" s="31"/>
    </row>
    <row r="2408" spans="11:18" x14ac:dyDescent="0.25">
      <c r="K2408" s="10"/>
      <c r="M2408" s="30"/>
      <c r="R2408" s="31"/>
    </row>
    <row r="2409" spans="11:18" x14ac:dyDescent="0.25">
      <c r="K2409" s="10"/>
      <c r="M2409" s="30"/>
      <c r="R2409" s="31"/>
    </row>
    <row r="2410" spans="11:18" x14ac:dyDescent="0.25">
      <c r="K2410" s="10"/>
      <c r="M2410" s="30"/>
      <c r="R2410" s="31"/>
    </row>
    <row r="2411" spans="11:18" x14ac:dyDescent="0.25">
      <c r="K2411" s="10"/>
      <c r="M2411" s="30"/>
      <c r="R2411" s="31"/>
    </row>
    <row r="2412" spans="11:18" x14ac:dyDescent="0.25">
      <c r="K2412" s="10"/>
      <c r="M2412" s="30"/>
      <c r="R2412" s="31"/>
    </row>
    <row r="2413" spans="11:18" x14ac:dyDescent="0.25">
      <c r="K2413" s="10"/>
      <c r="M2413" s="30"/>
      <c r="R2413" s="31"/>
    </row>
    <row r="2414" spans="11:18" x14ac:dyDescent="0.25">
      <c r="K2414" s="10"/>
      <c r="M2414" s="30"/>
      <c r="R2414" s="31"/>
    </row>
    <row r="2415" spans="11:18" x14ac:dyDescent="0.25">
      <c r="K2415" s="10"/>
      <c r="M2415" s="30"/>
      <c r="R2415" s="31"/>
    </row>
    <row r="2416" spans="11:18" x14ac:dyDescent="0.25">
      <c r="K2416" s="10"/>
      <c r="M2416" s="30"/>
      <c r="R2416" s="31"/>
    </row>
    <row r="2417" spans="11:18" x14ac:dyDescent="0.25">
      <c r="K2417" s="10"/>
      <c r="M2417" s="30"/>
      <c r="R2417" s="31"/>
    </row>
    <row r="2418" spans="11:18" x14ac:dyDescent="0.25">
      <c r="K2418" s="10"/>
      <c r="M2418" s="30"/>
      <c r="R2418" s="31"/>
    </row>
    <row r="2419" spans="11:18" x14ac:dyDescent="0.25">
      <c r="K2419" s="10"/>
      <c r="M2419" s="30"/>
      <c r="R2419" s="31"/>
    </row>
    <row r="2420" spans="11:18" x14ac:dyDescent="0.25">
      <c r="K2420" s="10"/>
      <c r="M2420" s="30"/>
      <c r="R2420" s="31"/>
    </row>
    <row r="2421" spans="11:18" x14ac:dyDescent="0.25">
      <c r="K2421" s="10"/>
      <c r="M2421" s="30"/>
      <c r="R2421" s="31"/>
    </row>
    <row r="2422" spans="11:18" x14ac:dyDescent="0.25">
      <c r="K2422" s="10"/>
      <c r="M2422" s="30"/>
      <c r="R2422" s="31"/>
    </row>
    <row r="2423" spans="11:18" x14ac:dyDescent="0.25">
      <c r="K2423" s="10"/>
      <c r="M2423" s="30"/>
      <c r="R2423" s="31"/>
    </row>
    <row r="2424" spans="11:18" x14ac:dyDescent="0.25">
      <c r="K2424" s="10"/>
      <c r="M2424" s="30"/>
      <c r="R2424" s="31"/>
    </row>
    <row r="2425" spans="11:18" x14ac:dyDescent="0.25">
      <c r="K2425" s="10"/>
      <c r="M2425" s="30"/>
      <c r="R2425" s="31"/>
    </row>
    <row r="2426" spans="11:18" x14ac:dyDescent="0.25">
      <c r="K2426" s="10"/>
      <c r="M2426" s="30"/>
      <c r="R2426" s="31"/>
    </row>
    <row r="2427" spans="11:18" x14ac:dyDescent="0.25">
      <c r="K2427" s="10"/>
      <c r="M2427" s="30"/>
      <c r="R2427" s="31"/>
    </row>
    <row r="2428" spans="11:18" x14ac:dyDescent="0.25">
      <c r="K2428" s="10"/>
      <c r="M2428" s="30"/>
      <c r="R2428" s="31"/>
    </row>
    <row r="2429" spans="11:18" x14ac:dyDescent="0.25">
      <c r="K2429" s="10"/>
      <c r="M2429" s="30"/>
      <c r="R2429" s="31"/>
    </row>
    <row r="2430" spans="11:18" x14ac:dyDescent="0.25">
      <c r="K2430" s="10"/>
      <c r="M2430" s="30"/>
      <c r="R2430" s="31"/>
    </row>
    <row r="2431" spans="11:18" x14ac:dyDescent="0.25">
      <c r="K2431" s="10"/>
      <c r="M2431" s="30"/>
      <c r="R2431" s="31"/>
    </row>
    <row r="2432" spans="11:18" x14ac:dyDescent="0.25">
      <c r="K2432" s="10"/>
      <c r="M2432" s="30"/>
      <c r="R2432" s="31"/>
    </row>
    <row r="2433" spans="11:18" x14ac:dyDescent="0.25">
      <c r="K2433" s="10"/>
      <c r="M2433" s="30"/>
      <c r="R2433" s="31"/>
    </row>
    <row r="2434" spans="11:18" x14ac:dyDescent="0.25">
      <c r="K2434" s="10"/>
      <c r="M2434" s="30"/>
      <c r="R2434" s="31"/>
    </row>
    <row r="2435" spans="11:18" x14ac:dyDescent="0.25">
      <c r="K2435" s="10"/>
      <c r="M2435" s="30"/>
      <c r="R2435" s="31"/>
    </row>
    <row r="2436" spans="11:18" x14ac:dyDescent="0.25">
      <c r="K2436" s="10"/>
      <c r="M2436" s="30"/>
      <c r="R2436" s="31"/>
    </row>
    <row r="2437" spans="11:18" x14ac:dyDescent="0.25">
      <c r="K2437" s="10"/>
      <c r="M2437" s="30"/>
      <c r="R2437" s="31"/>
    </row>
    <row r="2438" spans="11:18" x14ac:dyDescent="0.25">
      <c r="K2438" s="10"/>
      <c r="M2438" s="30"/>
      <c r="R2438" s="31"/>
    </row>
    <row r="2439" spans="11:18" x14ac:dyDescent="0.25">
      <c r="K2439" s="10"/>
      <c r="M2439" s="30"/>
      <c r="R2439" s="31"/>
    </row>
    <row r="2440" spans="11:18" x14ac:dyDescent="0.25">
      <c r="K2440" s="10"/>
      <c r="M2440" s="30"/>
      <c r="R2440" s="31"/>
    </row>
    <row r="2441" spans="11:18" x14ac:dyDescent="0.25">
      <c r="K2441" s="10"/>
      <c r="M2441" s="30"/>
      <c r="R2441" s="31"/>
    </row>
    <row r="2442" spans="11:18" x14ac:dyDescent="0.25">
      <c r="K2442" s="10"/>
      <c r="M2442" s="30"/>
      <c r="R2442" s="31"/>
    </row>
    <row r="2443" spans="11:18" x14ac:dyDescent="0.25">
      <c r="K2443" s="10"/>
      <c r="M2443" s="30"/>
      <c r="R2443" s="31"/>
    </row>
    <row r="2444" spans="11:18" x14ac:dyDescent="0.25">
      <c r="K2444" s="10"/>
      <c r="M2444" s="30"/>
      <c r="R2444" s="31"/>
    </row>
    <row r="2445" spans="11:18" x14ac:dyDescent="0.25">
      <c r="K2445" s="10"/>
      <c r="M2445" s="30"/>
      <c r="R2445" s="31"/>
    </row>
    <row r="2446" spans="11:18" x14ac:dyDescent="0.25">
      <c r="K2446" s="10"/>
      <c r="M2446" s="30"/>
      <c r="R2446" s="31"/>
    </row>
    <row r="2447" spans="11:18" x14ac:dyDescent="0.25">
      <c r="K2447" s="10"/>
      <c r="M2447" s="30"/>
      <c r="R2447" s="31"/>
    </row>
    <row r="2448" spans="11:18" x14ac:dyDescent="0.25">
      <c r="K2448" s="10"/>
      <c r="M2448" s="30"/>
      <c r="R2448" s="31"/>
    </row>
    <row r="2449" spans="11:18" x14ac:dyDescent="0.25">
      <c r="K2449" s="10"/>
      <c r="M2449" s="30"/>
      <c r="R2449" s="31"/>
    </row>
    <row r="2450" spans="11:18" x14ac:dyDescent="0.25">
      <c r="K2450" s="10"/>
      <c r="M2450" s="30"/>
      <c r="R2450" s="31"/>
    </row>
    <row r="2451" spans="11:18" x14ac:dyDescent="0.25">
      <c r="K2451" s="10"/>
      <c r="M2451" s="30"/>
      <c r="R2451" s="31"/>
    </row>
    <row r="2452" spans="11:18" x14ac:dyDescent="0.25">
      <c r="K2452" s="10"/>
      <c r="M2452" s="30"/>
      <c r="R2452" s="31"/>
    </row>
    <row r="2453" spans="11:18" x14ac:dyDescent="0.25">
      <c r="K2453" s="10"/>
      <c r="M2453" s="30"/>
      <c r="R2453" s="31"/>
    </row>
    <row r="2454" spans="11:18" x14ac:dyDescent="0.25">
      <c r="K2454" s="10"/>
      <c r="M2454" s="30"/>
      <c r="R2454" s="31"/>
    </row>
    <row r="2455" spans="11:18" x14ac:dyDescent="0.25">
      <c r="K2455" s="10"/>
      <c r="M2455" s="30"/>
      <c r="R2455" s="31"/>
    </row>
    <row r="2456" spans="11:18" x14ac:dyDescent="0.25">
      <c r="K2456" s="10"/>
      <c r="M2456" s="30"/>
      <c r="R2456" s="31"/>
    </row>
    <row r="2457" spans="11:18" x14ac:dyDescent="0.25">
      <c r="K2457" s="10"/>
      <c r="M2457" s="30"/>
      <c r="R2457" s="31"/>
    </row>
    <row r="2458" spans="11:18" x14ac:dyDescent="0.25">
      <c r="K2458" s="10"/>
      <c r="M2458" s="30"/>
      <c r="R2458" s="31"/>
    </row>
    <row r="2459" spans="11:18" x14ac:dyDescent="0.25">
      <c r="K2459" s="10"/>
      <c r="M2459" s="30"/>
      <c r="R2459" s="31"/>
    </row>
    <row r="2460" spans="11:18" x14ac:dyDescent="0.25">
      <c r="K2460" s="10"/>
      <c r="M2460" s="30"/>
      <c r="R2460" s="31"/>
    </row>
    <row r="2461" spans="11:18" x14ac:dyDescent="0.25">
      <c r="K2461" s="10"/>
      <c r="M2461" s="30"/>
      <c r="R2461" s="31"/>
    </row>
    <row r="2462" spans="11:18" x14ac:dyDescent="0.25">
      <c r="K2462" s="10"/>
      <c r="M2462" s="30"/>
      <c r="R2462" s="31"/>
    </row>
    <row r="2463" spans="11:18" x14ac:dyDescent="0.25">
      <c r="K2463" s="10"/>
      <c r="M2463" s="30"/>
      <c r="R2463" s="31"/>
    </row>
    <row r="2464" spans="11:18" x14ac:dyDescent="0.25">
      <c r="K2464" s="10"/>
      <c r="M2464" s="30"/>
      <c r="R2464" s="31"/>
    </row>
    <row r="2465" spans="11:18" x14ac:dyDescent="0.25">
      <c r="K2465" s="10"/>
      <c r="M2465" s="30"/>
      <c r="R2465" s="31"/>
    </row>
    <row r="2466" spans="11:18" x14ac:dyDescent="0.25">
      <c r="K2466" s="10"/>
      <c r="M2466" s="30"/>
      <c r="R2466" s="31"/>
    </row>
    <row r="2467" spans="11:18" x14ac:dyDescent="0.25">
      <c r="K2467" s="10"/>
      <c r="M2467" s="30"/>
      <c r="R2467" s="31"/>
    </row>
    <row r="2468" spans="11:18" x14ac:dyDescent="0.25">
      <c r="K2468" s="10"/>
      <c r="M2468" s="30"/>
      <c r="R2468" s="31"/>
    </row>
    <row r="2469" spans="11:18" x14ac:dyDescent="0.25">
      <c r="K2469" s="10"/>
      <c r="M2469" s="30"/>
      <c r="R2469" s="31"/>
    </row>
    <row r="2470" spans="11:18" x14ac:dyDescent="0.25">
      <c r="K2470" s="10"/>
      <c r="M2470" s="30"/>
      <c r="R2470" s="31"/>
    </row>
    <row r="2471" spans="11:18" x14ac:dyDescent="0.25">
      <c r="K2471" s="10"/>
      <c r="M2471" s="30"/>
      <c r="R2471" s="31"/>
    </row>
    <row r="2472" spans="11:18" x14ac:dyDescent="0.25">
      <c r="K2472" s="10"/>
      <c r="M2472" s="30"/>
      <c r="R2472" s="31"/>
    </row>
    <row r="2473" spans="11:18" x14ac:dyDescent="0.25">
      <c r="K2473" s="10"/>
      <c r="M2473" s="30"/>
      <c r="R2473" s="31"/>
    </row>
    <row r="2474" spans="11:18" x14ac:dyDescent="0.25">
      <c r="K2474" s="10"/>
      <c r="M2474" s="30"/>
      <c r="R2474" s="31"/>
    </row>
    <row r="2475" spans="11:18" x14ac:dyDescent="0.25">
      <c r="K2475" s="10"/>
      <c r="M2475" s="30"/>
      <c r="R2475" s="31"/>
    </row>
    <row r="2476" spans="11:18" x14ac:dyDescent="0.25">
      <c r="K2476" s="10"/>
      <c r="M2476" s="30"/>
      <c r="R2476" s="31"/>
    </row>
    <row r="2477" spans="11:18" x14ac:dyDescent="0.25">
      <c r="K2477" s="10"/>
      <c r="M2477" s="30"/>
      <c r="R2477" s="31"/>
    </row>
    <row r="2478" spans="11:18" x14ac:dyDescent="0.25">
      <c r="K2478" s="10"/>
      <c r="M2478" s="30"/>
      <c r="R2478" s="31"/>
    </row>
    <row r="2479" spans="11:18" x14ac:dyDescent="0.25">
      <c r="K2479" s="10"/>
      <c r="M2479" s="30"/>
      <c r="R2479" s="31"/>
    </row>
    <row r="2480" spans="11:18" x14ac:dyDescent="0.25">
      <c r="K2480" s="10"/>
      <c r="M2480" s="30"/>
      <c r="R2480" s="31"/>
    </row>
    <row r="2481" spans="11:18" x14ac:dyDescent="0.25">
      <c r="K2481" s="10"/>
      <c r="M2481" s="30"/>
      <c r="R2481" s="31"/>
    </row>
    <row r="2482" spans="11:18" x14ac:dyDescent="0.25">
      <c r="K2482" s="10"/>
      <c r="M2482" s="30"/>
      <c r="R2482" s="31"/>
    </row>
    <row r="2483" spans="11:18" x14ac:dyDescent="0.25">
      <c r="K2483" s="10"/>
      <c r="M2483" s="30"/>
      <c r="R2483" s="31"/>
    </row>
    <row r="2484" spans="11:18" x14ac:dyDescent="0.25">
      <c r="K2484" s="10"/>
      <c r="M2484" s="30"/>
      <c r="R2484" s="31"/>
    </row>
    <row r="2485" spans="11:18" x14ac:dyDescent="0.25">
      <c r="K2485" s="10"/>
      <c r="M2485" s="30"/>
      <c r="R2485" s="31"/>
    </row>
    <row r="2486" spans="11:18" x14ac:dyDescent="0.25">
      <c r="K2486" s="10"/>
      <c r="M2486" s="30"/>
      <c r="R2486" s="31"/>
    </row>
    <row r="2487" spans="11:18" x14ac:dyDescent="0.25">
      <c r="K2487" s="10"/>
      <c r="M2487" s="30"/>
      <c r="R2487" s="31"/>
    </row>
    <row r="2488" spans="11:18" x14ac:dyDescent="0.25">
      <c r="K2488" s="10"/>
      <c r="M2488" s="30"/>
      <c r="R2488" s="31"/>
    </row>
    <row r="2489" spans="11:18" x14ac:dyDescent="0.25">
      <c r="K2489" s="10"/>
      <c r="M2489" s="30"/>
      <c r="R2489" s="31"/>
    </row>
    <row r="2490" spans="11:18" x14ac:dyDescent="0.25">
      <c r="K2490" s="10"/>
      <c r="M2490" s="30"/>
      <c r="R2490" s="31"/>
    </row>
    <row r="2491" spans="11:18" x14ac:dyDescent="0.25">
      <c r="K2491" s="10"/>
      <c r="M2491" s="30"/>
      <c r="R2491" s="31"/>
    </row>
    <row r="2492" spans="11:18" x14ac:dyDescent="0.25">
      <c r="K2492" s="10"/>
      <c r="M2492" s="30"/>
      <c r="R2492" s="31"/>
    </row>
    <row r="2493" spans="11:18" x14ac:dyDescent="0.25">
      <c r="K2493" s="10"/>
      <c r="M2493" s="30"/>
      <c r="R2493" s="31"/>
    </row>
    <row r="2494" spans="11:18" x14ac:dyDescent="0.25">
      <c r="K2494" s="10"/>
      <c r="M2494" s="30"/>
      <c r="R2494" s="31"/>
    </row>
    <row r="2495" spans="11:18" x14ac:dyDescent="0.25">
      <c r="K2495" s="10"/>
      <c r="M2495" s="30"/>
      <c r="R2495" s="31"/>
    </row>
    <row r="2496" spans="11:18" x14ac:dyDescent="0.25">
      <c r="K2496" s="10"/>
      <c r="M2496" s="30"/>
      <c r="R2496" s="31"/>
    </row>
    <row r="2497" spans="11:18" x14ac:dyDescent="0.25">
      <c r="K2497" s="10"/>
      <c r="M2497" s="30"/>
      <c r="R2497" s="31"/>
    </row>
    <row r="2498" spans="11:18" x14ac:dyDescent="0.25">
      <c r="K2498" s="10"/>
      <c r="M2498" s="30"/>
      <c r="R2498" s="31"/>
    </row>
    <row r="2499" spans="11:18" x14ac:dyDescent="0.25">
      <c r="K2499" s="10"/>
      <c r="M2499" s="30"/>
      <c r="R2499" s="31"/>
    </row>
    <row r="2500" spans="11:18" x14ac:dyDescent="0.25">
      <c r="K2500" s="10"/>
      <c r="M2500" s="30"/>
      <c r="R2500" s="31"/>
    </row>
    <row r="2501" spans="11:18" x14ac:dyDescent="0.25">
      <c r="K2501" s="10"/>
      <c r="M2501" s="30"/>
      <c r="R2501" s="31"/>
    </row>
    <row r="2502" spans="11:18" x14ac:dyDescent="0.25">
      <c r="K2502" s="10"/>
      <c r="M2502" s="30"/>
      <c r="R2502" s="31"/>
    </row>
    <row r="2503" spans="11:18" x14ac:dyDescent="0.25">
      <c r="K2503" s="10"/>
      <c r="M2503" s="30"/>
      <c r="R2503" s="31"/>
    </row>
    <row r="2504" spans="11:18" x14ac:dyDescent="0.25">
      <c r="K2504" s="10"/>
      <c r="M2504" s="30"/>
      <c r="R2504" s="31"/>
    </row>
    <row r="2505" spans="11:18" x14ac:dyDescent="0.25">
      <c r="K2505" s="10"/>
      <c r="M2505" s="30"/>
      <c r="R2505" s="31"/>
    </row>
    <row r="2506" spans="11:18" x14ac:dyDescent="0.25">
      <c r="K2506" s="10"/>
      <c r="M2506" s="30"/>
      <c r="R2506" s="31"/>
    </row>
    <row r="2507" spans="11:18" x14ac:dyDescent="0.25">
      <c r="K2507" s="10"/>
      <c r="M2507" s="30"/>
      <c r="R2507" s="31"/>
    </row>
    <row r="2508" spans="11:18" x14ac:dyDescent="0.25">
      <c r="K2508" s="10"/>
      <c r="M2508" s="30"/>
      <c r="R2508" s="31"/>
    </row>
    <row r="2509" spans="11:18" x14ac:dyDescent="0.25">
      <c r="K2509" s="10"/>
      <c r="M2509" s="30"/>
      <c r="R2509" s="31"/>
    </row>
    <row r="2510" spans="11:18" x14ac:dyDescent="0.25">
      <c r="K2510" s="10"/>
      <c r="M2510" s="30"/>
      <c r="R2510" s="31"/>
    </row>
    <row r="2511" spans="11:18" x14ac:dyDescent="0.25">
      <c r="K2511" s="10"/>
      <c r="M2511" s="30"/>
      <c r="R2511" s="31"/>
    </row>
    <row r="2512" spans="11:18" x14ac:dyDescent="0.25">
      <c r="K2512" s="10"/>
      <c r="M2512" s="30"/>
      <c r="R2512" s="31"/>
    </row>
    <row r="2513" spans="11:18" x14ac:dyDescent="0.25">
      <c r="K2513" s="10"/>
      <c r="M2513" s="30"/>
      <c r="R2513" s="31"/>
    </row>
    <row r="2514" spans="11:18" x14ac:dyDescent="0.25">
      <c r="K2514" s="10"/>
      <c r="M2514" s="30"/>
      <c r="R2514" s="31"/>
    </row>
    <row r="2515" spans="11:18" x14ac:dyDescent="0.25">
      <c r="K2515" s="10"/>
      <c r="M2515" s="30"/>
      <c r="R2515" s="31"/>
    </row>
    <row r="2516" spans="11:18" x14ac:dyDescent="0.25">
      <c r="K2516" s="10"/>
      <c r="M2516" s="30"/>
      <c r="R2516" s="31"/>
    </row>
    <row r="2517" spans="11:18" x14ac:dyDescent="0.25">
      <c r="K2517" s="10"/>
      <c r="M2517" s="30"/>
      <c r="R2517" s="31"/>
    </row>
    <row r="2518" spans="11:18" x14ac:dyDescent="0.25">
      <c r="K2518" s="10"/>
      <c r="M2518" s="30"/>
      <c r="R2518" s="31"/>
    </row>
    <row r="2519" spans="11:18" x14ac:dyDescent="0.25">
      <c r="K2519" s="10"/>
      <c r="M2519" s="30"/>
      <c r="R2519" s="31"/>
    </row>
    <row r="2520" spans="11:18" x14ac:dyDescent="0.25">
      <c r="K2520" s="10"/>
      <c r="M2520" s="30"/>
      <c r="R2520" s="31"/>
    </row>
    <row r="2521" spans="11:18" x14ac:dyDescent="0.25">
      <c r="K2521" s="10"/>
      <c r="M2521" s="30"/>
      <c r="R2521" s="31"/>
    </row>
    <row r="2522" spans="11:18" x14ac:dyDescent="0.25">
      <c r="K2522" s="10"/>
      <c r="M2522" s="30"/>
      <c r="R2522" s="31"/>
    </row>
    <row r="2523" spans="11:18" x14ac:dyDescent="0.25">
      <c r="K2523" s="10"/>
      <c r="M2523" s="30"/>
      <c r="R2523" s="31"/>
    </row>
    <row r="2524" spans="11:18" x14ac:dyDescent="0.25">
      <c r="K2524" s="10"/>
      <c r="M2524" s="30"/>
      <c r="R2524" s="31"/>
    </row>
    <row r="2525" spans="11:18" x14ac:dyDescent="0.25">
      <c r="K2525" s="10"/>
      <c r="M2525" s="30"/>
      <c r="R2525" s="31"/>
    </row>
    <row r="2526" spans="11:18" x14ac:dyDescent="0.25">
      <c r="K2526" s="10"/>
      <c r="M2526" s="30"/>
      <c r="R2526" s="31"/>
    </row>
    <row r="2527" spans="11:18" x14ac:dyDescent="0.25">
      <c r="K2527" s="10"/>
      <c r="M2527" s="30"/>
      <c r="R2527" s="31"/>
    </row>
    <row r="2528" spans="11:18" x14ac:dyDescent="0.25">
      <c r="K2528" s="10"/>
      <c r="M2528" s="30"/>
      <c r="R2528" s="31"/>
    </row>
    <row r="2529" spans="11:18" x14ac:dyDescent="0.25">
      <c r="K2529" s="10"/>
      <c r="M2529" s="30"/>
      <c r="R2529" s="31"/>
    </row>
    <row r="2530" spans="11:18" x14ac:dyDescent="0.25">
      <c r="K2530" s="10"/>
      <c r="M2530" s="30"/>
      <c r="R2530" s="31"/>
    </row>
    <row r="2531" spans="11:18" x14ac:dyDescent="0.25">
      <c r="K2531" s="10"/>
      <c r="M2531" s="30"/>
      <c r="R2531" s="31"/>
    </row>
    <row r="2532" spans="11:18" x14ac:dyDescent="0.25">
      <c r="K2532" s="10"/>
      <c r="M2532" s="30"/>
      <c r="R2532" s="31"/>
    </row>
    <row r="2533" spans="11:18" x14ac:dyDescent="0.25">
      <c r="K2533" s="10"/>
      <c r="M2533" s="30"/>
      <c r="R2533" s="31"/>
    </row>
    <row r="2534" spans="11:18" x14ac:dyDescent="0.25">
      <c r="K2534" s="10"/>
      <c r="M2534" s="30"/>
      <c r="R2534" s="31"/>
    </row>
    <row r="2535" spans="11:18" x14ac:dyDescent="0.25">
      <c r="K2535" s="10"/>
      <c r="M2535" s="30"/>
      <c r="R2535" s="31"/>
    </row>
    <row r="2536" spans="11:18" x14ac:dyDescent="0.25">
      <c r="K2536" s="10"/>
      <c r="M2536" s="30"/>
      <c r="R2536" s="31"/>
    </row>
    <row r="2537" spans="11:18" x14ac:dyDescent="0.25">
      <c r="K2537" s="10"/>
      <c r="M2537" s="30"/>
      <c r="R2537" s="31"/>
    </row>
    <row r="2538" spans="11:18" x14ac:dyDescent="0.25">
      <c r="K2538" s="10"/>
      <c r="M2538" s="30"/>
      <c r="R2538" s="31"/>
    </row>
    <row r="2539" spans="11:18" x14ac:dyDescent="0.25">
      <c r="K2539" s="10"/>
      <c r="M2539" s="30"/>
      <c r="R2539" s="31"/>
    </row>
    <row r="2540" spans="11:18" x14ac:dyDescent="0.25">
      <c r="K2540" s="10"/>
      <c r="M2540" s="30"/>
      <c r="R2540" s="31"/>
    </row>
    <row r="2541" spans="11:18" x14ac:dyDescent="0.25">
      <c r="K2541" s="10"/>
      <c r="M2541" s="30"/>
      <c r="R2541" s="31"/>
    </row>
    <row r="2542" spans="11:18" x14ac:dyDescent="0.25">
      <c r="K2542" s="10"/>
      <c r="M2542" s="30"/>
      <c r="R2542" s="31"/>
    </row>
    <row r="2543" spans="11:18" x14ac:dyDescent="0.25">
      <c r="K2543" s="10"/>
      <c r="M2543" s="30"/>
      <c r="R2543" s="31"/>
    </row>
    <row r="2544" spans="11:18" x14ac:dyDescent="0.25">
      <c r="K2544" s="10"/>
      <c r="M2544" s="30"/>
      <c r="R2544" s="31"/>
    </row>
    <row r="2545" spans="11:18" x14ac:dyDescent="0.25">
      <c r="K2545" s="10"/>
      <c r="M2545" s="30"/>
      <c r="R2545" s="31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5</xdr:col>
                    <xdr:colOff>9525</xdr:colOff>
                    <xdr:row>0</xdr:row>
                    <xdr:rowOff>200025</xdr:rowOff>
                  </from>
                  <to>
                    <xdr:col>6</xdr:col>
                    <xdr:colOff>9525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5</xdr:col>
                    <xdr:colOff>9525</xdr:colOff>
                    <xdr:row>0</xdr:row>
                    <xdr:rowOff>361950</xdr:rowOff>
                  </from>
                  <to>
                    <xdr:col>6</xdr:col>
                    <xdr:colOff>9525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6</xdr:col>
                    <xdr:colOff>9525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9AC2D-DC59-4DC8-8CC3-979D8A384C26}">
  <sheetPr codeName="wsCargaPendente"/>
  <dimension ref="A1:AH966"/>
  <sheetViews>
    <sheetView showGridLines="0" zoomScale="115" zoomScaleNormal="115" workbookViewId="0">
      <selection activeCell="B15" sqref="B15"/>
    </sheetView>
  </sheetViews>
  <sheetFormatPr defaultColWidth="9.140625" defaultRowHeight="15.75" outlineLevelCol="1" x14ac:dyDescent="0.25"/>
  <cols>
    <col min="1" max="1" width="10.28515625" style="3" bestFit="1" customWidth="1"/>
    <col min="2" max="2" width="14.85546875" style="3" customWidth="1"/>
    <col min="3" max="3" width="11.42578125" style="3" hidden="1" customWidth="1" outlineLevel="1"/>
    <col min="4" max="4" width="9" style="3" hidden="1" customWidth="1" outlineLevel="1"/>
    <col min="5" max="5" width="13.28515625" style="3" hidden="1" customWidth="1" outlineLevel="1"/>
    <col min="6" max="6" width="23" style="3" hidden="1" customWidth="1" outlineLevel="1"/>
    <col min="7" max="7" width="33.42578125" style="3" hidden="1" customWidth="1" outlineLevel="1"/>
    <col min="8" max="8" width="21.140625" style="55" hidden="1" customWidth="1" outlineLevel="1"/>
    <col min="9" max="9" width="8.85546875" style="3" hidden="1" customWidth="1" outlineLevel="1"/>
    <col min="10" max="10" width="20.85546875" style="3" hidden="1" customWidth="1" outlineLevel="1"/>
    <col min="11" max="11" width="16" style="3" hidden="1" customWidth="1" outlineLevel="1"/>
    <col min="12" max="12" width="15" style="3" hidden="1" customWidth="1" outlineLevel="1"/>
    <col min="13" max="13" width="19.42578125" style="3" bestFit="1" customWidth="1" collapsed="1"/>
    <col min="14" max="14" width="18.28515625" style="3" hidden="1" customWidth="1" outlineLevel="1"/>
    <col min="15" max="15" width="7" style="3" hidden="1" customWidth="1" outlineLevel="1"/>
    <col min="16" max="16" width="7.140625" style="3" hidden="1" customWidth="1" outlineLevel="1"/>
    <col min="17" max="18" width="9.140625" style="3" hidden="1" customWidth="1" outlineLevel="1"/>
    <col min="19" max="19" width="9.140625" style="3" collapsed="1"/>
    <col min="20" max="20" width="21" style="3" bestFit="1" customWidth="1"/>
    <col min="21" max="21" width="14" style="3" customWidth="1"/>
    <col min="22" max="31" width="9.140625" style="3" hidden="1" customWidth="1" outlineLevel="1"/>
    <col min="32" max="32" width="11.5703125" style="3" customWidth="1" collapsed="1"/>
    <col min="33" max="34" width="11.5703125" style="3" customWidth="1"/>
    <col min="35" max="16384" width="9.140625" style="3"/>
  </cols>
  <sheetData>
    <row r="1" spans="1:34" ht="30" customHeight="1" x14ac:dyDescent="0.25">
      <c r="A1" s="35" t="s">
        <v>0</v>
      </c>
      <c r="B1" s="35" t="s">
        <v>1</v>
      </c>
      <c r="C1" s="35" t="s">
        <v>252</v>
      </c>
      <c r="D1" s="35" t="s">
        <v>253</v>
      </c>
      <c r="E1" s="35" t="s">
        <v>254</v>
      </c>
      <c r="F1" s="35" t="s">
        <v>255</v>
      </c>
      <c r="G1" s="35" t="s">
        <v>2</v>
      </c>
      <c r="H1" s="35" t="s">
        <v>256</v>
      </c>
      <c r="I1" s="35" t="s">
        <v>257</v>
      </c>
      <c r="J1" s="35" t="s">
        <v>258</v>
      </c>
      <c r="K1" s="35" t="s">
        <v>259</v>
      </c>
      <c r="L1" s="35" t="s">
        <v>260</v>
      </c>
      <c r="M1" s="35" t="s">
        <v>5</v>
      </c>
      <c r="N1" s="35" t="s">
        <v>6</v>
      </c>
      <c r="O1" s="35" t="s">
        <v>261</v>
      </c>
      <c r="P1" s="35" t="s">
        <v>262</v>
      </c>
      <c r="Q1" s="35" t="s">
        <v>263</v>
      </c>
      <c r="R1" s="35" t="s">
        <v>264</v>
      </c>
      <c r="S1" s="35" t="s">
        <v>4</v>
      </c>
      <c r="T1" s="35" t="s">
        <v>6</v>
      </c>
      <c r="U1" s="56" t="s">
        <v>265</v>
      </c>
      <c r="V1" s="56" t="s">
        <v>266</v>
      </c>
      <c r="W1" s="56" t="s">
        <v>267</v>
      </c>
      <c r="X1" s="56" t="s">
        <v>268</v>
      </c>
      <c r="Y1" s="56" t="s">
        <v>269</v>
      </c>
      <c r="Z1" s="56" t="s">
        <v>270</v>
      </c>
      <c r="AA1" s="56" t="s">
        <v>271</v>
      </c>
      <c r="AB1" s="56" t="s">
        <v>272</v>
      </c>
      <c r="AC1" s="56" t="s">
        <v>273</v>
      </c>
      <c r="AD1" s="56" t="s">
        <v>274</v>
      </c>
      <c r="AE1" s="56" t="s">
        <v>9</v>
      </c>
      <c r="AF1" s="56" t="s">
        <v>275</v>
      </c>
      <c r="AG1" s="56" t="s">
        <v>276</v>
      </c>
      <c r="AH1" s="35" t="s">
        <v>277</v>
      </c>
    </row>
    <row r="2" spans="1:34" x14ac:dyDescent="0.25">
      <c r="A2" s="3" t="s">
        <v>3406</v>
      </c>
      <c r="B2" s="3">
        <v>137592</v>
      </c>
      <c r="C2" s="3">
        <v>921707</v>
      </c>
      <c r="D2" s="3" t="s">
        <v>3526</v>
      </c>
      <c r="E2" s="3">
        <v>6</v>
      </c>
      <c r="F2" s="3">
        <v>1</v>
      </c>
      <c r="G2" s="3">
        <v>1</v>
      </c>
      <c r="H2" s="55" t="s">
        <v>289</v>
      </c>
      <c r="I2" s="3" t="s">
        <v>279</v>
      </c>
      <c r="J2" s="135">
        <v>46241</v>
      </c>
      <c r="K2" s="135" t="s">
        <v>5096</v>
      </c>
      <c r="L2" s="3">
        <v>1701</v>
      </c>
      <c r="M2" s="3">
        <v>6410045</v>
      </c>
      <c r="N2" s="3" t="s">
        <v>5091</v>
      </c>
      <c r="R2" s="3">
        <v>1.17</v>
      </c>
      <c r="S2" s="3">
        <v>52953</v>
      </c>
      <c r="T2" s="3" t="s">
        <v>5092</v>
      </c>
      <c r="U2" s="3">
        <v>5</v>
      </c>
      <c r="V2" s="3">
        <v>565</v>
      </c>
      <c r="W2" s="3">
        <v>0</v>
      </c>
      <c r="X2" s="3">
        <v>23000</v>
      </c>
      <c r="Y2" s="3">
        <v>12900</v>
      </c>
      <c r="Z2" s="3">
        <v>0</v>
      </c>
      <c r="AA2" s="3">
        <v>10100</v>
      </c>
      <c r="AB2" s="3">
        <v>10100</v>
      </c>
      <c r="AC2" s="5">
        <v>0.11666666666666667</v>
      </c>
      <c r="AD2" s="3" t="s">
        <v>285</v>
      </c>
      <c r="AE2" s="3" t="s">
        <v>286</v>
      </c>
      <c r="AF2" s="193">
        <v>0.74513888888888891</v>
      </c>
      <c r="AG2" s="193">
        <v>0.74513888888888891</v>
      </c>
      <c r="AH2" s="193">
        <v>0.33888888888888891</v>
      </c>
    </row>
    <row r="3" spans="1:34" x14ac:dyDescent="0.25">
      <c r="A3" s="3" t="s">
        <v>5287</v>
      </c>
      <c r="B3" s="3">
        <v>147936</v>
      </c>
      <c r="C3" s="3">
        <v>370807</v>
      </c>
      <c r="D3" s="3" t="s">
        <v>3526</v>
      </c>
      <c r="E3" s="3">
        <v>4</v>
      </c>
      <c r="F3" s="3">
        <v>1</v>
      </c>
      <c r="G3" s="3">
        <v>3</v>
      </c>
      <c r="H3" s="55" t="s">
        <v>289</v>
      </c>
      <c r="I3" s="3" t="s">
        <v>279</v>
      </c>
      <c r="J3" s="135" t="s">
        <v>5096</v>
      </c>
      <c r="K3" s="135"/>
      <c r="L3" s="3">
        <v>1750</v>
      </c>
      <c r="M3" s="3">
        <v>27321</v>
      </c>
      <c r="N3" s="3" t="s">
        <v>5138</v>
      </c>
      <c r="R3" s="3">
        <v>7</v>
      </c>
      <c r="S3" s="3" t="s">
        <v>314</v>
      </c>
      <c r="T3" s="3" t="s">
        <v>5289</v>
      </c>
      <c r="U3" s="3">
        <v>36</v>
      </c>
      <c r="V3" s="3">
        <v>387</v>
      </c>
      <c r="W3" s="3">
        <v>0</v>
      </c>
      <c r="X3" s="3">
        <v>20</v>
      </c>
      <c r="Y3" s="3">
        <v>0</v>
      </c>
      <c r="Z3" s="3">
        <v>0</v>
      </c>
      <c r="AA3" s="3">
        <v>20</v>
      </c>
      <c r="AB3" s="3">
        <v>20</v>
      </c>
      <c r="AC3" s="171">
        <v>0</v>
      </c>
      <c r="AF3" s="193">
        <v>2.0833333333333333E-3</v>
      </c>
      <c r="AG3" s="193">
        <v>2.0833333333333333E-3</v>
      </c>
      <c r="AH3" s="193">
        <v>0.27916666666666667</v>
      </c>
    </row>
    <row r="4" spans="1:34" x14ac:dyDescent="0.25">
      <c r="A4" s="3" t="s">
        <v>278</v>
      </c>
      <c r="B4" s="3">
        <v>137474</v>
      </c>
      <c r="C4" s="3" t="s">
        <v>5105</v>
      </c>
      <c r="D4" s="3" t="s">
        <v>3526</v>
      </c>
      <c r="E4" s="3">
        <v>7</v>
      </c>
      <c r="F4" s="3">
        <v>1</v>
      </c>
      <c r="G4" s="3">
        <v>3</v>
      </c>
      <c r="H4" s="55" t="s">
        <v>5095</v>
      </c>
      <c r="I4" s="3" t="s">
        <v>279</v>
      </c>
      <c r="J4" s="135">
        <v>46241</v>
      </c>
      <c r="K4" s="135" t="s">
        <v>5291</v>
      </c>
      <c r="L4" s="3">
        <v>1795</v>
      </c>
      <c r="M4" s="3">
        <v>5320</v>
      </c>
      <c r="N4" s="3" t="s">
        <v>5097</v>
      </c>
      <c r="R4" s="3">
        <v>5</v>
      </c>
      <c r="S4" s="3">
        <v>9064</v>
      </c>
      <c r="T4" s="3" t="s">
        <v>5107</v>
      </c>
      <c r="U4" s="3" t="s">
        <v>284</v>
      </c>
      <c r="V4" s="3">
        <v>600</v>
      </c>
      <c r="W4" s="3">
        <v>0</v>
      </c>
      <c r="X4" s="3">
        <v>5700</v>
      </c>
      <c r="Y4" s="3">
        <v>5616</v>
      </c>
      <c r="Z4" s="3">
        <v>0</v>
      </c>
      <c r="AA4" s="3">
        <v>84</v>
      </c>
      <c r="AB4" s="3">
        <v>84</v>
      </c>
      <c r="AC4" s="171">
        <v>0</v>
      </c>
      <c r="AF4" s="193">
        <v>5.5555555555555558E-3</v>
      </c>
      <c r="AG4" s="193">
        <v>5.5555555555555558E-3</v>
      </c>
      <c r="AH4" s="193">
        <v>0.28263888888888888</v>
      </c>
    </row>
    <row r="5" spans="1:34" x14ac:dyDescent="0.25">
      <c r="A5" s="3" t="s">
        <v>278</v>
      </c>
      <c r="B5" s="3">
        <v>126496</v>
      </c>
      <c r="C5" s="3" t="s">
        <v>5094</v>
      </c>
      <c r="D5" s="3" t="s">
        <v>3526</v>
      </c>
      <c r="E5" s="3">
        <v>6</v>
      </c>
      <c r="F5" s="3">
        <v>2</v>
      </c>
      <c r="G5" s="3">
        <v>3</v>
      </c>
      <c r="H5" s="55" t="s">
        <v>5095</v>
      </c>
      <c r="I5" s="3" t="s">
        <v>279</v>
      </c>
      <c r="J5" s="135">
        <v>46029</v>
      </c>
      <c r="K5" s="3" t="s">
        <v>5096</v>
      </c>
      <c r="L5" s="3">
        <v>1795</v>
      </c>
      <c r="M5" s="3">
        <v>5320</v>
      </c>
      <c r="N5" s="3" t="s">
        <v>5097</v>
      </c>
      <c r="R5" s="3">
        <v>5</v>
      </c>
      <c r="S5" s="3">
        <v>20617</v>
      </c>
      <c r="T5" s="3" t="s">
        <v>5098</v>
      </c>
      <c r="U5" s="3" t="s">
        <v>280</v>
      </c>
      <c r="V5" s="3">
        <v>600</v>
      </c>
      <c r="W5" s="3">
        <v>0</v>
      </c>
      <c r="X5" s="3">
        <v>5700</v>
      </c>
      <c r="Y5" s="3">
        <v>5676</v>
      </c>
      <c r="Z5" s="3">
        <v>0</v>
      </c>
      <c r="AA5" s="3">
        <v>24</v>
      </c>
      <c r="AB5" s="3">
        <v>108</v>
      </c>
      <c r="AC5" s="171">
        <v>0</v>
      </c>
      <c r="AF5" s="193">
        <v>1.3888888888888889E-3</v>
      </c>
      <c r="AG5" s="193">
        <v>7.6388888888888886E-3</v>
      </c>
      <c r="AH5" s="193">
        <v>0.28402777777777777</v>
      </c>
    </row>
    <row r="6" spans="1:34" x14ac:dyDescent="0.25">
      <c r="A6" s="3" t="s">
        <v>278</v>
      </c>
      <c r="B6" s="3">
        <v>129985</v>
      </c>
      <c r="C6" s="3">
        <v>942207</v>
      </c>
      <c r="D6" s="3" t="s">
        <v>3526</v>
      </c>
      <c r="E6" s="3">
        <v>7</v>
      </c>
      <c r="F6" s="3">
        <v>3</v>
      </c>
      <c r="G6" s="3">
        <v>6</v>
      </c>
      <c r="H6" s="55" t="s">
        <v>289</v>
      </c>
      <c r="I6" s="3" t="s">
        <v>279</v>
      </c>
      <c r="J6" s="135">
        <v>46088</v>
      </c>
      <c r="L6" s="3">
        <v>1770</v>
      </c>
      <c r="M6" s="3">
        <v>65001</v>
      </c>
      <c r="N6" s="3" t="s">
        <v>5290</v>
      </c>
      <c r="R6" s="3">
        <v>8</v>
      </c>
      <c r="S6" s="3">
        <v>21552</v>
      </c>
      <c r="T6" s="3" t="s">
        <v>5106</v>
      </c>
      <c r="U6" s="3" t="s">
        <v>5109</v>
      </c>
      <c r="V6" s="3">
        <v>362</v>
      </c>
      <c r="W6" s="3">
        <v>0</v>
      </c>
      <c r="X6" s="3">
        <v>36</v>
      </c>
      <c r="Y6" s="3">
        <v>0</v>
      </c>
      <c r="Z6" s="3">
        <v>0</v>
      </c>
      <c r="AA6" s="3">
        <v>36</v>
      </c>
      <c r="AB6" s="3">
        <v>144</v>
      </c>
      <c r="AC6" s="171">
        <v>0</v>
      </c>
      <c r="AF6" s="193">
        <v>4.1666666666666666E-3</v>
      </c>
      <c r="AG6" s="193">
        <v>1.1805555555555555E-2</v>
      </c>
      <c r="AH6" s="193">
        <v>0.28819444444444442</v>
      </c>
    </row>
    <row r="7" spans="1:34" x14ac:dyDescent="0.25">
      <c r="A7" s="3" t="s">
        <v>278</v>
      </c>
      <c r="B7" s="3">
        <v>129985</v>
      </c>
      <c r="C7" s="3">
        <v>942207</v>
      </c>
      <c r="D7" s="3" t="s">
        <v>3526</v>
      </c>
      <c r="E7" s="3">
        <v>7</v>
      </c>
      <c r="F7" s="3">
        <v>4</v>
      </c>
      <c r="G7" s="3">
        <v>1</v>
      </c>
      <c r="H7" s="55" t="s">
        <v>289</v>
      </c>
      <c r="I7" s="3" t="s">
        <v>279</v>
      </c>
      <c r="J7" s="135">
        <v>46088</v>
      </c>
      <c r="K7" s="135"/>
      <c r="L7" s="3">
        <v>1770</v>
      </c>
      <c r="M7" s="3">
        <v>65001</v>
      </c>
      <c r="N7" s="3" t="s">
        <v>5290</v>
      </c>
      <c r="R7" s="3">
        <v>8</v>
      </c>
      <c r="S7" s="3">
        <v>21552</v>
      </c>
      <c r="T7" s="3" t="s">
        <v>5106</v>
      </c>
      <c r="U7" s="3" t="s">
        <v>298</v>
      </c>
      <c r="V7" s="3">
        <v>362</v>
      </c>
      <c r="W7" s="3">
        <v>0</v>
      </c>
      <c r="X7" s="3">
        <v>204</v>
      </c>
      <c r="Y7" s="3">
        <v>0</v>
      </c>
      <c r="Z7" s="3">
        <v>0</v>
      </c>
      <c r="AA7" s="3">
        <v>204</v>
      </c>
      <c r="AB7" s="3">
        <v>348</v>
      </c>
      <c r="AC7" s="171">
        <v>0</v>
      </c>
      <c r="AF7" s="193">
        <v>2.361111111111111E-2</v>
      </c>
      <c r="AG7" s="193">
        <v>3.5416666666666666E-2</v>
      </c>
      <c r="AH7" s="193">
        <v>0.31180555555555556</v>
      </c>
    </row>
    <row r="8" spans="1:34" x14ac:dyDescent="0.25">
      <c r="A8" s="3" t="s">
        <v>278</v>
      </c>
      <c r="B8" s="3">
        <v>129985</v>
      </c>
      <c r="C8" s="3">
        <v>942207</v>
      </c>
      <c r="D8" s="3" t="s">
        <v>3526</v>
      </c>
      <c r="E8" s="3">
        <v>7</v>
      </c>
      <c r="F8" s="3">
        <v>5</v>
      </c>
      <c r="G8" s="3">
        <v>2</v>
      </c>
      <c r="H8" s="55" t="s">
        <v>289</v>
      </c>
      <c r="I8" s="3" t="s">
        <v>279</v>
      </c>
      <c r="J8" s="135">
        <v>46088</v>
      </c>
      <c r="L8" s="3">
        <v>1770</v>
      </c>
      <c r="M8" s="3">
        <v>65001</v>
      </c>
      <c r="N8" s="3" t="s">
        <v>5290</v>
      </c>
      <c r="R8" s="3">
        <v>8</v>
      </c>
      <c r="S8" s="3">
        <v>21552</v>
      </c>
      <c r="T8" s="3" t="s">
        <v>5106</v>
      </c>
      <c r="U8" s="3">
        <v>35</v>
      </c>
      <c r="V8" s="3">
        <v>362</v>
      </c>
      <c r="W8" s="3">
        <v>0</v>
      </c>
      <c r="X8" s="3">
        <v>204</v>
      </c>
      <c r="Y8" s="3">
        <v>0</v>
      </c>
      <c r="Z8" s="3">
        <v>0</v>
      </c>
      <c r="AA8" s="3">
        <v>204</v>
      </c>
      <c r="AB8" s="3">
        <v>552</v>
      </c>
      <c r="AC8" s="171">
        <v>0</v>
      </c>
      <c r="AF8" s="193">
        <v>2.361111111111111E-2</v>
      </c>
      <c r="AG8" s="193">
        <v>5.8333333333333334E-2</v>
      </c>
      <c r="AH8" s="193">
        <v>0.33541666666666664</v>
      </c>
    </row>
    <row r="9" spans="1:34" x14ac:dyDescent="0.25">
      <c r="A9" s="3" t="s">
        <v>278</v>
      </c>
      <c r="B9" s="3">
        <v>129985</v>
      </c>
      <c r="C9" s="3">
        <v>942207</v>
      </c>
      <c r="D9" s="3" t="s">
        <v>3526</v>
      </c>
      <c r="E9" s="3">
        <v>7</v>
      </c>
      <c r="F9" s="3">
        <v>6</v>
      </c>
      <c r="G9" s="3">
        <v>3</v>
      </c>
      <c r="H9" s="55" t="s">
        <v>289</v>
      </c>
      <c r="I9" s="3" t="s">
        <v>279</v>
      </c>
      <c r="J9" s="135">
        <v>46088</v>
      </c>
      <c r="K9" s="135"/>
      <c r="L9" s="3">
        <v>1770</v>
      </c>
      <c r="M9" s="3">
        <v>65001</v>
      </c>
      <c r="N9" s="3" t="s">
        <v>5290</v>
      </c>
      <c r="R9" s="3">
        <v>8</v>
      </c>
      <c r="S9" s="3">
        <v>21552</v>
      </c>
      <c r="T9" s="3" t="s">
        <v>5106</v>
      </c>
      <c r="U9" s="3">
        <v>36</v>
      </c>
      <c r="V9" s="3">
        <v>362</v>
      </c>
      <c r="W9" s="3">
        <v>0</v>
      </c>
      <c r="X9" s="3">
        <v>300</v>
      </c>
      <c r="Y9" s="3">
        <v>0</v>
      </c>
      <c r="Z9" s="3">
        <v>0</v>
      </c>
      <c r="AA9" s="3">
        <v>300</v>
      </c>
      <c r="AB9" s="3">
        <v>852</v>
      </c>
      <c r="AC9" s="171">
        <v>8.3333333333333332E-3</v>
      </c>
      <c r="AD9" s="3" t="s">
        <v>292</v>
      </c>
      <c r="AF9" s="193">
        <v>3.4722222222222224E-2</v>
      </c>
      <c r="AG9" s="193">
        <v>9.3055555555555558E-2</v>
      </c>
      <c r="AH9" s="193">
        <v>0.37847222222222221</v>
      </c>
    </row>
    <row r="10" spans="1:34" x14ac:dyDescent="0.25">
      <c r="A10" s="3" t="s">
        <v>278</v>
      </c>
      <c r="B10" s="3">
        <v>129985</v>
      </c>
      <c r="C10" s="3">
        <v>942207</v>
      </c>
      <c r="D10" s="3" t="s">
        <v>3526</v>
      </c>
      <c r="E10" s="3">
        <v>7</v>
      </c>
      <c r="F10" s="3">
        <v>7</v>
      </c>
      <c r="G10" s="3">
        <v>4</v>
      </c>
      <c r="H10" s="55" t="s">
        <v>289</v>
      </c>
      <c r="I10" s="3" t="s">
        <v>279</v>
      </c>
      <c r="J10" s="135">
        <v>46088</v>
      </c>
      <c r="K10" s="135"/>
      <c r="L10" s="3">
        <v>1770</v>
      </c>
      <c r="M10" s="3">
        <v>65001</v>
      </c>
      <c r="N10" s="3" t="s">
        <v>5290</v>
      </c>
      <c r="R10" s="3">
        <v>8</v>
      </c>
      <c r="S10" s="3">
        <v>21552</v>
      </c>
      <c r="T10" s="3" t="s">
        <v>5106</v>
      </c>
      <c r="U10" s="3" t="s">
        <v>284</v>
      </c>
      <c r="V10" s="3">
        <v>362</v>
      </c>
      <c r="W10" s="3">
        <v>0</v>
      </c>
      <c r="X10" s="3">
        <v>744</v>
      </c>
      <c r="Y10" s="3">
        <v>0</v>
      </c>
      <c r="Z10" s="3">
        <v>0</v>
      </c>
      <c r="AA10" s="3">
        <v>744</v>
      </c>
      <c r="AB10" s="3">
        <v>1596</v>
      </c>
      <c r="AC10" s="171">
        <v>4.1666666666666664E-2</v>
      </c>
      <c r="AD10" s="3" t="s">
        <v>294</v>
      </c>
      <c r="AE10" s="3" t="s">
        <v>295</v>
      </c>
      <c r="AF10" s="193">
        <v>8.5416666666666669E-2</v>
      </c>
      <c r="AG10" s="193">
        <v>0.17847222222222223</v>
      </c>
      <c r="AH10" s="193">
        <v>0.50555555555555554</v>
      </c>
    </row>
    <row r="11" spans="1:34" x14ac:dyDescent="0.25">
      <c r="A11" s="3" t="s">
        <v>278</v>
      </c>
      <c r="B11" s="3">
        <v>129985</v>
      </c>
      <c r="C11" s="3">
        <v>942207</v>
      </c>
      <c r="D11" s="3" t="s">
        <v>3526</v>
      </c>
      <c r="E11" s="3">
        <v>7</v>
      </c>
      <c r="F11" s="3">
        <v>8</v>
      </c>
      <c r="G11" s="3">
        <v>5</v>
      </c>
      <c r="H11" s="55" t="s">
        <v>289</v>
      </c>
      <c r="I11" s="3" t="s">
        <v>279</v>
      </c>
      <c r="J11" s="135">
        <v>46088</v>
      </c>
      <c r="L11" s="3">
        <v>1770</v>
      </c>
      <c r="M11" s="3">
        <v>65001</v>
      </c>
      <c r="N11" s="3" t="s">
        <v>5290</v>
      </c>
      <c r="R11" s="3">
        <v>8</v>
      </c>
      <c r="S11" s="3">
        <v>21552</v>
      </c>
      <c r="T11" s="3" t="s">
        <v>5106</v>
      </c>
      <c r="U11" s="3" t="s">
        <v>280</v>
      </c>
      <c r="V11" s="3">
        <v>362</v>
      </c>
      <c r="W11" s="3">
        <v>0</v>
      </c>
      <c r="X11" s="3">
        <v>108</v>
      </c>
      <c r="Y11" s="3">
        <v>0</v>
      </c>
      <c r="Z11" s="3">
        <v>0</v>
      </c>
      <c r="AA11" s="3">
        <v>108</v>
      </c>
      <c r="AB11" s="3">
        <v>1704</v>
      </c>
      <c r="AC11" s="171">
        <v>0</v>
      </c>
      <c r="AF11" s="193">
        <v>1.2500000000000001E-2</v>
      </c>
      <c r="AG11" s="193">
        <v>0.19097222222222221</v>
      </c>
      <c r="AH11" s="193">
        <v>0.5180555555555556</v>
      </c>
    </row>
    <row r="12" spans="1:34" x14ac:dyDescent="0.25">
      <c r="A12" s="3" t="s">
        <v>278</v>
      </c>
      <c r="B12" s="3">
        <v>129985</v>
      </c>
      <c r="C12" s="3">
        <v>942207</v>
      </c>
      <c r="D12" s="3" t="s">
        <v>3526</v>
      </c>
      <c r="E12" s="3">
        <v>7</v>
      </c>
      <c r="F12" s="3">
        <v>9</v>
      </c>
      <c r="G12" s="3">
        <v>7</v>
      </c>
      <c r="H12" s="55" t="s">
        <v>289</v>
      </c>
      <c r="I12" s="3" t="s">
        <v>279</v>
      </c>
      <c r="J12" s="135">
        <v>46088</v>
      </c>
      <c r="L12" s="3">
        <v>1770</v>
      </c>
      <c r="M12" s="3">
        <v>65001</v>
      </c>
      <c r="N12" s="3" t="s">
        <v>5290</v>
      </c>
      <c r="R12" s="3">
        <v>8</v>
      </c>
      <c r="S12" s="3">
        <v>21552</v>
      </c>
      <c r="T12" s="3" t="s">
        <v>5106</v>
      </c>
      <c r="U12" s="3" t="s">
        <v>281</v>
      </c>
      <c r="V12" s="3">
        <v>362</v>
      </c>
      <c r="W12" s="3">
        <v>0</v>
      </c>
      <c r="X12" s="3">
        <v>108</v>
      </c>
      <c r="Y12" s="3">
        <v>0</v>
      </c>
      <c r="Z12" s="3">
        <v>0</v>
      </c>
      <c r="AA12" s="3">
        <v>108</v>
      </c>
      <c r="AB12" s="3">
        <v>1812</v>
      </c>
      <c r="AC12" s="171">
        <v>0</v>
      </c>
      <c r="AF12" s="193">
        <v>1.2500000000000001E-2</v>
      </c>
      <c r="AG12" s="193">
        <v>0.20347222222222222</v>
      </c>
      <c r="AH12" s="193">
        <v>0.53055555555555556</v>
      </c>
    </row>
    <row r="13" spans="1:34" x14ac:dyDescent="0.25">
      <c r="A13" s="3" t="s">
        <v>278</v>
      </c>
      <c r="B13" s="3">
        <v>129988</v>
      </c>
      <c r="C13" s="3">
        <v>942207</v>
      </c>
      <c r="D13" s="3" t="s">
        <v>3526</v>
      </c>
      <c r="E13" s="3">
        <v>7</v>
      </c>
      <c r="F13" s="3">
        <v>10</v>
      </c>
      <c r="G13" s="3">
        <v>2</v>
      </c>
      <c r="H13" s="55" t="s">
        <v>289</v>
      </c>
      <c r="I13" s="3" t="s">
        <v>279</v>
      </c>
      <c r="J13" s="135">
        <v>46088</v>
      </c>
      <c r="L13" s="3">
        <v>1770</v>
      </c>
      <c r="M13" s="3">
        <v>65001</v>
      </c>
      <c r="N13" s="3" t="s">
        <v>5290</v>
      </c>
      <c r="R13" s="3">
        <v>8</v>
      </c>
      <c r="S13" s="3" t="s">
        <v>4566</v>
      </c>
      <c r="T13" s="3" t="s">
        <v>5359</v>
      </c>
      <c r="U13" s="3" t="s">
        <v>5109</v>
      </c>
      <c r="V13" s="3">
        <v>362</v>
      </c>
      <c r="W13" s="3">
        <v>0</v>
      </c>
      <c r="X13" s="3">
        <v>610</v>
      </c>
      <c r="Y13" s="3">
        <v>0</v>
      </c>
      <c r="Z13" s="3">
        <v>0</v>
      </c>
      <c r="AA13" s="3">
        <v>610</v>
      </c>
      <c r="AB13" s="3">
        <v>2422</v>
      </c>
      <c r="AC13" s="171">
        <v>8.3333333333333332E-3</v>
      </c>
      <c r="AD13" s="3" t="s">
        <v>404</v>
      </c>
      <c r="AF13" s="193">
        <v>7.013888888888889E-2</v>
      </c>
      <c r="AG13" s="193">
        <v>0.27361111111111114</v>
      </c>
      <c r="AH13" s="193">
        <v>0.60902777777777772</v>
      </c>
    </row>
    <row r="14" spans="1:34" x14ac:dyDescent="0.25">
      <c r="A14" s="3" t="s">
        <v>278</v>
      </c>
      <c r="B14" s="3">
        <v>129988</v>
      </c>
      <c r="C14" s="3">
        <v>942207</v>
      </c>
      <c r="D14" s="3" t="s">
        <v>3526</v>
      </c>
      <c r="E14" s="3">
        <v>7</v>
      </c>
      <c r="F14" s="3">
        <v>11</v>
      </c>
      <c r="G14" s="3">
        <v>1</v>
      </c>
      <c r="H14" s="55" t="s">
        <v>289</v>
      </c>
      <c r="I14" s="3" t="s">
        <v>279</v>
      </c>
      <c r="J14" s="135">
        <v>46088</v>
      </c>
      <c r="L14" s="3">
        <v>1770</v>
      </c>
      <c r="M14" s="3">
        <v>65001</v>
      </c>
      <c r="N14" s="3" t="s">
        <v>5290</v>
      </c>
      <c r="R14" s="3">
        <v>8</v>
      </c>
      <c r="S14" s="3" t="s">
        <v>4566</v>
      </c>
      <c r="T14" s="3" t="s">
        <v>5359</v>
      </c>
      <c r="U14" s="3" t="s">
        <v>284</v>
      </c>
      <c r="V14" s="3">
        <v>362</v>
      </c>
      <c r="W14" s="3">
        <v>0</v>
      </c>
      <c r="X14" s="3">
        <v>970</v>
      </c>
      <c r="Y14" s="3">
        <v>0</v>
      </c>
      <c r="Z14" s="3">
        <v>0</v>
      </c>
      <c r="AA14" s="3">
        <v>970</v>
      </c>
      <c r="AB14" s="3">
        <v>3392</v>
      </c>
      <c r="AC14" s="171">
        <v>0</v>
      </c>
      <c r="AF14" s="193">
        <v>0.11180555555555556</v>
      </c>
      <c r="AG14" s="193">
        <v>0.38541666666666669</v>
      </c>
      <c r="AH14" s="193">
        <v>0.72777777777777775</v>
      </c>
    </row>
    <row r="15" spans="1:34" x14ac:dyDescent="0.25">
      <c r="A15" s="3" t="s">
        <v>278</v>
      </c>
      <c r="B15" s="3">
        <v>129969</v>
      </c>
      <c r="C15" s="3">
        <v>942207</v>
      </c>
      <c r="D15" s="3" t="s">
        <v>3526</v>
      </c>
      <c r="E15" s="3">
        <v>7</v>
      </c>
      <c r="F15" s="3">
        <v>12</v>
      </c>
      <c r="G15" s="3">
        <v>7</v>
      </c>
      <c r="H15" s="55" t="s">
        <v>289</v>
      </c>
      <c r="I15" s="3" t="s">
        <v>279</v>
      </c>
      <c r="J15" s="135">
        <v>46088</v>
      </c>
      <c r="K15" s="135"/>
      <c r="L15" s="3">
        <v>1770</v>
      </c>
      <c r="M15" s="3">
        <v>65001</v>
      </c>
      <c r="N15" s="3" t="s">
        <v>5290</v>
      </c>
      <c r="R15" s="3">
        <v>7</v>
      </c>
      <c r="S15" s="3">
        <v>9064</v>
      </c>
      <c r="T15" s="3" t="s">
        <v>5107</v>
      </c>
      <c r="U15" s="3" t="s">
        <v>281</v>
      </c>
      <c r="V15" s="3">
        <v>387</v>
      </c>
      <c r="W15" s="3">
        <v>0</v>
      </c>
      <c r="X15" s="3">
        <v>58</v>
      </c>
      <c r="Y15" s="3">
        <v>0</v>
      </c>
      <c r="Z15" s="3">
        <v>0</v>
      </c>
      <c r="AA15" s="3">
        <v>58</v>
      </c>
      <c r="AB15" s="3">
        <v>3450</v>
      </c>
      <c r="AC15" s="171">
        <v>0</v>
      </c>
      <c r="AF15" s="193">
        <v>6.2500000000000003E-3</v>
      </c>
      <c r="AG15" s="193">
        <v>0.39166666666666666</v>
      </c>
      <c r="AH15" s="193">
        <v>0.73402777777777772</v>
      </c>
    </row>
    <row r="16" spans="1:34" x14ac:dyDescent="0.25">
      <c r="A16" s="3" t="s">
        <v>278</v>
      </c>
      <c r="B16" s="3">
        <v>129969</v>
      </c>
      <c r="C16" s="3">
        <v>942207</v>
      </c>
      <c r="D16" s="3" t="s">
        <v>3526</v>
      </c>
      <c r="E16" s="3">
        <v>7</v>
      </c>
      <c r="F16" s="3">
        <v>13</v>
      </c>
      <c r="G16" s="3">
        <v>1</v>
      </c>
      <c r="H16" s="55" t="s">
        <v>289</v>
      </c>
      <c r="I16" s="3" t="s">
        <v>279</v>
      </c>
      <c r="J16" s="135">
        <v>46088</v>
      </c>
      <c r="K16" s="135"/>
      <c r="L16" s="3">
        <v>1770</v>
      </c>
      <c r="M16" s="3">
        <v>65001</v>
      </c>
      <c r="N16" s="3" t="s">
        <v>5290</v>
      </c>
      <c r="R16" s="3">
        <v>7</v>
      </c>
      <c r="S16" s="3">
        <v>9064</v>
      </c>
      <c r="T16" s="3" t="s">
        <v>5107</v>
      </c>
      <c r="U16" s="3" t="s">
        <v>298</v>
      </c>
      <c r="V16" s="3">
        <v>387</v>
      </c>
      <c r="W16" s="3">
        <v>0</v>
      </c>
      <c r="X16" s="3">
        <v>60</v>
      </c>
      <c r="Y16" s="3">
        <v>0</v>
      </c>
      <c r="Z16" s="3">
        <v>0</v>
      </c>
      <c r="AA16" s="3">
        <v>60</v>
      </c>
      <c r="AB16" s="3">
        <v>3510</v>
      </c>
      <c r="AC16" s="171">
        <v>0</v>
      </c>
      <c r="AF16" s="193">
        <v>6.2500000000000003E-3</v>
      </c>
      <c r="AG16" s="193">
        <v>0.39791666666666664</v>
      </c>
      <c r="AH16" s="193">
        <v>0.74027777777777781</v>
      </c>
    </row>
    <row r="17" spans="1:34" x14ac:dyDescent="0.25">
      <c r="A17" s="3" t="s">
        <v>278</v>
      </c>
      <c r="B17" s="3">
        <v>129969</v>
      </c>
      <c r="C17" s="3">
        <v>942207</v>
      </c>
      <c r="D17" s="3" t="s">
        <v>3526</v>
      </c>
      <c r="E17" s="3">
        <v>7</v>
      </c>
      <c r="F17" s="3">
        <v>14</v>
      </c>
      <c r="G17" s="3">
        <v>2</v>
      </c>
      <c r="H17" s="55" t="s">
        <v>289</v>
      </c>
      <c r="I17" s="3" t="s">
        <v>279</v>
      </c>
      <c r="J17" s="135">
        <v>46088</v>
      </c>
      <c r="L17" s="3">
        <v>1770</v>
      </c>
      <c r="M17" s="3">
        <v>65001</v>
      </c>
      <c r="N17" s="3" t="s">
        <v>5290</v>
      </c>
      <c r="R17" s="3">
        <v>7</v>
      </c>
      <c r="S17" s="3">
        <v>9064</v>
      </c>
      <c r="T17" s="3" t="s">
        <v>5107</v>
      </c>
      <c r="U17" s="3">
        <v>35</v>
      </c>
      <c r="V17" s="3">
        <v>387</v>
      </c>
      <c r="W17" s="3">
        <v>0</v>
      </c>
      <c r="X17" s="3">
        <v>60</v>
      </c>
      <c r="Y17" s="3">
        <v>0</v>
      </c>
      <c r="Z17" s="3">
        <v>0</v>
      </c>
      <c r="AA17" s="3">
        <v>60</v>
      </c>
      <c r="AB17" s="3">
        <v>3570</v>
      </c>
      <c r="AC17" s="171">
        <v>0</v>
      </c>
      <c r="AF17" s="193">
        <v>6.2500000000000003E-3</v>
      </c>
      <c r="AG17" s="193">
        <v>0.40486111111111112</v>
      </c>
      <c r="AH17" s="193">
        <v>0.74652777777777779</v>
      </c>
    </row>
    <row r="18" spans="1:34" x14ac:dyDescent="0.25">
      <c r="A18" s="3" t="s">
        <v>278</v>
      </c>
      <c r="B18" s="3">
        <v>129969</v>
      </c>
      <c r="C18" s="3">
        <v>942207</v>
      </c>
      <c r="D18" s="3" t="s">
        <v>3526</v>
      </c>
      <c r="E18" s="3">
        <v>7</v>
      </c>
      <c r="F18" s="3">
        <v>15</v>
      </c>
      <c r="G18" s="3">
        <v>3</v>
      </c>
      <c r="H18" s="55" t="s">
        <v>289</v>
      </c>
      <c r="I18" s="3" t="s">
        <v>279</v>
      </c>
      <c r="J18" s="135">
        <v>46088</v>
      </c>
      <c r="L18" s="3">
        <v>1770</v>
      </c>
      <c r="M18" s="3">
        <v>65001</v>
      </c>
      <c r="N18" s="3" t="s">
        <v>5290</v>
      </c>
      <c r="R18" s="3">
        <v>7</v>
      </c>
      <c r="S18" s="3">
        <v>9064</v>
      </c>
      <c r="T18" s="3" t="s">
        <v>5107</v>
      </c>
      <c r="U18" s="3">
        <v>36</v>
      </c>
      <c r="V18" s="3">
        <v>387</v>
      </c>
      <c r="W18" s="3">
        <v>0</v>
      </c>
      <c r="X18" s="3">
        <v>204</v>
      </c>
      <c r="Y18" s="3">
        <v>0</v>
      </c>
      <c r="Z18" s="3">
        <v>0</v>
      </c>
      <c r="AA18" s="3">
        <v>204</v>
      </c>
      <c r="AB18" s="3">
        <v>3774</v>
      </c>
      <c r="AC18" s="171">
        <v>0</v>
      </c>
      <c r="AF18" s="193">
        <v>2.2222222222222223E-2</v>
      </c>
      <c r="AG18" s="193">
        <v>0.42638888888888887</v>
      </c>
      <c r="AH18" s="193">
        <v>0.76875000000000004</v>
      </c>
    </row>
    <row r="19" spans="1:34" x14ac:dyDescent="0.25">
      <c r="A19" s="3" t="s">
        <v>278</v>
      </c>
      <c r="B19" s="3">
        <v>129969</v>
      </c>
      <c r="C19" s="3">
        <v>942207</v>
      </c>
      <c r="D19" s="3" t="s">
        <v>3526</v>
      </c>
      <c r="E19" s="3">
        <v>7</v>
      </c>
      <c r="F19" s="3">
        <v>16</v>
      </c>
      <c r="G19" s="3">
        <v>4</v>
      </c>
      <c r="H19" s="55" t="s">
        <v>289</v>
      </c>
      <c r="I19" s="3" t="s">
        <v>279</v>
      </c>
      <c r="J19" s="135">
        <v>46088</v>
      </c>
      <c r="L19" s="3">
        <v>1770</v>
      </c>
      <c r="M19" s="3">
        <v>65001</v>
      </c>
      <c r="N19" s="3" t="s">
        <v>5290</v>
      </c>
      <c r="R19" s="3">
        <v>7</v>
      </c>
      <c r="S19" s="3">
        <v>9064</v>
      </c>
      <c r="T19" s="3" t="s">
        <v>5107</v>
      </c>
      <c r="U19" s="3" t="s">
        <v>284</v>
      </c>
      <c r="V19" s="3">
        <v>387</v>
      </c>
      <c r="W19" s="3">
        <v>0</v>
      </c>
      <c r="X19" s="3">
        <v>66</v>
      </c>
      <c r="Y19" s="3">
        <v>0</v>
      </c>
      <c r="Z19" s="3">
        <v>0</v>
      </c>
      <c r="AA19" s="3">
        <v>66</v>
      </c>
      <c r="AB19" s="3">
        <v>3840</v>
      </c>
      <c r="AC19" s="171">
        <v>8.3333333333333332E-3</v>
      </c>
      <c r="AD19" s="3" t="s">
        <v>292</v>
      </c>
      <c r="AF19" s="193">
        <v>6.9444444444444441E-3</v>
      </c>
      <c r="AG19" s="193">
        <v>0.43402777777777779</v>
      </c>
      <c r="AH19" s="193">
        <v>0.78402777777777777</v>
      </c>
    </row>
    <row r="20" spans="1:34" x14ac:dyDescent="0.25">
      <c r="A20" s="3" t="s">
        <v>278</v>
      </c>
      <c r="B20" s="3">
        <v>129969</v>
      </c>
      <c r="C20" s="3">
        <v>942207</v>
      </c>
      <c r="D20" s="3" t="s">
        <v>3526</v>
      </c>
      <c r="E20" s="3">
        <v>7</v>
      </c>
      <c r="F20" s="3">
        <v>17</v>
      </c>
      <c r="G20" s="3">
        <v>5</v>
      </c>
      <c r="H20" s="55" t="s">
        <v>289</v>
      </c>
      <c r="I20" s="3" t="s">
        <v>279</v>
      </c>
      <c r="J20" s="135">
        <v>46088</v>
      </c>
      <c r="L20" s="3">
        <v>1770</v>
      </c>
      <c r="M20" s="3">
        <v>65001</v>
      </c>
      <c r="N20" s="3" t="s">
        <v>5290</v>
      </c>
      <c r="R20" s="3">
        <v>7</v>
      </c>
      <c r="S20" s="3">
        <v>9064</v>
      </c>
      <c r="T20" s="3" t="s">
        <v>5107</v>
      </c>
      <c r="U20" s="3" t="s">
        <v>280</v>
      </c>
      <c r="V20" s="3">
        <v>387</v>
      </c>
      <c r="W20" s="3">
        <v>0</v>
      </c>
      <c r="X20" s="3">
        <v>60</v>
      </c>
      <c r="Y20" s="3">
        <v>0</v>
      </c>
      <c r="Z20" s="3">
        <v>0</v>
      </c>
      <c r="AA20" s="3">
        <v>60</v>
      </c>
      <c r="AB20" s="3">
        <v>3900</v>
      </c>
      <c r="AC20" s="171">
        <v>0</v>
      </c>
      <c r="AF20" s="193">
        <v>6.2500000000000003E-3</v>
      </c>
      <c r="AG20" s="193">
        <v>0.44027777777777777</v>
      </c>
      <c r="AH20" s="193">
        <v>0.79027777777777775</v>
      </c>
    </row>
    <row r="21" spans="1:34" x14ac:dyDescent="0.25">
      <c r="A21" s="3" t="s">
        <v>278</v>
      </c>
      <c r="B21" s="3">
        <v>129969</v>
      </c>
      <c r="C21" s="3">
        <v>942207</v>
      </c>
      <c r="D21" s="3" t="s">
        <v>3526</v>
      </c>
      <c r="E21" s="3">
        <v>7</v>
      </c>
      <c r="F21" s="3">
        <v>18</v>
      </c>
      <c r="G21" s="3">
        <v>6</v>
      </c>
      <c r="H21" s="55" t="s">
        <v>289</v>
      </c>
      <c r="I21" s="3" t="s">
        <v>279</v>
      </c>
      <c r="J21" s="135">
        <v>46088</v>
      </c>
      <c r="L21" s="3">
        <v>1770</v>
      </c>
      <c r="M21" s="3">
        <v>65001</v>
      </c>
      <c r="N21" s="3" t="s">
        <v>5290</v>
      </c>
      <c r="R21" s="3">
        <v>7</v>
      </c>
      <c r="S21" s="3">
        <v>9064</v>
      </c>
      <c r="T21" s="3" t="s">
        <v>5107</v>
      </c>
      <c r="U21" s="3" t="s">
        <v>5109</v>
      </c>
      <c r="V21" s="3">
        <v>387</v>
      </c>
      <c r="W21" s="3">
        <v>0</v>
      </c>
      <c r="X21" s="3">
        <v>60</v>
      </c>
      <c r="Y21" s="3">
        <v>0</v>
      </c>
      <c r="Z21" s="3">
        <v>0</v>
      </c>
      <c r="AA21" s="3">
        <v>60</v>
      </c>
      <c r="AB21" s="3">
        <v>3960</v>
      </c>
      <c r="AC21" s="171">
        <v>0</v>
      </c>
      <c r="AF21" s="193">
        <v>6.2500000000000003E-3</v>
      </c>
      <c r="AG21" s="193">
        <v>0.4465277777777778</v>
      </c>
      <c r="AH21" s="193">
        <v>0.79652777777777772</v>
      </c>
    </row>
    <row r="22" spans="1:34" x14ac:dyDescent="0.25">
      <c r="A22" s="3" t="s">
        <v>278</v>
      </c>
      <c r="B22" s="3">
        <v>129975</v>
      </c>
      <c r="C22" s="3">
        <v>942207</v>
      </c>
      <c r="D22" s="3" t="s">
        <v>3526</v>
      </c>
      <c r="E22" s="3">
        <v>7</v>
      </c>
      <c r="F22" s="3">
        <v>19</v>
      </c>
      <c r="G22" s="3">
        <v>6</v>
      </c>
      <c r="H22" s="55" t="s">
        <v>289</v>
      </c>
      <c r="I22" s="3" t="s">
        <v>279</v>
      </c>
      <c r="J22" s="135">
        <v>46088</v>
      </c>
      <c r="L22" s="3">
        <v>1770</v>
      </c>
      <c r="M22" s="3">
        <v>65001</v>
      </c>
      <c r="N22" s="3" t="s">
        <v>5290</v>
      </c>
      <c r="R22" s="3">
        <v>7</v>
      </c>
      <c r="S22" s="3">
        <v>20757</v>
      </c>
      <c r="T22" s="3" t="s">
        <v>5360</v>
      </c>
      <c r="U22" s="3" t="s">
        <v>5109</v>
      </c>
      <c r="V22" s="3">
        <v>387</v>
      </c>
      <c r="W22" s="3">
        <v>0</v>
      </c>
      <c r="X22" s="3">
        <v>110</v>
      </c>
      <c r="Y22" s="3">
        <v>0</v>
      </c>
      <c r="Z22" s="3">
        <v>0</v>
      </c>
      <c r="AA22" s="3">
        <v>110</v>
      </c>
      <c r="AB22" s="3">
        <v>4070</v>
      </c>
      <c r="AC22" s="171">
        <v>0</v>
      </c>
      <c r="AF22" s="193">
        <v>1.1805555555555555E-2</v>
      </c>
      <c r="AG22" s="193">
        <v>0.45833333333333331</v>
      </c>
      <c r="AH22" s="193">
        <v>0.80833333333333335</v>
      </c>
    </row>
    <row r="23" spans="1:34" x14ac:dyDescent="0.25">
      <c r="A23" s="3" t="s">
        <v>278</v>
      </c>
      <c r="B23" s="3">
        <v>129975</v>
      </c>
      <c r="C23" s="3">
        <v>942207</v>
      </c>
      <c r="D23" s="3" t="s">
        <v>3526</v>
      </c>
      <c r="E23" s="3">
        <v>7</v>
      </c>
      <c r="F23" s="3">
        <v>20</v>
      </c>
      <c r="G23" s="3">
        <v>1</v>
      </c>
      <c r="H23" s="55" t="s">
        <v>289</v>
      </c>
      <c r="I23" s="3" t="s">
        <v>279</v>
      </c>
      <c r="J23" s="135">
        <v>46088</v>
      </c>
      <c r="L23" s="3">
        <v>1770</v>
      </c>
      <c r="M23" s="3">
        <v>65001</v>
      </c>
      <c r="N23" s="3" t="s">
        <v>5290</v>
      </c>
      <c r="R23" s="3">
        <v>7</v>
      </c>
      <c r="S23" s="3">
        <v>20757</v>
      </c>
      <c r="T23" s="3" t="s">
        <v>5360</v>
      </c>
      <c r="U23" s="3" t="s">
        <v>298</v>
      </c>
      <c r="V23" s="3">
        <v>387</v>
      </c>
      <c r="W23" s="3">
        <v>0</v>
      </c>
      <c r="X23" s="3">
        <v>108</v>
      </c>
      <c r="Y23" s="3">
        <v>0</v>
      </c>
      <c r="Z23" s="3">
        <v>0</v>
      </c>
      <c r="AA23" s="3">
        <v>108</v>
      </c>
      <c r="AB23" s="3">
        <v>4178</v>
      </c>
      <c r="AC23" s="171">
        <v>4.1666666666666664E-2</v>
      </c>
      <c r="AD23" s="3" t="s">
        <v>294</v>
      </c>
      <c r="AE23" s="3" t="s">
        <v>295</v>
      </c>
      <c r="AF23" s="193">
        <v>1.1805555555555555E-2</v>
      </c>
      <c r="AG23" s="193">
        <v>0.47013888888888888</v>
      </c>
      <c r="AH23" s="193">
        <v>0.8618055555555556</v>
      </c>
    </row>
    <row r="24" spans="1:34" x14ac:dyDescent="0.25">
      <c r="A24" s="3" t="s">
        <v>278</v>
      </c>
      <c r="B24" s="3">
        <v>129975</v>
      </c>
      <c r="C24" s="3">
        <v>942207</v>
      </c>
      <c r="D24" s="3" t="s">
        <v>3526</v>
      </c>
      <c r="E24" s="3">
        <v>7</v>
      </c>
      <c r="F24" s="3">
        <v>21</v>
      </c>
      <c r="G24" s="3">
        <v>2</v>
      </c>
      <c r="H24" s="55" t="s">
        <v>289</v>
      </c>
      <c r="I24" s="3" t="s">
        <v>279</v>
      </c>
      <c r="J24" s="135">
        <v>46088</v>
      </c>
      <c r="L24" s="3">
        <v>1770</v>
      </c>
      <c r="M24" s="3">
        <v>65001</v>
      </c>
      <c r="N24" s="3" t="s">
        <v>5290</v>
      </c>
      <c r="R24" s="3">
        <v>7</v>
      </c>
      <c r="S24" s="3">
        <v>20757</v>
      </c>
      <c r="T24" s="3" t="s">
        <v>5360</v>
      </c>
      <c r="U24" s="3">
        <v>35</v>
      </c>
      <c r="V24" s="3">
        <v>387</v>
      </c>
      <c r="W24" s="3">
        <v>0</v>
      </c>
      <c r="X24" s="3">
        <v>118</v>
      </c>
      <c r="Y24" s="3">
        <v>0</v>
      </c>
      <c r="Z24" s="3">
        <v>0</v>
      </c>
      <c r="AA24" s="3">
        <v>118</v>
      </c>
      <c r="AB24" s="3">
        <v>4296</v>
      </c>
      <c r="AC24" s="171">
        <v>0</v>
      </c>
      <c r="AF24" s="193">
        <v>1.2500000000000001E-2</v>
      </c>
      <c r="AG24" s="193">
        <v>0.4826388888888889</v>
      </c>
      <c r="AH24" s="193">
        <v>0.87430555555555556</v>
      </c>
    </row>
    <row r="25" spans="1:34" x14ac:dyDescent="0.25">
      <c r="A25" s="3" t="s">
        <v>278</v>
      </c>
      <c r="B25" s="3">
        <v>129975</v>
      </c>
      <c r="C25" s="3">
        <v>942207</v>
      </c>
      <c r="D25" s="3" t="s">
        <v>3526</v>
      </c>
      <c r="E25" s="3">
        <v>7</v>
      </c>
      <c r="F25" s="3">
        <v>22</v>
      </c>
      <c r="G25" s="3">
        <v>3</v>
      </c>
      <c r="H25" s="55" t="s">
        <v>289</v>
      </c>
      <c r="I25" s="3" t="s">
        <v>279</v>
      </c>
      <c r="J25" s="135">
        <v>46088</v>
      </c>
      <c r="K25" s="135"/>
      <c r="L25" s="3">
        <v>1770</v>
      </c>
      <c r="M25" s="3">
        <v>65001</v>
      </c>
      <c r="N25" s="3" t="s">
        <v>5290</v>
      </c>
      <c r="R25" s="3">
        <v>7</v>
      </c>
      <c r="S25" s="3">
        <v>20757</v>
      </c>
      <c r="T25" s="3" t="s">
        <v>5360</v>
      </c>
      <c r="U25" s="3">
        <v>36</v>
      </c>
      <c r="V25" s="3">
        <v>387</v>
      </c>
      <c r="W25" s="3">
        <v>0</v>
      </c>
      <c r="X25" s="3">
        <v>204</v>
      </c>
      <c r="Y25" s="3">
        <v>0</v>
      </c>
      <c r="Z25" s="3">
        <v>0</v>
      </c>
      <c r="AA25" s="3">
        <v>204</v>
      </c>
      <c r="AB25" s="3">
        <v>4500</v>
      </c>
      <c r="AC25" s="171">
        <v>0</v>
      </c>
      <c r="AF25" s="193">
        <v>2.2222222222222223E-2</v>
      </c>
      <c r="AG25" s="193">
        <v>0.50486111111111109</v>
      </c>
      <c r="AH25" s="193">
        <v>0.89652777777777781</v>
      </c>
    </row>
    <row r="26" spans="1:34" x14ac:dyDescent="0.25">
      <c r="A26" s="3" t="s">
        <v>278</v>
      </c>
      <c r="B26" s="3">
        <v>129975</v>
      </c>
      <c r="C26" s="3">
        <v>942207</v>
      </c>
      <c r="D26" s="3" t="s">
        <v>3526</v>
      </c>
      <c r="E26" s="3">
        <v>7</v>
      </c>
      <c r="F26" s="3">
        <v>23</v>
      </c>
      <c r="G26" s="3">
        <v>4</v>
      </c>
      <c r="H26" s="55" t="s">
        <v>289</v>
      </c>
      <c r="I26" s="3" t="s">
        <v>279</v>
      </c>
      <c r="J26" s="135">
        <v>46088</v>
      </c>
      <c r="K26" s="135"/>
      <c r="L26" s="3">
        <v>1770</v>
      </c>
      <c r="M26" s="3">
        <v>65001</v>
      </c>
      <c r="N26" s="3" t="s">
        <v>5290</v>
      </c>
      <c r="R26" s="3">
        <v>7</v>
      </c>
      <c r="S26" s="3">
        <v>20757</v>
      </c>
      <c r="T26" s="3" t="s">
        <v>5360</v>
      </c>
      <c r="U26" s="3" t="s">
        <v>284</v>
      </c>
      <c r="V26" s="3">
        <v>387</v>
      </c>
      <c r="W26" s="3">
        <v>0</v>
      </c>
      <c r="X26" s="3">
        <v>110</v>
      </c>
      <c r="Y26" s="3">
        <v>0</v>
      </c>
      <c r="Z26" s="3">
        <v>0</v>
      </c>
      <c r="AA26" s="3">
        <v>110</v>
      </c>
      <c r="AB26" s="3">
        <v>4610</v>
      </c>
      <c r="AC26" s="171">
        <v>0</v>
      </c>
      <c r="AF26" s="193">
        <v>1.1805555555555555E-2</v>
      </c>
      <c r="AG26" s="193">
        <v>0.51666666666666672</v>
      </c>
      <c r="AH26" s="193">
        <v>0.90833333333333333</v>
      </c>
    </row>
    <row r="27" spans="1:34" x14ac:dyDescent="0.25">
      <c r="A27" s="3" t="s">
        <v>278</v>
      </c>
      <c r="B27" s="3">
        <v>129975</v>
      </c>
      <c r="C27" s="3">
        <v>942207</v>
      </c>
      <c r="D27" s="3" t="s">
        <v>3526</v>
      </c>
      <c r="E27" s="3">
        <v>7</v>
      </c>
      <c r="F27" s="3">
        <v>24</v>
      </c>
      <c r="G27" s="3">
        <v>5</v>
      </c>
      <c r="H27" s="55" t="s">
        <v>289</v>
      </c>
      <c r="I27" s="3" t="s">
        <v>279</v>
      </c>
      <c r="J27" s="135">
        <v>46088</v>
      </c>
      <c r="L27" s="3">
        <v>1770</v>
      </c>
      <c r="M27" s="3">
        <v>65001</v>
      </c>
      <c r="N27" s="3" t="s">
        <v>5290</v>
      </c>
      <c r="R27" s="3">
        <v>7</v>
      </c>
      <c r="S27" s="3">
        <v>20757</v>
      </c>
      <c r="T27" s="3" t="s">
        <v>5360</v>
      </c>
      <c r="U27" s="3" t="s">
        <v>280</v>
      </c>
      <c r="V27" s="3">
        <v>387</v>
      </c>
      <c r="W27" s="3">
        <v>0</v>
      </c>
      <c r="X27" s="3">
        <v>110</v>
      </c>
      <c r="Y27" s="3">
        <v>0</v>
      </c>
      <c r="Z27" s="3">
        <v>0</v>
      </c>
      <c r="AA27" s="3">
        <v>110</v>
      </c>
      <c r="AB27" s="3">
        <v>4720</v>
      </c>
      <c r="AC27" s="171">
        <v>0</v>
      </c>
      <c r="AF27" s="193">
        <v>1.1805555555555555E-2</v>
      </c>
      <c r="AG27" s="193">
        <v>0.52847222222222223</v>
      </c>
      <c r="AH27" s="193">
        <v>0.92013888888888884</v>
      </c>
    </row>
    <row r="28" spans="1:34" x14ac:dyDescent="0.25">
      <c r="A28" s="3" t="s">
        <v>278</v>
      </c>
      <c r="B28" s="3">
        <v>129975</v>
      </c>
      <c r="C28" s="3">
        <v>942207</v>
      </c>
      <c r="D28" s="3" t="s">
        <v>3526</v>
      </c>
      <c r="E28" s="3">
        <v>7</v>
      </c>
      <c r="F28" s="3">
        <v>25</v>
      </c>
      <c r="G28" s="3">
        <v>7</v>
      </c>
      <c r="H28" s="55" t="s">
        <v>289</v>
      </c>
      <c r="I28" s="3" t="s">
        <v>279</v>
      </c>
      <c r="J28" s="135">
        <v>46088</v>
      </c>
      <c r="L28" s="3">
        <v>1770</v>
      </c>
      <c r="M28" s="3">
        <v>65001</v>
      </c>
      <c r="N28" s="3" t="s">
        <v>5290</v>
      </c>
      <c r="R28" s="3">
        <v>7</v>
      </c>
      <c r="S28" s="3">
        <v>20757</v>
      </c>
      <c r="T28" s="3" t="s">
        <v>5360</v>
      </c>
      <c r="U28" s="3" t="s">
        <v>281</v>
      </c>
      <c r="V28" s="3">
        <v>387</v>
      </c>
      <c r="W28" s="3">
        <v>0</v>
      </c>
      <c r="X28" s="3">
        <v>110</v>
      </c>
      <c r="Y28" s="3">
        <v>0</v>
      </c>
      <c r="Z28" s="3">
        <v>0</v>
      </c>
      <c r="AA28" s="3">
        <v>110</v>
      </c>
      <c r="AB28" s="3">
        <v>4830</v>
      </c>
      <c r="AC28" s="171">
        <v>0</v>
      </c>
      <c r="AF28" s="193">
        <v>1.1805555555555555E-2</v>
      </c>
      <c r="AG28" s="193">
        <v>0.54027777777777775</v>
      </c>
      <c r="AH28" s="193">
        <v>0.93194444444444446</v>
      </c>
    </row>
    <row r="29" spans="1:34" x14ac:dyDescent="0.25">
      <c r="A29" s="3" t="s">
        <v>278</v>
      </c>
      <c r="B29" s="3">
        <v>129984</v>
      </c>
      <c r="C29" s="3">
        <v>942207</v>
      </c>
      <c r="D29" s="3" t="s">
        <v>3526</v>
      </c>
      <c r="E29" s="3">
        <v>7</v>
      </c>
      <c r="F29" s="3">
        <v>26</v>
      </c>
      <c r="G29" s="3">
        <v>7</v>
      </c>
      <c r="H29" s="55" t="s">
        <v>289</v>
      </c>
      <c r="I29" s="3" t="s">
        <v>279</v>
      </c>
      <c r="J29" s="135">
        <v>46088</v>
      </c>
      <c r="K29" s="135"/>
      <c r="L29" s="3">
        <v>1770</v>
      </c>
      <c r="M29" s="3">
        <v>65001</v>
      </c>
      <c r="N29" s="3" t="s">
        <v>5290</v>
      </c>
      <c r="R29" s="3">
        <v>7</v>
      </c>
      <c r="S29" s="3">
        <v>21307</v>
      </c>
      <c r="T29" s="3" t="s">
        <v>5361</v>
      </c>
      <c r="U29" s="3" t="s">
        <v>281</v>
      </c>
      <c r="V29" s="3">
        <v>387</v>
      </c>
      <c r="W29" s="3">
        <v>0</v>
      </c>
      <c r="X29" s="3">
        <v>60</v>
      </c>
      <c r="Y29" s="3">
        <v>0</v>
      </c>
      <c r="Z29" s="3">
        <v>0</v>
      </c>
      <c r="AA29" s="3">
        <v>60</v>
      </c>
      <c r="AB29" s="3">
        <v>4890</v>
      </c>
      <c r="AC29" s="171">
        <v>0</v>
      </c>
      <c r="AF29" s="193">
        <v>6.2500000000000003E-3</v>
      </c>
      <c r="AG29" s="193">
        <v>0.54652777777777772</v>
      </c>
      <c r="AH29" s="193">
        <v>0.93819444444444444</v>
      </c>
    </row>
    <row r="30" spans="1:34" x14ac:dyDescent="0.25">
      <c r="A30" s="3" t="s">
        <v>278</v>
      </c>
      <c r="B30" s="3">
        <v>129984</v>
      </c>
      <c r="C30" s="3">
        <v>942207</v>
      </c>
      <c r="D30" s="3" t="s">
        <v>3526</v>
      </c>
      <c r="E30" s="3">
        <v>7</v>
      </c>
      <c r="F30" s="3">
        <v>27</v>
      </c>
      <c r="G30" s="3">
        <v>1</v>
      </c>
      <c r="H30" s="55" t="s">
        <v>289</v>
      </c>
      <c r="I30" s="3" t="s">
        <v>279</v>
      </c>
      <c r="J30" s="135">
        <v>46088</v>
      </c>
      <c r="L30" s="3">
        <v>1770</v>
      </c>
      <c r="M30" s="3">
        <v>65001</v>
      </c>
      <c r="N30" s="3" t="s">
        <v>5290</v>
      </c>
      <c r="R30" s="3">
        <v>7</v>
      </c>
      <c r="S30" s="3">
        <v>21307</v>
      </c>
      <c r="T30" s="3" t="s">
        <v>5361</v>
      </c>
      <c r="U30" s="3" t="s">
        <v>298</v>
      </c>
      <c r="V30" s="3">
        <v>387</v>
      </c>
      <c r="W30" s="3">
        <v>0</v>
      </c>
      <c r="X30" s="3">
        <v>60</v>
      </c>
      <c r="Y30" s="3">
        <v>0</v>
      </c>
      <c r="Z30" s="3">
        <v>0</v>
      </c>
      <c r="AA30" s="3">
        <v>60</v>
      </c>
      <c r="AB30" s="3">
        <v>4950</v>
      </c>
      <c r="AC30" s="171">
        <v>0</v>
      </c>
      <c r="AF30" s="193">
        <v>6.2500000000000003E-3</v>
      </c>
      <c r="AG30" s="193">
        <v>0.55347222222222225</v>
      </c>
      <c r="AH30" s="193">
        <v>0.94444444444444442</v>
      </c>
    </row>
    <row r="31" spans="1:34" x14ac:dyDescent="0.25">
      <c r="A31" s="3" t="s">
        <v>278</v>
      </c>
      <c r="B31" s="3">
        <v>129984</v>
      </c>
      <c r="C31" s="3">
        <v>942207</v>
      </c>
      <c r="D31" s="3" t="s">
        <v>3526</v>
      </c>
      <c r="E31" s="3">
        <v>7</v>
      </c>
      <c r="F31" s="3">
        <v>28</v>
      </c>
      <c r="G31" s="3">
        <v>2</v>
      </c>
      <c r="H31" s="55" t="s">
        <v>289</v>
      </c>
      <c r="I31" s="3" t="s">
        <v>279</v>
      </c>
      <c r="J31" s="135">
        <v>46088</v>
      </c>
      <c r="L31" s="3">
        <v>1770</v>
      </c>
      <c r="M31" s="3">
        <v>65001</v>
      </c>
      <c r="N31" s="3" t="s">
        <v>5290</v>
      </c>
      <c r="R31" s="3">
        <v>7</v>
      </c>
      <c r="S31" s="3">
        <v>21307</v>
      </c>
      <c r="T31" s="3" t="s">
        <v>5361</v>
      </c>
      <c r="U31" s="3">
        <v>35</v>
      </c>
      <c r="V31" s="3">
        <v>387</v>
      </c>
      <c r="W31" s="3">
        <v>0</v>
      </c>
      <c r="X31" s="3">
        <v>70</v>
      </c>
      <c r="Y31" s="3">
        <v>0</v>
      </c>
      <c r="Z31" s="3">
        <v>0</v>
      </c>
      <c r="AA31" s="3">
        <v>70</v>
      </c>
      <c r="AB31" s="3">
        <v>5020</v>
      </c>
      <c r="AC31" s="171">
        <v>0</v>
      </c>
      <c r="AF31" s="193">
        <v>7.6388888888888886E-3</v>
      </c>
      <c r="AG31" s="193">
        <v>0.56111111111111112</v>
      </c>
      <c r="AH31" s="193">
        <v>0.95208333333333328</v>
      </c>
    </row>
    <row r="32" spans="1:34" x14ac:dyDescent="0.25">
      <c r="A32" s="3" t="s">
        <v>278</v>
      </c>
      <c r="B32" s="3">
        <v>129984</v>
      </c>
      <c r="C32" s="3">
        <v>942207</v>
      </c>
      <c r="D32" s="3" t="s">
        <v>3526</v>
      </c>
      <c r="E32" s="3">
        <v>7</v>
      </c>
      <c r="F32" s="3">
        <v>29</v>
      </c>
      <c r="G32" s="3">
        <v>3</v>
      </c>
      <c r="H32" s="55" t="s">
        <v>289</v>
      </c>
      <c r="I32" s="3" t="s">
        <v>279</v>
      </c>
      <c r="J32" s="135">
        <v>46088</v>
      </c>
      <c r="L32" s="3">
        <v>1770</v>
      </c>
      <c r="M32" s="3">
        <v>65001</v>
      </c>
      <c r="N32" s="3" t="s">
        <v>5290</v>
      </c>
      <c r="R32" s="3">
        <v>7</v>
      </c>
      <c r="S32" s="3">
        <v>21307</v>
      </c>
      <c r="T32" s="3" t="s">
        <v>5361</v>
      </c>
      <c r="U32" s="3">
        <v>36</v>
      </c>
      <c r="V32" s="3">
        <v>387</v>
      </c>
      <c r="W32" s="3">
        <v>0</v>
      </c>
      <c r="X32" s="3">
        <v>192</v>
      </c>
      <c r="Y32" s="3">
        <v>0</v>
      </c>
      <c r="Z32" s="3">
        <v>0</v>
      </c>
      <c r="AA32" s="3">
        <v>192</v>
      </c>
      <c r="AB32" s="3">
        <v>5212</v>
      </c>
      <c r="AC32" s="171">
        <v>0</v>
      </c>
      <c r="AF32" s="193">
        <v>2.0833333333333332E-2</v>
      </c>
      <c r="AG32" s="193">
        <v>0.58125000000000004</v>
      </c>
      <c r="AH32" s="193">
        <v>0.97291666666666665</v>
      </c>
    </row>
    <row r="33" spans="1:34" x14ac:dyDescent="0.25">
      <c r="A33" s="3" t="s">
        <v>278</v>
      </c>
      <c r="B33" s="3">
        <v>129984</v>
      </c>
      <c r="C33" s="3">
        <v>942207</v>
      </c>
      <c r="D33" s="3" t="s">
        <v>3526</v>
      </c>
      <c r="E33" s="3">
        <v>7</v>
      </c>
      <c r="F33" s="3">
        <v>30</v>
      </c>
      <c r="G33" s="3">
        <v>4</v>
      </c>
      <c r="H33" s="55" t="s">
        <v>289</v>
      </c>
      <c r="I33" s="3" t="s">
        <v>279</v>
      </c>
      <c r="J33" s="135">
        <v>46088</v>
      </c>
      <c r="L33" s="3">
        <v>1770</v>
      </c>
      <c r="M33" s="3">
        <v>65001</v>
      </c>
      <c r="N33" s="3" t="s">
        <v>5290</v>
      </c>
      <c r="R33" s="3">
        <v>7</v>
      </c>
      <c r="S33" s="3">
        <v>21307</v>
      </c>
      <c r="T33" s="3" t="s">
        <v>5361</v>
      </c>
      <c r="U33" s="3" t="s">
        <v>284</v>
      </c>
      <c r="V33" s="3">
        <v>387</v>
      </c>
      <c r="W33" s="3">
        <v>0</v>
      </c>
      <c r="X33" s="3">
        <v>36</v>
      </c>
      <c r="Y33" s="3">
        <v>0</v>
      </c>
      <c r="Z33" s="3">
        <v>0</v>
      </c>
      <c r="AA33" s="3">
        <v>36</v>
      </c>
      <c r="AB33" s="3">
        <v>5248</v>
      </c>
      <c r="AC33" s="171">
        <v>0</v>
      </c>
      <c r="AF33" s="193">
        <v>4.1666666666666666E-3</v>
      </c>
      <c r="AG33" s="193">
        <v>0.5854166666666667</v>
      </c>
      <c r="AH33" s="193">
        <v>0.9770833333333333</v>
      </c>
    </row>
    <row r="34" spans="1:34" x14ac:dyDescent="0.25">
      <c r="A34" s="3" t="s">
        <v>278</v>
      </c>
      <c r="B34" s="3">
        <v>129984</v>
      </c>
      <c r="C34" s="3">
        <v>942207</v>
      </c>
      <c r="D34" s="3" t="s">
        <v>3526</v>
      </c>
      <c r="E34" s="3">
        <v>7</v>
      </c>
      <c r="F34" s="3">
        <v>31</v>
      </c>
      <c r="G34" s="3">
        <v>5</v>
      </c>
      <c r="H34" s="55" t="s">
        <v>289</v>
      </c>
      <c r="I34" s="3" t="s">
        <v>279</v>
      </c>
      <c r="J34" s="135">
        <v>46088</v>
      </c>
      <c r="L34" s="3">
        <v>1770</v>
      </c>
      <c r="M34" s="3">
        <v>65001</v>
      </c>
      <c r="N34" s="3" t="s">
        <v>5290</v>
      </c>
      <c r="R34" s="3">
        <v>7</v>
      </c>
      <c r="S34" s="3">
        <v>21307</v>
      </c>
      <c r="T34" s="3" t="s">
        <v>5361</v>
      </c>
      <c r="U34" s="3" t="s">
        <v>280</v>
      </c>
      <c r="V34" s="3">
        <v>387</v>
      </c>
      <c r="W34" s="3">
        <v>0</v>
      </c>
      <c r="X34" s="3">
        <v>60</v>
      </c>
      <c r="Y34" s="3">
        <v>0</v>
      </c>
      <c r="Z34" s="3">
        <v>0</v>
      </c>
      <c r="AA34" s="3">
        <v>60</v>
      </c>
      <c r="AB34" s="3">
        <v>5308</v>
      </c>
      <c r="AC34" s="171">
        <v>8.3333333333333332E-3</v>
      </c>
      <c r="AD34" s="3" t="s">
        <v>404</v>
      </c>
      <c r="AF34" s="193">
        <v>6.2500000000000003E-3</v>
      </c>
      <c r="AG34" s="193">
        <v>0.59166666666666667</v>
      </c>
      <c r="AH34" s="193">
        <v>0.9916666666666667</v>
      </c>
    </row>
    <row r="35" spans="1:34" x14ac:dyDescent="0.25">
      <c r="A35" s="3" t="s">
        <v>278</v>
      </c>
      <c r="B35" s="3">
        <v>129984</v>
      </c>
      <c r="C35" s="3">
        <v>942207</v>
      </c>
      <c r="D35" s="3" t="s">
        <v>3526</v>
      </c>
      <c r="E35" s="3">
        <v>7</v>
      </c>
      <c r="F35" s="3">
        <v>32</v>
      </c>
      <c r="G35" s="3">
        <v>6</v>
      </c>
      <c r="H35" s="55" t="s">
        <v>289</v>
      </c>
      <c r="I35" s="3" t="s">
        <v>279</v>
      </c>
      <c r="J35" s="135">
        <v>46088</v>
      </c>
      <c r="K35" s="135"/>
      <c r="L35" s="3">
        <v>1770</v>
      </c>
      <c r="M35" s="3">
        <v>65001</v>
      </c>
      <c r="N35" s="3" t="s">
        <v>5290</v>
      </c>
      <c r="R35" s="3">
        <v>7</v>
      </c>
      <c r="S35" s="3">
        <v>21307</v>
      </c>
      <c r="T35" s="3" t="s">
        <v>5361</v>
      </c>
      <c r="U35" s="3" t="s">
        <v>5109</v>
      </c>
      <c r="V35" s="3">
        <v>387</v>
      </c>
      <c r="W35" s="3">
        <v>0</v>
      </c>
      <c r="X35" s="3">
        <v>60</v>
      </c>
      <c r="Y35" s="3">
        <v>0</v>
      </c>
      <c r="Z35" s="3">
        <v>0</v>
      </c>
      <c r="AA35" s="3">
        <v>60</v>
      </c>
      <c r="AB35" s="3">
        <v>5368</v>
      </c>
      <c r="AC35" s="171">
        <v>0</v>
      </c>
      <c r="AF35" s="193">
        <v>6.2500000000000003E-3</v>
      </c>
      <c r="AG35" s="193">
        <v>0.59791666666666665</v>
      </c>
      <c r="AH35" s="193">
        <v>0.99791666666666667</v>
      </c>
    </row>
    <row r="36" spans="1:34" x14ac:dyDescent="0.25">
      <c r="A36" s="3" t="s">
        <v>282</v>
      </c>
      <c r="B36" s="3">
        <v>126618</v>
      </c>
      <c r="C36" s="3" t="s">
        <v>5100</v>
      </c>
      <c r="D36" s="3" t="s">
        <v>3526</v>
      </c>
      <c r="E36" s="3">
        <v>5</v>
      </c>
      <c r="F36" s="3">
        <v>1</v>
      </c>
      <c r="G36" s="3">
        <v>6</v>
      </c>
      <c r="H36" s="55" t="s">
        <v>5095</v>
      </c>
      <c r="I36" s="3" t="s">
        <v>279</v>
      </c>
      <c r="J36" s="135">
        <v>46029</v>
      </c>
      <c r="K36" s="3" t="s">
        <v>5096</v>
      </c>
      <c r="L36" s="3">
        <v>1795</v>
      </c>
      <c r="M36" s="3">
        <v>5320</v>
      </c>
      <c r="N36" s="3" t="s">
        <v>5097</v>
      </c>
      <c r="R36" s="3">
        <v>5</v>
      </c>
      <c r="S36" s="3">
        <v>20718</v>
      </c>
      <c r="T36" s="3" t="s">
        <v>5101</v>
      </c>
      <c r="U36" s="3">
        <v>35</v>
      </c>
      <c r="V36" s="3">
        <v>600</v>
      </c>
      <c r="W36" s="3">
        <v>0</v>
      </c>
      <c r="X36" s="3">
        <v>2280</v>
      </c>
      <c r="Y36" s="3">
        <v>2244</v>
      </c>
      <c r="Z36" s="3">
        <v>0</v>
      </c>
      <c r="AA36" s="3">
        <v>36</v>
      </c>
      <c r="AB36" s="3">
        <v>36</v>
      </c>
      <c r="AC36" s="171">
        <v>0</v>
      </c>
      <c r="AF36" s="193">
        <v>2.7777777777777779E-3</v>
      </c>
      <c r="AG36" s="193">
        <v>2.7777777777777779E-3</v>
      </c>
      <c r="AH36" s="193">
        <v>0.27986111111111112</v>
      </c>
    </row>
    <row r="37" spans="1:34" x14ac:dyDescent="0.25">
      <c r="A37" s="3" t="s">
        <v>282</v>
      </c>
      <c r="B37" s="3">
        <v>135939</v>
      </c>
      <c r="C37" s="3">
        <v>942207</v>
      </c>
      <c r="D37" s="3" t="s">
        <v>3526</v>
      </c>
      <c r="E37" s="3">
        <v>7</v>
      </c>
      <c r="F37" s="3">
        <v>2</v>
      </c>
      <c r="G37" s="3">
        <v>11</v>
      </c>
      <c r="H37" s="55" t="s">
        <v>5099</v>
      </c>
      <c r="I37" s="3" t="s">
        <v>279</v>
      </c>
      <c r="J37" s="135">
        <v>46210</v>
      </c>
      <c r="K37" s="3" t="s">
        <v>5096</v>
      </c>
      <c r="L37" s="3">
        <v>1795</v>
      </c>
      <c r="M37" s="3">
        <v>5320</v>
      </c>
      <c r="N37" s="3" t="s">
        <v>5097</v>
      </c>
      <c r="R37" s="3">
        <v>5</v>
      </c>
      <c r="S37" s="3" t="s">
        <v>5102</v>
      </c>
      <c r="T37" s="3" t="s">
        <v>5103</v>
      </c>
      <c r="U37" s="3" t="s">
        <v>281</v>
      </c>
      <c r="V37" s="3">
        <v>600</v>
      </c>
      <c r="W37" s="3">
        <v>0</v>
      </c>
      <c r="X37" s="3">
        <v>2474</v>
      </c>
      <c r="Y37" s="3">
        <v>2438</v>
      </c>
      <c r="Z37" s="3">
        <v>0</v>
      </c>
      <c r="AA37" s="3">
        <v>36</v>
      </c>
      <c r="AB37" s="3">
        <v>72</v>
      </c>
      <c r="AC37" s="171">
        <v>0</v>
      </c>
      <c r="AF37" s="193">
        <v>2.7777777777777779E-3</v>
      </c>
      <c r="AG37" s="193">
        <v>4.8611111111111112E-3</v>
      </c>
      <c r="AH37" s="193">
        <v>0.28263888888888888</v>
      </c>
    </row>
    <row r="38" spans="1:34" x14ac:dyDescent="0.25">
      <c r="A38" s="3" t="s">
        <v>282</v>
      </c>
      <c r="B38" s="3">
        <v>135950</v>
      </c>
      <c r="C38" s="3">
        <v>942207</v>
      </c>
      <c r="D38" s="3" t="s">
        <v>3526</v>
      </c>
      <c r="E38" s="3">
        <v>7</v>
      </c>
      <c r="F38" s="3">
        <v>3</v>
      </c>
      <c r="G38" s="3">
        <v>9</v>
      </c>
      <c r="H38" s="55" t="s">
        <v>5099</v>
      </c>
      <c r="I38" s="3" t="s">
        <v>279</v>
      </c>
      <c r="J38" s="135">
        <v>46210</v>
      </c>
      <c r="K38" s="3" t="s">
        <v>5096</v>
      </c>
      <c r="L38" s="3">
        <v>1795</v>
      </c>
      <c r="M38" s="3">
        <v>5320</v>
      </c>
      <c r="N38" s="3" t="s">
        <v>5097</v>
      </c>
      <c r="R38" s="3">
        <v>5</v>
      </c>
      <c r="S38" s="3" t="s">
        <v>5104</v>
      </c>
      <c r="T38" s="3" t="s">
        <v>392</v>
      </c>
      <c r="U38" s="3" t="s">
        <v>281</v>
      </c>
      <c r="V38" s="3">
        <v>600</v>
      </c>
      <c r="W38" s="3">
        <v>0</v>
      </c>
      <c r="X38" s="3">
        <v>3688</v>
      </c>
      <c r="Y38" s="3">
        <v>3652</v>
      </c>
      <c r="Z38" s="3">
        <v>0</v>
      </c>
      <c r="AA38" s="3">
        <v>36</v>
      </c>
      <c r="AB38" s="3">
        <v>108</v>
      </c>
      <c r="AC38" s="171">
        <v>0</v>
      </c>
      <c r="AF38" s="193">
        <v>2.7777777777777779E-3</v>
      </c>
      <c r="AG38" s="193">
        <v>7.6388888888888886E-3</v>
      </c>
      <c r="AH38" s="193">
        <v>0.28541666666666665</v>
      </c>
    </row>
    <row r="39" spans="1:34" x14ac:dyDescent="0.25">
      <c r="A39" s="3" t="s">
        <v>282</v>
      </c>
      <c r="B39" s="3">
        <v>136417</v>
      </c>
      <c r="C39" s="3" t="s">
        <v>5105</v>
      </c>
      <c r="D39" s="3" t="s">
        <v>3526</v>
      </c>
      <c r="E39" s="3">
        <v>7</v>
      </c>
      <c r="F39" s="3">
        <v>4</v>
      </c>
      <c r="G39" s="3">
        <v>3</v>
      </c>
      <c r="H39" s="55" t="s">
        <v>5095</v>
      </c>
      <c r="I39" s="3" t="s">
        <v>279</v>
      </c>
      <c r="J39" s="135">
        <v>46210</v>
      </c>
      <c r="K39" s="3" t="s">
        <v>5291</v>
      </c>
      <c r="L39" s="3">
        <v>1795</v>
      </c>
      <c r="M39" s="3">
        <v>5320</v>
      </c>
      <c r="N39" s="3" t="s">
        <v>5097</v>
      </c>
      <c r="R39" s="3">
        <v>5</v>
      </c>
      <c r="S39" s="3">
        <v>21552</v>
      </c>
      <c r="T39" s="3" t="s">
        <v>5106</v>
      </c>
      <c r="U39" s="3" t="s">
        <v>280</v>
      </c>
      <c r="V39" s="3">
        <v>376</v>
      </c>
      <c r="W39" s="3">
        <v>0</v>
      </c>
      <c r="X39" s="3">
        <v>5700</v>
      </c>
      <c r="Y39" s="3">
        <v>1680</v>
      </c>
      <c r="Z39" s="3">
        <v>0</v>
      </c>
      <c r="AA39" s="3">
        <v>4020</v>
      </c>
      <c r="AB39" s="3">
        <v>4128</v>
      </c>
      <c r="AC39" s="171">
        <v>6.6666666666666666E-2</v>
      </c>
      <c r="AD39" s="3" t="s">
        <v>285</v>
      </c>
      <c r="AE39" s="3" t="s">
        <v>286</v>
      </c>
      <c r="AF39" s="193">
        <v>0.44513888888888886</v>
      </c>
      <c r="AG39" s="193">
        <v>0.45277777777777778</v>
      </c>
      <c r="AH39" s="193">
        <v>0.8041666666666667</v>
      </c>
    </row>
    <row r="40" spans="1:34" x14ac:dyDescent="0.25">
      <c r="A40" s="3" t="s">
        <v>283</v>
      </c>
      <c r="B40" s="3">
        <v>138691</v>
      </c>
      <c r="C40" s="3" t="s">
        <v>5105</v>
      </c>
      <c r="D40" s="3" t="s">
        <v>3526</v>
      </c>
      <c r="E40" s="3">
        <v>7</v>
      </c>
      <c r="F40" s="3">
        <v>1</v>
      </c>
      <c r="G40" s="3">
        <v>3</v>
      </c>
      <c r="H40" s="55" t="s">
        <v>5095</v>
      </c>
      <c r="I40" s="3" t="s">
        <v>279</v>
      </c>
      <c r="J40" s="135">
        <v>46272</v>
      </c>
      <c r="K40" s="3" t="s">
        <v>5096</v>
      </c>
      <c r="L40" s="3">
        <v>1795</v>
      </c>
      <c r="M40" s="3">
        <v>5320</v>
      </c>
      <c r="N40" s="3" t="s">
        <v>5097</v>
      </c>
      <c r="R40" s="3">
        <v>5</v>
      </c>
      <c r="S40" s="3">
        <v>9064</v>
      </c>
      <c r="T40" s="3" t="s">
        <v>5107</v>
      </c>
      <c r="U40" s="3" t="s">
        <v>284</v>
      </c>
      <c r="V40" s="3">
        <v>600</v>
      </c>
      <c r="W40" s="3">
        <v>0</v>
      </c>
      <c r="X40" s="3">
        <v>4560</v>
      </c>
      <c r="Y40" s="3">
        <v>4548</v>
      </c>
      <c r="Z40" s="3">
        <v>0</v>
      </c>
      <c r="AA40" s="3">
        <v>12</v>
      </c>
      <c r="AB40" s="3">
        <v>12</v>
      </c>
      <c r="AC40" s="171">
        <v>0</v>
      </c>
      <c r="AF40" s="193">
        <v>6.9444444444444447E-4</v>
      </c>
      <c r="AG40" s="193">
        <v>6.9444444444444447E-4</v>
      </c>
      <c r="AH40" s="193">
        <v>0.27777777777777779</v>
      </c>
    </row>
    <row r="41" spans="1:34" x14ac:dyDescent="0.25">
      <c r="A41" s="3" t="s">
        <v>283</v>
      </c>
      <c r="B41" s="3">
        <v>138692</v>
      </c>
      <c r="C41" s="3" t="s">
        <v>5105</v>
      </c>
      <c r="D41" s="3" t="s">
        <v>3526</v>
      </c>
      <c r="E41" s="3">
        <v>7</v>
      </c>
      <c r="F41" s="3">
        <v>2</v>
      </c>
      <c r="G41" s="3">
        <v>3</v>
      </c>
      <c r="H41" s="55" t="s">
        <v>5095</v>
      </c>
      <c r="I41" s="3" t="s">
        <v>279</v>
      </c>
      <c r="J41" s="135">
        <v>46272</v>
      </c>
      <c r="K41" s="3" t="s">
        <v>5291</v>
      </c>
      <c r="L41" s="3">
        <v>1795</v>
      </c>
      <c r="M41" s="3">
        <v>5320</v>
      </c>
      <c r="N41" s="3" t="s">
        <v>5097</v>
      </c>
      <c r="R41" s="3">
        <v>5</v>
      </c>
      <c r="S41" s="3">
        <v>9064</v>
      </c>
      <c r="T41" s="3" t="s">
        <v>5107</v>
      </c>
      <c r="U41" s="3" t="s">
        <v>284</v>
      </c>
      <c r="V41" s="3">
        <v>600</v>
      </c>
      <c r="W41" s="3">
        <v>0</v>
      </c>
      <c r="X41" s="3">
        <v>4560</v>
      </c>
      <c r="Y41" s="3">
        <v>3516</v>
      </c>
      <c r="Z41" s="3">
        <v>0</v>
      </c>
      <c r="AA41" s="3">
        <v>1044</v>
      </c>
      <c r="AB41" s="3">
        <v>1056</v>
      </c>
      <c r="AC41" s="171">
        <v>0</v>
      </c>
      <c r="AF41" s="193">
        <v>7.2222222222222215E-2</v>
      </c>
      <c r="AG41" s="193">
        <v>7.3611111111111113E-2</v>
      </c>
      <c r="AH41" s="193">
        <v>0.35</v>
      </c>
    </row>
    <row r="42" spans="1:34" x14ac:dyDescent="0.25">
      <c r="A42" s="3" t="s">
        <v>283</v>
      </c>
      <c r="B42" s="3">
        <v>137466</v>
      </c>
      <c r="C42" s="3" t="s">
        <v>5105</v>
      </c>
      <c r="D42" s="3" t="s">
        <v>3526</v>
      </c>
      <c r="E42" s="3">
        <v>7</v>
      </c>
      <c r="F42" s="3">
        <v>3</v>
      </c>
      <c r="G42" s="3">
        <v>3</v>
      </c>
      <c r="H42" s="55" t="s">
        <v>5095</v>
      </c>
      <c r="I42" s="3" t="s">
        <v>279</v>
      </c>
      <c r="J42" s="135">
        <v>46241</v>
      </c>
      <c r="L42" s="3">
        <v>1795</v>
      </c>
      <c r="M42" s="3">
        <v>5320</v>
      </c>
      <c r="N42" s="3" t="s">
        <v>5097</v>
      </c>
      <c r="R42" s="3">
        <v>5</v>
      </c>
      <c r="S42" s="3">
        <v>9064</v>
      </c>
      <c r="T42" s="3" t="s">
        <v>5107</v>
      </c>
      <c r="U42" s="3" t="s">
        <v>280</v>
      </c>
      <c r="V42" s="3">
        <v>600</v>
      </c>
      <c r="W42" s="3">
        <v>0</v>
      </c>
      <c r="X42" s="3">
        <v>5700</v>
      </c>
      <c r="Y42" s="3">
        <v>0</v>
      </c>
      <c r="Z42" s="3">
        <v>0</v>
      </c>
      <c r="AA42" s="3">
        <v>5700</v>
      </c>
      <c r="AB42" s="3">
        <v>6756</v>
      </c>
      <c r="AC42" s="171">
        <v>0.10833333333333334</v>
      </c>
      <c r="AD42" s="3" t="s">
        <v>285</v>
      </c>
      <c r="AE42" s="3" t="s">
        <v>286</v>
      </c>
      <c r="AF42" s="193">
        <v>0.39583333333333331</v>
      </c>
      <c r="AG42" s="193">
        <v>0.46944444444444444</v>
      </c>
      <c r="AH42" s="193">
        <v>0.86111111111111116</v>
      </c>
    </row>
    <row r="43" spans="1:34" x14ac:dyDescent="0.25">
      <c r="A43" s="3" t="s">
        <v>283</v>
      </c>
      <c r="B43" s="3">
        <v>137471</v>
      </c>
      <c r="C43" s="3" t="s">
        <v>5105</v>
      </c>
      <c r="D43" s="3" t="s">
        <v>3526</v>
      </c>
      <c r="E43" s="3">
        <v>7</v>
      </c>
      <c r="F43" s="3">
        <v>4</v>
      </c>
      <c r="G43" s="3">
        <v>5</v>
      </c>
      <c r="H43" s="55" t="s">
        <v>5095</v>
      </c>
      <c r="I43" s="3" t="s">
        <v>279</v>
      </c>
      <c r="J43" s="135">
        <v>46241</v>
      </c>
      <c r="L43" s="3">
        <v>1795</v>
      </c>
      <c r="M43" s="3">
        <v>5320</v>
      </c>
      <c r="N43" s="3" t="s">
        <v>5097</v>
      </c>
      <c r="R43" s="3">
        <v>5</v>
      </c>
      <c r="S43" s="3">
        <v>9064</v>
      </c>
      <c r="T43" s="3" t="s">
        <v>5107</v>
      </c>
      <c r="U43" s="3" t="s">
        <v>298</v>
      </c>
      <c r="V43" s="3">
        <v>600</v>
      </c>
      <c r="W43" s="3">
        <v>0</v>
      </c>
      <c r="X43" s="3">
        <v>1140</v>
      </c>
      <c r="Y43" s="3">
        <v>0</v>
      </c>
      <c r="Z43" s="3">
        <v>0</v>
      </c>
      <c r="AA43" s="3">
        <v>1140</v>
      </c>
      <c r="AB43" s="3">
        <v>7896</v>
      </c>
      <c r="AC43" s="171">
        <v>0</v>
      </c>
      <c r="AF43" s="193">
        <v>7.9166666666666663E-2</v>
      </c>
      <c r="AG43" s="193">
        <v>0.54861111111111116</v>
      </c>
      <c r="AH43" s="193">
        <v>0.94027777777777777</v>
      </c>
    </row>
    <row r="44" spans="1:34" x14ac:dyDescent="0.25">
      <c r="A44" s="3" t="s">
        <v>287</v>
      </c>
      <c r="B44" s="3">
        <v>136628</v>
      </c>
      <c r="C44" s="3" t="s">
        <v>5105</v>
      </c>
      <c r="D44" s="3" t="s">
        <v>3526</v>
      </c>
      <c r="E44" s="3">
        <v>7</v>
      </c>
      <c r="F44" s="3">
        <v>1</v>
      </c>
      <c r="G44" s="3">
        <v>3</v>
      </c>
      <c r="H44" s="55" t="s">
        <v>5095</v>
      </c>
      <c r="I44" s="3" t="s">
        <v>279</v>
      </c>
      <c r="J44" s="135">
        <v>46210</v>
      </c>
      <c r="K44" s="3" t="s">
        <v>5291</v>
      </c>
      <c r="L44" s="3">
        <v>1795</v>
      </c>
      <c r="M44" s="3">
        <v>5320</v>
      </c>
      <c r="N44" s="3" t="s">
        <v>5097</v>
      </c>
      <c r="R44" s="3">
        <v>5</v>
      </c>
      <c r="S44" s="3">
        <v>21552</v>
      </c>
      <c r="T44" s="3" t="s">
        <v>5106</v>
      </c>
      <c r="U44" s="3" t="s">
        <v>281</v>
      </c>
      <c r="V44" s="3">
        <v>376</v>
      </c>
      <c r="W44" s="3">
        <v>0</v>
      </c>
      <c r="X44" s="3">
        <v>5700</v>
      </c>
      <c r="Y44" s="3">
        <v>4992</v>
      </c>
      <c r="Z44" s="3">
        <v>0</v>
      </c>
      <c r="AA44" s="3">
        <v>708</v>
      </c>
      <c r="AB44" s="3">
        <v>708</v>
      </c>
      <c r="AC44" s="171">
        <v>8.3333333333333332E-3</v>
      </c>
      <c r="AD44" s="3" t="s">
        <v>292</v>
      </c>
      <c r="AF44" s="193">
        <v>7.8472222222222221E-2</v>
      </c>
      <c r="AG44" s="193">
        <v>7.8472222222222221E-2</v>
      </c>
      <c r="AH44" s="193">
        <v>0.36388888888888887</v>
      </c>
    </row>
    <row r="45" spans="1:34" x14ac:dyDescent="0.25">
      <c r="A45" s="3" t="s">
        <v>287</v>
      </c>
      <c r="B45" s="3">
        <v>137483</v>
      </c>
      <c r="C45" s="3" t="s">
        <v>5105</v>
      </c>
      <c r="D45" s="3" t="s">
        <v>3526</v>
      </c>
      <c r="E45" s="3">
        <v>7</v>
      </c>
      <c r="F45" s="3">
        <v>2</v>
      </c>
      <c r="G45" s="3">
        <v>3</v>
      </c>
      <c r="H45" s="55" t="s">
        <v>5095</v>
      </c>
      <c r="I45" s="3" t="s">
        <v>279</v>
      </c>
      <c r="J45" s="135">
        <v>46241</v>
      </c>
      <c r="L45" s="3">
        <v>1795</v>
      </c>
      <c r="M45" s="3">
        <v>5320</v>
      </c>
      <c r="N45" s="3" t="s">
        <v>5097</v>
      </c>
      <c r="R45" s="3">
        <v>5</v>
      </c>
      <c r="S45" s="3">
        <v>9064</v>
      </c>
      <c r="T45" s="3" t="s">
        <v>5107</v>
      </c>
      <c r="U45" s="3" t="s">
        <v>5109</v>
      </c>
      <c r="V45" s="3">
        <v>600</v>
      </c>
      <c r="W45" s="3">
        <v>0</v>
      </c>
      <c r="X45" s="3">
        <v>5700</v>
      </c>
      <c r="Y45" s="3">
        <v>0</v>
      </c>
      <c r="Z45" s="3">
        <v>0</v>
      </c>
      <c r="AA45" s="3">
        <v>5700</v>
      </c>
      <c r="AB45" s="3">
        <v>6408</v>
      </c>
      <c r="AC45" s="171">
        <v>0.1</v>
      </c>
      <c r="AD45" s="3" t="s">
        <v>294</v>
      </c>
      <c r="AE45" s="3" t="s">
        <v>5292</v>
      </c>
      <c r="AF45" s="193">
        <v>0.39583333333333331</v>
      </c>
      <c r="AG45" s="193">
        <v>0.47430555555555554</v>
      </c>
      <c r="AH45" s="193">
        <v>0.8666666666666667</v>
      </c>
    </row>
    <row r="46" spans="1:34" x14ac:dyDescent="0.25">
      <c r="A46" s="3" t="s">
        <v>287</v>
      </c>
      <c r="B46" s="3">
        <v>137466</v>
      </c>
      <c r="C46" s="3" t="s">
        <v>5105</v>
      </c>
      <c r="D46" s="3" t="s">
        <v>3526</v>
      </c>
      <c r="E46" s="3">
        <v>7</v>
      </c>
      <c r="F46" s="3">
        <v>3</v>
      </c>
      <c r="G46" s="3">
        <v>4</v>
      </c>
      <c r="H46" s="55" t="s">
        <v>5095</v>
      </c>
      <c r="I46" s="3" t="s">
        <v>279</v>
      </c>
      <c r="J46" s="135">
        <v>46241</v>
      </c>
      <c r="L46" s="3">
        <v>1795</v>
      </c>
      <c r="M46" s="3">
        <v>5320</v>
      </c>
      <c r="N46" s="3" t="s">
        <v>5097</v>
      </c>
      <c r="R46" s="3">
        <v>5</v>
      </c>
      <c r="S46" s="3">
        <v>9064</v>
      </c>
      <c r="T46" s="3" t="s">
        <v>5107</v>
      </c>
      <c r="U46" s="3" t="s">
        <v>5187</v>
      </c>
      <c r="V46" s="3">
        <v>600</v>
      </c>
      <c r="W46" s="3">
        <v>0</v>
      </c>
      <c r="X46" s="3">
        <v>1704</v>
      </c>
      <c r="Y46" s="3">
        <v>0</v>
      </c>
      <c r="Z46" s="3">
        <v>0</v>
      </c>
      <c r="AA46" s="3">
        <v>1704</v>
      </c>
      <c r="AB46" s="3">
        <v>8112</v>
      </c>
      <c r="AC46" s="171">
        <v>8.3333333333333332E-3</v>
      </c>
      <c r="AD46" s="3" t="s">
        <v>404</v>
      </c>
      <c r="AF46" s="193">
        <v>0.11805555555555555</v>
      </c>
      <c r="AG46" s="193">
        <v>0.59236111111111112</v>
      </c>
      <c r="AH46" s="193">
        <v>0.99305555555555558</v>
      </c>
    </row>
    <row r="47" spans="1:34" x14ac:dyDescent="0.25">
      <c r="A47" s="3" t="s">
        <v>288</v>
      </c>
      <c r="B47" s="3">
        <v>136623</v>
      </c>
      <c r="C47" s="3" t="s">
        <v>5105</v>
      </c>
      <c r="D47" s="3" t="s">
        <v>3526</v>
      </c>
      <c r="E47" s="3">
        <v>7</v>
      </c>
      <c r="F47" s="3">
        <v>1</v>
      </c>
      <c r="G47" s="3">
        <v>3</v>
      </c>
      <c r="H47" s="55" t="s">
        <v>5095</v>
      </c>
      <c r="I47" s="3" t="s">
        <v>279</v>
      </c>
      <c r="J47" s="135">
        <v>46210</v>
      </c>
      <c r="K47" s="3" t="s">
        <v>5096</v>
      </c>
      <c r="L47" s="3">
        <v>1795</v>
      </c>
      <c r="M47" s="3">
        <v>5320</v>
      </c>
      <c r="N47" s="3" t="s">
        <v>5097</v>
      </c>
      <c r="R47" s="3">
        <v>5</v>
      </c>
      <c r="S47" s="3">
        <v>21552</v>
      </c>
      <c r="T47" s="3" t="s">
        <v>5106</v>
      </c>
      <c r="U47" s="3" t="s">
        <v>5109</v>
      </c>
      <c r="V47" s="3">
        <v>376</v>
      </c>
      <c r="W47" s="3">
        <v>0</v>
      </c>
      <c r="X47" s="3">
        <v>5700</v>
      </c>
      <c r="Y47" s="3">
        <v>5640</v>
      </c>
      <c r="Z47" s="3">
        <v>0</v>
      </c>
      <c r="AA47" s="3">
        <v>60</v>
      </c>
      <c r="AB47" s="3">
        <v>60</v>
      </c>
      <c r="AC47" s="171">
        <v>0</v>
      </c>
      <c r="AF47" s="193">
        <v>6.9444444444444441E-3</v>
      </c>
      <c r="AG47" s="193">
        <v>6.9444444444444441E-3</v>
      </c>
      <c r="AH47" s="193">
        <v>0.28402777777777777</v>
      </c>
    </row>
    <row r="48" spans="1:34" x14ac:dyDescent="0.25">
      <c r="A48" s="3" t="s">
        <v>291</v>
      </c>
      <c r="B48" s="3">
        <v>135928</v>
      </c>
      <c r="C48" s="3">
        <v>942207</v>
      </c>
      <c r="D48" s="3" t="s">
        <v>3526</v>
      </c>
      <c r="E48" s="3">
        <v>7</v>
      </c>
      <c r="F48" s="3">
        <v>1</v>
      </c>
      <c r="G48" s="3">
        <v>6</v>
      </c>
      <c r="H48" s="55" t="s">
        <v>5099</v>
      </c>
      <c r="I48" s="3" t="s">
        <v>279</v>
      </c>
      <c r="J48" s="135">
        <v>46210</v>
      </c>
      <c r="K48" s="3" t="s">
        <v>5291</v>
      </c>
      <c r="L48" s="3">
        <v>1795</v>
      </c>
      <c r="M48" s="3">
        <v>5320</v>
      </c>
      <c r="N48" s="3" t="s">
        <v>5097</v>
      </c>
      <c r="R48" s="3">
        <v>5</v>
      </c>
      <c r="S48" s="3" t="s">
        <v>5293</v>
      </c>
      <c r="T48" s="3" t="s">
        <v>5203</v>
      </c>
      <c r="U48" s="3" t="s">
        <v>284</v>
      </c>
      <c r="V48" s="3">
        <v>600</v>
      </c>
      <c r="W48" s="3">
        <v>0</v>
      </c>
      <c r="X48" s="3">
        <v>576</v>
      </c>
      <c r="Y48" s="3">
        <v>552</v>
      </c>
      <c r="Z48" s="3">
        <v>0</v>
      </c>
      <c r="AA48" s="3">
        <v>24</v>
      </c>
      <c r="AB48" s="3">
        <v>24</v>
      </c>
      <c r="AC48" s="171">
        <v>0</v>
      </c>
      <c r="AF48" s="193">
        <v>1.3888888888888889E-3</v>
      </c>
      <c r="AG48" s="193">
        <v>1.3888888888888889E-3</v>
      </c>
      <c r="AH48" s="193">
        <v>0.27847222222222223</v>
      </c>
    </row>
    <row r="49" spans="1:34" x14ac:dyDescent="0.25">
      <c r="A49" s="3" t="s">
        <v>291</v>
      </c>
      <c r="B49" s="3">
        <v>135928</v>
      </c>
      <c r="C49" s="3">
        <v>942207</v>
      </c>
      <c r="D49" s="3" t="s">
        <v>3526</v>
      </c>
      <c r="E49" s="3">
        <v>7</v>
      </c>
      <c r="F49" s="3">
        <v>2</v>
      </c>
      <c r="G49" s="3">
        <v>7</v>
      </c>
      <c r="H49" s="55" t="s">
        <v>5099</v>
      </c>
      <c r="I49" s="3" t="s">
        <v>5358</v>
      </c>
      <c r="J49" s="135">
        <v>46210</v>
      </c>
      <c r="L49" s="3">
        <v>1795</v>
      </c>
      <c r="M49" s="3">
        <v>5320</v>
      </c>
      <c r="N49" s="3" t="s">
        <v>5097</v>
      </c>
      <c r="R49" s="3">
        <v>5</v>
      </c>
      <c r="S49" s="3" t="s">
        <v>5293</v>
      </c>
      <c r="T49" s="3" t="s">
        <v>5203</v>
      </c>
      <c r="U49" s="3" t="s">
        <v>280</v>
      </c>
      <c r="V49" s="3">
        <v>600</v>
      </c>
      <c r="W49" s="3">
        <v>0</v>
      </c>
      <c r="X49" s="3">
        <v>970</v>
      </c>
      <c r="Y49" s="3">
        <v>0</v>
      </c>
      <c r="Z49" s="3">
        <v>0</v>
      </c>
      <c r="AA49" s="3">
        <v>970</v>
      </c>
      <c r="AB49" s="3">
        <v>994</v>
      </c>
      <c r="AC49" s="171">
        <v>0</v>
      </c>
      <c r="AF49" s="193">
        <v>6.7361111111111108E-2</v>
      </c>
      <c r="AG49" s="193">
        <v>6.8750000000000006E-2</v>
      </c>
      <c r="AH49" s="193">
        <v>0.34583333333333333</v>
      </c>
    </row>
    <row r="50" spans="1:34" x14ac:dyDescent="0.25">
      <c r="A50" s="3" t="s">
        <v>291</v>
      </c>
      <c r="B50" s="3">
        <v>135928</v>
      </c>
      <c r="C50" s="3">
        <v>942207</v>
      </c>
      <c r="D50" s="3" t="s">
        <v>3526</v>
      </c>
      <c r="E50" s="3">
        <v>7</v>
      </c>
      <c r="F50" s="3">
        <v>3</v>
      </c>
      <c r="G50" s="3">
        <v>8</v>
      </c>
      <c r="H50" s="55" t="s">
        <v>5099</v>
      </c>
      <c r="I50" s="3" t="s">
        <v>5358</v>
      </c>
      <c r="J50" s="135">
        <v>46210</v>
      </c>
      <c r="L50" s="3">
        <v>1795</v>
      </c>
      <c r="M50" s="3">
        <v>5320</v>
      </c>
      <c r="N50" s="3" t="s">
        <v>5097</v>
      </c>
      <c r="R50" s="3">
        <v>5</v>
      </c>
      <c r="S50" s="3" t="s">
        <v>5293</v>
      </c>
      <c r="T50" s="3" t="s">
        <v>5203</v>
      </c>
      <c r="U50" s="3" t="s">
        <v>5109</v>
      </c>
      <c r="V50" s="3">
        <v>600</v>
      </c>
      <c r="W50" s="3">
        <v>0</v>
      </c>
      <c r="X50" s="3">
        <v>1352</v>
      </c>
      <c r="Y50" s="3">
        <v>0</v>
      </c>
      <c r="Z50" s="3">
        <v>0</v>
      </c>
      <c r="AA50" s="3">
        <v>1352</v>
      </c>
      <c r="AB50" s="3">
        <v>2346</v>
      </c>
      <c r="AC50" s="171">
        <v>8.3333333333333332E-3</v>
      </c>
      <c r="AD50" s="3" t="s">
        <v>292</v>
      </c>
      <c r="AF50" s="193">
        <v>9.375E-2</v>
      </c>
      <c r="AG50" s="193">
        <v>0.16319444444444445</v>
      </c>
      <c r="AH50" s="193">
        <v>0.44791666666666669</v>
      </c>
    </row>
    <row r="51" spans="1:34" x14ac:dyDescent="0.25">
      <c r="A51" s="3" t="s">
        <v>291</v>
      </c>
      <c r="B51" s="3">
        <v>137484</v>
      </c>
      <c r="C51" s="3" t="s">
        <v>5105</v>
      </c>
      <c r="D51" s="3" t="s">
        <v>3526</v>
      </c>
      <c r="E51" s="3">
        <v>7</v>
      </c>
      <c r="F51" s="3">
        <v>4</v>
      </c>
      <c r="G51" s="3">
        <v>3</v>
      </c>
      <c r="H51" s="55" t="s">
        <v>5095</v>
      </c>
      <c r="I51" s="3" t="s">
        <v>279</v>
      </c>
      <c r="J51" s="135">
        <v>46241</v>
      </c>
      <c r="K51" s="135" t="s">
        <v>5291</v>
      </c>
      <c r="L51" s="3">
        <v>1795</v>
      </c>
      <c r="M51" s="3">
        <v>5320</v>
      </c>
      <c r="N51" s="3" t="s">
        <v>5097</v>
      </c>
      <c r="R51" s="3">
        <v>5</v>
      </c>
      <c r="S51" s="3">
        <v>9064</v>
      </c>
      <c r="T51" s="3" t="s">
        <v>5107</v>
      </c>
      <c r="U51" s="3" t="s">
        <v>5109</v>
      </c>
      <c r="V51" s="3">
        <v>600</v>
      </c>
      <c r="W51" s="3">
        <v>0</v>
      </c>
      <c r="X51" s="3">
        <v>5700</v>
      </c>
      <c r="Y51" s="3">
        <v>3708</v>
      </c>
      <c r="Z51" s="3">
        <v>0</v>
      </c>
      <c r="AA51" s="3">
        <v>1992</v>
      </c>
      <c r="AB51" s="3">
        <v>4338</v>
      </c>
      <c r="AC51" s="171">
        <v>0.05</v>
      </c>
      <c r="AD51" s="3" t="s">
        <v>294</v>
      </c>
      <c r="AE51" s="3" t="s">
        <v>5292</v>
      </c>
      <c r="AF51" s="193">
        <v>0.13819444444444445</v>
      </c>
      <c r="AG51" s="193">
        <v>0.30138888888888887</v>
      </c>
      <c r="AH51" s="193">
        <v>0.6430555555555556</v>
      </c>
    </row>
    <row r="52" spans="1:34" x14ac:dyDescent="0.25">
      <c r="A52" s="3" t="s">
        <v>296</v>
      </c>
      <c r="B52" s="3">
        <v>135973</v>
      </c>
      <c r="C52" s="3">
        <v>942207</v>
      </c>
      <c r="D52" s="3" t="s">
        <v>3526</v>
      </c>
      <c r="E52" s="3">
        <v>7</v>
      </c>
      <c r="F52" s="3">
        <v>1</v>
      </c>
      <c r="G52" s="3">
        <v>10</v>
      </c>
      <c r="H52" s="55" t="s">
        <v>5099</v>
      </c>
      <c r="I52" s="3" t="s">
        <v>279</v>
      </c>
      <c r="J52" s="135">
        <v>46210</v>
      </c>
      <c r="K52" s="3" t="s">
        <v>5291</v>
      </c>
      <c r="L52" s="3">
        <v>1795</v>
      </c>
      <c r="M52" s="3">
        <v>6466</v>
      </c>
      <c r="N52" s="3" t="s">
        <v>5115</v>
      </c>
      <c r="R52" s="3">
        <v>5</v>
      </c>
      <c r="S52" s="3" t="s">
        <v>5116</v>
      </c>
      <c r="T52" s="3" t="s">
        <v>5117</v>
      </c>
      <c r="U52" s="3" t="s">
        <v>284</v>
      </c>
      <c r="V52" s="3">
        <v>600</v>
      </c>
      <c r="W52" s="3">
        <v>0</v>
      </c>
      <c r="X52" s="3">
        <v>6566</v>
      </c>
      <c r="Y52" s="3">
        <v>6456</v>
      </c>
      <c r="Z52" s="3">
        <v>0</v>
      </c>
      <c r="AA52" s="3">
        <v>110</v>
      </c>
      <c r="AB52" s="3">
        <v>110</v>
      </c>
      <c r="AC52" s="171">
        <v>0</v>
      </c>
      <c r="AF52" s="193">
        <v>7.6388888888888886E-3</v>
      </c>
      <c r="AG52" s="193">
        <v>7.6388888888888886E-3</v>
      </c>
      <c r="AH52" s="193">
        <v>0.28472222222222221</v>
      </c>
    </row>
    <row r="53" spans="1:34" x14ac:dyDescent="0.25">
      <c r="A53" s="3" t="s">
        <v>296</v>
      </c>
      <c r="B53" s="3">
        <v>135962</v>
      </c>
      <c r="C53" s="3">
        <v>942207</v>
      </c>
      <c r="D53" s="3" t="s">
        <v>3526</v>
      </c>
      <c r="E53" s="3">
        <v>7</v>
      </c>
      <c r="F53" s="3">
        <v>2</v>
      </c>
      <c r="G53" s="3">
        <v>8</v>
      </c>
      <c r="H53" s="55" t="s">
        <v>5099</v>
      </c>
      <c r="I53" s="3" t="s">
        <v>279</v>
      </c>
      <c r="J53" s="135">
        <v>46210</v>
      </c>
      <c r="K53" s="3" t="s">
        <v>5096</v>
      </c>
      <c r="L53" s="3">
        <v>1750</v>
      </c>
      <c r="M53" s="3">
        <v>6466</v>
      </c>
      <c r="N53" s="3" t="s">
        <v>5115</v>
      </c>
      <c r="R53" s="3">
        <v>5</v>
      </c>
      <c r="S53" s="3" t="s">
        <v>5118</v>
      </c>
      <c r="T53" s="3" t="s">
        <v>5119</v>
      </c>
      <c r="U53" s="3" t="s">
        <v>284</v>
      </c>
      <c r="V53" s="3">
        <v>600</v>
      </c>
      <c r="W53" s="3">
        <v>0</v>
      </c>
      <c r="X53" s="3">
        <v>1862</v>
      </c>
      <c r="Y53" s="3">
        <v>1790</v>
      </c>
      <c r="Z53" s="3">
        <v>0</v>
      </c>
      <c r="AA53" s="3">
        <v>72</v>
      </c>
      <c r="AB53" s="3">
        <v>182</v>
      </c>
      <c r="AC53" s="171">
        <v>0</v>
      </c>
      <c r="AF53" s="193">
        <v>4.8611111111111112E-3</v>
      </c>
      <c r="AG53" s="193">
        <v>1.2500000000000001E-2</v>
      </c>
      <c r="AH53" s="193">
        <v>0.28958333333333336</v>
      </c>
    </row>
    <row r="54" spans="1:34" x14ac:dyDescent="0.25">
      <c r="A54" s="3" t="s">
        <v>296</v>
      </c>
      <c r="B54" s="3">
        <v>135962</v>
      </c>
      <c r="C54" s="3">
        <v>942207</v>
      </c>
      <c r="D54" s="3" t="s">
        <v>3526</v>
      </c>
      <c r="E54" s="3">
        <v>7</v>
      </c>
      <c r="F54" s="3">
        <v>3</v>
      </c>
      <c r="G54" s="3">
        <v>9</v>
      </c>
      <c r="H54" s="55" t="s">
        <v>5099</v>
      </c>
      <c r="I54" s="3" t="s">
        <v>279</v>
      </c>
      <c r="J54" s="135">
        <v>46210</v>
      </c>
      <c r="K54" s="3" t="s">
        <v>5363</v>
      </c>
      <c r="L54" s="3">
        <v>1750</v>
      </c>
      <c r="M54" s="3">
        <v>6466</v>
      </c>
      <c r="N54" s="3" t="s">
        <v>5115</v>
      </c>
      <c r="R54" s="3">
        <v>5</v>
      </c>
      <c r="S54" s="3" t="s">
        <v>5118</v>
      </c>
      <c r="T54" s="3" t="s">
        <v>5119</v>
      </c>
      <c r="U54" s="3" t="s">
        <v>280</v>
      </c>
      <c r="V54" s="3">
        <v>600</v>
      </c>
      <c r="W54" s="3">
        <v>0</v>
      </c>
      <c r="X54" s="3">
        <v>948</v>
      </c>
      <c r="Y54" s="3">
        <v>396</v>
      </c>
      <c r="Z54" s="3">
        <v>0</v>
      </c>
      <c r="AA54" s="3">
        <v>552</v>
      </c>
      <c r="AB54" s="3">
        <v>734</v>
      </c>
      <c r="AC54" s="171">
        <v>0</v>
      </c>
      <c r="AF54" s="193">
        <v>3.8194444444444448E-2</v>
      </c>
      <c r="AG54" s="193">
        <v>5.0694444444444445E-2</v>
      </c>
      <c r="AH54" s="193">
        <v>0.32777777777777778</v>
      </c>
    </row>
    <row r="55" spans="1:34" x14ac:dyDescent="0.25">
      <c r="A55" s="3" t="s">
        <v>296</v>
      </c>
      <c r="B55" s="3">
        <v>135962</v>
      </c>
      <c r="C55" s="3">
        <v>942207</v>
      </c>
      <c r="D55" s="3" t="s">
        <v>3526</v>
      </c>
      <c r="E55" s="3">
        <v>7</v>
      </c>
      <c r="F55" s="3">
        <v>4</v>
      </c>
      <c r="G55" s="3">
        <v>7</v>
      </c>
      <c r="H55" s="55" t="s">
        <v>5099</v>
      </c>
      <c r="I55" s="3" t="s">
        <v>279</v>
      </c>
      <c r="J55" s="135">
        <v>46210</v>
      </c>
      <c r="L55" s="3">
        <v>1750</v>
      </c>
      <c r="M55" s="3">
        <v>6466</v>
      </c>
      <c r="N55" s="3" t="s">
        <v>5115</v>
      </c>
      <c r="R55" s="3">
        <v>5</v>
      </c>
      <c r="S55" s="3" t="s">
        <v>5118</v>
      </c>
      <c r="T55" s="3" t="s">
        <v>5119</v>
      </c>
      <c r="U55" s="3">
        <v>36</v>
      </c>
      <c r="V55" s="3">
        <v>600</v>
      </c>
      <c r="W55" s="3">
        <v>0</v>
      </c>
      <c r="X55" s="3">
        <v>1030</v>
      </c>
      <c r="Y55" s="3">
        <v>0</v>
      </c>
      <c r="Z55" s="3">
        <v>0</v>
      </c>
      <c r="AA55" s="3">
        <v>1030</v>
      </c>
      <c r="AB55" s="3">
        <v>1764</v>
      </c>
      <c r="AC55" s="171">
        <v>8.3333333333333332E-3</v>
      </c>
      <c r="AD55" s="3" t="s">
        <v>292</v>
      </c>
      <c r="AF55" s="193">
        <v>7.1527777777777773E-2</v>
      </c>
      <c r="AG55" s="193">
        <v>0.12222222222222222</v>
      </c>
      <c r="AH55" s="193">
        <v>0.40763888888888888</v>
      </c>
    </row>
    <row r="56" spans="1:34" x14ac:dyDescent="0.25">
      <c r="A56" s="3" t="s">
        <v>296</v>
      </c>
      <c r="B56" s="3">
        <v>135984</v>
      </c>
      <c r="C56" s="3">
        <v>942207</v>
      </c>
      <c r="D56" s="3" t="s">
        <v>3526</v>
      </c>
      <c r="E56" s="3">
        <v>7</v>
      </c>
      <c r="F56" s="3">
        <v>5</v>
      </c>
      <c r="G56" s="3">
        <v>6</v>
      </c>
      <c r="H56" s="55" t="s">
        <v>5099</v>
      </c>
      <c r="I56" s="3" t="s">
        <v>279</v>
      </c>
      <c r="J56" s="135">
        <v>46210</v>
      </c>
      <c r="K56" s="3" t="s">
        <v>5096</v>
      </c>
      <c r="L56" s="3">
        <v>1795</v>
      </c>
      <c r="M56" s="3">
        <v>6466</v>
      </c>
      <c r="N56" s="3" t="s">
        <v>5115</v>
      </c>
      <c r="R56" s="3">
        <v>5</v>
      </c>
      <c r="S56" s="3" t="s">
        <v>5120</v>
      </c>
      <c r="T56" s="3" t="s">
        <v>5121</v>
      </c>
      <c r="U56" s="3" t="s">
        <v>298</v>
      </c>
      <c r="V56" s="3">
        <v>600</v>
      </c>
      <c r="W56" s="3">
        <v>0</v>
      </c>
      <c r="X56" s="3">
        <v>286</v>
      </c>
      <c r="Y56" s="3">
        <v>260</v>
      </c>
      <c r="Z56" s="3">
        <v>0</v>
      </c>
      <c r="AA56" s="3">
        <v>26</v>
      </c>
      <c r="AB56" s="3">
        <v>1790</v>
      </c>
      <c r="AC56" s="171">
        <v>0</v>
      </c>
      <c r="AF56" s="193">
        <v>2.0833333333333333E-3</v>
      </c>
      <c r="AG56" s="193">
        <v>0.12430555555555556</v>
      </c>
      <c r="AH56" s="193">
        <v>0.40972222222222221</v>
      </c>
    </row>
    <row r="57" spans="1:34" x14ac:dyDescent="0.25">
      <c r="A57" s="3" t="s">
        <v>296</v>
      </c>
      <c r="B57" s="3">
        <v>135984</v>
      </c>
      <c r="C57" s="3">
        <v>942207</v>
      </c>
      <c r="D57" s="3" t="s">
        <v>3526</v>
      </c>
      <c r="E57" s="3">
        <v>7</v>
      </c>
      <c r="F57" s="3">
        <v>6</v>
      </c>
      <c r="G57" s="3">
        <v>9</v>
      </c>
      <c r="H57" s="55" t="s">
        <v>5099</v>
      </c>
      <c r="I57" s="3" t="s">
        <v>279</v>
      </c>
      <c r="J57" s="135">
        <v>46210</v>
      </c>
      <c r="L57" s="3">
        <v>1795</v>
      </c>
      <c r="M57" s="3">
        <v>6466</v>
      </c>
      <c r="N57" s="3" t="s">
        <v>5115</v>
      </c>
      <c r="R57" s="3">
        <v>5</v>
      </c>
      <c r="S57" s="3" t="s">
        <v>5120</v>
      </c>
      <c r="T57" s="3" t="s">
        <v>5121</v>
      </c>
      <c r="U57" s="3" t="s">
        <v>284</v>
      </c>
      <c r="V57" s="3">
        <v>600</v>
      </c>
      <c r="W57" s="3">
        <v>0</v>
      </c>
      <c r="X57" s="3">
        <v>1364</v>
      </c>
      <c r="Y57" s="3">
        <v>0</v>
      </c>
      <c r="Z57" s="3">
        <v>0</v>
      </c>
      <c r="AA57" s="3">
        <v>1364</v>
      </c>
      <c r="AB57" s="3">
        <v>3154</v>
      </c>
      <c r="AC57" s="171">
        <v>4.1666666666666664E-2</v>
      </c>
      <c r="AD57" s="3" t="s">
        <v>294</v>
      </c>
      <c r="AE57" s="3" t="s">
        <v>295</v>
      </c>
      <c r="AF57" s="193">
        <v>9.4444444444444442E-2</v>
      </c>
      <c r="AG57" s="193">
        <v>0.21875</v>
      </c>
      <c r="AH57" s="193">
        <v>0.54583333333333328</v>
      </c>
    </row>
    <row r="58" spans="1:34" x14ac:dyDescent="0.25">
      <c r="A58" s="3" t="s">
        <v>299</v>
      </c>
      <c r="B58" s="3">
        <v>137482</v>
      </c>
      <c r="C58" s="3" t="s">
        <v>5105</v>
      </c>
      <c r="D58" s="3" t="s">
        <v>3526</v>
      </c>
      <c r="E58" s="3">
        <v>7</v>
      </c>
      <c r="F58" s="3">
        <v>1</v>
      </c>
      <c r="G58" s="3">
        <v>3</v>
      </c>
      <c r="H58" s="55" t="s">
        <v>5095</v>
      </c>
      <c r="I58" s="3" t="s">
        <v>279</v>
      </c>
      <c r="J58" s="135">
        <v>46241</v>
      </c>
      <c r="K58" s="3" t="s">
        <v>5096</v>
      </c>
      <c r="L58" s="3">
        <v>1795</v>
      </c>
      <c r="M58" s="3">
        <v>5320</v>
      </c>
      <c r="N58" s="3" t="s">
        <v>5097</v>
      </c>
      <c r="R58" s="3">
        <v>5</v>
      </c>
      <c r="S58" s="3">
        <v>9064</v>
      </c>
      <c r="T58" s="3" t="s">
        <v>5107</v>
      </c>
      <c r="U58" s="3" t="s">
        <v>5109</v>
      </c>
      <c r="V58" s="3">
        <v>600</v>
      </c>
      <c r="W58" s="3">
        <v>0</v>
      </c>
      <c r="X58" s="3">
        <v>5700</v>
      </c>
      <c r="Y58" s="3">
        <v>5496</v>
      </c>
      <c r="Z58" s="3">
        <v>0</v>
      </c>
      <c r="AA58" s="3">
        <v>204</v>
      </c>
      <c r="AB58" s="3">
        <v>204</v>
      </c>
      <c r="AC58" s="171">
        <v>0</v>
      </c>
      <c r="AF58" s="193">
        <v>1.3888888888888888E-2</v>
      </c>
      <c r="AG58" s="193">
        <v>1.3888888888888888E-2</v>
      </c>
      <c r="AH58" s="193">
        <v>0.29097222222222224</v>
      </c>
    </row>
    <row r="59" spans="1:34" x14ac:dyDescent="0.25">
      <c r="A59" s="3" t="s">
        <v>299</v>
      </c>
      <c r="B59" s="3">
        <v>136562</v>
      </c>
      <c r="C59" s="3" t="s">
        <v>5105</v>
      </c>
      <c r="D59" s="3" t="s">
        <v>3526</v>
      </c>
      <c r="E59" s="3">
        <v>7</v>
      </c>
      <c r="F59" s="3">
        <v>2</v>
      </c>
      <c r="G59" s="3">
        <v>3</v>
      </c>
      <c r="H59" s="55" t="s">
        <v>5095</v>
      </c>
      <c r="I59" s="3" t="s">
        <v>279</v>
      </c>
      <c r="J59" s="135">
        <v>46210</v>
      </c>
      <c r="K59" s="3" t="s">
        <v>5291</v>
      </c>
      <c r="L59" s="3">
        <v>1795</v>
      </c>
      <c r="M59" s="3">
        <v>5320</v>
      </c>
      <c r="N59" s="3" t="s">
        <v>5097</v>
      </c>
      <c r="R59" s="3">
        <v>5</v>
      </c>
      <c r="S59" s="3">
        <v>21552</v>
      </c>
      <c r="T59" s="3" t="s">
        <v>5106</v>
      </c>
      <c r="U59" s="3" t="s">
        <v>280</v>
      </c>
      <c r="V59" s="3">
        <v>376</v>
      </c>
      <c r="W59" s="3">
        <v>0</v>
      </c>
      <c r="X59" s="3">
        <v>4560</v>
      </c>
      <c r="Y59" s="3">
        <v>4320</v>
      </c>
      <c r="Z59" s="3">
        <v>0</v>
      </c>
      <c r="AA59" s="3">
        <v>240</v>
      </c>
      <c r="AB59" s="3">
        <v>444</v>
      </c>
      <c r="AC59" s="171">
        <v>0</v>
      </c>
      <c r="AF59" s="193">
        <v>2.6388888888888889E-2</v>
      </c>
      <c r="AG59" s="193">
        <v>4.0972222222222222E-2</v>
      </c>
      <c r="AH59" s="193">
        <v>0.31736111111111109</v>
      </c>
    </row>
    <row r="60" spans="1:34" x14ac:dyDescent="0.25">
      <c r="A60" s="3" t="s">
        <v>299</v>
      </c>
      <c r="B60" s="3">
        <v>136416</v>
      </c>
      <c r="C60" s="3" t="s">
        <v>5105</v>
      </c>
      <c r="D60" s="3" t="s">
        <v>3526</v>
      </c>
      <c r="E60" s="3">
        <v>7</v>
      </c>
      <c r="F60" s="3">
        <v>3</v>
      </c>
      <c r="G60" s="3">
        <v>3</v>
      </c>
      <c r="H60" s="55" t="s">
        <v>5095</v>
      </c>
      <c r="I60" s="3" t="s">
        <v>279</v>
      </c>
      <c r="J60" s="135">
        <v>46210</v>
      </c>
      <c r="K60" s="3" t="s">
        <v>5291</v>
      </c>
      <c r="L60" s="3">
        <v>1795</v>
      </c>
      <c r="M60" s="3">
        <v>5320</v>
      </c>
      <c r="N60" s="3" t="s">
        <v>5097</v>
      </c>
      <c r="R60" s="3">
        <v>5</v>
      </c>
      <c r="S60" s="3">
        <v>21552</v>
      </c>
      <c r="T60" s="3" t="s">
        <v>5106</v>
      </c>
      <c r="U60" s="3" t="s">
        <v>284</v>
      </c>
      <c r="V60" s="3">
        <v>376</v>
      </c>
      <c r="W60" s="3">
        <v>0</v>
      </c>
      <c r="X60" s="3">
        <v>4560</v>
      </c>
      <c r="Y60" s="3">
        <v>2124</v>
      </c>
      <c r="Z60" s="3">
        <v>0</v>
      </c>
      <c r="AA60" s="3">
        <v>2436</v>
      </c>
      <c r="AB60" s="3">
        <v>2880</v>
      </c>
      <c r="AC60" s="171">
        <v>5.8333333333333334E-2</v>
      </c>
      <c r="AD60" s="3" t="s">
        <v>285</v>
      </c>
      <c r="AE60" s="3" t="s">
        <v>286</v>
      </c>
      <c r="AF60" s="193">
        <v>0.27013888888888887</v>
      </c>
      <c r="AG60" s="193">
        <v>0.31041666666666667</v>
      </c>
      <c r="AH60" s="193">
        <v>0.65277777777777779</v>
      </c>
    </row>
    <row r="61" spans="1:34" x14ac:dyDescent="0.25">
      <c r="A61" s="3" t="s">
        <v>301</v>
      </c>
      <c r="B61" s="3">
        <v>120316</v>
      </c>
      <c r="C61" s="3">
        <v>941407</v>
      </c>
      <c r="D61" s="3" t="s">
        <v>3526</v>
      </c>
      <c r="E61" s="3">
        <v>5</v>
      </c>
      <c r="F61" s="3">
        <v>1</v>
      </c>
      <c r="G61" s="3">
        <v>8</v>
      </c>
      <c r="H61" s="55" t="s">
        <v>5099</v>
      </c>
      <c r="I61" s="3" t="s">
        <v>279</v>
      </c>
      <c r="J61" s="135" t="s">
        <v>5110</v>
      </c>
      <c r="K61" s="135">
        <v>46302</v>
      </c>
      <c r="L61" s="3">
        <v>1795</v>
      </c>
      <c r="M61" s="3">
        <v>81030</v>
      </c>
      <c r="N61" s="3" t="s">
        <v>5122</v>
      </c>
      <c r="R61" s="3">
        <v>7</v>
      </c>
      <c r="S61" s="3" t="s">
        <v>5123</v>
      </c>
      <c r="T61" s="3" t="s">
        <v>5111</v>
      </c>
      <c r="U61" s="3" t="s">
        <v>280</v>
      </c>
      <c r="V61" s="3">
        <v>597</v>
      </c>
      <c r="W61" s="3">
        <v>0</v>
      </c>
      <c r="X61" s="3">
        <v>3192</v>
      </c>
      <c r="Y61" s="3">
        <v>3094</v>
      </c>
      <c r="Z61" s="3">
        <v>0</v>
      </c>
      <c r="AA61" s="3">
        <v>98</v>
      </c>
      <c r="AB61" s="3">
        <v>98</v>
      </c>
      <c r="AC61" s="171">
        <v>0</v>
      </c>
      <c r="AF61" s="193">
        <v>6.9444444444444441E-3</v>
      </c>
      <c r="AG61" s="193">
        <v>6.9444444444444441E-3</v>
      </c>
      <c r="AH61" s="193">
        <v>0.28402777777777777</v>
      </c>
    </row>
    <row r="62" spans="1:34" x14ac:dyDescent="0.25">
      <c r="A62" s="3" t="s">
        <v>302</v>
      </c>
      <c r="B62" s="3">
        <v>132549</v>
      </c>
      <c r="C62" s="3">
        <v>941707</v>
      </c>
      <c r="D62" s="3" t="s">
        <v>3526</v>
      </c>
      <c r="E62" s="3">
        <v>6</v>
      </c>
      <c r="F62" s="3">
        <v>1</v>
      </c>
      <c r="G62" s="3">
        <v>4</v>
      </c>
      <c r="H62" s="55" t="s">
        <v>289</v>
      </c>
      <c r="I62" s="3" t="s">
        <v>279</v>
      </c>
      <c r="J62" s="135">
        <v>46180</v>
      </c>
      <c r="K62" s="135" t="s">
        <v>5108</v>
      </c>
      <c r="L62" s="3">
        <v>1795</v>
      </c>
      <c r="M62" s="3">
        <v>12741</v>
      </c>
      <c r="N62" s="3" t="s">
        <v>5124</v>
      </c>
      <c r="R62" s="3">
        <v>8</v>
      </c>
      <c r="S62" s="3" t="s">
        <v>5126</v>
      </c>
      <c r="T62" s="3" t="s">
        <v>5106</v>
      </c>
      <c r="U62" s="3" t="s">
        <v>280</v>
      </c>
      <c r="V62" s="3">
        <v>645</v>
      </c>
      <c r="W62" s="3">
        <v>0</v>
      </c>
      <c r="X62" s="3">
        <v>596</v>
      </c>
      <c r="Y62" s="3">
        <v>576</v>
      </c>
      <c r="Z62" s="3">
        <v>0</v>
      </c>
      <c r="AA62" s="3">
        <v>20</v>
      </c>
      <c r="AB62" s="3">
        <v>20</v>
      </c>
      <c r="AC62" s="172">
        <v>0</v>
      </c>
      <c r="AF62" s="193">
        <v>1.3888888888888889E-3</v>
      </c>
      <c r="AG62" s="193">
        <v>1.3888888888888889E-3</v>
      </c>
      <c r="AH62" s="193">
        <v>0.27847222222222223</v>
      </c>
    </row>
    <row r="63" spans="1:34" x14ac:dyDescent="0.25">
      <c r="A63" s="3" t="s">
        <v>302</v>
      </c>
      <c r="B63" s="3">
        <v>132549</v>
      </c>
      <c r="C63" s="3">
        <v>941707</v>
      </c>
      <c r="D63" s="3" t="s">
        <v>3526</v>
      </c>
      <c r="E63" s="3">
        <v>6</v>
      </c>
      <c r="F63" s="3">
        <v>2</v>
      </c>
      <c r="G63" s="3">
        <v>5</v>
      </c>
      <c r="H63" s="55" t="s">
        <v>289</v>
      </c>
      <c r="I63" s="3" t="s">
        <v>279</v>
      </c>
      <c r="J63" s="135">
        <v>46180</v>
      </c>
      <c r="K63" s="135" t="s">
        <v>5096</v>
      </c>
      <c r="L63" s="3">
        <v>1795</v>
      </c>
      <c r="M63" s="3">
        <v>12741</v>
      </c>
      <c r="N63" s="3" t="s">
        <v>5124</v>
      </c>
      <c r="R63" s="3">
        <v>8</v>
      </c>
      <c r="S63" s="3" t="s">
        <v>5126</v>
      </c>
      <c r="T63" s="3" t="s">
        <v>5106</v>
      </c>
      <c r="U63" s="3" t="s">
        <v>5109</v>
      </c>
      <c r="V63" s="3">
        <v>645</v>
      </c>
      <c r="W63" s="3">
        <v>0</v>
      </c>
      <c r="X63" s="3">
        <v>716</v>
      </c>
      <c r="Y63" s="3">
        <v>692</v>
      </c>
      <c r="Z63" s="3">
        <v>0</v>
      </c>
      <c r="AA63" s="3">
        <v>24</v>
      </c>
      <c r="AB63" s="3">
        <v>44</v>
      </c>
      <c r="AC63" s="172">
        <v>0</v>
      </c>
      <c r="AF63" s="193">
        <v>1.3888888888888889E-3</v>
      </c>
      <c r="AG63" s="193">
        <v>2.7777777777777779E-3</v>
      </c>
      <c r="AH63" s="193">
        <v>0.27986111111111112</v>
      </c>
    </row>
    <row r="64" spans="1:34" x14ac:dyDescent="0.25">
      <c r="A64" s="3" t="s">
        <v>302</v>
      </c>
      <c r="B64" s="3">
        <v>132553</v>
      </c>
      <c r="C64" s="3">
        <v>941707</v>
      </c>
      <c r="D64" s="3" t="s">
        <v>3526</v>
      </c>
      <c r="E64" s="3">
        <v>6</v>
      </c>
      <c r="F64" s="3">
        <v>3</v>
      </c>
      <c r="G64" s="3">
        <v>6</v>
      </c>
      <c r="H64" s="55" t="s">
        <v>289</v>
      </c>
      <c r="I64" s="3" t="s">
        <v>279</v>
      </c>
      <c r="J64" s="135">
        <v>46180</v>
      </c>
      <c r="K64" s="135" t="s">
        <v>5096</v>
      </c>
      <c r="L64" s="3">
        <v>1795</v>
      </c>
      <c r="M64" s="3">
        <v>12741</v>
      </c>
      <c r="N64" s="3" t="s">
        <v>5124</v>
      </c>
      <c r="R64" s="3">
        <v>7</v>
      </c>
      <c r="S64" s="3" t="s">
        <v>5125</v>
      </c>
      <c r="T64" s="3" t="s">
        <v>5107</v>
      </c>
      <c r="U64" s="3" t="s">
        <v>281</v>
      </c>
      <c r="V64" s="3">
        <v>645</v>
      </c>
      <c r="W64" s="3">
        <v>0</v>
      </c>
      <c r="X64" s="3">
        <v>122</v>
      </c>
      <c r="Y64" s="3">
        <v>102</v>
      </c>
      <c r="Z64" s="3">
        <v>0</v>
      </c>
      <c r="AA64" s="3">
        <v>20</v>
      </c>
      <c r="AB64" s="3">
        <v>64</v>
      </c>
      <c r="AC64" s="172">
        <v>0</v>
      </c>
      <c r="AF64" s="193">
        <v>1.3888888888888889E-3</v>
      </c>
      <c r="AG64" s="193">
        <v>4.1666666666666666E-3</v>
      </c>
      <c r="AH64" s="193">
        <v>0.28125</v>
      </c>
    </row>
    <row r="65" spans="1:34" x14ac:dyDescent="0.25">
      <c r="A65" s="3" t="s">
        <v>302</v>
      </c>
      <c r="B65" s="3">
        <v>132831</v>
      </c>
      <c r="C65" s="3">
        <v>941707</v>
      </c>
      <c r="D65" s="3" t="s">
        <v>3526</v>
      </c>
      <c r="E65" s="3">
        <v>6</v>
      </c>
      <c r="F65" s="3">
        <v>4</v>
      </c>
      <c r="G65" s="3">
        <v>7</v>
      </c>
      <c r="H65" s="55" t="s">
        <v>289</v>
      </c>
      <c r="I65" s="3" t="s">
        <v>279</v>
      </c>
      <c r="J65" s="135">
        <v>46210</v>
      </c>
      <c r="K65" s="135"/>
      <c r="L65" s="3">
        <v>1706</v>
      </c>
      <c r="M65" s="3">
        <v>27504</v>
      </c>
      <c r="N65" s="3" t="s">
        <v>5128</v>
      </c>
      <c r="R65" s="3">
        <v>6</v>
      </c>
      <c r="S65" s="3" t="s">
        <v>2880</v>
      </c>
      <c r="T65" s="3" t="s">
        <v>5129</v>
      </c>
      <c r="U65" s="3" t="s">
        <v>280</v>
      </c>
      <c r="V65" s="3">
        <v>327</v>
      </c>
      <c r="W65" s="3">
        <v>0</v>
      </c>
      <c r="X65" s="3">
        <v>32</v>
      </c>
      <c r="Y65" s="3">
        <v>0</v>
      </c>
      <c r="Z65" s="3">
        <v>0</v>
      </c>
      <c r="AA65" s="3">
        <v>32</v>
      </c>
      <c r="AB65" s="3">
        <v>96</v>
      </c>
      <c r="AC65" s="172">
        <v>0</v>
      </c>
      <c r="AF65" s="193">
        <v>4.1666666666666666E-3</v>
      </c>
      <c r="AG65" s="193">
        <v>8.3333333333333332E-3</v>
      </c>
      <c r="AH65" s="193">
        <v>0.28541666666666665</v>
      </c>
    </row>
    <row r="66" spans="1:34" x14ac:dyDescent="0.25">
      <c r="A66" s="3" t="s">
        <v>302</v>
      </c>
      <c r="B66" s="3">
        <v>132831</v>
      </c>
      <c r="C66" s="3">
        <v>941707</v>
      </c>
      <c r="D66" s="3" t="s">
        <v>3526</v>
      </c>
      <c r="E66" s="3">
        <v>6</v>
      </c>
      <c r="F66" s="3">
        <v>5</v>
      </c>
      <c r="G66" s="3">
        <v>3</v>
      </c>
      <c r="H66" s="55" t="s">
        <v>289</v>
      </c>
      <c r="I66" s="3" t="s">
        <v>279</v>
      </c>
      <c r="J66" s="135">
        <v>46210</v>
      </c>
      <c r="K66" s="135"/>
      <c r="L66" s="3">
        <v>1706</v>
      </c>
      <c r="M66" s="3">
        <v>27504</v>
      </c>
      <c r="N66" s="3" t="s">
        <v>5128</v>
      </c>
      <c r="R66" s="3">
        <v>6</v>
      </c>
      <c r="S66" s="3" t="s">
        <v>2880</v>
      </c>
      <c r="T66" s="3" t="s">
        <v>5129</v>
      </c>
      <c r="U66" s="3">
        <v>35</v>
      </c>
      <c r="V66" s="3">
        <v>327</v>
      </c>
      <c r="W66" s="3">
        <v>0</v>
      </c>
      <c r="X66" s="3">
        <v>24</v>
      </c>
      <c r="Y66" s="3">
        <v>0</v>
      </c>
      <c r="Z66" s="3">
        <v>0</v>
      </c>
      <c r="AA66" s="3">
        <v>24</v>
      </c>
      <c r="AB66" s="3">
        <v>120</v>
      </c>
      <c r="AC66" s="172">
        <v>0</v>
      </c>
      <c r="AF66" s="193">
        <v>2.7777777777777779E-3</v>
      </c>
      <c r="AG66" s="193">
        <v>1.1111111111111112E-2</v>
      </c>
      <c r="AH66" s="193">
        <v>0.28819444444444442</v>
      </c>
    </row>
    <row r="67" spans="1:34" x14ac:dyDescent="0.25">
      <c r="A67" s="3" t="s">
        <v>302</v>
      </c>
      <c r="B67" s="3">
        <v>132831</v>
      </c>
      <c r="C67" s="3">
        <v>941707</v>
      </c>
      <c r="D67" s="3" t="s">
        <v>3526</v>
      </c>
      <c r="E67" s="3">
        <v>6</v>
      </c>
      <c r="F67" s="3">
        <v>6</v>
      </c>
      <c r="G67" s="3">
        <v>4</v>
      </c>
      <c r="H67" s="55" t="s">
        <v>289</v>
      </c>
      <c r="I67" s="3" t="s">
        <v>279</v>
      </c>
      <c r="J67" s="135">
        <v>46210</v>
      </c>
      <c r="K67" s="135"/>
      <c r="L67" s="3">
        <v>1706</v>
      </c>
      <c r="M67" s="3">
        <v>27504</v>
      </c>
      <c r="N67" s="3" t="s">
        <v>5128</v>
      </c>
      <c r="R67" s="3">
        <v>6</v>
      </c>
      <c r="S67" s="3" t="s">
        <v>2880</v>
      </c>
      <c r="T67" s="3" t="s">
        <v>5129</v>
      </c>
      <c r="U67" s="3">
        <v>36</v>
      </c>
      <c r="V67" s="3">
        <v>327</v>
      </c>
      <c r="W67" s="3">
        <v>0</v>
      </c>
      <c r="X67" s="3">
        <v>84</v>
      </c>
      <c r="Y67" s="3">
        <v>0</v>
      </c>
      <c r="Z67" s="3">
        <v>0</v>
      </c>
      <c r="AA67" s="3">
        <v>84</v>
      </c>
      <c r="AB67" s="3">
        <v>204</v>
      </c>
      <c r="AC67" s="172">
        <v>0</v>
      </c>
      <c r="AF67" s="193">
        <v>1.0416666666666666E-2</v>
      </c>
      <c r="AG67" s="193">
        <v>2.2222222222222223E-2</v>
      </c>
      <c r="AH67" s="193">
        <v>0.2986111111111111</v>
      </c>
    </row>
    <row r="68" spans="1:34" x14ac:dyDescent="0.25">
      <c r="A68" s="3" t="s">
        <v>302</v>
      </c>
      <c r="B68" s="3">
        <v>132831</v>
      </c>
      <c r="C68" s="3">
        <v>941707</v>
      </c>
      <c r="D68" s="3" t="s">
        <v>3526</v>
      </c>
      <c r="E68" s="3">
        <v>6</v>
      </c>
      <c r="F68" s="3">
        <v>7</v>
      </c>
      <c r="G68" s="3">
        <v>5</v>
      </c>
      <c r="H68" s="55" t="s">
        <v>289</v>
      </c>
      <c r="I68" s="3" t="s">
        <v>279</v>
      </c>
      <c r="J68" s="135">
        <v>46210</v>
      </c>
      <c r="K68" s="135"/>
      <c r="L68" s="3">
        <v>1706</v>
      </c>
      <c r="M68" s="3">
        <v>27504</v>
      </c>
      <c r="N68" s="3" t="s">
        <v>5128</v>
      </c>
      <c r="R68" s="3">
        <v>6</v>
      </c>
      <c r="S68" s="3" t="s">
        <v>2880</v>
      </c>
      <c r="T68" s="3" t="s">
        <v>5129</v>
      </c>
      <c r="U68" s="3">
        <v>37</v>
      </c>
      <c r="V68" s="3">
        <v>327</v>
      </c>
      <c r="W68" s="3">
        <v>0</v>
      </c>
      <c r="X68" s="3">
        <v>120</v>
      </c>
      <c r="Y68" s="3">
        <v>0</v>
      </c>
      <c r="Z68" s="3">
        <v>0</v>
      </c>
      <c r="AA68" s="3">
        <v>120</v>
      </c>
      <c r="AB68" s="3">
        <v>324</v>
      </c>
      <c r="AC68" s="172">
        <v>0</v>
      </c>
      <c r="AF68" s="193">
        <v>1.5277777777777777E-2</v>
      </c>
      <c r="AG68" s="193">
        <v>3.7499999999999999E-2</v>
      </c>
      <c r="AH68" s="193">
        <v>0.31388888888888888</v>
      </c>
    </row>
    <row r="69" spans="1:34" x14ac:dyDescent="0.25">
      <c r="A69" s="3" t="s">
        <v>302</v>
      </c>
      <c r="B69" s="3">
        <v>132831</v>
      </c>
      <c r="C69" s="3">
        <v>941707</v>
      </c>
      <c r="D69" s="3" t="s">
        <v>3526</v>
      </c>
      <c r="E69" s="3">
        <v>6</v>
      </c>
      <c r="F69" s="3">
        <v>8</v>
      </c>
      <c r="G69" s="3">
        <v>6</v>
      </c>
      <c r="H69" s="55" t="s">
        <v>289</v>
      </c>
      <c r="I69" s="3" t="s">
        <v>279</v>
      </c>
      <c r="J69" s="135">
        <v>46210</v>
      </c>
      <c r="K69" s="135"/>
      <c r="L69" s="3">
        <v>1706</v>
      </c>
      <c r="M69" s="3">
        <v>27504</v>
      </c>
      <c r="N69" s="3" t="s">
        <v>5128</v>
      </c>
      <c r="R69" s="3">
        <v>6</v>
      </c>
      <c r="S69" s="3" t="s">
        <v>2880</v>
      </c>
      <c r="T69" s="3" t="s">
        <v>5129</v>
      </c>
      <c r="U69" s="3">
        <v>38</v>
      </c>
      <c r="V69" s="3">
        <v>327</v>
      </c>
      <c r="W69" s="3">
        <v>0</v>
      </c>
      <c r="X69" s="3">
        <v>88</v>
      </c>
      <c r="Y69" s="3">
        <v>0</v>
      </c>
      <c r="Z69" s="3">
        <v>0</v>
      </c>
      <c r="AA69" s="3">
        <v>88</v>
      </c>
      <c r="AB69" s="3">
        <v>412</v>
      </c>
      <c r="AC69" s="172">
        <v>0</v>
      </c>
      <c r="AF69" s="193">
        <v>1.1111111111111112E-2</v>
      </c>
      <c r="AG69" s="193">
        <v>4.8611111111111112E-2</v>
      </c>
      <c r="AH69" s="193">
        <v>0.32500000000000001</v>
      </c>
    </row>
    <row r="70" spans="1:34" x14ac:dyDescent="0.25">
      <c r="A70" s="3" t="s">
        <v>302</v>
      </c>
      <c r="B70" s="3">
        <v>132828</v>
      </c>
      <c r="C70" s="3">
        <v>941707</v>
      </c>
      <c r="D70" s="3" t="s">
        <v>3526</v>
      </c>
      <c r="E70" s="3">
        <v>6</v>
      </c>
      <c r="F70" s="3">
        <v>9</v>
      </c>
      <c r="G70" s="3">
        <v>7</v>
      </c>
      <c r="H70" s="55" t="s">
        <v>289</v>
      </c>
      <c r="I70" s="3" t="s">
        <v>279</v>
      </c>
      <c r="J70" s="135">
        <v>46210</v>
      </c>
      <c r="L70" s="3">
        <v>1706</v>
      </c>
      <c r="M70" s="3">
        <v>27504</v>
      </c>
      <c r="N70" s="3" t="s">
        <v>5128</v>
      </c>
      <c r="R70" s="3">
        <v>5</v>
      </c>
      <c r="S70" s="3" t="s">
        <v>2879</v>
      </c>
      <c r="T70" s="3" t="s">
        <v>5130</v>
      </c>
      <c r="U70" s="3">
        <v>38</v>
      </c>
      <c r="V70" s="3">
        <v>327</v>
      </c>
      <c r="W70" s="3">
        <v>0</v>
      </c>
      <c r="X70" s="3">
        <v>208</v>
      </c>
      <c r="Y70" s="3">
        <v>0</v>
      </c>
      <c r="Z70" s="3">
        <v>0</v>
      </c>
      <c r="AA70" s="3">
        <v>208</v>
      </c>
      <c r="AB70" s="3">
        <v>620</v>
      </c>
      <c r="AC70" s="172">
        <v>0</v>
      </c>
      <c r="AF70" s="193">
        <v>2.6388888888888889E-2</v>
      </c>
      <c r="AG70" s="193">
        <v>7.4999999999999997E-2</v>
      </c>
      <c r="AH70" s="193">
        <v>0.35138888888888886</v>
      </c>
    </row>
    <row r="71" spans="1:34" x14ac:dyDescent="0.25">
      <c r="A71" s="3" t="s">
        <v>302</v>
      </c>
      <c r="B71" s="3">
        <v>132828</v>
      </c>
      <c r="C71" s="3">
        <v>941707</v>
      </c>
      <c r="D71" s="3" t="s">
        <v>3526</v>
      </c>
      <c r="E71" s="3">
        <v>6</v>
      </c>
      <c r="F71" s="3">
        <v>10</v>
      </c>
      <c r="G71" s="3">
        <v>3</v>
      </c>
      <c r="H71" s="55" t="s">
        <v>289</v>
      </c>
      <c r="I71" s="3" t="s">
        <v>279</v>
      </c>
      <c r="J71" s="135">
        <v>46210</v>
      </c>
      <c r="L71" s="3">
        <v>1706</v>
      </c>
      <c r="M71" s="3">
        <v>27504</v>
      </c>
      <c r="N71" s="3" t="s">
        <v>5128</v>
      </c>
      <c r="R71" s="3">
        <v>5</v>
      </c>
      <c r="S71" s="3" t="s">
        <v>2879</v>
      </c>
      <c r="T71" s="3" t="s">
        <v>5130</v>
      </c>
      <c r="U71" s="3" t="s">
        <v>298</v>
      </c>
      <c r="V71" s="3">
        <v>327</v>
      </c>
      <c r="W71" s="3">
        <v>0</v>
      </c>
      <c r="X71" s="3">
        <v>140</v>
      </c>
      <c r="Y71" s="3">
        <v>0</v>
      </c>
      <c r="Z71" s="3">
        <v>0</v>
      </c>
      <c r="AA71" s="3">
        <v>140</v>
      </c>
      <c r="AB71" s="3">
        <v>760</v>
      </c>
      <c r="AC71" s="172">
        <v>8.3333333333333332E-3</v>
      </c>
      <c r="AD71" s="3" t="s">
        <v>292</v>
      </c>
      <c r="AF71" s="193">
        <v>1.8055555555555554E-2</v>
      </c>
      <c r="AG71" s="193">
        <v>9.3055555555555558E-2</v>
      </c>
      <c r="AH71" s="193">
        <v>0.37777777777777777</v>
      </c>
    </row>
    <row r="72" spans="1:34" x14ac:dyDescent="0.25">
      <c r="A72" s="3" t="s">
        <v>302</v>
      </c>
      <c r="B72" s="3">
        <v>132828</v>
      </c>
      <c r="C72" s="3">
        <v>941707</v>
      </c>
      <c r="D72" s="3" t="s">
        <v>3526</v>
      </c>
      <c r="E72" s="3">
        <v>6</v>
      </c>
      <c r="F72" s="3">
        <v>11</v>
      </c>
      <c r="G72" s="3">
        <v>4</v>
      </c>
      <c r="H72" s="55" t="s">
        <v>289</v>
      </c>
      <c r="I72" s="3" t="s">
        <v>279</v>
      </c>
      <c r="J72" s="135">
        <v>46210</v>
      </c>
      <c r="L72" s="3">
        <v>1706</v>
      </c>
      <c r="M72" s="3">
        <v>27504</v>
      </c>
      <c r="N72" s="3" t="s">
        <v>5128</v>
      </c>
      <c r="R72" s="3">
        <v>5</v>
      </c>
      <c r="S72" s="3" t="s">
        <v>2879</v>
      </c>
      <c r="T72" s="3" t="s">
        <v>5130</v>
      </c>
      <c r="U72" s="3">
        <v>35</v>
      </c>
      <c r="V72" s="3">
        <v>327</v>
      </c>
      <c r="W72" s="3">
        <v>0</v>
      </c>
      <c r="X72" s="3">
        <v>248</v>
      </c>
      <c r="Y72" s="3">
        <v>0</v>
      </c>
      <c r="Z72" s="3">
        <v>0</v>
      </c>
      <c r="AA72" s="3">
        <v>248</v>
      </c>
      <c r="AB72" s="3">
        <v>1008</v>
      </c>
      <c r="AC72" s="172">
        <v>0</v>
      </c>
      <c r="AF72" s="193">
        <v>3.1944444444444442E-2</v>
      </c>
      <c r="AG72" s="193">
        <v>0.12430555555555556</v>
      </c>
      <c r="AH72" s="193">
        <v>0.40972222222222221</v>
      </c>
    </row>
    <row r="73" spans="1:34" x14ac:dyDescent="0.25">
      <c r="A73" s="3" t="s">
        <v>302</v>
      </c>
      <c r="B73" s="3">
        <v>132828</v>
      </c>
      <c r="C73" s="3">
        <v>941707</v>
      </c>
      <c r="D73" s="3" t="s">
        <v>3526</v>
      </c>
      <c r="E73" s="3">
        <v>6</v>
      </c>
      <c r="F73" s="3">
        <v>12</v>
      </c>
      <c r="G73" s="3">
        <v>5</v>
      </c>
      <c r="H73" s="55" t="s">
        <v>289</v>
      </c>
      <c r="I73" s="3" t="s">
        <v>279</v>
      </c>
      <c r="J73" s="135">
        <v>46210</v>
      </c>
      <c r="L73" s="3">
        <v>1706</v>
      </c>
      <c r="M73" s="3">
        <v>27504</v>
      </c>
      <c r="N73" s="3" t="s">
        <v>5128</v>
      </c>
      <c r="R73" s="3">
        <v>5</v>
      </c>
      <c r="S73" s="3" t="s">
        <v>2879</v>
      </c>
      <c r="T73" s="3" t="s">
        <v>5130</v>
      </c>
      <c r="U73" s="3">
        <v>36</v>
      </c>
      <c r="V73" s="3">
        <v>327</v>
      </c>
      <c r="W73" s="3">
        <v>0</v>
      </c>
      <c r="X73" s="3">
        <v>358</v>
      </c>
      <c r="Y73" s="3">
        <v>0</v>
      </c>
      <c r="Z73" s="3">
        <v>0</v>
      </c>
      <c r="AA73" s="3">
        <v>358</v>
      </c>
      <c r="AB73" s="3">
        <v>1366</v>
      </c>
      <c r="AC73" s="172">
        <v>0</v>
      </c>
      <c r="AF73" s="193">
        <v>4.583333333333333E-2</v>
      </c>
      <c r="AG73" s="193">
        <v>0.1701388888888889</v>
      </c>
      <c r="AH73" s="193">
        <v>0.45555555555555555</v>
      </c>
    </row>
    <row r="74" spans="1:34" x14ac:dyDescent="0.25">
      <c r="A74" s="3" t="s">
        <v>302</v>
      </c>
      <c r="B74" s="3">
        <v>132828</v>
      </c>
      <c r="C74" s="3">
        <v>941707</v>
      </c>
      <c r="D74" s="3" t="s">
        <v>3526</v>
      </c>
      <c r="E74" s="3">
        <v>6</v>
      </c>
      <c r="F74" s="3">
        <v>13</v>
      </c>
      <c r="G74" s="3">
        <v>6</v>
      </c>
      <c r="H74" s="55" t="s">
        <v>289</v>
      </c>
      <c r="I74" s="3" t="s">
        <v>279</v>
      </c>
      <c r="J74" s="135">
        <v>46210</v>
      </c>
      <c r="K74" s="135"/>
      <c r="L74" s="3">
        <v>1706</v>
      </c>
      <c r="M74" s="3">
        <v>27504</v>
      </c>
      <c r="N74" s="3" t="s">
        <v>5128</v>
      </c>
      <c r="R74" s="3">
        <v>5</v>
      </c>
      <c r="S74" s="3" t="s">
        <v>2879</v>
      </c>
      <c r="T74" s="3" t="s">
        <v>5130</v>
      </c>
      <c r="U74" s="3">
        <v>37</v>
      </c>
      <c r="V74" s="3">
        <v>327</v>
      </c>
      <c r="W74" s="3">
        <v>0</v>
      </c>
      <c r="X74" s="3">
        <v>336</v>
      </c>
      <c r="Y74" s="3">
        <v>0</v>
      </c>
      <c r="Z74" s="3">
        <v>0</v>
      </c>
      <c r="AA74" s="3">
        <v>336</v>
      </c>
      <c r="AB74" s="3">
        <v>1702</v>
      </c>
      <c r="AC74" s="172">
        <v>4.1666666666666664E-2</v>
      </c>
      <c r="AD74" s="3" t="s">
        <v>294</v>
      </c>
      <c r="AE74" s="3" t="s">
        <v>295</v>
      </c>
      <c r="AF74" s="193">
        <v>4.3055555555555555E-2</v>
      </c>
      <c r="AG74" s="193">
        <v>0.21319444444444444</v>
      </c>
      <c r="AH74" s="193">
        <v>0.54027777777777775</v>
      </c>
    </row>
    <row r="75" spans="1:34" x14ac:dyDescent="0.25">
      <c r="A75" s="3" t="s">
        <v>302</v>
      </c>
      <c r="B75" s="3">
        <v>132828</v>
      </c>
      <c r="C75" s="3">
        <v>941707</v>
      </c>
      <c r="D75" s="3" t="s">
        <v>3526</v>
      </c>
      <c r="E75" s="3">
        <v>6</v>
      </c>
      <c r="F75" s="3">
        <v>14</v>
      </c>
      <c r="G75" s="3">
        <v>8</v>
      </c>
      <c r="H75" s="55" t="s">
        <v>289</v>
      </c>
      <c r="I75" s="3" t="s">
        <v>279</v>
      </c>
      <c r="J75" s="135">
        <v>46210</v>
      </c>
      <c r="K75" s="135"/>
      <c r="L75" s="3">
        <v>1706</v>
      </c>
      <c r="M75" s="3">
        <v>27504</v>
      </c>
      <c r="N75" s="3" t="s">
        <v>5128</v>
      </c>
      <c r="R75" s="3">
        <v>5</v>
      </c>
      <c r="S75" s="3" t="s">
        <v>2879</v>
      </c>
      <c r="T75" s="3" t="s">
        <v>5130</v>
      </c>
      <c r="U75" s="3" t="s">
        <v>280</v>
      </c>
      <c r="V75" s="3">
        <v>327</v>
      </c>
      <c r="W75" s="3">
        <v>0</v>
      </c>
      <c r="X75" s="3">
        <v>116</v>
      </c>
      <c r="Y75" s="3">
        <v>0</v>
      </c>
      <c r="Z75" s="3">
        <v>0</v>
      </c>
      <c r="AA75" s="3">
        <v>116</v>
      </c>
      <c r="AB75" s="3">
        <v>1818</v>
      </c>
      <c r="AC75" s="172">
        <v>0</v>
      </c>
      <c r="AF75" s="193">
        <v>1.4583333333333334E-2</v>
      </c>
      <c r="AG75" s="193">
        <v>0.22777777777777777</v>
      </c>
      <c r="AH75" s="193">
        <v>0.55486111111111114</v>
      </c>
    </row>
    <row r="76" spans="1:34" x14ac:dyDescent="0.25">
      <c r="A76" s="3" t="s">
        <v>302</v>
      </c>
      <c r="B76" s="3">
        <v>132829</v>
      </c>
      <c r="C76" s="3">
        <v>941707</v>
      </c>
      <c r="D76" s="3" t="s">
        <v>3526</v>
      </c>
      <c r="E76" s="3">
        <v>6</v>
      </c>
      <c r="F76" s="3">
        <v>15</v>
      </c>
      <c r="G76" s="3">
        <v>3</v>
      </c>
      <c r="H76" s="55" t="s">
        <v>289</v>
      </c>
      <c r="I76" s="3" t="s">
        <v>279</v>
      </c>
      <c r="J76" s="135">
        <v>46210</v>
      </c>
      <c r="L76" s="3">
        <v>1706</v>
      </c>
      <c r="M76" s="3">
        <v>27504</v>
      </c>
      <c r="N76" s="3" t="s">
        <v>5128</v>
      </c>
      <c r="R76" s="3">
        <v>5</v>
      </c>
      <c r="S76" s="3" t="s">
        <v>321</v>
      </c>
      <c r="T76" s="3" t="s">
        <v>5294</v>
      </c>
      <c r="U76" s="3">
        <v>35</v>
      </c>
      <c r="V76" s="3">
        <v>327</v>
      </c>
      <c r="W76" s="3">
        <v>0</v>
      </c>
      <c r="X76" s="3">
        <v>76</v>
      </c>
      <c r="Y76" s="3">
        <v>0</v>
      </c>
      <c r="Z76" s="3">
        <v>0</v>
      </c>
      <c r="AA76" s="3">
        <v>76</v>
      </c>
      <c r="AB76" s="3">
        <v>1894</v>
      </c>
      <c r="AC76" s="172">
        <v>8.3333333333333332E-3</v>
      </c>
      <c r="AD76" s="3" t="s">
        <v>404</v>
      </c>
      <c r="AF76" s="193">
        <v>9.7222222222222224E-3</v>
      </c>
      <c r="AG76" s="193">
        <v>0.23749999999999999</v>
      </c>
      <c r="AH76" s="193">
        <v>0.57291666666666663</v>
      </c>
    </row>
    <row r="77" spans="1:34" x14ac:dyDescent="0.25">
      <c r="A77" s="3" t="s">
        <v>302</v>
      </c>
      <c r="B77" s="3">
        <v>132829</v>
      </c>
      <c r="C77" s="3">
        <v>941707</v>
      </c>
      <c r="D77" s="3" t="s">
        <v>3526</v>
      </c>
      <c r="E77" s="3">
        <v>6</v>
      </c>
      <c r="F77" s="3">
        <v>16</v>
      </c>
      <c r="G77" s="3">
        <v>4</v>
      </c>
      <c r="H77" s="55" t="s">
        <v>289</v>
      </c>
      <c r="I77" s="3" t="s">
        <v>279</v>
      </c>
      <c r="J77" s="135">
        <v>46210</v>
      </c>
      <c r="L77" s="3">
        <v>1706</v>
      </c>
      <c r="M77" s="3">
        <v>27504</v>
      </c>
      <c r="N77" s="3" t="s">
        <v>5128</v>
      </c>
      <c r="R77" s="3">
        <v>5</v>
      </c>
      <c r="S77" s="3" t="s">
        <v>321</v>
      </c>
      <c r="T77" s="3" t="s">
        <v>5294</v>
      </c>
      <c r="U77" s="3">
        <v>36</v>
      </c>
      <c r="V77" s="3">
        <v>327</v>
      </c>
      <c r="W77" s="3">
        <v>0</v>
      </c>
      <c r="X77" s="3">
        <v>124</v>
      </c>
      <c r="Y77" s="3">
        <v>0</v>
      </c>
      <c r="Z77" s="3">
        <v>0</v>
      </c>
      <c r="AA77" s="3">
        <v>124</v>
      </c>
      <c r="AB77" s="3">
        <v>2018</v>
      </c>
      <c r="AC77" s="172">
        <v>0</v>
      </c>
      <c r="AF77" s="193">
        <v>1.5972222222222221E-2</v>
      </c>
      <c r="AG77" s="193">
        <v>0.25277777777777777</v>
      </c>
      <c r="AH77" s="193">
        <v>0.58888888888888891</v>
      </c>
    </row>
    <row r="78" spans="1:34" x14ac:dyDescent="0.25">
      <c r="A78" s="3" t="s">
        <v>302</v>
      </c>
      <c r="B78" s="3">
        <v>132829</v>
      </c>
      <c r="C78" s="3">
        <v>941707</v>
      </c>
      <c r="D78" s="3" t="s">
        <v>3526</v>
      </c>
      <c r="E78" s="3">
        <v>6</v>
      </c>
      <c r="F78" s="3">
        <v>17</v>
      </c>
      <c r="G78" s="3">
        <v>5</v>
      </c>
      <c r="H78" s="55" t="s">
        <v>289</v>
      </c>
      <c r="I78" s="3" t="s">
        <v>279</v>
      </c>
      <c r="J78" s="135">
        <v>46210</v>
      </c>
      <c r="L78" s="3">
        <v>1706</v>
      </c>
      <c r="M78" s="3">
        <v>27504</v>
      </c>
      <c r="N78" s="3" t="s">
        <v>5128</v>
      </c>
      <c r="R78" s="3">
        <v>5</v>
      </c>
      <c r="S78" s="3" t="s">
        <v>321</v>
      </c>
      <c r="T78" s="3" t="s">
        <v>5294</v>
      </c>
      <c r="U78" s="3">
        <v>37</v>
      </c>
      <c r="V78" s="3">
        <v>327</v>
      </c>
      <c r="W78" s="3">
        <v>0</v>
      </c>
      <c r="X78" s="3">
        <v>108</v>
      </c>
      <c r="Y78" s="3">
        <v>0</v>
      </c>
      <c r="Z78" s="3">
        <v>0</v>
      </c>
      <c r="AA78" s="3">
        <v>108</v>
      </c>
      <c r="AB78" s="3">
        <v>2126</v>
      </c>
      <c r="AC78" s="172">
        <v>0</v>
      </c>
      <c r="AF78" s="193">
        <v>1.3888888888888888E-2</v>
      </c>
      <c r="AG78" s="193">
        <v>0.26666666666666666</v>
      </c>
      <c r="AH78" s="193">
        <v>0.60277777777777775</v>
      </c>
    </row>
    <row r="79" spans="1:34" x14ac:dyDescent="0.25">
      <c r="A79" s="3" t="s">
        <v>302</v>
      </c>
      <c r="B79" s="3">
        <v>132829</v>
      </c>
      <c r="C79" s="3">
        <v>941707</v>
      </c>
      <c r="D79" s="3" t="s">
        <v>3526</v>
      </c>
      <c r="E79" s="3">
        <v>6</v>
      </c>
      <c r="F79" s="3">
        <v>18</v>
      </c>
      <c r="G79" s="3">
        <v>6</v>
      </c>
      <c r="H79" s="55" t="s">
        <v>289</v>
      </c>
      <c r="I79" s="3" t="s">
        <v>279</v>
      </c>
      <c r="J79" s="135">
        <v>46210</v>
      </c>
      <c r="L79" s="3">
        <v>1706</v>
      </c>
      <c r="M79" s="3">
        <v>27504</v>
      </c>
      <c r="N79" s="3" t="s">
        <v>5128</v>
      </c>
      <c r="R79" s="3">
        <v>5</v>
      </c>
      <c r="S79" s="3" t="s">
        <v>321</v>
      </c>
      <c r="T79" s="3" t="s">
        <v>5294</v>
      </c>
      <c r="U79" s="3">
        <v>38</v>
      </c>
      <c r="V79" s="3">
        <v>327</v>
      </c>
      <c r="W79" s="3">
        <v>0</v>
      </c>
      <c r="X79" s="3">
        <v>68</v>
      </c>
      <c r="Y79" s="3">
        <v>0</v>
      </c>
      <c r="Z79" s="3">
        <v>0</v>
      </c>
      <c r="AA79" s="3">
        <v>68</v>
      </c>
      <c r="AB79" s="3">
        <v>2194</v>
      </c>
      <c r="AC79" s="172">
        <v>0</v>
      </c>
      <c r="AF79" s="193">
        <v>8.3333333333333332E-3</v>
      </c>
      <c r="AG79" s="193">
        <v>0.27569444444444446</v>
      </c>
      <c r="AH79" s="193">
        <v>0.61111111111111116</v>
      </c>
    </row>
    <row r="80" spans="1:34" x14ac:dyDescent="0.25">
      <c r="A80" s="3" t="s">
        <v>302</v>
      </c>
      <c r="B80" s="3">
        <v>135018</v>
      </c>
      <c r="C80" s="3">
        <v>941707</v>
      </c>
      <c r="D80" s="3" t="s">
        <v>3526</v>
      </c>
      <c r="E80" s="3">
        <v>6</v>
      </c>
      <c r="F80" s="3">
        <v>19</v>
      </c>
      <c r="G80" s="3">
        <v>1</v>
      </c>
      <c r="H80" s="55" t="s">
        <v>289</v>
      </c>
      <c r="I80" s="3" t="s">
        <v>279</v>
      </c>
      <c r="J80" s="135">
        <v>46210</v>
      </c>
      <c r="L80" s="3">
        <v>1706</v>
      </c>
      <c r="M80" s="3">
        <v>27504</v>
      </c>
      <c r="N80" s="3" t="s">
        <v>5128</v>
      </c>
      <c r="R80" s="3">
        <v>7</v>
      </c>
      <c r="S80" s="3" t="s">
        <v>2881</v>
      </c>
      <c r="T80" s="3" t="s">
        <v>5295</v>
      </c>
      <c r="U80" s="3" t="s">
        <v>298</v>
      </c>
      <c r="V80" s="3">
        <v>324</v>
      </c>
      <c r="W80" s="3">
        <v>0</v>
      </c>
      <c r="X80" s="3">
        <v>30</v>
      </c>
      <c r="Y80" s="3">
        <v>0</v>
      </c>
      <c r="Z80" s="3">
        <v>0</v>
      </c>
      <c r="AA80" s="3">
        <v>30</v>
      </c>
      <c r="AB80" s="3">
        <v>2224</v>
      </c>
      <c r="AC80" s="172">
        <v>0</v>
      </c>
      <c r="AF80" s="193">
        <v>4.1666666666666666E-3</v>
      </c>
      <c r="AG80" s="193">
        <v>0.27916666666666667</v>
      </c>
      <c r="AH80" s="193">
        <v>0.61527777777777781</v>
      </c>
    </row>
    <row r="81" spans="1:34" x14ac:dyDescent="0.25">
      <c r="A81" s="3" t="s">
        <v>302</v>
      </c>
      <c r="B81" s="3">
        <v>132833</v>
      </c>
      <c r="C81" s="3">
        <v>941707</v>
      </c>
      <c r="D81" s="3" t="s">
        <v>3526</v>
      </c>
      <c r="E81" s="3">
        <v>6</v>
      </c>
      <c r="F81" s="3">
        <v>20</v>
      </c>
      <c r="G81" s="3">
        <v>3</v>
      </c>
      <c r="H81" s="55" t="s">
        <v>289</v>
      </c>
      <c r="I81" s="3" t="s">
        <v>279</v>
      </c>
      <c r="J81" s="135">
        <v>46210</v>
      </c>
      <c r="L81" s="3">
        <v>1706</v>
      </c>
      <c r="M81" s="3">
        <v>27504</v>
      </c>
      <c r="N81" s="3" t="s">
        <v>5128</v>
      </c>
      <c r="R81" s="3">
        <v>6</v>
      </c>
      <c r="S81" s="3" t="s">
        <v>2882</v>
      </c>
      <c r="T81" s="3" t="s">
        <v>5296</v>
      </c>
      <c r="U81" s="3" t="s">
        <v>298</v>
      </c>
      <c r="V81" s="3">
        <v>327</v>
      </c>
      <c r="W81" s="3">
        <v>0</v>
      </c>
      <c r="X81" s="3">
        <v>62</v>
      </c>
      <c r="Y81" s="3">
        <v>0</v>
      </c>
      <c r="Z81" s="3">
        <v>0</v>
      </c>
      <c r="AA81" s="3">
        <v>62</v>
      </c>
      <c r="AB81" s="3">
        <v>2286</v>
      </c>
      <c r="AC81" s="172">
        <v>0</v>
      </c>
      <c r="AF81" s="193">
        <v>7.6388888888888886E-3</v>
      </c>
      <c r="AG81" s="193">
        <v>0.28749999999999998</v>
      </c>
      <c r="AH81" s="193">
        <v>0.62291666666666667</v>
      </c>
    </row>
    <row r="82" spans="1:34" x14ac:dyDescent="0.25">
      <c r="A82" s="3" t="s">
        <v>302</v>
      </c>
      <c r="B82" s="3">
        <v>132833</v>
      </c>
      <c r="C82" s="3">
        <v>941707</v>
      </c>
      <c r="D82" s="3" t="s">
        <v>3526</v>
      </c>
      <c r="E82" s="3">
        <v>6</v>
      </c>
      <c r="F82" s="3">
        <v>21</v>
      </c>
      <c r="G82" s="3">
        <v>4</v>
      </c>
      <c r="H82" s="55" t="s">
        <v>289</v>
      </c>
      <c r="I82" s="3" t="s">
        <v>279</v>
      </c>
      <c r="J82" s="135">
        <v>46210</v>
      </c>
      <c r="L82" s="3">
        <v>1706</v>
      </c>
      <c r="M82" s="3">
        <v>27504</v>
      </c>
      <c r="N82" s="3" t="s">
        <v>5128</v>
      </c>
      <c r="R82" s="3">
        <v>6</v>
      </c>
      <c r="S82" s="3" t="s">
        <v>2882</v>
      </c>
      <c r="T82" s="3" t="s">
        <v>5296</v>
      </c>
      <c r="U82" s="3">
        <v>35</v>
      </c>
      <c r="V82" s="3">
        <v>327</v>
      </c>
      <c r="W82" s="3">
        <v>0</v>
      </c>
      <c r="X82" s="3">
        <v>106</v>
      </c>
      <c r="Y82" s="3">
        <v>0</v>
      </c>
      <c r="Z82" s="3">
        <v>0</v>
      </c>
      <c r="AA82" s="3">
        <v>106</v>
      </c>
      <c r="AB82" s="3">
        <v>2392</v>
      </c>
      <c r="AC82" s="172">
        <v>0</v>
      </c>
      <c r="AF82" s="193">
        <v>1.3194444444444444E-2</v>
      </c>
      <c r="AG82" s="193">
        <v>0.30069444444444443</v>
      </c>
      <c r="AH82" s="193">
        <v>0.6430555555555556</v>
      </c>
    </row>
    <row r="83" spans="1:34" x14ac:dyDescent="0.25">
      <c r="A83" s="3" t="s">
        <v>302</v>
      </c>
      <c r="B83" s="3">
        <v>132833</v>
      </c>
      <c r="C83" s="3">
        <v>941707</v>
      </c>
      <c r="D83" s="3" t="s">
        <v>3526</v>
      </c>
      <c r="E83" s="3">
        <v>6</v>
      </c>
      <c r="F83" s="3">
        <v>22</v>
      </c>
      <c r="G83" s="3">
        <v>5</v>
      </c>
      <c r="H83" s="55" t="s">
        <v>289</v>
      </c>
      <c r="I83" s="3" t="s">
        <v>279</v>
      </c>
      <c r="J83" s="135">
        <v>46210</v>
      </c>
      <c r="L83" s="3">
        <v>1706</v>
      </c>
      <c r="M83" s="3">
        <v>27504</v>
      </c>
      <c r="N83" s="3" t="s">
        <v>5128</v>
      </c>
      <c r="R83" s="3">
        <v>6</v>
      </c>
      <c r="S83" s="3" t="s">
        <v>2882</v>
      </c>
      <c r="T83" s="3" t="s">
        <v>5296</v>
      </c>
      <c r="U83" s="3">
        <v>36</v>
      </c>
      <c r="V83" s="3">
        <v>327</v>
      </c>
      <c r="W83" s="3">
        <v>0</v>
      </c>
      <c r="X83" s="3">
        <v>66</v>
      </c>
      <c r="Y83" s="3">
        <v>0</v>
      </c>
      <c r="Z83" s="3">
        <v>0</v>
      </c>
      <c r="AA83" s="3">
        <v>66</v>
      </c>
      <c r="AB83" s="3">
        <v>2458</v>
      </c>
      <c r="AC83" s="172">
        <v>0</v>
      </c>
      <c r="AF83" s="193">
        <v>8.3333333333333332E-3</v>
      </c>
      <c r="AG83" s="193">
        <v>0.30902777777777779</v>
      </c>
      <c r="AH83" s="193">
        <v>0.65138888888888891</v>
      </c>
    </row>
    <row r="84" spans="1:34" x14ac:dyDescent="0.25">
      <c r="A84" s="3" t="s">
        <v>302</v>
      </c>
      <c r="B84" s="3">
        <v>132833</v>
      </c>
      <c r="C84" s="3">
        <v>941707</v>
      </c>
      <c r="D84" s="3" t="s">
        <v>3526</v>
      </c>
      <c r="E84" s="3">
        <v>6</v>
      </c>
      <c r="F84" s="3">
        <v>23</v>
      </c>
      <c r="G84" s="3">
        <v>6</v>
      </c>
      <c r="H84" s="55" t="s">
        <v>289</v>
      </c>
      <c r="I84" s="3" t="s">
        <v>279</v>
      </c>
      <c r="J84" s="135">
        <v>46210</v>
      </c>
      <c r="L84" s="3">
        <v>1706</v>
      </c>
      <c r="M84" s="3">
        <v>27504</v>
      </c>
      <c r="N84" s="3" t="s">
        <v>5128</v>
      </c>
      <c r="R84" s="3">
        <v>6</v>
      </c>
      <c r="S84" s="3" t="s">
        <v>2882</v>
      </c>
      <c r="T84" s="3" t="s">
        <v>5296</v>
      </c>
      <c r="U84" s="3">
        <v>37</v>
      </c>
      <c r="V84" s="3">
        <v>327</v>
      </c>
      <c r="W84" s="3">
        <v>0</v>
      </c>
      <c r="X84" s="3">
        <v>68</v>
      </c>
      <c r="Y84" s="3">
        <v>0</v>
      </c>
      <c r="Z84" s="3">
        <v>0</v>
      </c>
      <c r="AA84" s="3">
        <v>68</v>
      </c>
      <c r="AB84" s="3">
        <v>2526</v>
      </c>
      <c r="AC84" s="172">
        <v>0</v>
      </c>
      <c r="AF84" s="193">
        <v>8.3333333333333332E-3</v>
      </c>
      <c r="AG84" s="193">
        <v>0.31805555555555554</v>
      </c>
      <c r="AH84" s="193">
        <v>0.65972222222222221</v>
      </c>
    </row>
    <row r="85" spans="1:34" x14ac:dyDescent="0.25">
      <c r="A85" s="3" t="s">
        <v>302</v>
      </c>
      <c r="B85" s="3">
        <v>132996</v>
      </c>
      <c r="C85" s="3">
        <v>942207</v>
      </c>
      <c r="D85" s="3" t="s">
        <v>3526</v>
      </c>
      <c r="E85" s="3">
        <v>7</v>
      </c>
      <c r="F85" s="3">
        <v>24</v>
      </c>
      <c r="G85" s="3">
        <v>8</v>
      </c>
      <c r="H85" s="55" t="s">
        <v>289</v>
      </c>
      <c r="I85" s="3" t="s">
        <v>279</v>
      </c>
      <c r="J85" s="135">
        <v>46180</v>
      </c>
      <c r="L85" s="3">
        <v>1750</v>
      </c>
      <c r="M85" s="3">
        <v>27012</v>
      </c>
      <c r="N85" s="3" t="s">
        <v>5131</v>
      </c>
      <c r="R85" s="3">
        <v>8</v>
      </c>
      <c r="S85" s="3" t="s">
        <v>305</v>
      </c>
      <c r="T85" s="3" t="s">
        <v>5297</v>
      </c>
      <c r="U85" s="3" t="s">
        <v>290</v>
      </c>
      <c r="V85" s="3">
        <v>390</v>
      </c>
      <c r="W85" s="3">
        <v>0</v>
      </c>
      <c r="X85" s="3">
        <v>320</v>
      </c>
      <c r="Y85" s="3">
        <v>0</v>
      </c>
      <c r="Z85" s="3">
        <v>0</v>
      </c>
      <c r="AA85" s="3">
        <v>320</v>
      </c>
      <c r="AB85" s="3">
        <v>2846</v>
      </c>
      <c r="AC85" s="172">
        <v>0</v>
      </c>
      <c r="AF85" s="193">
        <v>3.4027777777777775E-2</v>
      </c>
      <c r="AG85" s="193">
        <v>0.35208333333333336</v>
      </c>
      <c r="AH85" s="193">
        <v>0.69374999999999998</v>
      </c>
    </row>
    <row r="86" spans="1:34" x14ac:dyDescent="0.25">
      <c r="A86" s="3" t="s">
        <v>302</v>
      </c>
      <c r="B86" s="3">
        <v>132996</v>
      </c>
      <c r="C86" s="3">
        <v>942207</v>
      </c>
      <c r="D86" s="3" t="s">
        <v>3526</v>
      </c>
      <c r="E86" s="3">
        <v>7</v>
      </c>
      <c r="F86" s="3">
        <v>25</v>
      </c>
      <c r="G86" s="3">
        <v>9</v>
      </c>
      <c r="H86" s="55" t="s">
        <v>289</v>
      </c>
      <c r="I86" s="3" t="s">
        <v>279</v>
      </c>
      <c r="J86" s="135">
        <v>46180</v>
      </c>
      <c r="L86" s="3">
        <v>1750</v>
      </c>
      <c r="M86" s="3">
        <v>27012</v>
      </c>
      <c r="N86" s="3" t="s">
        <v>5131</v>
      </c>
      <c r="R86" s="3">
        <v>8</v>
      </c>
      <c r="S86" s="3" t="s">
        <v>305</v>
      </c>
      <c r="T86" s="3" t="s">
        <v>5297</v>
      </c>
      <c r="U86" s="3" t="s">
        <v>313</v>
      </c>
      <c r="V86" s="3">
        <v>390</v>
      </c>
      <c r="W86" s="3">
        <v>0</v>
      </c>
      <c r="X86" s="3">
        <v>468</v>
      </c>
      <c r="Y86" s="3">
        <v>0</v>
      </c>
      <c r="Z86" s="3">
        <v>0</v>
      </c>
      <c r="AA86" s="3">
        <v>468</v>
      </c>
      <c r="AB86" s="3">
        <v>3314</v>
      </c>
      <c r="AC86" s="172">
        <v>0</v>
      </c>
      <c r="AF86" s="193">
        <v>0.05</v>
      </c>
      <c r="AG86" s="193">
        <v>0.40208333333333335</v>
      </c>
      <c r="AH86" s="193">
        <v>0.74375000000000002</v>
      </c>
    </row>
    <row r="87" spans="1:34" x14ac:dyDescent="0.25">
      <c r="A87" s="3" t="s">
        <v>302</v>
      </c>
      <c r="B87" s="3">
        <v>132996</v>
      </c>
      <c r="C87" s="3">
        <v>942207</v>
      </c>
      <c r="D87" s="3" t="s">
        <v>3526</v>
      </c>
      <c r="E87" s="3">
        <v>7</v>
      </c>
      <c r="F87" s="3">
        <v>26</v>
      </c>
      <c r="G87" s="3">
        <v>11</v>
      </c>
      <c r="H87" s="55" t="s">
        <v>289</v>
      </c>
      <c r="I87" s="3" t="s">
        <v>279</v>
      </c>
      <c r="J87" s="135">
        <v>46180</v>
      </c>
      <c r="L87" s="3">
        <v>1750</v>
      </c>
      <c r="M87" s="3">
        <v>27012</v>
      </c>
      <c r="N87" s="3" t="s">
        <v>5131</v>
      </c>
      <c r="R87" s="3">
        <v>8</v>
      </c>
      <c r="S87" s="3" t="s">
        <v>305</v>
      </c>
      <c r="T87" s="3" t="s">
        <v>5297</v>
      </c>
      <c r="U87" s="3" t="s">
        <v>311</v>
      </c>
      <c r="V87" s="3">
        <v>390</v>
      </c>
      <c r="W87" s="3">
        <v>0</v>
      </c>
      <c r="X87" s="3">
        <v>292</v>
      </c>
      <c r="Y87" s="3">
        <v>0</v>
      </c>
      <c r="Z87" s="3">
        <v>0</v>
      </c>
      <c r="AA87" s="3">
        <v>292</v>
      </c>
      <c r="AB87" s="3">
        <v>3606</v>
      </c>
      <c r="AC87" s="172">
        <v>8.3333333333333332E-3</v>
      </c>
      <c r="AD87" s="3" t="s">
        <v>292</v>
      </c>
      <c r="AF87" s="193">
        <v>3.125E-2</v>
      </c>
      <c r="AG87" s="193">
        <v>0.43333333333333335</v>
      </c>
      <c r="AH87" s="193">
        <v>0.78333333333333333</v>
      </c>
    </row>
    <row r="88" spans="1:34" x14ac:dyDescent="0.25">
      <c r="A88" s="3" t="s">
        <v>302</v>
      </c>
      <c r="B88" s="3">
        <v>132996</v>
      </c>
      <c r="C88" s="3">
        <v>942207</v>
      </c>
      <c r="D88" s="3" t="s">
        <v>3526</v>
      </c>
      <c r="E88" s="3">
        <v>7</v>
      </c>
      <c r="F88" s="3">
        <v>27</v>
      </c>
      <c r="G88" s="3">
        <v>12</v>
      </c>
      <c r="H88" s="55" t="s">
        <v>289</v>
      </c>
      <c r="I88" s="3" t="s">
        <v>279</v>
      </c>
      <c r="J88" s="135">
        <v>46180</v>
      </c>
      <c r="L88" s="3">
        <v>1750</v>
      </c>
      <c r="M88" s="3">
        <v>27012</v>
      </c>
      <c r="N88" s="3" t="s">
        <v>5131</v>
      </c>
      <c r="R88" s="3">
        <v>8</v>
      </c>
      <c r="S88" s="3" t="s">
        <v>305</v>
      </c>
      <c r="T88" s="3" t="s">
        <v>5297</v>
      </c>
      <c r="U88" s="3" t="s">
        <v>304</v>
      </c>
      <c r="V88" s="3">
        <v>390</v>
      </c>
      <c r="W88" s="3">
        <v>0</v>
      </c>
      <c r="X88" s="3">
        <v>310</v>
      </c>
      <c r="Y88" s="3">
        <v>0</v>
      </c>
      <c r="Z88" s="3">
        <v>0</v>
      </c>
      <c r="AA88" s="3">
        <v>310</v>
      </c>
      <c r="AB88" s="3">
        <v>3916</v>
      </c>
      <c r="AC88" s="172">
        <v>4.1666666666666664E-2</v>
      </c>
      <c r="AD88" s="3" t="s">
        <v>294</v>
      </c>
      <c r="AE88" s="3" t="s">
        <v>295</v>
      </c>
      <c r="AF88" s="193">
        <v>3.3333333333333333E-2</v>
      </c>
      <c r="AG88" s="193">
        <v>0.46666666666666667</v>
      </c>
      <c r="AH88" s="193">
        <v>0.85833333333333328</v>
      </c>
    </row>
    <row r="89" spans="1:34" x14ac:dyDescent="0.25">
      <c r="A89" s="3" t="s">
        <v>302</v>
      </c>
      <c r="B89" s="3">
        <v>132996</v>
      </c>
      <c r="C89" s="3">
        <v>942207</v>
      </c>
      <c r="D89" s="3" t="s">
        <v>3526</v>
      </c>
      <c r="E89" s="3">
        <v>7</v>
      </c>
      <c r="F89" s="3">
        <v>28</v>
      </c>
      <c r="G89" s="3">
        <v>13</v>
      </c>
      <c r="H89" s="55" t="s">
        <v>289</v>
      </c>
      <c r="I89" s="3" t="s">
        <v>279</v>
      </c>
      <c r="J89" s="135">
        <v>46180</v>
      </c>
      <c r="L89" s="3">
        <v>1750</v>
      </c>
      <c r="M89" s="3">
        <v>27012</v>
      </c>
      <c r="N89" s="3" t="s">
        <v>5131</v>
      </c>
      <c r="R89" s="3">
        <v>8</v>
      </c>
      <c r="S89" s="3" t="s">
        <v>305</v>
      </c>
      <c r="T89" s="3" t="s">
        <v>5297</v>
      </c>
      <c r="U89" s="3" t="s">
        <v>298</v>
      </c>
      <c r="V89" s="3">
        <v>390</v>
      </c>
      <c r="W89" s="3">
        <v>0</v>
      </c>
      <c r="X89" s="3">
        <v>136</v>
      </c>
      <c r="Y89" s="3">
        <v>0</v>
      </c>
      <c r="Z89" s="3">
        <v>0</v>
      </c>
      <c r="AA89" s="3">
        <v>136</v>
      </c>
      <c r="AB89" s="3">
        <v>4052</v>
      </c>
      <c r="AC89" s="172">
        <v>0</v>
      </c>
      <c r="AF89" s="193">
        <v>1.4583333333333334E-2</v>
      </c>
      <c r="AG89" s="193">
        <v>0.48125000000000001</v>
      </c>
      <c r="AH89" s="193">
        <v>0.87291666666666667</v>
      </c>
    </row>
    <row r="90" spans="1:34" x14ac:dyDescent="0.25">
      <c r="A90" s="3" t="s">
        <v>302</v>
      </c>
      <c r="B90" s="3">
        <v>132996</v>
      </c>
      <c r="C90" s="3">
        <v>942207</v>
      </c>
      <c r="D90" s="3" t="s">
        <v>3526</v>
      </c>
      <c r="E90" s="3">
        <v>7</v>
      </c>
      <c r="F90" s="3">
        <v>29</v>
      </c>
      <c r="G90" s="3">
        <v>10</v>
      </c>
      <c r="H90" s="55" t="s">
        <v>289</v>
      </c>
      <c r="I90" s="3" t="s">
        <v>279</v>
      </c>
      <c r="J90" s="135">
        <v>46180</v>
      </c>
      <c r="L90" s="3">
        <v>1750</v>
      </c>
      <c r="M90" s="3">
        <v>27012</v>
      </c>
      <c r="N90" s="3" t="s">
        <v>5131</v>
      </c>
      <c r="R90" s="3">
        <v>8</v>
      </c>
      <c r="S90" s="3" t="s">
        <v>305</v>
      </c>
      <c r="T90" s="3" t="s">
        <v>5297</v>
      </c>
      <c r="U90" s="3" t="s">
        <v>5156</v>
      </c>
      <c r="V90" s="3">
        <v>390</v>
      </c>
      <c r="W90" s="3">
        <v>0</v>
      </c>
      <c r="X90" s="3">
        <v>192</v>
      </c>
      <c r="Y90" s="3">
        <v>0</v>
      </c>
      <c r="Z90" s="3">
        <v>0</v>
      </c>
      <c r="AA90" s="3">
        <v>192</v>
      </c>
      <c r="AB90" s="3">
        <v>4244</v>
      </c>
      <c r="AC90" s="172">
        <v>0</v>
      </c>
      <c r="AF90" s="193">
        <v>2.0833333333333332E-2</v>
      </c>
      <c r="AG90" s="193">
        <v>0.50138888888888888</v>
      </c>
      <c r="AH90" s="193">
        <v>0.89375000000000004</v>
      </c>
    </row>
    <row r="91" spans="1:34" x14ac:dyDescent="0.25">
      <c r="A91" s="3" t="s">
        <v>302</v>
      </c>
      <c r="B91" s="3">
        <v>132997</v>
      </c>
      <c r="C91" s="3">
        <v>942207</v>
      </c>
      <c r="D91" s="3" t="s">
        <v>3526</v>
      </c>
      <c r="E91" s="3">
        <v>7</v>
      </c>
      <c r="F91" s="3">
        <v>30</v>
      </c>
      <c r="G91" s="3">
        <v>5</v>
      </c>
      <c r="H91" s="55" t="s">
        <v>289</v>
      </c>
      <c r="I91" s="3" t="s">
        <v>279</v>
      </c>
      <c r="J91" s="135">
        <v>46180</v>
      </c>
      <c r="L91" s="3">
        <v>1750</v>
      </c>
      <c r="M91" s="3">
        <v>27012</v>
      </c>
      <c r="N91" s="3" t="s">
        <v>5131</v>
      </c>
      <c r="R91" s="3">
        <v>8</v>
      </c>
      <c r="S91" s="3" t="s">
        <v>2681</v>
      </c>
      <c r="T91" s="3" t="s">
        <v>5298</v>
      </c>
      <c r="U91" s="3" t="s">
        <v>290</v>
      </c>
      <c r="V91" s="3">
        <v>390</v>
      </c>
      <c r="W91" s="3">
        <v>0</v>
      </c>
      <c r="X91" s="3">
        <v>30</v>
      </c>
      <c r="Y91" s="3">
        <v>0</v>
      </c>
      <c r="Z91" s="3">
        <v>0</v>
      </c>
      <c r="AA91" s="3">
        <v>30</v>
      </c>
      <c r="AB91" s="3">
        <v>4274</v>
      </c>
      <c r="AC91" s="172">
        <v>0</v>
      </c>
      <c r="AF91" s="193">
        <v>3.472222222222222E-3</v>
      </c>
      <c r="AG91" s="193">
        <v>0.50486111111111109</v>
      </c>
      <c r="AH91" s="193">
        <v>0.89722222222222225</v>
      </c>
    </row>
    <row r="92" spans="1:34" x14ac:dyDescent="0.25">
      <c r="A92" s="3" t="s">
        <v>302</v>
      </c>
      <c r="B92" s="3">
        <v>132997</v>
      </c>
      <c r="C92" s="3">
        <v>942207</v>
      </c>
      <c r="D92" s="3" t="s">
        <v>3526</v>
      </c>
      <c r="E92" s="3">
        <v>7</v>
      </c>
      <c r="F92" s="3">
        <v>31</v>
      </c>
      <c r="G92" s="3">
        <v>6</v>
      </c>
      <c r="H92" s="55" t="s">
        <v>289</v>
      </c>
      <c r="I92" s="3" t="s">
        <v>279</v>
      </c>
      <c r="J92" s="135">
        <v>46180</v>
      </c>
      <c r="L92" s="3">
        <v>1750</v>
      </c>
      <c r="M92" s="3">
        <v>27012</v>
      </c>
      <c r="N92" s="3" t="s">
        <v>5131</v>
      </c>
      <c r="R92" s="3">
        <v>8</v>
      </c>
      <c r="S92" s="3" t="s">
        <v>2681</v>
      </c>
      <c r="T92" s="3" t="s">
        <v>5298</v>
      </c>
      <c r="U92" s="3" t="s">
        <v>313</v>
      </c>
      <c r="V92" s="3">
        <v>390</v>
      </c>
      <c r="W92" s="3">
        <v>0</v>
      </c>
      <c r="X92" s="3">
        <v>168</v>
      </c>
      <c r="Y92" s="3">
        <v>0</v>
      </c>
      <c r="Z92" s="3">
        <v>0</v>
      </c>
      <c r="AA92" s="3">
        <v>168</v>
      </c>
      <c r="AB92" s="3">
        <v>4442</v>
      </c>
      <c r="AC92" s="172">
        <v>0</v>
      </c>
      <c r="AF92" s="193">
        <v>1.8055555555555554E-2</v>
      </c>
      <c r="AG92" s="193">
        <v>0.5229166666666667</v>
      </c>
      <c r="AH92" s="193">
        <v>0.91527777777777775</v>
      </c>
    </row>
    <row r="93" spans="1:34" x14ac:dyDescent="0.25">
      <c r="A93" s="3" t="s">
        <v>302</v>
      </c>
      <c r="B93" s="3">
        <v>132997</v>
      </c>
      <c r="C93" s="3">
        <v>942207</v>
      </c>
      <c r="D93" s="3" t="s">
        <v>3526</v>
      </c>
      <c r="E93" s="3">
        <v>7</v>
      </c>
      <c r="F93" s="3">
        <v>32</v>
      </c>
      <c r="G93" s="3">
        <v>7</v>
      </c>
      <c r="H93" s="55" t="s">
        <v>289</v>
      </c>
      <c r="I93" s="3" t="s">
        <v>279</v>
      </c>
      <c r="J93" s="135">
        <v>46180</v>
      </c>
      <c r="K93" s="135"/>
      <c r="L93" s="3">
        <v>1750</v>
      </c>
      <c r="M93" s="3">
        <v>27012</v>
      </c>
      <c r="N93" s="3" t="s">
        <v>5131</v>
      </c>
      <c r="R93" s="3">
        <v>8</v>
      </c>
      <c r="S93" s="3" t="s">
        <v>2681</v>
      </c>
      <c r="T93" s="3" t="s">
        <v>5298</v>
      </c>
      <c r="U93" s="3" t="s">
        <v>5156</v>
      </c>
      <c r="V93" s="3">
        <v>390</v>
      </c>
      <c r="W93" s="3">
        <v>0</v>
      </c>
      <c r="X93" s="3">
        <v>52</v>
      </c>
      <c r="Y93" s="3">
        <v>0</v>
      </c>
      <c r="Z93" s="3">
        <v>0</v>
      </c>
      <c r="AA93" s="3">
        <v>52</v>
      </c>
      <c r="AB93" s="3">
        <v>4494</v>
      </c>
      <c r="AC93" s="172">
        <v>0</v>
      </c>
      <c r="AF93" s="193">
        <v>5.5555555555555558E-3</v>
      </c>
      <c r="AG93" s="193">
        <v>0.52847222222222223</v>
      </c>
      <c r="AH93" s="193">
        <v>0.92083333333333328</v>
      </c>
    </row>
    <row r="94" spans="1:34" x14ac:dyDescent="0.25">
      <c r="A94" s="3" t="s">
        <v>307</v>
      </c>
      <c r="B94" s="3">
        <v>132994</v>
      </c>
      <c r="C94" s="3">
        <v>942207</v>
      </c>
      <c r="D94" s="3" t="s">
        <v>3526</v>
      </c>
      <c r="E94" s="3">
        <v>7</v>
      </c>
      <c r="F94" s="3">
        <v>1</v>
      </c>
      <c r="G94" s="3">
        <v>13</v>
      </c>
      <c r="H94" s="55" t="s">
        <v>289</v>
      </c>
      <c r="I94" s="3" t="s">
        <v>279</v>
      </c>
      <c r="J94" s="135">
        <v>46180</v>
      </c>
      <c r="K94" s="3" t="s">
        <v>5096</v>
      </c>
      <c r="L94" s="3">
        <v>1750</v>
      </c>
      <c r="M94" s="3">
        <v>27012</v>
      </c>
      <c r="N94" s="3" t="s">
        <v>5131</v>
      </c>
      <c r="R94" s="3">
        <v>8</v>
      </c>
      <c r="S94" s="3" t="s">
        <v>2680</v>
      </c>
      <c r="T94" s="3" t="s">
        <v>441</v>
      </c>
      <c r="U94" s="3" t="s">
        <v>311</v>
      </c>
      <c r="V94" s="3">
        <v>390</v>
      </c>
      <c r="W94" s="3">
        <v>0</v>
      </c>
      <c r="X94" s="3">
        <v>276</v>
      </c>
      <c r="Y94" s="3">
        <v>266</v>
      </c>
      <c r="Z94" s="3">
        <v>6</v>
      </c>
      <c r="AA94" s="3">
        <v>4</v>
      </c>
      <c r="AB94" s="3">
        <v>4</v>
      </c>
      <c r="AC94" s="172">
        <v>0</v>
      </c>
      <c r="AF94" s="193">
        <v>6.9444444444444447E-4</v>
      </c>
      <c r="AG94" s="193">
        <v>6.9444444444444447E-4</v>
      </c>
      <c r="AH94" s="193">
        <v>0.27777777777777779</v>
      </c>
    </row>
    <row r="95" spans="1:34" x14ac:dyDescent="0.25">
      <c r="A95" s="3" t="s">
        <v>307</v>
      </c>
      <c r="B95" s="3">
        <v>132994</v>
      </c>
      <c r="C95" s="3">
        <v>942207</v>
      </c>
      <c r="D95" s="3" t="s">
        <v>3526</v>
      </c>
      <c r="E95" s="3">
        <v>7</v>
      </c>
      <c r="F95" s="3">
        <v>2</v>
      </c>
      <c r="G95" s="3">
        <v>12</v>
      </c>
      <c r="H95" s="55" t="s">
        <v>289</v>
      </c>
      <c r="I95" s="3" t="s">
        <v>279</v>
      </c>
      <c r="J95" s="135">
        <v>46180</v>
      </c>
      <c r="L95" s="3">
        <v>1750</v>
      </c>
      <c r="M95" s="3">
        <v>27012</v>
      </c>
      <c r="N95" s="3" t="s">
        <v>5131</v>
      </c>
      <c r="R95" s="3">
        <v>8</v>
      </c>
      <c r="S95" s="3" t="s">
        <v>2680</v>
      </c>
      <c r="T95" s="3" t="s">
        <v>441</v>
      </c>
      <c r="U95" s="3" t="s">
        <v>5156</v>
      </c>
      <c r="V95" s="3">
        <v>390</v>
      </c>
      <c r="W95" s="3">
        <v>0</v>
      </c>
      <c r="X95" s="3">
        <v>282</v>
      </c>
      <c r="Y95" s="3">
        <v>0</v>
      </c>
      <c r="Z95" s="3">
        <v>0</v>
      </c>
      <c r="AA95" s="3">
        <v>282</v>
      </c>
      <c r="AB95" s="3">
        <v>286</v>
      </c>
      <c r="AC95" s="172">
        <v>0</v>
      </c>
      <c r="AF95" s="193">
        <v>2.9861111111111113E-2</v>
      </c>
      <c r="AG95" s="193">
        <v>3.0555555555555555E-2</v>
      </c>
      <c r="AH95" s="193">
        <v>0.30763888888888891</v>
      </c>
    </row>
    <row r="96" spans="1:34" x14ac:dyDescent="0.25">
      <c r="A96" s="3" t="s">
        <v>307</v>
      </c>
      <c r="B96" s="3">
        <v>132993</v>
      </c>
      <c r="C96" s="3">
        <v>942207</v>
      </c>
      <c r="D96" s="3" t="s">
        <v>3526</v>
      </c>
      <c r="E96" s="3">
        <v>7</v>
      </c>
      <c r="F96" s="3">
        <v>3</v>
      </c>
      <c r="G96" s="3">
        <v>13</v>
      </c>
      <c r="H96" s="55" t="s">
        <v>289</v>
      </c>
      <c r="I96" s="3" t="s">
        <v>279</v>
      </c>
      <c r="J96" s="135">
        <v>46180</v>
      </c>
      <c r="L96" s="3">
        <v>1750</v>
      </c>
      <c r="M96" s="3">
        <v>27012</v>
      </c>
      <c r="N96" s="3" t="s">
        <v>5131</v>
      </c>
      <c r="R96" s="3">
        <v>8</v>
      </c>
      <c r="S96" s="3" t="s">
        <v>2679</v>
      </c>
      <c r="T96" s="3" t="s">
        <v>5301</v>
      </c>
      <c r="U96" s="3">
        <v>36</v>
      </c>
      <c r="V96" s="3">
        <v>390</v>
      </c>
      <c r="W96" s="3">
        <v>0</v>
      </c>
      <c r="X96" s="3">
        <v>266</v>
      </c>
      <c r="Y96" s="3">
        <v>0</v>
      </c>
      <c r="Z96" s="3">
        <v>0</v>
      </c>
      <c r="AA96" s="3">
        <v>266</v>
      </c>
      <c r="AB96" s="3">
        <v>552</v>
      </c>
      <c r="AC96" s="172">
        <v>0</v>
      </c>
      <c r="AF96" s="193">
        <v>2.8472222222222222E-2</v>
      </c>
      <c r="AG96" s="193">
        <v>5.9027777777777776E-2</v>
      </c>
      <c r="AH96" s="193">
        <v>0.33611111111111114</v>
      </c>
    </row>
    <row r="97" spans="1:34" x14ac:dyDescent="0.25">
      <c r="A97" s="3" t="s">
        <v>307</v>
      </c>
      <c r="B97" s="3">
        <v>132993</v>
      </c>
      <c r="C97" s="3">
        <v>942207</v>
      </c>
      <c r="D97" s="3" t="s">
        <v>3526</v>
      </c>
      <c r="E97" s="3">
        <v>7</v>
      </c>
      <c r="F97" s="3">
        <v>4</v>
      </c>
      <c r="G97" s="3">
        <v>8</v>
      </c>
      <c r="H97" s="55" t="s">
        <v>289</v>
      </c>
      <c r="I97" s="3" t="s">
        <v>279</v>
      </c>
      <c r="J97" s="135">
        <v>46180</v>
      </c>
      <c r="L97" s="3">
        <v>1750</v>
      </c>
      <c r="M97" s="3">
        <v>27012</v>
      </c>
      <c r="N97" s="3" t="s">
        <v>5131</v>
      </c>
      <c r="R97" s="3">
        <v>8</v>
      </c>
      <c r="S97" s="3" t="s">
        <v>2679</v>
      </c>
      <c r="T97" s="3" t="s">
        <v>5301</v>
      </c>
      <c r="U97" s="3" t="s">
        <v>313</v>
      </c>
      <c r="V97" s="3">
        <v>390</v>
      </c>
      <c r="W97" s="3">
        <v>0</v>
      </c>
      <c r="X97" s="3">
        <v>94</v>
      </c>
      <c r="Y97" s="3">
        <v>0</v>
      </c>
      <c r="Z97" s="3">
        <v>0</v>
      </c>
      <c r="AA97" s="3">
        <v>94</v>
      </c>
      <c r="AB97" s="3">
        <v>646</v>
      </c>
      <c r="AC97" s="172">
        <v>0</v>
      </c>
      <c r="AF97" s="193">
        <v>9.7222222222222224E-3</v>
      </c>
      <c r="AG97" s="193">
        <v>6.8750000000000006E-2</v>
      </c>
      <c r="AH97" s="193">
        <v>0.34583333333333333</v>
      </c>
    </row>
    <row r="98" spans="1:34" x14ac:dyDescent="0.25">
      <c r="A98" s="3" t="s">
        <v>307</v>
      </c>
      <c r="B98" s="3">
        <v>132993</v>
      </c>
      <c r="C98" s="3">
        <v>942207</v>
      </c>
      <c r="D98" s="3" t="s">
        <v>3526</v>
      </c>
      <c r="E98" s="3">
        <v>7</v>
      </c>
      <c r="F98" s="3">
        <v>5</v>
      </c>
      <c r="G98" s="3">
        <v>9</v>
      </c>
      <c r="H98" s="55" t="s">
        <v>289</v>
      </c>
      <c r="I98" s="3" t="s">
        <v>279</v>
      </c>
      <c r="J98" s="135">
        <v>46180</v>
      </c>
      <c r="L98" s="3">
        <v>1750</v>
      </c>
      <c r="M98" s="3">
        <v>27012</v>
      </c>
      <c r="N98" s="3" t="s">
        <v>5131</v>
      </c>
      <c r="R98" s="3">
        <v>8</v>
      </c>
      <c r="S98" s="3" t="s">
        <v>2679</v>
      </c>
      <c r="T98" s="3" t="s">
        <v>5301</v>
      </c>
      <c r="U98" s="3" t="s">
        <v>311</v>
      </c>
      <c r="V98" s="3">
        <v>390</v>
      </c>
      <c r="W98" s="3">
        <v>0</v>
      </c>
      <c r="X98" s="3">
        <v>36</v>
      </c>
      <c r="Y98" s="3">
        <v>0</v>
      </c>
      <c r="Z98" s="3">
        <v>0</v>
      </c>
      <c r="AA98" s="3">
        <v>36</v>
      </c>
      <c r="AB98" s="3">
        <v>682</v>
      </c>
      <c r="AC98" s="172">
        <v>0</v>
      </c>
      <c r="AF98" s="193">
        <v>4.1666666666666666E-3</v>
      </c>
      <c r="AG98" s="193">
        <v>7.2916666666666671E-2</v>
      </c>
      <c r="AH98" s="193">
        <v>0.35</v>
      </c>
    </row>
    <row r="99" spans="1:34" x14ac:dyDescent="0.25">
      <c r="A99" s="3" t="s">
        <v>307</v>
      </c>
      <c r="B99" s="3">
        <v>136009</v>
      </c>
      <c r="C99" s="3">
        <v>942207</v>
      </c>
      <c r="D99" s="3" t="s">
        <v>3526</v>
      </c>
      <c r="E99" s="3">
        <v>7</v>
      </c>
      <c r="F99" s="3">
        <v>6</v>
      </c>
      <c r="G99" s="3">
        <v>10</v>
      </c>
      <c r="H99" s="55" t="s">
        <v>289</v>
      </c>
      <c r="I99" s="3" t="s">
        <v>279</v>
      </c>
      <c r="J99" s="135">
        <v>46210</v>
      </c>
      <c r="L99" s="3">
        <v>1750</v>
      </c>
      <c r="M99" s="3">
        <v>27012</v>
      </c>
      <c r="N99" s="3" t="s">
        <v>5131</v>
      </c>
      <c r="R99" s="3">
        <v>8</v>
      </c>
      <c r="S99" s="3" t="s">
        <v>2679</v>
      </c>
      <c r="T99" s="3" t="s">
        <v>5301</v>
      </c>
      <c r="U99" s="3" t="s">
        <v>311</v>
      </c>
      <c r="V99" s="3">
        <v>390</v>
      </c>
      <c r="W99" s="3">
        <v>0</v>
      </c>
      <c r="X99" s="3">
        <v>96</v>
      </c>
      <c r="Y99" s="3">
        <v>0</v>
      </c>
      <c r="Z99" s="3">
        <v>0</v>
      </c>
      <c r="AA99" s="3">
        <v>96</v>
      </c>
      <c r="AB99" s="3">
        <v>778</v>
      </c>
      <c r="AC99" s="172">
        <v>8.3333333333333332E-3</v>
      </c>
      <c r="AD99" s="3" t="s">
        <v>292</v>
      </c>
      <c r="AF99" s="193">
        <v>1.0416666666666666E-2</v>
      </c>
      <c r="AG99" s="193">
        <v>8.3333333333333329E-2</v>
      </c>
      <c r="AH99" s="193">
        <v>0.36875000000000002</v>
      </c>
    </row>
    <row r="100" spans="1:34" x14ac:dyDescent="0.25">
      <c r="A100" s="3" t="s">
        <v>307</v>
      </c>
      <c r="B100" s="3">
        <v>136009</v>
      </c>
      <c r="C100" s="3">
        <v>942207</v>
      </c>
      <c r="D100" s="3" t="s">
        <v>3526</v>
      </c>
      <c r="E100" s="3">
        <v>7</v>
      </c>
      <c r="F100" s="3">
        <v>7</v>
      </c>
      <c r="G100" s="3">
        <v>8</v>
      </c>
      <c r="H100" s="55" t="s">
        <v>289</v>
      </c>
      <c r="I100" s="3" t="s">
        <v>279</v>
      </c>
      <c r="J100" s="135">
        <v>46210</v>
      </c>
      <c r="L100" s="3">
        <v>1750</v>
      </c>
      <c r="M100" s="3">
        <v>27012</v>
      </c>
      <c r="N100" s="3" t="s">
        <v>5131</v>
      </c>
      <c r="R100" s="3">
        <v>8</v>
      </c>
      <c r="S100" s="3" t="s">
        <v>2679</v>
      </c>
      <c r="T100" s="3" t="s">
        <v>5301</v>
      </c>
      <c r="U100" s="3" t="s">
        <v>290</v>
      </c>
      <c r="V100" s="3">
        <v>390</v>
      </c>
      <c r="W100" s="3">
        <v>0</v>
      </c>
      <c r="X100" s="3">
        <v>156</v>
      </c>
      <c r="Y100" s="3">
        <v>0</v>
      </c>
      <c r="Z100" s="3">
        <v>0</v>
      </c>
      <c r="AA100" s="3">
        <v>156</v>
      </c>
      <c r="AB100" s="3">
        <v>934</v>
      </c>
      <c r="AC100" s="172">
        <v>0</v>
      </c>
      <c r="AF100" s="193">
        <v>1.6666666666666666E-2</v>
      </c>
      <c r="AG100" s="193">
        <v>0.1</v>
      </c>
      <c r="AH100" s="193">
        <v>0.38541666666666669</v>
      </c>
    </row>
    <row r="101" spans="1:34" x14ac:dyDescent="0.25">
      <c r="A101" s="3" t="s">
        <v>307</v>
      </c>
      <c r="B101" s="3">
        <v>136009</v>
      </c>
      <c r="C101" s="3">
        <v>942207</v>
      </c>
      <c r="D101" s="3" t="s">
        <v>3526</v>
      </c>
      <c r="E101" s="3">
        <v>7</v>
      </c>
      <c r="F101" s="3">
        <v>8</v>
      </c>
      <c r="G101" s="3">
        <v>11</v>
      </c>
      <c r="H101" s="55" t="s">
        <v>289</v>
      </c>
      <c r="I101" s="3" t="s">
        <v>279</v>
      </c>
      <c r="J101" s="135">
        <v>46210</v>
      </c>
      <c r="L101" s="3">
        <v>1750</v>
      </c>
      <c r="M101" s="3">
        <v>27012</v>
      </c>
      <c r="N101" s="3" t="s">
        <v>5131</v>
      </c>
      <c r="R101" s="3">
        <v>8</v>
      </c>
      <c r="S101" s="3" t="s">
        <v>2679</v>
      </c>
      <c r="T101" s="3" t="s">
        <v>5301</v>
      </c>
      <c r="U101" s="3" t="s">
        <v>304</v>
      </c>
      <c r="V101" s="3">
        <v>390</v>
      </c>
      <c r="W101" s="3">
        <v>0</v>
      </c>
      <c r="X101" s="3">
        <v>106</v>
      </c>
      <c r="Y101" s="3">
        <v>0</v>
      </c>
      <c r="Z101" s="3">
        <v>0</v>
      </c>
      <c r="AA101" s="3">
        <v>106</v>
      </c>
      <c r="AB101" s="3">
        <v>1040</v>
      </c>
      <c r="AC101" s="172">
        <v>0</v>
      </c>
      <c r="AF101" s="193">
        <v>1.1111111111111112E-2</v>
      </c>
      <c r="AG101" s="193">
        <v>0.1111111111111111</v>
      </c>
      <c r="AH101" s="193">
        <v>0.39652777777777776</v>
      </c>
    </row>
    <row r="102" spans="1:34" x14ac:dyDescent="0.25">
      <c r="A102" s="3" t="s">
        <v>307</v>
      </c>
      <c r="B102" s="3">
        <v>132993</v>
      </c>
      <c r="C102" s="3">
        <v>942207</v>
      </c>
      <c r="D102" s="3" t="s">
        <v>3526</v>
      </c>
      <c r="E102" s="3">
        <v>7</v>
      </c>
      <c r="F102" s="3">
        <v>9</v>
      </c>
      <c r="G102" s="3">
        <v>10</v>
      </c>
      <c r="H102" s="55" t="s">
        <v>289</v>
      </c>
      <c r="I102" s="3" t="s">
        <v>279</v>
      </c>
      <c r="J102" s="135">
        <v>46180</v>
      </c>
      <c r="L102" s="3">
        <v>1750</v>
      </c>
      <c r="M102" s="3">
        <v>27012</v>
      </c>
      <c r="N102" s="3" t="s">
        <v>5131</v>
      </c>
      <c r="R102" s="3">
        <v>8</v>
      </c>
      <c r="S102" s="3" t="s">
        <v>2679</v>
      </c>
      <c r="T102" s="3" t="s">
        <v>5301</v>
      </c>
      <c r="U102" s="3" t="s">
        <v>304</v>
      </c>
      <c r="V102" s="3">
        <v>390</v>
      </c>
      <c r="W102" s="3">
        <v>0</v>
      </c>
      <c r="X102" s="3">
        <v>68</v>
      </c>
      <c r="Y102" s="3">
        <v>0</v>
      </c>
      <c r="Z102" s="3">
        <v>0</v>
      </c>
      <c r="AA102" s="3">
        <v>68</v>
      </c>
      <c r="AB102" s="3">
        <v>1108</v>
      </c>
      <c r="AC102" s="172">
        <v>0</v>
      </c>
      <c r="AF102" s="193">
        <v>6.9444444444444441E-3</v>
      </c>
      <c r="AG102" s="193">
        <v>0.11805555555555555</v>
      </c>
      <c r="AH102" s="193">
        <v>0.40347222222222223</v>
      </c>
    </row>
    <row r="103" spans="1:34" x14ac:dyDescent="0.25">
      <c r="A103" s="3" t="s">
        <v>307</v>
      </c>
      <c r="B103" s="3">
        <v>132993</v>
      </c>
      <c r="C103" s="3">
        <v>942207</v>
      </c>
      <c r="D103" s="3" t="s">
        <v>3526</v>
      </c>
      <c r="E103" s="3">
        <v>7</v>
      </c>
      <c r="F103" s="3">
        <v>10</v>
      </c>
      <c r="G103" s="3">
        <v>11</v>
      </c>
      <c r="H103" s="55" t="s">
        <v>289</v>
      </c>
      <c r="I103" s="3" t="s">
        <v>279</v>
      </c>
      <c r="J103" s="135">
        <v>46180</v>
      </c>
      <c r="L103" s="3">
        <v>1750</v>
      </c>
      <c r="M103" s="3">
        <v>27012</v>
      </c>
      <c r="N103" s="3" t="s">
        <v>5131</v>
      </c>
      <c r="R103" s="3">
        <v>8</v>
      </c>
      <c r="S103" s="3" t="s">
        <v>2679</v>
      </c>
      <c r="T103" s="3" t="s">
        <v>5301</v>
      </c>
      <c r="U103" s="3" t="s">
        <v>298</v>
      </c>
      <c r="V103" s="3">
        <v>390</v>
      </c>
      <c r="W103" s="3">
        <v>0</v>
      </c>
      <c r="X103" s="3">
        <v>102</v>
      </c>
      <c r="Y103" s="3">
        <v>0</v>
      </c>
      <c r="Z103" s="3">
        <v>0</v>
      </c>
      <c r="AA103" s="3">
        <v>102</v>
      </c>
      <c r="AB103" s="3">
        <v>1210</v>
      </c>
      <c r="AC103" s="172">
        <v>0</v>
      </c>
      <c r="AF103" s="193">
        <v>1.1111111111111112E-2</v>
      </c>
      <c r="AG103" s="193">
        <v>0.12916666666666668</v>
      </c>
      <c r="AH103" s="193">
        <v>0.41458333333333336</v>
      </c>
    </row>
    <row r="104" spans="1:34" x14ac:dyDescent="0.25">
      <c r="A104" s="3" t="s">
        <v>307</v>
      </c>
      <c r="B104" s="3">
        <v>136009</v>
      </c>
      <c r="C104" s="3">
        <v>942207</v>
      </c>
      <c r="D104" s="3" t="s">
        <v>3526</v>
      </c>
      <c r="E104" s="3">
        <v>7</v>
      </c>
      <c r="F104" s="3">
        <v>11</v>
      </c>
      <c r="G104" s="3">
        <v>12</v>
      </c>
      <c r="H104" s="55" t="s">
        <v>289</v>
      </c>
      <c r="I104" s="3" t="s">
        <v>279</v>
      </c>
      <c r="J104" s="135">
        <v>46210</v>
      </c>
      <c r="L104" s="3">
        <v>1750</v>
      </c>
      <c r="M104" s="3">
        <v>27012</v>
      </c>
      <c r="N104" s="3" t="s">
        <v>5131</v>
      </c>
      <c r="R104" s="3">
        <v>8</v>
      </c>
      <c r="S104" s="3" t="s">
        <v>2679</v>
      </c>
      <c r="T104" s="3" t="s">
        <v>5301</v>
      </c>
      <c r="U104" s="3" t="s">
        <v>298</v>
      </c>
      <c r="V104" s="3">
        <v>390</v>
      </c>
      <c r="W104" s="3">
        <v>0</v>
      </c>
      <c r="X104" s="3">
        <v>114</v>
      </c>
      <c r="Y104" s="3">
        <v>0</v>
      </c>
      <c r="Z104" s="3">
        <v>0</v>
      </c>
      <c r="AA104" s="3">
        <v>114</v>
      </c>
      <c r="AB104" s="3">
        <v>1324</v>
      </c>
      <c r="AC104" s="172">
        <v>0</v>
      </c>
      <c r="AF104" s="193">
        <v>1.2500000000000001E-2</v>
      </c>
      <c r="AG104" s="193">
        <v>0.14166666666666666</v>
      </c>
      <c r="AH104" s="193">
        <v>0.42708333333333331</v>
      </c>
    </row>
    <row r="105" spans="1:34" x14ac:dyDescent="0.25">
      <c r="A105" s="3" t="s">
        <v>307</v>
      </c>
      <c r="B105" s="3">
        <v>136009</v>
      </c>
      <c r="C105" s="3">
        <v>942207</v>
      </c>
      <c r="D105" s="3" t="s">
        <v>3526</v>
      </c>
      <c r="E105" s="3">
        <v>7</v>
      </c>
      <c r="F105" s="3">
        <v>12</v>
      </c>
      <c r="G105" s="3">
        <v>13</v>
      </c>
      <c r="H105" s="55" t="s">
        <v>289</v>
      </c>
      <c r="I105" s="3" t="s">
        <v>279</v>
      </c>
      <c r="J105" s="135">
        <v>46210</v>
      </c>
      <c r="L105" s="3">
        <v>1750</v>
      </c>
      <c r="M105" s="3">
        <v>27012</v>
      </c>
      <c r="N105" s="3" t="s">
        <v>5131</v>
      </c>
      <c r="R105" s="3">
        <v>8</v>
      </c>
      <c r="S105" s="3" t="s">
        <v>2679</v>
      </c>
      <c r="T105" s="3" t="s">
        <v>5301</v>
      </c>
      <c r="U105" s="3">
        <v>35</v>
      </c>
      <c r="V105" s="3">
        <v>390</v>
      </c>
      <c r="W105" s="3">
        <v>0</v>
      </c>
      <c r="X105" s="3">
        <v>66</v>
      </c>
      <c r="Y105" s="3">
        <v>0</v>
      </c>
      <c r="Z105" s="3">
        <v>0</v>
      </c>
      <c r="AA105" s="3">
        <v>66</v>
      </c>
      <c r="AB105" s="3">
        <v>1390</v>
      </c>
      <c r="AC105" s="172">
        <v>0</v>
      </c>
      <c r="AF105" s="193">
        <v>6.9444444444444441E-3</v>
      </c>
      <c r="AG105" s="193">
        <v>0.14861111111111111</v>
      </c>
      <c r="AH105" s="193">
        <v>0.43402777777777779</v>
      </c>
    </row>
    <row r="106" spans="1:34" x14ac:dyDescent="0.25">
      <c r="A106" s="3" t="s">
        <v>307</v>
      </c>
      <c r="B106" s="3">
        <v>132993</v>
      </c>
      <c r="C106" s="3">
        <v>942207</v>
      </c>
      <c r="D106" s="3" t="s">
        <v>3526</v>
      </c>
      <c r="E106" s="3">
        <v>7</v>
      </c>
      <c r="F106" s="3">
        <v>13</v>
      </c>
      <c r="G106" s="3">
        <v>12</v>
      </c>
      <c r="H106" s="55" t="s">
        <v>289</v>
      </c>
      <c r="I106" s="3" t="s">
        <v>279</v>
      </c>
      <c r="J106" s="135">
        <v>46180</v>
      </c>
      <c r="L106" s="3">
        <v>1750</v>
      </c>
      <c r="M106" s="3">
        <v>27012</v>
      </c>
      <c r="N106" s="3" t="s">
        <v>5131</v>
      </c>
      <c r="R106" s="3">
        <v>8</v>
      </c>
      <c r="S106" s="3" t="s">
        <v>2679</v>
      </c>
      <c r="T106" s="3" t="s">
        <v>5301</v>
      </c>
      <c r="U106" s="3">
        <v>35</v>
      </c>
      <c r="V106" s="3">
        <v>390</v>
      </c>
      <c r="W106" s="3">
        <v>0</v>
      </c>
      <c r="X106" s="3">
        <v>116</v>
      </c>
      <c r="Y106" s="3">
        <v>0</v>
      </c>
      <c r="Z106" s="3">
        <v>0</v>
      </c>
      <c r="AA106" s="3">
        <v>116</v>
      </c>
      <c r="AB106" s="3">
        <v>1506</v>
      </c>
      <c r="AC106" s="172">
        <v>0</v>
      </c>
      <c r="AF106" s="193">
        <v>1.2500000000000001E-2</v>
      </c>
      <c r="AG106" s="193">
        <v>0.16111111111111112</v>
      </c>
      <c r="AH106" s="193">
        <v>0.4465277777777778</v>
      </c>
    </row>
    <row r="107" spans="1:34" x14ac:dyDescent="0.25">
      <c r="A107" s="3" t="s">
        <v>307</v>
      </c>
      <c r="B107" s="3">
        <v>136009</v>
      </c>
      <c r="C107" s="3">
        <v>942207</v>
      </c>
      <c r="D107" s="3" t="s">
        <v>3526</v>
      </c>
      <c r="E107" s="3">
        <v>7</v>
      </c>
      <c r="F107" s="3">
        <v>14</v>
      </c>
      <c r="G107" s="3">
        <v>9</v>
      </c>
      <c r="H107" s="55" t="s">
        <v>289</v>
      </c>
      <c r="I107" s="3" t="s">
        <v>279</v>
      </c>
      <c r="J107" s="135">
        <v>46210</v>
      </c>
      <c r="L107" s="3">
        <v>1750</v>
      </c>
      <c r="M107" s="3">
        <v>27012</v>
      </c>
      <c r="N107" s="3" t="s">
        <v>5131</v>
      </c>
      <c r="R107" s="3">
        <v>8</v>
      </c>
      <c r="S107" s="3" t="s">
        <v>2679</v>
      </c>
      <c r="T107" s="3" t="s">
        <v>5301</v>
      </c>
      <c r="U107" s="3" t="s">
        <v>5156</v>
      </c>
      <c r="V107" s="3">
        <v>390</v>
      </c>
      <c r="W107" s="3">
        <v>0</v>
      </c>
      <c r="X107" s="3">
        <v>112</v>
      </c>
      <c r="Y107" s="3">
        <v>0</v>
      </c>
      <c r="Z107" s="3">
        <v>0</v>
      </c>
      <c r="AA107" s="3">
        <v>112</v>
      </c>
      <c r="AB107" s="3">
        <v>1618</v>
      </c>
      <c r="AC107" s="172">
        <v>0</v>
      </c>
      <c r="AF107" s="193">
        <v>1.1805555555555555E-2</v>
      </c>
      <c r="AG107" s="193">
        <v>0.17291666666666666</v>
      </c>
      <c r="AH107" s="193">
        <v>0.45833333333333331</v>
      </c>
    </row>
    <row r="108" spans="1:34" x14ac:dyDescent="0.25">
      <c r="A108" s="3" t="s">
        <v>307</v>
      </c>
      <c r="B108" s="3">
        <v>132992</v>
      </c>
      <c r="C108" s="3">
        <v>942207</v>
      </c>
      <c r="D108" s="3" t="s">
        <v>3526</v>
      </c>
      <c r="E108" s="3">
        <v>7</v>
      </c>
      <c r="F108" s="3">
        <v>15</v>
      </c>
      <c r="G108" s="3">
        <v>7</v>
      </c>
      <c r="H108" s="55" t="s">
        <v>289</v>
      </c>
      <c r="I108" s="3" t="s">
        <v>279</v>
      </c>
      <c r="J108" s="135">
        <v>46180</v>
      </c>
      <c r="L108" s="3">
        <v>1750</v>
      </c>
      <c r="M108" s="3">
        <v>27012</v>
      </c>
      <c r="N108" s="3" t="s">
        <v>5131</v>
      </c>
      <c r="R108" s="3">
        <v>8</v>
      </c>
      <c r="S108" s="3" t="s">
        <v>329</v>
      </c>
      <c r="T108" s="3" t="s">
        <v>5299</v>
      </c>
      <c r="U108" s="3">
        <v>35</v>
      </c>
      <c r="V108" s="3">
        <v>390</v>
      </c>
      <c r="W108" s="3">
        <v>0</v>
      </c>
      <c r="X108" s="3">
        <v>118</v>
      </c>
      <c r="Y108" s="3">
        <v>0</v>
      </c>
      <c r="Z108" s="3">
        <v>0</v>
      </c>
      <c r="AA108" s="3">
        <v>118</v>
      </c>
      <c r="AB108" s="3">
        <v>1736</v>
      </c>
      <c r="AC108" s="172">
        <v>4.1666666666666664E-2</v>
      </c>
      <c r="AD108" s="3" t="s">
        <v>294</v>
      </c>
      <c r="AE108" s="3" t="s">
        <v>295</v>
      </c>
      <c r="AF108" s="193">
        <v>1.2500000000000001E-2</v>
      </c>
      <c r="AG108" s="193">
        <v>0.18541666666666667</v>
      </c>
      <c r="AH108" s="193">
        <v>0.51249999999999996</v>
      </c>
    </row>
    <row r="109" spans="1:34" x14ac:dyDescent="0.25">
      <c r="A109" s="3" t="s">
        <v>307</v>
      </c>
      <c r="B109" s="3">
        <v>132992</v>
      </c>
      <c r="C109" s="3">
        <v>942207</v>
      </c>
      <c r="D109" s="3" t="s">
        <v>3526</v>
      </c>
      <c r="E109" s="3">
        <v>7</v>
      </c>
      <c r="F109" s="3">
        <v>16</v>
      </c>
      <c r="G109" s="3">
        <v>5</v>
      </c>
      <c r="H109" s="55" t="s">
        <v>289</v>
      </c>
      <c r="I109" s="3" t="s">
        <v>279</v>
      </c>
      <c r="J109" s="135">
        <v>46180</v>
      </c>
      <c r="K109" s="135"/>
      <c r="L109" s="3">
        <v>1750</v>
      </c>
      <c r="M109" s="3">
        <v>27012</v>
      </c>
      <c r="N109" s="3" t="s">
        <v>5131</v>
      </c>
      <c r="R109" s="3">
        <v>8</v>
      </c>
      <c r="S109" s="3" t="s">
        <v>329</v>
      </c>
      <c r="T109" s="3" t="s">
        <v>5299</v>
      </c>
      <c r="U109" s="3" t="s">
        <v>311</v>
      </c>
      <c r="V109" s="3">
        <v>390</v>
      </c>
      <c r="W109" s="3">
        <v>0</v>
      </c>
      <c r="X109" s="3">
        <v>42</v>
      </c>
      <c r="Y109" s="3">
        <v>0</v>
      </c>
      <c r="Z109" s="3">
        <v>0</v>
      </c>
      <c r="AA109" s="3">
        <v>42</v>
      </c>
      <c r="AB109" s="3">
        <v>1778</v>
      </c>
      <c r="AC109" s="172">
        <v>0</v>
      </c>
      <c r="AF109" s="193">
        <v>4.1666666666666666E-3</v>
      </c>
      <c r="AG109" s="193">
        <v>0.19027777777777777</v>
      </c>
      <c r="AH109" s="193">
        <v>0.51666666666666672</v>
      </c>
    </row>
    <row r="110" spans="1:34" x14ac:dyDescent="0.25">
      <c r="A110" s="3" t="s">
        <v>307</v>
      </c>
      <c r="B110" s="3">
        <v>132992</v>
      </c>
      <c r="C110" s="3">
        <v>942207</v>
      </c>
      <c r="D110" s="3" t="s">
        <v>3526</v>
      </c>
      <c r="E110" s="3">
        <v>7</v>
      </c>
      <c r="F110" s="3">
        <v>17</v>
      </c>
      <c r="G110" s="3">
        <v>6</v>
      </c>
      <c r="H110" s="55" t="s">
        <v>289</v>
      </c>
      <c r="I110" s="3" t="s">
        <v>279</v>
      </c>
      <c r="J110" s="135">
        <v>46180</v>
      </c>
      <c r="K110" s="135"/>
      <c r="L110" s="3">
        <v>1750</v>
      </c>
      <c r="M110" s="3">
        <v>27012</v>
      </c>
      <c r="N110" s="3" t="s">
        <v>5131</v>
      </c>
      <c r="R110" s="3">
        <v>8</v>
      </c>
      <c r="S110" s="3" t="s">
        <v>329</v>
      </c>
      <c r="T110" s="3" t="s">
        <v>5299</v>
      </c>
      <c r="U110" s="3" t="s">
        <v>298</v>
      </c>
      <c r="V110" s="3">
        <v>390</v>
      </c>
      <c r="W110" s="3">
        <v>0</v>
      </c>
      <c r="X110" s="3">
        <v>104</v>
      </c>
      <c r="Y110" s="3">
        <v>0</v>
      </c>
      <c r="Z110" s="3">
        <v>0</v>
      </c>
      <c r="AA110" s="3">
        <v>104</v>
      </c>
      <c r="AB110" s="3">
        <v>1882</v>
      </c>
      <c r="AC110" s="172">
        <v>0</v>
      </c>
      <c r="AF110" s="193">
        <v>1.1111111111111112E-2</v>
      </c>
      <c r="AG110" s="193">
        <v>0.2013888888888889</v>
      </c>
      <c r="AH110" s="193">
        <v>0.52777777777777779</v>
      </c>
    </row>
    <row r="111" spans="1:34" x14ac:dyDescent="0.25">
      <c r="A111" s="3" t="s">
        <v>315</v>
      </c>
      <c r="B111" s="3">
        <v>109698</v>
      </c>
      <c r="C111" s="3">
        <v>940807</v>
      </c>
      <c r="D111" s="3" t="s">
        <v>3526</v>
      </c>
      <c r="E111" s="3">
        <v>4</v>
      </c>
      <c r="F111" s="3">
        <v>1</v>
      </c>
      <c r="G111" s="3">
        <v>5</v>
      </c>
      <c r="H111" s="55" t="s">
        <v>289</v>
      </c>
      <c r="I111" s="3" t="s">
        <v>279</v>
      </c>
      <c r="J111" s="135" t="s">
        <v>4752</v>
      </c>
      <c r="K111" s="135">
        <v>46210</v>
      </c>
      <c r="L111" s="3">
        <v>1750</v>
      </c>
      <c r="M111" s="3">
        <v>82591</v>
      </c>
      <c r="N111" s="3" t="s">
        <v>5114</v>
      </c>
      <c r="O111" s="3" t="s">
        <v>4753</v>
      </c>
      <c r="R111" s="3">
        <v>7</v>
      </c>
      <c r="S111" s="3" t="s">
        <v>5132</v>
      </c>
      <c r="T111" s="3" t="s">
        <v>5133</v>
      </c>
      <c r="U111" s="3">
        <v>36</v>
      </c>
      <c r="V111" s="3">
        <v>600</v>
      </c>
      <c r="W111" s="3">
        <v>0</v>
      </c>
      <c r="X111" s="3">
        <v>4700</v>
      </c>
      <c r="Y111" s="3">
        <v>4672</v>
      </c>
      <c r="Z111" s="3">
        <v>0</v>
      </c>
      <c r="AA111" s="3">
        <v>28</v>
      </c>
      <c r="AB111" s="3">
        <v>28</v>
      </c>
      <c r="AC111" s="191">
        <v>0</v>
      </c>
      <c r="AF111" s="193">
        <v>2.0833333333333333E-3</v>
      </c>
      <c r="AG111" s="193">
        <v>2.0833333333333333E-3</v>
      </c>
      <c r="AH111" s="193">
        <v>0.27916666666666667</v>
      </c>
    </row>
    <row r="112" spans="1:34" x14ac:dyDescent="0.25">
      <c r="A112" s="3" t="s">
        <v>315</v>
      </c>
      <c r="B112" s="3">
        <v>135817</v>
      </c>
      <c r="C112" s="3">
        <v>942207</v>
      </c>
      <c r="D112" s="3" t="s">
        <v>3526</v>
      </c>
      <c r="E112" s="3">
        <v>7</v>
      </c>
      <c r="F112" s="3">
        <v>2</v>
      </c>
      <c r="G112" s="3">
        <v>7</v>
      </c>
      <c r="H112" s="55" t="s">
        <v>289</v>
      </c>
      <c r="I112" s="3" t="s">
        <v>279</v>
      </c>
      <c r="J112" s="135">
        <v>46210</v>
      </c>
      <c r="K112" s="3" t="s">
        <v>5096</v>
      </c>
      <c r="L112" s="3">
        <v>1750</v>
      </c>
      <c r="M112" s="3">
        <v>27561</v>
      </c>
      <c r="N112" s="3" t="s">
        <v>5134</v>
      </c>
      <c r="R112" s="3">
        <v>9</v>
      </c>
      <c r="S112" s="3" t="s">
        <v>5136</v>
      </c>
      <c r="T112" s="3" t="s">
        <v>5137</v>
      </c>
      <c r="U112" s="3" t="s">
        <v>280</v>
      </c>
      <c r="V112" s="3">
        <v>344</v>
      </c>
      <c r="W112" s="3">
        <v>0</v>
      </c>
      <c r="X112" s="3">
        <v>100</v>
      </c>
      <c r="Y112" s="3">
        <v>76</v>
      </c>
      <c r="Z112" s="3">
        <v>0</v>
      </c>
      <c r="AA112" s="3">
        <v>24</v>
      </c>
      <c r="AB112" s="3">
        <v>52</v>
      </c>
      <c r="AC112" s="191">
        <v>0</v>
      </c>
      <c r="AF112" s="193">
        <v>2.7777777777777779E-3</v>
      </c>
      <c r="AG112" s="193">
        <v>4.8611111111111112E-3</v>
      </c>
      <c r="AH112" s="193">
        <v>0.28194444444444444</v>
      </c>
    </row>
    <row r="113" spans="1:34" x14ac:dyDescent="0.25">
      <c r="A113" s="3" t="s">
        <v>315</v>
      </c>
      <c r="B113" s="3">
        <v>135923</v>
      </c>
      <c r="C113" s="3">
        <v>942207</v>
      </c>
      <c r="D113" s="3" t="s">
        <v>3526</v>
      </c>
      <c r="E113" s="3">
        <v>7</v>
      </c>
      <c r="F113" s="3">
        <v>3</v>
      </c>
      <c r="G113" s="3">
        <v>4</v>
      </c>
      <c r="H113" s="55" t="s">
        <v>289</v>
      </c>
      <c r="I113" s="3" t="s">
        <v>279</v>
      </c>
      <c r="J113" s="135">
        <v>46241</v>
      </c>
      <c r="L113" s="3">
        <v>1750</v>
      </c>
      <c r="M113" s="3">
        <v>83827</v>
      </c>
      <c r="N113" s="3" t="s">
        <v>5366</v>
      </c>
      <c r="R113" s="3">
        <v>7</v>
      </c>
      <c r="S113" s="3" t="s">
        <v>4706</v>
      </c>
      <c r="T113" s="3" t="s">
        <v>5367</v>
      </c>
      <c r="U113" s="3" t="s">
        <v>298</v>
      </c>
      <c r="V113" s="3">
        <v>383</v>
      </c>
      <c r="W113" s="3">
        <v>0</v>
      </c>
      <c r="X113" s="3">
        <v>66</v>
      </c>
      <c r="Y113" s="3">
        <v>0</v>
      </c>
      <c r="Z113" s="3">
        <v>0</v>
      </c>
      <c r="AA113" s="3">
        <v>66</v>
      </c>
      <c r="AB113" s="3">
        <v>118</v>
      </c>
      <c r="AC113" s="191">
        <v>0</v>
      </c>
      <c r="AF113" s="193">
        <v>6.9444444444444441E-3</v>
      </c>
      <c r="AG113" s="193">
        <v>1.1805555555555555E-2</v>
      </c>
      <c r="AH113" s="193">
        <v>0.28888888888888886</v>
      </c>
    </row>
    <row r="114" spans="1:34" x14ac:dyDescent="0.25">
      <c r="A114" s="3" t="s">
        <v>315</v>
      </c>
      <c r="B114" s="3">
        <v>135923</v>
      </c>
      <c r="C114" s="3">
        <v>942207</v>
      </c>
      <c r="D114" s="3" t="s">
        <v>3526</v>
      </c>
      <c r="E114" s="3">
        <v>7</v>
      </c>
      <c r="F114" s="3">
        <v>4</v>
      </c>
      <c r="G114" s="3">
        <v>6</v>
      </c>
      <c r="H114" s="55" t="s">
        <v>289</v>
      </c>
      <c r="I114" s="3" t="s">
        <v>279</v>
      </c>
      <c r="J114" s="135">
        <v>46241</v>
      </c>
      <c r="L114" s="3">
        <v>1750</v>
      </c>
      <c r="M114" s="3">
        <v>83827</v>
      </c>
      <c r="N114" s="3" t="s">
        <v>5366</v>
      </c>
      <c r="R114" s="3">
        <v>7</v>
      </c>
      <c r="S114" s="3" t="s">
        <v>4706</v>
      </c>
      <c r="T114" s="3" t="s">
        <v>5367</v>
      </c>
      <c r="U114" s="3">
        <v>36</v>
      </c>
      <c r="V114" s="3">
        <v>383</v>
      </c>
      <c r="W114" s="3">
        <v>0</v>
      </c>
      <c r="X114" s="3">
        <v>992</v>
      </c>
      <c r="Y114" s="3">
        <v>0</v>
      </c>
      <c r="Z114" s="3">
        <v>0</v>
      </c>
      <c r="AA114" s="3">
        <v>992</v>
      </c>
      <c r="AB114" s="3">
        <v>1110</v>
      </c>
      <c r="AC114" s="191">
        <v>8.3333333333333332E-3</v>
      </c>
      <c r="AD114" s="3" t="s">
        <v>292</v>
      </c>
      <c r="AF114" s="193">
        <v>0.1076388888888889</v>
      </c>
      <c r="AG114" s="193">
        <v>0.12013888888888889</v>
      </c>
      <c r="AH114" s="193">
        <v>0.40486111111111112</v>
      </c>
    </row>
    <row r="115" spans="1:34" x14ac:dyDescent="0.25">
      <c r="A115" s="3" t="s">
        <v>315</v>
      </c>
      <c r="B115" s="3">
        <v>135923</v>
      </c>
      <c r="C115" s="3">
        <v>942207</v>
      </c>
      <c r="D115" s="3" t="s">
        <v>3526</v>
      </c>
      <c r="E115" s="3">
        <v>7</v>
      </c>
      <c r="F115" s="3">
        <v>5</v>
      </c>
      <c r="G115" s="3">
        <v>7</v>
      </c>
      <c r="H115" s="55" t="s">
        <v>289</v>
      </c>
      <c r="I115" s="3" t="s">
        <v>279</v>
      </c>
      <c r="J115" s="135">
        <v>46241</v>
      </c>
      <c r="L115" s="3">
        <v>1750</v>
      </c>
      <c r="M115" s="3">
        <v>83827</v>
      </c>
      <c r="N115" s="3" t="s">
        <v>5366</v>
      </c>
      <c r="R115" s="3">
        <v>7</v>
      </c>
      <c r="S115" s="3" t="s">
        <v>4706</v>
      </c>
      <c r="T115" s="3" t="s">
        <v>5367</v>
      </c>
      <c r="U115" s="3">
        <v>37</v>
      </c>
      <c r="V115" s="3">
        <v>383</v>
      </c>
      <c r="W115" s="3">
        <v>0</v>
      </c>
      <c r="X115" s="3">
        <v>1014</v>
      </c>
      <c r="Y115" s="3">
        <v>0</v>
      </c>
      <c r="Z115" s="3">
        <v>0</v>
      </c>
      <c r="AA115" s="3">
        <v>1014</v>
      </c>
      <c r="AB115" s="3">
        <v>2124</v>
      </c>
      <c r="AC115" s="191">
        <v>4.1666666666666664E-2</v>
      </c>
      <c r="AD115" s="3" t="s">
        <v>294</v>
      </c>
      <c r="AE115" s="3" t="s">
        <v>295</v>
      </c>
      <c r="AF115" s="193">
        <v>0.11041666666666666</v>
      </c>
      <c r="AG115" s="193">
        <v>0.23055555555555557</v>
      </c>
      <c r="AH115" s="193">
        <v>0.55694444444444446</v>
      </c>
    </row>
    <row r="116" spans="1:34" x14ac:dyDescent="0.25">
      <c r="A116" s="3" t="s">
        <v>315</v>
      </c>
      <c r="B116" s="3">
        <v>135923</v>
      </c>
      <c r="C116" s="3">
        <v>942207</v>
      </c>
      <c r="D116" s="3" t="s">
        <v>3526</v>
      </c>
      <c r="E116" s="3">
        <v>7</v>
      </c>
      <c r="F116" s="3">
        <v>6</v>
      </c>
      <c r="G116" s="3">
        <v>8</v>
      </c>
      <c r="H116" s="55" t="s">
        <v>289</v>
      </c>
      <c r="I116" s="3" t="s">
        <v>279</v>
      </c>
      <c r="J116" s="135">
        <v>46241</v>
      </c>
      <c r="L116" s="3">
        <v>1750</v>
      </c>
      <c r="M116" s="3">
        <v>83827</v>
      </c>
      <c r="N116" s="3" t="s">
        <v>5366</v>
      </c>
      <c r="R116" s="3">
        <v>7</v>
      </c>
      <c r="S116" s="3" t="s">
        <v>4706</v>
      </c>
      <c r="T116" s="3" t="s">
        <v>5367</v>
      </c>
      <c r="U116" s="3">
        <v>38</v>
      </c>
      <c r="V116" s="3">
        <v>383</v>
      </c>
      <c r="W116" s="3">
        <v>0</v>
      </c>
      <c r="X116" s="3">
        <v>968</v>
      </c>
      <c r="Y116" s="3">
        <v>0</v>
      </c>
      <c r="Z116" s="3">
        <v>0</v>
      </c>
      <c r="AA116" s="3">
        <v>968</v>
      </c>
      <c r="AB116" s="3">
        <v>3092</v>
      </c>
      <c r="AC116" s="191">
        <v>8.3333333333333332E-3</v>
      </c>
      <c r="AD116" s="3" t="s">
        <v>404</v>
      </c>
      <c r="AF116" s="193">
        <v>0.10555555555555556</v>
      </c>
      <c r="AG116" s="193">
        <v>0.33541666666666664</v>
      </c>
      <c r="AH116" s="193">
        <v>0.67777777777777781</v>
      </c>
    </row>
    <row r="117" spans="1:34" x14ac:dyDescent="0.25">
      <c r="A117" s="3" t="s">
        <v>315</v>
      </c>
      <c r="B117" s="3">
        <v>135923</v>
      </c>
      <c r="C117" s="3">
        <v>942207</v>
      </c>
      <c r="D117" s="3" t="s">
        <v>3526</v>
      </c>
      <c r="E117" s="3">
        <v>7</v>
      </c>
      <c r="F117" s="3">
        <v>7</v>
      </c>
      <c r="G117" s="3">
        <v>9</v>
      </c>
      <c r="H117" s="55" t="s">
        <v>289</v>
      </c>
      <c r="I117" s="3" t="s">
        <v>5358</v>
      </c>
      <c r="J117" s="135">
        <v>46241</v>
      </c>
      <c r="L117" s="3">
        <v>1750</v>
      </c>
      <c r="M117" s="3">
        <v>83827</v>
      </c>
      <c r="N117" s="3" t="s">
        <v>5366</v>
      </c>
      <c r="R117" s="3">
        <v>7</v>
      </c>
      <c r="S117" s="3" t="s">
        <v>4706</v>
      </c>
      <c r="T117" s="3" t="s">
        <v>5367</v>
      </c>
      <c r="U117" s="3" t="s">
        <v>280</v>
      </c>
      <c r="V117" s="3">
        <v>383</v>
      </c>
      <c r="W117" s="3">
        <v>0</v>
      </c>
      <c r="X117" s="3">
        <v>754</v>
      </c>
      <c r="Y117" s="3">
        <v>0</v>
      </c>
      <c r="Z117" s="3">
        <v>0</v>
      </c>
      <c r="AA117" s="3">
        <v>754</v>
      </c>
      <c r="AB117" s="3">
        <v>3846</v>
      </c>
      <c r="AC117" s="191">
        <v>0</v>
      </c>
      <c r="AF117" s="193">
        <v>8.1944444444444445E-2</v>
      </c>
      <c r="AG117" s="193">
        <v>0.41736111111111113</v>
      </c>
      <c r="AH117" s="193">
        <v>0.75972222222222219</v>
      </c>
    </row>
    <row r="118" spans="1:34" x14ac:dyDescent="0.25">
      <c r="A118" s="3" t="s">
        <v>315</v>
      </c>
      <c r="B118" s="3">
        <v>135923</v>
      </c>
      <c r="C118" s="3">
        <v>942207</v>
      </c>
      <c r="D118" s="3" t="s">
        <v>3526</v>
      </c>
      <c r="E118" s="3">
        <v>7</v>
      </c>
      <c r="F118" s="3">
        <v>8</v>
      </c>
      <c r="G118" s="3">
        <v>10</v>
      </c>
      <c r="H118" s="55" t="s">
        <v>289</v>
      </c>
      <c r="I118" s="3" t="s">
        <v>5358</v>
      </c>
      <c r="J118" s="135">
        <v>46241</v>
      </c>
      <c r="L118" s="3">
        <v>1750</v>
      </c>
      <c r="M118" s="3">
        <v>83827</v>
      </c>
      <c r="N118" s="3" t="s">
        <v>5366</v>
      </c>
      <c r="R118" s="3">
        <v>7</v>
      </c>
      <c r="S118" s="3" t="s">
        <v>4706</v>
      </c>
      <c r="T118" s="3" t="s">
        <v>5367</v>
      </c>
      <c r="U118" s="3">
        <v>41</v>
      </c>
      <c r="V118" s="3">
        <v>383</v>
      </c>
      <c r="W118" s="3">
        <v>0</v>
      </c>
      <c r="X118" s="3">
        <v>98</v>
      </c>
      <c r="Y118" s="3">
        <v>0</v>
      </c>
      <c r="Z118" s="3">
        <v>0</v>
      </c>
      <c r="AA118" s="3">
        <v>98</v>
      </c>
      <c r="AB118" s="3">
        <v>3944</v>
      </c>
      <c r="AC118" s="191">
        <v>0</v>
      </c>
      <c r="AF118" s="193">
        <v>1.0416666666666666E-2</v>
      </c>
      <c r="AG118" s="193">
        <v>0.4284722222222222</v>
      </c>
      <c r="AH118" s="193">
        <v>0.77013888888888893</v>
      </c>
    </row>
    <row r="119" spans="1:34" x14ac:dyDescent="0.25">
      <c r="A119" s="3" t="s">
        <v>315</v>
      </c>
      <c r="B119" s="3">
        <v>135923</v>
      </c>
      <c r="C119" s="3">
        <v>942207</v>
      </c>
      <c r="D119" s="3" t="s">
        <v>3526</v>
      </c>
      <c r="E119" s="3">
        <v>7</v>
      </c>
      <c r="F119" s="3">
        <v>9</v>
      </c>
      <c r="G119" s="3">
        <v>5</v>
      </c>
      <c r="H119" s="55" t="s">
        <v>289</v>
      </c>
      <c r="I119" s="3" t="s">
        <v>5358</v>
      </c>
      <c r="J119" s="135">
        <v>46241</v>
      </c>
      <c r="L119" s="3">
        <v>1750</v>
      </c>
      <c r="M119" s="3">
        <v>83827</v>
      </c>
      <c r="N119" s="3" t="s">
        <v>5366</v>
      </c>
      <c r="R119" s="3">
        <v>7</v>
      </c>
      <c r="S119" s="3" t="s">
        <v>4706</v>
      </c>
      <c r="T119" s="3" t="s">
        <v>5367</v>
      </c>
      <c r="U119" s="3">
        <v>35</v>
      </c>
      <c r="V119" s="3">
        <v>383</v>
      </c>
      <c r="W119" s="3">
        <v>0</v>
      </c>
      <c r="X119" s="3">
        <v>298</v>
      </c>
      <c r="Y119" s="3">
        <v>0</v>
      </c>
      <c r="Z119" s="3">
        <v>0</v>
      </c>
      <c r="AA119" s="3">
        <v>298</v>
      </c>
      <c r="AB119" s="3">
        <v>4242</v>
      </c>
      <c r="AC119" s="191">
        <v>8.3333333333333332E-3</v>
      </c>
      <c r="AD119" s="3" t="s">
        <v>292</v>
      </c>
      <c r="AF119" s="193">
        <v>3.2638888888888891E-2</v>
      </c>
      <c r="AG119" s="193">
        <v>0.46041666666666664</v>
      </c>
      <c r="AH119" s="193">
        <v>0.81111111111111112</v>
      </c>
    </row>
    <row r="120" spans="1:34" x14ac:dyDescent="0.25">
      <c r="A120" s="3" t="s">
        <v>315</v>
      </c>
      <c r="B120" s="3">
        <v>135924</v>
      </c>
      <c r="C120" s="3">
        <v>942207</v>
      </c>
      <c r="D120" s="3" t="s">
        <v>3526</v>
      </c>
      <c r="E120" s="3">
        <v>7</v>
      </c>
      <c r="F120" s="3">
        <v>10</v>
      </c>
      <c r="G120" s="3">
        <v>10</v>
      </c>
      <c r="H120" s="55" t="s">
        <v>289</v>
      </c>
      <c r="I120" s="3" t="s">
        <v>5358</v>
      </c>
      <c r="J120" s="135">
        <v>46241</v>
      </c>
      <c r="L120" s="3">
        <v>1750</v>
      </c>
      <c r="M120" s="3">
        <v>83827</v>
      </c>
      <c r="N120" s="3" t="s">
        <v>5366</v>
      </c>
      <c r="R120" s="3">
        <v>7</v>
      </c>
      <c r="S120" s="3" t="s">
        <v>4707</v>
      </c>
      <c r="T120" s="3" t="s">
        <v>5368</v>
      </c>
      <c r="U120" s="3">
        <v>41</v>
      </c>
      <c r="V120" s="3">
        <v>383</v>
      </c>
      <c r="W120" s="3">
        <v>0</v>
      </c>
      <c r="X120" s="3">
        <v>20</v>
      </c>
      <c r="Y120" s="3">
        <v>0</v>
      </c>
      <c r="Z120" s="3">
        <v>0</v>
      </c>
      <c r="AA120" s="3">
        <v>20</v>
      </c>
      <c r="AB120" s="3">
        <v>4262</v>
      </c>
      <c r="AC120" s="191">
        <v>4.1666666666666664E-2</v>
      </c>
      <c r="AD120" s="3" t="s">
        <v>294</v>
      </c>
      <c r="AE120" s="3" t="s">
        <v>295</v>
      </c>
      <c r="AF120" s="193">
        <v>2.0833333333333333E-3</v>
      </c>
      <c r="AG120" s="193">
        <v>0.46319444444444446</v>
      </c>
      <c r="AH120" s="193">
        <v>0.85486111111111107</v>
      </c>
    </row>
    <row r="121" spans="1:34" x14ac:dyDescent="0.25">
      <c r="A121" s="3" t="s">
        <v>315</v>
      </c>
      <c r="B121" s="3">
        <v>135924</v>
      </c>
      <c r="C121" s="3">
        <v>942207</v>
      </c>
      <c r="D121" s="3" t="s">
        <v>3526</v>
      </c>
      <c r="E121" s="3">
        <v>7</v>
      </c>
      <c r="F121" s="3">
        <v>11</v>
      </c>
      <c r="G121" s="3">
        <v>4</v>
      </c>
      <c r="H121" s="55" t="s">
        <v>289</v>
      </c>
      <c r="I121" s="3" t="s">
        <v>5358</v>
      </c>
      <c r="J121" s="135">
        <v>46241</v>
      </c>
      <c r="L121" s="3">
        <v>1750</v>
      </c>
      <c r="M121" s="3">
        <v>83827</v>
      </c>
      <c r="N121" s="3" t="s">
        <v>5366</v>
      </c>
      <c r="R121" s="3">
        <v>7</v>
      </c>
      <c r="S121" s="3" t="s">
        <v>4707</v>
      </c>
      <c r="T121" s="3" t="s">
        <v>5368</v>
      </c>
      <c r="U121" s="3" t="s">
        <v>298</v>
      </c>
      <c r="V121" s="3">
        <v>383</v>
      </c>
      <c r="W121" s="3">
        <v>0</v>
      </c>
      <c r="X121" s="3">
        <v>32</v>
      </c>
      <c r="Y121" s="3">
        <v>0</v>
      </c>
      <c r="Z121" s="3">
        <v>0</v>
      </c>
      <c r="AA121" s="3">
        <v>32</v>
      </c>
      <c r="AB121" s="3">
        <v>4294</v>
      </c>
      <c r="AC121" s="191">
        <v>0</v>
      </c>
      <c r="AF121" s="193">
        <v>3.472222222222222E-3</v>
      </c>
      <c r="AG121" s="193">
        <v>0.46666666666666667</v>
      </c>
      <c r="AH121" s="193">
        <v>0.85833333333333328</v>
      </c>
    </row>
    <row r="122" spans="1:34" x14ac:dyDescent="0.25">
      <c r="A122" s="3" t="s">
        <v>315</v>
      </c>
      <c r="B122" s="3">
        <v>135924</v>
      </c>
      <c r="C122" s="3">
        <v>942207</v>
      </c>
      <c r="D122" s="3" t="s">
        <v>3526</v>
      </c>
      <c r="E122" s="3">
        <v>7</v>
      </c>
      <c r="F122" s="3">
        <v>12</v>
      </c>
      <c r="G122" s="3">
        <v>5</v>
      </c>
      <c r="H122" s="55" t="s">
        <v>289</v>
      </c>
      <c r="I122" s="3" t="s">
        <v>5358</v>
      </c>
      <c r="J122" s="135">
        <v>46241</v>
      </c>
      <c r="L122" s="3">
        <v>1750</v>
      </c>
      <c r="M122" s="3">
        <v>83827</v>
      </c>
      <c r="N122" s="3" t="s">
        <v>5366</v>
      </c>
      <c r="R122" s="3">
        <v>7</v>
      </c>
      <c r="S122" s="3" t="s">
        <v>4707</v>
      </c>
      <c r="T122" s="3" t="s">
        <v>5368</v>
      </c>
      <c r="U122" s="3">
        <v>35</v>
      </c>
      <c r="V122" s="3">
        <v>383</v>
      </c>
      <c r="W122" s="3">
        <v>0</v>
      </c>
      <c r="X122" s="3">
        <v>128</v>
      </c>
      <c r="Y122" s="3">
        <v>0</v>
      </c>
      <c r="Z122" s="3">
        <v>0</v>
      </c>
      <c r="AA122" s="3">
        <v>128</v>
      </c>
      <c r="AB122" s="3">
        <v>4422</v>
      </c>
      <c r="AC122" s="191">
        <v>0</v>
      </c>
      <c r="AF122" s="193">
        <v>1.3888888888888888E-2</v>
      </c>
      <c r="AG122" s="193">
        <v>0.48055555555555557</v>
      </c>
      <c r="AH122" s="193">
        <v>0.87222222222222223</v>
      </c>
    </row>
    <row r="123" spans="1:34" x14ac:dyDescent="0.25">
      <c r="A123" s="3" t="s">
        <v>315</v>
      </c>
      <c r="B123" s="3">
        <v>135924</v>
      </c>
      <c r="C123" s="3">
        <v>942207</v>
      </c>
      <c r="D123" s="3" t="s">
        <v>3526</v>
      </c>
      <c r="E123" s="3">
        <v>7</v>
      </c>
      <c r="F123" s="3">
        <v>13</v>
      </c>
      <c r="G123" s="3">
        <v>6</v>
      </c>
      <c r="H123" s="55" t="s">
        <v>289</v>
      </c>
      <c r="I123" s="3" t="s">
        <v>5358</v>
      </c>
      <c r="J123" s="135">
        <v>46241</v>
      </c>
      <c r="L123" s="3">
        <v>1750</v>
      </c>
      <c r="M123" s="3">
        <v>83827</v>
      </c>
      <c r="N123" s="3" t="s">
        <v>5366</v>
      </c>
      <c r="R123" s="3">
        <v>7</v>
      </c>
      <c r="S123" s="3" t="s">
        <v>4707</v>
      </c>
      <c r="T123" s="3" t="s">
        <v>5368</v>
      </c>
      <c r="U123" s="3">
        <v>36</v>
      </c>
      <c r="V123" s="3">
        <v>383</v>
      </c>
      <c r="W123" s="3">
        <v>0</v>
      </c>
      <c r="X123" s="3">
        <v>386</v>
      </c>
      <c r="Y123" s="3">
        <v>0</v>
      </c>
      <c r="Z123" s="3">
        <v>0</v>
      </c>
      <c r="AA123" s="3">
        <v>386</v>
      </c>
      <c r="AB123" s="3">
        <v>4808</v>
      </c>
      <c r="AC123" s="191">
        <v>0</v>
      </c>
      <c r="AF123" s="193">
        <v>4.1666666666666664E-2</v>
      </c>
      <c r="AG123" s="193">
        <v>0.52222222222222225</v>
      </c>
      <c r="AH123" s="193">
        <v>0.91388888888888886</v>
      </c>
    </row>
    <row r="124" spans="1:34" x14ac:dyDescent="0.25">
      <c r="A124" s="3" t="s">
        <v>315</v>
      </c>
      <c r="B124" s="3">
        <v>135924</v>
      </c>
      <c r="C124" s="3">
        <v>942207</v>
      </c>
      <c r="D124" s="3" t="s">
        <v>3526</v>
      </c>
      <c r="E124" s="3">
        <v>7</v>
      </c>
      <c r="F124" s="3">
        <v>14</v>
      </c>
      <c r="G124" s="3">
        <v>7</v>
      </c>
      <c r="H124" s="55" t="s">
        <v>289</v>
      </c>
      <c r="I124" s="3" t="s">
        <v>5358</v>
      </c>
      <c r="J124" s="135">
        <v>46241</v>
      </c>
      <c r="L124" s="3">
        <v>1750</v>
      </c>
      <c r="M124" s="3">
        <v>83827</v>
      </c>
      <c r="N124" s="3" t="s">
        <v>5366</v>
      </c>
      <c r="R124" s="3">
        <v>7</v>
      </c>
      <c r="S124" s="3" t="s">
        <v>4707</v>
      </c>
      <c r="T124" s="3" t="s">
        <v>5368</v>
      </c>
      <c r="U124" s="3">
        <v>37</v>
      </c>
      <c r="V124" s="3">
        <v>383</v>
      </c>
      <c r="W124" s="3">
        <v>0</v>
      </c>
      <c r="X124" s="3">
        <v>376</v>
      </c>
      <c r="Y124" s="3">
        <v>0</v>
      </c>
      <c r="Z124" s="3">
        <v>0</v>
      </c>
      <c r="AA124" s="3">
        <v>376</v>
      </c>
      <c r="AB124" s="3">
        <v>5184</v>
      </c>
      <c r="AC124" s="191">
        <v>0</v>
      </c>
      <c r="AF124" s="193">
        <v>4.0972222222222222E-2</v>
      </c>
      <c r="AG124" s="193">
        <v>0.56319444444444444</v>
      </c>
      <c r="AH124" s="193">
        <v>0.95486111111111116</v>
      </c>
    </row>
    <row r="125" spans="1:34" x14ac:dyDescent="0.25">
      <c r="A125" s="3" t="s">
        <v>315</v>
      </c>
      <c r="B125" s="3">
        <v>135924</v>
      </c>
      <c r="C125" s="3">
        <v>942207</v>
      </c>
      <c r="D125" s="3" t="s">
        <v>3526</v>
      </c>
      <c r="E125" s="3">
        <v>7</v>
      </c>
      <c r="F125" s="3">
        <v>15</v>
      </c>
      <c r="G125" s="3">
        <v>8</v>
      </c>
      <c r="H125" s="55" t="s">
        <v>289</v>
      </c>
      <c r="I125" s="3" t="s">
        <v>5358</v>
      </c>
      <c r="J125" s="135">
        <v>46241</v>
      </c>
      <c r="L125" s="3">
        <v>1750</v>
      </c>
      <c r="M125" s="3">
        <v>83827</v>
      </c>
      <c r="N125" s="3" t="s">
        <v>5366</v>
      </c>
      <c r="R125" s="3">
        <v>7</v>
      </c>
      <c r="S125" s="3" t="s">
        <v>4707</v>
      </c>
      <c r="T125" s="3" t="s">
        <v>5368</v>
      </c>
      <c r="U125" s="3">
        <v>38</v>
      </c>
      <c r="V125" s="3">
        <v>383</v>
      </c>
      <c r="W125" s="3">
        <v>0</v>
      </c>
      <c r="X125" s="3">
        <v>328</v>
      </c>
      <c r="Y125" s="3">
        <v>0</v>
      </c>
      <c r="Z125" s="3">
        <v>0</v>
      </c>
      <c r="AA125" s="3">
        <v>328</v>
      </c>
      <c r="AB125" s="3">
        <v>5512</v>
      </c>
      <c r="AC125" s="191">
        <v>8.3333333333333332E-3</v>
      </c>
      <c r="AD125" s="3" t="s">
        <v>404</v>
      </c>
      <c r="AF125" s="193">
        <v>3.5416666666666666E-2</v>
      </c>
      <c r="AG125" s="193">
        <v>0.59861111111111109</v>
      </c>
      <c r="AH125" s="193">
        <v>0.99861111111111112</v>
      </c>
    </row>
    <row r="126" spans="1:34" x14ac:dyDescent="0.25">
      <c r="A126" s="3" t="s">
        <v>319</v>
      </c>
      <c r="B126" s="3">
        <v>109503</v>
      </c>
      <c r="C126" s="3">
        <v>940807</v>
      </c>
      <c r="D126" s="3" t="s">
        <v>3526</v>
      </c>
      <c r="E126" s="3">
        <v>4</v>
      </c>
      <c r="F126" s="3">
        <v>1</v>
      </c>
      <c r="G126" s="3">
        <v>6</v>
      </c>
      <c r="H126" s="55" t="s">
        <v>289</v>
      </c>
      <c r="I126" s="3" t="s">
        <v>279</v>
      </c>
      <c r="J126" s="135" t="s">
        <v>4752</v>
      </c>
      <c r="K126" s="135">
        <v>46241</v>
      </c>
      <c r="L126" s="3">
        <v>1750</v>
      </c>
      <c r="M126" s="3">
        <v>84071</v>
      </c>
      <c r="N126" s="3" t="s">
        <v>5150</v>
      </c>
      <c r="O126" s="3" t="s">
        <v>4754</v>
      </c>
      <c r="R126" s="3">
        <v>7</v>
      </c>
      <c r="S126" s="3" t="s">
        <v>4712</v>
      </c>
      <c r="T126" s="3" t="s">
        <v>5082</v>
      </c>
      <c r="U126" s="3">
        <v>38</v>
      </c>
      <c r="V126" s="3">
        <v>381</v>
      </c>
      <c r="W126" s="3">
        <v>0</v>
      </c>
      <c r="X126" s="3">
        <v>5570</v>
      </c>
      <c r="Y126" s="3">
        <v>5466</v>
      </c>
      <c r="Z126" s="3">
        <v>0</v>
      </c>
      <c r="AA126" s="3">
        <v>104</v>
      </c>
      <c r="AB126" s="3">
        <v>104</v>
      </c>
      <c r="AC126" s="191">
        <v>0</v>
      </c>
      <c r="AF126" s="193">
        <v>1.1111111111111112E-2</v>
      </c>
      <c r="AG126" s="193">
        <v>1.1111111111111112E-2</v>
      </c>
      <c r="AH126" s="193">
        <v>0.28819444444444442</v>
      </c>
    </row>
    <row r="127" spans="1:34" x14ac:dyDescent="0.25">
      <c r="A127" s="3" t="s">
        <v>319</v>
      </c>
      <c r="B127" s="3">
        <v>133046</v>
      </c>
      <c r="C127" s="3">
        <v>941707</v>
      </c>
      <c r="D127" s="3" t="s">
        <v>3526</v>
      </c>
      <c r="E127" s="3">
        <v>6</v>
      </c>
      <c r="F127" s="3">
        <v>2</v>
      </c>
      <c r="G127" s="3">
        <v>9</v>
      </c>
      <c r="H127" s="55" t="s">
        <v>289</v>
      </c>
      <c r="I127" s="3" t="s">
        <v>279</v>
      </c>
      <c r="J127" s="135">
        <v>46210</v>
      </c>
      <c r="K127" s="135" t="s">
        <v>5096</v>
      </c>
      <c r="L127" s="3">
        <v>1750</v>
      </c>
      <c r="M127" s="3">
        <v>27321</v>
      </c>
      <c r="N127" s="3" t="s">
        <v>5138</v>
      </c>
      <c r="R127" s="3">
        <v>7</v>
      </c>
      <c r="S127" s="3" t="s">
        <v>4367</v>
      </c>
      <c r="T127" s="3" t="s">
        <v>5139</v>
      </c>
      <c r="U127" s="3">
        <v>36</v>
      </c>
      <c r="V127" s="3">
        <v>362</v>
      </c>
      <c r="W127" s="3">
        <v>0</v>
      </c>
      <c r="X127" s="3">
        <v>958</v>
      </c>
      <c r="Y127" s="3">
        <v>910</v>
      </c>
      <c r="Z127" s="3">
        <v>0</v>
      </c>
      <c r="AA127" s="3">
        <v>48</v>
      </c>
      <c r="AB127" s="3">
        <v>152</v>
      </c>
      <c r="AC127" s="191">
        <v>0</v>
      </c>
      <c r="AF127" s="193">
        <v>5.5555555555555558E-3</v>
      </c>
      <c r="AG127" s="193">
        <v>1.6666666666666666E-2</v>
      </c>
      <c r="AH127" s="193">
        <v>0.29375000000000001</v>
      </c>
    </row>
    <row r="128" spans="1:34" x14ac:dyDescent="0.25">
      <c r="A128" s="3" t="s">
        <v>319</v>
      </c>
      <c r="B128" s="3">
        <v>133046</v>
      </c>
      <c r="C128" s="3">
        <v>941707</v>
      </c>
      <c r="D128" s="3" t="s">
        <v>3526</v>
      </c>
      <c r="E128" s="3">
        <v>6</v>
      </c>
      <c r="F128" s="3">
        <v>3</v>
      </c>
      <c r="G128" s="3">
        <v>10</v>
      </c>
      <c r="H128" s="55" t="s">
        <v>289</v>
      </c>
      <c r="I128" s="3" t="s">
        <v>279</v>
      </c>
      <c r="J128" s="135">
        <v>46210</v>
      </c>
      <c r="K128" s="3" t="s">
        <v>5096</v>
      </c>
      <c r="L128" s="3">
        <v>1750</v>
      </c>
      <c r="M128" s="3">
        <v>27321</v>
      </c>
      <c r="N128" s="3" t="s">
        <v>5138</v>
      </c>
      <c r="R128" s="3">
        <v>7</v>
      </c>
      <c r="S128" s="3" t="s">
        <v>4367</v>
      </c>
      <c r="T128" s="3" t="s">
        <v>5139</v>
      </c>
      <c r="U128" s="3" t="s">
        <v>284</v>
      </c>
      <c r="V128" s="3">
        <v>362</v>
      </c>
      <c r="W128" s="3">
        <v>0</v>
      </c>
      <c r="X128" s="3">
        <v>892</v>
      </c>
      <c r="Y128" s="3">
        <v>884</v>
      </c>
      <c r="Z128" s="3">
        <v>0</v>
      </c>
      <c r="AA128" s="3">
        <v>8</v>
      </c>
      <c r="AB128" s="3">
        <v>160</v>
      </c>
      <c r="AC128" s="191">
        <v>0</v>
      </c>
      <c r="AF128" s="193">
        <v>6.9444444444444447E-4</v>
      </c>
      <c r="AG128" s="193">
        <v>1.8055555555555554E-2</v>
      </c>
      <c r="AH128" s="193">
        <v>0.29444444444444445</v>
      </c>
    </row>
    <row r="129" spans="1:34" x14ac:dyDescent="0.25">
      <c r="A129" s="3" t="s">
        <v>319</v>
      </c>
      <c r="B129" s="3">
        <v>135859</v>
      </c>
      <c r="C129" s="3">
        <v>942207</v>
      </c>
      <c r="D129" s="3" t="s">
        <v>3526</v>
      </c>
      <c r="E129" s="3">
        <v>7</v>
      </c>
      <c r="F129" s="3">
        <v>4</v>
      </c>
      <c r="G129" s="3">
        <v>7</v>
      </c>
      <c r="H129" s="55" t="s">
        <v>289</v>
      </c>
      <c r="I129" s="3" t="s">
        <v>279</v>
      </c>
      <c r="J129" s="135">
        <v>46210</v>
      </c>
      <c r="K129" s="3" t="s">
        <v>5291</v>
      </c>
      <c r="L129" s="3">
        <v>1750</v>
      </c>
      <c r="M129" s="3">
        <v>27321</v>
      </c>
      <c r="N129" s="3" t="s">
        <v>5138</v>
      </c>
      <c r="R129" s="3">
        <v>7</v>
      </c>
      <c r="S129" s="3" t="s">
        <v>4370</v>
      </c>
      <c r="T129" s="3" t="s">
        <v>5140</v>
      </c>
      <c r="U129" s="3" t="s">
        <v>298</v>
      </c>
      <c r="V129" s="3">
        <v>401</v>
      </c>
      <c r="W129" s="3">
        <v>0</v>
      </c>
      <c r="X129" s="3">
        <v>546</v>
      </c>
      <c r="Y129" s="3">
        <v>504</v>
      </c>
      <c r="Z129" s="3">
        <v>0</v>
      </c>
      <c r="AA129" s="3">
        <v>42</v>
      </c>
      <c r="AB129" s="3">
        <v>202</v>
      </c>
      <c r="AC129" s="191">
        <v>0</v>
      </c>
      <c r="AF129" s="193">
        <v>4.1666666666666666E-3</v>
      </c>
      <c r="AG129" s="193">
        <v>2.2222222222222223E-2</v>
      </c>
      <c r="AH129" s="193">
        <v>0.2986111111111111</v>
      </c>
    </row>
    <row r="130" spans="1:34" x14ac:dyDescent="0.25">
      <c r="A130" s="3" t="s">
        <v>319</v>
      </c>
      <c r="B130" s="3">
        <v>135856</v>
      </c>
      <c r="C130" s="3">
        <v>942207</v>
      </c>
      <c r="D130" s="3" t="s">
        <v>3526</v>
      </c>
      <c r="E130" s="3">
        <v>7</v>
      </c>
      <c r="F130" s="3">
        <v>5</v>
      </c>
      <c r="G130" s="3">
        <v>10</v>
      </c>
      <c r="H130" s="55" t="s">
        <v>289</v>
      </c>
      <c r="I130" s="3" t="s">
        <v>279</v>
      </c>
      <c r="J130" s="135">
        <v>46210</v>
      </c>
      <c r="K130" s="3" t="s">
        <v>5363</v>
      </c>
      <c r="L130" s="3">
        <v>1750</v>
      </c>
      <c r="M130" s="3">
        <v>27321</v>
      </c>
      <c r="N130" s="3" t="s">
        <v>5138</v>
      </c>
      <c r="R130" s="3">
        <v>7</v>
      </c>
      <c r="S130" s="3" t="s">
        <v>4367</v>
      </c>
      <c r="T130" s="3" t="s">
        <v>5139</v>
      </c>
      <c r="U130" s="3" t="s">
        <v>284</v>
      </c>
      <c r="V130" s="3">
        <v>401</v>
      </c>
      <c r="W130" s="3">
        <v>0</v>
      </c>
      <c r="X130" s="3">
        <v>1224</v>
      </c>
      <c r="Y130" s="3">
        <v>26</v>
      </c>
      <c r="Z130" s="3">
        <v>0</v>
      </c>
      <c r="AA130" s="3">
        <v>1198</v>
      </c>
      <c r="AB130" s="3">
        <v>1400</v>
      </c>
      <c r="AC130" s="191">
        <v>8.3333333333333332E-3</v>
      </c>
      <c r="AD130" s="3" t="s">
        <v>292</v>
      </c>
      <c r="AF130" s="193">
        <v>0.12430555555555556</v>
      </c>
      <c r="AG130" s="193">
        <v>0.14652777777777778</v>
      </c>
      <c r="AH130" s="193">
        <v>0.43125000000000002</v>
      </c>
    </row>
    <row r="131" spans="1:34" x14ac:dyDescent="0.25">
      <c r="A131" s="3" t="s">
        <v>319</v>
      </c>
      <c r="B131" s="3">
        <v>135856</v>
      </c>
      <c r="C131" s="3">
        <v>942207</v>
      </c>
      <c r="D131" s="3" t="s">
        <v>3526</v>
      </c>
      <c r="E131" s="3">
        <v>7</v>
      </c>
      <c r="F131" s="3">
        <v>6</v>
      </c>
      <c r="G131" s="3">
        <v>11</v>
      </c>
      <c r="H131" s="55" t="s">
        <v>289</v>
      </c>
      <c r="I131" s="3" t="s">
        <v>279</v>
      </c>
      <c r="J131" s="135">
        <v>46210</v>
      </c>
      <c r="L131" s="3">
        <v>1750</v>
      </c>
      <c r="M131" s="3">
        <v>27321</v>
      </c>
      <c r="N131" s="3" t="s">
        <v>5138</v>
      </c>
      <c r="R131" s="3">
        <v>7</v>
      </c>
      <c r="S131" s="3" t="s">
        <v>4367</v>
      </c>
      <c r="T131" s="3" t="s">
        <v>5139</v>
      </c>
      <c r="U131" s="3" t="s">
        <v>280</v>
      </c>
      <c r="V131" s="3">
        <v>401</v>
      </c>
      <c r="W131" s="3">
        <v>0</v>
      </c>
      <c r="X131" s="3">
        <v>490</v>
      </c>
      <c r="Y131" s="3">
        <v>0</v>
      </c>
      <c r="Z131" s="3">
        <v>0</v>
      </c>
      <c r="AA131" s="3">
        <v>490</v>
      </c>
      <c r="AB131" s="3">
        <v>1890</v>
      </c>
      <c r="AC131" s="191">
        <v>4.1666666666666664E-2</v>
      </c>
      <c r="AD131" s="3" t="s">
        <v>294</v>
      </c>
      <c r="AE131" s="3" t="s">
        <v>295</v>
      </c>
      <c r="AF131" s="193">
        <v>5.0694444444444445E-2</v>
      </c>
      <c r="AG131" s="193">
        <v>0.19791666666666666</v>
      </c>
      <c r="AH131" s="193">
        <v>0.52361111111111114</v>
      </c>
    </row>
    <row r="132" spans="1:34" x14ac:dyDescent="0.25">
      <c r="A132" s="3" t="s">
        <v>319</v>
      </c>
      <c r="B132" s="3">
        <v>135855</v>
      </c>
      <c r="C132" s="3">
        <v>942207</v>
      </c>
      <c r="D132" s="3" t="s">
        <v>3526</v>
      </c>
      <c r="E132" s="3">
        <v>7</v>
      </c>
      <c r="F132" s="3">
        <v>7</v>
      </c>
      <c r="G132" s="3">
        <v>11</v>
      </c>
      <c r="H132" s="55" t="s">
        <v>289</v>
      </c>
      <c r="I132" s="3" t="s">
        <v>279</v>
      </c>
      <c r="J132" s="135">
        <v>46210</v>
      </c>
      <c r="K132" s="135"/>
      <c r="L132" s="3">
        <v>1750</v>
      </c>
      <c r="M132" s="3">
        <v>27321</v>
      </c>
      <c r="N132" s="3" t="s">
        <v>5138</v>
      </c>
      <c r="R132" s="3">
        <v>7</v>
      </c>
      <c r="S132" s="3" t="s">
        <v>4366</v>
      </c>
      <c r="T132" s="3" t="s">
        <v>5142</v>
      </c>
      <c r="U132" s="3" t="s">
        <v>280</v>
      </c>
      <c r="V132" s="3">
        <v>401</v>
      </c>
      <c r="W132" s="3">
        <v>0</v>
      </c>
      <c r="X132" s="3">
        <v>326</v>
      </c>
      <c r="Y132" s="3">
        <v>0</v>
      </c>
      <c r="Z132" s="3">
        <v>0</v>
      </c>
      <c r="AA132" s="3">
        <v>326</v>
      </c>
      <c r="AB132" s="3">
        <v>2216</v>
      </c>
      <c r="AC132" s="191">
        <v>0</v>
      </c>
      <c r="AF132" s="193">
        <v>3.4027777777777775E-2</v>
      </c>
      <c r="AG132" s="193">
        <v>0.23125000000000001</v>
      </c>
      <c r="AH132" s="193">
        <v>0.55763888888888891</v>
      </c>
    </row>
    <row r="133" spans="1:34" x14ac:dyDescent="0.25">
      <c r="A133" s="3" t="s">
        <v>319</v>
      </c>
      <c r="B133" s="3">
        <v>135858</v>
      </c>
      <c r="C133" s="3">
        <v>942207</v>
      </c>
      <c r="D133" s="3" t="s">
        <v>3526</v>
      </c>
      <c r="E133" s="3">
        <v>7</v>
      </c>
      <c r="F133" s="3">
        <v>8</v>
      </c>
      <c r="G133" s="3">
        <v>6</v>
      </c>
      <c r="H133" s="55" t="s">
        <v>289</v>
      </c>
      <c r="I133" s="3" t="s">
        <v>279</v>
      </c>
      <c r="J133" s="135">
        <v>46210</v>
      </c>
      <c r="K133" s="135"/>
      <c r="L133" s="3">
        <v>1750</v>
      </c>
      <c r="M133" s="3">
        <v>27321</v>
      </c>
      <c r="N133" s="3" t="s">
        <v>5138</v>
      </c>
      <c r="R133" s="3">
        <v>7</v>
      </c>
      <c r="S133" s="3" t="s">
        <v>4369</v>
      </c>
      <c r="T133" s="3" t="s">
        <v>5141</v>
      </c>
      <c r="U133" s="3">
        <v>36</v>
      </c>
      <c r="V133" s="3">
        <v>401</v>
      </c>
      <c r="W133" s="3">
        <v>0</v>
      </c>
      <c r="X133" s="3">
        <v>268</v>
      </c>
      <c r="Y133" s="3">
        <v>0</v>
      </c>
      <c r="Z133" s="3">
        <v>0</v>
      </c>
      <c r="AA133" s="3">
        <v>268</v>
      </c>
      <c r="AB133" s="3">
        <v>2484</v>
      </c>
      <c r="AC133" s="191">
        <v>8.3333333333333332E-3</v>
      </c>
      <c r="AD133" s="3" t="s">
        <v>404</v>
      </c>
      <c r="AF133" s="193">
        <v>2.7777777777777776E-2</v>
      </c>
      <c r="AG133" s="193">
        <v>0.2590277777777778</v>
      </c>
      <c r="AH133" s="193">
        <v>0.59375</v>
      </c>
    </row>
    <row r="134" spans="1:34" x14ac:dyDescent="0.25">
      <c r="A134" s="3" t="s">
        <v>319</v>
      </c>
      <c r="B134" s="3">
        <v>135858</v>
      </c>
      <c r="C134" s="3">
        <v>942207</v>
      </c>
      <c r="D134" s="3" t="s">
        <v>3526</v>
      </c>
      <c r="E134" s="3">
        <v>7</v>
      </c>
      <c r="F134" s="3">
        <v>9</v>
      </c>
      <c r="G134" s="3">
        <v>7</v>
      </c>
      <c r="H134" s="55" t="s">
        <v>289</v>
      </c>
      <c r="I134" s="3" t="s">
        <v>279</v>
      </c>
      <c r="J134" s="135">
        <v>46210</v>
      </c>
      <c r="K134" s="135"/>
      <c r="L134" s="3">
        <v>1750</v>
      </c>
      <c r="M134" s="3">
        <v>27321</v>
      </c>
      <c r="N134" s="3" t="s">
        <v>5138</v>
      </c>
      <c r="R134" s="3">
        <v>7</v>
      </c>
      <c r="S134" s="3" t="s">
        <v>4369</v>
      </c>
      <c r="T134" s="3" t="s">
        <v>5141</v>
      </c>
      <c r="U134" s="3" t="s">
        <v>284</v>
      </c>
      <c r="V134" s="3">
        <v>401</v>
      </c>
      <c r="W134" s="3">
        <v>0</v>
      </c>
      <c r="X134" s="3">
        <v>270</v>
      </c>
      <c r="Y134" s="3">
        <v>0</v>
      </c>
      <c r="Z134" s="3">
        <v>0</v>
      </c>
      <c r="AA134" s="3">
        <v>270</v>
      </c>
      <c r="AB134" s="3">
        <v>2754</v>
      </c>
      <c r="AC134" s="191">
        <v>0</v>
      </c>
      <c r="AF134" s="193">
        <v>2.7777777777777776E-2</v>
      </c>
      <c r="AG134" s="193">
        <v>0.28749999999999998</v>
      </c>
      <c r="AH134" s="193">
        <v>0.62152777777777779</v>
      </c>
    </row>
    <row r="135" spans="1:34" x14ac:dyDescent="0.25">
      <c r="A135" s="3" t="s">
        <v>319</v>
      </c>
      <c r="B135" s="3">
        <v>135856</v>
      </c>
      <c r="C135" s="3">
        <v>942207</v>
      </c>
      <c r="D135" s="3" t="s">
        <v>3526</v>
      </c>
      <c r="E135" s="3">
        <v>7</v>
      </c>
      <c r="F135" s="3">
        <v>10</v>
      </c>
      <c r="G135" s="3">
        <v>8</v>
      </c>
      <c r="H135" s="55" t="s">
        <v>289</v>
      </c>
      <c r="I135" s="3" t="s">
        <v>5358</v>
      </c>
      <c r="J135" s="135">
        <v>46210</v>
      </c>
      <c r="K135" s="135"/>
      <c r="L135" s="3">
        <v>1750</v>
      </c>
      <c r="M135" s="3">
        <v>27321</v>
      </c>
      <c r="N135" s="3" t="s">
        <v>5138</v>
      </c>
      <c r="R135" s="3">
        <v>7</v>
      </c>
      <c r="S135" s="3" t="s">
        <v>4367</v>
      </c>
      <c r="T135" s="3" t="s">
        <v>5139</v>
      </c>
      <c r="U135" s="3">
        <v>35</v>
      </c>
      <c r="V135" s="3">
        <v>401</v>
      </c>
      <c r="W135" s="3">
        <v>0</v>
      </c>
      <c r="X135" s="3">
        <v>720</v>
      </c>
      <c r="Y135" s="3">
        <v>0</v>
      </c>
      <c r="Z135" s="3">
        <v>0</v>
      </c>
      <c r="AA135" s="3">
        <v>720</v>
      </c>
      <c r="AB135" s="3">
        <v>3474</v>
      </c>
      <c r="AC135" s="191">
        <v>0</v>
      </c>
      <c r="AF135" s="193">
        <v>7.4999999999999997E-2</v>
      </c>
      <c r="AG135" s="193">
        <v>0.36249999999999999</v>
      </c>
      <c r="AH135" s="193">
        <v>0.70347222222222228</v>
      </c>
    </row>
    <row r="136" spans="1:34" x14ac:dyDescent="0.25">
      <c r="A136" s="3" t="s">
        <v>319</v>
      </c>
      <c r="B136" s="3">
        <v>135859</v>
      </c>
      <c r="C136" s="3">
        <v>942207</v>
      </c>
      <c r="D136" s="3" t="s">
        <v>3526</v>
      </c>
      <c r="E136" s="3">
        <v>7</v>
      </c>
      <c r="F136" s="3">
        <v>11</v>
      </c>
      <c r="G136" s="3">
        <v>8</v>
      </c>
      <c r="H136" s="55" t="s">
        <v>289</v>
      </c>
      <c r="I136" s="3" t="s">
        <v>5358</v>
      </c>
      <c r="J136" s="135">
        <v>46210</v>
      </c>
      <c r="L136" s="3">
        <v>1750</v>
      </c>
      <c r="M136" s="3">
        <v>27321</v>
      </c>
      <c r="N136" s="3" t="s">
        <v>5138</v>
      </c>
      <c r="R136" s="3">
        <v>7</v>
      </c>
      <c r="S136" s="3" t="s">
        <v>4370</v>
      </c>
      <c r="T136" s="3" t="s">
        <v>5140</v>
      </c>
      <c r="U136" s="3">
        <v>35</v>
      </c>
      <c r="V136" s="3">
        <v>401</v>
      </c>
      <c r="W136" s="3">
        <v>0</v>
      </c>
      <c r="X136" s="3">
        <v>1092</v>
      </c>
      <c r="Y136" s="3">
        <v>0</v>
      </c>
      <c r="Z136" s="3">
        <v>0</v>
      </c>
      <c r="AA136" s="3">
        <v>1092</v>
      </c>
      <c r="AB136" s="3">
        <v>4566</v>
      </c>
      <c r="AC136" s="191">
        <v>0.05</v>
      </c>
      <c r="AD136" s="3" t="s">
        <v>285</v>
      </c>
      <c r="AE136" s="3" t="s">
        <v>286</v>
      </c>
      <c r="AF136" s="193">
        <v>0.11319444444444444</v>
      </c>
      <c r="AG136" s="193">
        <v>0.47569444444444442</v>
      </c>
      <c r="AH136" s="193">
        <v>0.8666666666666667</v>
      </c>
    </row>
    <row r="137" spans="1:34" x14ac:dyDescent="0.25">
      <c r="A137" s="3" t="s">
        <v>319</v>
      </c>
      <c r="B137" s="3">
        <v>135860</v>
      </c>
      <c r="C137" s="3">
        <v>942207</v>
      </c>
      <c r="D137" s="3" t="s">
        <v>3526</v>
      </c>
      <c r="E137" s="3">
        <v>7</v>
      </c>
      <c r="F137" s="3">
        <v>12</v>
      </c>
      <c r="G137" s="3">
        <v>8</v>
      </c>
      <c r="H137" s="55" t="s">
        <v>289</v>
      </c>
      <c r="I137" s="3" t="s">
        <v>5358</v>
      </c>
      <c r="J137" s="135">
        <v>46210</v>
      </c>
      <c r="L137" s="3">
        <v>1750</v>
      </c>
      <c r="M137" s="3">
        <v>27321</v>
      </c>
      <c r="N137" s="3" t="s">
        <v>5138</v>
      </c>
      <c r="R137" s="3">
        <v>7</v>
      </c>
      <c r="S137" s="3" t="s">
        <v>4860</v>
      </c>
      <c r="T137" s="3" t="s">
        <v>5369</v>
      </c>
      <c r="U137" s="3">
        <v>35</v>
      </c>
      <c r="V137" s="3">
        <v>401</v>
      </c>
      <c r="W137" s="3">
        <v>0</v>
      </c>
      <c r="X137" s="3">
        <v>616</v>
      </c>
      <c r="Y137" s="3">
        <v>0</v>
      </c>
      <c r="Z137" s="3">
        <v>0</v>
      </c>
      <c r="AA137" s="3">
        <v>616</v>
      </c>
      <c r="AB137" s="3">
        <v>5182</v>
      </c>
      <c r="AC137" s="191">
        <v>0</v>
      </c>
      <c r="AF137" s="193">
        <v>6.3888888888888884E-2</v>
      </c>
      <c r="AG137" s="193">
        <v>0.5395833333333333</v>
      </c>
      <c r="AH137" s="193">
        <v>0.93055555555555558</v>
      </c>
    </row>
    <row r="138" spans="1:34" x14ac:dyDescent="0.25">
      <c r="A138" s="3" t="s">
        <v>319</v>
      </c>
      <c r="B138" s="3">
        <v>135854</v>
      </c>
      <c r="C138" s="3">
        <v>942207</v>
      </c>
      <c r="D138" s="3" t="s">
        <v>3526</v>
      </c>
      <c r="E138" s="3">
        <v>7</v>
      </c>
      <c r="F138" s="3">
        <v>13</v>
      </c>
      <c r="G138" s="3">
        <v>8</v>
      </c>
      <c r="H138" s="55" t="s">
        <v>289</v>
      </c>
      <c r="I138" s="3" t="s">
        <v>5358</v>
      </c>
      <c r="J138" s="135">
        <v>46210</v>
      </c>
      <c r="L138" s="3">
        <v>1750</v>
      </c>
      <c r="M138" s="3">
        <v>27321</v>
      </c>
      <c r="N138" s="3" t="s">
        <v>5138</v>
      </c>
      <c r="R138" s="3">
        <v>7</v>
      </c>
      <c r="S138" s="3" t="s">
        <v>327</v>
      </c>
      <c r="T138" s="3" t="s">
        <v>5370</v>
      </c>
      <c r="U138" s="3">
        <v>35</v>
      </c>
      <c r="V138" s="3">
        <v>387</v>
      </c>
      <c r="W138" s="3">
        <v>0</v>
      </c>
      <c r="X138" s="3">
        <v>246</v>
      </c>
      <c r="Y138" s="3">
        <v>0</v>
      </c>
      <c r="Z138" s="3">
        <v>0</v>
      </c>
      <c r="AA138" s="3">
        <v>246</v>
      </c>
      <c r="AB138" s="3">
        <v>5428</v>
      </c>
      <c r="AC138" s="191">
        <v>0</v>
      </c>
      <c r="AF138" s="193">
        <v>2.6388888888888889E-2</v>
      </c>
      <c r="AG138" s="193">
        <v>0.56597222222222221</v>
      </c>
      <c r="AH138" s="193">
        <v>0.95694444444444449</v>
      </c>
    </row>
    <row r="139" spans="1:34" x14ac:dyDescent="0.25">
      <c r="A139" s="3" t="s">
        <v>322</v>
      </c>
      <c r="B139" s="3">
        <v>137496</v>
      </c>
      <c r="C139" s="3" t="s">
        <v>5105</v>
      </c>
      <c r="D139" s="3" t="s">
        <v>3526</v>
      </c>
      <c r="E139" s="3">
        <v>7</v>
      </c>
      <c r="F139" s="3">
        <v>1</v>
      </c>
      <c r="G139" s="3">
        <v>7</v>
      </c>
      <c r="H139" s="55" t="s">
        <v>5095</v>
      </c>
      <c r="I139" s="3" t="s">
        <v>279</v>
      </c>
      <c r="J139" s="135">
        <v>46241</v>
      </c>
      <c r="K139" s="3" t="s">
        <v>5291</v>
      </c>
      <c r="L139" s="3">
        <v>1795</v>
      </c>
      <c r="M139" s="3">
        <v>12655</v>
      </c>
      <c r="N139" s="3" t="s">
        <v>5145</v>
      </c>
      <c r="R139" s="3">
        <v>5</v>
      </c>
      <c r="S139" s="3" t="s">
        <v>5146</v>
      </c>
      <c r="T139" s="3" t="s">
        <v>5107</v>
      </c>
      <c r="U139" s="3" t="s">
        <v>284</v>
      </c>
      <c r="V139" s="3">
        <v>662</v>
      </c>
      <c r="W139" s="3">
        <v>0</v>
      </c>
      <c r="X139" s="3">
        <v>3408</v>
      </c>
      <c r="Y139" s="3">
        <v>3312</v>
      </c>
      <c r="Z139" s="3">
        <v>0</v>
      </c>
      <c r="AA139" s="3">
        <v>96</v>
      </c>
      <c r="AB139" s="3">
        <v>96</v>
      </c>
      <c r="AC139" s="191">
        <v>0</v>
      </c>
      <c r="AF139" s="193">
        <v>6.2500000000000003E-3</v>
      </c>
      <c r="AG139" s="193">
        <v>6.2500000000000003E-3</v>
      </c>
      <c r="AH139" s="193">
        <v>0.28333333333333333</v>
      </c>
    </row>
    <row r="140" spans="1:34" x14ac:dyDescent="0.25">
      <c r="A140" s="3" t="s">
        <v>322</v>
      </c>
      <c r="B140" s="3">
        <v>137496</v>
      </c>
      <c r="C140" s="3" t="s">
        <v>5105</v>
      </c>
      <c r="D140" s="3" t="s">
        <v>3526</v>
      </c>
      <c r="E140" s="3">
        <v>7</v>
      </c>
      <c r="F140" s="3">
        <v>2</v>
      </c>
      <c r="G140" s="3">
        <v>10</v>
      </c>
      <c r="H140" s="55" t="s">
        <v>5095</v>
      </c>
      <c r="I140" s="3" t="s">
        <v>279</v>
      </c>
      <c r="J140" s="135">
        <v>46241</v>
      </c>
      <c r="K140" s="3" t="s">
        <v>5291</v>
      </c>
      <c r="L140" s="3">
        <v>1795</v>
      </c>
      <c r="M140" s="3">
        <v>12655</v>
      </c>
      <c r="N140" s="3" t="s">
        <v>5145</v>
      </c>
      <c r="R140" s="3">
        <v>5</v>
      </c>
      <c r="S140" s="3" t="s">
        <v>5146</v>
      </c>
      <c r="T140" s="3" t="s">
        <v>5107</v>
      </c>
      <c r="U140" s="3" t="s">
        <v>281</v>
      </c>
      <c r="V140" s="3">
        <v>662</v>
      </c>
      <c r="W140" s="3">
        <v>0</v>
      </c>
      <c r="X140" s="3">
        <v>3408</v>
      </c>
      <c r="Y140" s="3">
        <v>2592</v>
      </c>
      <c r="Z140" s="3">
        <v>0</v>
      </c>
      <c r="AA140" s="3">
        <v>816</v>
      </c>
      <c r="AB140" s="3">
        <v>912</v>
      </c>
      <c r="AC140" s="191">
        <v>0</v>
      </c>
      <c r="AF140" s="193">
        <v>5.1388888888888887E-2</v>
      </c>
      <c r="AG140" s="193">
        <v>5.7638888888888892E-2</v>
      </c>
      <c r="AH140" s="193">
        <v>0.3347222222222222</v>
      </c>
    </row>
    <row r="141" spans="1:34" x14ac:dyDescent="0.25">
      <c r="A141" s="3" t="s">
        <v>322</v>
      </c>
      <c r="B141" s="3">
        <v>137499</v>
      </c>
      <c r="C141" s="3" t="s">
        <v>5105</v>
      </c>
      <c r="D141" s="3" t="s">
        <v>3526</v>
      </c>
      <c r="E141" s="3">
        <v>7</v>
      </c>
      <c r="F141" s="3">
        <v>3</v>
      </c>
      <c r="G141" s="3">
        <v>7</v>
      </c>
      <c r="H141" s="55" t="s">
        <v>5095</v>
      </c>
      <c r="I141" s="3" t="s">
        <v>279</v>
      </c>
      <c r="J141" s="135">
        <v>46241</v>
      </c>
      <c r="L141" s="3">
        <v>1795</v>
      </c>
      <c r="M141" s="3">
        <v>12655</v>
      </c>
      <c r="N141" s="3" t="s">
        <v>5145</v>
      </c>
      <c r="R141" s="3">
        <v>5</v>
      </c>
      <c r="S141" s="3" t="s">
        <v>5146</v>
      </c>
      <c r="T141" s="3" t="s">
        <v>5107</v>
      </c>
      <c r="U141" s="3" t="s">
        <v>284</v>
      </c>
      <c r="V141" s="3">
        <v>662</v>
      </c>
      <c r="W141" s="3">
        <v>0</v>
      </c>
      <c r="X141" s="3">
        <v>852</v>
      </c>
      <c r="Y141" s="3">
        <v>0</v>
      </c>
      <c r="Z141" s="3">
        <v>0</v>
      </c>
      <c r="AA141" s="3">
        <v>852</v>
      </c>
      <c r="AB141" s="3">
        <v>1764</v>
      </c>
      <c r="AC141" s="191">
        <v>8.3333333333333332E-3</v>
      </c>
      <c r="AD141" s="3" t="s">
        <v>292</v>
      </c>
      <c r="AF141" s="193">
        <v>5.347222222222222E-2</v>
      </c>
      <c r="AG141" s="193">
        <v>0.1111111111111111</v>
      </c>
      <c r="AH141" s="193">
        <v>0.39652777777777776</v>
      </c>
    </row>
    <row r="142" spans="1:34" x14ac:dyDescent="0.25">
      <c r="A142" s="3" t="s">
        <v>322</v>
      </c>
      <c r="B142" s="3">
        <v>141157</v>
      </c>
      <c r="C142" s="3">
        <v>942207</v>
      </c>
      <c r="D142" s="3" t="s">
        <v>3526</v>
      </c>
      <c r="E142" s="3">
        <v>7</v>
      </c>
      <c r="F142" s="3">
        <v>4</v>
      </c>
      <c r="G142" s="3">
        <v>7</v>
      </c>
      <c r="H142" s="55" t="s">
        <v>289</v>
      </c>
      <c r="I142" s="3" t="s">
        <v>279</v>
      </c>
      <c r="J142" s="135">
        <v>46302</v>
      </c>
      <c r="L142" s="3">
        <v>1750</v>
      </c>
      <c r="M142" s="3">
        <v>11841</v>
      </c>
      <c r="N142" s="3" t="s">
        <v>5372</v>
      </c>
      <c r="R142" s="3">
        <v>8</v>
      </c>
      <c r="S142" s="3" t="s">
        <v>3569</v>
      </c>
      <c r="T142" s="3" t="s">
        <v>5087</v>
      </c>
      <c r="U142" s="3" t="s">
        <v>5373</v>
      </c>
      <c r="V142" s="3">
        <v>395</v>
      </c>
      <c r="W142" s="3">
        <v>0</v>
      </c>
      <c r="X142" s="3">
        <v>574</v>
      </c>
      <c r="Y142" s="3">
        <v>0</v>
      </c>
      <c r="Z142" s="3">
        <v>0</v>
      </c>
      <c r="AA142" s="3">
        <v>574</v>
      </c>
      <c r="AB142" s="3">
        <v>2338</v>
      </c>
      <c r="AC142" s="191">
        <v>0</v>
      </c>
      <c r="AF142" s="193">
        <v>6.0416666666666667E-2</v>
      </c>
      <c r="AG142" s="193">
        <v>0.17152777777777778</v>
      </c>
      <c r="AH142" s="193">
        <v>0.45694444444444443</v>
      </c>
    </row>
    <row r="143" spans="1:34" x14ac:dyDescent="0.25">
      <c r="A143" s="3" t="s">
        <v>322</v>
      </c>
      <c r="B143" s="3">
        <v>141157</v>
      </c>
      <c r="C143" s="3">
        <v>942207</v>
      </c>
      <c r="D143" s="3" t="s">
        <v>3526</v>
      </c>
      <c r="E143" s="3">
        <v>7</v>
      </c>
      <c r="F143" s="3">
        <v>5</v>
      </c>
      <c r="G143" s="3">
        <v>1</v>
      </c>
      <c r="H143" s="55" t="s">
        <v>289</v>
      </c>
      <c r="I143" s="3" t="s">
        <v>279</v>
      </c>
      <c r="J143" s="135">
        <v>46302</v>
      </c>
      <c r="L143" s="3">
        <v>1750</v>
      </c>
      <c r="M143" s="3">
        <v>11841</v>
      </c>
      <c r="N143" s="3" t="s">
        <v>5372</v>
      </c>
      <c r="R143" s="3">
        <v>8</v>
      </c>
      <c r="S143" s="3" t="s">
        <v>3569</v>
      </c>
      <c r="T143" s="3" t="s">
        <v>5087</v>
      </c>
      <c r="U143" s="3">
        <v>28</v>
      </c>
      <c r="V143" s="3">
        <v>395</v>
      </c>
      <c r="W143" s="3">
        <v>0</v>
      </c>
      <c r="X143" s="3">
        <v>116</v>
      </c>
      <c r="Y143" s="3">
        <v>0</v>
      </c>
      <c r="Z143" s="3">
        <v>0</v>
      </c>
      <c r="AA143" s="3">
        <v>116</v>
      </c>
      <c r="AB143" s="3">
        <v>2454</v>
      </c>
      <c r="AC143" s="191">
        <v>4.1666666666666664E-2</v>
      </c>
      <c r="AD143" s="3" t="s">
        <v>294</v>
      </c>
      <c r="AE143" s="3" t="s">
        <v>295</v>
      </c>
      <c r="AF143" s="193">
        <v>1.2500000000000001E-2</v>
      </c>
      <c r="AG143" s="193">
        <v>0.18402777777777779</v>
      </c>
      <c r="AH143" s="193">
        <v>0.51111111111111107</v>
      </c>
    </row>
    <row r="144" spans="1:34" x14ac:dyDescent="0.25">
      <c r="A144" s="3" t="s">
        <v>322</v>
      </c>
      <c r="B144" s="3">
        <v>141157</v>
      </c>
      <c r="C144" s="3">
        <v>942207</v>
      </c>
      <c r="D144" s="3" t="s">
        <v>3526</v>
      </c>
      <c r="E144" s="3">
        <v>7</v>
      </c>
      <c r="F144" s="3">
        <v>6</v>
      </c>
      <c r="G144" s="3">
        <v>2</v>
      </c>
      <c r="H144" s="55" t="s">
        <v>289</v>
      </c>
      <c r="I144" s="3" t="s">
        <v>279</v>
      </c>
      <c r="J144" s="135">
        <v>46302</v>
      </c>
      <c r="L144" s="3">
        <v>1750</v>
      </c>
      <c r="M144" s="3">
        <v>11841</v>
      </c>
      <c r="N144" s="3" t="s">
        <v>5372</v>
      </c>
      <c r="R144" s="3">
        <v>8</v>
      </c>
      <c r="S144" s="3" t="s">
        <v>3569</v>
      </c>
      <c r="T144" s="3" t="s">
        <v>5087</v>
      </c>
      <c r="U144" s="3">
        <v>29</v>
      </c>
      <c r="V144" s="3">
        <v>395</v>
      </c>
      <c r="W144" s="3">
        <v>0</v>
      </c>
      <c r="X144" s="3">
        <v>242</v>
      </c>
      <c r="Y144" s="3">
        <v>0</v>
      </c>
      <c r="Z144" s="3">
        <v>0</v>
      </c>
      <c r="AA144" s="3">
        <v>242</v>
      </c>
      <c r="AB144" s="3">
        <v>2696</v>
      </c>
      <c r="AC144" s="191">
        <v>0</v>
      </c>
      <c r="AF144" s="193">
        <v>2.5694444444444443E-2</v>
      </c>
      <c r="AG144" s="193">
        <v>0.20902777777777778</v>
      </c>
      <c r="AH144" s="193">
        <v>0.53680555555555554</v>
      </c>
    </row>
    <row r="145" spans="1:34" x14ac:dyDescent="0.25">
      <c r="A145" s="3" t="s">
        <v>322</v>
      </c>
      <c r="B145" s="3">
        <v>141157</v>
      </c>
      <c r="C145" s="3">
        <v>942207</v>
      </c>
      <c r="D145" s="3" t="s">
        <v>3526</v>
      </c>
      <c r="E145" s="3">
        <v>7</v>
      </c>
      <c r="F145" s="3">
        <v>7</v>
      </c>
      <c r="G145" s="3">
        <v>3</v>
      </c>
      <c r="H145" s="55" t="s">
        <v>289</v>
      </c>
      <c r="I145" s="3" t="s">
        <v>279</v>
      </c>
      <c r="J145" s="135">
        <v>46302</v>
      </c>
      <c r="L145" s="3">
        <v>1750</v>
      </c>
      <c r="M145" s="3">
        <v>11841</v>
      </c>
      <c r="N145" s="3" t="s">
        <v>5372</v>
      </c>
      <c r="R145" s="3">
        <v>8</v>
      </c>
      <c r="S145" s="3" t="s">
        <v>3569</v>
      </c>
      <c r="T145" s="3" t="s">
        <v>5087</v>
      </c>
      <c r="U145" s="3">
        <v>30</v>
      </c>
      <c r="V145" s="3">
        <v>395</v>
      </c>
      <c r="W145" s="3">
        <v>0</v>
      </c>
      <c r="X145" s="3">
        <v>412</v>
      </c>
      <c r="Y145" s="3">
        <v>0</v>
      </c>
      <c r="Z145" s="3">
        <v>0</v>
      </c>
      <c r="AA145" s="3">
        <v>412</v>
      </c>
      <c r="AB145" s="3">
        <v>3108</v>
      </c>
      <c r="AC145" s="191">
        <v>8.3333333333333332E-3</v>
      </c>
      <c r="AD145" s="3" t="s">
        <v>404</v>
      </c>
      <c r="AF145" s="193">
        <v>4.3749999999999997E-2</v>
      </c>
      <c r="AG145" s="193">
        <v>0.25277777777777777</v>
      </c>
      <c r="AH145" s="193">
        <v>0.58888888888888891</v>
      </c>
    </row>
    <row r="146" spans="1:34" x14ac:dyDescent="0.25">
      <c r="A146" s="3" t="s">
        <v>322</v>
      </c>
      <c r="B146" s="3">
        <v>141157</v>
      </c>
      <c r="C146" s="3">
        <v>942207</v>
      </c>
      <c r="D146" s="3" t="s">
        <v>3526</v>
      </c>
      <c r="E146" s="3">
        <v>7</v>
      </c>
      <c r="F146" s="3">
        <v>8</v>
      </c>
      <c r="G146" s="3">
        <v>4</v>
      </c>
      <c r="H146" s="55" t="s">
        <v>289</v>
      </c>
      <c r="I146" s="3" t="s">
        <v>279</v>
      </c>
      <c r="J146" s="135">
        <v>46302</v>
      </c>
      <c r="L146" s="3">
        <v>1750</v>
      </c>
      <c r="M146" s="3">
        <v>11841</v>
      </c>
      <c r="N146" s="3" t="s">
        <v>5372</v>
      </c>
      <c r="R146" s="3">
        <v>8</v>
      </c>
      <c r="S146" s="3" t="s">
        <v>3569</v>
      </c>
      <c r="T146" s="3" t="s">
        <v>5087</v>
      </c>
      <c r="U146" s="3">
        <v>31</v>
      </c>
      <c r="V146" s="3">
        <v>395</v>
      </c>
      <c r="W146" s="3">
        <v>0</v>
      </c>
      <c r="X146" s="3">
        <v>512</v>
      </c>
      <c r="Y146" s="3">
        <v>0</v>
      </c>
      <c r="Z146" s="3">
        <v>0</v>
      </c>
      <c r="AA146" s="3">
        <v>512</v>
      </c>
      <c r="AB146" s="3">
        <v>3620</v>
      </c>
      <c r="AC146" s="191">
        <v>0</v>
      </c>
      <c r="AF146" s="193">
        <v>5.4166666666666669E-2</v>
      </c>
      <c r="AG146" s="193">
        <v>0.30694444444444446</v>
      </c>
      <c r="AH146" s="193">
        <v>0.65</v>
      </c>
    </row>
    <row r="147" spans="1:34" x14ac:dyDescent="0.25">
      <c r="A147" s="3" t="s">
        <v>322</v>
      </c>
      <c r="B147" s="3">
        <v>141157</v>
      </c>
      <c r="C147" s="3">
        <v>942207</v>
      </c>
      <c r="D147" s="3" t="s">
        <v>3526</v>
      </c>
      <c r="E147" s="3">
        <v>7</v>
      </c>
      <c r="F147" s="3">
        <v>9</v>
      </c>
      <c r="G147" s="3">
        <v>5</v>
      </c>
      <c r="H147" s="55" t="s">
        <v>289</v>
      </c>
      <c r="I147" s="3" t="s">
        <v>279</v>
      </c>
      <c r="J147" s="135">
        <v>46302</v>
      </c>
      <c r="L147" s="3">
        <v>1750</v>
      </c>
      <c r="M147" s="3">
        <v>11841</v>
      </c>
      <c r="N147" s="3" t="s">
        <v>5372</v>
      </c>
      <c r="R147" s="3">
        <v>8</v>
      </c>
      <c r="S147" s="3" t="s">
        <v>3569</v>
      </c>
      <c r="T147" s="3" t="s">
        <v>5087</v>
      </c>
      <c r="U147" s="3" t="s">
        <v>398</v>
      </c>
      <c r="V147" s="3">
        <v>395</v>
      </c>
      <c r="W147" s="3">
        <v>0</v>
      </c>
      <c r="X147" s="3">
        <v>536</v>
      </c>
      <c r="Y147" s="3">
        <v>0</v>
      </c>
      <c r="Z147" s="3">
        <v>0</v>
      </c>
      <c r="AA147" s="3">
        <v>536</v>
      </c>
      <c r="AB147" s="3">
        <v>4156</v>
      </c>
      <c r="AC147" s="191">
        <v>0</v>
      </c>
      <c r="AF147" s="193">
        <v>5.6250000000000001E-2</v>
      </c>
      <c r="AG147" s="193">
        <v>0.36319444444444443</v>
      </c>
      <c r="AH147" s="193">
        <v>0.70625000000000004</v>
      </c>
    </row>
    <row r="148" spans="1:34" x14ac:dyDescent="0.25">
      <c r="A148" s="3" t="s">
        <v>322</v>
      </c>
      <c r="B148" s="3">
        <v>141157</v>
      </c>
      <c r="C148" s="3">
        <v>942207</v>
      </c>
      <c r="D148" s="3" t="s">
        <v>3526</v>
      </c>
      <c r="E148" s="3">
        <v>7</v>
      </c>
      <c r="F148" s="3">
        <v>10</v>
      </c>
      <c r="G148" s="3">
        <v>6</v>
      </c>
      <c r="H148" s="55" t="s">
        <v>289</v>
      </c>
      <c r="I148" s="3" t="s">
        <v>279</v>
      </c>
      <c r="J148" s="135">
        <v>46302</v>
      </c>
      <c r="L148" s="3">
        <v>1750</v>
      </c>
      <c r="M148" s="3">
        <v>11841</v>
      </c>
      <c r="N148" s="3" t="s">
        <v>5372</v>
      </c>
      <c r="R148" s="3">
        <v>8</v>
      </c>
      <c r="S148" s="3" t="s">
        <v>3569</v>
      </c>
      <c r="T148" s="3" t="s">
        <v>5087</v>
      </c>
      <c r="U148" s="3">
        <v>34</v>
      </c>
      <c r="V148" s="3">
        <v>395</v>
      </c>
      <c r="W148" s="3">
        <v>0</v>
      </c>
      <c r="X148" s="3">
        <v>590</v>
      </c>
      <c r="Y148" s="3">
        <v>0</v>
      </c>
      <c r="Z148" s="3">
        <v>0</v>
      </c>
      <c r="AA148" s="3">
        <v>590</v>
      </c>
      <c r="AB148" s="3">
        <v>4746</v>
      </c>
      <c r="AC148" s="191">
        <v>0</v>
      </c>
      <c r="AF148" s="193">
        <v>6.25E-2</v>
      </c>
      <c r="AG148" s="193">
        <v>0.42569444444444443</v>
      </c>
      <c r="AH148" s="193">
        <v>0.76875000000000004</v>
      </c>
    </row>
    <row r="149" spans="1:34" x14ac:dyDescent="0.25">
      <c r="A149" s="3" t="s">
        <v>322</v>
      </c>
      <c r="B149" s="3">
        <v>141160</v>
      </c>
      <c r="C149" s="3">
        <v>942207</v>
      </c>
      <c r="D149" s="3" t="s">
        <v>3526</v>
      </c>
      <c r="E149" s="3">
        <v>7</v>
      </c>
      <c r="F149" s="3">
        <v>11</v>
      </c>
      <c r="G149" s="3">
        <v>1</v>
      </c>
      <c r="H149" s="55" t="s">
        <v>289</v>
      </c>
      <c r="I149" s="3" t="s">
        <v>279</v>
      </c>
      <c r="J149" s="135">
        <v>46302</v>
      </c>
      <c r="L149" s="3">
        <v>1750</v>
      </c>
      <c r="M149" s="3">
        <v>11841</v>
      </c>
      <c r="N149" s="3" t="s">
        <v>5372</v>
      </c>
      <c r="R149" s="3">
        <v>8</v>
      </c>
      <c r="S149" s="3" t="s">
        <v>3568</v>
      </c>
      <c r="T149" s="3" t="s">
        <v>5374</v>
      </c>
      <c r="U149" s="3">
        <v>28</v>
      </c>
      <c r="V149" s="3">
        <v>395</v>
      </c>
      <c r="W149" s="3">
        <v>0</v>
      </c>
      <c r="X149" s="3">
        <v>60</v>
      </c>
      <c r="Y149" s="3">
        <v>0</v>
      </c>
      <c r="Z149" s="3">
        <v>0</v>
      </c>
      <c r="AA149" s="3">
        <v>60</v>
      </c>
      <c r="AB149" s="3">
        <v>4806</v>
      </c>
      <c r="AC149" s="191">
        <v>8.3333333333333332E-3</v>
      </c>
      <c r="AD149" s="3" t="s">
        <v>292</v>
      </c>
      <c r="AF149" s="193">
        <v>6.2500000000000003E-3</v>
      </c>
      <c r="AG149" s="193">
        <v>0.43194444444444446</v>
      </c>
      <c r="AH149" s="193">
        <v>0.78333333333333333</v>
      </c>
    </row>
    <row r="150" spans="1:34" x14ac:dyDescent="0.25">
      <c r="A150" s="3" t="s">
        <v>322</v>
      </c>
      <c r="B150" s="3">
        <v>141160</v>
      </c>
      <c r="C150" s="3">
        <v>942207</v>
      </c>
      <c r="D150" s="3" t="s">
        <v>3526</v>
      </c>
      <c r="E150" s="3">
        <v>7</v>
      </c>
      <c r="F150" s="3">
        <v>12</v>
      </c>
      <c r="G150" s="3">
        <v>2</v>
      </c>
      <c r="H150" s="55" t="s">
        <v>289</v>
      </c>
      <c r="I150" s="3" t="s">
        <v>279</v>
      </c>
      <c r="J150" s="135">
        <v>46302</v>
      </c>
      <c r="L150" s="3">
        <v>1750</v>
      </c>
      <c r="M150" s="3">
        <v>11841</v>
      </c>
      <c r="N150" s="3" t="s">
        <v>5372</v>
      </c>
      <c r="R150" s="3">
        <v>8</v>
      </c>
      <c r="S150" s="3" t="s">
        <v>3568</v>
      </c>
      <c r="T150" s="3" t="s">
        <v>5374</v>
      </c>
      <c r="U150" s="3">
        <v>29</v>
      </c>
      <c r="V150" s="3">
        <v>395</v>
      </c>
      <c r="W150" s="3">
        <v>0</v>
      </c>
      <c r="X150" s="3">
        <v>170</v>
      </c>
      <c r="Y150" s="3">
        <v>0</v>
      </c>
      <c r="Z150" s="3">
        <v>0</v>
      </c>
      <c r="AA150" s="3">
        <v>170</v>
      </c>
      <c r="AB150" s="3">
        <v>4976</v>
      </c>
      <c r="AC150" s="191">
        <v>0</v>
      </c>
      <c r="AF150" s="193">
        <v>1.8055555555555554E-2</v>
      </c>
      <c r="AG150" s="193">
        <v>0.45</v>
      </c>
      <c r="AH150" s="193">
        <v>0.80138888888888893</v>
      </c>
    </row>
    <row r="151" spans="1:34" x14ac:dyDescent="0.25">
      <c r="A151" s="3" t="s">
        <v>322</v>
      </c>
      <c r="B151" s="3">
        <v>141160</v>
      </c>
      <c r="C151" s="3">
        <v>942207</v>
      </c>
      <c r="D151" s="3" t="s">
        <v>3526</v>
      </c>
      <c r="E151" s="3">
        <v>7</v>
      </c>
      <c r="F151" s="3">
        <v>13</v>
      </c>
      <c r="G151" s="3">
        <v>3</v>
      </c>
      <c r="H151" s="55" t="s">
        <v>289</v>
      </c>
      <c r="I151" s="3" t="s">
        <v>279</v>
      </c>
      <c r="J151" s="135">
        <v>46302</v>
      </c>
      <c r="L151" s="3">
        <v>1750</v>
      </c>
      <c r="M151" s="3">
        <v>11841</v>
      </c>
      <c r="N151" s="3" t="s">
        <v>5372</v>
      </c>
      <c r="R151" s="3">
        <v>8</v>
      </c>
      <c r="S151" s="3" t="s">
        <v>3568</v>
      </c>
      <c r="T151" s="3" t="s">
        <v>5374</v>
      </c>
      <c r="U151" s="3">
        <v>30</v>
      </c>
      <c r="V151" s="3">
        <v>395</v>
      </c>
      <c r="W151" s="3">
        <v>0</v>
      </c>
      <c r="X151" s="3">
        <v>302</v>
      </c>
      <c r="Y151" s="3">
        <v>0</v>
      </c>
      <c r="Z151" s="3">
        <v>0</v>
      </c>
      <c r="AA151" s="3">
        <v>302</v>
      </c>
      <c r="AB151" s="3">
        <v>5278</v>
      </c>
      <c r="AC151" s="191">
        <v>4.1666666666666664E-2</v>
      </c>
      <c r="AD151" s="3" t="s">
        <v>294</v>
      </c>
      <c r="AE151" s="3" t="s">
        <v>295</v>
      </c>
      <c r="AF151" s="193">
        <v>3.1944444444444442E-2</v>
      </c>
      <c r="AG151" s="193">
        <v>0.48194444444444445</v>
      </c>
      <c r="AH151" s="193">
        <v>0.875</v>
      </c>
    </row>
    <row r="152" spans="1:34" x14ac:dyDescent="0.25">
      <c r="A152" s="3" t="s">
        <v>322</v>
      </c>
      <c r="B152" s="3">
        <v>141160</v>
      </c>
      <c r="C152" s="3">
        <v>942207</v>
      </c>
      <c r="D152" s="3" t="s">
        <v>3526</v>
      </c>
      <c r="E152" s="3">
        <v>7</v>
      </c>
      <c r="F152" s="3">
        <v>14</v>
      </c>
      <c r="G152" s="3">
        <v>4</v>
      </c>
      <c r="H152" s="55" t="s">
        <v>289</v>
      </c>
      <c r="I152" s="3" t="s">
        <v>279</v>
      </c>
      <c r="J152" s="135">
        <v>46302</v>
      </c>
      <c r="L152" s="3">
        <v>1750</v>
      </c>
      <c r="M152" s="3">
        <v>11841</v>
      </c>
      <c r="N152" s="3" t="s">
        <v>5372</v>
      </c>
      <c r="R152" s="3">
        <v>8</v>
      </c>
      <c r="S152" s="3" t="s">
        <v>3568</v>
      </c>
      <c r="T152" s="3" t="s">
        <v>5374</v>
      </c>
      <c r="U152" s="3">
        <v>31</v>
      </c>
      <c r="V152" s="3">
        <v>395</v>
      </c>
      <c r="W152" s="3">
        <v>0</v>
      </c>
      <c r="X152" s="3">
        <v>390</v>
      </c>
      <c r="Y152" s="3">
        <v>0</v>
      </c>
      <c r="Z152" s="3">
        <v>0</v>
      </c>
      <c r="AA152" s="3">
        <v>390</v>
      </c>
      <c r="AB152" s="3">
        <v>5668</v>
      </c>
      <c r="AC152" s="191">
        <v>0</v>
      </c>
      <c r="AF152" s="193">
        <v>4.0972222222222222E-2</v>
      </c>
      <c r="AG152" s="193">
        <v>0.5229166666666667</v>
      </c>
      <c r="AH152" s="193">
        <v>0.91597222222222219</v>
      </c>
    </row>
    <row r="153" spans="1:34" x14ac:dyDescent="0.25">
      <c r="A153" s="3" t="s">
        <v>322</v>
      </c>
      <c r="B153" s="3">
        <v>141160</v>
      </c>
      <c r="C153" s="3">
        <v>942207</v>
      </c>
      <c r="D153" s="3" t="s">
        <v>3526</v>
      </c>
      <c r="E153" s="3">
        <v>7</v>
      </c>
      <c r="F153" s="3">
        <v>15</v>
      </c>
      <c r="G153" s="3">
        <v>5</v>
      </c>
      <c r="H153" s="55" t="s">
        <v>289</v>
      </c>
      <c r="I153" s="3" t="s">
        <v>279</v>
      </c>
      <c r="J153" s="135">
        <v>46302</v>
      </c>
      <c r="L153" s="3">
        <v>1750</v>
      </c>
      <c r="M153" s="3">
        <v>11841</v>
      </c>
      <c r="N153" s="3" t="s">
        <v>5372</v>
      </c>
      <c r="R153" s="3">
        <v>8</v>
      </c>
      <c r="S153" s="3" t="s">
        <v>3568</v>
      </c>
      <c r="T153" s="3" t="s">
        <v>5374</v>
      </c>
      <c r="U153" s="3" t="s">
        <v>398</v>
      </c>
      <c r="V153" s="3">
        <v>395</v>
      </c>
      <c r="W153" s="3">
        <v>0</v>
      </c>
      <c r="X153" s="3">
        <v>414</v>
      </c>
      <c r="Y153" s="3">
        <v>0</v>
      </c>
      <c r="Z153" s="3">
        <v>0</v>
      </c>
      <c r="AA153" s="3">
        <v>414</v>
      </c>
      <c r="AB153" s="3">
        <v>6082</v>
      </c>
      <c r="AC153" s="191">
        <v>0</v>
      </c>
      <c r="AF153" s="193">
        <v>4.3749999999999997E-2</v>
      </c>
      <c r="AG153" s="193">
        <v>0.56666666666666665</v>
      </c>
      <c r="AH153" s="193">
        <v>0.95972222222222225</v>
      </c>
    </row>
    <row r="154" spans="1:34" x14ac:dyDescent="0.25">
      <c r="A154" s="3" t="s">
        <v>323</v>
      </c>
      <c r="B154" s="3">
        <v>136948</v>
      </c>
      <c r="C154" s="3">
        <v>942207</v>
      </c>
      <c r="D154" s="3" t="s">
        <v>3526</v>
      </c>
      <c r="E154" s="3">
        <v>7</v>
      </c>
      <c r="F154" s="3">
        <v>1</v>
      </c>
      <c r="G154" s="3">
        <v>4</v>
      </c>
      <c r="H154" s="55" t="s">
        <v>289</v>
      </c>
      <c r="I154" s="3" t="s">
        <v>279</v>
      </c>
      <c r="J154" s="135">
        <v>46241</v>
      </c>
      <c r="K154" s="3" t="s">
        <v>5291</v>
      </c>
      <c r="L154" s="3">
        <v>1750</v>
      </c>
      <c r="M154" s="3">
        <v>27674</v>
      </c>
      <c r="N154" s="3" t="s">
        <v>5147</v>
      </c>
      <c r="O154" s="3" t="s">
        <v>4754</v>
      </c>
      <c r="R154" s="3">
        <v>6</v>
      </c>
      <c r="S154" s="3" t="s">
        <v>5148</v>
      </c>
      <c r="T154" s="3" t="s">
        <v>5149</v>
      </c>
      <c r="U154" s="3" t="s">
        <v>284</v>
      </c>
      <c r="V154" s="3">
        <v>408</v>
      </c>
      <c r="W154" s="3">
        <v>0</v>
      </c>
      <c r="X154" s="3">
        <v>1698</v>
      </c>
      <c r="Y154" s="3">
        <v>1248</v>
      </c>
      <c r="Z154" s="3">
        <v>0</v>
      </c>
      <c r="AA154" s="3">
        <v>450</v>
      </c>
      <c r="AB154" s="3">
        <v>450</v>
      </c>
      <c r="AC154" s="191">
        <v>0</v>
      </c>
      <c r="AF154" s="193">
        <v>4.583333333333333E-2</v>
      </c>
      <c r="AG154" s="193">
        <v>4.583333333333333E-2</v>
      </c>
      <c r="AH154" s="193">
        <v>0.32291666666666669</v>
      </c>
    </row>
    <row r="155" spans="1:34" x14ac:dyDescent="0.25">
      <c r="A155" s="3" t="s">
        <v>323</v>
      </c>
      <c r="B155" s="3">
        <v>136948</v>
      </c>
      <c r="C155" s="3">
        <v>942207</v>
      </c>
      <c r="D155" s="3" t="s">
        <v>3526</v>
      </c>
      <c r="E155" s="3">
        <v>7</v>
      </c>
      <c r="F155" s="3">
        <v>2</v>
      </c>
      <c r="G155" s="3">
        <v>1</v>
      </c>
      <c r="H155" s="55" t="s">
        <v>289</v>
      </c>
      <c r="I155" s="3" t="s">
        <v>279</v>
      </c>
      <c r="J155" s="135">
        <v>46241</v>
      </c>
      <c r="L155" s="3">
        <v>1750</v>
      </c>
      <c r="M155" s="3">
        <v>27674</v>
      </c>
      <c r="N155" s="3" t="s">
        <v>5147</v>
      </c>
      <c r="O155" s="3" t="s">
        <v>4754</v>
      </c>
      <c r="R155" s="3">
        <v>6</v>
      </c>
      <c r="S155" s="3" t="s">
        <v>5148</v>
      </c>
      <c r="T155" s="3" t="s">
        <v>5149</v>
      </c>
      <c r="U155" s="3" t="s">
        <v>298</v>
      </c>
      <c r="V155" s="3">
        <v>408</v>
      </c>
      <c r="W155" s="3">
        <v>0</v>
      </c>
      <c r="X155" s="3">
        <v>448</v>
      </c>
      <c r="Y155" s="3">
        <v>0</v>
      </c>
      <c r="Z155" s="3">
        <v>0</v>
      </c>
      <c r="AA155" s="3">
        <v>448</v>
      </c>
      <c r="AB155" s="3">
        <v>898</v>
      </c>
      <c r="AC155" s="191">
        <v>8.3333333333333332E-3</v>
      </c>
      <c r="AD155" s="3" t="s">
        <v>292</v>
      </c>
      <c r="AF155" s="193">
        <v>4.583333333333333E-2</v>
      </c>
      <c r="AG155" s="193">
        <v>9.166666666666666E-2</v>
      </c>
      <c r="AH155" s="193">
        <v>0.37708333333333333</v>
      </c>
    </row>
    <row r="156" spans="1:34" x14ac:dyDescent="0.25">
      <c r="A156" s="3" t="s">
        <v>323</v>
      </c>
      <c r="B156" s="3">
        <v>136943</v>
      </c>
      <c r="C156" s="3">
        <v>942207</v>
      </c>
      <c r="D156" s="3" t="s">
        <v>3526</v>
      </c>
      <c r="E156" s="3">
        <v>7</v>
      </c>
      <c r="F156" s="3">
        <v>3</v>
      </c>
      <c r="G156" s="3">
        <v>4</v>
      </c>
      <c r="H156" s="55" t="s">
        <v>289</v>
      </c>
      <c r="I156" s="3" t="s">
        <v>279</v>
      </c>
      <c r="J156" s="135">
        <v>46241</v>
      </c>
      <c r="L156" s="3">
        <v>1750</v>
      </c>
      <c r="M156" s="3">
        <v>27674</v>
      </c>
      <c r="N156" s="3" t="s">
        <v>5147</v>
      </c>
      <c r="O156" s="3" t="s">
        <v>4754</v>
      </c>
      <c r="R156" s="3">
        <v>6</v>
      </c>
      <c r="S156" s="3" t="s">
        <v>5375</v>
      </c>
      <c r="T156" s="3" t="s">
        <v>5107</v>
      </c>
      <c r="U156" s="3" t="s">
        <v>284</v>
      </c>
      <c r="V156" s="3">
        <v>408</v>
      </c>
      <c r="W156" s="3">
        <v>0</v>
      </c>
      <c r="X156" s="3">
        <v>1698</v>
      </c>
      <c r="Y156" s="3">
        <v>0</v>
      </c>
      <c r="Z156" s="3">
        <v>0</v>
      </c>
      <c r="AA156" s="3">
        <v>1698</v>
      </c>
      <c r="AB156" s="3">
        <v>2596</v>
      </c>
      <c r="AC156" s="191">
        <v>0.05</v>
      </c>
      <c r="AD156" s="3" t="s">
        <v>294</v>
      </c>
      <c r="AE156" s="3" t="s">
        <v>5292</v>
      </c>
      <c r="AF156" s="193">
        <v>0.1736111111111111</v>
      </c>
      <c r="AG156" s="193">
        <v>0.26527777777777778</v>
      </c>
      <c r="AH156" s="193">
        <v>0.60069444444444442</v>
      </c>
    </row>
    <row r="157" spans="1:34" x14ac:dyDescent="0.25">
      <c r="A157" s="3" t="s">
        <v>323</v>
      </c>
      <c r="B157" s="3">
        <v>136943</v>
      </c>
      <c r="C157" s="3">
        <v>942207</v>
      </c>
      <c r="D157" s="3" t="s">
        <v>3526</v>
      </c>
      <c r="E157" s="3">
        <v>7</v>
      </c>
      <c r="F157" s="3">
        <v>4</v>
      </c>
      <c r="G157" s="3">
        <v>1</v>
      </c>
      <c r="H157" s="55" t="s">
        <v>289</v>
      </c>
      <c r="I157" s="3" t="s">
        <v>279</v>
      </c>
      <c r="J157" s="135">
        <v>46241</v>
      </c>
      <c r="L157" s="3">
        <v>1750</v>
      </c>
      <c r="M157" s="3">
        <v>27674</v>
      </c>
      <c r="N157" s="3" t="s">
        <v>5147</v>
      </c>
      <c r="O157" s="3" t="s">
        <v>4754</v>
      </c>
      <c r="R157" s="3">
        <v>6</v>
      </c>
      <c r="S157" s="3" t="s">
        <v>5375</v>
      </c>
      <c r="T157" s="3" t="s">
        <v>5107</v>
      </c>
      <c r="U157" s="3" t="s">
        <v>298</v>
      </c>
      <c r="V157" s="3">
        <v>408</v>
      </c>
      <c r="W157" s="3">
        <v>0</v>
      </c>
      <c r="X157" s="3">
        <v>448</v>
      </c>
      <c r="Y157" s="3">
        <v>0</v>
      </c>
      <c r="Z157" s="3">
        <v>0</v>
      </c>
      <c r="AA157" s="3">
        <v>448</v>
      </c>
      <c r="AB157" s="3">
        <v>3044</v>
      </c>
      <c r="AC157" s="191">
        <v>0</v>
      </c>
      <c r="AF157" s="193">
        <v>4.583333333333333E-2</v>
      </c>
      <c r="AG157" s="193">
        <v>0.31111111111111112</v>
      </c>
      <c r="AH157" s="193">
        <v>0.65347222222222223</v>
      </c>
    </row>
    <row r="158" spans="1:34" x14ac:dyDescent="0.25">
      <c r="A158" s="3" t="s">
        <v>323</v>
      </c>
      <c r="B158" s="3">
        <v>136947</v>
      </c>
      <c r="C158" s="3">
        <v>942207</v>
      </c>
      <c r="D158" s="3" t="s">
        <v>3526</v>
      </c>
      <c r="E158" s="3">
        <v>7</v>
      </c>
      <c r="F158" s="3">
        <v>5</v>
      </c>
      <c r="G158" s="3">
        <v>1</v>
      </c>
      <c r="H158" s="55" t="s">
        <v>289</v>
      </c>
      <c r="I158" s="3" t="s">
        <v>279</v>
      </c>
      <c r="J158" s="135">
        <v>46241</v>
      </c>
      <c r="L158" s="3">
        <v>1750</v>
      </c>
      <c r="M158" s="3">
        <v>27674</v>
      </c>
      <c r="N158" s="3" t="s">
        <v>5147</v>
      </c>
      <c r="O158" s="3" t="s">
        <v>4754</v>
      </c>
      <c r="R158" s="3">
        <v>6</v>
      </c>
      <c r="S158" s="3" t="s">
        <v>5376</v>
      </c>
      <c r="T158" s="3" t="s">
        <v>5377</v>
      </c>
      <c r="U158" s="3" t="s">
        <v>298</v>
      </c>
      <c r="V158" s="3">
        <v>408</v>
      </c>
      <c r="W158" s="3">
        <v>0</v>
      </c>
      <c r="X158" s="3">
        <v>448</v>
      </c>
      <c r="Y158" s="3">
        <v>0</v>
      </c>
      <c r="Z158" s="3">
        <v>0</v>
      </c>
      <c r="AA158" s="3">
        <v>448</v>
      </c>
      <c r="AB158" s="3">
        <v>3492</v>
      </c>
      <c r="AC158" s="191">
        <v>0</v>
      </c>
      <c r="AF158" s="193">
        <v>4.583333333333333E-2</v>
      </c>
      <c r="AG158" s="193">
        <v>0.35694444444444445</v>
      </c>
      <c r="AH158" s="193">
        <v>0.69930555555555551</v>
      </c>
    </row>
    <row r="159" spans="1:34" x14ac:dyDescent="0.25">
      <c r="A159" s="3" t="s">
        <v>323</v>
      </c>
      <c r="B159" s="3">
        <v>136947</v>
      </c>
      <c r="C159" s="3">
        <v>942207</v>
      </c>
      <c r="D159" s="3" t="s">
        <v>3526</v>
      </c>
      <c r="E159" s="3">
        <v>7</v>
      </c>
      <c r="F159" s="3">
        <v>6</v>
      </c>
      <c r="G159" s="3">
        <v>3</v>
      </c>
      <c r="H159" s="55" t="s">
        <v>289</v>
      </c>
      <c r="I159" s="3" t="s">
        <v>279</v>
      </c>
      <c r="J159" s="135">
        <v>46241</v>
      </c>
      <c r="L159" s="3">
        <v>1750</v>
      </c>
      <c r="M159" s="3">
        <v>27674</v>
      </c>
      <c r="N159" s="3" t="s">
        <v>5147</v>
      </c>
      <c r="O159" s="3" t="s">
        <v>4754</v>
      </c>
      <c r="R159" s="3">
        <v>6</v>
      </c>
      <c r="S159" s="3" t="s">
        <v>5376</v>
      </c>
      <c r="T159" s="3" t="s">
        <v>5377</v>
      </c>
      <c r="U159" s="3">
        <v>36</v>
      </c>
      <c r="V159" s="3">
        <v>408</v>
      </c>
      <c r="W159" s="3">
        <v>0</v>
      </c>
      <c r="X159" s="3">
        <v>1282</v>
      </c>
      <c r="Y159" s="3">
        <v>0</v>
      </c>
      <c r="Z159" s="3">
        <v>0</v>
      </c>
      <c r="AA159" s="3">
        <v>1282</v>
      </c>
      <c r="AB159" s="3">
        <v>4774</v>
      </c>
      <c r="AC159" s="191">
        <v>0.05</v>
      </c>
      <c r="AD159" s="3" t="s">
        <v>285</v>
      </c>
      <c r="AE159" s="3" t="s">
        <v>286</v>
      </c>
      <c r="AF159" s="193">
        <v>0.13125000000000001</v>
      </c>
      <c r="AG159" s="193">
        <v>0.48749999999999999</v>
      </c>
      <c r="AH159" s="193">
        <v>0.88055555555555554</v>
      </c>
    </row>
    <row r="160" spans="1:34" x14ac:dyDescent="0.25">
      <c r="A160" s="3" t="s">
        <v>328</v>
      </c>
      <c r="B160" s="3">
        <v>128121</v>
      </c>
      <c r="C160" s="3">
        <v>941407</v>
      </c>
      <c r="D160" s="3" t="s">
        <v>3526</v>
      </c>
      <c r="E160" s="3">
        <v>5</v>
      </c>
      <c r="F160" s="3">
        <v>1</v>
      </c>
      <c r="G160" s="3">
        <v>10</v>
      </c>
      <c r="H160" s="55" t="s">
        <v>289</v>
      </c>
      <c r="I160" s="3" t="s">
        <v>279</v>
      </c>
      <c r="J160" s="135">
        <v>46060</v>
      </c>
      <c r="K160" s="135">
        <v>46302</v>
      </c>
      <c r="L160" s="3">
        <v>1750</v>
      </c>
      <c r="M160" s="3">
        <v>26481</v>
      </c>
      <c r="N160" s="3" t="s">
        <v>5151</v>
      </c>
      <c r="R160" s="3">
        <v>9</v>
      </c>
      <c r="S160" s="3" t="s">
        <v>324</v>
      </c>
      <c r="T160" s="3" t="s">
        <v>5152</v>
      </c>
      <c r="U160" s="3" t="s">
        <v>284</v>
      </c>
      <c r="V160" s="3">
        <v>384</v>
      </c>
      <c r="W160" s="3">
        <v>0</v>
      </c>
      <c r="X160" s="3">
        <v>1800</v>
      </c>
      <c r="Y160" s="3">
        <v>1774</v>
      </c>
      <c r="Z160" s="3">
        <v>0</v>
      </c>
      <c r="AA160" s="3">
        <v>26</v>
      </c>
      <c r="AB160" s="3">
        <v>26</v>
      </c>
      <c r="AC160" s="191">
        <v>0</v>
      </c>
      <c r="AF160" s="193">
        <v>2.7777777777777779E-3</v>
      </c>
      <c r="AG160" s="193">
        <v>2.7777777777777779E-3</v>
      </c>
      <c r="AH160" s="193">
        <v>0.27986111111111112</v>
      </c>
    </row>
    <row r="161" spans="1:34" x14ac:dyDescent="0.25">
      <c r="A161" s="3" t="s">
        <v>328</v>
      </c>
      <c r="B161" s="3">
        <v>132728</v>
      </c>
      <c r="C161" s="3">
        <v>941707</v>
      </c>
      <c r="D161" s="3" t="s">
        <v>3526</v>
      </c>
      <c r="E161" s="3">
        <v>6</v>
      </c>
      <c r="F161" s="3">
        <v>2</v>
      </c>
      <c r="G161" s="3">
        <v>6</v>
      </c>
      <c r="H161" s="55" t="s">
        <v>289</v>
      </c>
      <c r="I161" s="3" t="s">
        <v>279</v>
      </c>
      <c r="J161" s="135">
        <v>46210</v>
      </c>
      <c r="K161" s="3" t="s">
        <v>5096</v>
      </c>
      <c r="L161" s="3">
        <v>1750</v>
      </c>
      <c r="M161" s="3">
        <v>26975</v>
      </c>
      <c r="N161" s="3" t="s">
        <v>5153</v>
      </c>
      <c r="R161" s="3">
        <v>9</v>
      </c>
      <c r="S161" s="3" t="s">
        <v>2618</v>
      </c>
      <c r="T161" s="3" t="s">
        <v>297</v>
      </c>
      <c r="U161" s="3" t="s">
        <v>280</v>
      </c>
      <c r="V161" s="3">
        <v>588</v>
      </c>
      <c r="W161" s="3">
        <v>0</v>
      </c>
      <c r="X161" s="3">
        <v>110</v>
      </c>
      <c r="Y161" s="3">
        <v>96</v>
      </c>
      <c r="Z161" s="3">
        <v>0</v>
      </c>
      <c r="AA161" s="3">
        <v>14</v>
      </c>
      <c r="AB161" s="3">
        <v>40</v>
      </c>
      <c r="AC161" s="191">
        <v>0</v>
      </c>
      <c r="AF161" s="193">
        <v>6.9444444444444447E-4</v>
      </c>
      <c r="AG161" s="193">
        <v>3.472222222222222E-3</v>
      </c>
      <c r="AH161" s="193">
        <v>0.28055555555555556</v>
      </c>
    </row>
    <row r="162" spans="1:34" x14ac:dyDescent="0.25">
      <c r="A162" s="3" t="s">
        <v>328</v>
      </c>
      <c r="B162" s="3">
        <v>132984</v>
      </c>
      <c r="C162" s="3">
        <v>941707</v>
      </c>
      <c r="D162" s="3" t="s">
        <v>3526</v>
      </c>
      <c r="E162" s="3">
        <v>6</v>
      </c>
      <c r="F162" s="3">
        <v>3</v>
      </c>
      <c r="G162" s="3">
        <v>7</v>
      </c>
      <c r="H162" s="55" t="s">
        <v>289</v>
      </c>
      <c r="I162" s="3" t="s">
        <v>279</v>
      </c>
      <c r="J162" s="135">
        <v>46210</v>
      </c>
      <c r="K162" s="3" t="s">
        <v>5096</v>
      </c>
      <c r="L162" s="3">
        <v>1750</v>
      </c>
      <c r="M162" s="3">
        <v>26975</v>
      </c>
      <c r="N162" s="3" t="s">
        <v>5153</v>
      </c>
      <c r="R162" s="3">
        <v>9</v>
      </c>
      <c r="S162" s="3" t="s">
        <v>2612</v>
      </c>
      <c r="T162" s="3" t="s">
        <v>5127</v>
      </c>
      <c r="U162" s="3">
        <v>38</v>
      </c>
      <c r="V162" s="3">
        <v>588</v>
      </c>
      <c r="W162" s="3">
        <v>0</v>
      </c>
      <c r="X162" s="3">
        <v>1198</v>
      </c>
      <c r="Y162" s="3">
        <v>1152</v>
      </c>
      <c r="Z162" s="3">
        <v>0</v>
      </c>
      <c r="AA162" s="3">
        <v>46</v>
      </c>
      <c r="AB162" s="3">
        <v>86</v>
      </c>
      <c r="AC162" s="191">
        <v>0</v>
      </c>
      <c r="AF162" s="193">
        <v>3.472222222222222E-3</v>
      </c>
      <c r="AG162" s="193">
        <v>6.9444444444444441E-3</v>
      </c>
      <c r="AH162" s="193">
        <v>0.28402777777777777</v>
      </c>
    </row>
    <row r="163" spans="1:34" x14ac:dyDescent="0.25">
      <c r="A163" s="3" t="s">
        <v>328</v>
      </c>
      <c r="B163" s="3">
        <v>132984</v>
      </c>
      <c r="C163" s="3">
        <v>941707</v>
      </c>
      <c r="D163" s="3" t="s">
        <v>3526</v>
      </c>
      <c r="E163" s="3">
        <v>6</v>
      </c>
      <c r="F163" s="3">
        <v>4</v>
      </c>
      <c r="G163" s="3">
        <v>5</v>
      </c>
      <c r="H163" s="55" t="s">
        <v>289</v>
      </c>
      <c r="I163" s="3" t="s">
        <v>279</v>
      </c>
      <c r="J163" s="135">
        <v>46210</v>
      </c>
      <c r="K163" s="3" t="s">
        <v>5096</v>
      </c>
      <c r="L163" s="3">
        <v>1750</v>
      </c>
      <c r="M163" s="3">
        <v>26975</v>
      </c>
      <c r="N163" s="3" t="s">
        <v>5153</v>
      </c>
      <c r="R163" s="3">
        <v>9</v>
      </c>
      <c r="S163" s="3" t="s">
        <v>2612</v>
      </c>
      <c r="T163" s="3" t="s">
        <v>5127</v>
      </c>
      <c r="U163" s="3">
        <v>36</v>
      </c>
      <c r="V163" s="3">
        <v>588</v>
      </c>
      <c r="W163" s="3">
        <v>0</v>
      </c>
      <c r="X163" s="3">
        <v>930</v>
      </c>
      <c r="Y163" s="3">
        <v>846</v>
      </c>
      <c r="Z163" s="3">
        <v>0</v>
      </c>
      <c r="AA163" s="3">
        <v>84</v>
      </c>
      <c r="AB163" s="3">
        <v>170</v>
      </c>
      <c r="AC163" s="191">
        <v>0</v>
      </c>
      <c r="AF163" s="193">
        <v>6.2500000000000003E-3</v>
      </c>
      <c r="AG163" s="193">
        <v>1.3194444444444444E-2</v>
      </c>
      <c r="AH163" s="193">
        <v>0.2902777777777778</v>
      </c>
    </row>
    <row r="164" spans="1:34" x14ac:dyDescent="0.25">
      <c r="A164" s="3" t="s">
        <v>328</v>
      </c>
      <c r="B164" s="3">
        <v>132984</v>
      </c>
      <c r="C164" s="3">
        <v>941707</v>
      </c>
      <c r="D164" s="3" t="s">
        <v>3526</v>
      </c>
      <c r="E164" s="3">
        <v>6</v>
      </c>
      <c r="F164" s="3">
        <v>5</v>
      </c>
      <c r="G164" s="3">
        <v>8</v>
      </c>
      <c r="H164" s="55" t="s">
        <v>289</v>
      </c>
      <c r="I164" s="3" t="s">
        <v>279</v>
      </c>
      <c r="J164" s="135">
        <v>46210</v>
      </c>
      <c r="K164" s="3" t="s">
        <v>5096</v>
      </c>
      <c r="L164" s="3">
        <v>1750</v>
      </c>
      <c r="M164" s="3">
        <v>26975</v>
      </c>
      <c r="N164" s="3" t="s">
        <v>5153</v>
      </c>
      <c r="R164" s="3">
        <v>9</v>
      </c>
      <c r="S164" s="3" t="s">
        <v>2612</v>
      </c>
      <c r="T164" s="3" t="s">
        <v>5127</v>
      </c>
      <c r="U164" s="3" t="s">
        <v>280</v>
      </c>
      <c r="V164" s="3">
        <v>588</v>
      </c>
      <c r="W164" s="3">
        <v>0</v>
      </c>
      <c r="X164" s="3">
        <v>1054</v>
      </c>
      <c r="Y164" s="3">
        <v>984</v>
      </c>
      <c r="Z164" s="3">
        <v>0</v>
      </c>
      <c r="AA164" s="3">
        <v>70</v>
      </c>
      <c r="AB164" s="3">
        <v>240</v>
      </c>
      <c r="AC164" s="191">
        <v>0</v>
      </c>
      <c r="AF164" s="193">
        <v>4.8611111111111112E-3</v>
      </c>
      <c r="AG164" s="193">
        <v>1.8055555555555554E-2</v>
      </c>
      <c r="AH164" s="193">
        <v>0.2951388888888889</v>
      </c>
    </row>
    <row r="165" spans="1:34" x14ac:dyDescent="0.25">
      <c r="A165" s="3" t="s">
        <v>328</v>
      </c>
      <c r="B165" s="3">
        <v>135993</v>
      </c>
      <c r="C165" s="3">
        <v>942207</v>
      </c>
      <c r="D165" s="3" t="s">
        <v>3526</v>
      </c>
      <c r="E165" s="3">
        <v>7</v>
      </c>
      <c r="F165" s="3">
        <v>6</v>
      </c>
      <c r="G165" s="3">
        <v>11</v>
      </c>
      <c r="H165" s="55" t="s">
        <v>289</v>
      </c>
      <c r="I165" s="3" t="s">
        <v>279</v>
      </c>
      <c r="J165" s="135">
        <v>46210</v>
      </c>
      <c r="K165" s="135" t="s">
        <v>5291</v>
      </c>
      <c r="L165" s="3">
        <v>1750</v>
      </c>
      <c r="M165" s="3">
        <v>26481</v>
      </c>
      <c r="N165" s="3" t="s">
        <v>5151</v>
      </c>
      <c r="R165" s="3">
        <v>9</v>
      </c>
      <c r="S165" s="3">
        <v>25228</v>
      </c>
      <c r="T165" s="3" t="s">
        <v>5302</v>
      </c>
      <c r="U165" s="3" t="s">
        <v>280</v>
      </c>
      <c r="V165" s="3">
        <v>378</v>
      </c>
      <c r="W165" s="3">
        <v>0</v>
      </c>
      <c r="X165" s="3">
        <v>1586</v>
      </c>
      <c r="Y165" s="3">
        <v>1562</v>
      </c>
      <c r="Z165" s="3">
        <v>0</v>
      </c>
      <c r="AA165" s="3">
        <v>24</v>
      </c>
      <c r="AB165" s="3">
        <v>264</v>
      </c>
      <c r="AC165" s="191">
        <v>0</v>
      </c>
      <c r="AF165" s="193">
        <v>2.7777777777777779E-3</v>
      </c>
      <c r="AG165" s="193">
        <v>2.0833333333333332E-2</v>
      </c>
      <c r="AH165" s="193">
        <v>0.29791666666666666</v>
      </c>
    </row>
    <row r="166" spans="1:34" x14ac:dyDescent="0.25">
      <c r="A166" s="3" t="s">
        <v>328</v>
      </c>
      <c r="B166" s="3">
        <v>135993</v>
      </c>
      <c r="C166" s="3">
        <v>942207</v>
      </c>
      <c r="D166" s="3" t="s">
        <v>3526</v>
      </c>
      <c r="E166" s="3">
        <v>7</v>
      </c>
      <c r="F166" s="3">
        <v>7</v>
      </c>
      <c r="G166" s="3">
        <v>7</v>
      </c>
      <c r="H166" s="55" t="s">
        <v>289</v>
      </c>
      <c r="I166" s="3" t="s">
        <v>279</v>
      </c>
      <c r="J166" s="135">
        <v>46210</v>
      </c>
      <c r="K166" s="135"/>
      <c r="L166" s="3">
        <v>1750</v>
      </c>
      <c r="M166" s="3">
        <v>26481</v>
      </c>
      <c r="N166" s="3" t="s">
        <v>5151</v>
      </c>
      <c r="R166" s="3">
        <v>9</v>
      </c>
      <c r="S166" s="3">
        <v>25228</v>
      </c>
      <c r="T166" s="3" t="s">
        <v>5302</v>
      </c>
      <c r="U166" s="3" t="s">
        <v>298</v>
      </c>
      <c r="V166" s="3">
        <v>378</v>
      </c>
      <c r="W166" s="3">
        <v>0</v>
      </c>
      <c r="X166" s="3">
        <v>256</v>
      </c>
      <c r="Y166" s="3">
        <v>0</v>
      </c>
      <c r="Z166" s="3">
        <v>0</v>
      </c>
      <c r="AA166" s="3">
        <v>256</v>
      </c>
      <c r="AB166" s="3">
        <v>520</v>
      </c>
      <c r="AC166" s="191">
        <v>0</v>
      </c>
      <c r="AF166" s="193">
        <v>2.8472222222222222E-2</v>
      </c>
      <c r="AG166" s="193">
        <v>4.8611111111111112E-2</v>
      </c>
      <c r="AH166" s="193">
        <v>0.3263888888888889</v>
      </c>
    </row>
    <row r="167" spans="1:34" x14ac:dyDescent="0.25">
      <c r="A167" s="3" t="s">
        <v>328</v>
      </c>
      <c r="B167" s="3">
        <v>135993</v>
      </c>
      <c r="C167" s="3">
        <v>942207</v>
      </c>
      <c r="D167" s="3" t="s">
        <v>3526</v>
      </c>
      <c r="E167" s="3">
        <v>7</v>
      </c>
      <c r="F167" s="3">
        <v>8</v>
      </c>
      <c r="G167" s="3">
        <v>9</v>
      </c>
      <c r="H167" s="55" t="s">
        <v>289</v>
      </c>
      <c r="I167" s="3" t="s">
        <v>279</v>
      </c>
      <c r="J167" s="135">
        <v>46210</v>
      </c>
      <c r="K167" s="135" t="s">
        <v>5291</v>
      </c>
      <c r="L167" s="3">
        <v>1750</v>
      </c>
      <c r="M167" s="3">
        <v>26481</v>
      </c>
      <c r="N167" s="3" t="s">
        <v>5151</v>
      </c>
      <c r="R167" s="3">
        <v>9</v>
      </c>
      <c r="S167" s="3">
        <v>25228</v>
      </c>
      <c r="T167" s="3" t="s">
        <v>5302</v>
      </c>
      <c r="U167" s="3">
        <v>36</v>
      </c>
      <c r="V167" s="3">
        <v>378</v>
      </c>
      <c r="W167" s="3">
        <v>0</v>
      </c>
      <c r="X167" s="3">
        <v>1964</v>
      </c>
      <c r="Y167" s="3">
        <v>1846</v>
      </c>
      <c r="Z167" s="3">
        <v>0</v>
      </c>
      <c r="AA167" s="3">
        <v>118</v>
      </c>
      <c r="AB167" s="3">
        <v>638</v>
      </c>
      <c r="AC167" s="191">
        <v>0</v>
      </c>
      <c r="AF167" s="193">
        <v>1.3194444444444444E-2</v>
      </c>
      <c r="AG167" s="193">
        <v>6.1805555555555558E-2</v>
      </c>
      <c r="AH167" s="193">
        <v>0.33958333333333335</v>
      </c>
    </row>
    <row r="168" spans="1:34" x14ac:dyDescent="0.25">
      <c r="A168" s="3" t="s">
        <v>328</v>
      </c>
      <c r="B168" s="3">
        <v>135993</v>
      </c>
      <c r="C168" s="3">
        <v>942207</v>
      </c>
      <c r="D168" s="3" t="s">
        <v>3526</v>
      </c>
      <c r="E168" s="3">
        <v>7</v>
      </c>
      <c r="F168" s="3">
        <v>9</v>
      </c>
      <c r="G168" s="3">
        <v>10</v>
      </c>
      <c r="H168" s="55" t="s">
        <v>289</v>
      </c>
      <c r="I168" s="3" t="s">
        <v>279</v>
      </c>
      <c r="J168" s="135">
        <v>46210</v>
      </c>
      <c r="K168" s="135" t="s">
        <v>5291</v>
      </c>
      <c r="L168" s="3">
        <v>1750</v>
      </c>
      <c r="M168" s="3">
        <v>26481</v>
      </c>
      <c r="N168" s="3" t="s">
        <v>5151</v>
      </c>
      <c r="R168" s="3">
        <v>9</v>
      </c>
      <c r="S168" s="3">
        <v>25228</v>
      </c>
      <c r="T168" s="3" t="s">
        <v>5302</v>
      </c>
      <c r="U168" s="3" t="s">
        <v>284</v>
      </c>
      <c r="V168" s="3">
        <v>378</v>
      </c>
      <c r="W168" s="3">
        <v>0</v>
      </c>
      <c r="X168" s="3">
        <v>3236</v>
      </c>
      <c r="Y168" s="3">
        <v>806</v>
      </c>
      <c r="Z168" s="3">
        <v>0</v>
      </c>
      <c r="AA168" s="3">
        <v>2430</v>
      </c>
      <c r="AB168" s="3">
        <v>3068</v>
      </c>
      <c r="AC168" s="191">
        <v>5.8333333333333334E-2</v>
      </c>
      <c r="AD168" s="3" t="s">
        <v>285</v>
      </c>
      <c r="AE168" s="3" t="s">
        <v>286</v>
      </c>
      <c r="AF168" s="193">
        <v>0.26805555555555555</v>
      </c>
      <c r="AG168" s="193">
        <v>0.3298611111111111</v>
      </c>
      <c r="AH168" s="193">
        <v>0.67291666666666672</v>
      </c>
    </row>
    <row r="169" spans="1:34" x14ac:dyDescent="0.25">
      <c r="A169" s="3" t="s">
        <v>328</v>
      </c>
      <c r="B169" s="3">
        <v>135994</v>
      </c>
      <c r="C169" s="3">
        <v>942207</v>
      </c>
      <c r="D169" s="3" t="s">
        <v>3526</v>
      </c>
      <c r="E169" s="3">
        <v>7</v>
      </c>
      <c r="F169" s="3">
        <v>10</v>
      </c>
      <c r="G169" s="3">
        <v>10</v>
      </c>
      <c r="H169" s="55" t="s">
        <v>289</v>
      </c>
      <c r="I169" s="3" t="s">
        <v>279</v>
      </c>
      <c r="J169" s="135">
        <v>46210</v>
      </c>
      <c r="L169" s="3">
        <v>1750</v>
      </c>
      <c r="M169" s="3">
        <v>26481</v>
      </c>
      <c r="N169" s="3" t="s">
        <v>5151</v>
      </c>
      <c r="R169" s="3">
        <v>9</v>
      </c>
      <c r="S169" s="3">
        <v>25229</v>
      </c>
      <c r="T169" s="3" t="s">
        <v>5378</v>
      </c>
      <c r="U169" s="3" t="s">
        <v>284</v>
      </c>
      <c r="V169" s="3">
        <v>378</v>
      </c>
      <c r="W169" s="3">
        <v>0</v>
      </c>
      <c r="X169" s="3">
        <v>1682</v>
      </c>
      <c r="Y169" s="3">
        <v>0</v>
      </c>
      <c r="Z169" s="3">
        <v>0</v>
      </c>
      <c r="AA169" s="3">
        <v>1682</v>
      </c>
      <c r="AB169" s="3">
        <v>4750</v>
      </c>
      <c r="AC169" s="191">
        <v>0.05</v>
      </c>
      <c r="AD169" s="3" t="s">
        <v>285</v>
      </c>
      <c r="AE169" s="3" t="s">
        <v>286</v>
      </c>
      <c r="AF169" s="193">
        <v>0.18541666666666667</v>
      </c>
      <c r="AG169" s="193">
        <v>0.51527777777777772</v>
      </c>
      <c r="AH169" s="193">
        <v>0.90833333333333333</v>
      </c>
    </row>
    <row r="170" spans="1:34" x14ac:dyDescent="0.25">
      <c r="A170" s="3" t="s">
        <v>328</v>
      </c>
      <c r="B170" s="3">
        <v>135994</v>
      </c>
      <c r="C170" s="3">
        <v>942207</v>
      </c>
      <c r="D170" s="3" t="s">
        <v>3526</v>
      </c>
      <c r="E170" s="3">
        <v>7</v>
      </c>
      <c r="F170" s="3">
        <v>11</v>
      </c>
      <c r="G170" s="3">
        <v>7</v>
      </c>
      <c r="H170" s="55" t="s">
        <v>289</v>
      </c>
      <c r="I170" s="3" t="s">
        <v>279</v>
      </c>
      <c r="J170" s="135">
        <v>46210</v>
      </c>
      <c r="L170" s="3">
        <v>1750</v>
      </c>
      <c r="M170" s="3">
        <v>26481</v>
      </c>
      <c r="N170" s="3" t="s">
        <v>5151</v>
      </c>
      <c r="R170" s="3">
        <v>9</v>
      </c>
      <c r="S170" s="3">
        <v>25229</v>
      </c>
      <c r="T170" s="3" t="s">
        <v>5378</v>
      </c>
      <c r="U170" s="3" t="s">
        <v>298</v>
      </c>
      <c r="V170" s="3">
        <v>378</v>
      </c>
      <c r="W170" s="3">
        <v>0</v>
      </c>
      <c r="X170" s="3">
        <v>76</v>
      </c>
      <c r="Y170" s="3">
        <v>0</v>
      </c>
      <c r="Z170" s="3">
        <v>0</v>
      </c>
      <c r="AA170" s="3">
        <v>76</v>
      </c>
      <c r="AB170" s="3">
        <v>4826</v>
      </c>
      <c r="AC170" s="191">
        <v>0</v>
      </c>
      <c r="AF170" s="193">
        <v>8.3333333333333332E-3</v>
      </c>
      <c r="AG170" s="193">
        <v>0.52361111111111114</v>
      </c>
      <c r="AH170" s="193">
        <v>0.91666666666666663</v>
      </c>
    </row>
    <row r="171" spans="1:34" x14ac:dyDescent="0.25">
      <c r="A171" s="3" t="s">
        <v>328</v>
      </c>
      <c r="B171" s="3">
        <v>135994</v>
      </c>
      <c r="C171" s="3">
        <v>942207</v>
      </c>
      <c r="D171" s="3" t="s">
        <v>3526</v>
      </c>
      <c r="E171" s="3">
        <v>7</v>
      </c>
      <c r="F171" s="3">
        <v>12</v>
      </c>
      <c r="G171" s="3">
        <v>8</v>
      </c>
      <c r="H171" s="55" t="s">
        <v>289</v>
      </c>
      <c r="I171" s="3" t="s">
        <v>279</v>
      </c>
      <c r="J171" s="135">
        <v>46210</v>
      </c>
      <c r="L171" s="3">
        <v>1750</v>
      </c>
      <c r="M171" s="3">
        <v>26481</v>
      </c>
      <c r="N171" s="3" t="s">
        <v>5151</v>
      </c>
      <c r="R171" s="3">
        <v>9</v>
      </c>
      <c r="S171" s="3">
        <v>25229</v>
      </c>
      <c r="T171" s="3" t="s">
        <v>5378</v>
      </c>
      <c r="U171" s="3">
        <v>35</v>
      </c>
      <c r="V171" s="3">
        <v>378</v>
      </c>
      <c r="W171" s="3">
        <v>0</v>
      </c>
      <c r="X171" s="3">
        <v>350</v>
      </c>
      <c r="Y171" s="3">
        <v>0</v>
      </c>
      <c r="Z171" s="3">
        <v>0</v>
      </c>
      <c r="AA171" s="3">
        <v>350</v>
      </c>
      <c r="AB171" s="3">
        <v>5176</v>
      </c>
      <c r="AC171" s="191">
        <v>0</v>
      </c>
      <c r="AF171" s="193">
        <v>3.888888888888889E-2</v>
      </c>
      <c r="AG171" s="193">
        <v>0.56180555555555556</v>
      </c>
      <c r="AH171" s="193">
        <v>0.9555555555555556</v>
      </c>
    </row>
    <row r="172" spans="1:34" x14ac:dyDescent="0.25">
      <c r="A172" s="3" t="s">
        <v>331</v>
      </c>
      <c r="B172" s="3">
        <v>137496</v>
      </c>
      <c r="C172" s="3" t="s">
        <v>5105</v>
      </c>
      <c r="D172" s="3" t="s">
        <v>3526</v>
      </c>
      <c r="E172" s="3">
        <v>7</v>
      </c>
      <c r="F172" s="3">
        <v>1</v>
      </c>
      <c r="G172" s="3">
        <v>9</v>
      </c>
      <c r="H172" s="55" t="s">
        <v>5095</v>
      </c>
      <c r="I172" s="3" t="s">
        <v>279</v>
      </c>
      <c r="J172" s="135">
        <v>46241</v>
      </c>
      <c r="K172" s="3" t="s">
        <v>5096</v>
      </c>
      <c r="L172" s="3">
        <v>1795</v>
      </c>
      <c r="M172" s="3">
        <v>12655</v>
      </c>
      <c r="N172" s="3" t="s">
        <v>5145</v>
      </c>
      <c r="R172" s="3">
        <v>5</v>
      </c>
      <c r="S172" s="3" t="s">
        <v>5146</v>
      </c>
      <c r="T172" s="3" t="s">
        <v>5107</v>
      </c>
      <c r="U172" s="3" t="s">
        <v>5109</v>
      </c>
      <c r="V172" s="3">
        <v>662</v>
      </c>
      <c r="W172" s="3">
        <v>0</v>
      </c>
      <c r="X172" s="3">
        <v>6816</v>
      </c>
      <c r="Y172" s="3">
        <v>6804</v>
      </c>
      <c r="Z172" s="3">
        <v>0</v>
      </c>
      <c r="AA172" s="3">
        <v>12</v>
      </c>
      <c r="AB172" s="3">
        <v>12</v>
      </c>
      <c r="AC172" s="191">
        <v>0</v>
      </c>
      <c r="AF172" s="193">
        <v>6.9444444444444447E-4</v>
      </c>
      <c r="AG172" s="193">
        <v>6.9444444444444447E-4</v>
      </c>
      <c r="AH172" s="193">
        <v>0.27777777777777779</v>
      </c>
    </row>
    <row r="173" spans="1:34" x14ac:dyDescent="0.25">
      <c r="A173" s="3" t="s">
        <v>331</v>
      </c>
      <c r="B173" s="3">
        <v>137496</v>
      </c>
      <c r="C173" s="3" t="s">
        <v>5105</v>
      </c>
      <c r="D173" s="3" t="s">
        <v>3526</v>
      </c>
      <c r="E173" s="3">
        <v>7</v>
      </c>
      <c r="F173" s="3">
        <v>2</v>
      </c>
      <c r="G173" s="3">
        <v>8</v>
      </c>
      <c r="H173" s="55" t="s">
        <v>5095</v>
      </c>
      <c r="I173" s="3" t="s">
        <v>279</v>
      </c>
      <c r="J173" s="135">
        <v>46241</v>
      </c>
      <c r="K173" s="3" t="s">
        <v>5291</v>
      </c>
      <c r="L173" s="3">
        <v>1795</v>
      </c>
      <c r="M173" s="3">
        <v>12655</v>
      </c>
      <c r="N173" s="3" t="s">
        <v>5145</v>
      </c>
      <c r="R173" s="3">
        <v>5</v>
      </c>
      <c r="S173" s="3" t="s">
        <v>5146</v>
      </c>
      <c r="T173" s="3" t="s">
        <v>5107</v>
      </c>
      <c r="U173" s="3" t="s">
        <v>280</v>
      </c>
      <c r="V173" s="3">
        <v>662</v>
      </c>
      <c r="W173" s="3">
        <v>0</v>
      </c>
      <c r="X173" s="3">
        <v>6816</v>
      </c>
      <c r="Y173" s="3">
        <v>6012</v>
      </c>
      <c r="Z173" s="3">
        <v>0</v>
      </c>
      <c r="AA173" s="3">
        <v>804</v>
      </c>
      <c r="AB173" s="3">
        <v>816</v>
      </c>
      <c r="AC173" s="191">
        <v>0</v>
      </c>
      <c r="AF173" s="193">
        <v>5.0694444444444445E-2</v>
      </c>
      <c r="AG173" s="193">
        <v>5.1388888888888887E-2</v>
      </c>
      <c r="AH173" s="193">
        <v>0.32847222222222222</v>
      </c>
    </row>
    <row r="174" spans="1:34" x14ac:dyDescent="0.25">
      <c r="A174" s="3" t="s">
        <v>333</v>
      </c>
      <c r="B174" s="3">
        <v>129382</v>
      </c>
      <c r="C174" s="3">
        <v>941407</v>
      </c>
      <c r="D174" s="3" t="s">
        <v>3526</v>
      </c>
      <c r="E174" s="3">
        <v>5</v>
      </c>
      <c r="F174" s="3">
        <v>1</v>
      </c>
      <c r="G174" s="3">
        <v>10</v>
      </c>
      <c r="H174" s="55" t="s">
        <v>289</v>
      </c>
      <c r="I174" s="3" t="s">
        <v>279</v>
      </c>
      <c r="J174" s="135">
        <v>46088</v>
      </c>
      <c r="K174" s="135">
        <v>46302</v>
      </c>
      <c r="L174" s="3">
        <v>1751</v>
      </c>
      <c r="M174" s="3">
        <v>27307</v>
      </c>
      <c r="N174" s="3" t="s">
        <v>5155</v>
      </c>
      <c r="R174" s="3">
        <v>9</v>
      </c>
      <c r="S174" s="3" t="s">
        <v>4859</v>
      </c>
      <c r="T174" s="3" t="s">
        <v>5137</v>
      </c>
      <c r="U174" s="3" t="s">
        <v>5156</v>
      </c>
      <c r="V174" s="3">
        <v>399</v>
      </c>
      <c r="W174" s="3">
        <v>0</v>
      </c>
      <c r="X174" s="3">
        <v>848</v>
      </c>
      <c r="Y174" s="3">
        <v>810</v>
      </c>
      <c r="Z174" s="3">
        <v>0</v>
      </c>
      <c r="AA174" s="3">
        <v>38</v>
      </c>
      <c r="AB174" s="3">
        <v>38</v>
      </c>
      <c r="AC174" s="191">
        <v>0</v>
      </c>
      <c r="AF174" s="193">
        <v>4.1666666666666666E-3</v>
      </c>
      <c r="AG174" s="193">
        <v>4.1666666666666666E-3</v>
      </c>
      <c r="AH174" s="193">
        <v>0.28125</v>
      </c>
    </row>
    <row r="175" spans="1:34" x14ac:dyDescent="0.25">
      <c r="A175" s="3" t="s">
        <v>333</v>
      </c>
      <c r="B175" s="3">
        <v>132963</v>
      </c>
      <c r="C175" s="3">
        <v>941707</v>
      </c>
      <c r="D175" s="3" t="s">
        <v>3526</v>
      </c>
      <c r="E175" s="3">
        <v>6</v>
      </c>
      <c r="F175" s="3">
        <v>2</v>
      </c>
      <c r="G175" s="3">
        <v>12</v>
      </c>
      <c r="H175" s="55" t="s">
        <v>5157</v>
      </c>
      <c r="I175" s="3" t="s">
        <v>279</v>
      </c>
      <c r="J175" s="135">
        <v>46180</v>
      </c>
      <c r="K175" s="3" t="s">
        <v>5291</v>
      </c>
      <c r="L175" s="3">
        <v>1751</v>
      </c>
      <c r="M175" s="3">
        <v>26048</v>
      </c>
      <c r="N175" s="3" t="s">
        <v>5158</v>
      </c>
      <c r="R175" s="3">
        <v>6</v>
      </c>
      <c r="S175" s="3" t="s">
        <v>5159</v>
      </c>
      <c r="T175" s="3" t="s">
        <v>5160</v>
      </c>
      <c r="U175" s="3" t="s">
        <v>304</v>
      </c>
      <c r="V175" s="3">
        <v>450</v>
      </c>
      <c r="W175" s="3">
        <v>0</v>
      </c>
      <c r="X175" s="3">
        <v>486</v>
      </c>
      <c r="Y175" s="3">
        <v>364</v>
      </c>
      <c r="Z175" s="3">
        <v>0</v>
      </c>
      <c r="AA175" s="3">
        <v>122</v>
      </c>
      <c r="AB175" s="3">
        <v>160</v>
      </c>
      <c r="AC175" s="191">
        <v>0</v>
      </c>
      <c r="AF175" s="193">
        <v>1.1111111111111112E-2</v>
      </c>
      <c r="AG175" s="193">
        <v>1.5277777777777777E-2</v>
      </c>
      <c r="AH175" s="193">
        <v>0.29236111111111113</v>
      </c>
    </row>
    <row r="176" spans="1:34" x14ac:dyDescent="0.25">
      <c r="A176" s="3" t="s">
        <v>333</v>
      </c>
      <c r="B176" s="3">
        <v>133039</v>
      </c>
      <c r="C176" s="3">
        <v>941707</v>
      </c>
      <c r="D176" s="3" t="s">
        <v>3526</v>
      </c>
      <c r="E176" s="3">
        <v>6</v>
      </c>
      <c r="F176" s="3">
        <v>3</v>
      </c>
      <c r="G176" s="3">
        <v>12</v>
      </c>
      <c r="H176" s="55" t="s">
        <v>289</v>
      </c>
      <c r="I176" s="3" t="s">
        <v>279</v>
      </c>
      <c r="J176" s="135">
        <v>46180</v>
      </c>
      <c r="K176" s="3" t="s">
        <v>5291</v>
      </c>
      <c r="L176" s="3">
        <v>1751</v>
      </c>
      <c r="M176" s="3">
        <v>27318</v>
      </c>
      <c r="N176" s="3" t="s">
        <v>5164</v>
      </c>
      <c r="R176" s="3">
        <v>7</v>
      </c>
      <c r="S176" s="3" t="s">
        <v>5303</v>
      </c>
      <c r="T176" s="3" t="s">
        <v>5107</v>
      </c>
      <c r="U176" s="3" t="s">
        <v>304</v>
      </c>
      <c r="V176" s="3">
        <v>459</v>
      </c>
      <c r="W176" s="3">
        <v>0</v>
      </c>
      <c r="X176" s="3">
        <v>482</v>
      </c>
      <c r="Y176" s="3">
        <v>330</v>
      </c>
      <c r="Z176" s="3">
        <v>0</v>
      </c>
      <c r="AA176" s="3">
        <v>152</v>
      </c>
      <c r="AB176" s="3">
        <v>312</v>
      </c>
      <c r="AC176" s="191">
        <v>0</v>
      </c>
      <c r="AF176" s="193">
        <v>1.3888888888888888E-2</v>
      </c>
      <c r="AG176" s="193">
        <v>2.9166666666666667E-2</v>
      </c>
      <c r="AH176" s="193">
        <v>0.30625000000000002</v>
      </c>
    </row>
    <row r="177" spans="1:34" x14ac:dyDescent="0.25">
      <c r="A177" s="3" t="s">
        <v>333</v>
      </c>
      <c r="B177" s="3">
        <v>132557</v>
      </c>
      <c r="C177" s="3">
        <v>941707</v>
      </c>
      <c r="D177" s="3" t="s">
        <v>3526</v>
      </c>
      <c r="E177" s="3">
        <v>6</v>
      </c>
      <c r="F177" s="3">
        <v>4</v>
      </c>
      <c r="G177" s="3">
        <v>6</v>
      </c>
      <c r="H177" s="55" t="s">
        <v>289</v>
      </c>
      <c r="I177" s="3" t="s">
        <v>279</v>
      </c>
      <c r="J177" s="135">
        <v>46180</v>
      </c>
      <c r="L177" s="3">
        <v>1751</v>
      </c>
      <c r="M177" s="3">
        <v>12743</v>
      </c>
      <c r="N177" s="3" t="s">
        <v>5304</v>
      </c>
      <c r="R177" s="3">
        <v>6</v>
      </c>
      <c r="S177" s="3" t="s">
        <v>5379</v>
      </c>
      <c r="T177" s="3" t="s">
        <v>5380</v>
      </c>
      <c r="U177" s="3" t="s">
        <v>284</v>
      </c>
      <c r="V177" s="3">
        <v>318</v>
      </c>
      <c r="W177" s="3">
        <v>0</v>
      </c>
      <c r="X177" s="3">
        <v>480</v>
      </c>
      <c r="Y177" s="3">
        <v>0</v>
      </c>
      <c r="Z177" s="3">
        <v>0</v>
      </c>
      <c r="AA177" s="3">
        <v>480</v>
      </c>
      <c r="AB177" s="3">
        <v>792</v>
      </c>
      <c r="AC177" s="191">
        <v>8.3333333333333332E-3</v>
      </c>
      <c r="AD177" s="3" t="s">
        <v>292</v>
      </c>
      <c r="AF177" s="193">
        <v>6.3194444444444442E-2</v>
      </c>
      <c r="AG177" s="193">
        <v>9.166666666666666E-2</v>
      </c>
      <c r="AH177" s="193">
        <v>0.37777777777777777</v>
      </c>
    </row>
    <row r="178" spans="1:34" x14ac:dyDescent="0.25">
      <c r="A178" s="3" t="s">
        <v>333</v>
      </c>
      <c r="B178" s="3">
        <v>132557</v>
      </c>
      <c r="C178" s="3">
        <v>941707</v>
      </c>
      <c r="D178" s="3" t="s">
        <v>3526</v>
      </c>
      <c r="E178" s="3">
        <v>6</v>
      </c>
      <c r="F178" s="3">
        <v>5</v>
      </c>
      <c r="G178" s="3">
        <v>9</v>
      </c>
      <c r="H178" s="55" t="s">
        <v>289</v>
      </c>
      <c r="I178" s="3" t="s">
        <v>279</v>
      </c>
      <c r="J178" s="135">
        <v>46180</v>
      </c>
      <c r="L178" s="3">
        <v>1751</v>
      </c>
      <c r="M178" s="3">
        <v>12743</v>
      </c>
      <c r="N178" s="3" t="s">
        <v>5304</v>
      </c>
      <c r="R178" s="3">
        <v>6</v>
      </c>
      <c r="S178" s="3" t="s">
        <v>5379</v>
      </c>
      <c r="T178" s="3" t="s">
        <v>5380</v>
      </c>
      <c r="U178" s="3" t="s">
        <v>281</v>
      </c>
      <c r="V178" s="3">
        <v>318</v>
      </c>
      <c r="W178" s="3">
        <v>0</v>
      </c>
      <c r="X178" s="3">
        <v>952</v>
      </c>
      <c r="Y178" s="3">
        <v>0</v>
      </c>
      <c r="Z178" s="3">
        <v>0</v>
      </c>
      <c r="AA178" s="3">
        <v>952</v>
      </c>
      <c r="AB178" s="3">
        <v>1744</v>
      </c>
      <c r="AC178" s="191">
        <v>4.1666666666666664E-2</v>
      </c>
      <c r="AD178" s="3" t="s">
        <v>294</v>
      </c>
      <c r="AE178" s="3" t="s">
        <v>295</v>
      </c>
      <c r="AF178" s="193">
        <v>0.125</v>
      </c>
      <c r="AG178" s="193">
        <v>0.21666666666666667</v>
      </c>
      <c r="AH178" s="193">
        <v>0.5444444444444444</v>
      </c>
    </row>
    <row r="179" spans="1:34" x14ac:dyDescent="0.25">
      <c r="A179" s="3" t="s">
        <v>333</v>
      </c>
      <c r="B179" s="3">
        <v>132557</v>
      </c>
      <c r="C179" s="3">
        <v>941707</v>
      </c>
      <c r="D179" s="3" t="s">
        <v>3526</v>
      </c>
      <c r="E179" s="3">
        <v>6</v>
      </c>
      <c r="F179" s="3">
        <v>6</v>
      </c>
      <c r="G179" s="3">
        <v>7</v>
      </c>
      <c r="H179" s="55" t="s">
        <v>289</v>
      </c>
      <c r="I179" s="3" t="s">
        <v>279</v>
      </c>
      <c r="J179" s="135">
        <v>46180</v>
      </c>
      <c r="K179" s="3" t="s">
        <v>5291</v>
      </c>
      <c r="L179" s="3">
        <v>1751</v>
      </c>
      <c r="M179" s="3">
        <v>12743</v>
      </c>
      <c r="N179" s="3" t="s">
        <v>5304</v>
      </c>
      <c r="R179" s="3">
        <v>6</v>
      </c>
      <c r="S179" s="3" t="s">
        <v>5379</v>
      </c>
      <c r="T179" s="3" t="s">
        <v>5380</v>
      </c>
      <c r="U179" s="3" t="s">
        <v>280</v>
      </c>
      <c r="V179" s="3">
        <v>318</v>
      </c>
      <c r="W179" s="3">
        <v>0</v>
      </c>
      <c r="X179" s="3">
        <v>1538</v>
      </c>
      <c r="Y179" s="3">
        <v>558</v>
      </c>
      <c r="Z179" s="3">
        <v>0</v>
      </c>
      <c r="AA179" s="3">
        <v>980</v>
      </c>
      <c r="AB179" s="3">
        <v>2724</v>
      </c>
      <c r="AC179" s="191">
        <v>8.3333333333333332E-3</v>
      </c>
      <c r="AD179" s="3" t="s">
        <v>404</v>
      </c>
      <c r="AF179" s="193">
        <v>0.12847222222222221</v>
      </c>
      <c r="AG179" s="193">
        <v>0.34513888888888888</v>
      </c>
      <c r="AH179" s="193">
        <v>0.68819444444444444</v>
      </c>
    </row>
    <row r="180" spans="1:34" x14ac:dyDescent="0.25">
      <c r="A180" s="3" t="s">
        <v>333</v>
      </c>
      <c r="B180" s="3">
        <v>132557</v>
      </c>
      <c r="C180" s="3">
        <v>941707</v>
      </c>
      <c r="D180" s="3" t="s">
        <v>3526</v>
      </c>
      <c r="E180" s="3">
        <v>6</v>
      </c>
      <c r="F180" s="3">
        <v>7</v>
      </c>
      <c r="G180" s="3">
        <v>8</v>
      </c>
      <c r="H180" s="55" t="s">
        <v>289</v>
      </c>
      <c r="I180" s="3" t="s">
        <v>279</v>
      </c>
      <c r="J180" s="135">
        <v>46180</v>
      </c>
      <c r="L180" s="3">
        <v>1751</v>
      </c>
      <c r="M180" s="3">
        <v>12743</v>
      </c>
      <c r="N180" s="3" t="s">
        <v>5304</v>
      </c>
      <c r="R180" s="3">
        <v>6</v>
      </c>
      <c r="S180" s="3" t="s">
        <v>5379</v>
      </c>
      <c r="T180" s="3" t="s">
        <v>5380</v>
      </c>
      <c r="U180" s="3" t="s">
        <v>5109</v>
      </c>
      <c r="V180" s="3">
        <v>318</v>
      </c>
      <c r="W180" s="3">
        <v>0</v>
      </c>
      <c r="X180" s="3">
        <v>200</v>
      </c>
      <c r="Y180" s="3">
        <v>0</v>
      </c>
      <c r="Z180" s="3">
        <v>0</v>
      </c>
      <c r="AA180" s="3">
        <v>200</v>
      </c>
      <c r="AB180" s="3">
        <v>2924</v>
      </c>
      <c r="AC180" s="191">
        <v>0</v>
      </c>
      <c r="AF180" s="193">
        <v>2.6388888888888889E-2</v>
      </c>
      <c r="AG180" s="193">
        <v>0.37152777777777779</v>
      </c>
      <c r="AH180" s="193">
        <v>0.71458333333333335</v>
      </c>
    </row>
    <row r="181" spans="1:34" x14ac:dyDescent="0.25">
      <c r="A181" s="3" t="s">
        <v>5385</v>
      </c>
      <c r="B181" s="3">
        <v>147685</v>
      </c>
      <c r="C181" s="3">
        <v>943007</v>
      </c>
      <c r="D181" s="3" t="s">
        <v>5288</v>
      </c>
      <c r="E181" s="3">
        <v>1</v>
      </c>
      <c r="F181" s="3">
        <v>1</v>
      </c>
      <c r="G181" s="3">
        <v>7</v>
      </c>
      <c r="H181" s="55" t="s">
        <v>5099</v>
      </c>
      <c r="I181" s="3" t="s">
        <v>5358</v>
      </c>
      <c r="J181" s="3" t="s">
        <v>5096</v>
      </c>
      <c r="L181" s="3">
        <v>1795</v>
      </c>
      <c r="M181" s="3">
        <v>6466</v>
      </c>
      <c r="N181" s="3" t="s">
        <v>5115</v>
      </c>
      <c r="R181" s="3">
        <v>5</v>
      </c>
      <c r="S181" s="3" t="s">
        <v>5116</v>
      </c>
      <c r="T181" s="3" t="s">
        <v>5117</v>
      </c>
      <c r="U181" s="3" t="s">
        <v>298</v>
      </c>
      <c r="V181" s="3">
        <v>600</v>
      </c>
      <c r="W181" s="3">
        <v>0</v>
      </c>
      <c r="X181" s="3">
        <v>326</v>
      </c>
      <c r="Y181" s="3">
        <v>0</v>
      </c>
      <c r="Z181" s="3">
        <v>0</v>
      </c>
      <c r="AA181" s="3">
        <v>326</v>
      </c>
      <c r="AB181" s="3">
        <v>326</v>
      </c>
      <c r="AC181" s="192">
        <v>0</v>
      </c>
      <c r="AF181" s="193">
        <v>2.2916666666666665E-2</v>
      </c>
      <c r="AG181" s="193">
        <v>2.2916666666666665E-2</v>
      </c>
      <c r="AH181" s="193">
        <v>0.3</v>
      </c>
    </row>
    <row r="182" spans="1:34" x14ac:dyDescent="0.25">
      <c r="A182" s="3" t="s">
        <v>5385</v>
      </c>
      <c r="B182" s="3">
        <v>147685</v>
      </c>
      <c r="C182" s="3">
        <v>943007</v>
      </c>
      <c r="D182" s="3" t="s">
        <v>5288</v>
      </c>
      <c r="E182" s="3">
        <v>1</v>
      </c>
      <c r="F182" s="3">
        <v>2</v>
      </c>
      <c r="G182" s="3">
        <v>8</v>
      </c>
      <c r="H182" s="55" t="s">
        <v>5099</v>
      </c>
      <c r="I182" s="3" t="s">
        <v>5358</v>
      </c>
      <c r="J182" s="3" t="s">
        <v>5096</v>
      </c>
      <c r="L182" s="3">
        <v>1795</v>
      </c>
      <c r="M182" s="3">
        <v>6466</v>
      </c>
      <c r="N182" s="3" t="s">
        <v>5115</v>
      </c>
      <c r="R182" s="3">
        <v>5</v>
      </c>
      <c r="S182" s="3" t="s">
        <v>5116</v>
      </c>
      <c r="T182" s="3" t="s">
        <v>5117</v>
      </c>
      <c r="U182" s="3">
        <v>35</v>
      </c>
      <c r="V182" s="3">
        <v>600</v>
      </c>
      <c r="W182" s="3">
        <v>0</v>
      </c>
      <c r="X182" s="3">
        <v>1156</v>
      </c>
      <c r="Y182" s="3">
        <v>0</v>
      </c>
      <c r="Z182" s="3">
        <v>0</v>
      </c>
      <c r="AA182" s="3">
        <v>1156</v>
      </c>
      <c r="AB182" s="3">
        <v>1482</v>
      </c>
      <c r="AC182" s="192">
        <v>8.3333333333333332E-3</v>
      </c>
      <c r="AD182" s="3" t="s">
        <v>292</v>
      </c>
      <c r="AF182" s="193">
        <v>8.0555555555555561E-2</v>
      </c>
      <c r="AG182" s="193">
        <v>0.10277777777777777</v>
      </c>
      <c r="AH182" s="193">
        <v>0.3888888888888889</v>
      </c>
    </row>
    <row r="183" spans="1:34" x14ac:dyDescent="0.25">
      <c r="A183" s="3" t="s">
        <v>5385</v>
      </c>
      <c r="B183" s="3">
        <v>147685</v>
      </c>
      <c r="C183" s="3">
        <v>943007</v>
      </c>
      <c r="D183" s="3" t="s">
        <v>5288</v>
      </c>
      <c r="E183" s="3">
        <v>1</v>
      </c>
      <c r="F183" s="3">
        <v>3</v>
      </c>
      <c r="G183" s="3">
        <v>9</v>
      </c>
      <c r="H183" s="55" t="s">
        <v>5099</v>
      </c>
      <c r="I183" s="3" t="s">
        <v>5358</v>
      </c>
      <c r="J183" s="3" t="s">
        <v>5096</v>
      </c>
      <c r="L183" s="3">
        <v>1795</v>
      </c>
      <c r="M183" s="3">
        <v>6466</v>
      </c>
      <c r="N183" s="3" t="s">
        <v>5115</v>
      </c>
      <c r="R183" s="3">
        <v>5</v>
      </c>
      <c r="S183" s="3" t="s">
        <v>5116</v>
      </c>
      <c r="T183" s="3" t="s">
        <v>5117</v>
      </c>
      <c r="U183" s="3">
        <v>36</v>
      </c>
      <c r="V183" s="3">
        <v>600</v>
      </c>
      <c r="W183" s="3">
        <v>0</v>
      </c>
      <c r="X183" s="3">
        <v>1814</v>
      </c>
      <c r="Y183" s="3">
        <v>0</v>
      </c>
      <c r="Z183" s="3">
        <v>0</v>
      </c>
      <c r="AA183" s="3">
        <v>1814</v>
      </c>
      <c r="AB183" s="3">
        <v>3296</v>
      </c>
      <c r="AC183" s="192">
        <v>4.1666666666666664E-2</v>
      </c>
      <c r="AD183" s="3" t="s">
        <v>294</v>
      </c>
      <c r="AE183" s="3" t="s">
        <v>295</v>
      </c>
      <c r="AF183" s="193">
        <v>0.12569444444444444</v>
      </c>
      <c r="AG183" s="193">
        <v>0.22916666666666666</v>
      </c>
      <c r="AH183" s="193">
        <v>0.55625000000000002</v>
      </c>
    </row>
    <row r="184" spans="1:34" x14ac:dyDescent="0.25">
      <c r="A184" s="3" t="s">
        <v>5385</v>
      </c>
      <c r="B184" s="3">
        <v>147685</v>
      </c>
      <c r="C184" s="3">
        <v>943007</v>
      </c>
      <c r="D184" s="3" t="s">
        <v>5288</v>
      </c>
      <c r="E184" s="3">
        <v>1</v>
      </c>
      <c r="F184" s="3">
        <v>4</v>
      </c>
      <c r="G184" s="3">
        <v>10</v>
      </c>
      <c r="H184" s="55" t="s">
        <v>5099</v>
      </c>
      <c r="I184" s="3" t="s">
        <v>5358</v>
      </c>
      <c r="J184" s="3" t="s">
        <v>5096</v>
      </c>
      <c r="L184" s="3">
        <v>1795</v>
      </c>
      <c r="M184" s="3">
        <v>6466</v>
      </c>
      <c r="N184" s="3" t="s">
        <v>5115</v>
      </c>
      <c r="R184" s="3">
        <v>5</v>
      </c>
      <c r="S184" s="3" t="s">
        <v>5116</v>
      </c>
      <c r="T184" s="3" t="s">
        <v>5117</v>
      </c>
      <c r="U184" s="3" t="s">
        <v>284</v>
      </c>
      <c r="V184" s="3">
        <v>600</v>
      </c>
      <c r="W184" s="3">
        <v>0</v>
      </c>
      <c r="X184" s="3">
        <v>2380</v>
      </c>
      <c r="Y184" s="3">
        <v>0</v>
      </c>
      <c r="Z184" s="3">
        <v>0</v>
      </c>
      <c r="AA184" s="3">
        <v>2380</v>
      </c>
      <c r="AB184" s="3">
        <v>5676</v>
      </c>
      <c r="AC184" s="192">
        <v>8.3333333333333332E-3</v>
      </c>
      <c r="AD184" s="3" t="s">
        <v>404</v>
      </c>
      <c r="AF184" s="193">
        <v>0.16527777777777777</v>
      </c>
      <c r="AG184" s="193">
        <v>0.39444444444444443</v>
      </c>
      <c r="AH184" s="193">
        <v>0.7368055555555556</v>
      </c>
    </row>
    <row r="185" spans="1:34" x14ac:dyDescent="0.25">
      <c r="A185" s="3" t="s">
        <v>5385</v>
      </c>
      <c r="B185" s="3">
        <v>147685</v>
      </c>
      <c r="C185" s="3">
        <v>943007</v>
      </c>
      <c r="D185" s="3" t="s">
        <v>5288</v>
      </c>
      <c r="E185" s="3">
        <v>1</v>
      </c>
      <c r="F185" s="3">
        <v>5</v>
      </c>
      <c r="G185" s="3">
        <v>11</v>
      </c>
      <c r="H185" s="55" t="s">
        <v>5099</v>
      </c>
      <c r="I185" s="3" t="s">
        <v>5358</v>
      </c>
      <c r="J185" s="3" t="s">
        <v>5096</v>
      </c>
      <c r="L185" s="3">
        <v>1795</v>
      </c>
      <c r="M185" s="3">
        <v>6466</v>
      </c>
      <c r="N185" s="3" t="s">
        <v>5115</v>
      </c>
      <c r="R185" s="3">
        <v>5</v>
      </c>
      <c r="S185" s="3" t="s">
        <v>5116</v>
      </c>
      <c r="T185" s="3" t="s">
        <v>5117</v>
      </c>
      <c r="U185" s="3" t="s">
        <v>280</v>
      </c>
      <c r="V185" s="3">
        <v>600</v>
      </c>
      <c r="W185" s="3">
        <v>0</v>
      </c>
      <c r="X185" s="3">
        <v>1038</v>
      </c>
      <c r="Y185" s="3">
        <v>0</v>
      </c>
      <c r="Z185" s="3">
        <v>0</v>
      </c>
      <c r="AA185" s="3">
        <v>1038</v>
      </c>
      <c r="AB185" s="3">
        <v>6714</v>
      </c>
      <c r="AC185" s="192">
        <v>0.05</v>
      </c>
      <c r="AD185" s="3" t="s">
        <v>285</v>
      </c>
      <c r="AE185" s="3" t="s">
        <v>286</v>
      </c>
      <c r="AF185" s="193">
        <v>7.2222222222222215E-2</v>
      </c>
      <c r="AG185" s="193">
        <v>0.46597222222222223</v>
      </c>
      <c r="AH185" s="193">
        <v>0.85902777777777772</v>
      </c>
    </row>
    <row r="186" spans="1:34" x14ac:dyDescent="0.25">
      <c r="A186" s="3" t="s">
        <v>5385</v>
      </c>
      <c r="B186" s="3">
        <v>147693</v>
      </c>
      <c r="C186" s="3">
        <v>943007</v>
      </c>
      <c r="D186" s="3" t="s">
        <v>5288</v>
      </c>
      <c r="E186" s="3">
        <v>1</v>
      </c>
      <c r="F186" s="3">
        <v>6</v>
      </c>
      <c r="G186" s="3">
        <v>7</v>
      </c>
      <c r="H186" s="55" t="s">
        <v>5099</v>
      </c>
      <c r="I186" s="3" t="s">
        <v>5358</v>
      </c>
      <c r="J186" s="3" t="s">
        <v>5096</v>
      </c>
      <c r="L186" s="3">
        <v>1795</v>
      </c>
      <c r="M186" s="3">
        <v>6466</v>
      </c>
      <c r="N186" s="3" t="s">
        <v>5115</v>
      </c>
      <c r="R186" s="3">
        <v>5</v>
      </c>
      <c r="S186" s="3" t="s">
        <v>5120</v>
      </c>
      <c r="T186" s="3" t="s">
        <v>5121</v>
      </c>
      <c r="U186" s="3" t="s">
        <v>298</v>
      </c>
      <c r="V186" s="3">
        <v>600</v>
      </c>
      <c r="W186" s="3">
        <v>0</v>
      </c>
      <c r="X186" s="3">
        <v>308</v>
      </c>
      <c r="Y186" s="3">
        <v>0</v>
      </c>
      <c r="Z186" s="3">
        <v>0</v>
      </c>
      <c r="AA186" s="3">
        <v>308</v>
      </c>
      <c r="AB186" s="3">
        <v>7022</v>
      </c>
      <c r="AC186" s="192">
        <v>0</v>
      </c>
      <c r="AF186" s="193">
        <v>2.1527777777777778E-2</v>
      </c>
      <c r="AG186" s="193">
        <v>0.48749999999999999</v>
      </c>
      <c r="AH186" s="193">
        <v>0.88055555555555554</v>
      </c>
    </row>
    <row r="187" spans="1:34" x14ac:dyDescent="0.25">
      <c r="A187" s="3" t="s">
        <v>5385</v>
      </c>
      <c r="B187" s="3">
        <v>147693</v>
      </c>
      <c r="C187" s="3">
        <v>943007</v>
      </c>
      <c r="D187" s="3" t="s">
        <v>5288</v>
      </c>
      <c r="E187" s="3">
        <v>1</v>
      </c>
      <c r="F187" s="3">
        <v>7</v>
      </c>
      <c r="G187" s="3">
        <v>8</v>
      </c>
      <c r="H187" s="55" t="s">
        <v>5099</v>
      </c>
      <c r="I187" s="3" t="s">
        <v>5358</v>
      </c>
      <c r="J187" s="3" t="s">
        <v>5096</v>
      </c>
      <c r="L187" s="3">
        <v>1795</v>
      </c>
      <c r="M187" s="3">
        <v>6466</v>
      </c>
      <c r="N187" s="3" t="s">
        <v>5115</v>
      </c>
      <c r="R187" s="3">
        <v>5</v>
      </c>
      <c r="S187" s="3" t="s">
        <v>5120</v>
      </c>
      <c r="T187" s="3" t="s">
        <v>5121</v>
      </c>
      <c r="U187" s="3">
        <v>35</v>
      </c>
      <c r="V187" s="3">
        <v>600</v>
      </c>
      <c r="W187" s="3">
        <v>0</v>
      </c>
      <c r="X187" s="3">
        <v>726</v>
      </c>
      <c r="Y187" s="3">
        <v>0</v>
      </c>
      <c r="Z187" s="3">
        <v>0</v>
      </c>
      <c r="AA187" s="3">
        <v>726</v>
      </c>
      <c r="AB187" s="3">
        <v>7748</v>
      </c>
      <c r="AC187" s="192">
        <v>0</v>
      </c>
      <c r="AF187" s="193">
        <v>5.0694444444444445E-2</v>
      </c>
      <c r="AG187" s="193">
        <v>0.53819444444444442</v>
      </c>
      <c r="AH187" s="193">
        <v>0.93125000000000002</v>
      </c>
    </row>
    <row r="188" spans="1:34" x14ac:dyDescent="0.25">
      <c r="A188" s="3" t="s">
        <v>5386</v>
      </c>
      <c r="B188" s="3">
        <v>146757</v>
      </c>
      <c r="C188" s="3">
        <v>943007</v>
      </c>
      <c r="D188" s="3" t="s">
        <v>5288</v>
      </c>
      <c r="E188" s="3">
        <v>1</v>
      </c>
      <c r="F188" s="3">
        <v>1</v>
      </c>
      <c r="G188" s="3">
        <v>7</v>
      </c>
      <c r="H188" s="55" t="s">
        <v>289</v>
      </c>
      <c r="I188" s="3" t="s">
        <v>5358</v>
      </c>
      <c r="J188" s="3" t="s">
        <v>5096</v>
      </c>
      <c r="L188" s="3">
        <v>1750</v>
      </c>
      <c r="M188" s="3">
        <v>26481</v>
      </c>
      <c r="N188" s="3" t="s">
        <v>5151</v>
      </c>
      <c r="R188" s="3">
        <v>9</v>
      </c>
      <c r="S188" s="3">
        <v>25228</v>
      </c>
      <c r="T188" s="3" t="s">
        <v>5302</v>
      </c>
      <c r="U188" s="3" t="s">
        <v>298</v>
      </c>
      <c r="V188" s="3">
        <v>378</v>
      </c>
      <c r="W188" s="3">
        <v>0</v>
      </c>
      <c r="X188" s="3">
        <v>208</v>
      </c>
      <c r="Y188" s="3">
        <v>0</v>
      </c>
      <c r="Z188" s="3">
        <v>0</v>
      </c>
      <c r="AA188" s="3">
        <v>208</v>
      </c>
      <c r="AB188" s="3">
        <v>208</v>
      </c>
      <c r="AC188" s="192">
        <v>0</v>
      </c>
      <c r="AF188" s="193">
        <v>2.2916666666666665E-2</v>
      </c>
      <c r="AG188" s="193">
        <v>2.2916666666666665E-2</v>
      </c>
      <c r="AH188" s="193">
        <v>0.3</v>
      </c>
    </row>
    <row r="189" spans="1:34" x14ac:dyDescent="0.25">
      <c r="A189" s="3" t="s">
        <v>5386</v>
      </c>
      <c r="B189" s="3">
        <v>146757</v>
      </c>
      <c r="C189" s="3">
        <v>943007</v>
      </c>
      <c r="D189" s="3" t="s">
        <v>5288</v>
      </c>
      <c r="E189" s="3">
        <v>1</v>
      </c>
      <c r="F189" s="3">
        <v>2</v>
      </c>
      <c r="G189" s="3">
        <v>8</v>
      </c>
      <c r="H189" s="55" t="s">
        <v>289</v>
      </c>
      <c r="I189" s="3" t="s">
        <v>5358</v>
      </c>
      <c r="J189" s="3" t="s">
        <v>5096</v>
      </c>
      <c r="L189" s="3">
        <v>1750</v>
      </c>
      <c r="M189" s="3">
        <v>26481</v>
      </c>
      <c r="N189" s="3" t="s">
        <v>5151</v>
      </c>
      <c r="R189" s="3">
        <v>9</v>
      </c>
      <c r="S189" s="3">
        <v>25228</v>
      </c>
      <c r="T189" s="3" t="s">
        <v>5302</v>
      </c>
      <c r="U189" s="3">
        <v>35</v>
      </c>
      <c r="V189" s="3">
        <v>378</v>
      </c>
      <c r="W189" s="3">
        <v>0</v>
      </c>
      <c r="X189" s="3">
        <v>382</v>
      </c>
      <c r="Y189" s="3">
        <v>0</v>
      </c>
      <c r="Z189" s="3">
        <v>0</v>
      </c>
      <c r="AA189" s="3">
        <v>382</v>
      </c>
      <c r="AB189" s="3">
        <v>590</v>
      </c>
      <c r="AC189" s="192">
        <v>0</v>
      </c>
      <c r="AF189" s="193">
        <v>4.2361111111111113E-2</v>
      </c>
      <c r="AG189" s="193">
        <v>6.5277777777777782E-2</v>
      </c>
      <c r="AH189" s="193">
        <v>0.34236111111111112</v>
      </c>
    </row>
    <row r="190" spans="1:34" x14ac:dyDescent="0.25">
      <c r="A190" s="3" t="s">
        <v>5386</v>
      </c>
      <c r="B190" s="3">
        <v>146757</v>
      </c>
      <c r="C190" s="3">
        <v>943007</v>
      </c>
      <c r="D190" s="3" t="s">
        <v>5288</v>
      </c>
      <c r="E190" s="3">
        <v>1</v>
      </c>
      <c r="F190" s="3">
        <v>3</v>
      </c>
      <c r="G190" s="3">
        <v>9</v>
      </c>
      <c r="H190" s="55" t="s">
        <v>289</v>
      </c>
      <c r="I190" s="3" t="s">
        <v>5358</v>
      </c>
      <c r="J190" s="3" t="s">
        <v>5096</v>
      </c>
      <c r="L190" s="3">
        <v>1750</v>
      </c>
      <c r="M190" s="3">
        <v>26481</v>
      </c>
      <c r="N190" s="3" t="s">
        <v>5151</v>
      </c>
      <c r="R190" s="3">
        <v>9</v>
      </c>
      <c r="S190" s="3">
        <v>25228</v>
      </c>
      <c r="T190" s="3" t="s">
        <v>5302</v>
      </c>
      <c r="U190" s="3">
        <v>36</v>
      </c>
      <c r="V190" s="3">
        <v>378</v>
      </c>
      <c r="W190" s="3">
        <v>0</v>
      </c>
      <c r="X190" s="3">
        <v>520</v>
      </c>
      <c r="Y190" s="3">
        <v>0</v>
      </c>
      <c r="Z190" s="3">
        <v>0</v>
      </c>
      <c r="AA190" s="3">
        <v>520</v>
      </c>
      <c r="AB190" s="3">
        <v>1110</v>
      </c>
      <c r="AC190" s="192">
        <v>8.3333333333333332E-3</v>
      </c>
      <c r="AD190" s="3" t="s">
        <v>292</v>
      </c>
      <c r="AF190" s="193">
        <v>5.7638888888888892E-2</v>
      </c>
      <c r="AG190" s="193">
        <v>0.12222222222222222</v>
      </c>
      <c r="AH190" s="193">
        <v>0.40833333333333333</v>
      </c>
    </row>
    <row r="191" spans="1:34" x14ac:dyDescent="0.25">
      <c r="A191" s="3" t="s">
        <v>5386</v>
      </c>
      <c r="B191" s="3">
        <v>146757</v>
      </c>
      <c r="C191" s="3">
        <v>943007</v>
      </c>
      <c r="D191" s="3" t="s">
        <v>5288</v>
      </c>
      <c r="E191" s="3">
        <v>1</v>
      </c>
      <c r="F191" s="3">
        <v>4</v>
      </c>
      <c r="G191" s="3">
        <v>10</v>
      </c>
      <c r="H191" s="55" t="s">
        <v>289</v>
      </c>
      <c r="I191" s="3" t="s">
        <v>5358</v>
      </c>
      <c r="J191" s="3" t="s">
        <v>5096</v>
      </c>
      <c r="L191" s="3">
        <v>1750</v>
      </c>
      <c r="M191" s="3">
        <v>26481</v>
      </c>
      <c r="N191" s="3" t="s">
        <v>5151</v>
      </c>
      <c r="R191" s="3">
        <v>9</v>
      </c>
      <c r="S191" s="3">
        <v>25228</v>
      </c>
      <c r="T191" s="3" t="s">
        <v>5302</v>
      </c>
      <c r="U191" s="3" t="s">
        <v>284</v>
      </c>
      <c r="V191" s="3">
        <v>378</v>
      </c>
      <c r="W191" s="3">
        <v>0</v>
      </c>
      <c r="X191" s="3">
        <v>800</v>
      </c>
      <c r="Y191" s="3">
        <v>0</v>
      </c>
      <c r="Z191" s="3">
        <v>0</v>
      </c>
      <c r="AA191" s="3">
        <v>800</v>
      </c>
      <c r="AB191" s="3">
        <v>1910</v>
      </c>
      <c r="AC191" s="192">
        <v>4.1666666666666664E-2</v>
      </c>
      <c r="AD191" s="3" t="s">
        <v>294</v>
      </c>
      <c r="AE191" s="3" t="s">
        <v>295</v>
      </c>
      <c r="AF191" s="193">
        <v>8.819444444444445E-2</v>
      </c>
      <c r="AG191" s="193">
        <v>0.21041666666666667</v>
      </c>
      <c r="AH191" s="193">
        <v>0.53819444444444442</v>
      </c>
    </row>
    <row r="192" spans="1:34" x14ac:dyDescent="0.25">
      <c r="A192" s="3" t="s">
        <v>5386</v>
      </c>
      <c r="B192" s="3">
        <v>146757</v>
      </c>
      <c r="C192" s="3">
        <v>943007</v>
      </c>
      <c r="D192" s="3" t="s">
        <v>5288</v>
      </c>
      <c r="E192" s="3">
        <v>1</v>
      </c>
      <c r="F192" s="3">
        <v>5</v>
      </c>
      <c r="G192" s="3">
        <v>11</v>
      </c>
      <c r="H192" s="55" t="s">
        <v>289</v>
      </c>
      <c r="I192" s="3" t="s">
        <v>5358</v>
      </c>
      <c r="J192" s="3" t="s">
        <v>5096</v>
      </c>
      <c r="L192" s="3">
        <v>1750</v>
      </c>
      <c r="M192" s="3">
        <v>26481</v>
      </c>
      <c r="N192" s="3" t="s">
        <v>5151</v>
      </c>
      <c r="R192" s="3">
        <v>9</v>
      </c>
      <c r="S192" s="3">
        <v>25228</v>
      </c>
      <c r="T192" s="3" t="s">
        <v>5302</v>
      </c>
      <c r="U192" s="3" t="s">
        <v>280</v>
      </c>
      <c r="V192" s="3">
        <v>378</v>
      </c>
      <c r="W192" s="3">
        <v>0</v>
      </c>
      <c r="X192" s="3">
        <v>398</v>
      </c>
      <c r="Y192" s="3">
        <v>0</v>
      </c>
      <c r="Z192" s="3">
        <v>0</v>
      </c>
      <c r="AA192" s="3">
        <v>398</v>
      </c>
      <c r="AB192" s="3">
        <v>2308</v>
      </c>
      <c r="AC192" s="192">
        <v>8.3333333333333332E-3</v>
      </c>
      <c r="AD192" s="3" t="s">
        <v>404</v>
      </c>
      <c r="AF192" s="193">
        <v>4.3749999999999997E-2</v>
      </c>
      <c r="AG192" s="193">
        <v>0.25416666666666665</v>
      </c>
      <c r="AH192" s="193">
        <v>0.59027777777777779</v>
      </c>
    </row>
    <row r="193" spans="1:34" x14ac:dyDescent="0.25">
      <c r="A193" s="3" t="s">
        <v>5386</v>
      </c>
      <c r="B193" s="3">
        <v>146758</v>
      </c>
      <c r="C193" s="3">
        <v>943007</v>
      </c>
      <c r="D193" s="3" t="s">
        <v>5288</v>
      </c>
      <c r="E193" s="3">
        <v>1</v>
      </c>
      <c r="F193" s="3">
        <v>6</v>
      </c>
      <c r="G193" s="3">
        <v>7</v>
      </c>
      <c r="H193" s="55" t="s">
        <v>289</v>
      </c>
      <c r="I193" s="3" t="s">
        <v>5358</v>
      </c>
      <c r="J193" s="3" t="s">
        <v>5096</v>
      </c>
      <c r="L193" s="3">
        <v>1750</v>
      </c>
      <c r="M193" s="3">
        <v>26481</v>
      </c>
      <c r="N193" s="3" t="s">
        <v>5151</v>
      </c>
      <c r="R193" s="3">
        <v>9</v>
      </c>
      <c r="S193" s="3">
        <v>25229</v>
      </c>
      <c r="T193" s="3" t="s">
        <v>5378</v>
      </c>
      <c r="U193" s="3" t="s">
        <v>298</v>
      </c>
      <c r="V193" s="3">
        <v>378</v>
      </c>
      <c r="W193" s="3">
        <v>0</v>
      </c>
      <c r="X193" s="3">
        <v>120</v>
      </c>
      <c r="Y193" s="3">
        <v>0</v>
      </c>
      <c r="Z193" s="3">
        <v>0</v>
      </c>
      <c r="AA193" s="3">
        <v>120</v>
      </c>
      <c r="AB193" s="3">
        <v>2428</v>
      </c>
      <c r="AC193" s="192">
        <v>0</v>
      </c>
      <c r="AF193" s="193">
        <v>1.3194444444444444E-2</v>
      </c>
      <c r="AG193" s="193">
        <v>0.2673611111111111</v>
      </c>
      <c r="AH193" s="193">
        <v>0.60347222222222219</v>
      </c>
    </row>
    <row r="194" spans="1:34" x14ac:dyDescent="0.25">
      <c r="A194" s="3" t="s">
        <v>5386</v>
      </c>
      <c r="B194" s="3">
        <v>146758</v>
      </c>
      <c r="C194" s="3">
        <v>943007</v>
      </c>
      <c r="D194" s="3" t="s">
        <v>5288</v>
      </c>
      <c r="E194" s="3">
        <v>1</v>
      </c>
      <c r="F194" s="3">
        <v>7</v>
      </c>
      <c r="G194" s="3">
        <v>8</v>
      </c>
      <c r="H194" s="55" t="s">
        <v>289</v>
      </c>
      <c r="I194" s="3" t="s">
        <v>5358</v>
      </c>
      <c r="J194" s="3" t="s">
        <v>5096</v>
      </c>
      <c r="L194" s="3">
        <v>1750</v>
      </c>
      <c r="M194" s="3">
        <v>26481</v>
      </c>
      <c r="N194" s="3" t="s">
        <v>5151</v>
      </c>
      <c r="R194" s="3">
        <v>9</v>
      </c>
      <c r="S194" s="3">
        <v>25229</v>
      </c>
      <c r="T194" s="3" t="s">
        <v>5378</v>
      </c>
      <c r="U194" s="3">
        <v>35</v>
      </c>
      <c r="V194" s="3">
        <v>378</v>
      </c>
      <c r="W194" s="3">
        <v>0</v>
      </c>
      <c r="X194" s="3">
        <v>224</v>
      </c>
      <c r="Y194" s="3">
        <v>0</v>
      </c>
      <c r="Z194" s="3">
        <v>0</v>
      </c>
      <c r="AA194" s="3">
        <v>224</v>
      </c>
      <c r="AB194" s="3">
        <v>2652</v>
      </c>
      <c r="AC194" s="192">
        <v>0</v>
      </c>
      <c r="AF194" s="193">
        <v>2.5000000000000001E-2</v>
      </c>
      <c r="AG194" s="193">
        <v>0.29236111111111113</v>
      </c>
      <c r="AH194" s="193">
        <v>0.62847222222222221</v>
      </c>
    </row>
    <row r="195" spans="1:34" x14ac:dyDescent="0.25">
      <c r="A195" s="3" t="s">
        <v>5386</v>
      </c>
      <c r="B195" s="3">
        <v>146758</v>
      </c>
      <c r="C195" s="3">
        <v>943007</v>
      </c>
      <c r="D195" s="3" t="s">
        <v>5288</v>
      </c>
      <c r="E195" s="3">
        <v>1</v>
      </c>
      <c r="F195" s="3">
        <v>8</v>
      </c>
      <c r="G195" s="3">
        <v>9</v>
      </c>
      <c r="H195" s="55" t="s">
        <v>289</v>
      </c>
      <c r="I195" s="3" t="s">
        <v>5358</v>
      </c>
      <c r="J195" s="3" t="s">
        <v>5096</v>
      </c>
      <c r="L195" s="3">
        <v>1750</v>
      </c>
      <c r="M195" s="3">
        <v>26481</v>
      </c>
      <c r="N195" s="3" t="s">
        <v>5151</v>
      </c>
      <c r="R195" s="3">
        <v>9</v>
      </c>
      <c r="S195" s="3">
        <v>25229</v>
      </c>
      <c r="T195" s="3" t="s">
        <v>5378</v>
      </c>
      <c r="U195" s="3">
        <v>36</v>
      </c>
      <c r="V195" s="3">
        <v>378</v>
      </c>
      <c r="W195" s="3">
        <v>0</v>
      </c>
      <c r="X195" s="3">
        <v>296</v>
      </c>
      <c r="Y195" s="3">
        <v>0</v>
      </c>
      <c r="Z195" s="3">
        <v>0</v>
      </c>
      <c r="AA195" s="3">
        <v>296</v>
      </c>
      <c r="AB195" s="3">
        <v>2948</v>
      </c>
      <c r="AC195" s="192">
        <v>0</v>
      </c>
      <c r="AF195" s="193">
        <v>3.2638888888888891E-2</v>
      </c>
      <c r="AG195" s="193">
        <v>0.32500000000000001</v>
      </c>
      <c r="AH195" s="193">
        <v>0.66805555555555551</v>
      </c>
    </row>
    <row r="196" spans="1:34" x14ac:dyDescent="0.25">
      <c r="A196" s="3" t="s">
        <v>5386</v>
      </c>
      <c r="B196" s="3">
        <v>146758</v>
      </c>
      <c r="C196" s="3">
        <v>943007</v>
      </c>
      <c r="D196" s="3" t="s">
        <v>5288</v>
      </c>
      <c r="E196" s="3">
        <v>1</v>
      </c>
      <c r="F196" s="3">
        <v>9</v>
      </c>
      <c r="G196" s="3">
        <v>10</v>
      </c>
      <c r="H196" s="55" t="s">
        <v>289</v>
      </c>
      <c r="I196" s="3" t="s">
        <v>5358</v>
      </c>
      <c r="J196" s="3" t="s">
        <v>5096</v>
      </c>
      <c r="L196" s="3">
        <v>1750</v>
      </c>
      <c r="M196" s="3">
        <v>26481</v>
      </c>
      <c r="N196" s="3" t="s">
        <v>5151</v>
      </c>
      <c r="R196" s="3">
        <v>9</v>
      </c>
      <c r="S196" s="3">
        <v>25229</v>
      </c>
      <c r="T196" s="3" t="s">
        <v>5378</v>
      </c>
      <c r="U196" s="3" t="s">
        <v>284</v>
      </c>
      <c r="V196" s="3">
        <v>378</v>
      </c>
      <c r="W196" s="3">
        <v>0</v>
      </c>
      <c r="X196" s="3">
        <v>452</v>
      </c>
      <c r="Y196" s="3">
        <v>0</v>
      </c>
      <c r="Z196" s="3">
        <v>0</v>
      </c>
      <c r="AA196" s="3">
        <v>452</v>
      </c>
      <c r="AB196" s="3">
        <v>3400</v>
      </c>
      <c r="AC196" s="192">
        <v>0</v>
      </c>
      <c r="AF196" s="193">
        <v>0.05</v>
      </c>
      <c r="AG196" s="193">
        <v>0.375</v>
      </c>
      <c r="AH196" s="193">
        <v>0.71805555555555556</v>
      </c>
    </row>
    <row r="197" spans="1:34" x14ac:dyDescent="0.25">
      <c r="A197" s="3" t="s">
        <v>5386</v>
      </c>
      <c r="B197" s="3">
        <v>146758</v>
      </c>
      <c r="C197" s="3">
        <v>943007</v>
      </c>
      <c r="D197" s="3" t="s">
        <v>5288</v>
      </c>
      <c r="E197" s="3">
        <v>1</v>
      </c>
      <c r="F197" s="3">
        <v>10</v>
      </c>
      <c r="G197" s="3">
        <v>11</v>
      </c>
      <c r="H197" s="55" t="s">
        <v>289</v>
      </c>
      <c r="I197" s="3" t="s">
        <v>5358</v>
      </c>
      <c r="J197" s="3" t="s">
        <v>5096</v>
      </c>
      <c r="L197" s="3">
        <v>1750</v>
      </c>
      <c r="M197" s="3">
        <v>26481</v>
      </c>
      <c r="N197" s="3" t="s">
        <v>5151</v>
      </c>
      <c r="R197" s="3">
        <v>9</v>
      </c>
      <c r="S197" s="3">
        <v>25229</v>
      </c>
      <c r="T197" s="3" t="s">
        <v>5378</v>
      </c>
      <c r="U197" s="3" t="s">
        <v>280</v>
      </c>
      <c r="V197" s="3">
        <v>378</v>
      </c>
      <c r="W197" s="3">
        <v>0</v>
      </c>
      <c r="X197" s="3">
        <v>222</v>
      </c>
      <c r="Y197" s="3">
        <v>0</v>
      </c>
      <c r="Z197" s="3">
        <v>0</v>
      </c>
      <c r="AA197" s="3">
        <v>222</v>
      </c>
      <c r="AB197" s="3">
        <v>3622</v>
      </c>
      <c r="AC197" s="192">
        <v>0</v>
      </c>
      <c r="AF197" s="193">
        <v>2.4305555555555556E-2</v>
      </c>
      <c r="AG197" s="193">
        <v>0.39930555555555558</v>
      </c>
      <c r="AH197" s="193">
        <v>0.74236111111111114</v>
      </c>
    </row>
    <row r="198" spans="1:34" x14ac:dyDescent="0.25">
      <c r="A198" s="3" t="s">
        <v>5386</v>
      </c>
      <c r="B198" s="3">
        <v>146719</v>
      </c>
      <c r="C198" s="3">
        <v>943007</v>
      </c>
      <c r="D198" s="3" t="s">
        <v>5288</v>
      </c>
      <c r="E198" s="3">
        <v>1</v>
      </c>
      <c r="F198" s="3">
        <v>11</v>
      </c>
      <c r="G198" s="3">
        <v>7</v>
      </c>
      <c r="H198" s="55" t="s">
        <v>289</v>
      </c>
      <c r="I198" s="3" t="s">
        <v>5358</v>
      </c>
      <c r="J198" s="3" t="s">
        <v>5096</v>
      </c>
      <c r="L198" s="3">
        <v>1750</v>
      </c>
      <c r="M198" s="3">
        <v>25279</v>
      </c>
      <c r="N198" s="3" t="s">
        <v>5144</v>
      </c>
      <c r="O198" s="3" t="s">
        <v>5387</v>
      </c>
      <c r="R198" s="3">
        <v>6</v>
      </c>
      <c r="S198" s="3" t="s">
        <v>462</v>
      </c>
      <c r="T198" s="3" t="s">
        <v>5388</v>
      </c>
      <c r="U198" s="3" t="s">
        <v>298</v>
      </c>
      <c r="V198" s="3">
        <v>405</v>
      </c>
      <c r="W198" s="3">
        <v>0</v>
      </c>
      <c r="X198" s="3">
        <v>172</v>
      </c>
      <c r="Y198" s="3">
        <v>0</v>
      </c>
      <c r="Z198" s="3">
        <v>0</v>
      </c>
      <c r="AA198" s="3">
        <v>172</v>
      </c>
      <c r="AB198" s="3">
        <v>3794</v>
      </c>
      <c r="AC198" s="192">
        <v>0</v>
      </c>
      <c r="AF198" s="193">
        <v>1.7361111111111112E-2</v>
      </c>
      <c r="AG198" s="193">
        <v>0.41666666666666669</v>
      </c>
      <c r="AH198" s="193">
        <v>0.75972222222222219</v>
      </c>
    </row>
    <row r="199" spans="1:34" x14ac:dyDescent="0.25">
      <c r="A199" s="3" t="s">
        <v>5386</v>
      </c>
      <c r="B199" s="3">
        <v>146719</v>
      </c>
      <c r="C199" s="3">
        <v>943007</v>
      </c>
      <c r="D199" s="3" t="s">
        <v>5288</v>
      </c>
      <c r="E199" s="3">
        <v>1</v>
      </c>
      <c r="F199" s="3">
        <v>12</v>
      </c>
      <c r="G199" s="3">
        <v>8</v>
      </c>
      <c r="H199" s="55" t="s">
        <v>289</v>
      </c>
      <c r="I199" s="3" t="s">
        <v>5358</v>
      </c>
      <c r="J199" s="3" t="s">
        <v>5096</v>
      </c>
      <c r="L199" s="3">
        <v>1750</v>
      </c>
      <c r="M199" s="3">
        <v>25279</v>
      </c>
      <c r="N199" s="3" t="s">
        <v>5144</v>
      </c>
      <c r="O199" s="3" t="s">
        <v>5387</v>
      </c>
      <c r="R199" s="3">
        <v>6</v>
      </c>
      <c r="S199" s="3" t="s">
        <v>462</v>
      </c>
      <c r="T199" s="3" t="s">
        <v>5388</v>
      </c>
      <c r="U199" s="3">
        <v>35</v>
      </c>
      <c r="V199" s="3">
        <v>405</v>
      </c>
      <c r="W199" s="3">
        <v>0</v>
      </c>
      <c r="X199" s="3">
        <v>272</v>
      </c>
      <c r="Y199" s="3">
        <v>0</v>
      </c>
      <c r="Z199" s="3">
        <v>0</v>
      </c>
      <c r="AA199" s="3">
        <v>272</v>
      </c>
      <c r="AB199" s="3">
        <v>4066</v>
      </c>
      <c r="AC199" s="192">
        <v>8.3333333333333332E-3</v>
      </c>
      <c r="AD199" s="3" t="s">
        <v>292</v>
      </c>
      <c r="AF199" s="193">
        <v>2.7777777777777776E-2</v>
      </c>
      <c r="AG199" s="193">
        <v>0.44513888888888886</v>
      </c>
      <c r="AH199" s="193">
        <v>0.79583333333333328</v>
      </c>
    </row>
    <row r="200" spans="1:34" x14ac:dyDescent="0.25">
      <c r="A200" s="3" t="s">
        <v>5386</v>
      </c>
      <c r="B200" s="3">
        <v>146719</v>
      </c>
      <c r="C200" s="3">
        <v>943007</v>
      </c>
      <c r="D200" s="3" t="s">
        <v>5288</v>
      </c>
      <c r="E200" s="3">
        <v>1</v>
      </c>
      <c r="F200" s="3">
        <v>13</v>
      </c>
      <c r="G200" s="3">
        <v>9</v>
      </c>
      <c r="H200" s="55" t="s">
        <v>289</v>
      </c>
      <c r="I200" s="3" t="s">
        <v>5358</v>
      </c>
      <c r="J200" s="3" t="s">
        <v>5096</v>
      </c>
      <c r="L200" s="3">
        <v>1750</v>
      </c>
      <c r="M200" s="3">
        <v>25279</v>
      </c>
      <c r="N200" s="3" t="s">
        <v>5144</v>
      </c>
      <c r="O200" s="3" t="s">
        <v>5387</v>
      </c>
      <c r="R200" s="3">
        <v>6</v>
      </c>
      <c r="S200" s="3" t="s">
        <v>462</v>
      </c>
      <c r="T200" s="3" t="s">
        <v>5388</v>
      </c>
      <c r="U200" s="3">
        <v>36</v>
      </c>
      <c r="V200" s="3">
        <v>405</v>
      </c>
      <c r="W200" s="3">
        <v>0</v>
      </c>
      <c r="X200" s="3">
        <v>554</v>
      </c>
      <c r="Y200" s="3">
        <v>0</v>
      </c>
      <c r="Z200" s="3">
        <v>0</v>
      </c>
      <c r="AA200" s="3">
        <v>554</v>
      </c>
      <c r="AB200" s="3">
        <v>4620</v>
      </c>
      <c r="AC200" s="192">
        <v>4.1666666666666664E-2</v>
      </c>
      <c r="AD200" s="3" t="s">
        <v>294</v>
      </c>
      <c r="AE200" s="3" t="s">
        <v>295</v>
      </c>
      <c r="AF200" s="193">
        <v>5.6944444444444443E-2</v>
      </c>
      <c r="AG200" s="193">
        <v>0.50208333333333333</v>
      </c>
      <c r="AH200" s="193">
        <v>0.89444444444444449</v>
      </c>
    </row>
    <row r="201" spans="1:34" x14ac:dyDescent="0.25">
      <c r="A201" s="3" t="s">
        <v>5386</v>
      </c>
      <c r="B201" s="3">
        <v>146719</v>
      </c>
      <c r="C201" s="3">
        <v>943007</v>
      </c>
      <c r="D201" s="3" t="s">
        <v>5288</v>
      </c>
      <c r="E201" s="3">
        <v>1</v>
      </c>
      <c r="F201" s="3">
        <v>14</v>
      </c>
      <c r="G201" s="3">
        <v>10</v>
      </c>
      <c r="H201" s="55" t="s">
        <v>289</v>
      </c>
      <c r="I201" s="3" t="s">
        <v>5358</v>
      </c>
      <c r="J201" s="3" t="s">
        <v>5096</v>
      </c>
      <c r="L201" s="3">
        <v>1750</v>
      </c>
      <c r="M201" s="3">
        <v>25279</v>
      </c>
      <c r="N201" s="3" t="s">
        <v>5144</v>
      </c>
      <c r="O201" s="3" t="s">
        <v>5387</v>
      </c>
      <c r="R201" s="3">
        <v>6</v>
      </c>
      <c r="S201" s="3" t="s">
        <v>462</v>
      </c>
      <c r="T201" s="3" t="s">
        <v>5388</v>
      </c>
      <c r="U201" s="3" t="s">
        <v>284</v>
      </c>
      <c r="V201" s="3">
        <v>405</v>
      </c>
      <c r="W201" s="3">
        <v>0</v>
      </c>
      <c r="X201" s="3">
        <v>574</v>
      </c>
      <c r="Y201" s="3">
        <v>0</v>
      </c>
      <c r="Z201" s="3">
        <v>0</v>
      </c>
      <c r="AA201" s="3">
        <v>574</v>
      </c>
      <c r="AB201" s="3">
        <v>5194</v>
      </c>
      <c r="AC201" s="192">
        <v>0</v>
      </c>
      <c r="AF201" s="193">
        <v>5.9027777777777776E-2</v>
      </c>
      <c r="AG201" s="193">
        <v>0.56111111111111112</v>
      </c>
      <c r="AH201" s="193">
        <v>0.95347222222222228</v>
      </c>
    </row>
    <row r="202" spans="1:34" x14ac:dyDescent="0.25">
      <c r="A202" s="3" t="s">
        <v>5386</v>
      </c>
      <c r="B202" s="3">
        <v>146719</v>
      </c>
      <c r="C202" s="3">
        <v>943007</v>
      </c>
      <c r="D202" s="3" t="s">
        <v>5288</v>
      </c>
      <c r="E202" s="3">
        <v>1</v>
      </c>
      <c r="F202" s="3">
        <v>15</v>
      </c>
      <c r="G202" s="3">
        <v>11</v>
      </c>
      <c r="H202" s="55" t="s">
        <v>289</v>
      </c>
      <c r="I202" s="3" t="s">
        <v>5358</v>
      </c>
      <c r="J202" s="3" t="s">
        <v>5096</v>
      </c>
      <c r="L202" s="3">
        <v>1750</v>
      </c>
      <c r="M202" s="3">
        <v>25279</v>
      </c>
      <c r="N202" s="3" t="s">
        <v>5144</v>
      </c>
      <c r="O202" s="3" t="s">
        <v>5387</v>
      </c>
      <c r="R202" s="3">
        <v>6</v>
      </c>
      <c r="S202" s="3" t="s">
        <v>462</v>
      </c>
      <c r="T202" s="3" t="s">
        <v>5388</v>
      </c>
      <c r="U202" s="3" t="s">
        <v>280</v>
      </c>
      <c r="V202" s="3">
        <v>405</v>
      </c>
      <c r="W202" s="3">
        <v>0</v>
      </c>
      <c r="X202" s="3">
        <v>356</v>
      </c>
      <c r="Y202" s="3">
        <v>0</v>
      </c>
      <c r="Z202" s="3">
        <v>0</v>
      </c>
      <c r="AA202" s="3">
        <v>356</v>
      </c>
      <c r="AB202" s="3">
        <v>5550</v>
      </c>
      <c r="AC202" s="192">
        <v>8.3333333333333332E-3</v>
      </c>
      <c r="AD202" s="3" t="s">
        <v>404</v>
      </c>
      <c r="AF202" s="193">
        <v>3.6805555555555557E-2</v>
      </c>
      <c r="AG202" s="193">
        <v>0.59791666666666665</v>
      </c>
      <c r="AH202" s="193">
        <v>0.99861111111111112</v>
      </c>
    </row>
    <row r="203" spans="1:34" x14ac:dyDescent="0.25">
      <c r="A203" s="3" t="s">
        <v>5390</v>
      </c>
      <c r="B203" s="3">
        <v>146747</v>
      </c>
      <c r="C203" s="3">
        <v>943007</v>
      </c>
      <c r="D203" s="3" t="s">
        <v>5288</v>
      </c>
      <c r="E203" s="3">
        <v>1</v>
      </c>
      <c r="F203" s="3">
        <v>1</v>
      </c>
      <c r="G203" s="3">
        <v>3</v>
      </c>
      <c r="H203" s="55" t="s">
        <v>5099</v>
      </c>
      <c r="I203" s="3" t="s">
        <v>5358</v>
      </c>
      <c r="J203" s="3" t="s">
        <v>5096</v>
      </c>
      <c r="L203" s="3">
        <v>1751</v>
      </c>
      <c r="M203" s="3">
        <v>25479</v>
      </c>
      <c r="N203" s="3" t="s">
        <v>5163</v>
      </c>
      <c r="O203" s="3" t="s">
        <v>5387</v>
      </c>
      <c r="R203" s="3">
        <v>7</v>
      </c>
      <c r="S203" s="3" t="s">
        <v>5391</v>
      </c>
      <c r="T203" s="3" t="s">
        <v>5258</v>
      </c>
      <c r="U203" s="3" t="s">
        <v>290</v>
      </c>
      <c r="V203" s="3">
        <v>459</v>
      </c>
      <c r="W203" s="3">
        <v>0</v>
      </c>
      <c r="X203" s="3">
        <v>102</v>
      </c>
      <c r="Y203" s="3">
        <v>0</v>
      </c>
      <c r="Z203" s="3">
        <v>0</v>
      </c>
      <c r="AA203" s="3">
        <v>102</v>
      </c>
      <c r="AB203" s="3">
        <v>102</v>
      </c>
      <c r="AC203" s="192">
        <v>0</v>
      </c>
      <c r="AF203" s="193">
        <v>9.0277777777777769E-3</v>
      </c>
      <c r="AG203" s="193">
        <v>9.0277777777777769E-3</v>
      </c>
      <c r="AH203" s="193">
        <v>0.28611111111111109</v>
      </c>
    </row>
    <row r="204" spans="1:34" x14ac:dyDescent="0.25">
      <c r="A204" s="3" t="s">
        <v>5390</v>
      </c>
      <c r="B204" s="3">
        <v>146808</v>
      </c>
      <c r="C204" s="3">
        <v>943007</v>
      </c>
      <c r="D204" s="3" t="s">
        <v>5288</v>
      </c>
      <c r="E204" s="3">
        <v>1</v>
      </c>
      <c r="F204" s="3">
        <v>2</v>
      </c>
      <c r="G204" s="3">
        <v>8</v>
      </c>
      <c r="H204" s="55" t="s">
        <v>289</v>
      </c>
      <c r="I204" s="3" t="s">
        <v>5358</v>
      </c>
      <c r="J204" s="3" t="s">
        <v>5096</v>
      </c>
      <c r="L204" s="3">
        <v>1751</v>
      </c>
      <c r="M204" s="3">
        <v>27307</v>
      </c>
      <c r="N204" s="3" t="s">
        <v>5155</v>
      </c>
      <c r="R204" s="3">
        <v>9</v>
      </c>
      <c r="S204" s="3" t="s">
        <v>4857</v>
      </c>
      <c r="T204" s="3" t="s">
        <v>5381</v>
      </c>
      <c r="U204" s="3" t="s">
        <v>290</v>
      </c>
      <c r="V204" s="3">
        <v>399</v>
      </c>
      <c r="W204" s="3">
        <v>0</v>
      </c>
      <c r="X204" s="3">
        <v>82</v>
      </c>
      <c r="Y204" s="3">
        <v>0</v>
      </c>
      <c r="Z204" s="3">
        <v>0</v>
      </c>
      <c r="AA204" s="3">
        <v>82</v>
      </c>
      <c r="AB204" s="3">
        <v>184</v>
      </c>
      <c r="AC204" s="192">
        <v>0</v>
      </c>
      <c r="AF204" s="193">
        <v>8.3333333333333332E-3</v>
      </c>
      <c r="AG204" s="193">
        <v>1.8055555555555554E-2</v>
      </c>
      <c r="AH204" s="193">
        <v>0.29444444444444445</v>
      </c>
    </row>
    <row r="205" spans="1:34" x14ac:dyDescent="0.25">
      <c r="A205" s="3" t="s">
        <v>5390</v>
      </c>
      <c r="B205" s="3">
        <v>146808</v>
      </c>
      <c r="C205" s="3">
        <v>943007</v>
      </c>
      <c r="D205" s="3" t="s">
        <v>5288</v>
      </c>
      <c r="E205" s="3">
        <v>1</v>
      </c>
      <c r="F205" s="3">
        <v>3</v>
      </c>
      <c r="G205" s="3">
        <v>9</v>
      </c>
      <c r="H205" s="55" t="s">
        <v>289</v>
      </c>
      <c r="I205" s="3" t="s">
        <v>5358</v>
      </c>
      <c r="J205" s="3" t="s">
        <v>5096</v>
      </c>
      <c r="L205" s="3">
        <v>1751</v>
      </c>
      <c r="M205" s="3">
        <v>27307</v>
      </c>
      <c r="N205" s="3" t="s">
        <v>5155</v>
      </c>
      <c r="R205" s="3">
        <v>9</v>
      </c>
      <c r="S205" s="3" t="s">
        <v>4857</v>
      </c>
      <c r="T205" s="3" t="s">
        <v>5381</v>
      </c>
      <c r="U205" s="3" t="s">
        <v>313</v>
      </c>
      <c r="V205" s="3">
        <v>399</v>
      </c>
      <c r="W205" s="3">
        <v>0</v>
      </c>
      <c r="X205" s="3">
        <v>236</v>
      </c>
      <c r="Y205" s="3">
        <v>0</v>
      </c>
      <c r="Z205" s="3">
        <v>0</v>
      </c>
      <c r="AA205" s="3">
        <v>236</v>
      </c>
      <c r="AB205" s="3">
        <v>420</v>
      </c>
      <c r="AC205" s="192">
        <v>0</v>
      </c>
      <c r="AF205" s="193">
        <v>2.4305555555555556E-2</v>
      </c>
      <c r="AG205" s="193">
        <v>4.2361111111111113E-2</v>
      </c>
      <c r="AH205" s="193">
        <v>0.31874999999999998</v>
      </c>
    </row>
    <row r="206" spans="1:34" x14ac:dyDescent="0.25">
      <c r="A206" s="3" t="s">
        <v>5390</v>
      </c>
      <c r="B206" s="3">
        <v>146808</v>
      </c>
      <c r="C206" s="3">
        <v>943007</v>
      </c>
      <c r="D206" s="3" t="s">
        <v>5288</v>
      </c>
      <c r="E206" s="3">
        <v>1</v>
      </c>
      <c r="F206" s="3">
        <v>4</v>
      </c>
      <c r="G206" s="3">
        <v>10</v>
      </c>
      <c r="H206" s="55" t="s">
        <v>289</v>
      </c>
      <c r="I206" s="3" t="s">
        <v>5358</v>
      </c>
      <c r="J206" s="3" t="s">
        <v>5096</v>
      </c>
      <c r="L206" s="3">
        <v>1751</v>
      </c>
      <c r="M206" s="3">
        <v>27307</v>
      </c>
      <c r="N206" s="3" t="s">
        <v>5155</v>
      </c>
      <c r="R206" s="3">
        <v>9</v>
      </c>
      <c r="S206" s="3" t="s">
        <v>4857</v>
      </c>
      <c r="T206" s="3" t="s">
        <v>5381</v>
      </c>
      <c r="U206" s="3" t="s">
        <v>5156</v>
      </c>
      <c r="V206" s="3">
        <v>399</v>
      </c>
      <c r="W206" s="3">
        <v>0</v>
      </c>
      <c r="X206" s="3">
        <v>318</v>
      </c>
      <c r="Y206" s="3">
        <v>0</v>
      </c>
      <c r="Z206" s="3">
        <v>0</v>
      </c>
      <c r="AA206" s="3">
        <v>318</v>
      </c>
      <c r="AB206" s="3">
        <v>738</v>
      </c>
      <c r="AC206" s="192">
        <v>0</v>
      </c>
      <c r="AF206" s="193">
        <v>3.3333333333333333E-2</v>
      </c>
      <c r="AG206" s="193">
        <v>7.5694444444444439E-2</v>
      </c>
      <c r="AH206" s="193">
        <v>0.35208333333333336</v>
      </c>
    </row>
    <row r="207" spans="1:34" x14ac:dyDescent="0.25">
      <c r="A207" s="3" t="s">
        <v>5390</v>
      </c>
      <c r="B207" s="3">
        <v>146808</v>
      </c>
      <c r="C207" s="3">
        <v>943007</v>
      </c>
      <c r="D207" s="3" t="s">
        <v>5288</v>
      </c>
      <c r="E207" s="3">
        <v>1</v>
      </c>
      <c r="F207" s="3">
        <v>5</v>
      </c>
      <c r="G207" s="3">
        <v>11</v>
      </c>
      <c r="H207" s="55" t="s">
        <v>289</v>
      </c>
      <c r="I207" s="3" t="s">
        <v>5358</v>
      </c>
      <c r="J207" s="3" t="s">
        <v>5096</v>
      </c>
      <c r="L207" s="3">
        <v>1751</v>
      </c>
      <c r="M207" s="3">
        <v>27307</v>
      </c>
      <c r="N207" s="3" t="s">
        <v>5155</v>
      </c>
      <c r="R207" s="3">
        <v>9</v>
      </c>
      <c r="S207" s="3" t="s">
        <v>4857</v>
      </c>
      <c r="T207" s="3" t="s">
        <v>5381</v>
      </c>
      <c r="U207" s="3" t="s">
        <v>311</v>
      </c>
      <c r="V207" s="3">
        <v>399</v>
      </c>
      <c r="W207" s="3">
        <v>0</v>
      </c>
      <c r="X207" s="3">
        <v>342</v>
      </c>
      <c r="Y207" s="3">
        <v>0</v>
      </c>
      <c r="Z207" s="3">
        <v>0</v>
      </c>
      <c r="AA207" s="3">
        <v>342</v>
      </c>
      <c r="AB207" s="3">
        <v>1080</v>
      </c>
      <c r="AC207" s="192">
        <v>8.3333333333333332E-3</v>
      </c>
      <c r="AD207" s="3" t="s">
        <v>292</v>
      </c>
      <c r="AF207" s="193">
        <v>3.5416666666666666E-2</v>
      </c>
      <c r="AG207" s="193">
        <v>0.1111111111111111</v>
      </c>
      <c r="AH207" s="193">
        <v>0.39583333333333331</v>
      </c>
    </row>
    <row r="208" spans="1:34" x14ac:dyDescent="0.25">
      <c r="A208" s="3" t="s">
        <v>5390</v>
      </c>
      <c r="B208" s="3">
        <v>146808</v>
      </c>
      <c r="C208" s="3">
        <v>943007</v>
      </c>
      <c r="D208" s="3" t="s">
        <v>5288</v>
      </c>
      <c r="E208" s="3">
        <v>1</v>
      </c>
      <c r="F208" s="3">
        <v>6</v>
      </c>
      <c r="G208" s="3">
        <v>12</v>
      </c>
      <c r="H208" s="55" t="s">
        <v>289</v>
      </c>
      <c r="I208" s="3" t="s">
        <v>5358</v>
      </c>
      <c r="J208" s="3" t="s">
        <v>5096</v>
      </c>
      <c r="L208" s="3">
        <v>1751</v>
      </c>
      <c r="M208" s="3">
        <v>27307</v>
      </c>
      <c r="N208" s="3" t="s">
        <v>5155</v>
      </c>
      <c r="R208" s="3">
        <v>9</v>
      </c>
      <c r="S208" s="3" t="s">
        <v>4857</v>
      </c>
      <c r="T208" s="3" t="s">
        <v>5381</v>
      </c>
      <c r="U208" s="3" t="s">
        <v>304</v>
      </c>
      <c r="V208" s="3">
        <v>399</v>
      </c>
      <c r="W208" s="3">
        <v>0</v>
      </c>
      <c r="X208" s="3">
        <v>312</v>
      </c>
      <c r="Y208" s="3">
        <v>0</v>
      </c>
      <c r="Z208" s="3">
        <v>0</v>
      </c>
      <c r="AA208" s="3">
        <v>312</v>
      </c>
      <c r="AB208" s="3">
        <v>1392</v>
      </c>
      <c r="AC208" s="192">
        <v>0</v>
      </c>
      <c r="AF208" s="193">
        <v>3.2638888888888891E-2</v>
      </c>
      <c r="AG208" s="193">
        <v>0.14374999999999999</v>
      </c>
      <c r="AH208" s="193">
        <v>0.4284722222222222</v>
      </c>
    </row>
    <row r="209" spans="1:34" x14ac:dyDescent="0.25">
      <c r="A209" s="3" t="s">
        <v>5390</v>
      </c>
      <c r="B209" s="3">
        <v>146808</v>
      </c>
      <c r="C209" s="3">
        <v>943007</v>
      </c>
      <c r="D209" s="3" t="s">
        <v>5288</v>
      </c>
      <c r="E209" s="3">
        <v>1</v>
      </c>
      <c r="F209" s="3">
        <v>7</v>
      </c>
      <c r="G209" s="3">
        <v>13</v>
      </c>
      <c r="H209" s="55" t="s">
        <v>289</v>
      </c>
      <c r="I209" s="3" t="s">
        <v>5358</v>
      </c>
      <c r="J209" s="3" t="s">
        <v>5096</v>
      </c>
      <c r="L209" s="3">
        <v>1751</v>
      </c>
      <c r="M209" s="3">
        <v>27307</v>
      </c>
      <c r="N209" s="3" t="s">
        <v>5155</v>
      </c>
      <c r="R209" s="3">
        <v>9</v>
      </c>
      <c r="S209" s="3" t="s">
        <v>4857</v>
      </c>
      <c r="T209" s="3" t="s">
        <v>5381</v>
      </c>
      <c r="U209" s="3" t="s">
        <v>298</v>
      </c>
      <c r="V209" s="3">
        <v>399</v>
      </c>
      <c r="W209" s="3">
        <v>0</v>
      </c>
      <c r="X209" s="3">
        <v>204</v>
      </c>
      <c r="Y209" s="3">
        <v>0</v>
      </c>
      <c r="Z209" s="3">
        <v>0</v>
      </c>
      <c r="AA209" s="3">
        <v>204</v>
      </c>
      <c r="AB209" s="3">
        <v>1596</v>
      </c>
      <c r="AC209" s="192">
        <v>0</v>
      </c>
      <c r="AF209" s="193">
        <v>2.1527777777777778E-2</v>
      </c>
      <c r="AG209" s="193">
        <v>0.16527777777777777</v>
      </c>
      <c r="AH209" s="193">
        <v>0.45</v>
      </c>
    </row>
    <row r="210" spans="1:34" x14ac:dyDescent="0.25">
      <c r="A210" s="3" t="s">
        <v>5390</v>
      </c>
      <c r="B210" s="3">
        <v>146809</v>
      </c>
      <c r="C210" s="3">
        <v>943007</v>
      </c>
      <c r="D210" s="3" t="s">
        <v>5288</v>
      </c>
      <c r="E210" s="3">
        <v>1</v>
      </c>
      <c r="F210" s="3">
        <v>8</v>
      </c>
      <c r="G210" s="3">
        <v>8</v>
      </c>
      <c r="H210" s="55" t="s">
        <v>289</v>
      </c>
      <c r="I210" s="3" t="s">
        <v>5358</v>
      </c>
      <c r="J210" s="3" t="s">
        <v>5096</v>
      </c>
      <c r="L210" s="3">
        <v>1751</v>
      </c>
      <c r="M210" s="3">
        <v>27307</v>
      </c>
      <c r="N210" s="3" t="s">
        <v>5155</v>
      </c>
      <c r="R210" s="3">
        <v>9</v>
      </c>
      <c r="S210" s="3" t="s">
        <v>4858</v>
      </c>
      <c r="T210" s="3" t="s">
        <v>5152</v>
      </c>
      <c r="U210" s="3" t="s">
        <v>290</v>
      </c>
      <c r="V210" s="3">
        <v>399</v>
      </c>
      <c r="W210" s="3">
        <v>0</v>
      </c>
      <c r="X210" s="3">
        <v>50</v>
      </c>
      <c r="Y210" s="3">
        <v>0</v>
      </c>
      <c r="Z210" s="3">
        <v>0</v>
      </c>
      <c r="AA210" s="3">
        <v>50</v>
      </c>
      <c r="AB210" s="3">
        <v>1646</v>
      </c>
      <c r="AC210" s="192">
        <v>0</v>
      </c>
      <c r="AF210" s="193">
        <v>5.5555555555555558E-3</v>
      </c>
      <c r="AG210" s="193">
        <v>0.17083333333333334</v>
      </c>
      <c r="AH210" s="193">
        <v>0.45555555555555555</v>
      </c>
    </row>
    <row r="211" spans="1:34" x14ac:dyDescent="0.25">
      <c r="A211" s="3" t="s">
        <v>5390</v>
      </c>
      <c r="B211" s="3">
        <v>146809</v>
      </c>
      <c r="C211" s="3">
        <v>943007</v>
      </c>
      <c r="D211" s="3" t="s">
        <v>5288</v>
      </c>
      <c r="E211" s="3">
        <v>1</v>
      </c>
      <c r="F211" s="3">
        <v>9</v>
      </c>
      <c r="G211" s="3">
        <v>9</v>
      </c>
      <c r="H211" s="55" t="s">
        <v>289</v>
      </c>
      <c r="I211" s="3" t="s">
        <v>5358</v>
      </c>
      <c r="J211" s="3" t="s">
        <v>5096</v>
      </c>
      <c r="L211" s="3">
        <v>1751</v>
      </c>
      <c r="M211" s="3">
        <v>27307</v>
      </c>
      <c r="N211" s="3" t="s">
        <v>5155</v>
      </c>
      <c r="R211" s="3">
        <v>9</v>
      </c>
      <c r="S211" s="3" t="s">
        <v>4858</v>
      </c>
      <c r="T211" s="3" t="s">
        <v>5152</v>
      </c>
      <c r="U211" s="3" t="s">
        <v>313</v>
      </c>
      <c r="V211" s="3">
        <v>399</v>
      </c>
      <c r="W211" s="3">
        <v>0</v>
      </c>
      <c r="X211" s="3">
        <v>116</v>
      </c>
      <c r="Y211" s="3">
        <v>0</v>
      </c>
      <c r="Z211" s="3">
        <v>0</v>
      </c>
      <c r="AA211" s="3">
        <v>116</v>
      </c>
      <c r="AB211" s="3">
        <v>1762</v>
      </c>
      <c r="AC211" s="192">
        <v>4.1666666666666664E-2</v>
      </c>
      <c r="AD211" s="3" t="s">
        <v>294</v>
      </c>
      <c r="AE211" s="3" t="s">
        <v>295</v>
      </c>
      <c r="AF211" s="193">
        <v>1.1805555555555555E-2</v>
      </c>
      <c r="AG211" s="193">
        <v>0.18263888888888888</v>
      </c>
      <c r="AH211" s="193">
        <v>0.50902777777777775</v>
      </c>
    </row>
    <row r="212" spans="1:34" x14ac:dyDescent="0.25">
      <c r="A212" s="3" t="s">
        <v>5390</v>
      </c>
      <c r="B212" s="3">
        <v>146809</v>
      </c>
      <c r="C212" s="3">
        <v>943007</v>
      </c>
      <c r="D212" s="3" t="s">
        <v>5288</v>
      </c>
      <c r="E212" s="3">
        <v>1</v>
      </c>
      <c r="F212" s="3">
        <v>10</v>
      </c>
      <c r="G212" s="3">
        <v>10</v>
      </c>
      <c r="H212" s="55" t="s">
        <v>289</v>
      </c>
      <c r="I212" s="3" t="s">
        <v>5358</v>
      </c>
      <c r="J212" s="3" t="s">
        <v>5096</v>
      </c>
      <c r="L212" s="3">
        <v>1751</v>
      </c>
      <c r="M212" s="3">
        <v>27307</v>
      </c>
      <c r="N212" s="3" t="s">
        <v>5155</v>
      </c>
      <c r="R212" s="3">
        <v>9</v>
      </c>
      <c r="S212" s="3" t="s">
        <v>4858</v>
      </c>
      <c r="T212" s="3" t="s">
        <v>5152</v>
      </c>
      <c r="U212" s="3" t="s">
        <v>5156</v>
      </c>
      <c r="V212" s="3">
        <v>399</v>
      </c>
      <c r="W212" s="3">
        <v>0</v>
      </c>
      <c r="X212" s="3">
        <v>158</v>
      </c>
      <c r="Y212" s="3">
        <v>0</v>
      </c>
      <c r="Z212" s="3">
        <v>0</v>
      </c>
      <c r="AA212" s="3">
        <v>158</v>
      </c>
      <c r="AB212" s="3">
        <v>1920</v>
      </c>
      <c r="AC212" s="192">
        <v>0</v>
      </c>
      <c r="AF212" s="193">
        <v>1.6666666666666666E-2</v>
      </c>
      <c r="AG212" s="193">
        <v>0.19930555555555557</v>
      </c>
      <c r="AH212" s="193">
        <v>0.52569444444444446</v>
      </c>
    </row>
    <row r="213" spans="1:34" x14ac:dyDescent="0.25">
      <c r="A213" s="3" t="s">
        <v>5390</v>
      </c>
      <c r="B213" s="3">
        <v>146809</v>
      </c>
      <c r="C213" s="3">
        <v>943007</v>
      </c>
      <c r="D213" s="3" t="s">
        <v>5288</v>
      </c>
      <c r="E213" s="3">
        <v>1</v>
      </c>
      <c r="F213" s="3">
        <v>11</v>
      </c>
      <c r="G213" s="3">
        <v>11</v>
      </c>
      <c r="H213" s="55" t="s">
        <v>289</v>
      </c>
      <c r="I213" s="3" t="s">
        <v>5358</v>
      </c>
      <c r="J213" s="3" t="s">
        <v>5096</v>
      </c>
      <c r="L213" s="3">
        <v>1751</v>
      </c>
      <c r="M213" s="3">
        <v>27307</v>
      </c>
      <c r="N213" s="3" t="s">
        <v>5155</v>
      </c>
      <c r="R213" s="3">
        <v>9</v>
      </c>
      <c r="S213" s="3" t="s">
        <v>4858</v>
      </c>
      <c r="T213" s="3" t="s">
        <v>5152</v>
      </c>
      <c r="U213" s="3" t="s">
        <v>311</v>
      </c>
      <c r="V213" s="3">
        <v>399</v>
      </c>
      <c r="W213" s="3">
        <v>0</v>
      </c>
      <c r="X213" s="3">
        <v>180</v>
      </c>
      <c r="Y213" s="3">
        <v>0</v>
      </c>
      <c r="Z213" s="3">
        <v>0</v>
      </c>
      <c r="AA213" s="3">
        <v>180</v>
      </c>
      <c r="AB213" s="3">
        <v>2100</v>
      </c>
      <c r="AC213" s="192">
        <v>0</v>
      </c>
      <c r="AF213" s="193">
        <v>1.8749999999999999E-2</v>
      </c>
      <c r="AG213" s="193">
        <v>0.21805555555555556</v>
      </c>
      <c r="AH213" s="193">
        <v>0.5444444444444444</v>
      </c>
    </row>
    <row r="214" spans="1:34" x14ac:dyDescent="0.25">
      <c r="A214" s="3" t="s">
        <v>5390</v>
      </c>
      <c r="B214" s="3">
        <v>146809</v>
      </c>
      <c r="C214" s="3">
        <v>943007</v>
      </c>
      <c r="D214" s="3" t="s">
        <v>5288</v>
      </c>
      <c r="E214" s="3">
        <v>1</v>
      </c>
      <c r="F214" s="3">
        <v>12</v>
      </c>
      <c r="G214" s="3">
        <v>12</v>
      </c>
      <c r="H214" s="55" t="s">
        <v>289</v>
      </c>
      <c r="I214" s="3" t="s">
        <v>5358</v>
      </c>
      <c r="J214" s="3" t="s">
        <v>5096</v>
      </c>
      <c r="L214" s="3">
        <v>1751</v>
      </c>
      <c r="M214" s="3">
        <v>27307</v>
      </c>
      <c r="N214" s="3" t="s">
        <v>5155</v>
      </c>
      <c r="R214" s="3">
        <v>9</v>
      </c>
      <c r="S214" s="3" t="s">
        <v>4858</v>
      </c>
      <c r="T214" s="3" t="s">
        <v>5152</v>
      </c>
      <c r="U214" s="3" t="s">
        <v>304</v>
      </c>
      <c r="V214" s="3">
        <v>399</v>
      </c>
      <c r="W214" s="3">
        <v>0</v>
      </c>
      <c r="X214" s="3">
        <v>164</v>
      </c>
      <c r="Y214" s="3">
        <v>0</v>
      </c>
      <c r="Z214" s="3">
        <v>0</v>
      </c>
      <c r="AA214" s="3">
        <v>164</v>
      </c>
      <c r="AB214" s="3">
        <v>2264</v>
      </c>
      <c r="AC214" s="192">
        <v>0</v>
      </c>
      <c r="AF214" s="193">
        <v>1.7361111111111112E-2</v>
      </c>
      <c r="AG214" s="193">
        <v>0.23472222222222222</v>
      </c>
      <c r="AH214" s="193">
        <v>0.56180555555555556</v>
      </c>
    </row>
    <row r="215" spans="1:34" x14ac:dyDescent="0.25">
      <c r="A215" s="3" t="s">
        <v>5390</v>
      </c>
      <c r="B215" s="3">
        <v>146809</v>
      </c>
      <c r="C215" s="3">
        <v>943007</v>
      </c>
      <c r="D215" s="3" t="s">
        <v>5288</v>
      </c>
      <c r="E215" s="3">
        <v>1</v>
      </c>
      <c r="F215" s="3">
        <v>13</v>
      </c>
      <c r="G215" s="3">
        <v>13</v>
      </c>
      <c r="H215" s="55" t="s">
        <v>289</v>
      </c>
      <c r="I215" s="3" t="s">
        <v>5358</v>
      </c>
      <c r="J215" s="3" t="s">
        <v>5096</v>
      </c>
      <c r="L215" s="3">
        <v>1751</v>
      </c>
      <c r="M215" s="3">
        <v>27307</v>
      </c>
      <c r="N215" s="3" t="s">
        <v>5155</v>
      </c>
      <c r="R215" s="3">
        <v>9</v>
      </c>
      <c r="S215" s="3" t="s">
        <v>4858</v>
      </c>
      <c r="T215" s="3" t="s">
        <v>5152</v>
      </c>
      <c r="U215" s="3" t="s">
        <v>298</v>
      </c>
      <c r="V215" s="3">
        <v>399</v>
      </c>
      <c r="W215" s="3">
        <v>0</v>
      </c>
      <c r="X215" s="3">
        <v>144</v>
      </c>
      <c r="Y215" s="3">
        <v>0</v>
      </c>
      <c r="Z215" s="3">
        <v>0</v>
      </c>
      <c r="AA215" s="3">
        <v>144</v>
      </c>
      <c r="AB215" s="3">
        <v>2408</v>
      </c>
      <c r="AC215" s="192">
        <v>8.3333333333333332E-3</v>
      </c>
      <c r="AD215" s="3" t="s">
        <v>404</v>
      </c>
      <c r="AF215" s="193">
        <v>1.5277777777777777E-2</v>
      </c>
      <c r="AG215" s="193">
        <v>0.25</v>
      </c>
      <c r="AH215" s="193">
        <v>0.5854166666666667</v>
      </c>
    </row>
    <row r="216" spans="1:34" x14ac:dyDescent="0.25">
      <c r="A216" s="3" t="s">
        <v>5390</v>
      </c>
      <c r="B216" s="3">
        <v>146811</v>
      </c>
      <c r="C216" s="3">
        <v>943007</v>
      </c>
      <c r="D216" s="3" t="s">
        <v>5288</v>
      </c>
      <c r="E216" s="3">
        <v>1</v>
      </c>
      <c r="F216" s="3">
        <v>14</v>
      </c>
      <c r="G216" s="3">
        <v>8</v>
      </c>
      <c r="H216" s="55" t="s">
        <v>289</v>
      </c>
      <c r="I216" s="3" t="s">
        <v>5358</v>
      </c>
      <c r="J216" s="3" t="s">
        <v>5096</v>
      </c>
      <c r="L216" s="3">
        <v>1751</v>
      </c>
      <c r="M216" s="3">
        <v>27307</v>
      </c>
      <c r="N216" s="3" t="s">
        <v>5155</v>
      </c>
      <c r="R216" s="3">
        <v>9</v>
      </c>
      <c r="S216" s="3" t="s">
        <v>4859</v>
      </c>
      <c r="T216" s="3" t="s">
        <v>5137</v>
      </c>
      <c r="U216" s="3" t="s">
        <v>290</v>
      </c>
      <c r="V216" s="3">
        <v>399</v>
      </c>
      <c r="W216" s="3">
        <v>0</v>
      </c>
      <c r="X216" s="3">
        <v>194</v>
      </c>
      <c r="Y216" s="3">
        <v>0</v>
      </c>
      <c r="Z216" s="3">
        <v>0</v>
      </c>
      <c r="AA216" s="3">
        <v>194</v>
      </c>
      <c r="AB216" s="3">
        <v>2602</v>
      </c>
      <c r="AC216" s="192">
        <v>0</v>
      </c>
      <c r="AF216" s="193">
        <v>2.013888888888889E-2</v>
      </c>
      <c r="AG216" s="193">
        <v>0.27013888888888887</v>
      </c>
      <c r="AH216" s="193">
        <v>0.60555555555555551</v>
      </c>
    </row>
    <row r="217" spans="1:34" x14ac:dyDescent="0.25">
      <c r="A217" s="3" t="s">
        <v>5390</v>
      </c>
      <c r="B217" s="3">
        <v>146811</v>
      </c>
      <c r="C217" s="3">
        <v>943007</v>
      </c>
      <c r="D217" s="3" t="s">
        <v>5288</v>
      </c>
      <c r="E217" s="3">
        <v>1</v>
      </c>
      <c r="F217" s="3">
        <v>15</v>
      </c>
      <c r="G217" s="3">
        <v>9</v>
      </c>
      <c r="H217" s="55" t="s">
        <v>289</v>
      </c>
      <c r="I217" s="3" t="s">
        <v>5358</v>
      </c>
      <c r="J217" s="3" t="s">
        <v>5096</v>
      </c>
      <c r="L217" s="3">
        <v>1751</v>
      </c>
      <c r="M217" s="3">
        <v>27307</v>
      </c>
      <c r="N217" s="3" t="s">
        <v>5155</v>
      </c>
      <c r="R217" s="3">
        <v>9</v>
      </c>
      <c r="S217" s="3" t="s">
        <v>4859</v>
      </c>
      <c r="T217" s="3" t="s">
        <v>5137</v>
      </c>
      <c r="U217" s="3" t="s">
        <v>313</v>
      </c>
      <c r="V217" s="3">
        <v>399</v>
      </c>
      <c r="W217" s="3">
        <v>0</v>
      </c>
      <c r="X217" s="3">
        <v>430</v>
      </c>
      <c r="Y217" s="3">
        <v>0</v>
      </c>
      <c r="Z217" s="3">
        <v>0</v>
      </c>
      <c r="AA217" s="3">
        <v>430</v>
      </c>
      <c r="AB217" s="3">
        <v>3032</v>
      </c>
      <c r="AC217" s="192">
        <v>0</v>
      </c>
      <c r="AF217" s="193">
        <v>4.5138888888888888E-2</v>
      </c>
      <c r="AG217" s="193">
        <v>0.31527777777777777</v>
      </c>
      <c r="AH217" s="193">
        <v>0.65763888888888888</v>
      </c>
    </row>
    <row r="218" spans="1:34" x14ac:dyDescent="0.25">
      <c r="A218" s="3" t="s">
        <v>5390</v>
      </c>
      <c r="B218" s="3">
        <v>146811</v>
      </c>
      <c r="C218" s="3">
        <v>943007</v>
      </c>
      <c r="D218" s="3" t="s">
        <v>5288</v>
      </c>
      <c r="E218" s="3">
        <v>1</v>
      </c>
      <c r="F218" s="3">
        <v>16</v>
      </c>
      <c r="G218" s="3">
        <v>10</v>
      </c>
      <c r="H218" s="55" t="s">
        <v>289</v>
      </c>
      <c r="I218" s="3" t="s">
        <v>5358</v>
      </c>
      <c r="J218" s="3" t="s">
        <v>5096</v>
      </c>
      <c r="L218" s="3">
        <v>1751</v>
      </c>
      <c r="M218" s="3">
        <v>27307</v>
      </c>
      <c r="N218" s="3" t="s">
        <v>5155</v>
      </c>
      <c r="R218" s="3">
        <v>9</v>
      </c>
      <c r="S218" s="3" t="s">
        <v>4859</v>
      </c>
      <c r="T218" s="3" t="s">
        <v>5137</v>
      </c>
      <c r="U218" s="3" t="s">
        <v>5156</v>
      </c>
      <c r="V218" s="3">
        <v>399</v>
      </c>
      <c r="W218" s="3">
        <v>0</v>
      </c>
      <c r="X218" s="3">
        <v>542</v>
      </c>
      <c r="Y218" s="3">
        <v>0</v>
      </c>
      <c r="Z218" s="3">
        <v>0</v>
      </c>
      <c r="AA218" s="3">
        <v>542</v>
      </c>
      <c r="AB218" s="3">
        <v>3574</v>
      </c>
      <c r="AC218" s="192">
        <v>0</v>
      </c>
      <c r="AF218" s="193">
        <v>5.6944444444444443E-2</v>
      </c>
      <c r="AG218" s="193">
        <v>0.37152777777777779</v>
      </c>
      <c r="AH218" s="193">
        <v>0.71458333333333335</v>
      </c>
    </row>
    <row r="219" spans="1:34" x14ac:dyDescent="0.25">
      <c r="A219" s="3" t="s">
        <v>5390</v>
      </c>
      <c r="B219" s="3">
        <v>146811</v>
      </c>
      <c r="C219" s="3">
        <v>943007</v>
      </c>
      <c r="D219" s="3" t="s">
        <v>5288</v>
      </c>
      <c r="E219" s="3">
        <v>1</v>
      </c>
      <c r="F219" s="3">
        <v>17</v>
      </c>
      <c r="G219" s="3">
        <v>11</v>
      </c>
      <c r="H219" s="55" t="s">
        <v>289</v>
      </c>
      <c r="I219" s="3" t="s">
        <v>5358</v>
      </c>
      <c r="J219" s="3" t="s">
        <v>5096</v>
      </c>
      <c r="L219" s="3">
        <v>1751</v>
      </c>
      <c r="M219" s="3">
        <v>27307</v>
      </c>
      <c r="N219" s="3" t="s">
        <v>5155</v>
      </c>
      <c r="R219" s="3">
        <v>9</v>
      </c>
      <c r="S219" s="3" t="s">
        <v>4859</v>
      </c>
      <c r="T219" s="3" t="s">
        <v>5137</v>
      </c>
      <c r="U219" s="3" t="s">
        <v>311</v>
      </c>
      <c r="V219" s="3">
        <v>399</v>
      </c>
      <c r="W219" s="3">
        <v>0</v>
      </c>
      <c r="X219" s="3">
        <v>608</v>
      </c>
      <c r="Y219" s="3">
        <v>0</v>
      </c>
      <c r="Z219" s="3">
        <v>0</v>
      </c>
      <c r="AA219" s="3">
        <v>608</v>
      </c>
      <c r="AB219" s="3">
        <v>4182</v>
      </c>
      <c r="AC219" s="192">
        <v>8.3333333333333332E-3</v>
      </c>
      <c r="AD219" s="3" t="s">
        <v>292</v>
      </c>
      <c r="AF219" s="193">
        <v>6.3194444444444442E-2</v>
      </c>
      <c r="AG219" s="193">
        <v>0.43541666666666667</v>
      </c>
      <c r="AH219" s="193">
        <v>0.78611111111111109</v>
      </c>
    </row>
    <row r="220" spans="1:34" x14ac:dyDescent="0.25">
      <c r="A220" s="3" t="s">
        <v>5390</v>
      </c>
      <c r="B220" s="3">
        <v>146811</v>
      </c>
      <c r="C220" s="3">
        <v>943007</v>
      </c>
      <c r="D220" s="3" t="s">
        <v>5288</v>
      </c>
      <c r="E220" s="3">
        <v>1</v>
      </c>
      <c r="F220" s="3">
        <v>18</v>
      </c>
      <c r="G220" s="3">
        <v>12</v>
      </c>
      <c r="H220" s="55" t="s">
        <v>289</v>
      </c>
      <c r="I220" s="3" t="s">
        <v>5358</v>
      </c>
      <c r="J220" s="3" t="s">
        <v>5096</v>
      </c>
      <c r="L220" s="3">
        <v>1751</v>
      </c>
      <c r="M220" s="3">
        <v>27307</v>
      </c>
      <c r="N220" s="3" t="s">
        <v>5155</v>
      </c>
      <c r="R220" s="3">
        <v>9</v>
      </c>
      <c r="S220" s="3" t="s">
        <v>4859</v>
      </c>
      <c r="T220" s="3" t="s">
        <v>5137</v>
      </c>
      <c r="U220" s="3" t="s">
        <v>304</v>
      </c>
      <c r="V220" s="3">
        <v>399</v>
      </c>
      <c r="W220" s="3">
        <v>0</v>
      </c>
      <c r="X220" s="3">
        <v>552</v>
      </c>
      <c r="Y220" s="3">
        <v>0</v>
      </c>
      <c r="Z220" s="3">
        <v>0</v>
      </c>
      <c r="AA220" s="3">
        <v>552</v>
      </c>
      <c r="AB220" s="3">
        <v>4734</v>
      </c>
      <c r="AC220" s="192">
        <v>4.1666666666666664E-2</v>
      </c>
      <c r="AD220" s="3" t="s">
        <v>294</v>
      </c>
      <c r="AE220" s="3" t="s">
        <v>295</v>
      </c>
      <c r="AF220" s="193">
        <v>5.7638888888888892E-2</v>
      </c>
      <c r="AG220" s="193">
        <v>0.49305555555555558</v>
      </c>
      <c r="AH220" s="193">
        <v>0.88541666666666663</v>
      </c>
    </row>
    <row r="221" spans="1:34" x14ac:dyDescent="0.25">
      <c r="A221" s="3" t="s">
        <v>5390</v>
      </c>
      <c r="B221" s="3">
        <v>146811</v>
      </c>
      <c r="C221" s="3">
        <v>943007</v>
      </c>
      <c r="D221" s="3" t="s">
        <v>5288</v>
      </c>
      <c r="E221" s="3">
        <v>1</v>
      </c>
      <c r="F221" s="3">
        <v>19</v>
      </c>
      <c r="G221" s="3">
        <v>13</v>
      </c>
      <c r="H221" s="55" t="s">
        <v>289</v>
      </c>
      <c r="I221" s="3" t="s">
        <v>5358</v>
      </c>
      <c r="J221" s="3" t="s">
        <v>5096</v>
      </c>
      <c r="L221" s="3">
        <v>1751</v>
      </c>
      <c r="M221" s="3">
        <v>27307</v>
      </c>
      <c r="N221" s="3" t="s">
        <v>5155</v>
      </c>
      <c r="R221" s="3">
        <v>9</v>
      </c>
      <c r="S221" s="3" t="s">
        <v>4859</v>
      </c>
      <c r="T221" s="3" t="s">
        <v>5137</v>
      </c>
      <c r="U221" s="3" t="s">
        <v>298</v>
      </c>
      <c r="V221" s="3">
        <v>399</v>
      </c>
      <c r="W221" s="3">
        <v>0</v>
      </c>
      <c r="X221" s="3">
        <v>376</v>
      </c>
      <c r="Y221" s="3">
        <v>0</v>
      </c>
      <c r="Z221" s="3">
        <v>0</v>
      </c>
      <c r="AA221" s="3">
        <v>376</v>
      </c>
      <c r="AB221" s="3">
        <v>5110</v>
      </c>
      <c r="AC221" s="192">
        <v>0</v>
      </c>
      <c r="AF221" s="193">
        <v>3.9583333333333331E-2</v>
      </c>
      <c r="AG221" s="193">
        <v>0.53194444444444444</v>
      </c>
      <c r="AH221" s="193">
        <v>0.92500000000000004</v>
      </c>
    </row>
    <row r="222" spans="1:34" x14ac:dyDescent="0.25">
      <c r="A222" s="3" t="s">
        <v>5390</v>
      </c>
      <c r="B222" s="3">
        <v>146882</v>
      </c>
      <c r="C222" s="3">
        <v>943007</v>
      </c>
      <c r="D222" s="3" t="s">
        <v>5288</v>
      </c>
      <c r="E222" s="3">
        <v>1</v>
      </c>
      <c r="F222" s="3">
        <v>20</v>
      </c>
      <c r="G222" s="3">
        <v>6</v>
      </c>
      <c r="H222" s="55" t="s">
        <v>289</v>
      </c>
      <c r="I222" s="3" t="s">
        <v>5358</v>
      </c>
      <c r="J222" s="3" t="s">
        <v>5096</v>
      </c>
      <c r="L222" s="3">
        <v>1751</v>
      </c>
      <c r="M222" s="3">
        <v>27632</v>
      </c>
      <c r="N222" s="3" t="s">
        <v>5382</v>
      </c>
      <c r="R222" s="3">
        <v>8</v>
      </c>
      <c r="S222" s="3" t="s">
        <v>5383</v>
      </c>
      <c r="T222" s="3" t="s">
        <v>5384</v>
      </c>
      <c r="U222" s="3" t="s">
        <v>313</v>
      </c>
      <c r="V222" s="3">
        <v>450</v>
      </c>
      <c r="W222" s="3">
        <v>0</v>
      </c>
      <c r="X222" s="3">
        <v>32</v>
      </c>
      <c r="Y222" s="3">
        <v>0</v>
      </c>
      <c r="Z222" s="3">
        <v>0</v>
      </c>
      <c r="AA222" s="3">
        <v>32</v>
      </c>
      <c r="AB222" s="3">
        <v>5142</v>
      </c>
      <c r="AC222" s="192">
        <v>0</v>
      </c>
      <c r="AF222" s="193">
        <v>2.7777777777777779E-3</v>
      </c>
      <c r="AG222" s="193">
        <v>0.53541666666666665</v>
      </c>
      <c r="AH222" s="193">
        <v>0.92777777777777781</v>
      </c>
    </row>
    <row r="223" spans="1:34" x14ac:dyDescent="0.25">
      <c r="A223" s="3" t="s">
        <v>5390</v>
      </c>
      <c r="B223" s="3">
        <v>146882</v>
      </c>
      <c r="C223" s="3">
        <v>943007</v>
      </c>
      <c r="D223" s="3" t="s">
        <v>5288</v>
      </c>
      <c r="E223" s="3">
        <v>1</v>
      </c>
      <c r="F223" s="3">
        <v>21</v>
      </c>
      <c r="G223" s="3">
        <v>7</v>
      </c>
      <c r="H223" s="55" t="s">
        <v>289</v>
      </c>
      <c r="I223" s="3" t="s">
        <v>5358</v>
      </c>
      <c r="J223" s="3" t="s">
        <v>5096</v>
      </c>
      <c r="L223" s="3">
        <v>1751</v>
      </c>
      <c r="M223" s="3">
        <v>27632</v>
      </c>
      <c r="N223" s="3" t="s">
        <v>5382</v>
      </c>
      <c r="R223" s="3">
        <v>8</v>
      </c>
      <c r="S223" s="3" t="s">
        <v>5383</v>
      </c>
      <c r="T223" s="3" t="s">
        <v>5384</v>
      </c>
      <c r="U223" s="3" t="s">
        <v>5156</v>
      </c>
      <c r="V223" s="3">
        <v>450</v>
      </c>
      <c r="W223" s="3">
        <v>0</v>
      </c>
      <c r="X223" s="3">
        <v>42</v>
      </c>
      <c r="Y223" s="3">
        <v>0</v>
      </c>
      <c r="Z223" s="3">
        <v>0</v>
      </c>
      <c r="AA223" s="3">
        <v>42</v>
      </c>
      <c r="AB223" s="3">
        <v>5184</v>
      </c>
      <c r="AC223" s="192">
        <v>0</v>
      </c>
      <c r="AF223" s="193">
        <v>4.1666666666666666E-3</v>
      </c>
      <c r="AG223" s="193">
        <v>0.53888888888888886</v>
      </c>
      <c r="AH223" s="193">
        <v>0.93194444444444446</v>
      </c>
    </row>
    <row r="224" spans="1:34" x14ac:dyDescent="0.25">
      <c r="A224" s="3" t="s">
        <v>5390</v>
      </c>
      <c r="B224" s="3">
        <v>146882</v>
      </c>
      <c r="C224" s="3">
        <v>943007</v>
      </c>
      <c r="D224" s="3" t="s">
        <v>5288</v>
      </c>
      <c r="E224" s="3">
        <v>1</v>
      </c>
      <c r="F224" s="3">
        <v>22</v>
      </c>
      <c r="G224" s="3">
        <v>8</v>
      </c>
      <c r="H224" s="55" t="s">
        <v>289</v>
      </c>
      <c r="I224" s="3" t="s">
        <v>5358</v>
      </c>
      <c r="J224" s="3" t="s">
        <v>5096</v>
      </c>
      <c r="L224" s="3">
        <v>1751</v>
      </c>
      <c r="M224" s="3">
        <v>27632</v>
      </c>
      <c r="N224" s="3" t="s">
        <v>5382</v>
      </c>
      <c r="R224" s="3">
        <v>8</v>
      </c>
      <c r="S224" s="3" t="s">
        <v>5383</v>
      </c>
      <c r="T224" s="3" t="s">
        <v>5384</v>
      </c>
      <c r="U224" s="3" t="s">
        <v>311</v>
      </c>
      <c r="V224" s="3">
        <v>450</v>
      </c>
      <c r="W224" s="3">
        <v>0</v>
      </c>
      <c r="X224" s="3">
        <v>64</v>
      </c>
      <c r="Y224" s="3">
        <v>0</v>
      </c>
      <c r="Z224" s="3">
        <v>0</v>
      </c>
      <c r="AA224" s="3">
        <v>64</v>
      </c>
      <c r="AB224" s="3">
        <v>5248</v>
      </c>
      <c r="AC224" s="192">
        <v>0</v>
      </c>
      <c r="AF224" s="193">
        <v>6.2500000000000003E-3</v>
      </c>
      <c r="AG224" s="193">
        <v>0.54513888888888884</v>
      </c>
      <c r="AH224" s="193">
        <v>0.93819444444444444</v>
      </c>
    </row>
    <row r="225" spans="1:34" x14ac:dyDescent="0.25">
      <c r="A225" s="3" t="s">
        <v>5390</v>
      </c>
      <c r="B225" s="3">
        <v>146882</v>
      </c>
      <c r="C225" s="3">
        <v>943007</v>
      </c>
      <c r="D225" s="3" t="s">
        <v>5288</v>
      </c>
      <c r="E225" s="3">
        <v>1</v>
      </c>
      <c r="F225" s="3">
        <v>23</v>
      </c>
      <c r="G225" s="3">
        <v>9</v>
      </c>
      <c r="H225" s="55" t="s">
        <v>289</v>
      </c>
      <c r="I225" s="3" t="s">
        <v>5358</v>
      </c>
      <c r="J225" s="3" t="s">
        <v>5096</v>
      </c>
      <c r="L225" s="3">
        <v>1751</v>
      </c>
      <c r="M225" s="3">
        <v>27632</v>
      </c>
      <c r="N225" s="3" t="s">
        <v>5382</v>
      </c>
      <c r="R225" s="3">
        <v>8</v>
      </c>
      <c r="S225" s="3" t="s">
        <v>5383</v>
      </c>
      <c r="T225" s="3" t="s">
        <v>5384</v>
      </c>
      <c r="U225" s="3" t="s">
        <v>304</v>
      </c>
      <c r="V225" s="3">
        <v>450</v>
      </c>
      <c r="W225" s="3">
        <v>0</v>
      </c>
      <c r="X225" s="3">
        <v>56</v>
      </c>
      <c r="Y225" s="3">
        <v>0</v>
      </c>
      <c r="Z225" s="3">
        <v>0</v>
      </c>
      <c r="AA225" s="3">
        <v>56</v>
      </c>
      <c r="AB225" s="3">
        <v>5304</v>
      </c>
      <c r="AC225" s="192">
        <v>0</v>
      </c>
      <c r="AF225" s="193">
        <v>4.8611111111111112E-3</v>
      </c>
      <c r="AG225" s="193">
        <v>0.55000000000000004</v>
      </c>
      <c r="AH225" s="193">
        <v>0.94305555555555554</v>
      </c>
    </row>
    <row r="226" spans="1:34" x14ac:dyDescent="0.25">
      <c r="A226" s="3" t="s">
        <v>5390</v>
      </c>
      <c r="B226" s="3">
        <v>146883</v>
      </c>
      <c r="C226" s="3">
        <v>943007</v>
      </c>
      <c r="D226" s="3" t="s">
        <v>5288</v>
      </c>
      <c r="E226" s="3">
        <v>1</v>
      </c>
      <c r="F226" s="3">
        <v>24</v>
      </c>
      <c r="G226" s="3">
        <v>8</v>
      </c>
      <c r="H226" s="55" t="s">
        <v>289</v>
      </c>
      <c r="I226" s="3" t="s">
        <v>5358</v>
      </c>
      <c r="J226" s="3" t="s">
        <v>5096</v>
      </c>
      <c r="L226" s="3">
        <v>1751</v>
      </c>
      <c r="M226" s="3">
        <v>27632</v>
      </c>
      <c r="N226" s="3" t="s">
        <v>5382</v>
      </c>
      <c r="R226" s="3">
        <v>8</v>
      </c>
      <c r="S226" s="3" t="s">
        <v>5392</v>
      </c>
      <c r="T226" s="3" t="s">
        <v>325</v>
      </c>
      <c r="U226" s="3" t="s">
        <v>290</v>
      </c>
      <c r="V226" s="3">
        <v>450</v>
      </c>
      <c r="W226" s="3">
        <v>0</v>
      </c>
      <c r="X226" s="3">
        <v>306</v>
      </c>
      <c r="Y226" s="3">
        <v>0</v>
      </c>
      <c r="Z226" s="3">
        <v>0</v>
      </c>
      <c r="AA226" s="3">
        <v>306</v>
      </c>
      <c r="AB226" s="3">
        <v>5610</v>
      </c>
      <c r="AC226" s="192">
        <v>0</v>
      </c>
      <c r="AF226" s="193">
        <v>2.8472222222222222E-2</v>
      </c>
      <c r="AG226" s="193">
        <v>0.57847222222222228</v>
      </c>
      <c r="AH226" s="193">
        <v>0.97152777777777777</v>
      </c>
    </row>
    <row r="227" spans="1:34" x14ac:dyDescent="0.25">
      <c r="A227" s="3" t="s">
        <v>5394</v>
      </c>
      <c r="B227" s="3">
        <v>146800</v>
      </c>
      <c r="C227" s="3">
        <v>943007</v>
      </c>
      <c r="D227" s="3" t="s">
        <v>5288</v>
      </c>
      <c r="E227" s="3">
        <v>1</v>
      </c>
      <c r="F227" s="3">
        <v>1</v>
      </c>
      <c r="G227" s="3">
        <v>8</v>
      </c>
      <c r="H227" s="55" t="s">
        <v>289</v>
      </c>
      <c r="I227" s="3" t="s">
        <v>5358</v>
      </c>
      <c r="J227" s="3" t="s">
        <v>5096</v>
      </c>
      <c r="L227" s="3">
        <v>1820</v>
      </c>
      <c r="M227" s="3">
        <v>27291</v>
      </c>
      <c r="N227" s="3" t="s">
        <v>5197</v>
      </c>
      <c r="R227" s="3">
        <v>9</v>
      </c>
      <c r="S227" s="3" t="s">
        <v>5198</v>
      </c>
      <c r="T227" s="3" t="s">
        <v>5199</v>
      </c>
      <c r="U227" s="3" t="s">
        <v>290</v>
      </c>
      <c r="V227" s="3">
        <v>340</v>
      </c>
      <c r="W227" s="3">
        <v>0</v>
      </c>
      <c r="X227" s="3">
        <v>102</v>
      </c>
      <c r="Y227" s="3">
        <v>0</v>
      </c>
      <c r="Z227" s="3">
        <v>0</v>
      </c>
      <c r="AA227" s="3">
        <v>102</v>
      </c>
      <c r="AB227" s="3">
        <v>102</v>
      </c>
      <c r="AC227" s="192">
        <v>0</v>
      </c>
      <c r="AF227" s="193">
        <v>1.2500000000000001E-2</v>
      </c>
      <c r="AG227" s="193">
        <v>1.2500000000000001E-2</v>
      </c>
      <c r="AH227" s="193">
        <v>0.28958333333333336</v>
      </c>
    </row>
    <row r="228" spans="1:34" x14ac:dyDescent="0.25">
      <c r="A228" s="3" t="s">
        <v>5394</v>
      </c>
      <c r="B228" s="3">
        <v>146800</v>
      </c>
      <c r="C228" s="3">
        <v>943007</v>
      </c>
      <c r="D228" s="3" t="s">
        <v>5288</v>
      </c>
      <c r="E228" s="3">
        <v>1</v>
      </c>
      <c r="F228" s="3">
        <v>2</v>
      </c>
      <c r="G228" s="3">
        <v>9</v>
      </c>
      <c r="H228" s="55" t="s">
        <v>289</v>
      </c>
      <c r="I228" s="3" t="s">
        <v>5358</v>
      </c>
      <c r="J228" s="3" t="s">
        <v>5096</v>
      </c>
      <c r="L228" s="3">
        <v>1820</v>
      </c>
      <c r="M228" s="3">
        <v>27291</v>
      </c>
      <c r="N228" s="3" t="s">
        <v>5197</v>
      </c>
      <c r="R228" s="3">
        <v>9</v>
      </c>
      <c r="S228" s="3" t="s">
        <v>5198</v>
      </c>
      <c r="T228" s="3" t="s">
        <v>5199</v>
      </c>
      <c r="U228" s="3" t="s">
        <v>313</v>
      </c>
      <c r="V228" s="3">
        <v>340</v>
      </c>
      <c r="W228" s="3">
        <v>0</v>
      </c>
      <c r="X228" s="3">
        <v>218</v>
      </c>
      <c r="Y228" s="3">
        <v>0</v>
      </c>
      <c r="Z228" s="3">
        <v>0</v>
      </c>
      <c r="AA228" s="3">
        <v>218</v>
      </c>
      <c r="AB228" s="3">
        <v>320</v>
      </c>
      <c r="AC228" s="192">
        <v>0</v>
      </c>
      <c r="AF228" s="193">
        <v>2.6388888888888889E-2</v>
      </c>
      <c r="AG228" s="193">
        <v>3.888888888888889E-2</v>
      </c>
      <c r="AH228" s="193">
        <v>0.31597222222222221</v>
      </c>
    </row>
    <row r="229" spans="1:34" x14ac:dyDescent="0.25">
      <c r="A229" s="3" t="s">
        <v>5394</v>
      </c>
      <c r="B229" s="3">
        <v>146800</v>
      </c>
      <c r="C229" s="3">
        <v>943007</v>
      </c>
      <c r="D229" s="3" t="s">
        <v>5288</v>
      </c>
      <c r="E229" s="3">
        <v>1</v>
      </c>
      <c r="F229" s="3">
        <v>3</v>
      </c>
      <c r="G229" s="3">
        <v>10</v>
      </c>
      <c r="H229" s="55" t="s">
        <v>289</v>
      </c>
      <c r="I229" s="3" t="s">
        <v>5358</v>
      </c>
      <c r="J229" s="3" t="s">
        <v>5096</v>
      </c>
      <c r="L229" s="3">
        <v>1820</v>
      </c>
      <c r="M229" s="3">
        <v>27291</v>
      </c>
      <c r="N229" s="3" t="s">
        <v>5197</v>
      </c>
      <c r="R229" s="3">
        <v>9</v>
      </c>
      <c r="S229" s="3" t="s">
        <v>5198</v>
      </c>
      <c r="T229" s="3" t="s">
        <v>5199</v>
      </c>
      <c r="U229" s="3" t="s">
        <v>5156</v>
      </c>
      <c r="V229" s="3">
        <v>340</v>
      </c>
      <c r="W229" s="3">
        <v>0</v>
      </c>
      <c r="X229" s="3">
        <v>300</v>
      </c>
      <c r="Y229" s="3">
        <v>0</v>
      </c>
      <c r="Z229" s="3">
        <v>0</v>
      </c>
      <c r="AA229" s="3">
        <v>300</v>
      </c>
      <c r="AB229" s="3">
        <v>620</v>
      </c>
      <c r="AC229" s="192">
        <v>0</v>
      </c>
      <c r="AF229" s="193">
        <v>3.6805555555555557E-2</v>
      </c>
      <c r="AG229" s="193">
        <v>7.5694444444444439E-2</v>
      </c>
      <c r="AH229" s="193">
        <v>0.3527777777777778</v>
      </c>
    </row>
    <row r="230" spans="1:34" x14ac:dyDescent="0.25">
      <c r="A230" s="3" t="s">
        <v>5394</v>
      </c>
      <c r="B230" s="3">
        <v>146800</v>
      </c>
      <c r="C230" s="3">
        <v>943007</v>
      </c>
      <c r="D230" s="3" t="s">
        <v>5288</v>
      </c>
      <c r="E230" s="3">
        <v>1</v>
      </c>
      <c r="F230" s="3">
        <v>4</v>
      </c>
      <c r="G230" s="3">
        <v>11</v>
      </c>
      <c r="H230" s="55" t="s">
        <v>289</v>
      </c>
      <c r="I230" s="3" t="s">
        <v>5358</v>
      </c>
      <c r="J230" s="3" t="s">
        <v>5096</v>
      </c>
      <c r="L230" s="3">
        <v>1820</v>
      </c>
      <c r="M230" s="3">
        <v>27291</v>
      </c>
      <c r="N230" s="3" t="s">
        <v>5197</v>
      </c>
      <c r="R230" s="3">
        <v>9</v>
      </c>
      <c r="S230" s="3" t="s">
        <v>5198</v>
      </c>
      <c r="T230" s="3" t="s">
        <v>5199</v>
      </c>
      <c r="U230" s="3" t="s">
        <v>311</v>
      </c>
      <c r="V230" s="3">
        <v>340</v>
      </c>
      <c r="W230" s="3">
        <v>0</v>
      </c>
      <c r="X230" s="3">
        <v>304</v>
      </c>
      <c r="Y230" s="3">
        <v>0</v>
      </c>
      <c r="Z230" s="3">
        <v>0</v>
      </c>
      <c r="AA230" s="3">
        <v>304</v>
      </c>
      <c r="AB230" s="3">
        <v>924</v>
      </c>
      <c r="AC230" s="192">
        <v>8.3333333333333332E-3</v>
      </c>
      <c r="AD230" s="3" t="s">
        <v>292</v>
      </c>
      <c r="AF230" s="193">
        <v>3.7499999999999999E-2</v>
      </c>
      <c r="AG230" s="193">
        <v>0.11319444444444444</v>
      </c>
      <c r="AH230" s="193">
        <v>0.39861111111111114</v>
      </c>
    </row>
    <row r="231" spans="1:34" x14ac:dyDescent="0.25">
      <c r="A231" s="3" t="s">
        <v>5394</v>
      </c>
      <c r="B231" s="3">
        <v>146800</v>
      </c>
      <c r="C231" s="3">
        <v>943007</v>
      </c>
      <c r="D231" s="3" t="s">
        <v>5288</v>
      </c>
      <c r="E231" s="3">
        <v>1</v>
      </c>
      <c r="F231" s="3">
        <v>5</v>
      </c>
      <c r="G231" s="3">
        <v>12</v>
      </c>
      <c r="H231" s="55" t="s">
        <v>289</v>
      </c>
      <c r="I231" s="3" t="s">
        <v>5358</v>
      </c>
      <c r="J231" s="3" t="s">
        <v>5096</v>
      </c>
      <c r="L231" s="3">
        <v>1820</v>
      </c>
      <c r="M231" s="3">
        <v>27291</v>
      </c>
      <c r="N231" s="3" t="s">
        <v>5197</v>
      </c>
      <c r="R231" s="3">
        <v>9</v>
      </c>
      <c r="S231" s="3" t="s">
        <v>5198</v>
      </c>
      <c r="T231" s="3" t="s">
        <v>5199</v>
      </c>
      <c r="U231" s="3" t="s">
        <v>304</v>
      </c>
      <c r="V231" s="3">
        <v>340</v>
      </c>
      <c r="W231" s="3">
        <v>0</v>
      </c>
      <c r="X231" s="3">
        <v>266</v>
      </c>
      <c r="Y231" s="3">
        <v>0</v>
      </c>
      <c r="Z231" s="3">
        <v>0</v>
      </c>
      <c r="AA231" s="3">
        <v>266</v>
      </c>
      <c r="AB231" s="3">
        <v>1190</v>
      </c>
      <c r="AC231" s="192">
        <v>0</v>
      </c>
      <c r="AF231" s="193">
        <v>3.2638888888888891E-2</v>
      </c>
      <c r="AG231" s="193">
        <v>0.14583333333333334</v>
      </c>
      <c r="AH231" s="193">
        <v>0.43125000000000002</v>
      </c>
    </row>
    <row r="232" spans="1:34" x14ac:dyDescent="0.25">
      <c r="A232" s="3" t="s">
        <v>5394</v>
      </c>
      <c r="B232" s="3">
        <v>146800</v>
      </c>
      <c r="C232" s="3">
        <v>943007</v>
      </c>
      <c r="D232" s="3" t="s">
        <v>5288</v>
      </c>
      <c r="E232" s="3">
        <v>1</v>
      </c>
      <c r="F232" s="3">
        <v>6</v>
      </c>
      <c r="G232" s="3">
        <v>13</v>
      </c>
      <c r="H232" s="55" t="s">
        <v>289</v>
      </c>
      <c r="I232" s="3" t="s">
        <v>5358</v>
      </c>
      <c r="J232" s="3" t="s">
        <v>5096</v>
      </c>
      <c r="L232" s="3">
        <v>1820</v>
      </c>
      <c r="M232" s="3">
        <v>27291</v>
      </c>
      <c r="N232" s="3" t="s">
        <v>5197</v>
      </c>
      <c r="R232" s="3">
        <v>9</v>
      </c>
      <c r="S232" s="3" t="s">
        <v>5198</v>
      </c>
      <c r="T232" s="3" t="s">
        <v>5199</v>
      </c>
      <c r="U232" s="3" t="s">
        <v>298</v>
      </c>
      <c r="V232" s="3">
        <v>340</v>
      </c>
      <c r="W232" s="3">
        <v>0</v>
      </c>
      <c r="X232" s="3">
        <v>146</v>
      </c>
      <c r="Y232" s="3">
        <v>0</v>
      </c>
      <c r="Z232" s="3">
        <v>0</v>
      </c>
      <c r="AA232" s="3">
        <v>146</v>
      </c>
      <c r="AB232" s="3">
        <v>1336</v>
      </c>
      <c r="AC232" s="192">
        <v>0</v>
      </c>
      <c r="AF232" s="193">
        <v>1.8055555555555554E-2</v>
      </c>
      <c r="AG232" s="193">
        <v>0.16388888888888889</v>
      </c>
      <c r="AH232" s="193">
        <v>0.44930555555555557</v>
      </c>
    </row>
    <row r="233" spans="1:34" x14ac:dyDescent="0.25">
      <c r="A233" s="3" t="s">
        <v>5394</v>
      </c>
      <c r="B233" s="3">
        <v>146801</v>
      </c>
      <c r="C233" s="3">
        <v>943007</v>
      </c>
      <c r="D233" s="3" t="s">
        <v>5288</v>
      </c>
      <c r="E233" s="3">
        <v>1</v>
      </c>
      <c r="F233" s="3">
        <v>7</v>
      </c>
      <c r="G233" s="3">
        <v>8</v>
      </c>
      <c r="H233" s="55" t="s">
        <v>289</v>
      </c>
      <c r="I233" s="3" t="s">
        <v>5358</v>
      </c>
      <c r="J233" s="3" t="s">
        <v>5096</v>
      </c>
      <c r="L233" s="3">
        <v>1820</v>
      </c>
      <c r="M233" s="3">
        <v>27291</v>
      </c>
      <c r="N233" s="3" t="s">
        <v>5197</v>
      </c>
      <c r="R233" s="3">
        <v>10</v>
      </c>
      <c r="S233" s="3" t="s">
        <v>5395</v>
      </c>
      <c r="T233" s="3" t="s">
        <v>297</v>
      </c>
      <c r="U233" s="3" t="s">
        <v>290</v>
      </c>
      <c r="V233" s="3">
        <v>340</v>
      </c>
      <c r="W233" s="3">
        <v>0</v>
      </c>
      <c r="X233" s="3">
        <v>266</v>
      </c>
      <c r="Y233" s="3">
        <v>0</v>
      </c>
      <c r="Z233" s="3">
        <v>0</v>
      </c>
      <c r="AA233" s="3">
        <v>266</v>
      </c>
      <c r="AB233" s="3">
        <v>1602</v>
      </c>
      <c r="AC233" s="192">
        <v>4.1666666666666664E-2</v>
      </c>
      <c r="AD233" s="3" t="s">
        <v>294</v>
      </c>
      <c r="AE233" s="3" t="s">
        <v>295</v>
      </c>
      <c r="AF233" s="193">
        <v>3.2638888888888891E-2</v>
      </c>
      <c r="AG233" s="193">
        <v>0.19652777777777777</v>
      </c>
      <c r="AH233" s="193">
        <v>0.52361111111111114</v>
      </c>
    </row>
    <row r="234" spans="1:34" x14ac:dyDescent="0.25">
      <c r="A234" s="3" t="s">
        <v>5394</v>
      </c>
      <c r="B234" s="3">
        <v>146801</v>
      </c>
      <c r="C234" s="3">
        <v>943007</v>
      </c>
      <c r="D234" s="3" t="s">
        <v>5288</v>
      </c>
      <c r="E234" s="3">
        <v>1</v>
      </c>
      <c r="F234" s="3">
        <v>8</v>
      </c>
      <c r="G234" s="3">
        <v>9</v>
      </c>
      <c r="H234" s="55" t="s">
        <v>289</v>
      </c>
      <c r="I234" s="3" t="s">
        <v>5358</v>
      </c>
      <c r="J234" s="3" t="s">
        <v>5096</v>
      </c>
      <c r="L234" s="3">
        <v>1820</v>
      </c>
      <c r="M234" s="3">
        <v>27291</v>
      </c>
      <c r="N234" s="3" t="s">
        <v>5197</v>
      </c>
      <c r="R234" s="3">
        <v>10</v>
      </c>
      <c r="S234" s="3" t="s">
        <v>5395</v>
      </c>
      <c r="T234" s="3" t="s">
        <v>297</v>
      </c>
      <c r="U234" s="3" t="s">
        <v>313</v>
      </c>
      <c r="V234" s="3">
        <v>340</v>
      </c>
      <c r="W234" s="3">
        <v>0</v>
      </c>
      <c r="X234" s="3">
        <v>474</v>
      </c>
      <c r="Y234" s="3">
        <v>0</v>
      </c>
      <c r="Z234" s="3">
        <v>0</v>
      </c>
      <c r="AA234" s="3">
        <v>474</v>
      </c>
      <c r="AB234" s="3">
        <v>2076</v>
      </c>
      <c r="AC234" s="192">
        <v>8.3333333333333332E-3</v>
      </c>
      <c r="AD234" s="3" t="s">
        <v>404</v>
      </c>
      <c r="AF234" s="193">
        <v>5.8333333333333334E-2</v>
      </c>
      <c r="AG234" s="193">
        <v>0.25416666666666665</v>
      </c>
      <c r="AH234" s="193">
        <v>0.59027777777777779</v>
      </c>
    </row>
    <row r="235" spans="1:34" x14ac:dyDescent="0.25">
      <c r="A235" s="3" t="s">
        <v>5394</v>
      </c>
      <c r="B235" s="3">
        <v>146801</v>
      </c>
      <c r="C235" s="3">
        <v>943007</v>
      </c>
      <c r="D235" s="3" t="s">
        <v>5288</v>
      </c>
      <c r="E235" s="3">
        <v>1</v>
      </c>
      <c r="F235" s="3">
        <v>9</v>
      </c>
      <c r="G235" s="3">
        <v>10</v>
      </c>
      <c r="H235" s="55" t="s">
        <v>289</v>
      </c>
      <c r="I235" s="3" t="s">
        <v>5358</v>
      </c>
      <c r="J235" s="3" t="s">
        <v>5096</v>
      </c>
      <c r="L235" s="3">
        <v>1820</v>
      </c>
      <c r="M235" s="3">
        <v>27291</v>
      </c>
      <c r="N235" s="3" t="s">
        <v>5197</v>
      </c>
      <c r="R235" s="3">
        <v>10</v>
      </c>
      <c r="S235" s="3" t="s">
        <v>5395</v>
      </c>
      <c r="T235" s="3" t="s">
        <v>297</v>
      </c>
      <c r="U235" s="3" t="s">
        <v>5156</v>
      </c>
      <c r="V235" s="3">
        <v>340</v>
      </c>
      <c r="W235" s="3">
        <v>0</v>
      </c>
      <c r="X235" s="3">
        <v>630</v>
      </c>
      <c r="Y235" s="3">
        <v>0</v>
      </c>
      <c r="Z235" s="3">
        <v>0</v>
      </c>
      <c r="AA235" s="3">
        <v>630</v>
      </c>
      <c r="AB235" s="3">
        <v>2706</v>
      </c>
      <c r="AC235" s="192">
        <v>0</v>
      </c>
      <c r="AF235" s="193">
        <v>7.7083333333333337E-2</v>
      </c>
      <c r="AG235" s="193">
        <v>0.33194444444444443</v>
      </c>
      <c r="AH235" s="193">
        <v>0.6743055555555556</v>
      </c>
    </row>
    <row r="236" spans="1:34" x14ac:dyDescent="0.25">
      <c r="A236" s="3" t="s">
        <v>5394</v>
      </c>
      <c r="B236" s="3">
        <v>146801</v>
      </c>
      <c r="C236" s="3">
        <v>943007</v>
      </c>
      <c r="D236" s="3" t="s">
        <v>5288</v>
      </c>
      <c r="E236" s="3">
        <v>1</v>
      </c>
      <c r="F236" s="3">
        <v>10</v>
      </c>
      <c r="G236" s="3">
        <v>11</v>
      </c>
      <c r="H236" s="55" t="s">
        <v>289</v>
      </c>
      <c r="I236" s="3" t="s">
        <v>5358</v>
      </c>
      <c r="J236" s="3" t="s">
        <v>5096</v>
      </c>
      <c r="L236" s="3">
        <v>1820</v>
      </c>
      <c r="M236" s="3">
        <v>27291</v>
      </c>
      <c r="N236" s="3" t="s">
        <v>5197</v>
      </c>
      <c r="R236" s="3">
        <v>10</v>
      </c>
      <c r="S236" s="3" t="s">
        <v>5395</v>
      </c>
      <c r="T236" s="3" t="s">
        <v>297</v>
      </c>
      <c r="U236" s="3" t="s">
        <v>311</v>
      </c>
      <c r="V236" s="3">
        <v>340</v>
      </c>
      <c r="W236" s="3">
        <v>0</v>
      </c>
      <c r="X236" s="3">
        <v>636</v>
      </c>
      <c r="Y236" s="3">
        <v>0</v>
      </c>
      <c r="Z236" s="3">
        <v>0</v>
      </c>
      <c r="AA236" s="3">
        <v>636</v>
      </c>
      <c r="AB236" s="3">
        <v>3342</v>
      </c>
      <c r="AC236" s="192">
        <v>0</v>
      </c>
      <c r="AF236" s="193">
        <v>7.7777777777777779E-2</v>
      </c>
      <c r="AG236" s="193">
        <v>0.40972222222222221</v>
      </c>
      <c r="AH236" s="193">
        <v>0.75208333333333333</v>
      </c>
    </row>
    <row r="237" spans="1:34" x14ac:dyDescent="0.25">
      <c r="A237" s="3" t="s">
        <v>5394</v>
      </c>
      <c r="B237" s="3">
        <v>146801</v>
      </c>
      <c r="C237" s="3">
        <v>943007</v>
      </c>
      <c r="D237" s="3" t="s">
        <v>5288</v>
      </c>
      <c r="E237" s="3">
        <v>1</v>
      </c>
      <c r="F237" s="3">
        <v>11</v>
      </c>
      <c r="G237" s="3">
        <v>12</v>
      </c>
      <c r="H237" s="55" t="s">
        <v>289</v>
      </c>
      <c r="I237" s="3" t="s">
        <v>5358</v>
      </c>
      <c r="J237" s="3" t="s">
        <v>5096</v>
      </c>
      <c r="L237" s="3">
        <v>1820</v>
      </c>
      <c r="M237" s="3">
        <v>27291</v>
      </c>
      <c r="N237" s="3" t="s">
        <v>5197</v>
      </c>
      <c r="R237" s="3">
        <v>10</v>
      </c>
      <c r="S237" s="3" t="s">
        <v>5395</v>
      </c>
      <c r="T237" s="3" t="s">
        <v>297</v>
      </c>
      <c r="U237" s="3" t="s">
        <v>304</v>
      </c>
      <c r="V237" s="3">
        <v>340</v>
      </c>
      <c r="W237" s="3">
        <v>0</v>
      </c>
      <c r="X237" s="3">
        <v>580</v>
      </c>
      <c r="Y237" s="3">
        <v>0</v>
      </c>
      <c r="Z237" s="3">
        <v>0</v>
      </c>
      <c r="AA237" s="3">
        <v>580</v>
      </c>
      <c r="AB237" s="3">
        <v>3922</v>
      </c>
      <c r="AC237" s="192">
        <v>0.05</v>
      </c>
      <c r="AD237" s="3" t="s">
        <v>285</v>
      </c>
      <c r="AE237" s="3" t="s">
        <v>286</v>
      </c>
      <c r="AF237" s="193">
        <v>7.0833333333333331E-2</v>
      </c>
      <c r="AG237" s="193">
        <v>0.48055555555555557</v>
      </c>
      <c r="AH237" s="193">
        <v>0.87291666666666667</v>
      </c>
    </row>
    <row r="238" spans="1:34" x14ac:dyDescent="0.25">
      <c r="A238" s="3" t="s">
        <v>5394</v>
      </c>
      <c r="B238" s="3">
        <v>146801</v>
      </c>
      <c r="C238" s="3">
        <v>943007</v>
      </c>
      <c r="D238" s="3" t="s">
        <v>5288</v>
      </c>
      <c r="E238" s="3">
        <v>1</v>
      </c>
      <c r="F238" s="3">
        <v>12</v>
      </c>
      <c r="G238" s="3">
        <v>13</v>
      </c>
      <c r="H238" s="55" t="s">
        <v>289</v>
      </c>
      <c r="I238" s="3" t="s">
        <v>5358</v>
      </c>
      <c r="J238" s="3" t="s">
        <v>5096</v>
      </c>
      <c r="L238" s="3">
        <v>1820</v>
      </c>
      <c r="M238" s="3">
        <v>27291</v>
      </c>
      <c r="N238" s="3" t="s">
        <v>5197</v>
      </c>
      <c r="R238" s="3">
        <v>10</v>
      </c>
      <c r="S238" s="3" t="s">
        <v>5395</v>
      </c>
      <c r="T238" s="3" t="s">
        <v>297</v>
      </c>
      <c r="U238" s="3" t="s">
        <v>298</v>
      </c>
      <c r="V238" s="3">
        <v>340</v>
      </c>
      <c r="W238" s="3">
        <v>0</v>
      </c>
      <c r="X238" s="3">
        <v>336</v>
      </c>
      <c r="Y238" s="3">
        <v>0</v>
      </c>
      <c r="Z238" s="3">
        <v>0</v>
      </c>
      <c r="AA238" s="3">
        <v>336</v>
      </c>
      <c r="AB238" s="3">
        <v>4258</v>
      </c>
      <c r="AC238" s="192">
        <v>0</v>
      </c>
      <c r="AF238" s="193">
        <v>4.0972222222222222E-2</v>
      </c>
      <c r="AG238" s="193">
        <v>0.52152777777777781</v>
      </c>
      <c r="AH238" s="193">
        <v>0.91388888888888886</v>
      </c>
    </row>
    <row r="239" spans="1:34" x14ac:dyDescent="0.25">
      <c r="A239" s="3" t="s">
        <v>5394</v>
      </c>
      <c r="B239" s="3">
        <v>146802</v>
      </c>
      <c r="C239" s="3">
        <v>943007</v>
      </c>
      <c r="D239" s="3" t="s">
        <v>5288</v>
      </c>
      <c r="E239" s="3">
        <v>1</v>
      </c>
      <c r="F239" s="3">
        <v>13</v>
      </c>
      <c r="G239" s="3">
        <v>8</v>
      </c>
      <c r="H239" s="55" t="s">
        <v>289</v>
      </c>
      <c r="I239" s="3" t="s">
        <v>5358</v>
      </c>
      <c r="J239" s="3" t="s">
        <v>5096</v>
      </c>
      <c r="L239" s="3">
        <v>1820</v>
      </c>
      <c r="M239" s="3">
        <v>27291</v>
      </c>
      <c r="N239" s="3" t="s">
        <v>5197</v>
      </c>
      <c r="R239" s="3">
        <v>10</v>
      </c>
      <c r="S239" s="3" t="s">
        <v>5396</v>
      </c>
      <c r="T239" s="3" t="s">
        <v>5371</v>
      </c>
      <c r="U239" s="3" t="s">
        <v>290</v>
      </c>
      <c r="V239" s="3">
        <v>340</v>
      </c>
      <c r="W239" s="3">
        <v>0</v>
      </c>
      <c r="X239" s="3">
        <v>60</v>
      </c>
      <c r="Y239" s="3">
        <v>0</v>
      </c>
      <c r="Z239" s="3">
        <v>0</v>
      </c>
      <c r="AA239" s="3">
        <v>60</v>
      </c>
      <c r="AB239" s="3">
        <v>4318</v>
      </c>
      <c r="AC239" s="192">
        <v>0</v>
      </c>
      <c r="AF239" s="193">
        <v>7.6388888888888886E-3</v>
      </c>
      <c r="AG239" s="193">
        <v>0.52916666666666667</v>
      </c>
      <c r="AH239" s="193">
        <v>0.92152777777777772</v>
      </c>
    </row>
    <row r="240" spans="1:34" x14ac:dyDescent="0.25">
      <c r="A240" s="3" t="s">
        <v>5394</v>
      </c>
      <c r="B240" s="3">
        <v>146802</v>
      </c>
      <c r="C240" s="3">
        <v>943007</v>
      </c>
      <c r="D240" s="3" t="s">
        <v>5288</v>
      </c>
      <c r="E240" s="3">
        <v>1</v>
      </c>
      <c r="F240" s="3">
        <v>14</v>
      </c>
      <c r="G240" s="3">
        <v>9</v>
      </c>
      <c r="H240" s="55" t="s">
        <v>289</v>
      </c>
      <c r="I240" s="3" t="s">
        <v>5358</v>
      </c>
      <c r="J240" s="3" t="s">
        <v>5096</v>
      </c>
      <c r="L240" s="3">
        <v>1820</v>
      </c>
      <c r="M240" s="3">
        <v>27291</v>
      </c>
      <c r="N240" s="3" t="s">
        <v>5197</v>
      </c>
      <c r="R240" s="3">
        <v>10</v>
      </c>
      <c r="S240" s="3" t="s">
        <v>5396</v>
      </c>
      <c r="T240" s="3" t="s">
        <v>5371</v>
      </c>
      <c r="U240" s="3" t="s">
        <v>313</v>
      </c>
      <c r="V240" s="3">
        <v>340</v>
      </c>
      <c r="W240" s="3">
        <v>0</v>
      </c>
      <c r="X240" s="3">
        <v>126</v>
      </c>
      <c r="Y240" s="3">
        <v>0</v>
      </c>
      <c r="Z240" s="3">
        <v>0</v>
      </c>
      <c r="AA240" s="3">
        <v>126</v>
      </c>
      <c r="AB240" s="3">
        <v>4444</v>
      </c>
      <c r="AC240" s="192">
        <v>0</v>
      </c>
      <c r="AF240" s="193">
        <v>1.5277777777777777E-2</v>
      </c>
      <c r="AG240" s="193">
        <v>0.5444444444444444</v>
      </c>
      <c r="AH240" s="193">
        <v>0.93680555555555556</v>
      </c>
    </row>
    <row r="241" spans="1:34" x14ac:dyDescent="0.25">
      <c r="A241" s="3" t="s">
        <v>5394</v>
      </c>
      <c r="B241" s="3">
        <v>146802</v>
      </c>
      <c r="C241" s="3">
        <v>943007</v>
      </c>
      <c r="D241" s="3" t="s">
        <v>5288</v>
      </c>
      <c r="E241" s="3">
        <v>1</v>
      </c>
      <c r="F241" s="3">
        <v>15</v>
      </c>
      <c r="G241" s="3">
        <v>10</v>
      </c>
      <c r="H241" s="55" t="s">
        <v>289</v>
      </c>
      <c r="I241" s="3" t="s">
        <v>5358</v>
      </c>
      <c r="J241" s="3" t="s">
        <v>5096</v>
      </c>
      <c r="L241" s="3">
        <v>1820</v>
      </c>
      <c r="M241" s="3">
        <v>27291</v>
      </c>
      <c r="N241" s="3" t="s">
        <v>5197</v>
      </c>
      <c r="R241" s="3">
        <v>10</v>
      </c>
      <c r="S241" s="3" t="s">
        <v>5396</v>
      </c>
      <c r="T241" s="3" t="s">
        <v>5371</v>
      </c>
      <c r="U241" s="3" t="s">
        <v>5156</v>
      </c>
      <c r="V241" s="3">
        <v>340</v>
      </c>
      <c r="W241" s="3">
        <v>0</v>
      </c>
      <c r="X241" s="3">
        <v>192</v>
      </c>
      <c r="Y241" s="3">
        <v>0</v>
      </c>
      <c r="Z241" s="3">
        <v>0</v>
      </c>
      <c r="AA241" s="3">
        <v>192</v>
      </c>
      <c r="AB241" s="3">
        <v>4636</v>
      </c>
      <c r="AC241" s="192">
        <v>0</v>
      </c>
      <c r="AF241" s="193">
        <v>2.361111111111111E-2</v>
      </c>
      <c r="AG241" s="193">
        <v>0.56805555555555554</v>
      </c>
      <c r="AH241" s="193">
        <v>0.9604166666666667</v>
      </c>
    </row>
    <row r="242" spans="1:34" x14ac:dyDescent="0.25">
      <c r="A242" s="3" t="s">
        <v>5394</v>
      </c>
      <c r="B242" s="3">
        <v>146802</v>
      </c>
      <c r="C242" s="3">
        <v>943007</v>
      </c>
      <c r="D242" s="3" t="s">
        <v>5288</v>
      </c>
      <c r="E242" s="3">
        <v>1</v>
      </c>
      <c r="F242" s="3">
        <v>16</v>
      </c>
      <c r="G242" s="3">
        <v>11</v>
      </c>
      <c r="H242" s="55" t="s">
        <v>289</v>
      </c>
      <c r="I242" s="3" t="s">
        <v>5358</v>
      </c>
      <c r="J242" s="3" t="s">
        <v>5096</v>
      </c>
      <c r="L242" s="3">
        <v>1820</v>
      </c>
      <c r="M242" s="3">
        <v>27291</v>
      </c>
      <c r="N242" s="3" t="s">
        <v>5197</v>
      </c>
      <c r="R242" s="3">
        <v>10</v>
      </c>
      <c r="S242" s="3" t="s">
        <v>5396</v>
      </c>
      <c r="T242" s="3" t="s">
        <v>5371</v>
      </c>
      <c r="U242" s="3" t="s">
        <v>311</v>
      </c>
      <c r="V242" s="3">
        <v>340</v>
      </c>
      <c r="W242" s="3">
        <v>0</v>
      </c>
      <c r="X242" s="3">
        <v>174</v>
      </c>
      <c r="Y242" s="3">
        <v>0</v>
      </c>
      <c r="Z242" s="3">
        <v>0</v>
      </c>
      <c r="AA242" s="3">
        <v>174</v>
      </c>
      <c r="AB242" s="3">
        <v>4810</v>
      </c>
      <c r="AC242" s="192">
        <v>8.3333333333333332E-3</v>
      </c>
      <c r="AD242" s="3" t="s">
        <v>404</v>
      </c>
      <c r="AF242" s="193">
        <v>2.1527777777777778E-2</v>
      </c>
      <c r="AG242" s="193">
        <v>0.58958333333333335</v>
      </c>
      <c r="AH242" s="193">
        <v>0.99027777777777781</v>
      </c>
    </row>
    <row r="243" spans="1:34" x14ac:dyDescent="0.25">
      <c r="A243" s="3" t="s">
        <v>5397</v>
      </c>
      <c r="B243" s="3">
        <v>146972</v>
      </c>
      <c r="C243" s="3">
        <v>943007</v>
      </c>
      <c r="D243" s="3" t="s">
        <v>5288</v>
      </c>
      <c r="E243" s="3">
        <v>1</v>
      </c>
      <c r="F243" s="3">
        <v>1</v>
      </c>
      <c r="G243" s="3">
        <v>4</v>
      </c>
      <c r="H243" s="55" t="s">
        <v>289</v>
      </c>
      <c r="I243" s="3" t="s">
        <v>5358</v>
      </c>
      <c r="J243" s="3" t="s">
        <v>5096</v>
      </c>
      <c r="L243" s="3">
        <v>1830</v>
      </c>
      <c r="M243" s="3">
        <v>12701</v>
      </c>
      <c r="N243" s="3" t="s">
        <v>5398</v>
      </c>
      <c r="R243" s="3">
        <v>9</v>
      </c>
      <c r="S243" s="3" t="s">
        <v>388</v>
      </c>
      <c r="T243" s="3" t="s">
        <v>5089</v>
      </c>
      <c r="U243" s="3" t="s">
        <v>284</v>
      </c>
      <c r="V243" s="3">
        <v>374</v>
      </c>
      <c r="W243" s="3">
        <v>0</v>
      </c>
      <c r="X243" s="3">
        <v>48</v>
      </c>
      <c r="Y243" s="3">
        <v>0</v>
      </c>
      <c r="Z243" s="3">
        <v>0</v>
      </c>
      <c r="AA243" s="3">
        <v>48</v>
      </c>
      <c r="AB243" s="3">
        <v>48</v>
      </c>
      <c r="AC243" s="192">
        <v>0</v>
      </c>
      <c r="AF243" s="193">
        <v>5.5555555555555558E-3</v>
      </c>
      <c r="AG243" s="193">
        <v>5.5555555555555558E-3</v>
      </c>
      <c r="AH243" s="193">
        <v>0.28263888888888888</v>
      </c>
    </row>
    <row r="244" spans="1:34" x14ac:dyDescent="0.25">
      <c r="A244" s="3" t="s">
        <v>5397</v>
      </c>
      <c r="B244" s="3">
        <v>146972</v>
      </c>
      <c r="C244" s="3">
        <v>943007</v>
      </c>
      <c r="D244" s="3" t="s">
        <v>5288</v>
      </c>
      <c r="E244" s="3">
        <v>1</v>
      </c>
      <c r="F244" s="3">
        <v>2</v>
      </c>
      <c r="G244" s="3">
        <v>5</v>
      </c>
      <c r="H244" s="55" t="s">
        <v>289</v>
      </c>
      <c r="I244" s="3" t="s">
        <v>5358</v>
      </c>
      <c r="J244" s="3" t="s">
        <v>5096</v>
      </c>
      <c r="L244" s="3">
        <v>1830</v>
      </c>
      <c r="M244" s="3">
        <v>12701</v>
      </c>
      <c r="N244" s="3" t="s">
        <v>5398</v>
      </c>
      <c r="R244" s="3">
        <v>9</v>
      </c>
      <c r="S244" s="3" t="s">
        <v>388</v>
      </c>
      <c r="T244" s="3" t="s">
        <v>5089</v>
      </c>
      <c r="U244" s="3" t="s">
        <v>280</v>
      </c>
      <c r="V244" s="3">
        <v>374</v>
      </c>
      <c r="W244" s="3">
        <v>0</v>
      </c>
      <c r="X244" s="3">
        <v>124</v>
      </c>
      <c r="Y244" s="3">
        <v>0</v>
      </c>
      <c r="Z244" s="3">
        <v>0</v>
      </c>
      <c r="AA244" s="3">
        <v>124</v>
      </c>
      <c r="AB244" s="3">
        <v>172</v>
      </c>
      <c r="AC244" s="192">
        <v>0</v>
      </c>
      <c r="AF244" s="193">
        <v>1.3888888888888888E-2</v>
      </c>
      <c r="AG244" s="193">
        <v>1.9444444444444445E-2</v>
      </c>
      <c r="AH244" s="193">
        <v>0.29652777777777778</v>
      </c>
    </row>
    <row r="245" spans="1:34" x14ac:dyDescent="0.25">
      <c r="A245" s="3" t="s">
        <v>5397</v>
      </c>
      <c r="B245" s="3">
        <v>146972</v>
      </c>
      <c r="C245" s="3">
        <v>943007</v>
      </c>
      <c r="D245" s="3" t="s">
        <v>5288</v>
      </c>
      <c r="E245" s="3">
        <v>1</v>
      </c>
      <c r="F245" s="3">
        <v>3</v>
      </c>
      <c r="G245" s="3">
        <v>6</v>
      </c>
      <c r="H245" s="55" t="s">
        <v>289</v>
      </c>
      <c r="I245" s="3" t="s">
        <v>5358</v>
      </c>
      <c r="J245" s="3" t="s">
        <v>5096</v>
      </c>
      <c r="L245" s="3">
        <v>1830</v>
      </c>
      <c r="M245" s="3">
        <v>12701</v>
      </c>
      <c r="N245" s="3" t="s">
        <v>5398</v>
      </c>
      <c r="R245" s="3">
        <v>9</v>
      </c>
      <c r="S245" s="3" t="s">
        <v>388</v>
      </c>
      <c r="T245" s="3" t="s">
        <v>5089</v>
      </c>
      <c r="U245" s="3" t="s">
        <v>5109</v>
      </c>
      <c r="V245" s="3">
        <v>374</v>
      </c>
      <c r="W245" s="3">
        <v>0</v>
      </c>
      <c r="X245" s="3">
        <v>160</v>
      </c>
      <c r="Y245" s="3">
        <v>0</v>
      </c>
      <c r="Z245" s="3">
        <v>0</v>
      </c>
      <c r="AA245" s="3">
        <v>160</v>
      </c>
      <c r="AB245" s="3">
        <v>332</v>
      </c>
      <c r="AC245" s="192">
        <v>0</v>
      </c>
      <c r="AF245" s="193">
        <v>1.8055555555555554E-2</v>
      </c>
      <c r="AG245" s="193">
        <v>3.6805555555555557E-2</v>
      </c>
      <c r="AH245" s="193">
        <v>0.31458333333333333</v>
      </c>
    </row>
    <row r="246" spans="1:34" x14ac:dyDescent="0.25">
      <c r="A246" s="3" t="s">
        <v>5397</v>
      </c>
      <c r="B246" s="3">
        <v>146972</v>
      </c>
      <c r="C246" s="3">
        <v>943007</v>
      </c>
      <c r="D246" s="3" t="s">
        <v>5288</v>
      </c>
      <c r="E246" s="3">
        <v>1</v>
      </c>
      <c r="F246" s="3">
        <v>4</v>
      </c>
      <c r="G246" s="3">
        <v>7</v>
      </c>
      <c r="H246" s="55" t="s">
        <v>289</v>
      </c>
      <c r="I246" s="3" t="s">
        <v>5358</v>
      </c>
      <c r="J246" s="3" t="s">
        <v>5096</v>
      </c>
      <c r="L246" s="3">
        <v>1830</v>
      </c>
      <c r="M246" s="3">
        <v>12701</v>
      </c>
      <c r="N246" s="3" t="s">
        <v>5398</v>
      </c>
      <c r="R246" s="3">
        <v>9</v>
      </c>
      <c r="S246" s="3" t="s">
        <v>388</v>
      </c>
      <c r="T246" s="3" t="s">
        <v>5089</v>
      </c>
      <c r="U246" s="3" t="s">
        <v>281</v>
      </c>
      <c r="V246" s="3">
        <v>374</v>
      </c>
      <c r="W246" s="3">
        <v>0</v>
      </c>
      <c r="X246" s="3">
        <v>60</v>
      </c>
      <c r="Y246" s="3">
        <v>0</v>
      </c>
      <c r="Z246" s="3">
        <v>0</v>
      </c>
      <c r="AA246" s="3">
        <v>60</v>
      </c>
      <c r="AB246" s="3">
        <v>392</v>
      </c>
      <c r="AC246" s="192">
        <v>0</v>
      </c>
      <c r="AF246" s="193">
        <v>6.9444444444444441E-3</v>
      </c>
      <c r="AG246" s="193">
        <v>4.3749999999999997E-2</v>
      </c>
      <c r="AH246" s="193">
        <v>0.3215277777777778</v>
      </c>
    </row>
    <row r="247" spans="1:34" x14ac:dyDescent="0.25">
      <c r="A247" s="3" t="s">
        <v>5397</v>
      </c>
      <c r="B247" s="3">
        <v>146973</v>
      </c>
      <c r="C247" s="3">
        <v>943007</v>
      </c>
      <c r="D247" s="3" t="s">
        <v>5288</v>
      </c>
      <c r="E247" s="3">
        <v>1</v>
      </c>
      <c r="F247" s="3">
        <v>5</v>
      </c>
      <c r="G247" s="3">
        <v>4</v>
      </c>
      <c r="H247" s="55" t="s">
        <v>289</v>
      </c>
      <c r="I247" s="3" t="s">
        <v>5358</v>
      </c>
      <c r="J247" s="3" t="s">
        <v>5096</v>
      </c>
      <c r="L247" s="3">
        <v>1830</v>
      </c>
      <c r="M247" s="3">
        <v>12701</v>
      </c>
      <c r="N247" s="3" t="s">
        <v>5398</v>
      </c>
      <c r="R247" s="3">
        <v>9</v>
      </c>
      <c r="S247" s="3" t="s">
        <v>1781</v>
      </c>
      <c r="T247" s="3" t="s">
        <v>5365</v>
      </c>
      <c r="U247" s="3" t="s">
        <v>284</v>
      </c>
      <c r="V247" s="3">
        <v>374</v>
      </c>
      <c r="W247" s="3">
        <v>0</v>
      </c>
      <c r="X247" s="3">
        <v>672</v>
      </c>
      <c r="Y247" s="3">
        <v>0</v>
      </c>
      <c r="Z247" s="3">
        <v>0</v>
      </c>
      <c r="AA247" s="3">
        <v>672</v>
      </c>
      <c r="AB247" s="3">
        <v>1064</v>
      </c>
      <c r="AC247" s="192">
        <v>8.3333333333333332E-3</v>
      </c>
      <c r="AD247" s="3" t="s">
        <v>292</v>
      </c>
      <c r="AF247" s="193">
        <v>7.4999999999999997E-2</v>
      </c>
      <c r="AG247" s="193">
        <v>0.11874999999999999</v>
      </c>
      <c r="AH247" s="193">
        <v>0.40486111111111112</v>
      </c>
    </row>
    <row r="248" spans="1:34" x14ac:dyDescent="0.25">
      <c r="A248" s="3" t="s">
        <v>5397</v>
      </c>
      <c r="B248" s="3">
        <v>146973</v>
      </c>
      <c r="C248" s="3">
        <v>943007</v>
      </c>
      <c r="D248" s="3" t="s">
        <v>5288</v>
      </c>
      <c r="E248" s="3">
        <v>1</v>
      </c>
      <c r="F248" s="3">
        <v>6</v>
      </c>
      <c r="G248" s="3">
        <v>5</v>
      </c>
      <c r="H248" s="55" t="s">
        <v>289</v>
      </c>
      <c r="I248" s="3" t="s">
        <v>5358</v>
      </c>
      <c r="J248" s="3" t="s">
        <v>5096</v>
      </c>
      <c r="L248" s="3">
        <v>1830</v>
      </c>
      <c r="M248" s="3">
        <v>12701</v>
      </c>
      <c r="N248" s="3" t="s">
        <v>5398</v>
      </c>
      <c r="R248" s="3">
        <v>9</v>
      </c>
      <c r="S248" s="3" t="s">
        <v>1781</v>
      </c>
      <c r="T248" s="3" t="s">
        <v>5365</v>
      </c>
      <c r="U248" s="3" t="s">
        <v>280</v>
      </c>
      <c r="V248" s="3">
        <v>374</v>
      </c>
      <c r="W248" s="3">
        <v>0</v>
      </c>
      <c r="X248" s="3">
        <v>1456</v>
      </c>
      <c r="Y248" s="3">
        <v>0</v>
      </c>
      <c r="Z248" s="3">
        <v>0</v>
      </c>
      <c r="AA248" s="3">
        <v>1456</v>
      </c>
      <c r="AB248" s="3">
        <v>2520</v>
      </c>
      <c r="AC248" s="192">
        <v>0.05</v>
      </c>
      <c r="AD248" s="3" t="s">
        <v>294</v>
      </c>
      <c r="AE248" s="3" t="s">
        <v>5292</v>
      </c>
      <c r="AF248" s="193">
        <v>0.16250000000000001</v>
      </c>
      <c r="AG248" s="193">
        <v>0.28055555555555556</v>
      </c>
      <c r="AH248" s="193">
        <v>0.61736111111111114</v>
      </c>
    </row>
    <row r="249" spans="1:34" x14ac:dyDescent="0.25">
      <c r="A249" s="3" t="s">
        <v>5397</v>
      </c>
      <c r="B249" s="3">
        <v>146973</v>
      </c>
      <c r="C249" s="3">
        <v>943007</v>
      </c>
      <c r="D249" s="3" t="s">
        <v>5288</v>
      </c>
      <c r="E249" s="3">
        <v>1</v>
      </c>
      <c r="F249" s="3">
        <v>7</v>
      </c>
      <c r="G249" s="3">
        <v>6</v>
      </c>
      <c r="H249" s="55" t="s">
        <v>289</v>
      </c>
      <c r="I249" s="3" t="s">
        <v>5358</v>
      </c>
      <c r="J249" s="3" t="s">
        <v>5096</v>
      </c>
      <c r="L249" s="3">
        <v>1830</v>
      </c>
      <c r="M249" s="3">
        <v>12701</v>
      </c>
      <c r="N249" s="3" t="s">
        <v>5398</v>
      </c>
      <c r="R249" s="3">
        <v>9</v>
      </c>
      <c r="S249" s="3" t="s">
        <v>1781</v>
      </c>
      <c r="T249" s="3" t="s">
        <v>5365</v>
      </c>
      <c r="U249" s="3" t="s">
        <v>5109</v>
      </c>
      <c r="V249" s="3">
        <v>374</v>
      </c>
      <c r="W249" s="3">
        <v>0</v>
      </c>
      <c r="X249" s="3">
        <v>1780</v>
      </c>
      <c r="Y249" s="3">
        <v>0</v>
      </c>
      <c r="Z249" s="3">
        <v>0</v>
      </c>
      <c r="AA249" s="3">
        <v>1780</v>
      </c>
      <c r="AB249" s="3">
        <v>4300</v>
      </c>
      <c r="AC249" s="192">
        <v>0.05</v>
      </c>
      <c r="AD249" s="3" t="s">
        <v>285</v>
      </c>
      <c r="AE249" s="3" t="s">
        <v>286</v>
      </c>
      <c r="AF249" s="193">
        <v>0.1986111111111111</v>
      </c>
      <c r="AG249" s="193">
        <v>0.47916666666666669</v>
      </c>
      <c r="AH249" s="193">
        <v>0.87291666666666667</v>
      </c>
    </row>
    <row r="250" spans="1:34" x14ac:dyDescent="0.25">
      <c r="A250" s="3" t="s">
        <v>5397</v>
      </c>
      <c r="B250" s="3">
        <v>146973</v>
      </c>
      <c r="C250" s="3">
        <v>943007</v>
      </c>
      <c r="D250" s="3" t="s">
        <v>5288</v>
      </c>
      <c r="E250" s="3">
        <v>1</v>
      </c>
      <c r="F250" s="3">
        <v>8</v>
      </c>
      <c r="G250" s="3">
        <v>7</v>
      </c>
      <c r="H250" s="55" t="s">
        <v>289</v>
      </c>
      <c r="I250" s="3" t="s">
        <v>5358</v>
      </c>
      <c r="J250" s="3" t="s">
        <v>5096</v>
      </c>
      <c r="L250" s="3">
        <v>1830</v>
      </c>
      <c r="M250" s="3">
        <v>12701</v>
      </c>
      <c r="N250" s="3" t="s">
        <v>5398</v>
      </c>
      <c r="R250" s="3">
        <v>9</v>
      </c>
      <c r="S250" s="3" t="s">
        <v>1781</v>
      </c>
      <c r="T250" s="3" t="s">
        <v>5365</v>
      </c>
      <c r="U250" s="3" t="s">
        <v>281</v>
      </c>
      <c r="V250" s="3">
        <v>374</v>
      </c>
      <c r="W250" s="3">
        <v>0</v>
      </c>
      <c r="X250" s="3">
        <v>910</v>
      </c>
      <c r="Y250" s="3">
        <v>0</v>
      </c>
      <c r="Z250" s="3">
        <v>0</v>
      </c>
      <c r="AA250" s="3">
        <v>910</v>
      </c>
      <c r="AB250" s="3">
        <v>5210</v>
      </c>
      <c r="AC250" s="192">
        <v>0</v>
      </c>
      <c r="AF250" s="193">
        <v>0.10138888888888889</v>
      </c>
      <c r="AG250" s="193">
        <v>0.5805555555555556</v>
      </c>
      <c r="AH250" s="193">
        <v>0.97430555555555554</v>
      </c>
    </row>
    <row r="251" spans="1:34" x14ac:dyDescent="0.25">
      <c r="A251" s="3" t="s">
        <v>5400</v>
      </c>
      <c r="B251" s="3">
        <v>147794</v>
      </c>
      <c r="C251" s="3">
        <v>943007</v>
      </c>
      <c r="D251" s="3" t="s">
        <v>5288</v>
      </c>
      <c r="E251" s="3">
        <v>1</v>
      </c>
      <c r="F251" s="3">
        <v>1</v>
      </c>
      <c r="G251" s="3">
        <v>1</v>
      </c>
      <c r="H251" s="55" t="s">
        <v>289</v>
      </c>
      <c r="I251" s="3" t="s">
        <v>5358</v>
      </c>
      <c r="J251" s="3" t="s">
        <v>5096</v>
      </c>
      <c r="L251" s="3">
        <v>180</v>
      </c>
      <c r="M251" s="3">
        <v>11840</v>
      </c>
      <c r="N251" s="3" t="s">
        <v>5201</v>
      </c>
      <c r="R251" s="3">
        <v>6</v>
      </c>
      <c r="S251" s="3" t="s">
        <v>980</v>
      </c>
      <c r="T251" s="3" t="s">
        <v>5203</v>
      </c>
      <c r="U251" s="3" t="s">
        <v>284</v>
      </c>
      <c r="V251" s="3">
        <v>403</v>
      </c>
      <c r="W251" s="3">
        <v>0</v>
      </c>
      <c r="X251" s="3">
        <v>534</v>
      </c>
      <c r="Y251" s="3">
        <v>0</v>
      </c>
      <c r="Z251" s="3">
        <v>0</v>
      </c>
      <c r="AA251" s="3">
        <v>534</v>
      </c>
      <c r="AB251" s="3">
        <v>534</v>
      </c>
      <c r="AC251" s="192">
        <v>0</v>
      </c>
      <c r="AF251" s="193">
        <v>5.5555555555555552E-2</v>
      </c>
      <c r="AG251" s="193">
        <v>5.5555555555555552E-2</v>
      </c>
      <c r="AH251" s="193">
        <v>0.33263888888888887</v>
      </c>
    </row>
    <row r="252" spans="1:34" x14ac:dyDescent="0.25">
      <c r="A252" s="3" t="s">
        <v>5400</v>
      </c>
      <c r="B252" s="3">
        <v>147794</v>
      </c>
      <c r="C252" s="3">
        <v>943007</v>
      </c>
      <c r="D252" s="3" t="s">
        <v>5288</v>
      </c>
      <c r="E252" s="3">
        <v>1</v>
      </c>
      <c r="F252" s="3">
        <v>2</v>
      </c>
      <c r="G252" s="3">
        <v>2</v>
      </c>
      <c r="H252" s="55" t="s">
        <v>289</v>
      </c>
      <c r="I252" s="3" t="s">
        <v>5358</v>
      </c>
      <c r="J252" s="3" t="s">
        <v>5096</v>
      </c>
      <c r="L252" s="3">
        <v>180</v>
      </c>
      <c r="M252" s="3">
        <v>11840</v>
      </c>
      <c r="N252" s="3" t="s">
        <v>5201</v>
      </c>
      <c r="R252" s="3">
        <v>6</v>
      </c>
      <c r="S252" s="3" t="s">
        <v>980</v>
      </c>
      <c r="T252" s="3" t="s">
        <v>5203</v>
      </c>
      <c r="U252" s="3">
        <v>39</v>
      </c>
      <c r="V252" s="3">
        <v>403</v>
      </c>
      <c r="W252" s="3">
        <v>0</v>
      </c>
      <c r="X252" s="3">
        <v>778</v>
      </c>
      <c r="Y252" s="3">
        <v>0</v>
      </c>
      <c r="Z252" s="3">
        <v>0</v>
      </c>
      <c r="AA252" s="3">
        <v>778</v>
      </c>
      <c r="AB252" s="3">
        <v>1312</v>
      </c>
      <c r="AC252" s="192">
        <v>8.3333333333333332E-3</v>
      </c>
      <c r="AD252" s="3" t="s">
        <v>292</v>
      </c>
      <c r="AF252" s="193">
        <v>8.0555555555555561E-2</v>
      </c>
      <c r="AG252" s="193">
        <v>0.13541666666666666</v>
      </c>
      <c r="AH252" s="193">
        <v>0.42152777777777778</v>
      </c>
    </row>
    <row r="253" spans="1:34" x14ac:dyDescent="0.25">
      <c r="A253" s="3" t="s">
        <v>5400</v>
      </c>
      <c r="B253" s="3">
        <v>147794</v>
      </c>
      <c r="C253" s="3">
        <v>943007</v>
      </c>
      <c r="D253" s="3" t="s">
        <v>5288</v>
      </c>
      <c r="E253" s="3">
        <v>1</v>
      </c>
      <c r="F253" s="3">
        <v>3</v>
      </c>
      <c r="G253" s="3">
        <v>3</v>
      </c>
      <c r="H253" s="55" t="s">
        <v>289</v>
      </c>
      <c r="I253" s="3" t="s">
        <v>5358</v>
      </c>
      <c r="J253" s="3" t="s">
        <v>5096</v>
      </c>
      <c r="L253" s="3">
        <v>180</v>
      </c>
      <c r="M253" s="3">
        <v>11840</v>
      </c>
      <c r="N253" s="3" t="s">
        <v>5201</v>
      </c>
      <c r="R253" s="3">
        <v>6</v>
      </c>
      <c r="S253" s="3" t="s">
        <v>980</v>
      </c>
      <c r="T253" s="3" t="s">
        <v>5203</v>
      </c>
      <c r="U253" s="3">
        <v>40</v>
      </c>
      <c r="V253" s="3">
        <v>403</v>
      </c>
      <c r="W253" s="3">
        <v>0</v>
      </c>
      <c r="X253" s="3">
        <v>1048</v>
      </c>
      <c r="Y253" s="3">
        <v>0</v>
      </c>
      <c r="Z253" s="3">
        <v>0</v>
      </c>
      <c r="AA253" s="3">
        <v>1048</v>
      </c>
      <c r="AB253" s="3">
        <v>2360</v>
      </c>
      <c r="AC253" s="192">
        <v>0.05</v>
      </c>
      <c r="AD253" s="3" t="s">
        <v>294</v>
      </c>
      <c r="AE253" s="3" t="s">
        <v>5292</v>
      </c>
      <c r="AF253" s="193">
        <v>0.10833333333333334</v>
      </c>
      <c r="AG253" s="193">
        <v>0.24374999999999999</v>
      </c>
      <c r="AH253" s="193">
        <v>0.57986111111111116</v>
      </c>
    </row>
    <row r="254" spans="1:34" x14ac:dyDescent="0.25">
      <c r="A254" s="3" t="s">
        <v>5400</v>
      </c>
      <c r="B254" s="3">
        <v>147794</v>
      </c>
      <c r="C254" s="3">
        <v>943007</v>
      </c>
      <c r="D254" s="3" t="s">
        <v>5288</v>
      </c>
      <c r="E254" s="3">
        <v>1</v>
      </c>
      <c r="F254" s="3">
        <v>4</v>
      </c>
      <c r="G254" s="3">
        <v>4</v>
      </c>
      <c r="H254" s="55" t="s">
        <v>289</v>
      </c>
      <c r="I254" s="3" t="s">
        <v>5358</v>
      </c>
      <c r="J254" s="3" t="s">
        <v>5096</v>
      </c>
      <c r="L254" s="3">
        <v>180</v>
      </c>
      <c r="M254" s="3">
        <v>11840</v>
      </c>
      <c r="N254" s="3" t="s">
        <v>5201</v>
      </c>
      <c r="R254" s="3">
        <v>6</v>
      </c>
      <c r="S254" s="3" t="s">
        <v>980</v>
      </c>
      <c r="T254" s="3" t="s">
        <v>5203</v>
      </c>
      <c r="U254" s="3">
        <v>41</v>
      </c>
      <c r="V254" s="3">
        <v>403</v>
      </c>
      <c r="W254" s="3">
        <v>0</v>
      </c>
      <c r="X254" s="3">
        <v>1132</v>
      </c>
      <c r="Y254" s="3">
        <v>0</v>
      </c>
      <c r="Z254" s="3">
        <v>0</v>
      </c>
      <c r="AA254" s="3">
        <v>1132</v>
      </c>
      <c r="AB254" s="3">
        <v>3492</v>
      </c>
      <c r="AC254" s="192">
        <v>0</v>
      </c>
      <c r="AF254" s="193">
        <v>0.11736111111111111</v>
      </c>
      <c r="AG254" s="193">
        <v>0.3611111111111111</v>
      </c>
      <c r="AH254" s="193">
        <v>0.70416666666666672</v>
      </c>
    </row>
    <row r="255" spans="1:34" x14ac:dyDescent="0.25">
      <c r="A255" s="3" t="s">
        <v>5400</v>
      </c>
      <c r="B255" s="3">
        <v>147794</v>
      </c>
      <c r="C255" s="3">
        <v>943007</v>
      </c>
      <c r="D255" s="3" t="s">
        <v>5288</v>
      </c>
      <c r="E255" s="3">
        <v>1</v>
      </c>
      <c r="F255" s="3">
        <v>5</v>
      </c>
      <c r="G255" s="3">
        <v>5</v>
      </c>
      <c r="H255" s="55" t="s">
        <v>289</v>
      </c>
      <c r="I255" s="3" t="s">
        <v>5358</v>
      </c>
      <c r="J255" s="3" t="s">
        <v>5096</v>
      </c>
      <c r="L255" s="3">
        <v>180</v>
      </c>
      <c r="M255" s="3">
        <v>11840</v>
      </c>
      <c r="N255" s="3" t="s">
        <v>5201</v>
      </c>
      <c r="R255" s="3">
        <v>6</v>
      </c>
      <c r="S255" s="3" t="s">
        <v>980</v>
      </c>
      <c r="T255" s="3" t="s">
        <v>5203</v>
      </c>
      <c r="U255" s="3">
        <v>42</v>
      </c>
      <c r="V255" s="3">
        <v>403</v>
      </c>
      <c r="W255" s="3">
        <v>0</v>
      </c>
      <c r="X255" s="3">
        <v>958</v>
      </c>
      <c r="Y255" s="3">
        <v>0</v>
      </c>
      <c r="Z255" s="3">
        <v>0</v>
      </c>
      <c r="AA255" s="3">
        <v>958</v>
      </c>
      <c r="AB255" s="3">
        <v>4450</v>
      </c>
      <c r="AC255" s="192">
        <v>8.3333333333333332E-3</v>
      </c>
      <c r="AD255" s="3" t="s">
        <v>292</v>
      </c>
      <c r="AF255" s="193">
        <v>9.930555555555555E-2</v>
      </c>
      <c r="AG255" s="193">
        <v>0.46041666666666664</v>
      </c>
      <c r="AH255" s="193">
        <v>0.81180555555555556</v>
      </c>
    </row>
    <row r="256" spans="1:34" x14ac:dyDescent="0.25">
      <c r="A256" s="3" t="s">
        <v>5400</v>
      </c>
      <c r="B256" s="3">
        <v>147794</v>
      </c>
      <c r="C256" s="3">
        <v>943007</v>
      </c>
      <c r="D256" s="3" t="s">
        <v>5288</v>
      </c>
      <c r="E256" s="3">
        <v>1</v>
      </c>
      <c r="F256" s="3">
        <v>6</v>
      </c>
      <c r="G256" s="3">
        <v>6</v>
      </c>
      <c r="H256" s="55" t="s">
        <v>289</v>
      </c>
      <c r="I256" s="3" t="s">
        <v>5358</v>
      </c>
      <c r="J256" s="3" t="s">
        <v>5096</v>
      </c>
      <c r="L256" s="3">
        <v>180</v>
      </c>
      <c r="M256" s="3">
        <v>11840</v>
      </c>
      <c r="N256" s="3" t="s">
        <v>5201</v>
      </c>
      <c r="R256" s="3">
        <v>6</v>
      </c>
      <c r="S256" s="3" t="s">
        <v>980</v>
      </c>
      <c r="T256" s="3" t="s">
        <v>5203</v>
      </c>
      <c r="U256" s="3" t="s">
        <v>281</v>
      </c>
      <c r="V256" s="3">
        <v>403</v>
      </c>
      <c r="W256" s="3">
        <v>0</v>
      </c>
      <c r="X256" s="3">
        <v>654</v>
      </c>
      <c r="Y256" s="3">
        <v>0</v>
      </c>
      <c r="Z256" s="3">
        <v>0</v>
      </c>
      <c r="AA256" s="3">
        <v>654</v>
      </c>
      <c r="AB256" s="3">
        <v>5104</v>
      </c>
      <c r="AC256" s="192">
        <v>4.1666666666666664E-2</v>
      </c>
      <c r="AD256" s="3" t="s">
        <v>294</v>
      </c>
      <c r="AE256" s="3" t="s">
        <v>295</v>
      </c>
      <c r="AF256" s="193">
        <v>6.7361111111111108E-2</v>
      </c>
      <c r="AG256" s="193">
        <v>0.52777777777777779</v>
      </c>
      <c r="AH256" s="193">
        <v>0.92083333333333328</v>
      </c>
    </row>
    <row r="257" spans="1:34" x14ac:dyDescent="0.25">
      <c r="A257" s="3" t="s">
        <v>5400</v>
      </c>
      <c r="B257" s="3">
        <v>147796</v>
      </c>
      <c r="C257" s="3">
        <v>943007</v>
      </c>
      <c r="D257" s="3" t="s">
        <v>5288</v>
      </c>
      <c r="E257" s="3">
        <v>1</v>
      </c>
      <c r="F257" s="3">
        <v>7</v>
      </c>
      <c r="G257" s="3">
        <v>1</v>
      </c>
      <c r="H257" s="55" t="s">
        <v>289</v>
      </c>
      <c r="I257" s="3" t="s">
        <v>5358</v>
      </c>
      <c r="J257" s="3" t="s">
        <v>5096</v>
      </c>
      <c r="L257" s="3">
        <v>180</v>
      </c>
      <c r="M257" s="3">
        <v>11840</v>
      </c>
      <c r="N257" s="3" t="s">
        <v>5201</v>
      </c>
      <c r="R257" s="3">
        <v>8</v>
      </c>
      <c r="S257" s="3" t="s">
        <v>986</v>
      </c>
      <c r="T257" s="3" t="s">
        <v>5203</v>
      </c>
      <c r="U257" s="3" t="s">
        <v>284</v>
      </c>
      <c r="V257" s="3">
        <v>401</v>
      </c>
      <c r="W257" s="3">
        <v>0</v>
      </c>
      <c r="X257" s="3">
        <v>512</v>
      </c>
      <c r="Y257" s="3">
        <v>0</v>
      </c>
      <c r="Z257" s="3">
        <v>0</v>
      </c>
      <c r="AA257" s="3">
        <v>512</v>
      </c>
      <c r="AB257" s="3">
        <v>5616</v>
      </c>
      <c r="AC257" s="192">
        <v>0</v>
      </c>
      <c r="AF257" s="193">
        <v>5.347222222222222E-2</v>
      </c>
      <c r="AG257" s="193">
        <v>0.58125000000000004</v>
      </c>
      <c r="AH257" s="193">
        <v>0.97430555555555554</v>
      </c>
    </row>
    <row r="258" spans="1:34" x14ac:dyDescent="0.25">
      <c r="A258" s="3" t="s">
        <v>335</v>
      </c>
      <c r="B258" s="3">
        <v>133693</v>
      </c>
      <c r="C258" s="3">
        <v>941707</v>
      </c>
      <c r="D258" s="3" t="s">
        <v>3526</v>
      </c>
      <c r="E258" s="3">
        <v>6</v>
      </c>
      <c r="F258" s="3">
        <v>1</v>
      </c>
      <c r="G258" s="3">
        <v>11</v>
      </c>
      <c r="H258" s="55" t="s">
        <v>289</v>
      </c>
      <c r="I258" s="3" t="s">
        <v>279</v>
      </c>
      <c r="J258" s="135">
        <v>46180</v>
      </c>
      <c r="K258" s="3" t="s">
        <v>5096</v>
      </c>
      <c r="L258" s="3">
        <v>1830</v>
      </c>
      <c r="M258" s="3">
        <v>27569</v>
      </c>
      <c r="N258" s="3" t="s">
        <v>5165</v>
      </c>
      <c r="R258" s="3">
        <v>13</v>
      </c>
      <c r="S258" s="3" t="s">
        <v>4420</v>
      </c>
      <c r="T258" s="3" t="s">
        <v>5166</v>
      </c>
      <c r="U258" s="3" t="s">
        <v>304</v>
      </c>
      <c r="V258" s="3">
        <v>361</v>
      </c>
      <c r="W258" s="3">
        <v>0</v>
      </c>
      <c r="X258" s="3">
        <v>1950</v>
      </c>
      <c r="Y258" s="3">
        <v>1932</v>
      </c>
      <c r="Z258" s="3">
        <v>0</v>
      </c>
      <c r="AA258" s="3">
        <v>18</v>
      </c>
      <c r="AB258" s="3">
        <v>18</v>
      </c>
      <c r="AC258" s="192">
        <v>0</v>
      </c>
      <c r="AF258" s="193">
        <v>2.0833333333333333E-3</v>
      </c>
      <c r="AG258" s="193">
        <v>2.0833333333333333E-3</v>
      </c>
      <c r="AH258" s="193">
        <v>0.27916666666666667</v>
      </c>
    </row>
    <row r="259" spans="1:34" x14ac:dyDescent="0.25">
      <c r="A259" s="3" t="s">
        <v>335</v>
      </c>
      <c r="B259" s="3">
        <v>133057</v>
      </c>
      <c r="C259" s="3">
        <v>941707</v>
      </c>
      <c r="D259" s="3" t="s">
        <v>3526</v>
      </c>
      <c r="E259" s="3">
        <v>6</v>
      </c>
      <c r="F259" s="3">
        <v>2</v>
      </c>
      <c r="G259" s="3">
        <v>7</v>
      </c>
      <c r="H259" s="55" t="s">
        <v>289</v>
      </c>
      <c r="I259" s="3" t="s">
        <v>279</v>
      </c>
      <c r="J259" s="135">
        <v>46210</v>
      </c>
      <c r="K259" s="3" t="s">
        <v>5291</v>
      </c>
      <c r="L259" s="3">
        <v>1830</v>
      </c>
      <c r="M259" s="3">
        <v>27417</v>
      </c>
      <c r="N259" s="3" t="s">
        <v>5305</v>
      </c>
      <c r="R259" s="3">
        <v>8</v>
      </c>
      <c r="S259" s="3" t="s">
        <v>2842</v>
      </c>
      <c r="T259" s="3" t="s">
        <v>5306</v>
      </c>
      <c r="U259" s="3" t="s">
        <v>280</v>
      </c>
      <c r="V259" s="3">
        <v>274</v>
      </c>
      <c r="W259" s="3">
        <v>0</v>
      </c>
      <c r="X259" s="3">
        <v>110</v>
      </c>
      <c r="Y259" s="3">
        <v>86</v>
      </c>
      <c r="Z259" s="3">
        <v>0</v>
      </c>
      <c r="AA259" s="3">
        <v>24</v>
      </c>
      <c r="AB259" s="3">
        <v>42</v>
      </c>
      <c r="AC259" s="192">
        <v>0</v>
      </c>
      <c r="AF259" s="193">
        <v>3.472222222222222E-3</v>
      </c>
      <c r="AG259" s="193">
        <v>5.5555555555555558E-3</v>
      </c>
      <c r="AH259" s="193">
        <v>0.28263888888888888</v>
      </c>
    </row>
    <row r="260" spans="1:34" x14ac:dyDescent="0.25">
      <c r="A260" s="3" t="s">
        <v>335</v>
      </c>
      <c r="B260" s="3">
        <v>133059</v>
      </c>
      <c r="C260" s="3">
        <v>941707</v>
      </c>
      <c r="D260" s="3" t="s">
        <v>3526</v>
      </c>
      <c r="E260" s="3">
        <v>6</v>
      </c>
      <c r="F260" s="3">
        <v>3</v>
      </c>
      <c r="G260" s="3">
        <v>8</v>
      </c>
      <c r="H260" s="55" t="s">
        <v>289</v>
      </c>
      <c r="I260" s="3" t="s">
        <v>279</v>
      </c>
      <c r="J260" s="135">
        <v>46210</v>
      </c>
      <c r="K260" s="3" t="s">
        <v>5363</v>
      </c>
      <c r="L260" s="3">
        <v>1830</v>
      </c>
      <c r="M260" s="3">
        <v>27418</v>
      </c>
      <c r="N260" s="3" t="s">
        <v>5401</v>
      </c>
      <c r="R260" s="3">
        <v>11</v>
      </c>
      <c r="S260" s="3" t="s">
        <v>5402</v>
      </c>
      <c r="T260" s="3" t="s">
        <v>5388</v>
      </c>
      <c r="U260" s="3">
        <v>38</v>
      </c>
      <c r="V260" s="3">
        <v>274</v>
      </c>
      <c r="W260" s="3">
        <v>0</v>
      </c>
      <c r="X260" s="3">
        <v>338</v>
      </c>
      <c r="Y260" s="3">
        <v>250</v>
      </c>
      <c r="Z260" s="3">
        <v>0</v>
      </c>
      <c r="AA260" s="3">
        <v>88</v>
      </c>
      <c r="AB260" s="3">
        <v>130</v>
      </c>
      <c r="AC260" s="192">
        <v>0</v>
      </c>
      <c r="AF260" s="193">
        <v>1.3194444444444444E-2</v>
      </c>
      <c r="AG260" s="193">
        <v>1.9444444444444445E-2</v>
      </c>
      <c r="AH260" s="193">
        <v>0.29583333333333334</v>
      </c>
    </row>
    <row r="261" spans="1:34" x14ac:dyDescent="0.25">
      <c r="A261" s="3" t="s">
        <v>335</v>
      </c>
      <c r="B261" s="3">
        <v>133059</v>
      </c>
      <c r="C261" s="3">
        <v>941707</v>
      </c>
      <c r="D261" s="3" t="s">
        <v>3526</v>
      </c>
      <c r="E261" s="3">
        <v>6</v>
      </c>
      <c r="F261" s="3">
        <v>4</v>
      </c>
      <c r="G261" s="3">
        <v>4</v>
      </c>
      <c r="H261" s="55" t="s">
        <v>289</v>
      </c>
      <c r="I261" s="3" t="s">
        <v>279</v>
      </c>
      <c r="J261" s="135">
        <v>46210</v>
      </c>
      <c r="L261" s="3">
        <v>1830</v>
      </c>
      <c r="M261" s="3">
        <v>27418</v>
      </c>
      <c r="N261" s="3" t="s">
        <v>5401</v>
      </c>
      <c r="R261" s="3">
        <v>11</v>
      </c>
      <c r="S261" s="3" t="s">
        <v>5402</v>
      </c>
      <c r="T261" s="3" t="s">
        <v>5388</v>
      </c>
      <c r="U261" s="3" t="s">
        <v>298</v>
      </c>
      <c r="V261" s="3">
        <v>274</v>
      </c>
      <c r="W261" s="3">
        <v>0</v>
      </c>
      <c r="X261" s="3">
        <v>68</v>
      </c>
      <c r="Y261" s="3">
        <v>0</v>
      </c>
      <c r="Z261" s="3">
        <v>0</v>
      </c>
      <c r="AA261" s="3">
        <v>68</v>
      </c>
      <c r="AB261" s="3">
        <v>198</v>
      </c>
      <c r="AC261" s="192">
        <v>0</v>
      </c>
      <c r="AF261" s="193">
        <v>1.0416666666666666E-2</v>
      </c>
      <c r="AG261" s="193">
        <v>2.9166666666666667E-2</v>
      </c>
      <c r="AH261" s="193">
        <v>0.30625000000000002</v>
      </c>
    </row>
    <row r="262" spans="1:34" x14ac:dyDescent="0.25">
      <c r="A262" s="3" t="s">
        <v>335</v>
      </c>
      <c r="B262" s="3">
        <v>133059</v>
      </c>
      <c r="C262" s="3">
        <v>941707</v>
      </c>
      <c r="D262" s="3" t="s">
        <v>3526</v>
      </c>
      <c r="E262" s="3">
        <v>6</v>
      </c>
      <c r="F262" s="3">
        <v>5</v>
      </c>
      <c r="G262" s="3">
        <v>5</v>
      </c>
      <c r="H262" s="55" t="s">
        <v>289</v>
      </c>
      <c r="I262" s="3" t="s">
        <v>279</v>
      </c>
      <c r="J262" s="135">
        <v>46210</v>
      </c>
      <c r="L262" s="3">
        <v>1830</v>
      </c>
      <c r="M262" s="3">
        <v>27418</v>
      </c>
      <c r="N262" s="3" t="s">
        <v>5401</v>
      </c>
      <c r="R262" s="3">
        <v>11</v>
      </c>
      <c r="S262" s="3" t="s">
        <v>5402</v>
      </c>
      <c r="T262" s="3" t="s">
        <v>5388</v>
      </c>
      <c r="U262" s="3">
        <v>35</v>
      </c>
      <c r="V262" s="3">
        <v>274</v>
      </c>
      <c r="W262" s="3">
        <v>0</v>
      </c>
      <c r="X262" s="3">
        <v>214</v>
      </c>
      <c r="Y262" s="3">
        <v>0</v>
      </c>
      <c r="Z262" s="3">
        <v>0</v>
      </c>
      <c r="AA262" s="3">
        <v>214</v>
      </c>
      <c r="AB262" s="3">
        <v>412</v>
      </c>
      <c r="AC262" s="192">
        <v>0</v>
      </c>
      <c r="AF262" s="193">
        <v>3.2638888888888891E-2</v>
      </c>
      <c r="AG262" s="193">
        <v>6.1805555555555558E-2</v>
      </c>
      <c r="AH262" s="193">
        <v>0.33888888888888891</v>
      </c>
    </row>
    <row r="263" spans="1:34" x14ac:dyDescent="0.25">
      <c r="A263" s="3" t="s">
        <v>335</v>
      </c>
      <c r="B263" s="3">
        <v>133059</v>
      </c>
      <c r="C263" s="3">
        <v>941707</v>
      </c>
      <c r="D263" s="3" t="s">
        <v>3526</v>
      </c>
      <c r="E263" s="3">
        <v>6</v>
      </c>
      <c r="F263" s="3">
        <v>6</v>
      </c>
      <c r="G263" s="3">
        <v>6</v>
      </c>
      <c r="H263" s="55" t="s">
        <v>289</v>
      </c>
      <c r="I263" s="3" t="s">
        <v>279</v>
      </c>
      <c r="J263" s="135">
        <v>46210</v>
      </c>
      <c r="L263" s="3">
        <v>1830</v>
      </c>
      <c r="M263" s="3">
        <v>27418</v>
      </c>
      <c r="N263" s="3" t="s">
        <v>5401</v>
      </c>
      <c r="R263" s="3">
        <v>11</v>
      </c>
      <c r="S263" s="3" t="s">
        <v>5402</v>
      </c>
      <c r="T263" s="3" t="s">
        <v>5388</v>
      </c>
      <c r="U263" s="3">
        <v>36</v>
      </c>
      <c r="V263" s="3">
        <v>274</v>
      </c>
      <c r="W263" s="3">
        <v>0</v>
      </c>
      <c r="X263" s="3">
        <v>332</v>
      </c>
      <c r="Y263" s="3">
        <v>0</v>
      </c>
      <c r="Z263" s="3">
        <v>0</v>
      </c>
      <c r="AA263" s="3">
        <v>332</v>
      </c>
      <c r="AB263" s="3">
        <v>744</v>
      </c>
      <c r="AC263" s="192">
        <v>8.3333333333333332E-3</v>
      </c>
      <c r="AD263" s="3" t="s">
        <v>292</v>
      </c>
      <c r="AF263" s="193">
        <v>5.0694444444444445E-2</v>
      </c>
      <c r="AG263" s="193">
        <v>0.1125</v>
      </c>
      <c r="AH263" s="193">
        <v>0.39791666666666664</v>
      </c>
    </row>
    <row r="264" spans="1:34" x14ac:dyDescent="0.25">
      <c r="A264" s="3" t="s">
        <v>335</v>
      </c>
      <c r="B264" s="3">
        <v>133059</v>
      </c>
      <c r="C264" s="3">
        <v>941707</v>
      </c>
      <c r="D264" s="3" t="s">
        <v>3526</v>
      </c>
      <c r="E264" s="3">
        <v>6</v>
      </c>
      <c r="F264" s="3">
        <v>7</v>
      </c>
      <c r="G264" s="3">
        <v>7</v>
      </c>
      <c r="H264" s="55" t="s">
        <v>289</v>
      </c>
      <c r="I264" s="3" t="s">
        <v>279</v>
      </c>
      <c r="J264" s="135">
        <v>46210</v>
      </c>
      <c r="L264" s="3">
        <v>1830</v>
      </c>
      <c r="M264" s="3">
        <v>27418</v>
      </c>
      <c r="N264" s="3" t="s">
        <v>5401</v>
      </c>
      <c r="R264" s="3">
        <v>11</v>
      </c>
      <c r="S264" s="3" t="s">
        <v>5402</v>
      </c>
      <c r="T264" s="3" t="s">
        <v>5388</v>
      </c>
      <c r="U264" s="3">
        <v>37</v>
      </c>
      <c r="V264" s="3">
        <v>274</v>
      </c>
      <c r="W264" s="3">
        <v>0</v>
      </c>
      <c r="X264" s="3">
        <v>388</v>
      </c>
      <c r="Y264" s="3">
        <v>0</v>
      </c>
      <c r="Z264" s="3">
        <v>0</v>
      </c>
      <c r="AA264" s="3">
        <v>388</v>
      </c>
      <c r="AB264" s="3">
        <v>1132</v>
      </c>
      <c r="AC264" s="192">
        <v>0</v>
      </c>
      <c r="AF264" s="193">
        <v>5.9027777777777776E-2</v>
      </c>
      <c r="AG264" s="193">
        <v>0.17152777777777778</v>
      </c>
      <c r="AH264" s="193">
        <v>0.45694444444444443</v>
      </c>
    </row>
    <row r="265" spans="1:34" x14ac:dyDescent="0.25">
      <c r="A265" s="3" t="s">
        <v>335</v>
      </c>
      <c r="B265" s="3">
        <v>133059</v>
      </c>
      <c r="C265" s="3">
        <v>941707</v>
      </c>
      <c r="D265" s="3" t="s">
        <v>3526</v>
      </c>
      <c r="E265" s="3">
        <v>6</v>
      </c>
      <c r="F265" s="3">
        <v>8</v>
      </c>
      <c r="G265" s="3">
        <v>9</v>
      </c>
      <c r="H265" s="55" t="s">
        <v>289</v>
      </c>
      <c r="I265" s="3" t="s">
        <v>279</v>
      </c>
      <c r="J265" s="135">
        <v>46210</v>
      </c>
      <c r="L265" s="3">
        <v>1830</v>
      </c>
      <c r="M265" s="3">
        <v>27418</v>
      </c>
      <c r="N265" s="3" t="s">
        <v>5401</v>
      </c>
      <c r="R265" s="3">
        <v>11</v>
      </c>
      <c r="S265" s="3" t="s">
        <v>5402</v>
      </c>
      <c r="T265" s="3" t="s">
        <v>5388</v>
      </c>
      <c r="U265" s="3" t="s">
        <v>280</v>
      </c>
      <c r="V265" s="3">
        <v>274</v>
      </c>
      <c r="W265" s="3">
        <v>0</v>
      </c>
      <c r="X265" s="3">
        <v>220</v>
      </c>
      <c r="Y265" s="3">
        <v>0</v>
      </c>
      <c r="Z265" s="3">
        <v>0</v>
      </c>
      <c r="AA265" s="3">
        <v>220</v>
      </c>
      <c r="AB265" s="3">
        <v>1352</v>
      </c>
      <c r="AC265" s="192">
        <v>4.1666666666666664E-2</v>
      </c>
      <c r="AD265" s="3" t="s">
        <v>294</v>
      </c>
      <c r="AE265" s="3" t="s">
        <v>295</v>
      </c>
      <c r="AF265" s="193">
        <v>3.3333333333333333E-2</v>
      </c>
      <c r="AG265" s="193">
        <v>0.2048611111111111</v>
      </c>
      <c r="AH265" s="193">
        <v>0.53194444444444444</v>
      </c>
    </row>
    <row r="266" spans="1:34" x14ac:dyDescent="0.25">
      <c r="A266" s="3" t="s">
        <v>335</v>
      </c>
      <c r="B266" s="3">
        <v>135822</v>
      </c>
      <c r="C266" s="3">
        <v>942207</v>
      </c>
      <c r="D266" s="3" t="s">
        <v>3526</v>
      </c>
      <c r="E266" s="3">
        <v>7</v>
      </c>
      <c r="F266" s="3">
        <v>9</v>
      </c>
      <c r="G266" s="3">
        <v>6</v>
      </c>
      <c r="H266" s="55" t="s">
        <v>289</v>
      </c>
      <c r="I266" s="3" t="s">
        <v>279</v>
      </c>
      <c r="J266" s="135">
        <v>46210</v>
      </c>
      <c r="L266" s="3">
        <v>1830</v>
      </c>
      <c r="M266" s="3">
        <v>27635</v>
      </c>
      <c r="N266" s="3" t="s">
        <v>5177</v>
      </c>
      <c r="R266" s="3">
        <v>12</v>
      </c>
      <c r="S266" s="3" t="s">
        <v>5403</v>
      </c>
      <c r="T266" s="3" t="s">
        <v>5364</v>
      </c>
      <c r="U266" s="3" t="s">
        <v>313</v>
      </c>
      <c r="V266" s="3">
        <v>346</v>
      </c>
      <c r="W266" s="3">
        <v>0</v>
      </c>
      <c r="X266" s="3">
        <v>80</v>
      </c>
      <c r="Y266" s="3">
        <v>0</v>
      </c>
      <c r="Z266" s="3">
        <v>0</v>
      </c>
      <c r="AA266" s="3">
        <v>80</v>
      </c>
      <c r="AB266" s="3">
        <v>1432</v>
      </c>
      <c r="AC266" s="192">
        <v>0</v>
      </c>
      <c r="AF266" s="193">
        <v>9.7222222222222224E-3</v>
      </c>
      <c r="AG266" s="193">
        <v>0.21458333333333332</v>
      </c>
      <c r="AH266" s="193">
        <v>0.54166666666666663</v>
      </c>
    </row>
    <row r="267" spans="1:34" x14ac:dyDescent="0.25">
      <c r="A267" s="3" t="s">
        <v>335</v>
      </c>
      <c r="B267" s="3">
        <v>135822</v>
      </c>
      <c r="C267" s="3">
        <v>942207</v>
      </c>
      <c r="D267" s="3" t="s">
        <v>3526</v>
      </c>
      <c r="E267" s="3">
        <v>7</v>
      </c>
      <c r="F267" s="3">
        <v>10</v>
      </c>
      <c r="G267" s="3">
        <v>7</v>
      </c>
      <c r="H267" s="55" t="s">
        <v>289</v>
      </c>
      <c r="I267" s="3" t="s">
        <v>279</v>
      </c>
      <c r="J267" s="135">
        <v>46210</v>
      </c>
      <c r="L267" s="3">
        <v>1830</v>
      </c>
      <c r="M267" s="3">
        <v>27635</v>
      </c>
      <c r="N267" s="3" t="s">
        <v>5177</v>
      </c>
      <c r="R267" s="3">
        <v>12</v>
      </c>
      <c r="S267" s="3" t="s">
        <v>5403</v>
      </c>
      <c r="T267" s="3" t="s">
        <v>5364</v>
      </c>
      <c r="U267" s="3" t="s">
        <v>5156</v>
      </c>
      <c r="V267" s="3">
        <v>346</v>
      </c>
      <c r="W267" s="3">
        <v>0</v>
      </c>
      <c r="X267" s="3">
        <v>136</v>
      </c>
      <c r="Y267" s="3">
        <v>0</v>
      </c>
      <c r="Z267" s="3">
        <v>0</v>
      </c>
      <c r="AA267" s="3">
        <v>136</v>
      </c>
      <c r="AB267" s="3">
        <v>1568</v>
      </c>
      <c r="AC267" s="192">
        <v>0</v>
      </c>
      <c r="AF267" s="193">
        <v>1.6666666666666666E-2</v>
      </c>
      <c r="AG267" s="193">
        <v>0.23125000000000001</v>
      </c>
      <c r="AH267" s="193">
        <v>0.55833333333333335</v>
      </c>
    </row>
    <row r="268" spans="1:34" x14ac:dyDescent="0.25">
      <c r="A268" s="3" t="s">
        <v>335</v>
      </c>
      <c r="B268" s="3">
        <v>135822</v>
      </c>
      <c r="C268" s="3">
        <v>942207</v>
      </c>
      <c r="D268" s="3" t="s">
        <v>3526</v>
      </c>
      <c r="E268" s="3">
        <v>7</v>
      </c>
      <c r="F268" s="3">
        <v>11</v>
      </c>
      <c r="G268" s="3">
        <v>8</v>
      </c>
      <c r="H268" s="55" t="s">
        <v>289</v>
      </c>
      <c r="I268" s="3" t="s">
        <v>279</v>
      </c>
      <c r="J268" s="135">
        <v>46210</v>
      </c>
      <c r="L268" s="3">
        <v>1830</v>
      </c>
      <c r="M268" s="3">
        <v>27635</v>
      </c>
      <c r="N268" s="3" t="s">
        <v>5177</v>
      </c>
      <c r="R268" s="3">
        <v>12</v>
      </c>
      <c r="S268" s="3" t="s">
        <v>5403</v>
      </c>
      <c r="T268" s="3" t="s">
        <v>5364</v>
      </c>
      <c r="U268" s="3" t="s">
        <v>311</v>
      </c>
      <c r="V268" s="3">
        <v>346</v>
      </c>
      <c r="W268" s="3">
        <v>0</v>
      </c>
      <c r="X268" s="3">
        <v>178</v>
      </c>
      <c r="Y268" s="3">
        <v>0</v>
      </c>
      <c r="Z268" s="3">
        <v>0</v>
      </c>
      <c r="AA268" s="3">
        <v>178</v>
      </c>
      <c r="AB268" s="3">
        <v>1746</v>
      </c>
      <c r="AC268" s="192">
        <v>8.3333333333333332E-3</v>
      </c>
      <c r="AD268" s="3" t="s">
        <v>404</v>
      </c>
      <c r="AF268" s="193">
        <v>2.1527777777777778E-2</v>
      </c>
      <c r="AG268" s="193">
        <v>0.25208333333333333</v>
      </c>
      <c r="AH268" s="193">
        <v>0.58819444444444446</v>
      </c>
    </row>
    <row r="269" spans="1:34" x14ac:dyDescent="0.25">
      <c r="A269" s="3" t="s">
        <v>335</v>
      </c>
      <c r="B269" s="3">
        <v>135822</v>
      </c>
      <c r="C269" s="3">
        <v>942207</v>
      </c>
      <c r="D269" s="3" t="s">
        <v>3526</v>
      </c>
      <c r="E269" s="3">
        <v>7</v>
      </c>
      <c r="F269" s="3">
        <v>12</v>
      </c>
      <c r="G269" s="3">
        <v>9</v>
      </c>
      <c r="H269" s="55" t="s">
        <v>289</v>
      </c>
      <c r="I269" s="3" t="s">
        <v>279</v>
      </c>
      <c r="J269" s="135">
        <v>46210</v>
      </c>
      <c r="L269" s="3">
        <v>1830</v>
      </c>
      <c r="M269" s="3">
        <v>27635</v>
      </c>
      <c r="N269" s="3" t="s">
        <v>5177</v>
      </c>
      <c r="R269" s="3">
        <v>12</v>
      </c>
      <c r="S269" s="3" t="s">
        <v>5403</v>
      </c>
      <c r="T269" s="3" t="s">
        <v>5364</v>
      </c>
      <c r="U269" s="3" t="s">
        <v>304</v>
      </c>
      <c r="V269" s="3">
        <v>346</v>
      </c>
      <c r="W269" s="3">
        <v>0</v>
      </c>
      <c r="X269" s="3">
        <v>184</v>
      </c>
      <c r="Y269" s="3">
        <v>0</v>
      </c>
      <c r="Z269" s="3">
        <v>0</v>
      </c>
      <c r="AA269" s="3">
        <v>184</v>
      </c>
      <c r="AB269" s="3">
        <v>1930</v>
      </c>
      <c r="AC269" s="192">
        <v>0</v>
      </c>
      <c r="AF269" s="193">
        <v>2.2222222222222223E-2</v>
      </c>
      <c r="AG269" s="193">
        <v>0.27430555555555558</v>
      </c>
      <c r="AH269" s="193">
        <v>0.61041666666666672</v>
      </c>
    </row>
    <row r="270" spans="1:34" x14ac:dyDescent="0.25">
      <c r="A270" s="3" t="s">
        <v>335</v>
      </c>
      <c r="B270" s="3">
        <v>135823</v>
      </c>
      <c r="C270" s="3">
        <v>942207</v>
      </c>
      <c r="D270" s="3" t="s">
        <v>3526</v>
      </c>
      <c r="E270" s="3">
        <v>7</v>
      </c>
      <c r="F270" s="3">
        <v>13</v>
      </c>
      <c r="G270" s="3">
        <v>9</v>
      </c>
      <c r="H270" s="55" t="s">
        <v>289</v>
      </c>
      <c r="I270" s="3" t="s">
        <v>279</v>
      </c>
      <c r="J270" s="135">
        <v>46210</v>
      </c>
      <c r="L270" s="3">
        <v>1830</v>
      </c>
      <c r="M270" s="3">
        <v>27635</v>
      </c>
      <c r="N270" s="3" t="s">
        <v>5177</v>
      </c>
      <c r="R270" s="3">
        <v>12</v>
      </c>
      <c r="S270" s="3" t="s">
        <v>5178</v>
      </c>
      <c r="T270" s="3" t="s">
        <v>5113</v>
      </c>
      <c r="U270" s="3" t="s">
        <v>304</v>
      </c>
      <c r="V270" s="3">
        <v>346</v>
      </c>
      <c r="W270" s="3">
        <v>0</v>
      </c>
      <c r="X270" s="3">
        <v>158</v>
      </c>
      <c r="Y270" s="3">
        <v>0</v>
      </c>
      <c r="Z270" s="3">
        <v>0</v>
      </c>
      <c r="AA270" s="3">
        <v>158</v>
      </c>
      <c r="AB270" s="3">
        <v>2088</v>
      </c>
      <c r="AC270" s="192">
        <v>0</v>
      </c>
      <c r="AF270" s="193">
        <v>1.8749999999999999E-2</v>
      </c>
      <c r="AG270" s="193">
        <v>0.29375000000000001</v>
      </c>
      <c r="AH270" s="193">
        <v>0.62916666666666665</v>
      </c>
    </row>
    <row r="271" spans="1:34" x14ac:dyDescent="0.25">
      <c r="A271" s="3" t="s">
        <v>335</v>
      </c>
      <c r="B271" s="3">
        <v>135823</v>
      </c>
      <c r="C271" s="3">
        <v>942207</v>
      </c>
      <c r="D271" s="3" t="s">
        <v>3526</v>
      </c>
      <c r="E271" s="3">
        <v>7</v>
      </c>
      <c r="F271" s="3">
        <v>14</v>
      </c>
      <c r="G271" s="3">
        <v>6</v>
      </c>
      <c r="H271" s="55" t="s">
        <v>289</v>
      </c>
      <c r="I271" s="3" t="s">
        <v>279</v>
      </c>
      <c r="J271" s="135">
        <v>46210</v>
      </c>
      <c r="L271" s="3">
        <v>1830</v>
      </c>
      <c r="M271" s="3">
        <v>27635</v>
      </c>
      <c r="N271" s="3" t="s">
        <v>5177</v>
      </c>
      <c r="R271" s="3">
        <v>12</v>
      </c>
      <c r="S271" s="3" t="s">
        <v>5178</v>
      </c>
      <c r="T271" s="3" t="s">
        <v>5113</v>
      </c>
      <c r="U271" s="3" t="s">
        <v>313</v>
      </c>
      <c r="V271" s="3">
        <v>346</v>
      </c>
      <c r="W271" s="3">
        <v>0</v>
      </c>
      <c r="X271" s="3">
        <v>30</v>
      </c>
      <c r="Y271" s="3">
        <v>0</v>
      </c>
      <c r="Z271" s="3">
        <v>0</v>
      </c>
      <c r="AA271" s="3">
        <v>30</v>
      </c>
      <c r="AB271" s="3">
        <v>2118</v>
      </c>
      <c r="AC271" s="192">
        <v>0</v>
      </c>
      <c r="AF271" s="193">
        <v>3.472222222222222E-3</v>
      </c>
      <c r="AG271" s="193">
        <v>0.29722222222222222</v>
      </c>
      <c r="AH271" s="193">
        <v>0.63263888888888886</v>
      </c>
    </row>
    <row r="272" spans="1:34" x14ac:dyDescent="0.25">
      <c r="A272" s="3" t="s">
        <v>335</v>
      </c>
      <c r="B272" s="3">
        <v>135823</v>
      </c>
      <c r="C272" s="3">
        <v>942207</v>
      </c>
      <c r="D272" s="3" t="s">
        <v>3526</v>
      </c>
      <c r="E272" s="3">
        <v>7</v>
      </c>
      <c r="F272" s="3">
        <v>15</v>
      </c>
      <c r="G272" s="3">
        <v>7</v>
      </c>
      <c r="H272" s="55" t="s">
        <v>289</v>
      </c>
      <c r="I272" s="3" t="s">
        <v>279</v>
      </c>
      <c r="J272" s="135">
        <v>46210</v>
      </c>
      <c r="L272" s="3">
        <v>1830</v>
      </c>
      <c r="M272" s="3">
        <v>27635</v>
      </c>
      <c r="N272" s="3" t="s">
        <v>5177</v>
      </c>
      <c r="R272" s="3">
        <v>12</v>
      </c>
      <c r="S272" s="3" t="s">
        <v>5178</v>
      </c>
      <c r="T272" s="3" t="s">
        <v>5113</v>
      </c>
      <c r="U272" s="3" t="s">
        <v>5156</v>
      </c>
      <c r="V272" s="3">
        <v>346</v>
      </c>
      <c r="W272" s="3">
        <v>0</v>
      </c>
      <c r="X272" s="3">
        <v>34</v>
      </c>
      <c r="Y272" s="3">
        <v>0</v>
      </c>
      <c r="Z272" s="3">
        <v>0</v>
      </c>
      <c r="AA272" s="3">
        <v>34</v>
      </c>
      <c r="AB272" s="3">
        <v>2152</v>
      </c>
      <c r="AC272" s="192">
        <v>0</v>
      </c>
      <c r="AF272" s="193">
        <v>4.1666666666666666E-3</v>
      </c>
      <c r="AG272" s="193">
        <v>0.30138888888888887</v>
      </c>
      <c r="AH272" s="193">
        <v>0.64375000000000004</v>
      </c>
    </row>
    <row r="273" spans="1:34" x14ac:dyDescent="0.25">
      <c r="A273" s="3" t="s">
        <v>335</v>
      </c>
      <c r="B273" s="3">
        <v>135823</v>
      </c>
      <c r="C273" s="3">
        <v>942207</v>
      </c>
      <c r="D273" s="3" t="s">
        <v>3526</v>
      </c>
      <c r="E273" s="3">
        <v>7</v>
      </c>
      <c r="F273" s="3">
        <v>16</v>
      </c>
      <c r="G273" s="3">
        <v>8</v>
      </c>
      <c r="H273" s="55" t="s">
        <v>289</v>
      </c>
      <c r="I273" s="3" t="s">
        <v>279</v>
      </c>
      <c r="J273" s="135">
        <v>46210</v>
      </c>
      <c r="L273" s="3">
        <v>1830</v>
      </c>
      <c r="M273" s="3">
        <v>27635</v>
      </c>
      <c r="N273" s="3" t="s">
        <v>5177</v>
      </c>
      <c r="R273" s="3">
        <v>12</v>
      </c>
      <c r="S273" s="3" t="s">
        <v>5178</v>
      </c>
      <c r="T273" s="3" t="s">
        <v>5113</v>
      </c>
      <c r="U273" s="3" t="s">
        <v>311</v>
      </c>
      <c r="V273" s="3">
        <v>346</v>
      </c>
      <c r="W273" s="3">
        <v>0</v>
      </c>
      <c r="X273" s="3">
        <v>126</v>
      </c>
      <c r="Y273" s="3">
        <v>0</v>
      </c>
      <c r="Z273" s="3">
        <v>0</v>
      </c>
      <c r="AA273" s="3">
        <v>126</v>
      </c>
      <c r="AB273" s="3">
        <v>2278</v>
      </c>
      <c r="AC273" s="192">
        <v>0</v>
      </c>
      <c r="AF273" s="193">
        <v>1.5277777777777777E-2</v>
      </c>
      <c r="AG273" s="193">
        <v>0.31666666666666665</v>
      </c>
      <c r="AH273" s="193">
        <v>0.65902777777777777</v>
      </c>
    </row>
    <row r="274" spans="1:34" x14ac:dyDescent="0.25">
      <c r="A274" s="3" t="s">
        <v>335</v>
      </c>
      <c r="B274" s="3">
        <v>135824</v>
      </c>
      <c r="C274" s="3">
        <v>942207</v>
      </c>
      <c r="D274" s="3" t="s">
        <v>3526</v>
      </c>
      <c r="E274" s="3">
        <v>7</v>
      </c>
      <c r="F274" s="3">
        <v>17</v>
      </c>
      <c r="G274" s="3">
        <v>6</v>
      </c>
      <c r="H274" s="55" t="s">
        <v>289</v>
      </c>
      <c r="I274" s="3" t="s">
        <v>279</v>
      </c>
      <c r="J274" s="135">
        <v>46210</v>
      </c>
      <c r="L274" s="3">
        <v>1830</v>
      </c>
      <c r="M274" s="3">
        <v>27635</v>
      </c>
      <c r="N274" s="3" t="s">
        <v>5177</v>
      </c>
      <c r="R274" s="3">
        <v>12</v>
      </c>
      <c r="S274" s="3" t="s">
        <v>5179</v>
      </c>
      <c r="T274" s="3" t="s">
        <v>5180</v>
      </c>
      <c r="U274" s="3" t="s">
        <v>311</v>
      </c>
      <c r="V274" s="3">
        <v>346</v>
      </c>
      <c r="W274" s="3">
        <v>0</v>
      </c>
      <c r="X274" s="3">
        <v>62</v>
      </c>
      <c r="Y274" s="3">
        <v>0</v>
      </c>
      <c r="Z274" s="3">
        <v>0</v>
      </c>
      <c r="AA274" s="3">
        <v>62</v>
      </c>
      <c r="AB274" s="3">
        <v>2340</v>
      </c>
      <c r="AC274" s="192">
        <v>0</v>
      </c>
      <c r="AF274" s="193">
        <v>7.6388888888888886E-3</v>
      </c>
      <c r="AG274" s="193">
        <v>0.32361111111111113</v>
      </c>
      <c r="AH274" s="193">
        <v>0.66666666666666663</v>
      </c>
    </row>
    <row r="275" spans="1:34" x14ac:dyDescent="0.25">
      <c r="A275" s="3" t="s">
        <v>335</v>
      </c>
      <c r="B275" s="3">
        <v>135824</v>
      </c>
      <c r="C275" s="3">
        <v>942207</v>
      </c>
      <c r="D275" s="3" t="s">
        <v>3526</v>
      </c>
      <c r="E275" s="3">
        <v>7</v>
      </c>
      <c r="F275" s="3">
        <v>18</v>
      </c>
      <c r="G275" s="3">
        <v>5</v>
      </c>
      <c r="H275" s="55" t="s">
        <v>289</v>
      </c>
      <c r="I275" s="3" t="s">
        <v>279</v>
      </c>
      <c r="J275" s="135">
        <v>46210</v>
      </c>
      <c r="L275" s="3">
        <v>1830</v>
      </c>
      <c r="M275" s="3">
        <v>27635</v>
      </c>
      <c r="N275" s="3" t="s">
        <v>5177</v>
      </c>
      <c r="R275" s="3">
        <v>12</v>
      </c>
      <c r="S275" s="3" t="s">
        <v>5179</v>
      </c>
      <c r="T275" s="3" t="s">
        <v>5180</v>
      </c>
      <c r="U275" s="3" t="s">
        <v>313</v>
      </c>
      <c r="V275" s="3">
        <v>346</v>
      </c>
      <c r="W275" s="3">
        <v>0</v>
      </c>
      <c r="X275" s="3">
        <v>82</v>
      </c>
      <c r="Y275" s="3">
        <v>0</v>
      </c>
      <c r="Z275" s="3">
        <v>0</v>
      </c>
      <c r="AA275" s="3">
        <v>82</v>
      </c>
      <c r="AB275" s="3">
        <v>2422</v>
      </c>
      <c r="AC275" s="192">
        <v>0</v>
      </c>
      <c r="AF275" s="193">
        <v>9.7222222222222224E-3</v>
      </c>
      <c r="AG275" s="193">
        <v>0.33402777777777776</v>
      </c>
      <c r="AH275" s="193">
        <v>0.67638888888888893</v>
      </c>
    </row>
    <row r="276" spans="1:34" x14ac:dyDescent="0.25">
      <c r="A276" s="3" t="s">
        <v>335</v>
      </c>
      <c r="B276" s="3">
        <v>135824</v>
      </c>
      <c r="C276" s="3">
        <v>942207</v>
      </c>
      <c r="D276" s="3" t="s">
        <v>3526</v>
      </c>
      <c r="E276" s="3">
        <v>7</v>
      </c>
      <c r="F276" s="3">
        <v>19</v>
      </c>
      <c r="G276" s="3">
        <v>7</v>
      </c>
      <c r="H276" s="55" t="s">
        <v>289</v>
      </c>
      <c r="I276" s="3" t="s">
        <v>279</v>
      </c>
      <c r="J276" s="135">
        <v>46210</v>
      </c>
      <c r="L276" s="3">
        <v>1830</v>
      </c>
      <c r="M276" s="3">
        <v>27635</v>
      </c>
      <c r="N276" s="3" t="s">
        <v>5177</v>
      </c>
      <c r="R276" s="3">
        <v>12</v>
      </c>
      <c r="S276" s="3" t="s">
        <v>5179</v>
      </c>
      <c r="T276" s="3" t="s">
        <v>5180</v>
      </c>
      <c r="U276" s="3" t="s">
        <v>304</v>
      </c>
      <c r="V276" s="3">
        <v>346</v>
      </c>
      <c r="W276" s="3">
        <v>0</v>
      </c>
      <c r="X276" s="3">
        <v>202</v>
      </c>
      <c r="Y276" s="3">
        <v>0</v>
      </c>
      <c r="Z276" s="3">
        <v>0</v>
      </c>
      <c r="AA276" s="3">
        <v>202</v>
      </c>
      <c r="AB276" s="3">
        <v>2624</v>
      </c>
      <c r="AC276" s="192">
        <v>0</v>
      </c>
      <c r="AF276" s="193">
        <v>2.4305555555555556E-2</v>
      </c>
      <c r="AG276" s="193">
        <v>0.35833333333333334</v>
      </c>
      <c r="AH276" s="193">
        <v>0.7006944444444444</v>
      </c>
    </row>
    <row r="277" spans="1:34" x14ac:dyDescent="0.25">
      <c r="A277" s="3" t="s">
        <v>335</v>
      </c>
      <c r="B277" s="3">
        <v>135876</v>
      </c>
      <c r="C277" s="3">
        <v>942207</v>
      </c>
      <c r="D277" s="3" t="s">
        <v>3526</v>
      </c>
      <c r="E277" s="3">
        <v>7</v>
      </c>
      <c r="F277" s="3">
        <v>20</v>
      </c>
      <c r="G277" s="3">
        <v>3</v>
      </c>
      <c r="H277" s="55" t="s">
        <v>289</v>
      </c>
      <c r="I277" s="3" t="s">
        <v>5358</v>
      </c>
      <c r="J277" s="135">
        <v>46210</v>
      </c>
      <c r="L277" s="3">
        <v>1830</v>
      </c>
      <c r="M277" s="3">
        <v>27421</v>
      </c>
      <c r="N277" s="3" t="s">
        <v>5404</v>
      </c>
      <c r="R277" s="3">
        <v>9</v>
      </c>
      <c r="S277" s="3" t="s">
        <v>2853</v>
      </c>
      <c r="T277" s="3" t="s">
        <v>5405</v>
      </c>
      <c r="U277" s="3" t="s">
        <v>298</v>
      </c>
      <c r="V277" s="3">
        <v>352</v>
      </c>
      <c r="W277" s="3">
        <v>0</v>
      </c>
      <c r="X277" s="3">
        <v>80</v>
      </c>
      <c r="Y277" s="3">
        <v>0</v>
      </c>
      <c r="Z277" s="3">
        <v>0</v>
      </c>
      <c r="AA277" s="3">
        <v>80</v>
      </c>
      <c r="AB277" s="3">
        <v>2704</v>
      </c>
      <c r="AC277" s="192">
        <v>0</v>
      </c>
      <c r="AF277" s="193">
        <v>9.7222222222222224E-3</v>
      </c>
      <c r="AG277" s="193">
        <v>0.36736111111111114</v>
      </c>
      <c r="AH277" s="193">
        <v>0.7104166666666667</v>
      </c>
    </row>
    <row r="278" spans="1:34" x14ac:dyDescent="0.25">
      <c r="A278" s="3" t="s">
        <v>335</v>
      </c>
      <c r="B278" s="3">
        <v>135876</v>
      </c>
      <c r="C278" s="3">
        <v>942207</v>
      </c>
      <c r="D278" s="3" t="s">
        <v>3526</v>
      </c>
      <c r="E278" s="3">
        <v>7</v>
      </c>
      <c r="F278" s="3">
        <v>21</v>
      </c>
      <c r="G278" s="3">
        <v>4</v>
      </c>
      <c r="H278" s="55" t="s">
        <v>289</v>
      </c>
      <c r="I278" s="3" t="s">
        <v>5358</v>
      </c>
      <c r="J278" s="135">
        <v>46210</v>
      </c>
      <c r="L278" s="3">
        <v>1830</v>
      </c>
      <c r="M278" s="3">
        <v>27421</v>
      </c>
      <c r="N278" s="3" t="s">
        <v>5404</v>
      </c>
      <c r="R278" s="3">
        <v>9</v>
      </c>
      <c r="S278" s="3" t="s">
        <v>2853</v>
      </c>
      <c r="T278" s="3" t="s">
        <v>5405</v>
      </c>
      <c r="U278" s="3">
        <v>35</v>
      </c>
      <c r="V278" s="3">
        <v>352</v>
      </c>
      <c r="W278" s="3">
        <v>0</v>
      </c>
      <c r="X278" s="3">
        <v>230</v>
      </c>
      <c r="Y278" s="3">
        <v>0</v>
      </c>
      <c r="Z278" s="3">
        <v>0</v>
      </c>
      <c r="AA278" s="3">
        <v>230</v>
      </c>
      <c r="AB278" s="3">
        <v>2934</v>
      </c>
      <c r="AC278" s="192">
        <v>0</v>
      </c>
      <c r="AF278" s="193">
        <v>2.7083333333333334E-2</v>
      </c>
      <c r="AG278" s="193">
        <v>0.39513888888888887</v>
      </c>
      <c r="AH278" s="193">
        <v>0.73750000000000004</v>
      </c>
    </row>
    <row r="279" spans="1:34" x14ac:dyDescent="0.25">
      <c r="A279" s="3" t="s">
        <v>335</v>
      </c>
      <c r="B279" s="3">
        <v>135876</v>
      </c>
      <c r="C279" s="3">
        <v>942207</v>
      </c>
      <c r="D279" s="3" t="s">
        <v>3526</v>
      </c>
      <c r="E279" s="3">
        <v>7</v>
      </c>
      <c r="F279" s="3">
        <v>22</v>
      </c>
      <c r="G279" s="3">
        <v>5</v>
      </c>
      <c r="H279" s="55" t="s">
        <v>289</v>
      </c>
      <c r="I279" s="3" t="s">
        <v>5358</v>
      </c>
      <c r="J279" s="135">
        <v>46210</v>
      </c>
      <c r="L279" s="3">
        <v>1830</v>
      </c>
      <c r="M279" s="3">
        <v>27421</v>
      </c>
      <c r="N279" s="3" t="s">
        <v>5404</v>
      </c>
      <c r="R279" s="3">
        <v>9</v>
      </c>
      <c r="S279" s="3" t="s">
        <v>2853</v>
      </c>
      <c r="T279" s="3" t="s">
        <v>5405</v>
      </c>
      <c r="U279" s="3">
        <v>36</v>
      </c>
      <c r="V279" s="3">
        <v>352</v>
      </c>
      <c r="W279" s="3">
        <v>0</v>
      </c>
      <c r="X279" s="3">
        <v>320</v>
      </c>
      <c r="Y279" s="3">
        <v>0</v>
      </c>
      <c r="Z279" s="3">
        <v>0</v>
      </c>
      <c r="AA279" s="3">
        <v>320</v>
      </c>
      <c r="AB279" s="3">
        <v>3254</v>
      </c>
      <c r="AC279" s="192">
        <v>8.3333333333333332E-3</v>
      </c>
      <c r="AD279" s="3" t="s">
        <v>292</v>
      </c>
      <c r="AF279" s="193">
        <v>3.8194444444444448E-2</v>
      </c>
      <c r="AG279" s="193">
        <v>0.43263888888888891</v>
      </c>
      <c r="AH279" s="193">
        <v>0.78402777777777777</v>
      </c>
    </row>
    <row r="280" spans="1:34" x14ac:dyDescent="0.25">
      <c r="A280" s="3" t="s">
        <v>335</v>
      </c>
      <c r="B280" s="3">
        <v>135876</v>
      </c>
      <c r="C280" s="3">
        <v>942207</v>
      </c>
      <c r="D280" s="3" t="s">
        <v>3526</v>
      </c>
      <c r="E280" s="3">
        <v>7</v>
      </c>
      <c r="F280" s="3">
        <v>23</v>
      </c>
      <c r="G280" s="3">
        <v>6</v>
      </c>
      <c r="H280" s="55" t="s">
        <v>289</v>
      </c>
      <c r="I280" s="3" t="s">
        <v>5358</v>
      </c>
      <c r="J280" s="135">
        <v>46210</v>
      </c>
      <c r="L280" s="3">
        <v>1830</v>
      </c>
      <c r="M280" s="3">
        <v>27421</v>
      </c>
      <c r="N280" s="3" t="s">
        <v>5404</v>
      </c>
      <c r="R280" s="3">
        <v>9</v>
      </c>
      <c r="S280" s="3" t="s">
        <v>2853</v>
      </c>
      <c r="T280" s="3" t="s">
        <v>5405</v>
      </c>
      <c r="U280" s="3">
        <v>37</v>
      </c>
      <c r="V280" s="3">
        <v>352</v>
      </c>
      <c r="W280" s="3">
        <v>0</v>
      </c>
      <c r="X280" s="3">
        <v>380</v>
      </c>
      <c r="Y280" s="3">
        <v>0</v>
      </c>
      <c r="Z280" s="3">
        <v>0</v>
      </c>
      <c r="AA280" s="3">
        <v>380</v>
      </c>
      <c r="AB280" s="3">
        <v>3634</v>
      </c>
      <c r="AC280" s="192">
        <v>4.1666666666666664E-2</v>
      </c>
      <c r="AD280" s="3" t="s">
        <v>294</v>
      </c>
      <c r="AE280" s="3" t="s">
        <v>295</v>
      </c>
      <c r="AF280" s="193">
        <v>4.5138888888888888E-2</v>
      </c>
      <c r="AG280" s="193">
        <v>0.4777777777777778</v>
      </c>
      <c r="AH280" s="193">
        <v>0.87083333333333335</v>
      </c>
    </row>
    <row r="281" spans="1:34" x14ac:dyDescent="0.25">
      <c r="A281" s="3" t="s">
        <v>335</v>
      </c>
      <c r="B281" s="3">
        <v>135876</v>
      </c>
      <c r="C281" s="3">
        <v>942207</v>
      </c>
      <c r="D281" s="3" t="s">
        <v>3526</v>
      </c>
      <c r="E281" s="3">
        <v>7</v>
      </c>
      <c r="F281" s="3">
        <v>24</v>
      </c>
      <c r="G281" s="3">
        <v>7</v>
      </c>
      <c r="H281" s="55" t="s">
        <v>289</v>
      </c>
      <c r="I281" s="3" t="s">
        <v>5358</v>
      </c>
      <c r="J281" s="135">
        <v>46210</v>
      </c>
      <c r="L281" s="3">
        <v>1830</v>
      </c>
      <c r="M281" s="3">
        <v>27421</v>
      </c>
      <c r="N281" s="3" t="s">
        <v>5404</v>
      </c>
      <c r="R281" s="3">
        <v>9</v>
      </c>
      <c r="S281" s="3" t="s">
        <v>2853</v>
      </c>
      <c r="T281" s="3" t="s">
        <v>5405</v>
      </c>
      <c r="U281" s="3">
        <v>38</v>
      </c>
      <c r="V281" s="3">
        <v>352</v>
      </c>
      <c r="W281" s="3">
        <v>0</v>
      </c>
      <c r="X281" s="3">
        <v>330</v>
      </c>
      <c r="Y281" s="3">
        <v>0</v>
      </c>
      <c r="Z281" s="3">
        <v>0</v>
      </c>
      <c r="AA281" s="3">
        <v>330</v>
      </c>
      <c r="AB281" s="3">
        <v>3964</v>
      </c>
      <c r="AC281" s="192">
        <v>0</v>
      </c>
      <c r="AF281" s="193">
        <v>3.888888888888889E-2</v>
      </c>
      <c r="AG281" s="193">
        <v>0.51666666666666672</v>
      </c>
      <c r="AH281" s="193">
        <v>0.90972222222222221</v>
      </c>
    </row>
    <row r="282" spans="1:34" x14ac:dyDescent="0.25">
      <c r="A282" s="3" t="s">
        <v>335</v>
      </c>
      <c r="B282" s="3">
        <v>135876</v>
      </c>
      <c r="C282" s="3">
        <v>942207</v>
      </c>
      <c r="D282" s="3" t="s">
        <v>3526</v>
      </c>
      <c r="E282" s="3">
        <v>7</v>
      </c>
      <c r="F282" s="3">
        <v>25</v>
      </c>
      <c r="G282" s="3">
        <v>8</v>
      </c>
      <c r="H282" s="55" t="s">
        <v>289</v>
      </c>
      <c r="I282" s="3" t="s">
        <v>5358</v>
      </c>
      <c r="J282" s="135">
        <v>46210</v>
      </c>
      <c r="L282" s="3">
        <v>1830</v>
      </c>
      <c r="M282" s="3">
        <v>27421</v>
      </c>
      <c r="N282" s="3" t="s">
        <v>5404</v>
      </c>
      <c r="R282" s="3">
        <v>9</v>
      </c>
      <c r="S282" s="3" t="s">
        <v>2853</v>
      </c>
      <c r="T282" s="3" t="s">
        <v>5405</v>
      </c>
      <c r="U282" s="3" t="s">
        <v>280</v>
      </c>
      <c r="V282" s="3">
        <v>352</v>
      </c>
      <c r="W282" s="3">
        <v>0</v>
      </c>
      <c r="X282" s="3">
        <v>200</v>
      </c>
      <c r="Y282" s="3">
        <v>0</v>
      </c>
      <c r="Z282" s="3">
        <v>0</v>
      </c>
      <c r="AA282" s="3">
        <v>200</v>
      </c>
      <c r="AB282" s="3">
        <v>4164</v>
      </c>
      <c r="AC282" s="192">
        <v>0</v>
      </c>
      <c r="AF282" s="193">
        <v>2.361111111111111E-2</v>
      </c>
      <c r="AG282" s="193">
        <v>0.54027777777777775</v>
      </c>
      <c r="AH282" s="193">
        <v>0.93333333333333335</v>
      </c>
    </row>
    <row r="283" spans="1:34" x14ac:dyDescent="0.25">
      <c r="A283" s="3" t="s">
        <v>335</v>
      </c>
      <c r="B283" s="3">
        <v>135877</v>
      </c>
      <c r="C283" s="3">
        <v>942207</v>
      </c>
      <c r="D283" s="3" t="s">
        <v>3526</v>
      </c>
      <c r="E283" s="3">
        <v>7</v>
      </c>
      <c r="F283" s="3">
        <v>26</v>
      </c>
      <c r="G283" s="3">
        <v>8</v>
      </c>
      <c r="H283" s="55" t="s">
        <v>289</v>
      </c>
      <c r="I283" s="3" t="s">
        <v>5358</v>
      </c>
      <c r="J283" s="135">
        <v>46210</v>
      </c>
      <c r="L283" s="3">
        <v>1830</v>
      </c>
      <c r="M283" s="3">
        <v>27421</v>
      </c>
      <c r="N283" s="3" t="s">
        <v>5404</v>
      </c>
      <c r="R283" s="3">
        <v>9</v>
      </c>
      <c r="S283" s="3" t="s">
        <v>2854</v>
      </c>
      <c r="T283" s="3" t="s">
        <v>5406</v>
      </c>
      <c r="U283" s="3" t="s">
        <v>280</v>
      </c>
      <c r="V283" s="3">
        <v>352</v>
      </c>
      <c r="W283" s="3">
        <v>0</v>
      </c>
      <c r="X283" s="3">
        <v>136</v>
      </c>
      <c r="Y283" s="3">
        <v>0</v>
      </c>
      <c r="Z283" s="3">
        <v>0</v>
      </c>
      <c r="AA283" s="3">
        <v>136</v>
      </c>
      <c r="AB283" s="3">
        <v>4300</v>
      </c>
      <c r="AC283" s="192">
        <v>0</v>
      </c>
      <c r="AF283" s="193">
        <v>1.5972222222222221E-2</v>
      </c>
      <c r="AG283" s="193">
        <v>0.55625000000000002</v>
      </c>
      <c r="AH283" s="193">
        <v>0.94930555555555551</v>
      </c>
    </row>
    <row r="284" spans="1:34" x14ac:dyDescent="0.25">
      <c r="A284" s="3" t="s">
        <v>335</v>
      </c>
      <c r="B284" s="3">
        <v>135877</v>
      </c>
      <c r="C284" s="3">
        <v>942207</v>
      </c>
      <c r="D284" s="3" t="s">
        <v>3526</v>
      </c>
      <c r="E284" s="3">
        <v>7</v>
      </c>
      <c r="F284" s="3">
        <v>27</v>
      </c>
      <c r="G284" s="3">
        <v>3</v>
      </c>
      <c r="H284" s="55" t="s">
        <v>289</v>
      </c>
      <c r="I284" s="3" t="s">
        <v>5358</v>
      </c>
      <c r="J284" s="135">
        <v>46210</v>
      </c>
      <c r="L284" s="3">
        <v>1830</v>
      </c>
      <c r="M284" s="3">
        <v>27421</v>
      </c>
      <c r="N284" s="3" t="s">
        <v>5404</v>
      </c>
      <c r="R284" s="3">
        <v>9</v>
      </c>
      <c r="S284" s="3" t="s">
        <v>2854</v>
      </c>
      <c r="T284" s="3" t="s">
        <v>5406</v>
      </c>
      <c r="U284" s="3" t="s">
        <v>298</v>
      </c>
      <c r="V284" s="3">
        <v>352</v>
      </c>
      <c r="W284" s="3">
        <v>0</v>
      </c>
      <c r="X284" s="3">
        <v>56</v>
      </c>
      <c r="Y284" s="3">
        <v>0</v>
      </c>
      <c r="Z284" s="3">
        <v>0</v>
      </c>
      <c r="AA284" s="3">
        <v>56</v>
      </c>
      <c r="AB284" s="3">
        <v>4356</v>
      </c>
      <c r="AC284" s="192">
        <v>0</v>
      </c>
      <c r="AF284" s="193">
        <v>6.9444444444444441E-3</v>
      </c>
      <c r="AG284" s="193">
        <v>0.56319444444444444</v>
      </c>
      <c r="AH284" s="193">
        <v>0.95625000000000004</v>
      </c>
    </row>
    <row r="285" spans="1:34" x14ac:dyDescent="0.25">
      <c r="A285" s="3" t="s">
        <v>335</v>
      </c>
      <c r="B285" s="3">
        <v>135877</v>
      </c>
      <c r="C285" s="3">
        <v>942207</v>
      </c>
      <c r="D285" s="3" t="s">
        <v>3526</v>
      </c>
      <c r="E285" s="3">
        <v>7</v>
      </c>
      <c r="F285" s="3">
        <v>28</v>
      </c>
      <c r="G285" s="3">
        <v>4</v>
      </c>
      <c r="H285" s="55" t="s">
        <v>289</v>
      </c>
      <c r="I285" s="3" t="s">
        <v>5358</v>
      </c>
      <c r="J285" s="135">
        <v>46210</v>
      </c>
      <c r="L285" s="3">
        <v>1830</v>
      </c>
      <c r="M285" s="3">
        <v>27421</v>
      </c>
      <c r="N285" s="3" t="s">
        <v>5404</v>
      </c>
      <c r="R285" s="3">
        <v>9</v>
      </c>
      <c r="S285" s="3" t="s">
        <v>2854</v>
      </c>
      <c r="T285" s="3" t="s">
        <v>5406</v>
      </c>
      <c r="U285" s="3">
        <v>35</v>
      </c>
      <c r="V285" s="3">
        <v>352</v>
      </c>
      <c r="W285" s="3">
        <v>0</v>
      </c>
      <c r="X285" s="3">
        <v>146</v>
      </c>
      <c r="Y285" s="3">
        <v>0</v>
      </c>
      <c r="Z285" s="3">
        <v>0</v>
      </c>
      <c r="AA285" s="3">
        <v>146</v>
      </c>
      <c r="AB285" s="3">
        <v>4502</v>
      </c>
      <c r="AC285" s="192">
        <v>0</v>
      </c>
      <c r="AF285" s="193">
        <v>1.7361111111111112E-2</v>
      </c>
      <c r="AG285" s="193">
        <v>0.5805555555555556</v>
      </c>
      <c r="AH285" s="193">
        <v>0.97361111111111109</v>
      </c>
    </row>
    <row r="286" spans="1:34" x14ac:dyDescent="0.25">
      <c r="A286" s="3" t="s">
        <v>337</v>
      </c>
      <c r="B286" s="3">
        <v>125405</v>
      </c>
      <c r="C286" s="3">
        <v>941407</v>
      </c>
      <c r="D286" s="3" t="s">
        <v>3526</v>
      </c>
      <c r="E286" s="3">
        <v>5</v>
      </c>
      <c r="F286" s="3">
        <v>1</v>
      </c>
      <c r="G286" s="3">
        <v>14</v>
      </c>
      <c r="H286" s="55" t="s">
        <v>289</v>
      </c>
      <c r="I286" s="3" t="s">
        <v>279</v>
      </c>
      <c r="J286" s="135">
        <v>46029</v>
      </c>
      <c r="K286" s="135">
        <v>46302</v>
      </c>
      <c r="L286" s="3">
        <v>1830</v>
      </c>
      <c r="M286" s="3">
        <v>27578</v>
      </c>
      <c r="N286" s="3" t="s">
        <v>5169</v>
      </c>
      <c r="O286" s="3" t="s">
        <v>4754</v>
      </c>
      <c r="R286" s="3">
        <v>11</v>
      </c>
      <c r="S286" s="3" t="s">
        <v>5170</v>
      </c>
      <c r="T286" s="3" t="s">
        <v>5171</v>
      </c>
      <c r="U286" s="3" t="s">
        <v>280</v>
      </c>
      <c r="V286" s="3">
        <v>258</v>
      </c>
      <c r="W286" s="3">
        <v>0</v>
      </c>
      <c r="X286" s="3">
        <v>140</v>
      </c>
      <c r="Y286" s="3">
        <v>130</v>
      </c>
      <c r="Z286" s="3">
        <v>0</v>
      </c>
      <c r="AA286" s="3">
        <v>10</v>
      </c>
      <c r="AB286" s="3">
        <v>10</v>
      </c>
      <c r="AC286" s="192">
        <v>0</v>
      </c>
      <c r="AF286" s="193">
        <v>1.3888888888888889E-3</v>
      </c>
      <c r="AG286" s="193">
        <v>1.3888888888888889E-3</v>
      </c>
      <c r="AH286" s="193">
        <v>0.27847222222222223</v>
      </c>
    </row>
    <row r="287" spans="1:34" x14ac:dyDescent="0.25">
      <c r="A287" s="3" t="s">
        <v>337</v>
      </c>
      <c r="B287" s="3">
        <v>125405</v>
      </c>
      <c r="C287" s="3">
        <v>941407</v>
      </c>
      <c r="D287" s="3" t="s">
        <v>3526</v>
      </c>
      <c r="E287" s="3">
        <v>5</v>
      </c>
      <c r="F287" s="3">
        <v>2</v>
      </c>
      <c r="G287" s="3">
        <v>13</v>
      </c>
      <c r="H287" s="55" t="s">
        <v>289</v>
      </c>
      <c r="I287" s="3" t="s">
        <v>279</v>
      </c>
      <c r="J287" s="135">
        <v>46029</v>
      </c>
      <c r="K287" s="135">
        <v>46302</v>
      </c>
      <c r="L287" s="3">
        <v>1830</v>
      </c>
      <c r="M287" s="3">
        <v>27578</v>
      </c>
      <c r="N287" s="3" t="s">
        <v>5169</v>
      </c>
      <c r="O287" s="3" t="s">
        <v>4754</v>
      </c>
      <c r="R287" s="3">
        <v>11</v>
      </c>
      <c r="S287" s="3" t="s">
        <v>5170</v>
      </c>
      <c r="T287" s="3" t="s">
        <v>5171</v>
      </c>
      <c r="U287" s="3">
        <v>38</v>
      </c>
      <c r="V287" s="3">
        <v>258</v>
      </c>
      <c r="W287" s="3">
        <v>0</v>
      </c>
      <c r="X287" s="3">
        <v>140</v>
      </c>
      <c r="Y287" s="3">
        <v>130</v>
      </c>
      <c r="Z287" s="3">
        <v>0</v>
      </c>
      <c r="AA287" s="3">
        <v>10</v>
      </c>
      <c r="AB287" s="3">
        <v>20</v>
      </c>
      <c r="AC287" s="192">
        <v>0</v>
      </c>
      <c r="AF287" s="193">
        <v>1.3888888888888889E-3</v>
      </c>
      <c r="AG287" s="193">
        <v>3.472222222222222E-3</v>
      </c>
      <c r="AH287" s="193">
        <v>0.27986111111111112</v>
      </c>
    </row>
    <row r="288" spans="1:34" x14ac:dyDescent="0.25">
      <c r="A288" s="3" t="s">
        <v>337</v>
      </c>
      <c r="B288" s="3">
        <v>125408</v>
      </c>
      <c r="C288" s="3">
        <v>941407</v>
      </c>
      <c r="D288" s="3" t="s">
        <v>3526</v>
      </c>
      <c r="E288" s="3">
        <v>5</v>
      </c>
      <c r="F288" s="3">
        <v>3</v>
      </c>
      <c r="G288" s="3">
        <v>9</v>
      </c>
      <c r="H288" s="55" t="s">
        <v>289</v>
      </c>
      <c r="I288" s="3" t="s">
        <v>279</v>
      </c>
      <c r="J288" s="135">
        <v>46029</v>
      </c>
      <c r="K288" s="135">
        <v>46302</v>
      </c>
      <c r="L288" s="3">
        <v>1830</v>
      </c>
      <c r="M288" s="3">
        <v>27578</v>
      </c>
      <c r="N288" s="3" t="s">
        <v>5169</v>
      </c>
      <c r="O288" s="3" t="s">
        <v>4754</v>
      </c>
      <c r="R288" s="3">
        <v>11</v>
      </c>
      <c r="S288" s="3" t="s">
        <v>5172</v>
      </c>
      <c r="T288" s="3" t="s">
        <v>5173</v>
      </c>
      <c r="U288" s="3" t="s">
        <v>298</v>
      </c>
      <c r="V288" s="3">
        <v>258</v>
      </c>
      <c r="W288" s="3">
        <v>0</v>
      </c>
      <c r="X288" s="3">
        <v>92</v>
      </c>
      <c r="Y288" s="3">
        <v>82</v>
      </c>
      <c r="Z288" s="3">
        <v>0</v>
      </c>
      <c r="AA288" s="3">
        <v>10</v>
      </c>
      <c r="AB288" s="3">
        <v>30</v>
      </c>
      <c r="AC288" s="192">
        <v>0</v>
      </c>
      <c r="AF288" s="193">
        <v>1.3888888888888889E-3</v>
      </c>
      <c r="AG288" s="193">
        <v>4.8611111111111112E-3</v>
      </c>
      <c r="AH288" s="193">
        <v>0.28125</v>
      </c>
    </row>
    <row r="289" spans="1:34" x14ac:dyDescent="0.25">
      <c r="A289" s="3" t="s">
        <v>337</v>
      </c>
      <c r="B289" s="3">
        <v>125408</v>
      </c>
      <c r="C289" s="3">
        <v>941407</v>
      </c>
      <c r="D289" s="3" t="s">
        <v>3526</v>
      </c>
      <c r="E289" s="3">
        <v>5</v>
      </c>
      <c r="F289" s="3">
        <v>4</v>
      </c>
      <c r="G289" s="3">
        <v>10</v>
      </c>
      <c r="H289" s="55" t="s">
        <v>289</v>
      </c>
      <c r="I289" s="3" t="s">
        <v>279</v>
      </c>
      <c r="J289" s="135">
        <v>46029</v>
      </c>
      <c r="K289" s="135">
        <v>46302</v>
      </c>
      <c r="L289" s="3">
        <v>1830</v>
      </c>
      <c r="M289" s="3">
        <v>27578</v>
      </c>
      <c r="N289" s="3" t="s">
        <v>5169</v>
      </c>
      <c r="O289" s="3" t="s">
        <v>4754</v>
      </c>
      <c r="R289" s="3">
        <v>11</v>
      </c>
      <c r="S289" s="3" t="s">
        <v>5172</v>
      </c>
      <c r="T289" s="3" t="s">
        <v>5173</v>
      </c>
      <c r="U289" s="3">
        <v>35</v>
      </c>
      <c r="V289" s="3">
        <v>258</v>
      </c>
      <c r="W289" s="3">
        <v>0</v>
      </c>
      <c r="X289" s="3">
        <v>184</v>
      </c>
      <c r="Y289" s="3">
        <v>172</v>
      </c>
      <c r="Z289" s="3">
        <v>0</v>
      </c>
      <c r="AA289" s="3">
        <v>12</v>
      </c>
      <c r="AB289" s="3">
        <v>42</v>
      </c>
      <c r="AC289" s="192">
        <v>0</v>
      </c>
      <c r="AF289" s="193">
        <v>2.0833333333333333E-3</v>
      </c>
      <c r="AG289" s="193">
        <v>6.9444444444444441E-3</v>
      </c>
      <c r="AH289" s="193">
        <v>0.28333333333333333</v>
      </c>
    </row>
    <row r="290" spans="1:34" x14ac:dyDescent="0.25">
      <c r="A290" s="3" t="s">
        <v>337</v>
      </c>
      <c r="B290" s="3">
        <v>125408</v>
      </c>
      <c r="C290" s="3">
        <v>941407</v>
      </c>
      <c r="D290" s="3" t="s">
        <v>3526</v>
      </c>
      <c r="E290" s="3">
        <v>5</v>
      </c>
      <c r="F290" s="3">
        <v>5</v>
      </c>
      <c r="G290" s="3">
        <v>11</v>
      </c>
      <c r="H290" s="55" t="s">
        <v>289</v>
      </c>
      <c r="I290" s="3" t="s">
        <v>279</v>
      </c>
      <c r="J290" s="135">
        <v>46029</v>
      </c>
      <c r="K290" s="135">
        <v>46302</v>
      </c>
      <c r="L290" s="3">
        <v>1830</v>
      </c>
      <c r="M290" s="3">
        <v>27578</v>
      </c>
      <c r="N290" s="3" t="s">
        <v>5169</v>
      </c>
      <c r="O290" s="3" t="s">
        <v>4754</v>
      </c>
      <c r="R290" s="3">
        <v>11</v>
      </c>
      <c r="S290" s="3" t="s">
        <v>5172</v>
      </c>
      <c r="T290" s="3" t="s">
        <v>5173</v>
      </c>
      <c r="U290" s="3">
        <v>36</v>
      </c>
      <c r="V290" s="3">
        <v>258</v>
      </c>
      <c r="W290" s="3">
        <v>0</v>
      </c>
      <c r="X290" s="3">
        <v>276</v>
      </c>
      <c r="Y290" s="3">
        <v>264</v>
      </c>
      <c r="Z290" s="3">
        <v>0</v>
      </c>
      <c r="AA290" s="3">
        <v>12</v>
      </c>
      <c r="AB290" s="3">
        <v>54</v>
      </c>
      <c r="AC290" s="192">
        <v>0</v>
      </c>
      <c r="AF290" s="193">
        <v>2.0833333333333333E-3</v>
      </c>
      <c r="AG290" s="193">
        <v>9.0277777777777769E-3</v>
      </c>
      <c r="AH290" s="193">
        <v>0.28541666666666665</v>
      </c>
    </row>
    <row r="291" spans="1:34" x14ac:dyDescent="0.25">
      <c r="A291" s="3" t="s">
        <v>337</v>
      </c>
      <c r="B291" s="3">
        <v>125408</v>
      </c>
      <c r="C291" s="3">
        <v>941407</v>
      </c>
      <c r="D291" s="3" t="s">
        <v>3526</v>
      </c>
      <c r="E291" s="3">
        <v>5</v>
      </c>
      <c r="F291" s="3">
        <v>6</v>
      </c>
      <c r="G291" s="3">
        <v>14</v>
      </c>
      <c r="H291" s="55" t="s">
        <v>289</v>
      </c>
      <c r="I291" s="3" t="s">
        <v>279</v>
      </c>
      <c r="J291" s="135">
        <v>46029</v>
      </c>
      <c r="K291" s="135">
        <v>46302</v>
      </c>
      <c r="L291" s="3">
        <v>1830</v>
      </c>
      <c r="M291" s="3">
        <v>27578</v>
      </c>
      <c r="N291" s="3" t="s">
        <v>5169</v>
      </c>
      <c r="O291" s="3" t="s">
        <v>4754</v>
      </c>
      <c r="R291" s="3">
        <v>11</v>
      </c>
      <c r="S291" s="3" t="s">
        <v>5172</v>
      </c>
      <c r="T291" s="3" t="s">
        <v>5173</v>
      </c>
      <c r="U291" s="3" t="s">
        <v>280</v>
      </c>
      <c r="V291" s="3">
        <v>258</v>
      </c>
      <c r="W291" s="3">
        <v>0</v>
      </c>
      <c r="X291" s="3">
        <v>184</v>
      </c>
      <c r="Y291" s="3">
        <v>174</v>
      </c>
      <c r="Z291" s="3">
        <v>0</v>
      </c>
      <c r="AA291" s="3">
        <v>10</v>
      </c>
      <c r="AB291" s="3">
        <v>64</v>
      </c>
      <c r="AC291" s="192">
        <v>0</v>
      </c>
      <c r="AF291" s="193">
        <v>1.3888888888888889E-3</v>
      </c>
      <c r="AG291" s="193">
        <v>1.0416666666666666E-2</v>
      </c>
      <c r="AH291" s="193">
        <v>0.28680555555555554</v>
      </c>
    </row>
    <row r="292" spans="1:34" x14ac:dyDescent="0.25">
      <c r="A292" s="3" t="s">
        <v>337</v>
      </c>
      <c r="B292" s="3">
        <v>132852</v>
      </c>
      <c r="C292" s="3">
        <v>941707</v>
      </c>
      <c r="D292" s="3" t="s">
        <v>3526</v>
      </c>
      <c r="E292" s="3">
        <v>6</v>
      </c>
      <c r="F292" s="3">
        <v>7</v>
      </c>
      <c r="G292" s="3">
        <v>12</v>
      </c>
      <c r="H292" s="55" t="s">
        <v>289</v>
      </c>
      <c r="I292" s="3" t="s">
        <v>279</v>
      </c>
      <c r="J292" s="135">
        <v>46180</v>
      </c>
      <c r="K292" s="3" t="s">
        <v>5096</v>
      </c>
      <c r="L292" s="3">
        <v>1830</v>
      </c>
      <c r="M292" s="3">
        <v>27578</v>
      </c>
      <c r="N292" s="3" t="s">
        <v>5169</v>
      </c>
      <c r="R292" s="3">
        <v>11</v>
      </c>
      <c r="S292" s="3" t="s">
        <v>5172</v>
      </c>
      <c r="T292" s="3" t="s">
        <v>5173</v>
      </c>
      <c r="U292" s="3">
        <v>37</v>
      </c>
      <c r="V292" s="3">
        <v>258</v>
      </c>
      <c r="W292" s="3">
        <v>0</v>
      </c>
      <c r="X292" s="3">
        <v>360</v>
      </c>
      <c r="Y292" s="3">
        <v>320</v>
      </c>
      <c r="Z292" s="3">
        <v>0</v>
      </c>
      <c r="AA292" s="3">
        <v>40</v>
      </c>
      <c r="AB292" s="3">
        <v>104</v>
      </c>
      <c r="AC292" s="192">
        <v>0</v>
      </c>
      <c r="AF292" s="193">
        <v>6.2500000000000003E-3</v>
      </c>
      <c r="AG292" s="193">
        <v>1.6666666666666666E-2</v>
      </c>
      <c r="AH292" s="193">
        <v>0.29305555555555557</v>
      </c>
    </row>
    <row r="293" spans="1:34" x14ac:dyDescent="0.25">
      <c r="A293" s="3" t="s">
        <v>337</v>
      </c>
      <c r="B293" s="3">
        <v>133292</v>
      </c>
      <c r="C293" s="3">
        <v>941707</v>
      </c>
      <c r="D293" s="3" t="s">
        <v>3526</v>
      </c>
      <c r="E293" s="3">
        <v>6</v>
      </c>
      <c r="F293" s="3">
        <v>8</v>
      </c>
      <c r="G293" s="3">
        <v>10</v>
      </c>
      <c r="H293" s="55" t="s">
        <v>289</v>
      </c>
      <c r="I293" s="3" t="s">
        <v>279</v>
      </c>
      <c r="J293" s="135">
        <v>46180</v>
      </c>
      <c r="K293" s="3" t="s">
        <v>5291</v>
      </c>
      <c r="L293" s="3">
        <v>1830</v>
      </c>
      <c r="M293" s="3">
        <v>27578</v>
      </c>
      <c r="N293" s="3" t="s">
        <v>5169</v>
      </c>
      <c r="R293" s="3">
        <v>11</v>
      </c>
      <c r="S293" s="3" t="s">
        <v>5307</v>
      </c>
      <c r="T293" s="3" t="s">
        <v>5107</v>
      </c>
      <c r="U293" s="3" t="s">
        <v>298</v>
      </c>
      <c r="V293" s="3">
        <v>258</v>
      </c>
      <c r="W293" s="3">
        <v>0</v>
      </c>
      <c r="X293" s="3">
        <v>708</v>
      </c>
      <c r="Y293" s="3">
        <v>688</v>
      </c>
      <c r="Z293" s="3">
        <v>0</v>
      </c>
      <c r="AA293" s="3">
        <v>20</v>
      </c>
      <c r="AB293" s="3">
        <v>124</v>
      </c>
      <c r="AC293" s="192">
        <v>0</v>
      </c>
      <c r="AF293" s="193">
        <v>3.472222222222222E-3</v>
      </c>
      <c r="AG293" s="193">
        <v>2.013888888888889E-2</v>
      </c>
      <c r="AH293" s="193">
        <v>0.29652777777777778</v>
      </c>
    </row>
    <row r="294" spans="1:34" x14ac:dyDescent="0.25">
      <c r="A294" s="3" t="s">
        <v>337</v>
      </c>
      <c r="B294" s="3">
        <v>133292</v>
      </c>
      <c r="C294" s="3">
        <v>941707</v>
      </c>
      <c r="D294" s="3" t="s">
        <v>3526</v>
      </c>
      <c r="E294" s="3">
        <v>6</v>
      </c>
      <c r="F294" s="3">
        <v>9</v>
      </c>
      <c r="G294" s="3">
        <v>11</v>
      </c>
      <c r="H294" s="55" t="s">
        <v>289</v>
      </c>
      <c r="I294" s="3" t="s">
        <v>279</v>
      </c>
      <c r="J294" s="135">
        <v>46180</v>
      </c>
      <c r="K294" s="3" t="s">
        <v>5291</v>
      </c>
      <c r="L294" s="3">
        <v>1830</v>
      </c>
      <c r="M294" s="3">
        <v>27578</v>
      </c>
      <c r="N294" s="3" t="s">
        <v>5169</v>
      </c>
      <c r="R294" s="3">
        <v>11</v>
      </c>
      <c r="S294" s="3" t="s">
        <v>5307</v>
      </c>
      <c r="T294" s="3" t="s">
        <v>5107</v>
      </c>
      <c r="U294" s="3">
        <v>35</v>
      </c>
      <c r="V294" s="3">
        <v>258</v>
      </c>
      <c r="W294" s="3">
        <v>0</v>
      </c>
      <c r="X294" s="3">
        <v>1416</v>
      </c>
      <c r="Y294" s="3">
        <v>1370</v>
      </c>
      <c r="Z294" s="3">
        <v>0</v>
      </c>
      <c r="AA294" s="3">
        <v>46</v>
      </c>
      <c r="AB294" s="3">
        <v>170</v>
      </c>
      <c r="AC294" s="192">
        <v>0</v>
      </c>
      <c r="AF294" s="193">
        <v>7.6388888888888886E-3</v>
      </c>
      <c r="AG294" s="193">
        <v>2.7777777777777776E-2</v>
      </c>
      <c r="AH294" s="193">
        <v>0.30416666666666664</v>
      </c>
    </row>
    <row r="295" spans="1:34" x14ac:dyDescent="0.25">
      <c r="A295" s="3" t="s">
        <v>337</v>
      </c>
      <c r="B295" s="3">
        <v>133292</v>
      </c>
      <c r="C295" s="3">
        <v>941707</v>
      </c>
      <c r="D295" s="3" t="s">
        <v>3526</v>
      </c>
      <c r="E295" s="3">
        <v>6</v>
      </c>
      <c r="F295" s="3">
        <v>10</v>
      </c>
      <c r="G295" s="3">
        <v>12</v>
      </c>
      <c r="H295" s="55" t="s">
        <v>289</v>
      </c>
      <c r="I295" s="3" t="s">
        <v>279</v>
      </c>
      <c r="J295" s="135">
        <v>46180</v>
      </c>
      <c r="K295" s="3" t="s">
        <v>5291</v>
      </c>
      <c r="L295" s="3">
        <v>1830</v>
      </c>
      <c r="M295" s="3">
        <v>27578</v>
      </c>
      <c r="N295" s="3" t="s">
        <v>5169</v>
      </c>
      <c r="R295" s="3">
        <v>11</v>
      </c>
      <c r="S295" s="3" t="s">
        <v>5307</v>
      </c>
      <c r="T295" s="3" t="s">
        <v>5107</v>
      </c>
      <c r="U295" s="3">
        <v>36</v>
      </c>
      <c r="V295" s="3">
        <v>258</v>
      </c>
      <c r="W295" s="3">
        <v>0</v>
      </c>
      <c r="X295" s="3">
        <v>1616</v>
      </c>
      <c r="Y295" s="3">
        <v>660</v>
      </c>
      <c r="Z295" s="3">
        <v>0</v>
      </c>
      <c r="AA295" s="3">
        <v>956</v>
      </c>
      <c r="AB295" s="3">
        <v>1126</v>
      </c>
      <c r="AC295" s="192">
        <v>0.05</v>
      </c>
      <c r="AD295" s="3" t="s">
        <v>285</v>
      </c>
      <c r="AE295" s="3" t="s">
        <v>286</v>
      </c>
      <c r="AF295" s="193">
        <v>0.15416666666666667</v>
      </c>
      <c r="AG295" s="193">
        <v>0.18194444444444444</v>
      </c>
      <c r="AH295" s="193">
        <v>0.5083333333333333</v>
      </c>
    </row>
    <row r="296" spans="1:34" x14ac:dyDescent="0.25">
      <c r="A296" s="3" t="s">
        <v>337</v>
      </c>
      <c r="B296" s="3">
        <v>133292</v>
      </c>
      <c r="C296" s="3">
        <v>941707</v>
      </c>
      <c r="D296" s="3" t="s">
        <v>3526</v>
      </c>
      <c r="E296" s="3">
        <v>6</v>
      </c>
      <c r="F296" s="3">
        <v>11</v>
      </c>
      <c r="G296" s="3">
        <v>13</v>
      </c>
      <c r="H296" s="55" t="s">
        <v>289</v>
      </c>
      <c r="I296" s="3" t="s">
        <v>279</v>
      </c>
      <c r="J296" s="135">
        <v>46180</v>
      </c>
      <c r="L296" s="3">
        <v>1830</v>
      </c>
      <c r="M296" s="3">
        <v>27578</v>
      </c>
      <c r="N296" s="3" t="s">
        <v>5169</v>
      </c>
      <c r="R296" s="3">
        <v>11</v>
      </c>
      <c r="S296" s="3" t="s">
        <v>5307</v>
      </c>
      <c r="T296" s="3" t="s">
        <v>5107</v>
      </c>
      <c r="U296" s="3">
        <v>37</v>
      </c>
      <c r="V296" s="3">
        <v>258</v>
      </c>
      <c r="W296" s="3">
        <v>0</v>
      </c>
      <c r="X296" s="3">
        <v>2124</v>
      </c>
      <c r="Y296" s="3">
        <v>0</v>
      </c>
      <c r="Z296" s="3">
        <v>0</v>
      </c>
      <c r="AA296" s="3">
        <v>2124</v>
      </c>
      <c r="AB296" s="3">
        <v>3250</v>
      </c>
      <c r="AC296" s="192">
        <v>5.8333333333333334E-2</v>
      </c>
      <c r="AD296" s="3" t="s">
        <v>5093</v>
      </c>
      <c r="AE296" s="3" t="s">
        <v>5362</v>
      </c>
      <c r="AF296" s="193">
        <v>0.34305555555555556</v>
      </c>
      <c r="AG296" s="193">
        <v>0.52500000000000002</v>
      </c>
      <c r="AH296" s="193">
        <v>0.91666666666666663</v>
      </c>
    </row>
    <row r="297" spans="1:34" x14ac:dyDescent="0.25">
      <c r="A297" s="3" t="s">
        <v>338</v>
      </c>
      <c r="B297" s="3">
        <v>125334</v>
      </c>
      <c r="C297" s="3">
        <v>941707</v>
      </c>
      <c r="D297" s="3" t="s">
        <v>3526</v>
      </c>
      <c r="E297" s="3">
        <v>6</v>
      </c>
      <c r="F297" s="3">
        <v>1</v>
      </c>
      <c r="G297" s="3">
        <v>8</v>
      </c>
      <c r="H297" s="55" t="s">
        <v>289</v>
      </c>
      <c r="I297" s="3" t="s">
        <v>279</v>
      </c>
      <c r="J297" s="3" t="s">
        <v>5174</v>
      </c>
      <c r="K297" s="3" t="s">
        <v>5096</v>
      </c>
      <c r="L297" s="3">
        <v>1830</v>
      </c>
      <c r="M297" s="3">
        <v>27573</v>
      </c>
      <c r="N297" s="3" t="s">
        <v>5175</v>
      </c>
      <c r="R297" s="3">
        <v>12</v>
      </c>
      <c r="S297" s="3" t="s">
        <v>4441</v>
      </c>
      <c r="T297" s="3" t="s">
        <v>3520</v>
      </c>
      <c r="U297" s="3">
        <v>38</v>
      </c>
      <c r="V297" s="3">
        <v>367</v>
      </c>
      <c r="W297" s="3">
        <v>0</v>
      </c>
      <c r="X297" s="3">
        <v>3326</v>
      </c>
      <c r="Y297" s="3">
        <v>3298</v>
      </c>
      <c r="Z297" s="3">
        <v>0</v>
      </c>
      <c r="AA297" s="3">
        <v>28</v>
      </c>
      <c r="AB297" s="3">
        <v>28</v>
      </c>
      <c r="AC297" s="192">
        <v>0</v>
      </c>
      <c r="AF297" s="193">
        <v>3.472222222222222E-3</v>
      </c>
      <c r="AG297" s="193">
        <v>3.472222222222222E-3</v>
      </c>
      <c r="AH297" s="193">
        <v>0.28055555555555556</v>
      </c>
    </row>
    <row r="298" spans="1:34" x14ac:dyDescent="0.25">
      <c r="A298" s="3" t="s">
        <v>338</v>
      </c>
      <c r="B298" s="3">
        <v>133652</v>
      </c>
      <c r="C298" s="3">
        <v>941707</v>
      </c>
      <c r="D298" s="3" t="s">
        <v>3526</v>
      </c>
      <c r="E298" s="3">
        <v>6</v>
      </c>
      <c r="F298" s="3">
        <v>2</v>
      </c>
      <c r="G298" s="3">
        <v>12</v>
      </c>
      <c r="H298" s="55" t="s">
        <v>289</v>
      </c>
      <c r="I298" s="3" t="s">
        <v>279</v>
      </c>
      <c r="J298" s="135">
        <v>46180</v>
      </c>
      <c r="K298" s="3" t="s">
        <v>5291</v>
      </c>
      <c r="L298" s="3">
        <v>1830</v>
      </c>
      <c r="M298" s="3">
        <v>27574</v>
      </c>
      <c r="N298" s="3" t="s">
        <v>5176</v>
      </c>
      <c r="R298" s="3">
        <v>14</v>
      </c>
      <c r="S298" s="3" t="s">
        <v>5308</v>
      </c>
      <c r="T298" s="3" t="s">
        <v>3513</v>
      </c>
      <c r="U298" s="3">
        <v>36</v>
      </c>
      <c r="V298" s="3">
        <v>253</v>
      </c>
      <c r="W298" s="3">
        <v>0</v>
      </c>
      <c r="X298" s="3">
        <v>1080</v>
      </c>
      <c r="Y298" s="3">
        <v>1070</v>
      </c>
      <c r="Z298" s="3">
        <v>0</v>
      </c>
      <c r="AA298" s="3">
        <v>10</v>
      </c>
      <c r="AB298" s="3">
        <v>38</v>
      </c>
      <c r="AC298" s="192">
        <v>0</v>
      </c>
      <c r="AF298" s="193">
        <v>1.3888888888888889E-3</v>
      </c>
      <c r="AG298" s="193">
        <v>4.8611111111111112E-3</v>
      </c>
      <c r="AH298" s="193">
        <v>0.28194444444444444</v>
      </c>
    </row>
    <row r="299" spans="1:34" x14ac:dyDescent="0.25">
      <c r="A299" s="3" t="s">
        <v>338</v>
      </c>
      <c r="B299" s="3">
        <v>133653</v>
      </c>
      <c r="C299" s="3">
        <v>941707</v>
      </c>
      <c r="D299" s="3" t="s">
        <v>3526</v>
      </c>
      <c r="E299" s="3">
        <v>6</v>
      </c>
      <c r="F299" s="3">
        <v>3</v>
      </c>
      <c r="G299" s="3">
        <v>14</v>
      </c>
      <c r="H299" s="55" t="s">
        <v>289</v>
      </c>
      <c r="I299" s="3" t="s">
        <v>279</v>
      </c>
      <c r="J299" s="135">
        <v>46180</v>
      </c>
      <c r="K299" s="3" t="s">
        <v>5291</v>
      </c>
      <c r="L299" s="3">
        <v>1830</v>
      </c>
      <c r="M299" s="3">
        <v>27574</v>
      </c>
      <c r="N299" s="3" t="s">
        <v>5176</v>
      </c>
      <c r="R299" s="3">
        <v>14</v>
      </c>
      <c r="S299" s="3" t="s">
        <v>5308</v>
      </c>
      <c r="T299" s="3" t="s">
        <v>3513</v>
      </c>
      <c r="U299" s="3">
        <v>38</v>
      </c>
      <c r="V299" s="3">
        <v>253</v>
      </c>
      <c r="W299" s="3">
        <v>0</v>
      </c>
      <c r="X299" s="3">
        <v>740</v>
      </c>
      <c r="Y299" s="3">
        <v>630</v>
      </c>
      <c r="Z299" s="3">
        <v>0</v>
      </c>
      <c r="AA299" s="3">
        <v>110</v>
      </c>
      <c r="AB299" s="3">
        <v>148</v>
      </c>
      <c r="AC299" s="192">
        <v>0</v>
      </c>
      <c r="AF299" s="193">
        <v>1.8055555555555554E-2</v>
      </c>
      <c r="AG299" s="193">
        <v>2.2916666666666665E-2</v>
      </c>
      <c r="AH299" s="193">
        <v>0.3</v>
      </c>
    </row>
    <row r="300" spans="1:34" x14ac:dyDescent="0.25">
      <c r="A300" s="3" t="s">
        <v>338</v>
      </c>
      <c r="B300" s="3">
        <v>133652</v>
      </c>
      <c r="C300" s="3">
        <v>941707</v>
      </c>
      <c r="D300" s="3" t="s">
        <v>3526</v>
      </c>
      <c r="E300" s="3">
        <v>6</v>
      </c>
      <c r="F300" s="3">
        <v>4</v>
      </c>
      <c r="G300" s="3">
        <v>14</v>
      </c>
      <c r="H300" s="55" t="s">
        <v>289</v>
      </c>
      <c r="I300" s="3" t="s">
        <v>279</v>
      </c>
      <c r="J300" s="135">
        <v>46180</v>
      </c>
      <c r="L300" s="3">
        <v>1830</v>
      </c>
      <c r="M300" s="3">
        <v>27574</v>
      </c>
      <c r="N300" s="3" t="s">
        <v>5176</v>
      </c>
      <c r="R300" s="3">
        <v>14</v>
      </c>
      <c r="S300" s="3" t="s">
        <v>5308</v>
      </c>
      <c r="T300" s="3" t="s">
        <v>3513</v>
      </c>
      <c r="U300" s="3">
        <v>38</v>
      </c>
      <c r="V300" s="3">
        <v>253</v>
      </c>
      <c r="W300" s="3">
        <v>0</v>
      </c>
      <c r="X300" s="3">
        <v>720</v>
      </c>
      <c r="Y300" s="3">
        <v>0</v>
      </c>
      <c r="Z300" s="3">
        <v>0</v>
      </c>
      <c r="AA300" s="3">
        <v>720</v>
      </c>
      <c r="AB300" s="3">
        <v>868</v>
      </c>
      <c r="AC300" s="192">
        <v>8.3333333333333332E-3</v>
      </c>
      <c r="AD300" s="3" t="s">
        <v>292</v>
      </c>
      <c r="AF300" s="193">
        <v>0.11874999999999999</v>
      </c>
      <c r="AG300" s="193">
        <v>0.14166666666666666</v>
      </c>
      <c r="AH300" s="193">
        <v>0.42708333333333331</v>
      </c>
    </row>
    <row r="301" spans="1:34" x14ac:dyDescent="0.25">
      <c r="A301" s="3" t="s">
        <v>338</v>
      </c>
      <c r="B301" s="3">
        <v>133653</v>
      </c>
      <c r="C301" s="3">
        <v>941707</v>
      </c>
      <c r="D301" s="3" t="s">
        <v>3526</v>
      </c>
      <c r="E301" s="3">
        <v>6</v>
      </c>
      <c r="F301" s="3">
        <v>5</v>
      </c>
      <c r="G301" s="3">
        <v>15</v>
      </c>
      <c r="H301" s="55" t="s">
        <v>289</v>
      </c>
      <c r="I301" s="3" t="s">
        <v>279</v>
      </c>
      <c r="J301" s="135">
        <v>46180</v>
      </c>
      <c r="L301" s="3">
        <v>1830</v>
      </c>
      <c r="M301" s="3">
        <v>27574</v>
      </c>
      <c r="N301" s="3" t="s">
        <v>5176</v>
      </c>
      <c r="R301" s="3">
        <v>14</v>
      </c>
      <c r="S301" s="3" t="s">
        <v>5308</v>
      </c>
      <c r="T301" s="3" t="s">
        <v>3513</v>
      </c>
      <c r="U301" s="3" t="s">
        <v>280</v>
      </c>
      <c r="V301" s="3">
        <v>253</v>
      </c>
      <c r="W301" s="3">
        <v>0</v>
      </c>
      <c r="X301" s="3">
        <v>430</v>
      </c>
      <c r="Y301" s="3">
        <v>0</v>
      </c>
      <c r="Z301" s="3">
        <v>0</v>
      </c>
      <c r="AA301" s="3">
        <v>430</v>
      </c>
      <c r="AB301" s="3">
        <v>1298</v>
      </c>
      <c r="AC301" s="192">
        <v>4.1666666666666664E-2</v>
      </c>
      <c r="AD301" s="3" t="s">
        <v>294</v>
      </c>
      <c r="AE301" s="3" t="s">
        <v>295</v>
      </c>
      <c r="AF301" s="193">
        <v>7.0833333333333331E-2</v>
      </c>
      <c r="AG301" s="193">
        <v>0.21249999999999999</v>
      </c>
      <c r="AH301" s="193">
        <v>0.5395833333333333</v>
      </c>
    </row>
    <row r="302" spans="1:34" x14ac:dyDescent="0.25">
      <c r="A302" s="3" t="s">
        <v>338</v>
      </c>
      <c r="B302" s="3">
        <v>133652</v>
      </c>
      <c r="C302" s="3">
        <v>941707</v>
      </c>
      <c r="D302" s="3" t="s">
        <v>3526</v>
      </c>
      <c r="E302" s="3">
        <v>6</v>
      </c>
      <c r="F302" s="3">
        <v>6</v>
      </c>
      <c r="G302" s="3">
        <v>15</v>
      </c>
      <c r="H302" s="55" t="s">
        <v>289</v>
      </c>
      <c r="I302" s="3" t="s">
        <v>279</v>
      </c>
      <c r="J302" s="135">
        <v>46180</v>
      </c>
      <c r="L302" s="3">
        <v>1830</v>
      </c>
      <c r="M302" s="3">
        <v>27574</v>
      </c>
      <c r="N302" s="3" t="s">
        <v>5176</v>
      </c>
      <c r="R302" s="3">
        <v>14</v>
      </c>
      <c r="S302" s="3" t="s">
        <v>5308</v>
      </c>
      <c r="T302" s="3" t="s">
        <v>3513</v>
      </c>
      <c r="U302" s="3" t="s">
        <v>280</v>
      </c>
      <c r="V302" s="3">
        <v>253</v>
      </c>
      <c r="W302" s="3">
        <v>0</v>
      </c>
      <c r="X302" s="3">
        <v>410</v>
      </c>
      <c r="Y302" s="3">
        <v>0</v>
      </c>
      <c r="Z302" s="3">
        <v>0</v>
      </c>
      <c r="AA302" s="3">
        <v>410</v>
      </c>
      <c r="AB302" s="3">
        <v>1708</v>
      </c>
      <c r="AC302" s="192">
        <v>8.3333333333333332E-3</v>
      </c>
      <c r="AD302" s="3" t="s">
        <v>404</v>
      </c>
      <c r="AF302" s="193">
        <v>6.7361111111111108E-2</v>
      </c>
      <c r="AG302" s="193">
        <v>0.27986111111111112</v>
      </c>
      <c r="AH302" s="193">
        <v>0.61527777777777781</v>
      </c>
    </row>
    <row r="303" spans="1:34" x14ac:dyDescent="0.25">
      <c r="A303" s="3" t="s">
        <v>338</v>
      </c>
      <c r="B303" s="3">
        <v>133653</v>
      </c>
      <c r="C303" s="3">
        <v>941707</v>
      </c>
      <c r="D303" s="3" t="s">
        <v>3526</v>
      </c>
      <c r="E303" s="3">
        <v>6</v>
      </c>
      <c r="F303" s="3">
        <v>7</v>
      </c>
      <c r="G303" s="3">
        <v>10</v>
      </c>
      <c r="H303" s="55" t="s">
        <v>289</v>
      </c>
      <c r="I303" s="3" t="s">
        <v>279</v>
      </c>
      <c r="J303" s="135">
        <v>46180</v>
      </c>
      <c r="L303" s="3">
        <v>1830</v>
      </c>
      <c r="M303" s="3">
        <v>27574</v>
      </c>
      <c r="N303" s="3" t="s">
        <v>5176</v>
      </c>
      <c r="R303" s="3">
        <v>14</v>
      </c>
      <c r="S303" s="3" t="s">
        <v>5308</v>
      </c>
      <c r="T303" s="3" t="s">
        <v>3513</v>
      </c>
      <c r="U303" s="3" t="s">
        <v>298</v>
      </c>
      <c r="V303" s="3">
        <v>253</v>
      </c>
      <c r="W303" s="3">
        <v>0</v>
      </c>
      <c r="X303" s="3">
        <v>370</v>
      </c>
      <c r="Y303" s="3">
        <v>0</v>
      </c>
      <c r="Z303" s="3">
        <v>0</v>
      </c>
      <c r="AA303" s="3">
        <v>370</v>
      </c>
      <c r="AB303" s="3">
        <v>2078</v>
      </c>
      <c r="AC303" s="192">
        <v>0</v>
      </c>
      <c r="AF303" s="193">
        <v>6.1111111111111109E-2</v>
      </c>
      <c r="AG303" s="193">
        <v>0.34097222222222223</v>
      </c>
      <c r="AH303" s="193">
        <v>0.68333333333333335</v>
      </c>
    </row>
    <row r="304" spans="1:34" x14ac:dyDescent="0.25">
      <c r="A304" s="3" t="s">
        <v>338</v>
      </c>
      <c r="B304" s="3">
        <v>133652</v>
      </c>
      <c r="C304" s="3">
        <v>941707</v>
      </c>
      <c r="D304" s="3" t="s">
        <v>3526</v>
      </c>
      <c r="E304" s="3">
        <v>6</v>
      </c>
      <c r="F304" s="3">
        <v>8</v>
      </c>
      <c r="G304" s="3">
        <v>10</v>
      </c>
      <c r="H304" s="55" t="s">
        <v>289</v>
      </c>
      <c r="I304" s="3" t="s">
        <v>279</v>
      </c>
      <c r="J304" s="135">
        <v>46180</v>
      </c>
      <c r="L304" s="3">
        <v>1830</v>
      </c>
      <c r="M304" s="3">
        <v>27574</v>
      </c>
      <c r="N304" s="3" t="s">
        <v>5176</v>
      </c>
      <c r="R304" s="3">
        <v>14</v>
      </c>
      <c r="S304" s="3" t="s">
        <v>5308</v>
      </c>
      <c r="T304" s="3" t="s">
        <v>3513</v>
      </c>
      <c r="U304" s="3" t="s">
        <v>298</v>
      </c>
      <c r="V304" s="3">
        <v>253</v>
      </c>
      <c r="W304" s="3">
        <v>0</v>
      </c>
      <c r="X304" s="3">
        <v>360</v>
      </c>
      <c r="Y304" s="3">
        <v>0</v>
      </c>
      <c r="Z304" s="3">
        <v>0</v>
      </c>
      <c r="AA304" s="3">
        <v>360</v>
      </c>
      <c r="AB304" s="3">
        <v>2438</v>
      </c>
      <c r="AC304" s="192">
        <v>0</v>
      </c>
      <c r="AF304" s="193">
        <v>5.9027777777777776E-2</v>
      </c>
      <c r="AG304" s="193">
        <v>0.4</v>
      </c>
      <c r="AH304" s="193">
        <v>0.74236111111111114</v>
      </c>
    </row>
    <row r="305" spans="1:34" x14ac:dyDescent="0.25">
      <c r="A305" s="3" t="s">
        <v>338</v>
      </c>
      <c r="B305" s="3">
        <v>133653</v>
      </c>
      <c r="C305" s="3">
        <v>941707</v>
      </c>
      <c r="D305" s="3" t="s">
        <v>3526</v>
      </c>
      <c r="E305" s="3">
        <v>6</v>
      </c>
      <c r="F305" s="3">
        <v>9</v>
      </c>
      <c r="G305" s="3">
        <v>13</v>
      </c>
      <c r="H305" s="55" t="s">
        <v>289</v>
      </c>
      <c r="I305" s="3" t="s">
        <v>279</v>
      </c>
      <c r="J305" s="135">
        <v>46180</v>
      </c>
      <c r="L305" s="3">
        <v>1830</v>
      </c>
      <c r="M305" s="3">
        <v>27574</v>
      </c>
      <c r="N305" s="3" t="s">
        <v>5176</v>
      </c>
      <c r="R305" s="3">
        <v>14</v>
      </c>
      <c r="S305" s="3" t="s">
        <v>5308</v>
      </c>
      <c r="T305" s="3" t="s">
        <v>3513</v>
      </c>
      <c r="U305" s="3">
        <v>37</v>
      </c>
      <c r="V305" s="3">
        <v>253</v>
      </c>
      <c r="W305" s="3">
        <v>0</v>
      </c>
      <c r="X305" s="3">
        <v>1050</v>
      </c>
      <c r="Y305" s="3">
        <v>0</v>
      </c>
      <c r="Z305" s="3">
        <v>0</v>
      </c>
      <c r="AA305" s="3">
        <v>1050</v>
      </c>
      <c r="AB305" s="3">
        <v>3488</v>
      </c>
      <c r="AC305" s="192">
        <v>0.05</v>
      </c>
      <c r="AD305" s="3" t="s">
        <v>285</v>
      </c>
      <c r="AE305" s="3" t="s">
        <v>286</v>
      </c>
      <c r="AF305" s="193">
        <v>0.17291666666666666</v>
      </c>
      <c r="AG305" s="193">
        <v>0.57291666666666663</v>
      </c>
      <c r="AH305" s="193">
        <v>0.96527777777777779</v>
      </c>
    </row>
    <row r="306" spans="1:34" x14ac:dyDescent="0.25">
      <c r="A306" s="3" t="s">
        <v>344</v>
      </c>
      <c r="B306" s="3">
        <v>128821</v>
      </c>
      <c r="C306" s="3">
        <v>941407</v>
      </c>
      <c r="D306" s="3" t="s">
        <v>3526</v>
      </c>
      <c r="E306" s="3">
        <v>5</v>
      </c>
      <c r="F306" s="3">
        <v>1</v>
      </c>
      <c r="G306" s="3">
        <v>10</v>
      </c>
      <c r="H306" s="55" t="s">
        <v>289</v>
      </c>
      <c r="I306" s="3" t="s">
        <v>279</v>
      </c>
      <c r="J306" s="135">
        <v>46060</v>
      </c>
      <c r="K306" s="3" t="s">
        <v>5108</v>
      </c>
      <c r="L306" s="3">
        <v>1830</v>
      </c>
      <c r="M306" s="3">
        <v>27635</v>
      </c>
      <c r="N306" s="3" t="s">
        <v>5177</v>
      </c>
      <c r="R306" s="3">
        <v>12</v>
      </c>
      <c r="S306" s="3" t="s">
        <v>5178</v>
      </c>
      <c r="T306" s="3" t="s">
        <v>5113</v>
      </c>
      <c r="U306" s="3" t="s">
        <v>311</v>
      </c>
      <c r="V306" s="3">
        <v>346</v>
      </c>
      <c r="W306" s="3">
        <v>0</v>
      </c>
      <c r="X306" s="3">
        <v>210</v>
      </c>
      <c r="Y306" s="3">
        <v>196</v>
      </c>
      <c r="Z306" s="3">
        <v>0</v>
      </c>
      <c r="AA306" s="3">
        <v>14</v>
      </c>
      <c r="AB306" s="3">
        <v>14</v>
      </c>
      <c r="AC306" s="192">
        <v>0</v>
      </c>
      <c r="AF306" s="193">
        <v>1.3888888888888889E-3</v>
      </c>
      <c r="AG306" s="193">
        <v>1.3888888888888889E-3</v>
      </c>
      <c r="AH306" s="193">
        <v>0.27847222222222223</v>
      </c>
    </row>
    <row r="307" spans="1:34" x14ac:dyDescent="0.25">
      <c r="A307" s="3" t="s">
        <v>344</v>
      </c>
      <c r="B307" s="3">
        <v>128818</v>
      </c>
      <c r="C307" s="3">
        <v>941407</v>
      </c>
      <c r="D307" s="3" t="s">
        <v>3526</v>
      </c>
      <c r="E307" s="3">
        <v>5</v>
      </c>
      <c r="F307" s="3">
        <v>2</v>
      </c>
      <c r="G307" s="3">
        <v>9</v>
      </c>
      <c r="H307" s="55" t="s">
        <v>289</v>
      </c>
      <c r="I307" s="3" t="s">
        <v>279</v>
      </c>
      <c r="J307" s="135">
        <v>46060</v>
      </c>
      <c r="K307" s="3" t="s">
        <v>5108</v>
      </c>
      <c r="L307" s="3">
        <v>1830</v>
      </c>
      <c r="M307" s="3">
        <v>27635</v>
      </c>
      <c r="N307" s="3" t="s">
        <v>5177</v>
      </c>
      <c r="R307" s="3">
        <v>12</v>
      </c>
      <c r="S307" s="3" t="s">
        <v>5179</v>
      </c>
      <c r="T307" s="3" t="s">
        <v>5180</v>
      </c>
      <c r="U307" s="3" t="s">
        <v>5156</v>
      </c>
      <c r="V307" s="3">
        <v>346</v>
      </c>
      <c r="W307" s="3">
        <v>0</v>
      </c>
      <c r="X307" s="3">
        <v>450</v>
      </c>
      <c r="Y307" s="3">
        <v>422</v>
      </c>
      <c r="Z307" s="3">
        <v>0</v>
      </c>
      <c r="AA307" s="3">
        <v>28</v>
      </c>
      <c r="AB307" s="3">
        <v>42</v>
      </c>
      <c r="AC307" s="192">
        <v>0</v>
      </c>
      <c r="AF307" s="193">
        <v>3.472222222222222E-3</v>
      </c>
      <c r="AG307" s="193">
        <v>4.8611111111111112E-3</v>
      </c>
      <c r="AH307" s="193">
        <v>0.28194444444444444</v>
      </c>
    </row>
    <row r="308" spans="1:34" x14ac:dyDescent="0.25">
      <c r="A308" s="3" t="s">
        <v>344</v>
      </c>
      <c r="B308" s="3">
        <v>125334</v>
      </c>
      <c r="C308" s="3">
        <v>941707</v>
      </c>
      <c r="D308" s="3" t="s">
        <v>3526</v>
      </c>
      <c r="E308" s="3">
        <v>6</v>
      </c>
      <c r="F308" s="3">
        <v>3</v>
      </c>
      <c r="G308" s="3">
        <v>6</v>
      </c>
      <c r="H308" s="55" t="s">
        <v>289</v>
      </c>
      <c r="I308" s="3" t="s">
        <v>279</v>
      </c>
      <c r="J308" s="3" t="s">
        <v>5174</v>
      </c>
      <c r="K308" s="3" t="s">
        <v>5291</v>
      </c>
      <c r="L308" s="3">
        <v>1830</v>
      </c>
      <c r="M308" s="3">
        <v>27573</v>
      </c>
      <c r="N308" s="3" t="s">
        <v>5175</v>
      </c>
      <c r="R308" s="3">
        <v>12</v>
      </c>
      <c r="S308" s="3" t="s">
        <v>4441</v>
      </c>
      <c r="T308" s="3" t="s">
        <v>3520</v>
      </c>
      <c r="U308" s="3">
        <v>36</v>
      </c>
      <c r="V308" s="3">
        <v>367</v>
      </c>
      <c r="W308" s="3">
        <v>0</v>
      </c>
      <c r="X308" s="3">
        <v>4254</v>
      </c>
      <c r="Y308" s="3">
        <v>1024</v>
      </c>
      <c r="Z308" s="3">
        <v>0</v>
      </c>
      <c r="AA308" s="3">
        <v>3230</v>
      </c>
      <c r="AB308" s="3">
        <v>3272</v>
      </c>
      <c r="AC308" s="192">
        <v>5.8333333333333334E-2</v>
      </c>
      <c r="AD308" s="3" t="s">
        <v>285</v>
      </c>
      <c r="AE308" s="3" t="s">
        <v>286</v>
      </c>
      <c r="AF308" s="193">
        <v>0.36666666666666664</v>
      </c>
      <c r="AG308" s="193">
        <v>0.37152777777777779</v>
      </c>
      <c r="AH308" s="193">
        <v>0.71388888888888891</v>
      </c>
    </row>
    <row r="309" spans="1:34" x14ac:dyDescent="0.25">
      <c r="A309" s="3" t="s">
        <v>344</v>
      </c>
      <c r="B309" s="3">
        <v>125334</v>
      </c>
      <c r="C309" s="3">
        <v>941707</v>
      </c>
      <c r="D309" s="3" t="s">
        <v>3526</v>
      </c>
      <c r="E309" s="3">
        <v>6</v>
      </c>
      <c r="F309" s="3">
        <v>4</v>
      </c>
      <c r="G309" s="3">
        <v>9</v>
      </c>
      <c r="H309" s="55" t="s">
        <v>289</v>
      </c>
      <c r="I309" s="3" t="s">
        <v>279</v>
      </c>
      <c r="J309" s="3" t="s">
        <v>5174</v>
      </c>
      <c r="L309" s="3">
        <v>1830</v>
      </c>
      <c r="M309" s="3">
        <v>27573</v>
      </c>
      <c r="N309" s="3" t="s">
        <v>5175</v>
      </c>
      <c r="R309" s="3">
        <v>12</v>
      </c>
      <c r="S309" s="3" t="s">
        <v>4441</v>
      </c>
      <c r="T309" s="3" t="s">
        <v>3520</v>
      </c>
      <c r="U309" s="3" t="s">
        <v>280</v>
      </c>
      <c r="V309" s="3">
        <v>367</v>
      </c>
      <c r="W309" s="3">
        <v>0</v>
      </c>
      <c r="X309" s="3">
        <v>1490</v>
      </c>
      <c r="Y309" s="3">
        <v>0</v>
      </c>
      <c r="Z309" s="3">
        <v>0</v>
      </c>
      <c r="AA309" s="3">
        <v>1490</v>
      </c>
      <c r="AB309" s="3">
        <v>4762</v>
      </c>
      <c r="AC309" s="192">
        <v>0.05</v>
      </c>
      <c r="AD309" s="3" t="s">
        <v>285</v>
      </c>
      <c r="AE309" s="3" t="s">
        <v>286</v>
      </c>
      <c r="AF309" s="193">
        <v>0.16944444444444445</v>
      </c>
      <c r="AG309" s="193">
        <v>0.54097222222222219</v>
      </c>
      <c r="AH309" s="193">
        <v>0.93333333333333335</v>
      </c>
    </row>
    <row r="310" spans="1:34" x14ac:dyDescent="0.25">
      <c r="A310" s="3" t="s">
        <v>350</v>
      </c>
      <c r="B310" s="3">
        <v>125343</v>
      </c>
      <c r="C310" s="3">
        <v>941707</v>
      </c>
      <c r="D310" s="3" t="s">
        <v>3526</v>
      </c>
      <c r="E310" s="3">
        <v>6</v>
      </c>
      <c r="F310" s="3">
        <v>1</v>
      </c>
      <c r="G310" s="3">
        <v>9</v>
      </c>
      <c r="H310" s="55" t="s">
        <v>289</v>
      </c>
      <c r="I310" s="3" t="s">
        <v>279</v>
      </c>
      <c r="J310" s="3" t="s">
        <v>5174</v>
      </c>
      <c r="K310" s="3" t="s">
        <v>5291</v>
      </c>
      <c r="L310" s="3">
        <v>1830</v>
      </c>
      <c r="M310" s="3">
        <v>27573</v>
      </c>
      <c r="N310" s="3" t="s">
        <v>5175</v>
      </c>
      <c r="R310" s="3">
        <v>12</v>
      </c>
      <c r="S310" s="3" t="s">
        <v>4444</v>
      </c>
      <c r="T310" s="3" t="s">
        <v>5130</v>
      </c>
      <c r="U310" s="3" t="s">
        <v>280</v>
      </c>
      <c r="V310" s="3">
        <v>367</v>
      </c>
      <c r="W310" s="3">
        <v>0</v>
      </c>
      <c r="X310" s="3">
        <v>432</v>
      </c>
      <c r="Y310" s="3">
        <v>406</v>
      </c>
      <c r="Z310" s="3">
        <v>0</v>
      </c>
      <c r="AA310" s="3">
        <v>26</v>
      </c>
      <c r="AB310" s="3">
        <v>26</v>
      </c>
      <c r="AC310" s="192">
        <v>0</v>
      </c>
      <c r="AF310" s="193">
        <v>2.7777777777777779E-3</v>
      </c>
      <c r="AG310" s="193">
        <v>2.7777777777777779E-3</v>
      </c>
      <c r="AH310" s="193">
        <v>0.27986111111111112</v>
      </c>
    </row>
    <row r="311" spans="1:34" x14ac:dyDescent="0.25">
      <c r="A311" s="3" t="s">
        <v>350</v>
      </c>
      <c r="B311" s="3">
        <v>125335</v>
      </c>
      <c r="C311" s="3">
        <v>941707</v>
      </c>
      <c r="D311" s="3" t="s">
        <v>3526</v>
      </c>
      <c r="E311" s="3">
        <v>6</v>
      </c>
      <c r="F311" s="3">
        <v>2</v>
      </c>
      <c r="G311" s="3">
        <v>9</v>
      </c>
      <c r="H311" s="55" t="s">
        <v>289</v>
      </c>
      <c r="I311" s="3" t="s">
        <v>279</v>
      </c>
      <c r="J311" s="3" t="s">
        <v>5174</v>
      </c>
      <c r="K311" s="3" t="s">
        <v>5291</v>
      </c>
      <c r="L311" s="3">
        <v>1830</v>
      </c>
      <c r="M311" s="3">
        <v>27573</v>
      </c>
      <c r="N311" s="3" t="s">
        <v>5175</v>
      </c>
      <c r="R311" s="3">
        <v>12</v>
      </c>
      <c r="S311" s="3" t="s">
        <v>5309</v>
      </c>
      <c r="T311" s="3" t="s">
        <v>5310</v>
      </c>
      <c r="U311" s="3" t="s">
        <v>280</v>
      </c>
      <c r="V311" s="3">
        <v>367</v>
      </c>
      <c r="W311" s="3">
        <v>0</v>
      </c>
      <c r="X311" s="3">
        <v>120</v>
      </c>
      <c r="Y311" s="3">
        <v>106</v>
      </c>
      <c r="Z311" s="3">
        <v>0</v>
      </c>
      <c r="AA311" s="3">
        <v>14</v>
      </c>
      <c r="AB311" s="3">
        <v>40</v>
      </c>
      <c r="AC311" s="192">
        <v>0</v>
      </c>
      <c r="AF311" s="193">
        <v>1.3888888888888889E-3</v>
      </c>
      <c r="AG311" s="193">
        <v>4.8611111111111112E-3</v>
      </c>
      <c r="AH311" s="193">
        <v>0.28125</v>
      </c>
    </row>
    <row r="312" spans="1:34" x14ac:dyDescent="0.25">
      <c r="A312" s="3" t="s">
        <v>350</v>
      </c>
      <c r="B312" s="3">
        <v>125335</v>
      </c>
      <c r="C312" s="3">
        <v>941707</v>
      </c>
      <c r="D312" s="3" t="s">
        <v>3526</v>
      </c>
      <c r="E312" s="3">
        <v>6</v>
      </c>
      <c r="F312" s="3">
        <v>3</v>
      </c>
      <c r="G312" s="3">
        <v>4</v>
      </c>
      <c r="H312" s="55" t="s">
        <v>289</v>
      </c>
      <c r="I312" s="3" t="s">
        <v>279</v>
      </c>
      <c r="J312" s="3" t="s">
        <v>5174</v>
      </c>
      <c r="K312" s="3" t="s">
        <v>5291</v>
      </c>
      <c r="L312" s="3">
        <v>1830</v>
      </c>
      <c r="M312" s="3">
        <v>27573</v>
      </c>
      <c r="N312" s="3" t="s">
        <v>5175</v>
      </c>
      <c r="R312" s="3">
        <v>12</v>
      </c>
      <c r="S312" s="3" t="s">
        <v>5309</v>
      </c>
      <c r="T312" s="3" t="s">
        <v>5310</v>
      </c>
      <c r="U312" s="3" t="s">
        <v>298</v>
      </c>
      <c r="V312" s="3">
        <v>367</v>
      </c>
      <c r="W312" s="3">
        <v>0</v>
      </c>
      <c r="X312" s="3">
        <v>168</v>
      </c>
      <c r="Y312" s="3">
        <v>152</v>
      </c>
      <c r="Z312" s="3">
        <v>0</v>
      </c>
      <c r="AA312" s="3">
        <v>16</v>
      </c>
      <c r="AB312" s="3">
        <v>56</v>
      </c>
      <c r="AC312" s="192">
        <v>0</v>
      </c>
      <c r="AF312" s="193">
        <v>2.0833333333333333E-3</v>
      </c>
      <c r="AG312" s="193">
        <v>6.2500000000000003E-3</v>
      </c>
      <c r="AH312" s="193">
        <v>0.28333333333333333</v>
      </c>
    </row>
    <row r="313" spans="1:34" x14ac:dyDescent="0.25">
      <c r="A313" s="3" t="s">
        <v>350</v>
      </c>
      <c r="B313" s="3">
        <v>125335</v>
      </c>
      <c r="C313" s="3">
        <v>941707</v>
      </c>
      <c r="D313" s="3" t="s">
        <v>3526</v>
      </c>
      <c r="E313" s="3">
        <v>6</v>
      </c>
      <c r="F313" s="3">
        <v>4</v>
      </c>
      <c r="G313" s="3">
        <v>7</v>
      </c>
      <c r="H313" s="55" t="s">
        <v>289</v>
      </c>
      <c r="I313" s="3" t="s">
        <v>279</v>
      </c>
      <c r="J313" s="3" t="s">
        <v>5174</v>
      </c>
      <c r="K313" s="3" t="s">
        <v>5291</v>
      </c>
      <c r="L313" s="3">
        <v>1830</v>
      </c>
      <c r="M313" s="3">
        <v>27573</v>
      </c>
      <c r="N313" s="3" t="s">
        <v>5175</v>
      </c>
      <c r="R313" s="3">
        <v>12</v>
      </c>
      <c r="S313" s="3" t="s">
        <v>5309</v>
      </c>
      <c r="T313" s="3" t="s">
        <v>5310</v>
      </c>
      <c r="U313" s="3">
        <v>37</v>
      </c>
      <c r="V313" s="3">
        <v>367</v>
      </c>
      <c r="W313" s="3">
        <v>0</v>
      </c>
      <c r="X313" s="3">
        <v>376</v>
      </c>
      <c r="Y313" s="3">
        <v>364</v>
      </c>
      <c r="Z313" s="3">
        <v>0</v>
      </c>
      <c r="AA313" s="3">
        <v>12</v>
      </c>
      <c r="AB313" s="3">
        <v>68</v>
      </c>
      <c r="AC313" s="192">
        <v>0</v>
      </c>
      <c r="AF313" s="193">
        <v>1.3888888888888889E-3</v>
      </c>
      <c r="AG313" s="193">
        <v>7.6388888888888886E-3</v>
      </c>
      <c r="AH313" s="193">
        <v>0.28472222222222221</v>
      </c>
    </row>
    <row r="314" spans="1:34" x14ac:dyDescent="0.25">
      <c r="A314" s="3" t="s">
        <v>350</v>
      </c>
      <c r="B314" s="3">
        <v>125341</v>
      </c>
      <c r="C314" s="3">
        <v>941707</v>
      </c>
      <c r="D314" s="3" t="s">
        <v>3526</v>
      </c>
      <c r="E314" s="3">
        <v>6</v>
      </c>
      <c r="F314" s="3">
        <v>5</v>
      </c>
      <c r="G314" s="3">
        <v>8</v>
      </c>
      <c r="H314" s="55" t="s">
        <v>289</v>
      </c>
      <c r="I314" s="3" t="s">
        <v>279</v>
      </c>
      <c r="J314" s="3" t="s">
        <v>5174</v>
      </c>
      <c r="K314" s="3" t="s">
        <v>5291</v>
      </c>
      <c r="L314" s="3">
        <v>1830</v>
      </c>
      <c r="M314" s="3">
        <v>27573</v>
      </c>
      <c r="N314" s="3" t="s">
        <v>5175</v>
      </c>
      <c r="R314" s="3">
        <v>12</v>
      </c>
      <c r="S314" s="3" t="s">
        <v>4443</v>
      </c>
      <c r="T314" s="3" t="s">
        <v>5311</v>
      </c>
      <c r="U314" s="3">
        <v>38</v>
      </c>
      <c r="V314" s="3">
        <v>367</v>
      </c>
      <c r="W314" s="3">
        <v>0</v>
      </c>
      <c r="X314" s="3">
        <v>1056</v>
      </c>
      <c r="Y314" s="3">
        <v>1022</v>
      </c>
      <c r="Z314" s="3">
        <v>0</v>
      </c>
      <c r="AA314" s="3">
        <v>34</v>
      </c>
      <c r="AB314" s="3">
        <v>102</v>
      </c>
      <c r="AC314" s="192">
        <v>0</v>
      </c>
      <c r="AF314" s="193">
        <v>4.1666666666666666E-3</v>
      </c>
      <c r="AG314" s="193">
        <v>1.1805555555555555E-2</v>
      </c>
      <c r="AH314" s="193">
        <v>0.28888888888888886</v>
      </c>
    </row>
    <row r="315" spans="1:34" x14ac:dyDescent="0.25">
      <c r="A315" s="3" t="s">
        <v>350</v>
      </c>
      <c r="B315" s="3">
        <v>125341</v>
      </c>
      <c r="C315" s="3">
        <v>941707</v>
      </c>
      <c r="D315" s="3" t="s">
        <v>3526</v>
      </c>
      <c r="E315" s="3">
        <v>6</v>
      </c>
      <c r="F315" s="3">
        <v>6</v>
      </c>
      <c r="G315" s="3">
        <v>5</v>
      </c>
      <c r="H315" s="55" t="s">
        <v>289</v>
      </c>
      <c r="I315" s="3" t="s">
        <v>279</v>
      </c>
      <c r="J315" s="3" t="s">
        <v>5174</v>
      </c>
      <c r="L315" s="3">
        <v>1830</v>
      </c>
      <c r="M315" s="3">
        <v>27573</v>
      </c>
      <c r="N315" s="3" t="s">
        <v>5175</v>
      </c>
      <c r="R315" s="3">
        <v>12</v>
      </c>
      <c r="S315" s="3" t="s">
        <v>4443</v>
      </c>
      <c r="T315" s="3" t="s">
        <v>5311</v>
      </c>
      <c r="U315" s="3">
        <v>35</v>
      </c>
      <c r="V315" s="3">
        <v>367</v>
      </c>
      <c r="W315" s="3">
        <v>0</v>
      </c>
      <c r="X315" s="3">
        <v>1440</v>
      </c>
      <c r="Y315" s="3">
        <v>0</v>
      </c>
      <c r="Z315" s="3">
        <v>0</v>
      </c>
      <c r="AA315" s="3">
        <v>1440</v>
      </c>
      <c r="AB315" s="3">
        <v>1542</v>
      </c>
      <c r="AC315" s="192">
        <v>0.05</v>
      </c>
      <c r="AD315" s="3" t="s">
        <v>285</v>
      </c>
      <c r="AE315" s="3" t="s">
        <v>286</v>
      </c>
      <c r="AF315" s="193">
        <v>0.16319444444444445</v>
      </c>
      <c r="AG315" s="193">
        <v>0.17499999999999999</v>
      </c>
      <c r="AH315" s="193">
        <v>0.50208333333333333</v>
      </c>
    </row>
    <row r="316" spans="1:34" x14ac:dyDescent="0.25">
      <c r="A316" s="3" t="s">
        <v>350</v>
      </c>
      <c r="B316" s="3">
        <v>125341</v>
      </c>
      <c r="C316" s="3">
        <v>941707</v>
      </c>
      <c r="D316" s="3" t="s">
        <v>3526</v>
      </c>
      <c r="E316" s="3">
        <v>6</v>
      </c>
      <c r="F316" s="3">
        <v>7</v>
      </c>
      <c r="G316" s="3">
        <v>6</v>
      </c>
      <c r="H316" s="55" t="s">
        <v>289</v>
      </c>
      <c r="I316" s="3" t="s">
        <v>279</v>
      </c>
      <c r="J316" s="3" t="s">
        <v>5174</v>
      </c>
      <c r="L316" s="3">
        <v>1830</v>
      </c>
      <c r="M316" s="3">
        <v>27573</v>
      </c>
      <c r="N316" s="3" t="s">
        <v>5175</v>
      </c>
      <c r="R316" s="3">
        <v>12</v>
      </c>
      <c r="S316" s="3" t="s">
        <v>4443</v>
      </c>
      <c r="T316" s="3" t="s">
        <v>5311</v>
      </c>
      <c r="U316" s="3">
        <v>36</v>
      </c>
      <c r="V316" s="3">
        <v>367</v>
      </c>
      <c r="W316" s="3">
        <v>0</v>
      </c>
      <c r="X316" s="3">
        <v>1920</v>
      </c>
      <c r="Y316" s="3">
        <v>0</v>
      </c>
      <c r="Z316" s="3">
        <v>0</v>
      </c>
      <c r="AA316" s="3">
        <v>1920</v>
      </c>
      <c r="AB316" s="3">
        <v>3462</v>
      </c>
      <c r="AC316" s="192">
        <v>8.3333333333333332E-3</v>
      </c>
      <c r="AD316" s="3" t="s">
        <v>404</v>
      </c>
      <c r="AF316" s="193">
        <v>0.21805555555555556</v>
      </c>
      <c r="AG316" s="193">
        <v>0.39305555555555555</v>
      </c>
      <c r="AH316" s="193">
        <v>0.73541666666666672</v>
      </c>
    </row>
    <row r="317" spans="1:34" x14ac:dyDescent="0.25">
      <c r="A317" s="3" t="s">
        <v>350</v>
      </c>
      <c r="B317" s="3">
        <v>125341</v>
      </c>
      <c r="C317" s="3">
        <v>941707</v>
      </c>
      <c r="D317" s="3" t="s">
        <v>3526</v>
      </c>
      <c r="E317" s="3">
        <v>6</v>
      </c>
      <c r="F317" s="3">
        <v>8</v>
      </c>
      <c r="G317" s="3">
        <v>9</v>
      </c>
      <c r="H317" s="55" t="s">
        <v>289</v>
      </c>
      <c r="I317" s="3" t="s">
        <v>279</v>
      </c>
      <c r="J317" s="3" t="s">
        <v>5174</v>
      </c>
      <c r="L317" s="3">
        <v>1830</v>
      </c>
      <c r="M317" s="3">
        <v>27573</v>
      </c>
      <c r="N317" s="3" t="s">
        <v>5175</v>
      </c>
      <c r="R317" s="3">
        <v>12</v>
      </c>
      <c r="S317" s="3" t="s">
        <v>4443</v>
      </c>
      <c r="T317" s="3" t="s">
        <v>5311</v>
      </c>
      <c r="U317" s="3" t="s">
        <v>280</v>
      </c>
      <c r="V317" s="3">
        <v>367</v>
      </c>
      <c r="W317" s="3">
        <v>0</v>
      </c>
      <c r="X317" s="3">
        <v>704</v>
      </c>
      <c r="Y317" s="3">
        <v>0</v>
      </c>
      <c r="Z317" s="3">
        <v>0</v>
      </c>
      <c r="AA317" s="3">
        <v>704</v>
      </c>
      <c r="AB317" s="3">
        <v>4166</v>
      </c>
      <c r="AC317" s="192">
        <v>0.05</v>
      </c>
      <c r="AD317" s="3" t="s">
        <v>285</v>
      </c>
      <c r="AE317" s="3" t="s">
        <v>286</v>
      </c>
      <c r="AF317" s="193">
        <v>7.9861111111111105E-2</v>
      </c>
      <c r="AG317" s="193">
        <v>0.47291666666666665</v>
      </c>
      <c r="AH317" s="193">
        <v>0.86527777777777781</v>
      </c>
    </row>
    <row r="318" spans="1:34" x14ac:dyDescent="0.25">
      <c r="A318" s="3" t="s">
        <v>350</v>
      </c>
      <c r="B318" s="3">
        <v>125336</v>
      </c>
      <c r="C318" s="3">
        <v>941707</v>
      </c>
      <c r="D318" s="3" t="s">
        <v>3526</v>
      </c>
      <c r="E318" s="3">
        <v>6</v>
      </c>
      <c r="F318" s="3">
        <v>9</v>
      </c>
      <c r="G318" s="3">
        <v>8</v>
      </c>
      <c r="H318" s="55" t="s">
        <v>289</v>
      </c>
      <c r="I318" s="3" t="s">
        <v>279</v>
      </c>
      <c r="J318" s="3" t="s">
        <v>5174</v>
      </c>
      <c r="L318" s="3">
        <v>1830</v>
      </c>
      <c r="M318" s="3">
        <v>27573</v>
      </c>
      <c r="N318" s="3" t="s">
        <v>5175</v>
      </c>
      <c r="R318" s="3">
        <v>12</v>
      </c>
      <c r="S318" s="3" t="s">
        <v>4442</v>
      </c>
      <c r="T318" s="3" t="s">
        <v>5407</v>
      </c>
      <c r="U318" s="3">
        <v>38</v>
      </c>
      <c r="V318" s="3">
        <v>367</v>
      </c>
      <c r="W318" s="3">
        <v>0</v>
      </c>
      <c r="X318" s="3">
        <v>384</v>
      </c>
      <c r="Y318" s="3">
        <v>0</v>
      </c>
      <c r="Z318" s="3">
        <v>0</v>
      </c>
      <c r="AA318" s="3">
        <v>384</v>
      </c>
      <c r="AB318" s="3">
        <v>4550</v>
      </c>
      <c r="AC318" s="192">
        <v>0</v>
      </c>
      <c r="AF318" s="193">
        <v>4.3749999999999997E-2</v>
      </c>
      <c r="AG318" s="193">
        <v>0.51666666666666672</v>
      </c>
      <c r="AH318" s="193">
        <v>0.90902777777777777</v>
      </c>
    </row>
    <row r="319" spans="1:34" x14ac:dyDescent="0.25">
      <c r="A319" s="3" t="s">
        <v>350</v>
      </c>
      <c r="B319" s="3">
        <v>125336</v>
      </c>
      <c r="C319" s="3">
        <v>941707</v>
      </c>
      <c r="D319" s="3" t="s">
        <v>3526</v>
      </c>
      <c r="E319" s="3">
        <v>6</v>
      </c>
      <c r="F319" s="3">
        <v>10</v>
      </c>
      <c r="G319" s="3">
        <v>9</v>
      </c>
      <c r="H319" s="55" t="s">
        <v>289</v>
      </c>
      <c r="I319" s="3" t="s">
        <v>279</v>
      </c>
      <c r="J319" s="3" t="s">
        <v>5174</v>
      </c>
      <c r="L319" s="3">
        <v>1830</v>
      </c>
      <c r="M319" s="3">
        <v>27573</v>
      </c>
      <c r="N319" s="3" t="s">
        <v>5175</v>
      </c>
      <c r="R319" s="3">
        <v>12</v>
      </c>
      <c r="S319" s="3" t="s">
        <v>4442</v>
      </c>
      <c r="T319" s="3" t="s">
        <v>5407</v>
      </c>
      <c r="U319" s="3" t="s">
        <v>280</v>
      </c>
      <c r="V319" s="3">
        <v>367</v>
      </c>
      <c r="W319" s="3">
        <v>0</v>
      </c>
      <c r="X319" s="3">
        <v>256</v>
      </c>
      <c r="Y319" s="3">
        <v>0</v>
      </c>
      <c r="Z319" s="3">
        <v>0</v>
      </c>
      <c r="AA319" s="3">
        <v>256</v>
      </c>
      <c r="AB319" s="3">
        <v>4806</v>
      </c>
      <c r="AC319" s="192">
        <v>0</v>
      </c>
      <c r="AF319" s="193">
        <v>2.9166666666666667E-2</v>
      </c>
      <c r="AG319" s="193">
        <v>0.54583333333333328</v>
      </c>
      <c r="AH319" s="193">
        <v>0.93819444444444444</v>
      </c>
    </row>
    <row r="320" spans="1:34" x14ac:dyDescent="0.25">
      <c r="A320" s="3" t="s">
        <v>357</v>
      </c>
      <c r="B320" s="3">
        <v>117456</v>
      </c>
      <c r="C320" s="3" t="s">
        <v>5094</v>
      </c>
      <c r="D320" s="3" t="s">
        <v>3526</v>
      </c>
      <c r="E320" s="3">
        <v>6</v>
      </c>
      <c r="F320" s="3">
        <v>1</v>
      </c>
      <c r="G320" s="3">
        <v>12</v>
      </c>
      <c r="H320" s="55" t="s">
        <v>5095</v>
      </c>
      <c r="I320" s="3" t="s">
        <v>279</v>
      </c>
      <c r="J320" s="3" t="s">
        <v>5081</v>
      </c>
      <c r="K320" s="3" t="s">
        <v>5108</v>
      </c>
      <c r="L320" s="3">
        <v>1816</v>
      </c>
      <c r="M320" s="3">
        <v>27453</v>
      </c>
      <c r="N320" s="3" t="s">
        <v>5181</v>
      </c>
      <c r="R320" s="3">
        <v>9</v>
      </c>
      <c r="S320" s="3" t="s">
        <v>5182</v>
      </c>
      <c r="T320" s="3" t="s">
        <v>5183</v>
      </c>
      <c r="U320" s="3" t="s">
        <v>284</v>
      </c>
      <c r="V320" s="3">
        <v>200</v>
      </c>
      <c r="W320" s="3">
        <v>0</v>
      </c>
      <c r="X320" s="3">
        <v>3420</v>
      </c>
      <c r="Y320" s="3">
        <v>3372</v>
      </c>
      <c r="Z320" s="3">
        <v>0</v>
      </c>
      <c r="AA320" s="3">
        <v>48</v>
      </c>
      <c r="AB320" s="3">
        <v>48</v>
      </c>
      <c r="AC320" s="192">
        <v>0</v>
      </c>
      <c r="AF320" s="193">
        <v>9.7222222222222224E-3</v>
      </c>
      <c r="AG320" s="193">
        <v>9.7222222222222224E-3</v>
      </c>
      <c r="AH320" s="193">
        <v>0.28680555555555554</v>
      </c>
    </row>
    <row r="321" spans="1:34" x14ac:dyDescent="0.25">
      <c r="A321" s="3" t="s">
        <v>357</v>
      </c>
      <c r="B321" s="3">
        <v>117455</v>
      </c>
      <c r="C321" s="3" t="s">
        <v>5094</v>
      </c>
      <c r="D321" s="3" t="s">
        <v>3526</v>
      </c>
      <c r="E321" s="3">
        <v>6</v>
      </c>
      <c r="F321" s="3">
        <v>2</v>
      </c>
      <c r="G321" s="3">
        <v>9</v>
      </c>
      <c r="H321" s="55" t="s">
        <v>5095</v>
      </c>
      <c r="I321" s="3" t="s">
        <v>279</v>
      </c>
      <c r="J321" s="3" t="s">
        <v>5081</v>
      </c>
      <c r="K321" s="3" t="s">
        <v>5291</v>
      </c>
      <c r="L321" s="3">
        <v>1816</v>
      </c>
      <c r="M321" s="3">
        <v>27453</v>
      </c>
      <c r="N321" s="3" t="s">
        <v>5181</v>
      </c>
      <c r="R321" s="3">
        <v>9</v>
      </c>
      <c r="S321" s="3" t="s">
        <v>5184</v>
      </c>
      <c r="T321" s="3" t="s">
        <v>5185</v>
      </c>
      <c r="U321" s="3" t="s">
        <v>280</v>
      </c>
      <c r="V321" s="3">
        <v>200</v>
      </c>
      <c r="W321" s="3">
        <v>0</v>
      </c>
      <c r="X321" s="3">
        <v>3420</v>
      </c>
      <c r="Y321" s="3">
        <v>2544</v>
      </c>
      <c r="Z321" s="3">
        <v>0</v>
      </c>
      <c r="AA321" s="3">
        <v>876</v>
      </c>
      <c r="AB321" s="3">
        <v>924</v>
      </c>
      <c r="AC321" s="192">
        <v>0.05</v>
      </c>
      <c r="AD321" s="3" t="s">
        <v>285</v>
      </c>
      <c r="AE321" s="3" t="s">
        <v>286</v>
      </c>
      <c r="AF321" s="193">
        <v>0.18263888888888888</v>
      </c>
      <c r="AG321" s="193">
        <v>0.19236111111111112</v>
      </c>
      <c r="AH321" s="193">
        <v>0.51944444444444449</v>
      </c>
    </row>
    <row r="322" spans="1:34" x14ac:dyDescent="0.25">
      <c r="A322" s="3" t="s">
        <v>357</v>
      </c>
      <c r="B322" s="3">
        <v>117459</v>
      </c>
      <c r="C322" s="3" t="s">
        <v>5105</v>
      </c>
      <c r="D322" s="3" t="s">
        <v>3526</v>
      </c>
      <c r="E322" s="3">
        <v>7</v>
      </c>
      <c r="F322" s="3">
        <v>3</v>
      </c>
      <c r="G322" s="3">
        <v>9</v>
      </c>
      <c r="H322" s="55" t="s">
        <v>5095</v>
      </c>
      <c r="I322" s="3" t="s">
        <v>279</v>
      </c>
      <c r="J322" s="3" t="s">
        <v>5081</v>
      </c>
      <c r="L322" s="3">
        <v>1816</v>
      </c>
      <c r="M322" s="3">
        <v>27453</v>
      </c>
      <c r="N322" s="3" t="s">
        <v>5181</v>
      </c>
      <c r="R322" s="3">
        <v>9</v>
      </c>
      <c r="S322" s="3" t="s">
        <v>5182</v>
      </c>
      <c r="T322" s="3" t="s">
        <v>5183</v>
      </c>
      <c r="U322" s="3" t="s">
        <v>280</v>
      </c>
      <c r="V322" s="3">
        <v>200</v>
      </c>
      <c r="W322" s="3">
        <v>0</v>
      </c>
      <c r="X322" s="3">
        <v>3420</v>
      </c>
      <c r="Y322" s="3">
        <v>0</v>
      </c>
      <c r="Z322" s="3">
        <v>0</v>
      </c>
      <c r="AA322" s="3">
        <v>3420</v>
      </c>
      <c r="AB322" s="3">
        <v>4344</v>
      </c>
      <c r="AC322" s="192">
        <v>0.11666666666666667</v>
      </c>
      <c r="AD322" s="3" t="s">
        <v>5093</v>
      </c>
      <c r="AE322" s="3" t="s">
        <v>5362</v>
      </c>
      <c r="AF322" s="193">
        <v>0.71250000000000002</v>
      </c>
      <c r="AG322" s="193">
        <v>0.90486111111111112</v>
      </c>
      <c r="AH322" s="193">
        <v>0.54861111111111116</v>
      </c>
    </row>
    <row r="323" spans="1:34" x14ac:dyDescent="0.25">
      <c r="A323" s="3" t="s">
        <v>360</v>
      </c>
      <c r="B323" s="3">
        <v>117456</v>
      </c>
      <c r="C323" s="3" t="s">
        <v>5094</v>
      </c>
      <c r="D323" s="3" t="s">
        <v>3526</v>
      </c>
      <c r="E323" s="3">
        <v>6</v>
      </c>
      <c r="F323" s="3">
        <v>1</v>
      </c>
      <c r="G323" s="3">
        <v>14</v>
      </c>
      <c r="H323" s="55" t="s">
        <v>5095</v>
      </c>
      <c r="I323" s="3" t="s">
        <v>279</v>
      </c>
      <c r="J323" s="3" t="s">
        <v>5081</v>
      </c>
      <c r="K323" s="3" t="s">
        <v>5363</v>
      </c>
      <c r="L323" s="3">
        <v>1816</v>
      </c>
      <c r="M323" s="3">
        <v>27453</v>
      </c>
      <c r="N323" s="3" t="s">
        <v>5181</v>
      </c>
      <c r="R323" s="3">
        <v>9</v>
      </c>
      <c r="S323" s="3" t="s">
        <v>5182</v>
      </c>
      <c r="T323" s="3" t="s">
        <v>5183</v>
      </c>
      <c r="U323" s="3" t="s">
        <v>5109</v>
      </c>
      <c r="V323" s="3">
        <v>200</v>
      </c>
      <c r="W323" s="3">
        <v>0</v>
      </c>
      <c r="X323" s="3">
        <v>5700</v>
      </c>
      <c r="Y323" s="3">
        <v>660</v>
      </c>
      <c r="Z323" s="3">
        <v>0</v>
      </c>
      <c r="AA323" s="3">
        <v>5040</v>
      </c>
      <c r="AB323" s="3">
        <v>5040</v>
      </c>
      <c r="AC323" s="192">
        <v>0.17499999999999999</v>
      </c>
      <c r="AD323" s="3" t="s">
        <v>285</v>
      </c>
      <c r="AE323" s="3" t="s">
        <v>286</v>
      </c>
      <c r="AF323" s="193">
        <v>1.05</v>
      </c>
      <c r="AG323" s="193">
        <v>1.05</v>
      </c>
      <c r="AH323" s="193">
        <v>0.70902777777777781</v>
      </c>
    </row>
    <row r="324" spans="1:34" x14ac:dyDescent="0.25">
      <c r="A324" s="3" t="s">
        <v>360</v>
      </c>
      <c r="B324" s="3">
        <v>136935</v>
      </c>
      <c r="C324" s="3">
        <v>942207</v>
      </c>
      <c r="D324" s="3" t="s">
        <v>3526</v>
      </c>
      <c r="E324" s="3">
        <v>7</v>
      </c>
      <c r="F324" s="3">
        <v>2</v>
      </c>
      <c r="G324" s="3">
        <v>1</v>
      </c>
      <c r="H324" s="55" t="s">
        <v>289</v>
      </c>
      <c r="I324" s="3" t="s">
        <v>279</v>
      </c>
      <c r="J324" s="135">
        <v>46241</v>
      </c>
      <c r="L324" s="3">
        <v>1830</v>
      </c>
      <c r="M324" s="3">
        <v>12432</v>
      </c>
      <c r="N324" s="3" t="s">
        <v>5212</v>
      </c>
      <c r="R324" s="3">
        <v>10</v>
      </c>
      <c r="S324" s="3" t="s">
        <v>3612</v>
      </c>
      <c r="T324" s="3" t="s">
        <v>5200</v>
      </c>
      <c r="U324" s="3" t="s">
        <v>284</v>
      </c>
      <c r="V324" s="3">
        <v>397</v>
      </c>
      <c r="W324" s="3">
        <v>0</v>
      </c>
      <c r="X324" s="3">
        <v>192</v>
      </c>
      <c r="Y324" s="3">
        <v>0</v>
      </c>
      <c r="Z324" s="3">
        <v>0</v>
      </c>
      <c r="AA324" s="3">
        <v>192</v>
      </c>
      <c r="AB324" s="3">
        <v>5232</v>
      </c>
      <c r="AC324" s="192">
        <v>0</v>
      </c>
      <c r="AF324" s="193">
        <v>2.013888888888889E-2</v>
      </c>
      <c r="AG324" s="193">
        <v>1.070138888888889</v>
      </c>
      <c r="AH324" s="193">
        <v>0.72916666666666663</v>
      </c>
    </row>
    <row r="325" spans="1:34" x14ac:dyDescent="0.25">
      <c r="A325" s="3" t="s">
        <v>360</v>
      </c>
      <c r="B325" s="3">
        <v>136935</v>
      </c>
      <c r="C325" s="3">
        <v>942207</v>
      </c>
      <c r="D325" s="3" t="s">
        <v>3526</v>
      </c>
      <c r="E325" s="3">
        <v>7</v>
      </c>
      <c r="F325" s="3">
        <v>3</v>
      </c>
      <c r="G325" s="3">
        <v>2</v>
      </c>
      <c r="H325" s="55" t="s">
        <v>289</v>
      </c>
      <c r="I325" s="3" t="s">
        <v>279</v>
      </c>
      <c r="J325" s="135">
        <v>46241</v>
      </c>
      <c r="L325" s="3">
        <v>1830</v>
      </c>
      <c r="M325" s="3">
        <v>12432</v>
      </c>
      <c r="N325" s="3" t="s">
        <v>5212</v>
      </c>
      <c r="R325" s="3">
        <v>10</v>
      </c>
      <c r="S325" s="3" t="s">
        <v>3612</v>
      </c>
      <c r="T325" s="3" t="s">
        <v>5200</v>
      </c>
      <c r="U325" s="3">
        <v>39</v>
      </c>
      <c r="V325" s="3">
        <v>397</v>
      </c>
      <c r="W325" s="3">
        <v>0</v>
      </c>
      <c r="X325" s="3">
        <v>410</v>
      </c>
      <c r="Y325" s="3">
        <v>0</v>
      </c>
      <c r="Z325" s="3">
        <v>0</v>
      </c>
      <c r="AA325" s="3">
        <v>410</v>
      </c>
      <c r="AB325" s="3">
        <v>5642</v>
      </c>
      <c r="AC325" s="192">
        <v>8.3333333333333332E-3</v>
      </c>
      <c r="AD325" s="3" t="s">
        <v>292</v>
      </c>
      <c r="AF325" s="193">
        <v>4.3055555555555555E-2</v>
      </c>
      <c r="AG325" s="193">
        <v>1.1131944444444444</v>
      </c>
      <c r="AH325" s="193">
        <v>0.78055555555555556</v>
      </c>
    </row>
    <row r="326" spans="1:34" x14ac:dyDescent="0.25">
      <c r="A326" s="3" t="s">
        <v>360</v>
      </c>
      <c r="B326" s="3">
        <v>136935</v>
      </c>
      <c r="C326" s="3">
        <v>942207</v>
      </c>
      <c r="D326" s="3" t="s">
        <v>3526</v>
      </c>
      <c r="E326" s="3">
        <v>7</v>
      </c>
      <c r="F326" s="3">
        <v>4</v>
      </c>
      <c r="G326" s="3">
        <v>3</v>
      </c>
      <c r="H326" s="55" t="s">
        <v>289</v>
      </c>
      <c r="I326" s="3" t="s">
        <v>279</v>
      </c>
      <c r="J326" s="135">
        <v>46241</v>
      </c>
      <c r="L326" s="3">
        <v>1830</v>
      </c>
      <c r="M326" s="3">
        <v>12432</v>
      </c>
      <c r="N326" s="3" t="s">
        <v>5212</v>
      </c>
      <c r="R326" s="3">
        <v>10</v>
      </c>
      <c r="S326" s="3" t="s">
        <v>3612</v>
      </c>
      <c r="T326" s="3" t="s">
        <v>5200</v>
      </c>
      <c r="U326" s="3">
        <v>40</v>
      </c>
      <c r="V326" s="3">
        <v>397</v>
      </c>
      <c r="W326" s="3">
        <v>0</v>
      </c>
      <c r="X326" s="3">
        <v>284</v>
      </c>
      <c r="Y326" s="3">
        <v>0</v>
      </c>
      <c r="Z326" s="3">
        <v>0</v>
      </c>
      <c r="AA326" s="3">
        <v>284</v>
      </c>
      <c r="AB326" s="3">
        <v>5926</v>
      </c>
      <c r="AC326" s="192">
        <v>0</v>
      </c>
      <c r="AF326" s="193">
        <v>2.9861111111111113E-2</v>
      </c>
      <c r="AG326" s="193">
        <v>1.1430555555555555</v>
      </c>
      <c r="AH326" s="193">
        <v>0.81041666666666667</v>
      </c>
    </row>
    <row r="327" spans="1:34" x14ac:dyDescent="0.25">
      <c r="A327" s="3" t="s">
        <v>360</v>
      </c>
      <c r="B327" s="3">
        <v>136935</v>
      </c>
      <c r="C327" s="3">
        <v>942207</v>
      </c>
      <c r="D327" s="3" t="s">
        <v>3526</v>
      </c>
      <c r="E327" s="3">
        <v>7</v>
      </c>
      <c r="F327" s="3">
        <v>5</v>
      </c>
      <c r="G327" s="3">
        <v>4</v>
      </c>
      <c r="H327" s="55" t="s">
        <v>289</v>
      </c>
      <c r="I327" s="3" t="s">
        <v>279</v>
      </c>
      <c r="J327" s="135">
        <v>46241</v>
      </c>
      <c r="L327" s="3">
        <v>1830</v>
      </c>
      <c r="M327" s="3">
        <v>12432</v>
      </c>
      <c r="N327" s="3" t="s">
        <v>5212</v>
      </c>
      <c r="R327" s="3">
        <v>10</v>
      </c>
      <c r="S327" s="3" t="s">
        <v>3612</v>
      </c>
      <c r="T327" s="3" t="s">
        <v>5200</v>
      </c>
      <c r="U327" s="3">
        <v>41</v>
      </c>
      <c r="V327" s="3">
        <v>397</v>
      </c>
      <c r="W327" s="3">
        <v>0</v>
      </c>
      <c r="X327" s="3">
        <v>340</v>
      </c>
      <c r="Y327" s="3">
        <v>0</v>
      </c>
      <c r="Z327" s="3">
        <v>0</v>
      </c>
      <c r="AA327" s="3">
        <v>340</v>
      </c>
      <c r="AB327" s="3">
        <v>6266</v>
      </c>
      <c r="AC327" s="192">
        <v>4.1666666666666664E-2</v>
      </c>
      <c r="AD327" s="3" t="s">
        <v>294</v>
      </c>
      <c r="AE327" s="3" t="s">
        <v>295</v>
      </c>
      <c r="AF327" s="193">
        <v>3.5416666666666666E-2</v>
      </c>
      <c r="AG327" s="193">
        <v>1.1784722222222221</v>
      </c>
      <c r="AH327" s="193">
        <v>0.88749999999999996</v>
      </c>
    </row>
    <row r="328" spans="1:34" x14ac:dyDescent="0.25">
      <c r="A328" s="3" t="s">
        <v>360</v>
      </c>
      <c r="B328" s="3">
        <v>136935</v>
      </c>
      <c r="C328" s="3">
        <v>942207</v>
      </c>
      <c r="D328" s="3" t="s">
        <v>3526</v>
      </c>
      <c r="E328" s="3">
        <v>7</v>
      </c>
      <c r="F328" s="3">
        <v>6</v>
      </c>
      <c r="G328" s="3">
        <v>5</v>
      </c>
      <c r="H328" s="55" t="s">
        <v>289</v>
      </c>
      <c r="I328" s="3" t="s">
        <v>5358</v>
      </c>
      <c r="J328" s="135">
        <v>46241</v>
      </c>
      <c r="L328" s="3">
        <v>1830</v>
      </c>
      <c r="M328" s="3">
        <v>12432</v>
      </c>
      <c r="N328" s="3" t="s">
        <v>5212</v>
      </c>
      <c r="R328" s="3">
        <v>10</v>
      </c>
      <c r="S328" s="3" t="s">
        <v>3612</v>
      </c>
      <c r="T328" s="3" t="s">
        <v>5200</v>
      </c>
      <c r="U328" s="3">
        <v>42</v>
      </c>
      <c r="V328" s="3">
        <v>397</v>
      </c>
      <c r="W328" s="3">
        <v>0</v>
      </c>
      <c r="X328" s="3">
        <v>290</v>
      </c>
      <c r="Y328" s="3">
        <v>0</v>
      </c>
      <c r="Z328" s="3">
        <v>0</v>
      </c>
      <c r="AA328" s="3">
        <v>290</v>
      </c>
      <c r="AB328" s="3">
        <v>6556</v>
      </c>
      <c r="AC328" s="192">
        <v>0</v>
      </c>
      <c r="AF328" s="193">
        <v>3.0555555555555555E-2</v>
      </c>
      <c r="AG328" s="193">
        <v>1.2090277777777778</v>
      </c>
      <c r="AH328" s="193">
        <v>0.91805555555555551</v>
      </c>
    </row>
    <row r="329" spans="1:34" x14ac:dyDescent="0.25">
      <c r="A329" s="3" t="s">
        <v>360</v>
      </c>
      <c r="B329" s="3">
        <v>136935</v>
      </c>
      <c r="C329" s="3">
        <v>942207</v>
      </c>
      <c r="D329" s="3" t="s">
        <v>3526</v>
      </c>
      <c r="E329" s="3">
        <v>7</v>
      </c>
      <c r="F329" s="3">
        <v>7</v>
      </c>
      <c r="G329" s="3">
        <v>6</v>
      </c>
      <c r="H329" s="55" t="s">
        <v>289</v>
      </c>
      <c r="I329" s="3" t="s">
        <v>5358</v>
      </c>
      <c r="J329" s="135">
        <v>46241</v>
      </c>
      <c r="L329" s="3">
        <v>1830</v>
      </c>
      <c r="M329" s="3">
        <v>12432</v>
      </c>
      <c r="N329" s="3" t="s">
        <v>5212</v>
      </c>
      <c r="R329" s="3">
        <v>10</v>
      </c>
      <c r="S329" s="3" t="s">
        <v>3612</v>
      </c>
      <c r="T329" s="3" t="s">
        <v>5200</v>
      </c>
      <c r="U329" s="3" t="s">
        <v>281</v>
      </c>
      <c r="V329" s="3">
        <v>397</v>
      </c>
      <c r="W329" s="3">
        <v>0</v>
      </c>
      <c r="X329" s="3">
        <v>112</v>
      </c>
      <c r="Y329" s="3">
        <v>0</v>
      </c>
      <c r="Z329" s="3">
        <v>0</v>
      </c>
      <c r="AA329" s="3">
        <v>112</v>
      </c>
      <c r="AB329" s="3">
        <v>6668</v>
      </c>
      <c r="AC329" s="192">
        <v>0</v>
      </c>
      <c r="AF329" s="193">
        <v>1.1805555555555555E-2</v>
      </c>
      <c r="AG329" s="193">
        <v>1.2208333333333334</v>
      </c>
      <c r="AH329" s="193">
        <v>0.92986111111111114</v>
      </c>
    </row>
    <row r="330" spans="1:34" x14ac:dyDescent="0.25">
      <c r="A330" s="3" t="s">
        <v>360</v>
      </c>
      <c r="B330" s="3">
        <v>136932</v>
      </c>
      <c r="C330" s="3">
        <v>942207</v>
      </c>
      <c r="D330" s="3" t="s">
        <v>3526</v>
      </c>
      <c r="E330" s="3">
        <v>7</v>
      </c>
      <c r="F330" s="3">
        <v>8</v>
      </c>
      <c r="G330" s="3">
        <v>6</v>
      </c>
      <c r="H330" s="55" t="s">
        <v>289</v>
      </c>
      <c r="I330" s="3" t="s">
        <v>5358</v>
      </c>
      <c r="J330" s="135">
        <v>46241</v>
      </c>
      <c r="L330" s="3">
        <v>1830</v>
      </c>
      <c r="M330" s="3">
        <v>12432</v>
      </c>
      <c r="N330" s="3" t="s">
        <v>5212</v>
      </c>
      <c r="R330" s="3">
        <v>9</v>
      </c>
      <c r="S330" s="3" t="s">
        <v>1437</v>
      </c>
      <c r="T330" s="3" t="s">
        <v>5193</v>
      </c>
      <c r="U330" s="3" t="s">
        <v>281</v>
      </c>
      <c r="V330" s="3">
        <v>397</v>
      </c>
      <c r="W330" s="3">
        <v>0</v>
      </c>
      <c r="X330" s="3">
        <v>188</v>
      </c>
      <c r="Y330" s="3">
        <v>0</v>
      </c>
      <c r="Z330" s="3">
        <v>0</v>
      </c>
      <c r="AA330" s="3">
        <v>188</v>
      </c>
      <c r="AB330" s="3">
        <v>6856</v>
      </c>
      <c r="AC330" s="192">
        <v>0</v>
      </c>
      <c r="AF330" s="193">
        <v>1.9444444444444445E-2</v>
      </c>
      <c r="AG330" s="193">
        <v>1.2402777777777778</v>
      </c>
      <c r="AH330" s="193">
        <v>0.94930555555555551</v>
      </c>
    </row>
    <row r="331" spans="1:34" x14ac:dyDescent="0.25">
      <c r="A331" s="3" t="s">
        <v>360</v>
      </c>
      <c r="B331" s="3">
        <v>136932</v>
      </c>
      <c r="C331" s="3">
        <v>942207</v>
      </c>
      <c r="D331" s="3" t="s">
        <v>3526</v>
      </c>
      <c r="E331" s="3">
        <v>7</v>
      </c>
      <c r="F331" s="3">
        <v>9</v>
      </c>
      <c r="G331" s="3">
        <v>1</v>
      </c>
      <c r="H331" s="55" t="s">
        <v>289</v>
      </c>
      <c r="I331" s="3" t="s">
        <v>5358</v>
      </c>
      <c r="J331" s="135">
        <v>46241</v>
      </c>
      <c r="L331" s="3">
        <v>1830</v>
      </c>
      <c r="M331" s="3">
        <v>12432</v>
      </c>
      <c r="N331" s="3" t="s">
        <v>5212</v>
      </c>
      <c r="R331" s="3">
        <v>9</v>
      </c>
      <c r="S331" s="3" t="s">
        <v>1437</v>
      </c>
      <c r="T331" s="3" t="s">
        <v>5193</v>
      </c>
      <c r="U331" s="3" t="s">
        <v>284</v>
      </c>
      <c r="V331" s="3">
        <v>397</v>
      </c>
      <c r="W331" s="3">
        <v>0</v>
      </c>
      <c r="X331" s="3">
        <v>128</v>
      </c>
      <c r="Y331" s="3">
        <v>0</v>
      </c>
      <c r="Z331" s="3">
        <v>0</v>
      </c>
      <c r="AA331" s="3">
        <v>128</v>
      </c>
      <c r="AB331" s="3">
        <v>6984</v>
      </c>
      <c r="AC331" s="192">
        <v>0</v>
      </c>
      <c r="AF331" s="193">
        <v>1.3194444444444444E-2</v>
      </c>
      <c r="AG331" s="193">
        <v>1.2541666666666667</v>
      </c>
      <c r="AH331" s="193">
        <v>0.96250000000000002</v>
      </c>
    </row>
    <row r="332" spans="1:34" x14ac:dyDescent="0.25">
      <c r="A332" s="3" t="s">
        <v>360</v>
      </c>
      <c r="B332" s="3">
        <v>136932</v>
      </c>
      <c r="C332" s="3">
        <v>942207</v>
      </c>
      <c r="D332" s="3" t="s">
        <v>3526</v>
      </c>
      <c r="E332" s="3">
        <v>7</v>
      </c>
      <c r="F332" s="3">
        <v>10</v>
      </c>
      <c r="G332" s="3">
        <v>2</v>
      </c>
      <c r="H332" s="55" t="s">
        <v>289</v>
      </c>
      <c r="I332" s="3" t="s">
        <v>5358</v>
      </c>
      <c r="J332" s="135">
        <v>46241</v>
      </c>
      <c r="L332" s="3">
        <v>1830</v>
      </c>
      <c r="M332" s="3">
        <v>12432</v>
      </c>
      <c r="N332" s="3" t="s">
        <v>5212</v>
      </c>
      <c r="R332" s="3">
        <v>9</v>
      </c>
      <c r="S332" s="3" t="s">
        <v>1437</v>
      </c>
      <c r="T332" s="3" t="s">
        <v>5193</v>
      </c>
      <c r="U332" s="3">
        <v>39</v>
      </c>
      <c r="V332" s="3">
        <v>397</v>
      </c>
      <c r="W332" s="3">
        <v>0</v>
      </c>
      <c r="X332" s="3">
        <v>106</v>
      </c>
      <c r="Y332" s="3">
        <v>0</v>
      </c>
      <c r="Z332" s="3">
        <v>0</v>
      </c>
      <c r="AA332" s="3">
        <v>106</v>
      </c>
      <c r="AB332" s="3">
        <v>7090</v>
      </c>
      <c r="AC332" s="192">
        <v>0</v>
      </c>
      <c r="AF332" s="193">
        <v>1.1111111111111112E-2</v>
      </c>
      <c r="AG332" s="193">
        <v>1.2652777777777777</v>
      </c>
      <c r="AH332" s="193">
        <v>0.97361111111111109</v>
      </c>
    </row>
    <row r="333" spans="1:34" x14ac:dyDescent="0.25">
      <c r="A333" s="3" t="s">
        <v>365</v>
      </c>
      <c r="B333" s="3">
        <v>117445</v>
      </c>
      <c r="C333" s="3" t="s">
        <v>5100</v>
      </c>
      <c r="D333" s="3" t="s">
        <v>3526</v>
      </c>
      <c r="E333" s="3">
        <v>5</v>
      </c>
      <c r="F333" s="3">
        <v>1</v>
      </c>
      <c r="G333" s="3">
        <v>7</v>
      </c>
      <c r="H333" s="55" t="s">
        <v>5095</v>
      </c>
      <c r="I333" s="3" t="s">
        <v>279</v>
      </c>
      <c r="J333" s="3" t="s">
        <v>5081</v>
      </c>
      <c r="K333" s="135">
        <v>46302</v>
      </c>
      <c r="L333" s="3">
        <v>1816</v>
      </c>
      <c r="M333" s="3">
        <v>27453</v>
      </c>
      <c r="N333" s="3" t="s">
        <v>5181</v>
      </c>
      <c r="R333" s="3">
        <v>9</v>
      </c>
      <c r="S333" s="3" t="s">
        <v>5186</v>
      </c>
      <c r="T333" s="3" t="s">
        <v>5107</v>
      </c>
      <c r="U333" s="3" t="s">
        <v>5109</v>
      </c>
      <c r="V333" s="3">
        <v>200</v>
      </c>
      <c r="W333" s="3">
        <v>0</v>
      </c>
      <c r="X333" s="3">
        <v>3420</v>
      </c>
      <c r="Y333" s="3">
        <v>3012</v>
      </c>
      <c r="Z333" s="3">
        <v>0</v>
      </c>
      <c r="AA333" s="3">
        <v>408</v>
      </c>
      <c r="AB333" s="3">
        <v>408</v>
      </c>
      <c r="AC333" s="192">
        <v>8.3333333333333332E-3</v>
      </c>
      <c r="AD333" s="3" t="s">
        <v>292</v>
      </c>
      <c r="AF333" s="193">
        <v>8.4722222222222227E-2</v>
      </c>
      <c r="AG333" s="193">
        <v>8.4722222222222227E-2</v>
      </c>
      <c r="AH333" s="193">
        <v>0.37013888888888891</v>
      </c>
    </row>
    <row r="334" spans="1:34" x14ac:dyDescent="0.25">
      <c r="A334" s="3" t="s">
        <v>365</v>
      </c>
      <c r="B334" s="3">
        <v>117455</v>
      </c>
      <c r="C334" s="3" t="s">
        <v>5094</v>
      </c>
      <c r="D334" s="3" t="s">
        <v>3526</v>
      </c>
      <c r="E334" s="3">
        <v>6</v>
      </c>
      <c r="F334" s="3">
        <v>2</v>
      </c>
      <c r="G334" s="3">
        <v>8</v>
      </c>
      <c r="H334" s="55" t="s">
        <v>5095</v>
      </c>
      <c r="I334" s="3" t="s">
        <v>279</v>
      </c>
      <c r="J334" s="3" t="s">
        <v>5081</v>
      </c>
      <c r="K334" s="3" t="s">
        <v>5291</v>
      </c>
      <c r="L334" s="3">
        <v>1816</v>
      </c>
      <c r="M334" s="3">
        <v>27453</v>
      </c>
      <c r="N334" s="3" t="s">
        <v>5181</v>
      </c>
      <c r="R334" s="3">
        <v>9</v>
      </c>
      <c r="S334" s="3" t="s">
        <v>5184</v>
      </c>
      <c r="T334" s="3" t="s">
        <v>5185</v>
      </c>
      <c r="U334" s="3" t="s">
        <v>284</v>
      </c>
      <c r="V334" s="3">
        <v>200</v>
      </c>
      <c r="W334" s="3">
        <v>0</v>
      </c>
      <c r="X334" s="3">
        <v>3420</v>
      </c>
      <c r="Y334" s="3">
        <v>1248</v>
      </c>
      <c r="Z334" s="3">
        <v>0</v>
      </c>
      <c r="AA334" s="3">
        <v>2172</v>
      </c>
      <c r="AB334" s="3">
        <v>2580</v>
      </c>
      <c r="AC334" s="192">
        <v>0.1</v>
      </c>
      <c r="AD334" s="3" t="s">
        <v>294</v>
      </c>
      <c r="AE334" s="3" t="s">
        <v>5292</v>
      </c>
      <c r="AF334" s="193">
        <v>0.45277777777777778</v>
      </c>
      <c r="AG334" s="193">
        <v>0.53749999999999998</v>
      </c>
      <c r="AH334" s="193">
        <v>0.92986111111111114</v>
      </c>
    </row>
    <row r="335" spans="1:34" x14ac:dyDescent="0.25">
      <c r="A335" s="3" t="s">
        <v>365</v>
      </c>
      <c r="B335" s="3">
        <v>133004</v>
      </c>
      <c r="C335" s="3">
        <v>942207</v>
      </c>
      <c r="D335" s="3" t="s">
        <v>3526</v>
      </c>
      <c r="E335" s="3">
        <v>7</v>
      </c>
      <c r="F335" s="3">
        <v>3</v>
      </c>
      <c r="G335" s="3">
        <v>4</v>
      </c>
      <c r="H335" s="55" t="s">
        <v>289</v>
      </c>
      <c r="I335" s="3" t="s">
        <v>279</v>
      </c>
      <c r="J335" s="135">
        <v>46210</v>
      </c>
      <c r="L335" s="3">
        <v>1816</v>
      </c>
      <c r="M335" s="3">
        <v>27046</v>
      </c>
      <c r="N335" s="3" t="s">
        <v>5408</v>
      </c>
      <c r="R335" s="3">
        <v>16</v>
      </c>
      <c r="S335" s="3" t="s">
        <v>2723</v>
      </c>
      <c r="T335" s="3" t="s">
        <v>5154</v>
      </c>
      <c r="U335" s="3" t="s">
        <v>354</v>
      </c>
      <c r="V335" s="3">
        <v>383</v>
      </c>
      <c r="W335" s="3">
        <v>0</v>
      </c>
      <c r="X335" s="3">
        <v>248</v>
      </c>
      <c r="Y335" s="3">
        <v>0</v>
      </c>
      <c r="Z335" s="3">
        <v>0</v>
      </c>
      <c r="AA335" s="3">
        <v>248</v>
      </c>
      <c r="AB335" s="3">
        <v>2828</v>
      </c>
      <c r="AC335" s="192">
        <v>0</v>
      </c>
      <c r="AF335" s="193">
        <v>2.7083333333333334E-2</v>
      </c>
      <c r="AG335" s="193">
        <v>0.56458333333333333</v>
      </c>
      <c r="AH335" s="193">
        <v>0.95694444444444449</v>
      </c>
    </row>
    <row r="336" spans="1:34" x14ac:dyDescent="0.25">
      <c r="A336" s="3" t="s">
        <v>366</v>
      </c>
      <c r="B336" s="3">
        <v>117456</v>
      </c>
      <c r="C336" s="3" t="s">
        <v>5094</v>
      </c>
      <c r="D336" s="3" t="s">
        <v>3526</v>
      </c>
      <c r="E336" s="3">
        <v>6</v>
      </c>
      <c r="F336" s="3">
        <v>1</v>
      </c>
      <c r="G336" s="3">
        <v>15</v>
      </c>
      <c r="H336" s="55" t="s">
        <v>5095</v>
      </c>
      <c r="I336" s="3" t="s">
        <v>279</v>
      </c>
      <c r="J336" s="3" t="s">
        <v>5081</v>
      </c>
      <c r="K336" s="3" t="s">
        <v>5291</v>
      </c>
      <c r="L336" s="3">
        <v>1816</v>
      </c>
      <c r="M336" s="3">
        <v>27453</v>
      </c>
      <c r="N336" s="3" t="s">
        <v>5181</v>
      </c>
      <c r="R336" s="3">
        <v>9</v>
      </c>
      <c r="S336" s="3" t="s">
        <v>5182</v>
      </c>
      <c r="T336" s="3" t="s">
        <v>5183</v>
      </c>
      <c r="U336" s="3" t="s">
        <v>281</v>
      </c>
      <c r="V336" s="3">
        <v>200</v>
      </c>
      <c r="W336" s="3">
        <v>0</v>
      </c>
      <c r="X336" s="3">
        <v>3420</v>
      </c>
      <c r="Y336" s="3">
        <v>1476</v>
      </c>
      <c r="Z336" s="3">
        <v>0</v>
      </c>
      <c r="AA336" s="3">
        <v>1944</v>
      </c>
      <c r="AB336" s="3">
        <v>1944</v>
      </c>
      <c r="AC336" s="192">
        <v>5.8333333333333334E-2</v>
      </c>
      <c r="AD336" s="3" t="s">
        <v>285</v>
      </c>
      <c r="AE336" s="3" t="s">
        <v>286</v>
      </c>
      <c r="AF336" s="193">
        <v>0.40486111111111112</v>
      </c>
      <c r="AG336" s="193">
        <v>0.40486111111111112</v>
      </c>
      <c r="AH336" s="193">
        <v>0.74722222222222223</v>
      </c>
    </row>
    <row r="337" spans="1:34" x14ac:dyDescent="0.25">
      <c r="A337" s="3" t="s">
        <v>368</v>
      </c>
      <c r="B337" s="3">
        <v>117444</v>
      </c>
      <c r="C337" s="3" t="s">
        <v>5100</v>
      </c>
      <c r="D337" s="3" t="s">
        <v>3526</v>
      </c>
      <c r="E337" s="3">
        <v>5</v>
      </c>
      <c r="F337" s="3">
        <v>1</v>
      </c>
      <c r="G337" s="3">
        <v>15</v>
      </c>
      <c r="H337" s="55" t="s">
        <v>5095</v>
      </c>
      <c r="I337" s="3" t="s">
        <v>279</v>
      </c>
      <c r="J337" s="3" t="s">
        <v>5081</v>
      </c>
      <c r="K337" s="135">
        <v>46272</v>
      </c>
      <c r="L337" s="3">
        <v>1816</v>
      </c>
      <c r="M337" s="3">
        <v>27453</v>
      </c>
      <c r="N337" s="3" t="s">
        <v>5181</v>
      </c>
      <c r="R337" s="3">
        <v>9</v>
      </c>
      <c r="S337" s="3" t="s">
        <v>5186</v>
      </c>
      <c r="T337" s="3" t="s">
        <v>5107</v>
      </c>
      <c r="U337" s="3" t="s">
        <v>281</v>
      </c>
      <c r="V337" s="3">
        <v>200</v>
      </c>
      <c r="W337" s="3">
        <v>0</v>
      </c>
      <c r="X337" s="3">
        <v>3420</v>
      </c>
      <c r="Y337" s="3">
        <v>3408</v>
      </c>
      <c r="Z337" s="3">
        <v>0</v>
      </c>
      <c r="AA337" s="3">
        <v>12</v>
      </c>
      <c r="AB337" s="3">
        <v>12</v>
      </c>
      <c r="AC337" s="192">
        <v>0</v>
      </c>
      <c r="AF337" s="193">
        <v>2.7777777777777779E-3</v>
      </c>
      <c r="AG337" s="193">
        <v>2.7777777777777779E-3</v>
      </c>
      <c r="AH337" s="193">
        <v>0.27986111111111112</v>
      </c>
    </row>
    <row r="338" spans="1:34" x14ac:dyDescent="0.25">
      <c r="A338" s="3" t="s">
        <v>368</v>
      </c>
      <c r="B338" s="3">
        <v>117456</v>
      </c>
      <c r="C338" s="3" t="s">
        <v>5094</v>
      </c>
      <c r="D338" s="3" t="s">
        <v>3526</v>
      </c>
      <c r="E338" s="3">
        <v>6</v>
      </c>
      <c r="F338" s="3">
        <v>2</v>
      </c>
      <c r="G338" s="3">
        <v>13</v>
      </c>
      <c r="H338" s="55" t="s">
        <v>5095</v>
      </c>
      <c r="I338" s="3" t="s">
        <v>279</v>
      </c>
      <c r="J338" s="3" t="s">
        <v>5081</v>
      </c>
      <c r="K338" s="3" t="s">
        <v>5291</v>
      </c>
      <c r="L338" s="3">
        <v>1816</v>
      </c>
      <c r="M338" s="3">
        <v>27453</v>
      </c>
      <c r="N338" s="3" t="s">
        <v>5181</v>
      </c>
      <c r="R338" s="3">
        <v>9</v>
      </c>
      <c r="S338" s="3" t="s">
        <v>5182</v>
      </c>
      <c r="T338" s="3" t="s">
        <v>5183</v>
      </c>
      <c r="U338" s="3" t="s">
        <v>280</v>
      </c>
      <c r="V338" s="3">
        <v>200</v>
      </c>
      <c r="W338" s="3">
        <v>0</v>
      </c>
      <c r="X338" s="3">
        <v>5700</v>
      </c>
      <c r="Y338" s="3">
        <v>384</v>
      </c>
      <c r="Z338" s="3">
        <v>0</v>
      </c>
      <c r="AA338" s="3">
        <v>5316</v>
      </c>
      <c r="AB338" s="3">
        <v>5328</v>
      </c>
      <c r="AC338" s="192">
        <v>0.17499999999999999</v>
      </c>
      <c r="AD338" s="3" t="s">
        <v>285</v>
      </c>
      <c r="AE338" s="3" t="s">
        <v>286</v>
      </c>
      <c r="AF338" s="193">
        <v>1.1076388888888888</v>
      </c>
      <c r="AG338" s="193">
        <v>1.1097222222222223</v>
      </c>
      <c r="AH338" s="193">
        <v>0.76944444444444449</v>
      </c>
    </row>
    <row r="339" spans="1:34" x14ac:dyDescent="0.25">
      <c r="A339" s="3" t="s">
        <v>368</v>
      </c>
      <c r="B339" s="3">
        <v>136011</v>
      </c>
      <c r="C339" s="3">
        <v>942207</v>
      </c>
      <c r="D339" s="3" t="s">
        <v>3526</v>
      </c>
      <c r="E339" s="3">
        <v>7</v>
      </c>
      <c r="F339" s="3">
        <v>3</v>
      </c>
      <c r="G339" s="3">
        <v>10</v>
      </c>
      <c r="H339" s="55" t="s">
        <v>289</v>
      </c>
      <c r="I339" s="3" t="s">
        <v>279</v>
      </c>
      <c r="J339" s="135">
        <v>46210</v>
      </c>
      <c r="L339" s="3">
        <v>1816</v>
      </c>
      <c r="M339" s="3">
        <v>27040</v>
      </c>
      <c r="N339" s="3" t="s">
        <v>5188</v>
      </c>
      <c r="R339" s="3">
        <v>12</v>
      </c>
      <c r="S339" s="3" t="s">
        <v>2696</v>
      </c>
      <c r="T339" s="3" t="s">
        <v>297</v>
      </c>
      <c r="U339" s="3" t="s">
        <v>280</v>
      </c>
      <c r="V339" s="3">
        <v>202</v>
      </c>
      <c r="W339" s="3">
        <v>0</v>
      </c>
      <c r="X339" s="3">
        <v>186</v>
      </c>
      <c r="Y339" s="3">
        <v>0</v>
      </c>
      <c r="Z339" s="3">
        <v>0</v>
      </c>
      <c r="AA339" s="3">
        <v>186</v>
      </c>
      <c r="AB339" s="3">
        <v>5514</v>
      </c>
      <c r="AC339" s="192">
        <v>0.05</v>
      </c>
      <c r="AD339" s="3" t="s">
        <v>285</v>
      </c>
      <c r="AE339" s="3" t="s">
        <v>286</v>
      </c>
      <c r="AF339" s="193">
        <v>3.8194444444444448E-2</v>
      </c>
      <c r="AG339" s="193">
        <v>1.148611111111111</v>
      </c>
      <c r="AH339" s="193">
        <v>0.85763888888888884</v>
      </c>
    </row>
    <row r="340" spans="1:34" x14ac:dyDescent="0.25">
      <c r="A340" s="3" t="s">
        <v>368</v>
      </c>
      <c r="B340" s="3">
        <v>136011</v>
      </c>
      <c r="C340" s="3">
        <v>942207</v>
      </c>
      <c r="D340" s="3" t="s">
        <v>3526</v>
      </c>
      <c r="E340" s="3">
        <v>7</v>
      </c>
      <c r="F340" s="3">
        <v>4</v>
      </c>
      <c r="G340" s="3">
        <v>7</v>
      </c>
      <c r="H340" s="55" t="s">
        <v>289</v>
      </c>
      <c r="I340" s="3" t="s">
        <v>279</v>
      </c>
      <c r="J340" s="135">
        <v>46210</v>
      </c>
      <c r="L340" s="3">
        <v>1816</v>
      </c>
      <c r="M340" s="3">
        <v>27040</v>
      </c>
      <c r="N340" s="3" t="s">
        <v>5188</v>
      </c>
      <c r="R340" s="3">
        <v>12</v>
      </c>
      <c r="S340" s="3" t="s">
        <v>2696</v>
      </c>
      <c r="T340" s="3" t="s">
        <v>297</v>
      </c>
      <c r="U340" s="3">
        <v>35</v>
      </c>
      <c r="V340" s="3">
        <v>202</v>
      </c>
      <c r="W340" s="3">
        <v>0</v>
      </c>
      <c r="X340" s="3">
        <v>26</v>
      </c>
      <c r="Y340" s="3">
        <v>0</v>
      </c>
      <c r="Z340" s="3">
        <v>0</v>
      </c>
      <c r="AA340" s="3">
        <v>26</v>
      </c>
      <c r="AB340" s="3">
        <v>5540</v>
      </c>
      <c r="AC340" s="192">
        <v>0</v>
      </c>
      <c r="AF340" s="193">
        <v>5.5555555555555558E-3</v>
      </c>
      <c r="AG340" s="193">
        <v>1.1534722222222222</v>
      </c>
      <c r="AH340" s="193">
        <v>0.86319444444444449</v>
      </c>
    </row>
    <row r="341" spans="1:34" x14ac:dyDescent="0.25">
      <c r="A341" s="3" t="s">
        <v>368</v>
      </c>
      <c r="B341" s="3">
        <v>136011</v>
      </c>
      <c r="C341" s="3">
        <v>942207</v>
      </c>
      <c r="D341" s="3" t="s">
        <v>3526</v>
      </c>
      <c r="E341" s="3">
        <v>7</v>
      </c>
      <c r="F341" s="3">
        <v>5</v>
      </c>
      <c r="G341" s="3">
        <v>8</v>
      </c>
      <c r="H341" s="55" t="s">
        <v>289</v>
      </c>
      <c r="I341" s="3" t="s">
        <v>279</v>
      </c>
      <c r="J341" s="135">
        <v>46210</v>
      </c>
      <c r="L341" s="3">
        <v>1816</v>
      </c>
      <c r="M341" s="3">
        <v>27040</v>
      </c>
      <c r="N341" s="3" t="s">
        <v>5188</v>
      </c>
      <c r="R341" s="3">
        <v>12</v>
      </c>
      <c r="S341" s="3" t="s">
        <v>2696</v>
      </c>
      <c r="T341" s="3" t="s">
        <v>297</v>
      </c>
      <c r="U341" s="3">
        <v>36</v>
      </c>
      <c r="V341" s="3">
        <v>202</v>
      </c>
      <c r="W341" s="3">
        <v>0</v>
      </c>
      <c r="X341" s="3">
        <v>100</v>
      </c>
      <c r="Y341" s="3">
        <v>0</v>
      </c>
      <c r="Z341" s="3">
        <v>0</v>
      </c>
      <c r="AA341" s="3">
        <v>100</v>
      </c>
      <c r="AB341" s="3">
        <v>5640</v>
      </c>
      <c r="AC341" s="192">
        <v>0</v>
      </c>
      <c r="AF341" s="193">
        <v>2.0833333333333332E-2</v>
      </c>
      <c r="AG341" s="193">
        <v>1.1743055555555555</v>
      </c>
      <c r="AH341" s="193">
        <v>0.88402777777777775</v>
      </c>
    </row>
    <row r="342" spans="1:34" x14ac:dyDescent="0.25">
      <c r="A342" s="3" t="s">
        <v>368</v>
      </c>
      <c r="B342" s="3">
        <v>136011</v>
      </c>
      <c r="C342" s="3">
        <v>942207</v>
      </c>
      <c r="D342" s="3" t="s">
        <v>3526</v>
      </c>
      <c r="E342" s="3">
        <v>7</v>
      </c>
      <c r="F342" s="3">
        <v>6</v>
      </c>
      <c r="G342" s="3">
        <v>9</v>
      </c>
      <c r="H342" s="55" t="s">
        <v>289</v>
      </c>
      <c r="I342" s="3" t="s">
        <v>279</v>
      </c>
      <c r="J342" s="135">
        <v>46210</v>
      </c>
      <c r="L342" s="3">
        <v>1816</v>
      </c>
      <c r="M342" s="3">
        <v>27040</v>
      </c>
      <c r="N342" s="3" t="s">
        <v>5188</v>
      </c>
      <c r="R342" s="3">
        <v>12</v>
      </c>
      <c r="S342" s="3" t="s">
        <v>2696</v>
      </c>
      <c r="T342" s="3" t="s">
        <v>297</v>
      </c>
      <c r="U342" s="3" t="s">
        <v>284</v>
      </c>
      <c r="V342" s="3">
        <v>202</v>
      </c>
      <c r="W342" s="3">
        <v>0</v>
      </c>
      <c r="X342" s="3">
        <v>206</v>
      </c>
      <c r="Y342" s="3">
        <v>0</v>
      </c>
      <c r="Z342" s="3">
        <v>0</v>
      </c>
      <c r="AA342" s="3">
        <v>206</v>
      </c>
      <c r="AB342" s="3">
        <v>5846</v>
      </c>
      <c r="AC342" s="192">
        <v>0</v>
      </c>
      <c r="AF342" s="193">
        <v>4.2361111111111113E-2</v>
      </c>
      <c r="AG342" s="193">
        <v>1.2166666666666666</v>
      </c>
      <c r="AH342" s="193">
        <v>0.92638888888888893</v>
      </c>
    </row>
    <row r="343" spans="1:34" x14ac:dyDescent="0.25">
      <c r="A343" s="3" t="s">
        <v>368</v>
      </c>
      <c r="B343" s="3">
        <v>136011</v>
      </c>
      <c r="C343" s="3">
        <v>942207</v>
      </c>
      <c r="D343" s="3" t="s">
        <v>3526</v>
      </c>
      <c r="E343" s="3">
        <v>7</v>
      </c>
      <c r="F343" s="3">
        <v>7</v>
      </c>
      <c r="G343" s="3">
        <v>11</v>
      </c>
      <c r="H343" s="55" t="s">
        <v>289</v>
      </c>
      <c r="I343" s="3" t="s">
        <v>5358</v>
      </c>
      <c r="J343" s="135">
        <v>46210</v>
      </c>
      <c r="L343" s="3">
        <v>1816</v>
      </c>
      <c r="M343" s="3">
        <v>27040</v>
      </c>
      <c r="N343" s="3" t="s">
        <v>5188</v>
      </c>
      <c r="R343" s="3">
        <v>12</v>
      </c>
      <c r="S343" s="3" t="s">
        <v>2696</v>
      </c>
      <c r="T343" s="3" t="s">
        <v>297</v>
      </c>
      <c r="U343" s="3" t="s">
        <v>5109</v>
      </c>
      <c r="V343" s="3">
        <v>202</v>
      </c>
      <c r="W343" s="3">
        <v>0</v>
      </c>
      <c r="X343" s="3">
        <v>84</v>
      </c>
      <c r="Y343" s="3">
        <v>0</v>
      </c>
      <c r="Z343" s="3">
        <v>0</v>
      </c>
      <c r="AA343" s="3">
        <v>84</v>
      </c>
      <c r="AB343" s="3">
        <v>5930</v>
      </c>
      <c r="AC343" s="192">
        <v>0</v>
      </c>
      <c r="AF343" s="193">
        <v>1.7361111111111112E-2</v>
      </c>
      <c r="AG343" s="193">
        <v>1.2340277777777777</v>
      </c>
      <c r="AH343" s="193">
        <v>0.94374999999999998</v>
      </c>
    </row>
    <row r="344" spans="1:34" x14ac:dyDescent="0.25">
      <c r="A344" s="3" t="s">
        <v>368</v>
      </c>
      <c r="B344" s="3">
        <v>136012</v>
      </c>
      <c r="C344" s="3">
        <v>942207</v>
      </c>
      <c r="D344" s="3" t="s">
        <v>3526</v>
      </c>
      <c r="E344" s="3">
        <v>7</v>
      </c>
      <c r="F344" s="3">
        <v>8</v>
      </c>
      <c r="G344" s="3">
        <v>3</v>
      </c>
      <c r="H344" s="55" t="s">
        <v>289</v>
      </c>
      <c r="I344" s="3" t="s">
        <v>5358</v>
      </c>
      <c r="J344" s="135">
        <v>46210</v>
      </c>
      <c r="L344" s="3">
        <v>1816</v>
      </c>
      <c r="M344" s="3">
        <v>27040</v>
      </c>
      <c r="N344" s="3" t="s">
        <v>5188</v>
      </c>
      <c r="R344" s="3">
        <v>12</v>
      </c>
      <c r="S344" s="3" t="s">
        <v>362</v>
      </c>
      <c r="T344" s="3" t="s">
        <v>5315</v>
      </c>
      <c r="U344" s="3" t="s">
        <v>284</v>
      </c>
      <c r="V344" s="3">
        <v>202</v>
      </c>
      <c r="W344" s="3">
        <v>0</v>
      </c>
      <c r="X344" s="3">
        <v>58</v>
      </c>
      <c r="Y344" s="3">
        <v>0</v>
      </c>
      <c r="Z344" s="3">
        <v>0</v>
      </c>
      <c r="AA344" s="3">
        <v>58</v>
      </c>
      <c r="AB344" s="3">
        <v>5988</v>
      </c>
      <c r="AC344" s="192">
        <v>0</v>
      </c>
      <c r="AF344" s="193">
        <v>1.1805555555555555E-2</v>
      </c>
      <c r="AG344" s="193">
        <v>1.2458333333333333</v>
      </c>
      <c r="AH344" s="193">
        <v>0.9555555555555556</v>
      </c>
    </row>
    <row r="345" spans="1:34" x14ac:dyDescent="0.25">
      <c r="A345" s="3" t="s">
        <v>369</v>
      </c>
      <c r="B345" s="3">
        <v>129506</v>
      </c>
      <c r="C345" s="3">
        <v>941407</v>
      </c>
      <c r="D345" s="3" t="s">
        <v>3526</v>
      </c>
      <c r="E345" s="3">
        <v>5</v>
      </c>
      <c r="F345" s="3">
        <v>1</v>
      </c>
      <c r="G345" s="3">
        <v>7</v>
      </c>
      <c r="H345" s="55" t="s">
        <v>289</v>
      </c>
      <c r="I345" s="3" t="s">
        <v>279</v>
      </c>
      <c r="J345" s="135">
        <v>46088</v>
      </c>
      <c r="K345" s="3" t="s">
        <v>5096</v>
      </c>
      <c r="L345" s="3">
        <v>1816</v>
      </c>
      <c r="M345" s="3">
        <v>27040</v>
      </c>
      <c r="N345" s="3" t="s">
        <v>5188</v>
      </c>
      <c r="R345" s="3">
        <v>12</v>
      </c>
      <c r="S345" s="3" t="s">
        <v>364</v>
      </c>
      <c r="T345" s="3" t="s">
        <v>5143</v>
      </c>
      <c r="U345" s="3" t="s">
        <v>281</v>
      </c>
      <c r="V345" s="3">
        <v>202</v>
      </c>
      <c r="W345" s="3">
        <v>0</v>
      </c>
      <c r="X345" s="3">
        <v>260</v>
      </c>
      <c r="Y345" s="3">
        <v>247</v>
      </c>
      <c r="Z345" s="3">
        <v>0</v>
      </c>
      <c r="AA345" s="3">
        <v>13</v>
      </c>
      <c r="AB345" s="3">
        <v>13</v>
      </c>
      <c r="AC345" s="192">
        <v>0</v>
      </c>
      <c r="AF345" s="193">
        <v>2.7777777777777779E-3</v>
      </c>
      <c r="AG345" s="193">
        <v>2.7777777777777779E-3</v>
      </c>
      <c r="AH345" s="193">
        <v>0.27986111111111112</v>
      </c>
    </row>
    <row r="346" spans="1:34" x14ac:dyDescent="0.25">
      <c r="A346" s="3" t="s">
        <v>369</v>
      </c>
      <c r="B346" s="3">
        <v>129506</v>
      </c>
      <c r="C346" s="3">
        <v>941407</v>
      </c>
      <c r="D346" s="3" t="s">
        <v>3526</v>
      </c>
      <c r="E346" s="3">
        <v>5</v>
      </c>
      <c r="F346" s="3">
        <v>2</v>
      </c>
      <c r="G346" s="3">
        <v>6</v>
      </c>
      <c r="H346" s="55" t="s">
        <v>289</v>
      </c>
      <c r="I346" s="3" t="s">
        <v>279</v>
      </c>
      <c r="J346" s="135">
        <v>46088</v>
      </c>
      <c r="K346" s="3" t="s">
        <v>5096</v>
      </c>
      <c r="L346" s="3">
        <v>1816</v>
      </c>
      <c r="M346" s="3">
        <v>27040</v>
      </c>
      <c r="N346" s="3" t="s">
        <v>5188</v>
      </c>
      <c r="R346" s="3">
        <v>12</v>
      </c>
      <c r="S346" s="3" t="s">
        <v>364</v>
      </c>
      <c r="T346" s="3" t="s">
        <v>5143</v>
      </c>
      <c r="U346" s="3" t="s">
        <v>5109</v>
      </c>
      <c r="V346" s="3">
        <v>202</v>
      </c>
      <c r="W346" s="3">
        <v>0</v>
      </c>
      <c r="X346" s="3">
        <v>584</v>
      </c>
      <c r="Y346" s="3">
        <v>571</v>
      </c>
      <c r="Z346" s="3">
        <v>0</v>
      </c>
      <c r="AA346" s="3">
        <v>13</v>
      </c>
      <c r="AB346" s="3">
        <v>26</v>
      </c>
      <c r="AC346" s="192">
        <v>0</v>
      </c>
      <c r="AF346" s="193">
        <v>2.7777777777777779E-3</v>
      </c>
      <c r="AG346" s="193">
        <v>5.5555555555555558E-3</v>
      </c>
      <c r="AH346" s="193">
        <v>0.28263888888888888</v>
      </c>
    </row>
    <row r="347" spans="1:34" x14ac:dyDescent="0.25">
      <c r="A347" s="3" t="s">
        <v>369</v>
      </c>
      <c r="B347" s="3">
        <v>129508</v>
      </c>
      <c r="C347" s="3">
        <v>941407</v>
      </c>
      <c r="D347" s="3" t="s">
        <v>3526</v>
      </c>
      <c r="E347" s="3">
        <v>5</v>
      </c>
      <c r="F347" s="3">
        <v>3</v>
      </c>
      <c r="G347" s="3">
        <v>7</v>
      </c>
      <c r="H347" s="55" t="s">
        <v>289</v>
      </c>
      <c r="I347" s="3" t="s">
        <v>279</v>
      </c>
      <c r="J347" s="135">
        <v>46088</v>
      </c>
      <c r="K347" s="3" t="s">
        <v>5096</v>
      </c>
      <c r="L347" s="3">
        <v>1816</v>
      </c>
      <c r="M347" s="3">
        <v>27040</v>
      </c>
      <c r="N347" s="3" t="s">
        <v>5188</v>
      </c>
      <c r="R347" s="3">
        <v>12</v>
      </c>
      <c r="S347" s="3" t="s">
        <v>2703</v>
      </c>
      <c r="T347" s="3" t="s">
        <v>5086</v>
      </c>
      <c r="U347" s="3" t="s">
        <v>280</v>
      </c>
      <c r="V347" s="3">
        <v>202</v>
      </c>
      <c r="W347" s="3">
        <v>0</v>
      </c>
      <c r="X347" s="3">
        <v>590</v>
      </c>
      <c r="Y347" s="3">
        <v>570</v>
      </c>
      <c r="Z347" s="3">
        <v>0</v>
      </c>
      <c r="AA347" s="3">
        <v>20</v>
      </c>
      <c r="AB347" s="3">
        <v>46</v>
      </c>
      <c r="AC347" s="192">
        <v>0</v>
      </c>
      <c r="AF347" s="193">
        <v>4.1666666666666666E-3</v>
      </c>
      <c r="AG347" s="193">
        <v>9.7222222222222224E-3</v>
      </c>
      <c r="AH347" s="193">
        <v>0.28680555555555554</v>
      </c>
    </row>
    <row r="348" spans="1:34" x14ac:dyDescent="0.25">
      <c r="A348" s="3" t="s">
        <v>369</v>
      </c>
      <c r="B348" s="3">
        <v>135829</v>
      </c>
      <c r="C348" s="3">
        <v>942207</v>
      </c>
      <c r="D348" s="3" t="s">
        <v>3526</v>
      </c>
      <c r="E348" s="3">
        <v>7</v>
      </c>
      <c r="F348" s="3">
        <v>4</v>
      </c>
      <c r="G348" s="3">
        <v>8</v>
      </c>
      <c r="H348" s="55" t="s">
        <v>289</v>
      </c>
      <c r="I348" s="3" t="s">
        <v>279</v>
      </c>
      <c r="J348" s="135">
        <v>46210</v>
      </c>
      <c r="L348" s="3">
        <v>1830</v>
      </c>
      <c r="M348" s="3">
        <v>11818</v>
      </c>
      <c r="N348" s="3" t="s">
        <v>5312</v>
      </c>
      <c r="R348" s="3">
        <v>10</v>
      </c>
      <c r="S348" s="3" t="s">
        <v>977</v>
      </c>
      <c r="T348" s="3" t="s">
        <v>5189</v>
      </c>
      <c r="U348" s="3">
        <v>42</v>
      </c>
      <c r="V348" s="3">
        <v>354</v>
      </c>
      <c r="W348" s="3">
        <v>0</v>
      </c>
      <c r="X348" s="3">
        <v>30</v>
      </c>
      <c r="Y348" s="3">
        <v>0</v>
      </c>
      <c r="Z348" s="3">
        <v>0</v>
      </c>
      <c r="AA348" s="3">
        <v>30</v>
      </c>
      <c r="AB348" s="3">
        <v>76</v>
      </c>
      <c r="AC348" s="192">
        <v>0</v>
      </c>
      <c r="AF348" s="193">
        <v>3.472222222222222E-3</v>
      </c>
      <c r="AG348" s="193">
        <v>1.3194444444444444E-2</v>
      </c>
      <c r="AH348" s="193">
        <v>0.2902777777777778</v>
      </c>
    </row>
    <row r="349" spans="1:34" x14ac:dyDescent="0.25">
      <c r="A349" s="3" t="s">
        <v>369</v>
      </c>
      <c r="B349" s="3">
        <v>135829</v>
      </c>
      <c r="C349" s="3">
        <v>942207</v>
      </c>
      <c r="D349" s="3" t="s">
        <v>3526</v>
      </c>
      <c r="E349" s="3">
        <v>7</v>
      </c>
      <c r="F349" s="3">
        <v>5</v>
      </c>
      <c r="G349" s="3">
        <v>7</v>
      </c>
      <c r="H349" s="55" t="s">
        <v>289</v>
      </c>
      <c r="I349" s="3" t="s">
        <v>279</v>
      </c>
      <c r="J349" s="135">
        <v>46210</v>
      </c>
      <c r="K349" s="3" t="s">
        <v>5291</v>
      </c>
      <c r="L349" s="3">
        <v>1830</v>
      </c>
      <c r="M349" s="3">
        <v>11818</v>
      </c>
      <c r="N349" s="3" t="s">
        <v>5312</v>
      </c>
      <c r="R349" s="3">
        <v>10</v>
      </c>
      <c r="S349" s="3" t="s">
        <v>977</v>
      </c>
      <c r="T349" s="3" t="s">
        <v>5189</v>
      </c>
      <c r="U349" s="3">
        <v>41</v>
      </c>
      <c r="V349" s="3">
        <v>354</v>
      </c>
      <c r="W349" s="3">
        <v>0</v>
      </c>
      <c r="X349" s="3">
        <v>92</v>
      </c>
      <c r="Y349" s="3">
        <v>48</v>
      </c>
      <c r="Z349" s="3">
        <v>0</v>
      </c>
      <c r="AA349" s="3">
        <v>44</v>
      </c>
      <c r="AB349" s="3">
        <v>120</v>
      </c>
      <c r="AC349" s="192">
        <v>0</v>
      </c>
      <c r="AF349" s="193">
        <v>4.8611111111111112E-3</v>
      </c>
      <c r="AG349" s="193">
        <v>1.8055555555555554E-2</v>
      </c>
      <c r="AH349" s="193">
        <v>0.2951388888888889</v>
      </c>
    </row>
    <row r="350" spans="1:34" x14ac:dyDescent="0.25">
      <c r="A350" s="3" t="s">
        <v>369</v>
      </c>
      <c r="B350" s="3">
        <v>135829</v>
      </c>
      <c r="C350" s="3">
        <v>942207</v>
      </c>
      <c r="D350" s="3" t="s">
        <v>3526</v>
      </c>
      <c r="E350" s="3">
        <v>7</v>
      </c>
      <c r="F350" s="3">
        <v>6</v>
      </c>
      <c r="G350" s="3">
        <v>9</v>
      </c>
      <c r="H350" s="55" t="s">
        <v>289</v>
      </c>
      <c r="I350" s="3" t="s">
        <v>279</v>
      </c>
      <c r="J350" s="135">
        <v>46210</v>
      </c>
      <c r="L350" s="3">
        <v>1830</v>
      </c>
      <c r="M350" s="3">
        <v>11818</v>
      </c>
      <c r="N350" s="3" t="s">
        <v>5312</v>
      </c>
      <c r="R350" s="3">
        <v>10</v>
      </c>
      <c r="S350" s="3" t="s">
        <v>977</v>
      </c>
      <c r="T350" s="3" t="s">
        <v>5189</v>
      </c>
      <c r="U350" s="3" t="s">
        <v>281</v>
      </c>
      <c r="V350" s="3">
        <v>354</v>
      </c>
      <c r="W350" s="3">
        <v>0</v>
      </c>
      <c r="X350" s="3">
        <v>30</v>
      </c>
      <c r="Y350" s="3">
        <v>0</v>
      </c>
      <c r="Z350" s="3">
        <v>0</v>
      </c>
      <c r="AA350" s="3">
        <v>30</v>
      </c>
      <c r="AB350" s="3">
        <v>150</v>
      </c>
      <c r="AC350" s="192">
        <v>0</v>
      </c>
      <c r="AF350" s="193">
        <v>3.472222222222222E-3</v>
      </c>
      <c r="AG350" s="193">
        <v>2.1527777777777778E-2</v>
      </c>
      <c r="AH350" s="193">
        <v>0.2986111111111111</v>
      </c>
    </row>
    <row r="351" spans="1:34" x14ac:dyDescent="0.25">
      <c r="A351" s="3" t="s">
        <v>369</v>
      </c>
      <c r="B351" s="3">
        <v>135829</v>
      </c>
      <c r="C351" s="3">
        <v>942207</v>
      </c>
      <c r="D351" s="3" t="s">
        <v>3526</v>
      </c>
      <c r="E351" s="3">
        <v>7</v>
      </c>
      <c r="F351" s="3">
        <v>7</v>
      </c>
      <c r="G351" s="3">
        <v>10</v>
      </c>
      <c r="H351" s="55" t="s">
        <v>289</v>
      </c>
      <c r="I351" s="3" t="s">
        <v>279</v>
      </c>
      <c r="J351" s="135">
        <v>46210</v>
      </c>
      <c r="L351" s="3">
        <v>1830</v>
      </c>
      <c r="M351" s="3">
        <v>11818</v>
      </c>
      <c r="N351" s="3" t="s">
        <v>5312</v>
      </c>
      <c r="R351" s="3">
        <v>10</v>
      </c>
      <c r="S351" s="3" t="s">
        <v>977</v>
      </c>
      <c r="T351" s="3" t="s">
        <v>5189</v>
      </c>
      <c r="U351" s="3">
        <v>45</v>
      </c>
      <c r="V351" s="3">
        <v>354</v>
      </c>
      <c r="W351" s="3">
        <v>0</v>
      </c>
      <c r="X351" s="3">
        <v>56</v>
      </c>
      <c r="Y351" s="3">
        <v>0</v>
      </c>
      <c r="Z351" s="3">
        <v>0</v>
      </c>
      <c r="AA351" s="3">
        <v>56</v>
      </c>
      <c r="AB351" s="3">
        <v>206</v>
      </c>
      <c r="AC351" s="192">
        <v>0</v>
      </c>
      <c r="AF351" s="193">
        <v>6.2500000000000003E-3</v>
      </c>
      <c r="AG351" s="193">
        <v>2.8472222222222222E-2</v>
      </c>
      <c r="AH351" s="193">
        <v>0.30486111111111114</v>
      </c>
    </row>
    <row r="352" spans="1:34" x14ac:dyDescent="0.25">
      <c r="A352" s="3" t="s">
        <v>369</v>
      </c>
      <c r="B352" s="3">
        <v>135840</v>
      </c>
      <c r="C352" s="3">
        <v>942207</v>
      </c>
      <c r="D352" s="3" t="s">
        <v>3526</v>
      </c>
      <c r="E352" s="3">
        <v>7</v>
      </c>
      <c r="F352" s="3">
        <v>8</v>
      </c>
      <c r="G352" s="3">
        <v>4</v>
      </c>
      <c r="H352" s="55" t="s">
        <v>289</v>
      </c>
      <c r="I352" s="3" t="s">
        <v>279</v>
      </c>
      <c r="J352" s="135">
        <v>46210</v>
      </c>
      <c r="L352" s="3">
        <v>1830</v>
      </c>
      <c r="M352" s="3">
        <v>11818</v>
      </c>
      <c r="N352" s="3" t="s">
        <v>5312</v>
      </c>
      <c r="R352" s="3">
        <v>10</v>
      </c>
      <c r="S352" s="3" t="s">
        <v>978</v>
      </c>
      <c r="T352" s="3" t="s">
        <v>5313</v>
      </c>
      <c r="U352" s="3">
        <v>39</v>
      </c>
      <c r="V352" s="3">
        <v>354</v>
      </c>
      <c r="W352" s="3">
        <v>0</v>
      </c>
      <c r="X352" s="3">
        <v>46</v>
      </c>
      <c r="Y352" s="3">
        <v>0</v>
      </c>
      <c r="Z352" s="3">
        <v>0</v>
      </c>
      <c r="AA352" s="3">
        <v>46</v>
      </c>
      <c r="AB352" s="3">
        <v>252</v>
      </c>
      <c r="AC352" s="192">
        <v>0</v>
      </c>
      <c r="AF352" s="193">
        <v>5.5555555555555558E-3</v>
      </c>
      <c r="AG352" s="193">
        <v>3.4027777777777775E-2</v>
      </c>
      <c r="AH352" s="193">
        <v>0.31041666666666667</v>
      </c>
    </row>
    <row r="353" spans="1:34" x14ac:dyDescent="0.25">
      <c r="A353" s="3" t="s">
        <v>369</v>
      </c>
      <c r="B353" s="3">
        <v>135840</v>
      </c>
      <c r="C353" s="3">
        <v>942207</v>
      </c>
      <c r="D353" s="3" t="s">
        <v>3526</v>
      </c>
      <c r="E353" s="3">
        <v>7</v>
      </c>
      <c r="F353" s="3">
        <v>9</v>
      </c>
      <c r="G353" s="3">
        <v>5</v>
      </c>
      <c r="H353" s="55" t="s">
        <v>289</v>
      </c>
      <c r="I353" s="3" t="s">
        <v>279</v>
      </c>
      <c r="J353" s="135">
        <v>46210</v>
      </c>
      <c r="L353" s="3">
        <v>1830</v>
      </c>
      <c r="M353" s="3">
        <v>11818</v>
      </c>
      <c r="N353" s="3" t="s">
        <v>5312</v>
      </c>
      <c r="R353" s="3">
        <v>10</v>
      </c>
      <c r="S353" s="3" t="s">
        <v>978</v>
      </c>
      <c r="T353" s="3" t="s">
        <v>5313</v>
      </c>
      <c r="U353" s="3">
        <v>41</v>
      </c>
      <c r="V353" s="3">
        <v>354</v>
      </c>
      <c r="W353" s="3">
        <v>0</v>
      </c>
      <c r="X353" s="3">
        <v>118</v>
      </c>
      <c r="Y353" s="3">
        <v>0</v>
      </c>
      <c r="Z353" s="3">
        <v>0</v>
      </c>
      <c r="AA353" s="3">
        <v>118</v>
      </c>
      <c r="AB353" s="3">
        <v>370</v>
      </c>
      <c r="AC353" s="192">
        <v>0</v>
      </c>
      <c r="AF353" s="193">
        <v>1.3888888888888888E-2</v>
      </c>
      <c r="AG353" s="193">
        <v>4.791666666666667E-2</v>
      </c>
      <c r="AH353" s="193">
        <v>0.32430555555555557</v>
      </c>
    </row>
    <row r="354" spans="1:34" x14ac:dyDescent="0.25">
      <c r="A354" s="3" t="s">
        <v>369</v>
      </c>
      <c r="B354" s="3">
        <v>135852</v>
      </c>
      <c r="C354" s="3">
        <v>942207</v>
      </c>
      <c r="D354" s="3" t="s">
        <v>3526</v>
      </c>
      <c r="E354" s="3">
        <v>7</v>
      </c>
      <c r="F354" s="3">
        <v>10</v>
      </c>
      <c r="G354" s="3">
        <v>7</v>
      </c>
      <c r="H354" s="55" t="s">
        <v>289</v>
      </c>
      <c r="I354" s="3" t="s">
        <v>279</v>
      </c>
      <c r="J354" s="135">
        <v>46210</v>
      </c>
      <c r="L354" s="3">
        <v>1830</v>
      </c>
      <c r="M354" s="3">
        <v>11818</v>
      </c>
      <c r="N354" s="3" t="s">
        <v>5312</v>
      </c>
      <c r="R354" s="3">
        <v>10</v>
      </c>
      <c r="S354" s="3" t="s">
        <v>979</v>
      </c>
      <c r="T354" s="3" t="s">
        <v>5314</v>
      </c>
      <c r="U354" s="3">
        <v>41</v>
      </c>
      <c r="V354" s="3">
        <v>354</v>
      </c>
      <c r="W354" s="3">
        <v>0</v>
      </c>
      <c r="X354" s="3">
        <v>84</v>
      </c>
      <c r="Y354" s="3">
        <v>0</v>
      </c>
      <c r="Z354" s="3">
        <v>0</v>
      </c>
      <c r="AA354" s="3">
        <v>84</v>
      </c>
      <c r="AB354" s="3">
        <v>454</v>
      </c>
      <c r="AC354" s="192">
        <v>0</v>
      </c>
      <c r="AF354" s="193">
        <v>9.7222222222222224E-3</v>
      </c>
      <c r="AG354" s="193">
        <v>5.7638888888888892E-2</v>
      </c>
      <c r="AH354" s="193">
        <v>0.33402777777777776</v>
      </c>
    </row>
    <row r="355" spans="1:34" x14ac:dyDescent="0.25">
      <c r="A355" s="3" t="s">
        <v>369</v>
      </c>
      <c r="B355" s="3">
        <v>135852</v>
      </c>
      <c r="C355" s="3">
        <v>942207</v>
      </c>
      <c r="D355" s="3" t="s">
        <v>3526</v>
      </c>
      <c r="E355" s="3">
        <v>7</v>
      </c>
      <c r="F355" s="3">
        <v>11</v>
      </c>
      <c r="G355" s="3">
        <v>5</v>
      </c>
      <c r="H355" s="55" t="s">
        <v>289</v>
      </c>
      <c r="I355" s="3" t="s">
        <v>279</v>
      </c>
      <c r="J355" s="135">
        <v>46210</v>
      </c>
      <c r="L355" s="3">
        <v>1830</v>
      </c>
      <c r="M355" s="3">
        <v>11818</v>
      </c>
      <c r="N355" s="3" t="s">
        <v>5312</v>
      </c>
      <c r="R355" s="3">
        <v>10</v>
      </c>
      <c r="S355" s="3" t="s">
        <v>979</v>
      </c>
      <c r="T355" s="3" t="s">
        <v>5314</v>
      </c>
      <c r="U355" s="3">
        <v>39</v>
      </c>
      <c r="V355" s="3">
        <v>354</v>
      </c>
      <c r="W355" s="3">
        <v>0</v>
      </c>
      <c r="X355" s="3">
        <v>62</v>
      </c>
      <c r="Y355" s="3">
        <v>0</v>
      </c>
      <c r="Z355" s="3">
        <v>0</v>
      </c>
      <c r="AA355" s="3">
        <v>62</v>
      </c>
      <c r="AB355" s="3">
        <v>516</v>
      </c>
      <c r="AC355" s="192">
        <v>0</v>
      </c>
      <c r="AF355" s="193">
        <v>7.6388888888888886E-3</v>
      </c>
      <c r="AG355" s="193">
        <v>6.458333333333334E-2</v>
      </c>
      <c r="AH355" s="193">
        <v>0.34166666666666667</v>
      </c>
    </row>
    <row r="356" spans="1:34" x14ac:dyDescent="0.25">
      <c r="A356" s="3" t="s">
        <v>369</v>
      </c>
      <c r="B356" s="3">
        <v>135852</v>
      </c>
      <c r="C356" s="3">
        <v>942207</v>
      </c>
      <c r="D356" s="3" t="s">
        <v>3526</v>
      </c>
      <c r="E356" s="3">
        <v>7</v>
      </c>
      <c r="F356" s="3">
        <v>12</v>
      </c>
      <c r="G356" s="3">
        <v>6</v>
      </c>
      <c r="H356" s="55" t="s">
        <v>289</v>
      </c>
      <c r="I356" s="3" t="s">
        <v>279</v>
      </c>
      <c r="J356" s="135">
        <v>46210</v>
      </c>
      <c r="L356" s="3">
        <v>1830</v>
      </c>
      <c r="M356" s="3">
        <v>11818</v>
      </c>
      <c r="N356" s="3" t="s">
        <v>5312</v>
      </c>
      <c r="R356" s="3">
        <v>10</v>
      </c>
      <c r="S356" s="3" t="s">
        <v>979</v>
      </c>
      <c r="T356" s="3" t="s">
        <v>5314</v>
      </c>
      <c r="U356" s="3">
        <v>40</v>
      </c>
      <c r="V356" s="3">
        <v>354</v>
      </c>
      <c r="W356" s="3">
        <v>0</v>
      </c>
      <c r="X356" s="3">
        <v>68</v>
      </c>
      <c r="Y356" s="3">
        <v>0</v>
      </c>
      <c r="Z356" s="3">
        <v>0</v>
      </c>
      <c r="AA356" s="3">
        <v>68</v>
      </c>
      <c r="AB356" s="3">
        <v>584</v>
      </c>
      <c r="AC356" s="192">
        <v>0</v>
      </c>
      <c r="AF356" s="193">
        <v>8.3333333333333332E-3</v>
      </c>
      <c r="AG356" s="193">
        <v>7.2916666666666671E-2</v>
      </c>
      <c r="AH356" s="193">
        <v>0.35</v>
      </c>
    </row>
    <row r="357" spans="1:34" x14ac:dyDescent="0.25">
      <c r="A357" s="3" t="s">
        <v>369</v>
      </c>
      <c r="B357" s="3">
        <v>136006</v>
      </c>
      <c r="C357" s="3">
        <v>942207</v>
      </c>
      <c r="D357" s="3" t="s">
        <v>3526</v>
      </c>
      <c r="E357" s="3">
        <v>7</v>
      </c>
      <c r="F357" s="3">
        <v>13</v>
      </c>
      <c r="G357" s="3">
        <v>6</v>
      </c>
      <c r="H357" s="55" t="s">
        <v>289</v>
      </c>
      <c r="I357" s="3" t="s">
        <v>279</v>
      </c>
      <c r="J357" s="135">
        <v>46210</v>
      </c>
      <c r="L357" s="3">
        <v>1830</v>
      </c>
      <c r="M357" s="3">
        <v>11818</v>
      </c>
      <c r="N357" s="3" t="s">
        <v>5312</v>
      </c>
      <c r="R357" s="3">
        <v>10</v>
      </c>
      <c r="S357" s="3" t="s">
        <v>976</v>
      </c>
      <c r="T357" s="3" t="s">
        <v>5315</v>
      </c>
      <c r="U357" s="3">
        <v>40</v>
      </c>
      <c r="V357" s="3">
        <v>354</v>
      </c>
      <c r="W357" s="3">
        <v>0</v>
      </c>
      <c r="X357" s="3">
        <v>94</v>
      </c>
      <c r="Y357" s="3">
        <v>0</v>
      </c>
      <c r="Z357" s="3">
        <v>0</v>
      </c>
      <c r="AA357" s="3">
        <v>94</v>
      </c>
      <c r="AB357" s="3">
        <v>678</v>
      </c>
      <c r="AC357" s="192">
        <v>8.3333333333333332E-3</v>
      </c>
      <c r="AD357" s="3" t="s">
        <v>292</v>
      </c>
      <c r="AF357" s="193">
        <v>1.1111111111111112E-2</v>
      </c>
      <c r="AG357" s="193">
        <v>8.4027777777777785E-2</v>
      </c>
      <c r="AH357" s="193">
        <v>0.36944444444444446</v>
      </c>
    </row>
    <row r="358" spans="1:34" x14ac:dyDescent="0.25">
      <c r="A358" s="3" t="s">
        <v>369</v>
      </c>
      <c r="B358" s="3">
        <v>136006</v>
      </c>
      <c r="C358" s="3">
        <v>942207</v>
      </c>
      <c r="D358" s="3" t="s">
        <v>3526</v>
      </c>
      <c r="E358" s="3">
        <v>7</v>
      </c>
      <c r="F358" s="3">
        <v>14</v>
      </c>
      <c r="G358" s="3">
        <v>5</v>
      </c>
      <c r="H358" s="55" t="s">
        <v>289</v>
      </c>
      <c r="I358" s="3" t="s">
        <v>279</v>
      </c>
      <c r="J358" s="135">
        <v>46210</v>
      </c>
      <c r="L358" s="3">
        <v>1830</v>
      </c>
      <c r="M358" s="3">
        <v>11818</v>
      </c>
      <c r="N358" s="3" t="s">
        <v>5312</v>
      </c>
      <c r="R358" s="3">
        <v>10</v>
      </c>
      <c r="S358" s="3" t="s">
        <v>976</v>
      </c>
      <c r="T358" s="3" t="s">
        <v>5315</v>
      </c>
      <c r="U358" s="3">
        <v>39</v>
      </c>
      <c r="V358" s="3">
        <v>354</v>
      </c>
      <c r="W358" s="3">
        <v>0</v>
      </c>
      <c r="X358" s="3">
        <v>70</v>
      </c>
      <c r="Y358" s="3">
        <v>0</v>
      </c>
      <c r="Z358" s="3">
        <v>0</v>
      </c>
      <c r="AA358" s="3">
        <v>70</v>
      </c>
      <c r="AB358" s="3">
        <v>748</v>
      </c>
      <c r="AC358" s="192">
        <v>0</v>
      </c>
      <c r="AF358" s="193">
        <v>8.3333333333333332E-3</v>
      </c>
      <c r="AG358" s="193">
        <v>9.2361111111111116E-2</v>
      </c>
      <c r="AH358" s="193">
        <v>0.37777777777777777</v>
      </c>
    </row>
    <row r="359" spans="1:34" x14ac:dyDescent="0.25">
      <c r="A359" s="3" t="s">
        <v>369</v>
      </c>
      <c r="B359" s="3">
        <v>136006</v>
      </c>
      <c r="C359" s="3">
        <v>942207</v>
      </c>
      <c r="D359" s="3" t="s">
        <v>3526</v>
      </c>
      <c r="E359" s="3">
        <v>7</v>
      </c>
      <c r="F359" s="3">
        <v>15</v>
      </c>
      <c r="G359" s="3">
        <v>7</v>
      </c>
      <c r="H359" s="55" t="s">
        <v>289</v>
      </c>
      <c r="I359" s="3" t="s">
        <v>279</v>
      </c>
      <c r="J359" s="135">
        <v>46210</v>
      </c>
      <c r="L359" s="3">
        <v>1830</v>
      </c>
      <c r="M359" s="3">
        <v>11818</v>
      </c>
      <c r="N359" s="3" t="s">
        <v>5312</v>
      </c>
      <c r="R359" s="3">
        <v>10</v>
      </c>
      <c r="S359" s="3" t="s">
        <v>976</v>
      </c>
      <c r="T359" s="3" t="s">
        <v>5315</v>
      </c>
      <c r="U359" s="3">
        <v>41</v>
      </c>
      <c r="V359" s="3">
        <v>354</v>
      </c>
      <c r="W359" s="3">
        <v>0</v>
      </c>
      <c r="X359" s="3">
        <v>94</v>
      </c>
      <c r="Y359" s="3">
        <v>0</v>
      </c>
      <c r="Z359" s="3">
        <v>0</v>
      </c>
      <c r="AA359" s="3">
        <v>94</v>
      </c>
      <c r="AB359" s="3">
        <v>842</v>
      </c>
      <c r="AC359" s="192">
        <v>0</v>
      </c>
      <c r="AF359" s="193">
        <v>1.1111111111111112E-2</v>
      </c>
      <c r="AG359" s="193">
        <v>0.10347222222222222</v>
      </c>
      <c r="AH359" s="193">
        <v>0.3888888888888889</v>
      </c>
    </row>
    <row r="360" spans="1:34" x14ac:dyDescent="0.25">
      <c r="A360" s="3" t="s">
        <v>369</v>
      </c>
      <c r="B360" s="3">
        <v>135995</v>
      </c>
      <c r="C360" s="3">
        <v>942207</v>
      </c>
      <c r="D360" s="3" t="s">
        <v>3526</v>
      </c>
      <c r="E360" s="3">
        <v>7</v>
      </c>
      <c r="F360" s="3">
        <v>16</v>
      </c>
      <c r="G360" s="3">
        <v>6</v>
      </c>
      <c r="H360" s="55" t="s">
        <v>289</v>
      </c>
      <c r="I360" s="3" t="s">
        <v>279</v>
      </c>
      <c r="J360" s="135">
        <v>46210</v>
      </c>
      <c r="L360" s="3">
        <v>1830</v>
      </c>
      <c r="M360" s="3">
        <v>11818</v>
      </c>
      <c r="N360" s="3" t="s">
        <v>5312</v>
      </c>
      <c r="R360" s="3">
        <v>9</v>
      </c>
      <c r="S360" s="3" t="s">
        <v>968</v>
      </c>
      <c r="T360" s="3" t="s">
        <v>5316</v>
      </c>
      <c r="U360" s="3">
        <v>39</v>
      </c>
      <c r="V360" s="3">
        <v>349</v>
      </c>
      <c r="W360" s="3">
        <v>0</v>
      </c>
      <c r="X360" s="3">
        <v>316</v>
      </c>
      <c r="Y360" s="3">
        <v>0</v>
      </c>
      <c r="Z360" s="3">
        <v>0</v>
      </c>
      <c r="AA360" s="3">
        <v>316</v>
      </c>
      <c r="AB360" s="3">
        <v>1158</v>
      </c>
      <c r="AC360" s="192">
        <v>0</v>
      </c>
      <c r="AF360" s="193">
        <v>3.7499999999999999E-2</v>
      </c>
      <c r="AG360" s="193">
        <v>0.14097222222222222</v>
      </c>
      <c r="AH360" s="193">
        <v>0.42638888888888887</v>
      </c>
    </row>
    <row r="361" spans="1:34" x14ac:dyDescent="0.25">
      <c r="A361" s="3" t="s">
        <v>369</v>
      </c>
      <c r="B361" s="3">
        <v>135995</v>
      </c>
      <c r="C361" s="3">
        <v>942207</v>
      </c>
      <c r="D361" s="3" t="s">
        <v>3526</v>
      </c>
      <c r="E361" s="3">
        <v>7</v>
      </c>
      <c r="F361" s="3">
        <v>17</v>
      </c>
      <c r="G361" s="3">
        <v>7</v>
      </c>
      <c r="H361" s="55" t="s">
        <v>289</v>
      </c>
      <c r="I361" s="3" t="s">
        <v>279</v>
      </c>
      <c r="J361" s="135">
        <v>46210</v>
      </c>
      <c r="L361" s="3">
        <v>1830</v>
      </c>
      <c r="M361" s="3">
        <v>11818</v>
      </c>
      <c r="N361" s="3" t="s">
        <v>5312</v>
      </c>
      <c r="R361" s="3">
        <v>9</v>
      </c>
      <c r="S361" s="3" t="s">
        <v>968</v>
      </c>
      <c r="T361" s="3" t="s">
        <v>5316</v>
      </c>
      <c r="U361" s="3">
        <v>40</v>
      </c>
      <c r="V361" s="3">
        <v>349</v>
      </c>
      <c r="W361" s="3">
        <v>0</v>
      </c>
      <c r="X361" s="3">
        <v>370</v>
      </c>
      <c r="Y361" s="3">
        <v>0</v>
      </c>
      <c r="Z361" s="3">
        <v>0</v>
      </c>
      <c r="AA361" s="3">
        <v>370</v>
      </c>
      <c r="AB361" s="3">
        <v>1528</v>
      </c>
      <c r="AC361" s="192">
        <v>4.1666666666666664E-2</v>
      </c>
      <c r="AD361" s="3" t="s">
        <v>294</v>
      </c>
      <c r="AE361" s="3" t="s">
        <v>295</v>
      </c>
      <c r="AF361" s="193">
        <v>4.4444444444444446E-2</v>
      </c>
      <c r="AG361" s="193">
        <v>0.18541666666666667</v>
      </c>
      <c r="AH361" s="193">
        <v>0.51249999999999996</v>
      </c>
    </row>
    <row r="362" spans="1:34" x14ac:dyDescent="0.25">
      <c r="A362" s="3" t="s">
        <v>369</v>
      </c>
      <c r="B362" s="3">
        <v>135995</v>
      </c>
      <c r="C362" s="3">
        <v>942207</v>
      </c>
      <c r="D362" s="3" t="s">
        <v>3526</v>
      </c>
      <c r="E362" s="3">
        <v>7</v>
      </c>
      <c r="F362" s="3">
        <v>18</v>
      </c>
      <c r="G362" s="3">
        <v>8</v>
      </c>
      <c r="H362" s="55" t="s">
        <v>289</v>
      </c>
      <c r="I362" s="3" t="s">
        <v>279</v>
      </c>
      <c r="J362" s="135">
        <v>46210</v>
      </c>
      <c r="L362" s="3">
        <v>1830</v>
      </c>
      <c r="M362" s="3">
        <v>11818</v>
      </c>
      <c r="N362" s="3" t="s">
        <v>5312</v>
      </c>
      <c r="R362" s="3">
        <v>9</v>
      </c>
      <c r="S362" s="3" t="s">
        <v>968</v>
      </c>
      <c r="T362" s="3" t="s">
        <v>5316</v>
      </c>
      <c r="U362" s="3">
        <v>41</v>
      </c>
      <c r="V362" s="3">
        <v>349</v>
      </c>
      <c r="W362" s="3">
        <v>0</v>
      </c>
      <c r="X362" s="3">
        <v>460</v>
      </c>
      <c r="Y362" s="3">
        <v>0</v>
      </c>
      <c r="Z362" s="3">
        <v>0</v>
      </c>
      <c r="AA362" s="3">
        <v>460</v>
      </c>
      <c r="AB362" s="3">
        <v>1988</v>
      </c>
      <c r="AC362" s="192">
        <v>8.3333333333333332E-3</v>
      </c>
      <c r="AD362" s="3" t="s">
        <v>404</v>
      </c>
      <c r="AF362" s="193">
        <v>5.486111111111111E-2</v>
      </c>
      <c r="AG362" s="193">
        <v>0.24027777777777778</v>
      </c>
      <c r="AH362" s="193">
        <v>0.5756944444444444</v>
      </c>
    </row>
    <row r="363" spans="1:34" x14ac:dyDescent="0.25">
      <c r="A363" s="3" t="s">
        <v>369</v>
      </c>
      <c r="B363" s="3">
        <v>135995</v>
      </c>
      <c r="C363" s="3">
        <v>942207</v>
      </c>
      <c r="D363" s="3" t="s">
        <v>3526</v>
      </c>
      <c r="E363" s="3">
        <v>7</v>
      </c>
      <c r="F363" s="3">
        <v>19</v>
      </c>
      <c r="G363" s="3">
        <v>9</v>
      </c>
      <c r="H363" s="55" t="s">
        <v>289</v>
      </c>
      <c r="I363" s="3" t="s">
        <v>279</v>
      </c>
      <c r="J363" s="135">
        <v>46210</v>
      </c>
      <c r="L363" s="3">
        <v>1830</v>
      </c>
      <c r="M363" s="3">
        <v>11818</v>
      </c>
      <c r="N363" s="3" t="s">
        <v>5312</v>
      </c>
      <c r="R363" s="3">
        <v>9</v>
      </c>
      <c r="S363" s="3" t="s">
        <v>968</v>
      </c>
      <c r="T363" s="3" t="s">
        <v>5316</v>
      </c>
      <c r="U363" s="3">
        <v>42</v>
      </c>
      <c r="V363" s="3">
        <v>349</v>
      </c>
      <c r="W363" s="3">
        <v>0</v>
      </c>
      <c r="X363" s="3">
        <v>382</v>
      </c>
      <c r="Y363" s="3">
        <v>0</v>
      </c>
      <c r="Z363" s="3">
        <v>0</v>
      </c>
      <c r="AA363" s="3">
        <v>382</v>
      </c>
      <c r="AB363" s="3">
        <v>2370</v>
      </c>
      <c r="AC363" s="192">
        <v>0</v>
      </c>
      <c r="AF363" s="193">
        <v>4.583333333333333E-2</v>
      </c>
      <c r="AG363" s="193">
        <v>0.28541666666666665</v>
      </c>
      <c r="AH363" s="193">
        <v>0.62152777777777779</v>
      </c>
    </row>
    <row r="364" spans="1:34" x14ac:dyDescent="0.25">
      <c r="A364" s="3" t="s">
        <v>369</v>
      </c>
      <c r="B364" s="3">
        <v>132974</v>
      </c>
      <c r="C364" s="3">
        <v>942207</v>
      </c>
      <c r="D364" s="3" t="s">
        <v>3526</v>
      </c>
      <c r="E364" s="3">
        <v>7</v>
      </c>
      <c r="F364" s="3">
        <v>20</v>
      </c>
      <c r="G364" s="3">
        <v>7</v>
      </c>
      <c r="H364" s="55" t="s">
        <v>289</v>
      </c>
      <c r="I364" s="3" t="s">
        <v>279</v>
      </c>
      <c r="J364" s="135">
        <v>46180</v>
      </c>
      <c r="L364" s="3">
        <v>1830</v>
      </c>
      <c r="M364" s="3">
        <v>26790</v>
      </c>
      <c r="N364" s="3" t="s">
        <v>5317</v>
      </c>
      <c r="R364" s="3">
        <v>11</v>
      </c>
      <c r="S364" s="3" t="s">
        <v>4153</v>
      </c>
      <c r="T364" s="3" t="s">
        <v>5318</v>
      </c>
      <c r="U364" s="3" t="s">
        <v>290</v>
      </c>
      <c r="V364" s="3">
        <v>379</v>
      </c>
      <c r="W364" s="3">
        <v>0</v>
      </c>
      <c r="X364" s="3">
        <v>50</v>
      </c>
      <c r="Y364" s="3">
        <v>0</v>
      </c>
      <c r="Z364" s="3">
        <v>0</v>
      </c>
      <c r="AA364" s="3">
        <v>50</v>
      </c>
      <c r="AB364" s="3">
        <v>2420</v>
      </c>
      <c r="AC364" s="192">
        <v>0</v>
      </c>
      <c r="AF364" s="193">
        <v>5.5555555555555558E-3</v>
      </c>
      <c r="AG364" s="193">
        <v>0.29097222222222224</v>
      </c>
      <c r="AH364" s="193">
        <v>0.62708333333333333</v>
      </c>
    </row>
    <row r="365" spans="1:34" x14ac:dyDescent="0.25">
      <c r="A365" s="3" t="s">
        <v>369</v>
      </c>
      <c r="B365" s="3">
        <v>132974</v>
      </c>
      <c r="C365" s="3">
        <v>942207</v>
      </c>
      <c r="D365" s="3" t="s">
        <v>3526</v>
      </c>
      <c r="E365" s="3">
        <v>7</v>
      </c>
      <c r="F365" s="3">
        <v>21</v>
      </c>
      <c r="G365" s="3">
        <v>8</v>
      </c>
      <c r="H365" s="55" t="s">
        <v>289</v>
      </c>
      <c r="I365" s="3" t="s">
        <v>279</v>
      </c>
      <c r="J365" s="135">
        <v>46180</v>
      </c>
      <c r="L365" s="3">
        <v>1830</v>
      </c>
      <c r="M365" s="3">
        <v>26790</v>
      </c>
      <c r="N365" s="3" t="s">
        <v>5317</v>
      </c>
      <c r="R365" s="3">
        <v>11</v>
      </c>
      <c r="S365" s="3" t="s">
        <v>4153</v>
      </c>
      <c r="T365" s="3" t="s">
        <v>5318</v>
      </c>
      <c r="U365" s="3" t="s">
        <v>313</v>
      </c>
      <c r="V365" s="3">
        <v>379</v>
      </c>
      <c r="W365" s="3">
        <v>0</v>
      </c>
      <c r="X365" s="3">
        <v>134</v>
      </c>
      <c r="Y365" s="3">
        <v>0</v>
      </c>
      <c r="Z365" s="3">
        <v>0</v>
      </c>
      <c r="AA365" s="3">
        <v>134</v>
      </c>
      <c r="AB365" s="3">
        <v>2554</v>
      </c>
      <c r="AC365" s="192">
        <v>0</v>
      </c>
      <c r="AF365" s="193">
        <v>1.4583333333333334E-2</v>
      </c>
      <c r="AG365" s="193">
        <v>0.30555555555555558</v>
      </c>
      <c r="AH365" s="193">
        <v>0.64861111111111114</v>
      </c>
    </row>
    <row r="366" spans="1:34" x14ac:dyDescent="0.25">
      <c r="A366" s="3" t="s">
        <v>369</v>
      </c>
      <c r="B366" s="3">
        <v>132974</v>
      </c>
      <c r="C366" s="3">
        <v>942207</v>
      </c>
      <c r="D366" s="3" t="s">
        <v>3526</v>
      </c>
      <c r="E366" s="3">
        <v>7</v>
      </c>
      <c r="F366" s="3">
        <v>22</v>
      </c>
      <c r="G366" s="3">
        <v>9</v>
      </c>
      <c r="H366" s="55" t="s">
        <v>289</v>
      </c>
      <c r="I366" s="3" t="s">
        <v>279</v>
      </c>
      <c r="J366" s="135">
        <v>46180</v>
      </c>
      <c r="L366" s="3">
        <v>1830</v>
      </c>
      <c r="M366" s="3">
        <v>26790</v>
      </c>
      <c r="N366" s="3" t="s">
        <v>5317</v>
      </c>
      <c r="R366" s="3">
        <v>11</v>
      </c>
      <c r="S366" s="3" t="s">
        <v>4153</v>
      </c>
      <c r="T366" s="3" t="s">
        <v>5318</v>
      </c>
      <c r="U366" s="3" t="s">
        <v>5156</v>
      </c>
      <c r="V366" s="3">
        <v>379</v>
      </c>
      <c r="W366" s="3">
        <v>0</v>
      </c>
      <c r="X366" s="3">
        <v>186</v>
      </c>
      <c r="Y366" s="3">
        <v>0</v>
      </c>
      <c r="Z366" s="3">
        <v>0</v>
      </c>
      <c r="AA366" s="3">
        <v>186</v>
      </c>
      <c r="AB366" s="3">
        <v>2740</v>
      </c>
      <c r="AC366" s="192">
        <v>0</v>
      </c>
      <c r="AF366" s="193">
        <v>2.013888888888889E-2</v>
      </c>
      <c r="AG366" s="193">
        <v>0.3263888888888889</v>
      </c>
      <c r="AH366" s="193">
        <v>0.66874999999999996</v>
      </c>
    </row>
    <row r="367" spans="1:34" x14ac:dyDescent="0.25">
      <c r="A367" s="3" t="s">
        <v>369</v>
      </c>
      <c r="B367" s="3">
        <v>132974</v>
      </c>
      <c r="C367" s="3">
        <v>942207</v>
      </c>
      <c r="D367" s="3" t="s">
        <v>3526</v>
      </c>
      <c r="E367" s="3">
        <v>7</v>
      </c>
      <c r="F367" s="3">
        <v>23</v>
      </c>
      <c r="G367" s="3">
        <v>10</v>
      </c>
      <c r="H367" s="55" t="s">
        <v>289</v>
      </c>
      <c r="I367" s="3" t="s">
        <v>279</v>
      </c>
      <c r="J367" s="135">
        <v>46180</v>
      </c>
      <c r="L367" s="3">
        <v>1830</v>
      </c>
      <c r="M367" s="3">
        <v>26790</v>
      </c>
      <c r="N367" s="3" t="s">
        <v>5317</v>
      </c>
      <c r="R367" s="3">
        <v>11</v>
      </c>
      <c r="S367" s="3" t="s">
        <v>4153</v>
      </c>
      <c r="T367" s="3" t="s">
        <v>5318</v>
      </c>
      <c r="U367" s="3" t="s">
        <v>311</v>
      </c>
      <c r="V367" s="3">
        <v>379</v>
      </c>
      <c r="W367" s="3">
        <v>0</v>
      </c>
      <c r="X367" s="3">
        <v>232</v>
      </c>
      <c r="Y367" s="3">
        <v>0</v>
      </c>
      <c r="Z367" s="3">
        <v>0</v>
      </c>
      <c r="AA367" s="3">
        <v>232</v>
      </c>
      <c r="AB367" s="3">
        <v>2972</v>
      </c>
      <c r="AC367" s="192">
        <v>0</v>
      </c>
      <c r="AF367" s="193">
        <v>2.5694444444444443E-2</v>
      </c>
      <c r="AG367" s="193">
        <v>0.35208333333333336</v>
      </c>
      <c r="AH367" s="193">
        <v>0.69444444444444442</v>
      </c>
    </row>
    <row r="368" spans="1:34" x14ac:dyDescent="0.25">
      <c r="A368" s="3" t="s">
        <v>369</v>
      </c>
      <c r="B368" s="3">
        <v>132974</v>
      </c>
      <c r="C368" s="3">
        <v>942207</v>
      </c>
      <c r="D368" s="3" t="s">
        <v>3526</v>
      </c>
      <c r="E368" s="3">
        <v>7</v>
      </c>
      <c r="F368" s="3">
        <v>24</v>
      </c>
      <c r="G368" s="3">
        <v>11</v>
      </c>
      <c r="H368" s="55" t="s">
        <v>289</v>
      </c>
      <c r="I368" s="3" t="s">
        <v>279</v>
      </c>
      <c r="J368" s="135">
        <v>46180</v>
      </c>
      <c r="L368" s="3">
        <v>1830</v>
      </c>
      <c r="M368" s="3">
        <v>26790</v>
      </c>
      <c r="N368" s="3" t="s">
        <v>5317</v>
      </c>
      <c r="R368" s="3">
        <v>11</v>
      </c>
      <c r="S368" s="3" t="s">
        <v>4153</v>
      </c>
      <c r="T368" s="3" t="s">
        <v>5318</v>
      </c>
      <c r="U368" s="3" t="s">
        <v>304</v>
      </c>
      <c r="V368" s="3">
        <v>379</v>
      </c>
      <c r="W368" s="3">
        <v>0</v>
      </c>
      <c r="X368" s="3">
        <v>200</v>
      </c>
      <c r="Y368" s="3">
        <v>0</v>
      </c>
      <c r="Z368" s="3">
        <v>0</v>
      </c>
      <c r="AA368" s="3">
        <v>200</v>
      </c>
      <c r="AB368" s="3">
        <v>3172</v>
      </c>
      <c r="AC368" s="192">
        <v>0</v>
      </c>
      <c r="AF368" s="193">
        <v>2.2222222222222223E-2</v>
      </c>
      <c r="AG368" s="193">
        <v>0.37361111111111112</v>
      </c>
      <c r="AH368" s="193">
        <v>0.71666666666666667</v>
      </c>
    </row>
    <row r="369" spans="1:34" x14ac:dyDescent="0.25">
      <c r="A369" s="3" t="s">
        <v>369</v>
      </c>
      <c r="B369" s="3">
        <v>132976</v>
      </c>
      <c r="C369" s="3">
        <v>942207</v>
      </c>
      <c r="D369" s="3" t="s">
        <v>3526</v>
      </c>
      <c r="E369" s="3">
        <v>7</v>
      </c>
      <c r="F369" s="3">
        <v>25</v>
      </c>
      <c r="G369" s="3">
        <v>12</v>
      </c>
      <c r="H369" s="55" t="s">
        <v>289</v>
      </c>
      <c r="I369" s="3" t="s">
        <v>279</v>
      </c>
      <c r="J369" s="135">
        <v>46180</v>
      </c>
      <c r="L369" s="3">
        <v>1830</v>
      </c>
      <c r="M369" s="3">
        <v>26790</v>
      </c>
      <c r="N369" s="3" t="s">
        <v>5317</v>
      </c>
      <c r="R369" s="3">
        <v>11</v>
      </c>
      <c r="S369" s="3" t="s">
        <v>4154</v>
      </c>
      <c r="T369" s="3" t="s">
        <v>5409</v>
      </c>
      <c r="U369" s="3" t="s">
        <v>304</v>
      </c>
      <c r="V369" s="3">
        <v>379</v>
      </c>
      <c r="W369" s="3">
        <v>0</v>
      </c>
      <c r="X369" s="3">
        <v>732</v>
      </c>
      <c r="Y369" s="3">
        <v>0</v>
      </c>
      <c r="Z369" s="3">
        <v>0</v>
      </c>
      <c r="AA369" s="3">
        <v>732</v>
      </c>
      <c r="AB369" s="3">
        <v>3904</v>
      </c>
      <c r="AC369" s="192">
        <v>8.3333333333333332E-3</v>
      </c>
      <c r="AD369" s="3" t="s">
        <v>292</v>
      </c>
      <c r="AF369" s="193">
        <v>8.0555555555555561E-2</v>
      </c>
      <c r="AG369" s="193">
        <v>0.45416666666666666</v>
      </c>
      <c r="AH369" s="193">
        <v>0.80555555555555558</v>
      </c>
    </row>
    <row r="370" spans="1:34" x14ac:dyDescent="0.25">
      <c r="A370" s="3" t="s">
        <v>369</v>
      </c>
      <c r="B370" s="3">
        <v>132976</v>
      </c>
      <c r="C370" s="3">
        <v>942207</v>
      </c>
      <c r="D370" s="3" t="s">
        <v>3526</v>
      </c>
      <c r="E370" s="3">
        <v>7</v>
      </c>
      <c r="F370" s="3">
        <v>26</v>
      </c>
      <c r="G370" s="3">
        <v>8</v>
      </c>
      <c r="H370" s="55" t="s">
        <v>289</v>
      </c>
      <c r="I370" s="3" t="s">
        <v>279</v>
      </c>
      <c r="J370" s="135">
        <v>46180</v>
      </c>
      <c r="L370" s="3">
        <v>1830</v>
      </c>
      <c r="M370" s="3">
        <v>26790</v>
      </c>
      <c r="N370" s="3" t="s">
        <v>5317</v>
      </c>
      <c r="R370" s="3">
        <v>11</v>
      </c>
      <c r="S370" s="3" t="s">
        <v>4154</v>
      </c>
      <c r="T370" s="3" t="s">
        <v>5409</v>
      </c>
      <c r="U370" s="3" t="s">
        <v>290</v>
      </c>
      <c r="V370" s="3">
        <v>379</v>
      </c>
      <c r="W370" s="3">
        <v>0</v>
      </c>
      <c r="X370" s="3">
        <v>560</v>
      </c>
      <c r="Y370" s="3">
        <v>0</v>
      </c>
      <c r="Z370" s="3">
        <v>0</v>
      </c>
      <c r="AA370" s="3">
        <v>560</v>
      </c>
      <c r="AB370" s="3">
        <v>4464</v>
      </c>
      <c r="AC370" s="192">
        <v>4.1666666666666664E-2</v>
      </c>
      <c r="AD370" s="3" t="s">
        <v>294</v>
      </c>
      <c r="AE370" s="3" t="s">
        <v>295</v>
      </c>
      <c r="AF370" s="193">
        <v>6.1805555555555558E-2</v>
      </c>
      <c r="AG370" s="193">
        <v>0.51597222222222228</v>
      </c>
      <c r="AH370" s="193">
        <v>0.90902777777777777</v>
      </c>
    </row>
    <row r="371" spans="1:34" x14ac:dyDescent="0.25">
      <c r="A371" s="3" t="s">
        <v>369</v>
      </c>
      <c r="B371" s="3">
        <v>132976</v>
      </c>
      <c r="C371" s="3">
        <v>942207</v>
      </c>
      <c r="D371" s="3" t="s">
        <v>3526</v>
      </c>
      <c r="E371" s="3">
        <v>7</v>
      </c>
      <c r="F371" s="3">
        <v>27</v>
      </c>
      <c r="G371" s="3">
        <v>9</v>
      </c>
      <c r="H371" s="55" t="s">
        <v>289</v>
      </c>
      <c r="I371" s="3" t="s">
        <v>279</v>
      </c>
      <c r="J371" s="135">
        <v>46180</v>
      </c>
      <c r="L371" s="3">
        <v>1830</v>
      </c>
      <c r="M371" s="3">
        <v>26790</v>
      </c>
      <c r="N371" s="3" t="s">
        <v>5317</v>
      </c>
      <c r="R371" s="3">
        <v>11</v>
      </c>
      <c r="S371" s="3" t="s">
        <v>4154</v>
      </c>
      <c r="T371" s="3" t="s">
        <v>5409</v>
      </c>
      <c r="U371" s="3" t="s">
        <v>313</v>
      </c>
      <c r="V371" s="3">
        <v>379</v>
      </c>
      <c r="W371" s="3">
        <v>0</v>
      </c>
      <c r="X371" s="3">
        <v>650</v>
      </c>
      <c r="Y371" s="3">
        <v>0</v>
      </c>
      <c r="Z371" s="3">
        <v>0</v>
      </c>
      <c r="AA371" s="3">
        <v>650</v>
      </c>
      <c r="AB371" s="3">
        <v>5114</v>
      </c>
      <c r="AC371" s="192">
        <v>8.3333333333333332E-3</v>
      </c>
      <c r="AD371" s="3" t="s">
        <v>404</v>
      </c>
      <c r="AF371" s="193">
        <v>7.1527777777777773E-2</v>
      </c>
      <c r="AG371" s="193">
        <v>0.58750000000000002</v>
      </c>
      <c r="AH371" s="193">
        <v>0.98888888888888893</v>
      </c>
    </row>
    <row r="372" spans="1:34" x14ac:dyDescent="0.25">
      <c r="A372" s="3" t="s">
        <v>373</v>
      </c>
      <c r="B372" s="3">
        <v>133073</v>
      </c>
      <c r="C372" s="3">
        <v>941707</v>
      </c>
      <c r="D372" s="3" t="s">
        <v>3526</v>
      </c>
      <c r="E372" s="3">
        <v>6</v>
      </c>
      <c r="F372" s="3">
        <v>1</v>
      </c>
      <c r="G372" s="3">
        <v>4</v>
      </c>
      <c r="H372" s="55" t="s">
        <v>289</v>
      </c>
      <c r="I372" s="3" t="s">
        <v>279</v>
      </c>
      <c r="J372" s="135">
        <v>46210</v>
      </c>
      <c r="K372" s="3" t="s">
        <v>5291</v>
      </c>
      <c r="L372" s="3">
        <v>1830</v>
      </c>
      <c r="M372" s="3">
        <v>27518</v>
      </c>
      <c r="N372" s="3" t="s">
        <v>5190</v>
      </c>
      <c r="R372" s="3">
        <v>11</v>
      </c>
      <c r="S372" s="3" t="s">
        <v>371</v>
      </c>
      <c r="T372" s="3" t="s">
        <v>5192</v>
      </c>
      <c r="U372" s="3" t="s">
        <v>298</v>
      </c>
      <c r="V372" s="3">
        <v>348</v>
      </c>
      <c r="W372" s="3">
        <v>0</v>
      </c>
      <c r="X372" s="3">
        <v>306</v>
      </c>
      <c r="Y372" s="3">
        <v>288</v>
      </c>
      <c r="Z372" s="3">
        <v>0</v>
      </c>
      <c r="AA372" s="3">
        <v>18</v>
      </c>
      <c r="AB372" s="3">
        <v>18</v>
      </c>
      <c r="AC372" s="192">
        <v>0</v>
      </c>
      <c r="AF372" s="193">
        <v>2.0833333333333333E-3</v>
      </c>
      <c r="AG372" s="193">
        <v>2.0833333333333333E-3</v>
      </c>
      <c r="AH372" s="193">
        <v>0.27916666666666667</v>
      </c>
    </row>
    <row r="373" spans="1:34" x14ac:dyDescent="0.25">
      <c r="A373" s="3" t="s">
        <v>373</v>
      </c>
      <c r="B373" s="3">
        <v>133071</v>
      </c>
      <c r="C373" s="3">
        <v>941707</v>
      </c>
      <c r="D373" s="3" t="s">
        <v>3526</v>
      </c>
      <c r="E373" s="3">
        <v>6</v>
      </c>
      <c r="F373" s="3">
        <v>2</v>
      </c>
      <c r="G373" s="3">
        <v>6</v>
      </c>
      <c r="H373" s="55" t="s">
        <v>289</v>
      </c>
      <c r="I373" s="3" t="s">
        <v>279</v>
      </c>
      <c r="J373" s="135">
        <v>46210</v>
      </c>
      <c r="K373" s="3" t="s">
        <v>5291</v>
      </c>
      <c r="L373" s="3">
        <v>1830</v>
      </c>
      <c r="M373" s="3">
        <v>27518</v>
      </c>
      <c r="N373" s="3" t="s">
        <v>5190</v>
      </c>
      <c r="R373" s="3">
        <v>11</v>
      </c>
      <c r="S373" s="3" t="s">
        <v>372</v>
      </c>
      <c r="T373" s="3" t="s">
        <v>5137</v>
      </c>
      <c r="U373" s="3">
        <v>37</v>
      </c>
      <c r="V373" s="3">
        <v>348</v>
      </c>
      <c r="W373" s="3">
        <v>0</v>
      </c>
      <c r="X373" s="3">
        <v>108</v>
      </c>
      <c r="Y373" s="3">
        <v>68</v>
      </c>
      <c r="Z373" s="3">
        <v>0</v>
      </c>
      <c r="AA373" s="3">
        <v>40</v>
      </c>
      <c r="AB373" s="3">
        <v>58</v>
      </c>
      <c r="AC373" s="192">
        <v>0</v>
      </c>
      <c r="AF373" s="193">
        <v>4.8611111111111112E-3</v>
      </c>
      <c r="AG373" s="193">
        <v>6.9444444444444441E-3</v>
      </c>
      <c r="AH373" s="193">
        <v>0.28402777777777777</v>
      </c>
    </row>
    <row r="374" spans="1:34" x14ac:dyDescent="0.25">
      <c r="A374" s="3" t="s">
        <v>373</v>
      </c>
      <c r="B374" s="3">
        <v>133072</v>
      </c>
      <c r="C374" s="3">
        <v>941707</v>
      </c>
      <c r="D374" s="3" t="s">
        <v>3526</v>
      </c>
      <c r="E374" s="3">
        <v>6</v>
      </c>
      <c r="F374" s="3">
        <v>3</v>
      </c>
      <c r="G374" s="3">
        <v>4</v>
      </c>
      <c r="H374" s="55" t="s">
        <v>289</v>
      </c>
      <c r="I374" s="3" t="s">
        <v>279</v>
      </c>
      <c r="J374" s="135">
        <v>46210</v>
      </c>
      <c r="L374" s="3">
        <v>1830</v>
      </c>
      <c r="M374" s="3">
        <v>27518</v>
      </c>
      <c r="N374" s="3" t="s">
        <v>5190</v>
      </c>
      <c r="R374" s="3">
        <v>11</v>
      </c>
      <c r="S374" s="3" t="s">
        <v>370</v>
      </c>
      <c r="T374" s="3" t="s">
        <v>5191</v>
      </c>
      <c r="U374" s="3" t="s">
        <v>298</v>
      </c>
      <c r="V374" s="3">
        <v>348</v>
      </c>
      <c r="W374" s="3">
        <v>0</v>
      </c>
      <c r="X374" s="3">
        <v>180</v>
      </c>
      <c r="Y374" s="3">
        <v>0</v>
      </c>
      <c r="Z374" s="3">
        <v>0</v>
      </c>
      <c r="AA374" s="3">
        <v>180</v>
      </c>
      <c r="AB374" s="3">
        <v>238</v>
      </c>
      <c r="AC374" s="192">
        <v>0</v>
      </c>
      <c r="AF374" s="193">
        <v>2.1527777777777778E-2</v>
      </c>
      <c r="AG374" s="193">
        <v>2.8472222222222222E-2</v>
      </c>
      <c r="AH374" s="193">
        <v>0.30555555555555558</v>
      </c>
    </row>
    <row r="375" spans="1:34" x14ac:dyDescent="0.25">
      <c r="A375" s="3" t="s">
        <v>373</v>
      </c>
      <c r="B375" s="3">
        <v>133072</v>
      </c>
      <c r="C375" s="3">
        <v>941707</v>
      </c>
      <c r="D375" s="3" t="s">
        <v>3526</v>
      </c>
      <c r="E375" s="3">
        <v>6</v>
      </c>
      <c r="F375" s="3">
        <v>4</v>
      </c>
      <c r="G375" s="3">
        <v>5</v>
      </c>
      <c r="H375" s="55" t="s">
        <v>289</v>
      </c>
      <c r="I375" s="3" t="s">
        <v>279</v>
      </c>
      <c r="J375" s="135">
        <v>46210</v>
      </c>
      <c r="L375" s="3">
        <v>1830</v>
      </c>
      <c r="M375" s="3">
        <v>27518</v>
      </c>
      <c r="N375" s="3" t="s">
        <v>5190</v>
      </c>
      <c r="R375" s="3">
        <v>11</v>
      </c>
      <c r="S375" s="3" t="s">
        <v>370</v>
      </c>
      <c r="T375" s="3" t="s">
        <v>5191</v>
      </c>
      <c r="U375" s="3">
        <v>35</v>
      </c>
      <c r="V375" s="3">
        <v>348</v>
      </c>
      <c r="W375" s="3">
        <v>0</v>
      </c>
      <c r="X375" s="3">
        <v>800</v>
      </c>
      <c r="Y375" s="3">
        <v>0</v>
      </c>
      <c r="Z375" s="3">
        <v>0</v>
      </c>
      <c r="AA375" s="3">
        <v>800</v>
      </c>
      <c r="AB375" s="3">
        <v>1038</v>
      </c>
      <c r="AC375" s="192">
        <v>8.3333333333333332E-3</v>
      </c>
      <c r="AD375" s="3" t="s">
        <v>292</v>
      </c>
      <c r="AF375" s="193">
        <v>9.583333333333334E-2</v>
      </c>
      <c r="AG375" s="193">
        <v>0.12430555555555556</v>
      </c>
      <c r="AH375" s="193">
        <v>0.40972222222222221</v>
      </c>
    </row>
    <row r="376" spans="1:34" x14ac:dyDescent="0.25">
      <c r="A376" s="3" t="s">
        <v>373</v>
      </c>
      <c r="B376" s="3">
        <v>133072</v>
      </c>
      <c r="C376" s="3">
        <v>941707</v>
      </c>
      <c r="D376" s="3" t="s">
        <v>3526</v>
      </c>
      <c r="E376" s="3">
        <v>6</v>
      </c>
      <c r="F376" s="3">
        <v>5</v>
      </c>
      <c r="G376" s="3">
        <v>6</v>
      </c>
      <c r="H376" s="55" t="s">
        <v>289</v>
      </c>
      <c r="I376" s="3" t="s">
        <v>279</v>
      </c>
      <c r="J376" s="135">
        <v>46210</v>
      </c>
      <c r="K376" s="3" t="s">
        <v>5291</v>
      </c>
      <c r="L376" s="3">
        <v>1830</v>
      </c>
      <c r="M376" s="3">
        <v>27518</v>
      </c>
      <c r="N376" s="3" t="s">
        <v>5190</v>
      </c>
      <c r="R376" s="3">
        <v>11</v>
      </c>
      <c r="S376" s="3" t="s">
        <v>370</v>
      </c>
      <c r="T376" s="3" t="s">
        <v>5191</v>
      </c>
      <c r="U376" s="3">
        <v>36</v>
      </c>
      <c r="V376" s="3">
        <v>348</v>
      </c>
      <c r="W376" s="3">
        <v>0</v>
      </c>
      <c r="X376" s="3">
        <v>1212</v>
      </c>
      <c r="Y376" s="3">
        <v>984</v>
      </c>
      <c r="Z376" s="3">
        <v>0</v>
      </c>
      <c r="AA376" s="3">
        <v>228</v>
      </c>
      <c r="AB376" s="3">
        <v>1266</v>
      </c>
      <c r="AC376" s="192">
        <v>0</v>
      </c>
      <c r="AF376" s="193">
        <v>2.7083333333333334E-2</v>
      </c>
      <c r="AG376" s="193">
        <v>0.15138888888888888</v>
      </c>
      <c r="AH376" s="193">
        <v>0.43680555555555556</v>
      </c>
    </row>
    <row r="377" spans="1:34" x14ac:dyDescent="0.25">
      <c r="A377" s="3" t="s">
        <v>373</v>
      </c>
      <c r="B377" s="3">
        <v>133072</v>
      </c>
      <c r="C377" s="3">
        <v>941707</v>
      </c>
      <c r="D377" s="3" t="s">
        <v>3526</v>
      </c>
      <c r="E377" s="3">
        <v>6</v>
      </c>
      <c r="F377" s="3">
        <v>6</v>
      </c>
      <c r="G377" s="3">
        <v>7</v>
      </c>
      <c r="H377" s="55" t="s">
        <v>289</v>
      </c>
      <c r="I377" s="3" t="s">
        <v>279</v>
      </c>
      <c r="J377" s="135">
        <v>46210</v>
      </c>
      <c r="L377" s="3">
        <v>1830</v>
      </c>
      <c r="M377" s="3">
        <v>27518</v>
      </c>
      <c r="N377" s="3" t="s">
        <v>5190</v>
      </c>
      <c r="R377" s="3">
        <v>11</v>
      </c>
      <c r="S377" s="3" t="s">
        <v>370</v>
      </c>
      <c r="T377" s="3" t="s">
        <v>5191</v>
      </c>
      <c r="U377" s="3">
        <v>37</v>
      </c>
      <c r="V377" s="3">
        <v>348</v>
      </c>
      <c r="W377" s="3">
        <v>0</v>
      </c>
      <c r="X377" s="3">
        <v>1124</v>
      </c>
      <c r="Y377" s="3">
        <v>0</v>
      </c>
      <c r="Z377" s="3">
        <v>0</v>
      </c>
      <c r="AA377" s="3">
        <v>1124</v>
      </c>
      <c r="AB377" s="3">
        <v>2390</v>
      </c>
      <c r="AC377" s="192">
        <v>0.05</v>
      </c>
      <c r="AD377" s="3" t="s">
        <v>294</v>
      </c>
      <c r="AE377" s="3" t="s">
        <v>5292</v>
      </c>
      <c r="AF377" s="193">
        <v>0.13472222222222222</v>
      </c>
      <c r="AG377" s="193">
        <v>0.28611111111111109</v>
      </c>
      <c r="AH377" s="193">
        <v>0.62152777777777779</v>
      </c>
    </row>
    <row r="378" spans="1:34" x14ac:dyDescent="0.25">
      <c r="A378" s="3" t="s">
        <v>373</v>
      </c>
      <c r="B378" s="3">
        <v>133072</v>
      </c>
      <c r="C378" s="3">
        <v>941707</v>
      </c>
      <c r="D378" s="3" t="s">
        <v>3526</v>
      </c>
      <c r="E378" s="3">
        <v>6</v>
      </c>
      <c r="F378" s="3">
        <v>7</v>
      </c>
      <c r="G378" s="3">
        <v>9</v>
      </c>
      <c r="H378" s="55" t="s">
        <v>289</v>
      </c>
      <c r="I378" s="3" t="s">
        <v>279</v>
      </c>
      <c r="J378" s="135">
        <v>46210</v>
      </c>
      <c r="L378" s="3">
        <v>1830</v>
      </c>
      <c r="M378" s="3">
        <v>27518</v>
      </c>
      <c r="N378" s="3" t="s">
        <v>5190</v>
      </c>
      <c r="R378" s="3">
        <v>11</v>
      </c>
      <c r="S378" s="3" t="s">
        <v>370</v>
      </c>
      <c r="T378" s="3" t="s">
        <v>5191</v>
      </c>
      <c r="U378" s="3" t="s">
        <v>280</v>
      </c>
      <c r="V378" s="3">
        <v>348</v>
      </c>
      <c r="W378" s="3">
        <v>0</v>
      </c>
      <c r="X378" s="3">
        <v>350</v>
      </c>
      <c r="Y378" s="3">
        <v>0</v>
      </c>
      <c r="Z378" s="3">
        <v>0</v>
      </c>
      <c r="AA378" s="3">
        <v>350</v>
      </c>
      <c r="AB378" s="3">
        <v>2740</v>
      </c>
      <c r="AC378" s="192">
        <v>0</v>
      </c>
      <c r="AF378" s="193">
        <v>4.1666666666666664E-2</v>
      </c>
      <c r="AG378" s="193">
        <v>0.32777777777777778</v>
      </c>
      <c r="AH378" s="193">
        <v>0.67013888888888884</v>
      </c>
    </row>
    <row r="379" spans="1:34" x14ac:dyDescent="0.25">
      <c r="A379" s="3" t="s">
        <v>373</v>
      </c>
      <c r="B379" s="3">
        <v>133060</v>
      </c>
      <c r="C379" s="3">
        <v>941707</v>
      </c>
      <c r="D379" s="3" t="s">
        <v>3526</v>
      </c>
      <c r="E379" s="3">
        <v>6</v>
      </c>
      <c r="F379" s="3">
        <v>8</v>
      </c>
      <c r="G379" s="3">
        <v>6</v>
      </c>
      <c r="H379" s="55" t="s">
        <v>289</v>
      </c>
      <c r="I379" s="3" t="s">
        <v>279</v>
      </c>
      <c r="J379" s="135">
        <v>46210</v>
      </c>
      <c r="L379" s="3">
        <v>1830</v>
      </c>
      <c r="M379" s="3">
        <v>27509</v>
      </c>
      <c r="N379" s="3" t="s">
        <v>5411</v>
      </c>
      <c r="R379" s="3">
        <v>15</v>
      </c>
      <c r="S379" s="3" t="s">
        <v>5412</v>
      </c>
      <c r="T379" s="3" t="s">
        <v>5413</v>
      </c>
      <c r="U379" s="3" t="s">
        <v>280</v>
      </c>
      <c r="V379" s="3">
        <v>334</v>
      </c>
      <c r="W379" s="3">
        <v>0</v>
      </c>
      <c r="X379" s="3">
        <v>560</v>
      </c>
      <c r="Y379" s="3">
        <v>0</v>
      </c>
      <c r="Z379" s="3">
        <v>0</v>
      </c>
      <c r="AA379" s="3">
        <v>560</v>
      </c>
      <c r="AB379" s="3">
        <v>3300</v>
      </c>
      <c r="AC379" s="192">
        <v>0</v>
      </c>
      <c r="AF379" s="193">
        <v>7.013888888888889E-2</v>
      </c>
      <c r="AG379" s="193">
        <v>0.39791666666666664</v>
      </c>
      <c r="AH379" s="193">
        <v>0.74027777777777781</v>
      </c>
    </row>
    <row r="380" spans="1:34" x14ac:dyDescent="0.25">
      <c r="A380" s="3" t="s">
        <v>373</v>
      </c>
      <c r="B380" s="3">
        <v>133060</v>
      </c>
      <c r="C380" s="3">
        <v>941707</v>
      </c>
      <c r="D380" s="3" t="s">
        <v>3526</v>
      </c>
      <c r="E380" s="3">
        <v>6</v>
      </c>
      <c r="F380" s="3">
        <v>9</v>
      </c>
      <c r="G380" s="3">
        <v>7</v>
      </c>
      <c r="H380" s="55" t="s">
        <v>289</v>
      </c>
      <c r="I380" s="3" t="s">
        <v>279</v>
      </c>
      <c r="J380" s="135">
        <v>46210</v>
      </c>
      <c r="L380" s="3">
        <v>1830</v>
      </c>
      <c r="M380" s="3">
        <v>27509</v>
      </c>
      <c r="N380" s="3" t="s">
        <v>5411</v>
      </c>
      <c r="R380" s="3">
        <v>15</v>
      </c>
      <c r="S380" s="3" t="s">
        <v>5412</v>
      </c>
      <c r="T380" s="3" t="s">
        <v>5413</v>
      </c>
      <c r="U380" s="3">
        <v>41</v>
      </c>
      <c r="V380" s="3">
        <v>334</v>
      </c>
      <c r="W380" s="3">
        <v>0</v>
      </c>
      <c r="X380" s="3">
        <v>152</v>
      </c>
      <c r="Y380" s="3">
        <v>0</v>
      </c>
      <c r="Z380" s="3">
        <v>0</v>
      </c>
      <c r="AA380" s="3">
        <v>152</v>
      </c>
      <c r="AB380" s="3">
        <v>3452</v>
      </c>
      <c r="AC380" s="192">
        <v>0</v>
      </c>
      <c r="AF380" s="193">
        <v>1.8749999999999999E-2</v>
      </c>
      <c r="AG380" s="193">
        <v>0.41666666666666669</v>
      </c>
      <c r="AH380" s="193">
        <v>0.75902777777777775</v>
      </c>
    </row>
    <row r="381" spans="1:34" x14ac:dyDescent="0.25">
      <c r="A381" s="3" t="s">
        <v>373</v>
      </c>
      <c r="B381" s="3">
        <v>133060</v>
      </c>
      <c r="C381" s="3">
        <v>941707</v>
      </c>
      <c r="D381" s="3" t="s">
        <v>3526</v>
      </c>
      <c r="E381" s="3">
        <v>6</v>
      </c>
      <c r="F381" s="3">
        <v>10</v>
      </c>
      <c r="G381" s="3">
        <v>4</v>
      </c>
      <c r="H381" s="55" t="s">
        <v>289</v>
      </c>
      <c r="I381" s="3" t="s">
        <v>279</v>
      </c>
      <c r="J381" s="135">
        <v>46210</v>
      </c>
      <c r="L381" s="3">
        <v>1830</v>
      </c>
      <c r="M381" s="3">
        <v>27509</v>
      </c>
      <c r="N381" s="3" t="s">
        <v>5411</v>
      </c>
      <c r="R381" s="3">
        <v>15</v>
      </c>
      <c r="S381" s="3" t="s">
        <v>5412</v>
      </c>
      <c r="T381" s="3" t="s">
        <v>5413</v>
      </c>
      <c r="U381" s="3">
        <v>37</v>
      </c>
      <c r="V381" s="3">
        <v>334</v>
      </c>
      <c r="W381" s="3">
        <v>0</v>
      </c>
      <c r="X381" s="3">
        <v>344</v>
      </c>
      <c r="Y381" s="3">
        <v>0</v>
      </c>
      <c r="Z381" s="3">
        <v>0</v>
      </c>
      <c r="AA381" s="3">
        <v>344</v>
      </c>
      <c r="AB381" s="3">
        <v>3796</v>
      </c>
      <c r="AC381" s="192">
        <v>8.3333333333333332E-3</v>
      </c>
      <c r="AD381" s="3" t="s">
        <v>292</v>
      </c>
      <c r="AF381" s="193">
        <v>4.3055555555555555E-2</v>
      </c>
      <c r="AG381" s="193">
        <v>0.4597222222222222</v>
      </c>
      <c r="AH381" s="193">
        <v>0.81041666666666667</v>
      </c>
    </row>
    <row r="382" spans="1:34" x14ac:dyDescent="0.25">
      <c r="A382" s="3" t="s">
        <v>373</v>
      </c>
      <c r="B382" s="3">
        <v>133060</v>
      </c>
      <c r="C382" s="3">
        <v>941707</v>
      </c>
      <c r="D382" s="3" t="s">
        <v>3526</v>
      </c>
      <c r="E382" s="3">
        <v>6</v>
      </c>
      <c r="F382" s="3">
        <v>11</v>
      </c>
      <c r="G382" s="3">
        <v>5</v>
      </c>
      <c r="H382" s="55" t="s">
        <v>289</v>
      </c>
      <c r="I382" s="3" t="s">
        <v>279</v>
      </c>
      <c r="J382" s="135">
        <v>46210</v>
      </c>
      <c r="L382" s="3">
        <v>1830</v>
      </c>
      <c r="M382" s="3">
        <v>27509</v>
      </c>
      <c r="N382" s="3" t="s">
        <v>5411</v>
      </c>
      <c r="R382" s="3">
        <v>15</v>
      </c>
      <c r="S382" s="3" t="s">
        <v>5412</v>
      </c>
      <c r="T382" s="3" t="s">
        <v>5413</v>
      </c>
      <c r="U382" s="3">
        <v>38</v>
      </c>
      <c r="V382" s="3">
        <v>334</v>
      </c>
      <c r="W382" s="3">
        <v>0</v>
      </c>
      <c r="X382" s="3">
        <v>46</v>
      </c>
      <c r="Y382" s="3">
        <v>0</v>
      </c>
      <c r="Z382" s="3">
        <v>0</v>
      </c>
      <c r="AA382" s="3">
        <v>46</v>
      </c>
      <c r="AB382" s="3">
        <v>3842</v>
      </c>
      <c r="AC382" s="192">
        <v>4.1666666666666664E-2</v>
      </c>
      <c r="AD382" s="3" t="s">
        <v>294</v>
      </c>
      <c r="AE382" s="3" t="s">
        <v>295</v>
      </c>
      <c r="AF382" s="193">
        <v>5.5555555555555558E-3</v>
      </c>
      <c r="AG382" s="193">
        <v>0.46527777777777779</v>
      </c>
      <c r="AH382" s="193">
        <v>0.85763888888888884</v>
      </c>
    </row>
    <row r="383" spans="1:34" x14ac:dyDescent="0.25">
      <c r="A383" s="3" t="s">
        <v>373</v>
      </c>
      <c r="B383" s="3">
        <v>132561</v>
      </c>
      <c r="C383" s="3">
        <v>941707</v>
      </c>
      <c r="D383" s="3" t="s">
        <v>3526</v>
      </c>
      <c r="E383" s="3">
        <v>6</v>
      </c>
      <c r="F383" s="3">
        <v>12</v>
      </c>
      <c r="G383" s="3">
        <v>6</v>
      </c>
      <c r="H383" s="55" t="s">
        <v>289</v>
      </c>
      <c r="I383" s="3" t="s">
        <v>279</v>
      </c>
      <c r="J383" s="135">
        <v>46210</v>
      </c>
      <c r="L383" s="3">
        <v>1830</v>
      </c>
      <c r="M383" s="3">
        <v>12212</v>
      </c>
      <c r="N383" s="3" t="s">
        <v>5414</v>
      </c>
      <c r="R383" s="3">
        <v>8</v>
      </c>
      <c r="S383" s="3" t="s">
        <v>1196</v>
      </c>
      <c r="T383" s="3" t="s">
        <v>5193</v>
      </c>
      <c r="U383" s="3" t="s">
        <v>281</v>
      </c>
      <c r="V383" s="3">
        <v>318</v>
      </c>
      <c r="W383" s="3">
        <v>0</v>
      </c>
      <c r="X383" s="3">
        <v>122</v>
      </c>
      <c r="Y383" s="3">
        <v>0</v>
      </c>
      <c r="Z383" s="3">
        <v>0</v>
      </c>
      <c r="AA383" s="3">
        <v>122</v>
      </c>
      <c r="AB383" s="3">
        <v>3964</v>
      </c>
      <c r="AC383" s="192">
        <v>0</v>
      </c>
      <c r="AF383" s="193">
        <v>1.5972222222222221E-2</v>
      </c>
      <c r="AG383" s="193">
        <v>0.48125000000000001</v>
      </c>
      <c r="AH383" s="193">
        <v>0.87361111111111112</v>
      </c>
    </row>
    <row r="384" spans="1:34" x14ac:dyDescent="0.25">
      <c r="A384" s="3" t="s">
        <v>373</v>
      </c>
      <c r="B384" s="3">
        <v>132561</v>
      </c>
      <c r="C384" s="3">
        <v>941707</v>
      </c>
      <c r="D384" s="3" t="s">
        <v>3526</v>
      </c>
      <c r="E384" s="3">
        <v>6</v>
      </c>
      <c r="F384" s="3">
        <v>13</v>
      </c>
      <c r="G384" s="3">
        <v>4</v>
      </c>
      <c r="H384" s="55" t="s">
        <v>289</v>
      </c>
      <c r="I384" s="3" t="s">
        <v>279</v>
      </c>
      <c r="J384" s="135">
        <v>46210</v>
      </c>
      <c r="L384" s="3">
        <v>1830</v>
      </c>
      <c r="M384" s="3">
        <v>12212</v>
      </c>
      <c r="N384" s="3" t="s">
        <v>5414</v>
      </c>
      <c r="R384" s="3">
        <v>8</v>
      </c>
      <c r="S384" s="3" t="s">
        <v>1196</v>
      </c>
      <c r="T384" s="3" t="s">
        <v>5193</v>
      </c>
      <c r="U384" s="3" t="s">
        <v>284</v>
      </c>
      <c r="V384" s="3">
        <v>318</v>
      </c>
      <c r="W384" s="3">
        <v>0</v>
      </c>
      <c r="X384" s="3">
        <v>30</v>
      </c>
      <c r="Y384" s="3">
        <v>0</v>
      </c>
      <c r="Z384" s="3">
        <v>0</v>
      </c>
      <c r="AA384" s="3">
        <v>30</v>
      </c>
      <c r="AB384" s="3">
        <v>3994</v>
      </c>
      <c r="AC384" s="192">
        <v>0</v>
      </c>
      <c r="AF384" s="193">
        <v>4.1666666666666666E-3</v>
      </c>
      <c r="AG384" s="193">
        <v>0.48541666666666666</v>
      </c>
      <c r="AH384" s="193">
        <v>0.87777777777777777</v>
      </c>
    </row>
    <row r="385" spans="1:34" x14ac:dyDescent="0.25">
      <c r="A385" s="3" t="s">
        <v>373</v>
      </c>
      <c r="B385" s="3">
        <v>132561</v>
      </c>
      <c r="C385" s="3">
        <v>941707</v>
      </c>
      <c r="D385" s="3" t="s">
        <v>3526</v>
      </c>
      <c r="E385" s="3">
        <v>6</v>
      </c>
      <c r="F385" s="3">
        <v>14</v>
      </c>
      <c r="G385" s="3">
        <v>5</v>
      </c>
      <c r="H385" s="55" t="s">
        <v>289</v>
      </c>
      <c r="I385" s="3" t="s">
        <v>279</v>
      </c>
      <c r="J385" s="135">
        <v>46210</v>
      </c>
      <c r="L385" s="3">
        <v>1830</v>
      </c>
      <c r="M385" s="3">
        <v>12212</v>
      </c>
      <c r="N385" s="3" t="s">
        <v>5414</v>
      </c>
      <c r="R385" s="3">
        <v>8</v>
      </c>
      <c r="S385" s="3" t="s">
        <v>1196</v>
      </c>
      <c r="T385" s="3" t="s">
        <v>5193</v>
      </c>
      <c r="U385" s="3">
        <v>41</v>
      </c>
      <c r="V385" s="3">
        <v>318</v>
      </c>
      <c r="W385" s="3">
        <v>0</v>
      </c>
      <c r="X385" s="3">
        <v>220</v>
      </c>
      <c r="Y385" s="3">
        <v>0</v>
      </c>
      <c r="Z385" s="3">
        <v>0</v>
      </c>
      <c r="AA385" s="3">
        <v>220</v>
      </c>
      <c r="AB385" s="3">
        <v>4214</v>
      </c>
      <c r="AC385" s="192">
        <v>0</v>
      </c>
      <c r="AF385" s="193">
        <v>2.9166666666666667E-2</v>
      </c>
      <c r="AG385" s="193">
        <v>0.51458333333333328</v>
      </c>
      <c r="AH385" s="193">
        <v>0.90694444444444444</v>
      </c>
    </row>
    <row r="386" spans="1:34" x14ac:dyDescent="0.25">
      <c r="A386" s="3" t="s">
        <v>373</v>
      </c>
      <c r="B386" s="3">
        <v>132561</v>
      </c>
      <c r="C386" s="3">
        <v>941707</v>
      </c>
      <c r="D386" s="3" t="s">
        <v>3526</v>
      </c>
      <c r="E386" s="3">
        <v>6</v>
      </c>
      <c r="F386" s="3">
        <v>15</v>
      </c>
      <c r="G386" s="3">
        <v>7</v>
      </c>
      <c r="H386" s="55" t="s">
        <v>289</v>
      </c>
      <c r="I386" s="3" t="s">
        <v>279</v>
      </c>
      <c r="J386" s="135">
        <v>46210</v>
      </c>
      <c r="L386" s="3">
        <v>1830</v>
      </c>
      <c r="M386" s="3">
        <v>12212</v>
      </c>
      <c r="N386" s="3" t="s">
        <v>5414</v>
      </c>
      <c r="R386" s="3">
        <v>8</v>
      </c>
      <c r="S386" s="3" t="s">
        <v>1196</v>
      </c>
      <c r="T386" s="3" t="s">
        <v>5193</v>
      </c>
      <c r="U386" s="3">
        <v>45</v>
      </c>
      <c r="V386" s="3">
        <v>318</v>
      </c>
      <c r="W386" s="3">
        <v>0</v>
      </c>
      <c r="X386" s="3">
        <v>32</v>
      </c>
      <c r="Y386" s="3">
        <v>0</v>
      </c>
      <c r="Z386" s="3">
        <v>0</v>
      </c>
      <c r="AA386" s="3">
        <v>32</v>
      </c>
      <c r="AB386" s="3">
        <v>4246</v>
      </c>
      <c r="AC386" s="192">
        <v>0</v>
      </c>
      <c r="AF386" s="193">
        <v>4.1666666666666666E-3</v>
      </c>
      <c r="AG386" s="193">
        <v>0.51875000000000004</v>
      </c>
      <c r="AH386" s="193">
        <v>0.91111111111111109</v>
      </c>
    </row>
    <row r="387" spans="1:34" x14ac:dyDescent="0.25">
      <c r="A387" s="3" t="s">
        <v>373</v>
      </c>
      <c r="B387" s="3">
        <v>133054</v>
      </c>
      <c r="C387" s="3">
        <v>941707</v>
      </c>
      <c r="D387" s="3" t="s">
        <v>3526</v>
      </c>
      <c r="E387" s="3">
        <v>6</v>
      </c>
      <c r="F387" s="3">
        <v>16</v>
      </c>
      <c r="G387" s="3">
        <v>4</v>
      </c>
      <c r="H387" s="55" t="s">
        <v>289</v>
      </c>
      <c r="I387" s="3" t="s">
        <v>279</v>
      </c>
      <c r="J387" s="135">
        <v>46210</v>
      </c>
      <c r="L387" s="3">
        <v>1830</v>
      </c>
      <c r="M387" s="3">
        <v>12212</v>
      </c>
      <c r="N387" s="3" t="s">
        <v>5414</v>
      </c>
      <c r="R387" s="3">
        <v>9</v>
      </c>
      <c r="S387" s="3" t="s">
        <v>1205</v>
      </c>
      <c r="T387" s="3" t="s">
        <v>5415</v>
      </c>
      <c r="U387" s="3">
        <v>42</v>
      </c>
      <c r="V387" s="3">
        <v>273</v>
      </c>
      <c r="W387" s="3">
        <v>0</v>
      </c>
      <c r="X387" s="3">
        <v>112</v>
      </c>
      <c r="Y387" s="3">
        <v>0</v>
      </c>
      <c r="Z387" s="3">
        <v>0</v>
      </c>
      <c r="AA387" s="3">
        <v>112</v>
      </c>
      <c r="AB387" s="3">
        <v>4358</v>
      </c>
      <c r="AC387" s="192">
        <v>0</v>
      </c>
      <c r="AF387" s="193">
        <v>1.7361111111111112E-2</v>
      </c>
      <c r="AG387" s="193">
        <v>0.53541666666666665</v>
      </c>
      <c r="AH387" s="193">
        <v>0.92847222222222225</v>
      </c>
    </row>
    <row r="388" spans="1:34" x14ac:dyDescent="0.25">
      <c r="A388" s="3" t="s">
        <v>373</v>
      </c>
      <c r="B388" s="3">
        <v>133054</v>
      </c>
      <c r="C388" s="3">
        <v>941707</v>
      </c>
      <c r="D388" s="3" t="s">
        <v>3526</v>
      </c>
      <c r="E388" s="3">
        <v>6</v>
      </c>
      <c r="F388" s="3">
        <v>17</v>
      </c>
      <c r="G388" s="3">
        <v>3</v>
      </c>
      <c r="H388" s="55" t="s">
        <v>289</v>
      </c>
      <c r="I388" s="3" t="s">
        <v>279</v>
      </c>
      <c r="J388" s="135">
        <v>46210</v>
      </c>
      <c r="L388" s="3">
        <v>1830</v>
      </c>
      <c r="M388" s="3">
        <v>12212</v>
      </c>
      <c r="N388" s="3" t="s">
        <v>5414</v>
      </c>
      <c r="R388" s="3">
        <v>9</v>
      </c>
      <c r="S388" s="3" t="s">
        <v>1205</v>
      </c>
      <c r="T388" s="3" t="s">
        <v>5415</v>
      </c>
      <c r="U388" s="3">
        <v>41</v>
      </c>
      <c r="V388" s="3">
        <v>273</v>
      </c>
      <c r="W388" s="3">
        <v>0</v>
      </c>
      <c r="X388" s="3">
        <v>44</v>
      </c>
      <c r="Y388" s="3">
        <v>0</v>
      </c>
      <c r="Z388" s="3">
        <v>0</v>
      </c>
      <c r="AA388" s="3">
        <v>44</v>
      </c>
      <c r="AB388" s="3">
        <v>4402</v>
      </c>
      <c r="AC388" s="192">
        <v>0</v>
      </c>
      <c r="AF388" s="193">
        <v>6.9444444444444441E-3</v>
      </c>
      <c r="AG388" s="193">
        <v>0.54236111111111107</v>
      </c>
      <c r="AH388" s="193">
        <v>0.93541666666666667</v>
      </c>
    </row>
    <row r="389" spans="1:34" x14ac:dyDescent="0.25">
      <c r="A389" s="3" t="s">
        <v>373</v>
      </c>
      <c r="B389" s="3">
        <v>133054</v>
      </c>
      <c r="C389" s="3">
        <v>941707</v>
      </c>
      <c r="D389" s="3" t="s">
        <v>3526</v>
      </c>
      <c r="E389" s="3">
        <v>6</v>
      </c>
      <c r="F389" s="3">
        <v>18</v>
      </c>
      <c r="G389" s="3">
        <v>5</v>
      </c>
      <c r="H389" s="55" t="s">
        <v>289</v>
      </c>
      <c r="I389" s="3" t="s">
        <v>279</v>
      </c>
      <c r="J389" s="135">
        <v>46210</v>
      </c>
      <c r="L389" s="3">
        <v>1830</v>
      </c>
      <c r="M389" s="3">
        <v>12212</v>
      </c>
      <c r="N389" s="3" t="s">
        <v>5414</v>
      </c>
      <c r="R389" s="3">
        <v>9</v>
      </c>
      <c r="S389" s="3" t="s">
        <v>1205</v>
      </c>
      <c r="T389" s="3" t="s">
        <v>5415</v>
      </c>
      <c r="U389" s="3" t="s">
        <v>281</v>
      </c>
      <c r="V389" s="3">
        <v>273</v>
      </c>
      <c r="W389" s="3">
        <v>0</v>
      </c>
      <c r="X389" s="3">
        <v>60</v>
      </c>
      <c r="Y389" s="3">
        <v>0</v>
      </c>
      <c r="Z389" s="3">
        <v>0</v>
      </c>
      <c r="AA389" s="3">
        <v>60</v>
      </c>
      <c r="AB389" s="3">
        <v>4462</v>
      </c>
      <c r="AC389" s="192">
        <v>0</v>
      </c>
      <c r="AF389" s="193">
        <v>9.0277777777777769E-3</v>
      </c>
      <c r="AG389" s="193">
        <v>0.55138888888888893</v>
      </c>
      <c r="AH389" s="193">
        <v>0.94444444444444442</v>
      </c>
    </row>
    <row r="390" spans="1:34" x14ac:dyDescent="0.25">
      <c r="A390" s="3" t="s">
        <v>373</v>
      </c>
      <c r="B390" s="3">
        <v>132550</v>
      </c>
      <c r="C390" s="3">
        <v>941707</v>
      </c>
      <c r="D390" s="3" t="s">
        <v>3526</v>
      </c>
      <c r="E390" s="3">
        <v>6</v>
      </c>
      <c r="F390" s="3">
        <v>19</v>
      </c>
      <c r="G390" s="3">
        <v>3</v>
      </c>
      <c r="H390" s="55" t="s">
        <v>289</v>
      </c>
      <c r="I390" s="3" t="s">
        <v>279</v>
      </c>
      <c r="J390" s="135">
        <v>46210</v>
      </c>
      <c r="L390" s="3">
        <v>1830</v>
      </c>
      <c r="M390" s="3">
        <v>12212</v>
      </c>
      <c r="N390" s="3" t="s">
        <v>5414</v>
      </c>
      <c r="R390" s="3">
        <v>10</v>
      </c>
      <c r="S390" s="3" t="s">
        <v>1184</v>
      </c>
      <c r="T390" s="3" t="s">
        <v>5161</v>
      </c>
      <c r="U390" s="3">
        <v>41</v>
      </c>
      <c r="V390" s="3">
        <v>323</v>
      </c>
      <c r="W390" s="3">
        <v>0</v>
      </c>
      <c r="X390" s="3">
        <v>130</v>
      </c>
      <c r="Y390" s="3">
        <v>0</v>
      </c>
      <c r="Z390" s="3">
        <v>0</v>
      </c>
      <c r="AA390" s="3">
        <v>130</v>
      </c>
      <c r="AB390" s="3">
        <v>4592</v>
      </c>
      <c r="AC390" s="192">
        <v>0</v>
      </c>
      <c r="AF390" s="193">
        <v>1.6666666666666666E-2</v>
      </c>
      <c r="AG390" s="193">
        <v>0.56805555555555554</v>
      </c>
      <c r="AH390" s="193">
        <v>0.96111111111111114</v>
      </c>
    </row>
    <row r="391" spans="1:34" x14ac:dyDescent="0.25">
      <c r="A391" s="3" t="s">
        <v>373</v>
      </c>
      <c r="B391" s="3">
        <v>132601</v>
      </c>
      <c r="C391" s="3">
        <v>941707</v>
      </c>
      <c r="D391" s="3" t="s">
        <v>3526</v>
      </c>
      <c r="E391" s="3">
        <v>6</v>
      </c>
      <c r="F391" s="3">
        <v>20</v>
      </c>
      <c r="G391" s="3">
        <v>3</v>
      </c>
      <c r="H391" s="55" t="s">
        <v>289</v>
      </c>
      <c r="I391" s="3" t="s">
        <v>279</v>
      </c>
      <c r="J391" s="135">
        <v>46210</v>
      </c>
      <c r="L391" s="3">
        <v>1830</v>
      </c>
      <c r="M391" s="3">
        <v>12212</v>
      </c>
      <c r="N391" s="3" t="s">
        <v>5414</v>
      </c>
      <c r="R391" s="3">
        <v>9</v>
      </c>
      <c r="S391" s="3" t="s">
        <v>1204</v>
      </c>
      <c r="T391" s="3" t="s">
        <v>5416</v>
      </c>
      <c r="U391" s="3">
        <v>41</v>
      </c>
      <c r="V391" s="3">
        <v>273</v>
      </c>
      <c r="W391" s="3">
        <v>0</v>
      </c>
      <c r="X391" s="3">
        <v>110</v>
      </c>
      <c r="Y391" s="3">
        <v>0</v>
      </c>
      <c r="Z391" s="3">
        <v>0</v>
      </c>
      <c r="AA391" s="3">
        <v>110</v>
      </c>
      <c r="AB391" s="3">
        <v>4702</v>
      </c>
      <c r="AC391" s="192">
        <v>0</v>
      </c>
      <c r="AF391" s="193">
        <v>1.6666666666666666E-2</v>
      </c>
      <c r="AG391" s="193">
        <v>0.58472222222222225</v>
      </c>
      <c r="AH391" s="193">
        <v>0.97777777777777775</v>
      </c>
    </row>
    <row r="392" spans="1:34" x14ac:dyDescent="0.25">
      <c r="A392" s="3" t="s">
        <v>375</v>
      </c>
      <c r="B392" s="3">
        <v>132981</v>
      </c>
      <c r="C392" s="3">
        <v>941707</v>
      </c>
      <c r="D392" s="3" t="s">
        <v>3526</v>
      </c>
      <c r="E392" s="3">
        <v>6</v>
      </c>
      <c r="F392" s="3">
        <v>1</v>
      </c>
      <c r="G392" s="3">
        <v>6</v>
      </c>
      <c r="H392" s="55" t="s">
        <v>289</v>
      </c>
      <c r="I392" s="3" t="s">
        <v>279</v>
      </c>
      <c r="J392" s="135">
        <v>46180</v>
      </c>
      <c r="K392" s="3" t="s">
        <v>5291</v>
      </c>
      <c r="L392" s="3">
        <v>1820</v>
      </c>
      <c r="M392" s="3">
        <v>26791</v>
      </c>
      <c r="N392" s="3" t="s">
        <v>5317</v>
      </c>
      <c r="R392" s="3">
        <v>12</v>
      </c>
      <c r="S392" s="3" t="s">
        <v>5319</v>
      </c>
      <c r="T392" s="3" t="s">
        <v>5194</v>
      </c>
      <c r="U392" s="3" t="s">
        <v>355</v>
      </c>
      <c r="V392" s="3">
        <v>434</v>
      </c>
      <c r="W392" s="3">
        <v>0</v>
      </c>
      <c r="X392" s="3">
        <v>1652</v>
      </c>
      <c r="Y392" s="3">
        <v>1584</v>
      </c>
      <c r="Z392" s="3">
        <v>0</v>
      </c>
      <c r="AA392" s="3">
        <v>68</v>
      </c>
      <c r="AB392" s="3">
        <v>68</v>
      </c>
      <c r="AC392" s="192">
        <v>0</v>
      </c>
      <c r="AF392" s="193">
        <v>6.2500000000000003E-3</v>
      </c>
      <c r="AG392" s="193">
        <v>6.2500000000000003E-3</v>
      </c>
      <c r="AH392" s="193">
        <v>0.28333333333333333</v>
      </c>
    </row>
    <row r="393" spans="1:34" x14ac:dyDescent="0.25">
      <c r="A393" s="3" t="s">
        <v>375</v>
      </c>
      <c r="B393" s="3">
        <v>132981</v>
      </c>
      <c r="C393" s="3">
        <v>941707</v>
      </c>
      <c r="D393" s="3" t="s">
        <v>3526</v>
      </c>
      <c r="E393" s="3">
        <v>6</v>
      </c>
      <c r="F393" s="3">
        <v>2</v>
      </c>
      <c r="G393" s="3">
        <v>8</v>
      </c>
      <c r="H393" s="55" t="s">
        <v>289</v>
      </c>
      <c r="I393" s="3" t="s">
        <v>279</v>
      </c>
      <c r="J393" s="135">
        <v>46180</v>
      </c>
      <c r="L393" s="3">
        <v>1820</v>
      </c>
      <c r="M393" s="3">
        <v>26791</v>
      </c>
      <c r="N393" s="3" t="s">
        <v>5317</v>
      </c>
      <c r="R393" s="3">
        <v>12</v>
      </c>
      <c r="S393" s="3" t="s">
        <v>5319</v>
      </c>
      <c r="T393" s="3" t="s">
        <v>5194</v>
      </c>
      <c r="U393" s="3" t="s">
        <v>290</v>
      </c>
      <c r="V393" s="3">
        <v>434</v>
      </c>
      <c r="W393" s="3">
        <v>0</v>
      </c>
      <c r="X393" s="3">
        <v>1500</v>
      </c>
      <c r="Y393" s="3">
        <v>0</v>
      </c>
      <c r="Z393" s="3">
        <v>0</v>
      </c>
      <c r="AA393" s="3">
        <v>1500</v>
      </c>
      <c r="AB393" s="3">
        <v>1568</v>
      </c>
      <c r="AC393" s="192">
        <v>8.3333333333333332E-3</v>
      </c>
      <c r="AD393" s="3" t="s">
        <v>292</v>
      </c>
      <c r="AF393" s="193">
        <v>0.14374999999999999</v>
      </c>
      <c r="AG393" s="193">
        <v>0.15069444444444444</v>
      </c>
      <c r="AH393" s="193">
        <v>0.43541666666666667</v>
      </c>
    </row>
    <row r="394" spans="1:34" x14ac:dyDescent="0.25">
      <c r="A394" s="3" t="s">
        <v>375</v>
      </c>
      <c r="B394" s="3">
        <v>132983</v>
      </c>
      <c r="C394" s="3">
        <v>941707</v>
      </c>
      <c r="D394" s="3" t="s">
        <v>3526</v>
      </c>
      <c r="E394" s="3">
        <v>6</v>
      </c>
      <c r="F394" s="3">
        <v>3</v>
      </c>
      <c r="G394" s="3">
        <v>7</v>
      </c>
      <c r="H394" s="55" t="s">
        <v>289</v>
      </c>
      <c r="I394" s="3" t="s">
        <v>279</v>
      </c>
      <c r="J394" s="135">
        <v>46180</v>
      </c>
      <c r="L394" s="3">
        <v>1820</v>
      </c>
      <c r="M394" s="3">
        <v>26791</v>
      </c>
      <c r="N394" s="3" t="s">
        <v>5317</v>
      </c>
      <c r="R394" s="3">
        <v>12</v>
      </c>
      <c r="S394" s="3" t="s">
        <v>5417</v>
      </c>
      <c r="T394" s="3" t="s">
        <v>5418</v>
      </c>
      <c r="U394" s="3">
        <v>22</v>
      </c>
      <c r="V394" s="3">
        <v>434</v>
      </c>
      <c r="W394" s="3">
        <v>0</v>
      </c>
      <c r="X394" s="3">
        <v>290</v>
      </c>
      <c r="Y394" s="3">
        <v>0</v>
      </c>
      <c r="Z394" s="3">
        <v>0</v>
      </c>
      <c r="AA394" s="3">
        <v>290</v>
      </c>
      <c r="AB394" s="3">
        <v>1858</v>
      </c>
      <c r="AC394" s="192">
        <v>4.1666666666666664E-2</v>
      </c>
      <c r="AD394" s="3" t="s">
        <v>294</v>
      </c>
      <c r="AE394" s="3" t="s">
        <v>295</v>
      </c>
      <c r="AF394" s="193">
        <v>2.7777777777777776E-2</v>
      </c>
      <c r="AG394" s="193">
        <v>0.17847222222222223</v>
      </c>
      <c r="AH394" s="193">
        <v>0.50486111111111109</v>
      </c>
    </row>
    <row r="395" spans="1:34" x14ac:dyDescent="0.25">
      <c r="A395" s="3" t="s">
        <v>375</v>
      </c>
      <c r="B395" s="3">
        <v>132983</v>
      </c>
      <c r="C395" s="3">
        <v>941707</v>
      </c>
      <c r="D395" s="3" t="s">
        <v>3526</v>
      </c>
      <c r="E395" s="3">
        <v>6</v>
      </c>
      <c r="F395" s="3">
        <v>4</v>
      </c>
      <c r="G395" s="3">
        <v>8</v>
      </c>
      <c r="H395" s="55" t="s">
        <v>289</v>
      </c>
      <c r="I395" s="3" t="s">
        <v>279</v>
      </c>
      <c r="J395" s="135">
        <v>46180</v>
      </c>
      <c r="L395" s="3">
        <v>1820</v>
      </c>
      <c r="M395" s="3">
        <v>26791</v>
      </c>
      <c r="N395" s="3" t="s">
        <v>5317</v>
      </c>
      <c r="R395" s="3">
        <v>12</v>
      </c>
      <c r="S395" s="3" t="s">
        <v>5417</v>
      </c>
      <c r="T395" s="3" t="s">
        <v>5418</v>
      </c>
      <c r="U395" s="3" t="s">
        <v>290</v>
      </c>
      <c r="V395" s="3">
        <v>434</v>
      </c>
      <c r="W395" s="3">
        <v>0</v>
      </c>
      <c r="X395" s="3">
        <v>292</v>
      </c>
      <c r="Y395" s="3">
        <v>0</v>
      </c>
      <c r="Z395" s="3">
        <v>0</v>
      </c>
      <c r="AA395" s="3">
        <v>292</v>
      </c>
      <c r="AB395" s="3">
        <v>2150</v>
      </c>
      <c r="AC395" s="192">
        <v>0</v>
      </c>
      <c r="AF395" s="193">
        <v>2.7777777777777776E-2</v>
      </c>
      <c r="AG395" s="193">
        <v>0.20624999999999999</v>
      </c>
      <c r="AH395" s="193">
        <v>0.53263888888888888</v>
      </c>
    </row>
    <row r="396" spans="1:34" x14ac:dyDescent="0.25">
      <c r="A396" s="3" t="s">
        <v>375</v>
      </c>
      <c r="B396" s="3">
        <v>132983</v>
      </c>
      <c r="C396" s="3">
        <v>941707</v>
      </c>
      <c r="D396" s="3" t="s">
        <v>3526</v>
      </c>
      <c r="E396" s="3">
        <v>6</v>
      </c>
      <c r="F396" s="3">
        <v>5</v>
      </c>
      <c r="G396" s="3">
        <v>6</v>
      </c>
      <c r="H396" s="55" t="s">
        <v>289</v>
      </c>
      <c r="I396" s="3" t="s">
        <v>279</v>
      </c>
      <c r="J396" s="135">
        <v>46180</v>
      </c>
      <c r="L396" s="3">
        <v>1820</v>
      </c>
      <c r="M396" s="3">
        <v>26791</v>
      </c>
      <c r="N396" s="3" t="s">
        <v>5317</v>
      </c>
      <c r="R396" s="3">
        <v>12</v>
      </c>
      <c r="S396" s="3" t="s">
        <v>5417</v>
      </c>
      <c r="T396" s="3" t="s">
        <v>5418</v>
      </c>
      <c r="U396" s="3" t="s">
        <v>355</v>
      </c>
      <c r="V396" s="3">
        <v>434</v>
      </c>
      <c r="W396" s="3">
        <v>0</v>
      </c>
      <c r="X396" s="3">
        <v>274</v>
      </c>
      <c r="Y396" s="3">
        <v>0</v>
      </c>
      <c r="Z396" s="3">
        <v>0</v>
      </c>
      <c r="AA396" s="3">
        <v>274</v>
      </c>
      <c r="AB396" s="3">
        <v>2424</v>
      </c>
      <c r="AC396" s="192">
        <v>0</v>
      </c>
      <c r="AF396" s="193">
        <v>2.6388888888888889E-2</v>
      </c>
      <c r="AG396" s="193">
        <v>0.2326388888888889</v>
      </c>
      <c r="AH396" s="193">
        <v>0.55902777777777779</v>
      </c>
    </row>
    <row r="397" spans="1:34" x14ac:dyDescent="0.25">
      <c r="A397" s="3" t="s">
        <v>375</v>
      </c>
      <c r="B397" s="3">
        <v>132983</v>
      </c>
      <c r="C397" s="3">
        <v>941707</v>
      </c>
      <c r="D397" s="3" t="s">
        <v>3526</v>
      </c>
      <c r="E397" s="3">
        <v>6</v>
      </c>
      <c r="F397" s="3">
        <v>6</v>
      </c>
      <c r="G397" s="3">
        <v>5</v>
      </c>
      <c r="H397" s="55" t="s">
        <v>289</v>
      </c>
      <c r="I397" s="3" t="s">
        <v>279</v>
      </c>
      <c r="J397" s="135">
        <v>46180</v>
      </c>
      <c r="L397" s="3">
        <v>1820</v>
      </c>
      <c r="M397" s="3">
        <v>26791</v>
      </c>
      <c r="N397" s="3" t="s">
        <v>5317</v>
      </c>
      <c r="R397" s="3">
        <v>12</v>
      </c>
      <c r="S397" s="3" t="s">
        <v>5417</v>
      </c>
      <c r="T397" s="3" t="s">
        <v>5418</v>
      </c>
      <c r="U397" s="3">
        <v>19</v>
      </c>
      <c r="V397" s="3">
        <v>434</v>
      </c>
      <c r="W397" s="3">
        <v>0</v>
      </c>
      <c r="X397" s="3">
        <v>192</v>
      </c>
      <c r="Y397" s="3">
        <v>0</v>
      </c>
      <c r="Z397" s="3">
        <v>0</v>
      </c>
      <c r="AA397" s="3">
        <v>192</v>
      </c>
      <c r="AB397" s="3">
        <v>2616</v>
      </c>
      <c r="AC397" s="192">
        <v>8.3333333333333332E-3</v>
      </c>
      <c r="AD397" s="3" t="s">
        <v>404</v>
      </c>
      <c r="AF397" s="193">
        <v>1.8749999999999999E-2</v>
      </c>
      <c r="AG397" s="193">
        <v>0.25138888888888888</v>
      </c>
      <c r="AH397" s="193">
        <v>0.58611111111111114</v>
      </c>
    </row>
    <row r="398" spans="1:34" x14ac:dyDescent="0.25">
      <c r="A398" s="3" t="s">
        <v>375</v>
      </c>
      <c r="B398" s="3">
        <v>132983</v>
      </c>
      <c r="C398" s="3">
        <v>941707</v>
      </c>
      <c r="D398" s="3" t="s">
        <v>3526</v>
      </c>
      <c r="E398" s="3">
        <v>6</v>
      </c>
      <c r="F398" s="3">
        <v>7</v>
      </c>
      <c r="G398" s="3">
        <v>4</v>
      </c>
      <c r="H398" s="55" t="s">
        <v>289</v>
      </c>
      <c r="I398" s="3" t="s">
        <v>279</v>
      </c>
      <c r="J398" s="135">
        <v>46180</v>
      </c>
      <c r="L398" s="3">
        <v>1820</v>
      </c>
      <c r="M398" s="3">
        <v>26791</v>
      </c>
      <c r="N398" s="3" t="s">
        <v>5317</v>
      </c>
      <c r="R398" s="3">
        <v>12</v>
      </c>
      <c r="S398" s="3" t="s">
        <v>5417</v>
      </c>
      <c r="T398" s="3" t="s">
        <v>5418</v>
      </c>
      <c r="U398" s="3" t="s">
        <v>354</v>
      </c>
      <c r="V398" s="3">
        <v>434</v>
      </c>
      <c r="W398" s="3">
        <v>0</v>
      </c>
      <c r="X398" s="3">
        <v>78</v>
      </c>
      <c r="Y398" s="3">
        <v>0</v>
      </c>
      <c r="Z398" s="3">
        <v>0</v>
      </c>
      <c r="AA398" s="3">
        <v>78</v>
      </c>
      <c r="AB398" s="3">
        <v>2694</v>
      </c>
      <c r="AC398" s="192">
        <v>0</v>
      </c>
      <c r="AF398" s="193">
        <v>7.6388888888888886E-3</v>
      </c>
      <c r="AG398" s="193">
        <v>0.25833333333333336</v>
      </c>
      <c r="AH398" s="193">
        <v>0.59375</v>
      </c>
    </row>
    <row r="399" spans="1:34" x14ac:dyDescent="0.25">
      <c r="A399" s="3" t="s">
        <v>375</v>
      </c>
      <c r="B399" s="3">
        <v>132711</v>
      </c>
      <c r="C399" s="3">
        <v>941707</v>
      </c>
      <c r="D399" s="3" t="s">
        <v>3526</v>
      </c>
      <c r="E399" s="3">
        <v>6</v>
      </c>
      <c r="F399" s="3">
        <v>8</v>
      </c>
      <c r="G399" s="3">
        <v>3</v>
      </c>
      <c r="H399" s="55" t="s">
        <v>289</v>
      </c>
      <c r="I399" s="3" t="s">
        <v>279</v>
      </c>
      <c r="J399" s="135">
        <v>46180</v>
      </c>
      <c r="L399" s="3">
        <v>1820</v>
      </c>
      <c r="M399" s="3">
        <v>26791</v>
      </c>
      <c r="N399" s="3" t="s">
        <v>5317</v>
      </c>
      <c r="R399" s="3">
        <v>12</v>
      </c>
      <c r="S399" s="3" t="s">
        <v>5419</v>
      </c>
      <c r="T399" s="3" t="s">
        <v>5420</v>
      </c>
      <c r="U399" s="3" t="s">
        <v>354</v>
      </c>
      <c r="V399" s="3">
        <v>434</v>
      </c>
      <c r="W399" s="3">
        <v>0</v>
      </c>
      <c r="X399" s="3">
        <v>50</v>
      </c>
      <c r="Y399" s="3">
        <v>0</v>
      </c>
      <c r="Z399" s="3">
        <v>0</v>
      </c>
      <c r="AA399" s="3">
        <v>50</v>
      </c>
      <c r="AB399" s="3">
        <v>2744</v>
      </c>
      <c r="AC399" s="192">
        <v>0</v>
      </c>
      <c r="AF399" s="193">
        <v>4.8611111111111112E-3</v>
      </c>
      <c r="AG399" s="193">
        <v>0.26319444444444445</v>
      </c>
      <c r="AH399" s="193">
        <v>0.59861111111111109</v>
      </c>
    </row>
    <row r="400" spans="1:34" x14ac:dyDescent="0.25">
      <c r="A400" s="3" t="s">
        <v>375</v>
      </c>
      <c r="B400" s="3">
        <v>132701</v>
      </c>
      <c r="C400" s="3">
        <v>941707</v>
      </c>
      <c r="D400" s="3" t="s">
        <v>3526</v>
      </c>
      <c r="E400" s="3">
        <v>6</v>
      </c>
      <c r="F400" s="3">
        <v>9</v>
      </c>
      <c r="G400" s="3">
        <v>3</v>
      </c>
      <c r="H400" s="55" t="s">
        <v>289</v>
      </c>
      <c r="I400" s="3" t="s">
        <v>279</v>
      </c>
      <c r="J400" s="135">
        <v>46180</v>
      </c>
      <c r="L400" s="3">
        <v>1820</v>
      </c>
      <c r="M400" s="3">
        <v>26791</v>
      </c>
      <c r="N400" s="3" t="s">
        <v>5317</v>
      </c>
      <c r="R400" s="3">
        <v>12</v>
      </c>
      <c r="S400" s="3" t="s">
        <v>5421</v>
      </c>
      <c r="T400" s="3" t="s">
        <v>5422</v>
      </c>
      <c r="U400" s="3" t="s">
        <v>354</v>
      </c>
      <c r="V400" s="3">
        <v>434</v>
      </c>
      <c r="W400" s="3">
        <v>0</v>
      </c>
      <c r="X400" s="3">
        <v>50</v>
      </c>
      <c r="Y400" s="3">
        <v>0</v>
      </c>
      <c r="Z400" s="3">
        <v>0</v>
      </c>
      <c r="AA400" s="3">
        <v>50</v>
      </c>
      <c r="AB400" s="3">
        <v>2794</v>
      </c>
      <c r="AC400" s="192">
        <v>0</v>
      </c>
      <c r="AF400" s="193">
        <v>4.8611111111111112E-3</v>
      </c>
      <c r="AG400" s="193">
        <v>0.26805555555555555</v>
      </c>
      <c r="AH400" s="193">
        <v>0.60347222222222219</v>
      </c>
    </row>
    <row r="401" spans="1:34" x14ac:dyDescent="0.25">
      <c r="A401" s="3" t="s">
        <v>375</v>
      </c>
      <c r="B401" s="3">
        <v>132982</v>
      </c>
      <c r="C401" s="3">
        <v>941707</v>
      </c>
      <c r="D401" s="3" t="s">
        <v>3526</v>
      </c>
      <c r="E401" s="3">
        <v>6</v>
      </c>
      <c r="F401" s="3">
        <v>10</v>
      </c>
      <c r="G401" s="3">
        <v>4</v>
      </c>
      <c r="H401" s="55" t="s">
        <v>289</v>
      </c>
      <c r="I401" s="3" t="s">
        <v>279</v>
      </c>
      <c r="J401" s="135">
        <v>46180</v>
      </c>
      <c r="L401" s="3">
        <v>1820</v>
      </c>
      <c r="M401" s="3">
        <v>26791</v>
      </c>
      <c r="N401" s="3" t="s">
        <v>5317</v>
      </c>
      <c r="R401" s="3">
        <v>12</v>
      </c>
      <c r="S401" s="3" t="s">
        <v>5423</v>
      </c>
      <c r="T401" s="3" t="s">
        <v>325</v>
      </c>
      <c r="U401" s="3" t="s">
        <v>354</v>
      </c>
      <c r="V401" s="3">
        <v>434</v>
      </c>
      <c r="W401" s="3">
        <v>0</v>
      </c>
      <c r="X401" s="3">
        <v>100</v>
      </c>
      <c r="Y401" s="3">
        <v>0</v>
      </c>
      <c r="Z401" s="3">
        <v>0</v>
      </c>
      <c r="AA401" s="3">
        <v>100</v>
      </c>
      <c r="AB401" s="3">
        <v>2894</v>
      </c>
      <c r="AC401" s="192">
        <v>0</v>
      </c>
      <c r="AF401" s="193">
        <v>9.7222222222222224E-3</v>
      </c>
      <c r="AG401" s="193">
        <v>0.27777777777777779</v>
      </c>
      <c r="AH401" s="193">
        <v>0.61319444444444449</v>
      </c>
    </row>
    <row r="402" spans="1:34" x14ac:dyDescent="0.25">
      <c r="A402" s="3" t="s">
        <v>375</v>
      </c>
      <c r="B402" s="3">
        <v>132982</v>
      </c>
      <c r="C402" s="3">
        <v>941707</v>
      </c>
      <c r="D402" s="3" t="s">
        <v>3526</v>
      </c>
      <c r="E402" s="3">
        <v>6</v>
      </c>
      <c r="F402" s="3">
        <v>11</v>
      </c>
      <c r="G402" s="3">
        <v>5</v>
      </c>
      <c r="H402" s="55" t="s">
        <v>289</v>
      </c>
      <c r="I402" s="3" t="s">
        <v>279</v>
      </c>
      <c r="J402" s="135">
        <v>46180</v>
      </c>
      <c r="L402" s="3">
        <v>1820</v>
      </c>
      <c r="M402" s="3">
        <v>26791</v>
      </c>
      <c r="N402" s="3" t="s">
        <v>5317</v>
      </c>
      <c r="R402" s="3">
        <v>12</v>
      </c>
      <c r="S402" s="3" t="s">
        <v>5423</v>
      </c>
      <c r="T402" s="3" t="s">
        <v>325</v>
      </c>
      <c r="U402" s="3">
        <v>19</v>
      </c>
      <c r="V402" s="3">
        <v>434</v>
      </c>
      <c r="W402" s="3">
        <v>0</v>
      </c>
      <c r="X402" s="3">
        <v>144</v>
      </c>
      <c r="Y402" s="3">
        <v>0</v>
      </c>
      <c r="Z402" s="3">
        <v>0</v>
      </c>
      <c r="AA402" s="3">
        <v>144</v>
      </c>
      <c r="AB402" s="3">
        <v>3038</v>
      </c>
      <c r="AC402" s="192">
        <v>0</v>
      </c>
      <c r="AF402" s="193">
        <v>1.3888888888888888E-2</v>
      </c>
      <c r="AG402" s="193">
        <v>0.29166666666666669</v>
      </c>
      <c r="AH402" s="193">
        <v>0.62708333333333333</v>
      </c>
    </row>
    <row r="403" spans="1:34" x14ac:dyDescent="0.25">
      <c r="A403" s="3" t="s">
        <v>375</v>
      </c>
      <c r="B403" s="3">
        <v>132982</v>
      </c>
      <c r="C403" s="3">
        <v>941707</v>
      </c>
      <c r="D403" s="3" t="s">
        <v>3526</v>
      </c>
      <c r="E403" s="3">
        <v>6</v>
      </c>
      <c r="F403" s="3">
        <v>12</v>
      </c>
      <c r="G403" s="3">
        <v>6</v>
      </c>
      <c r="H403" s="55" t="s">
        <v>289</v>
      </c>
      <c r="I403" s="3" t="s">
        <v>279</v>
      </c>
      <c r="J403" s="135">
        <v>46180</v>
      </c>
      <c r="L403" s="3">
        <v>1820</v>
      </c>
      <c r="M403" s="3">
        <v>26791</v>
      </c>
      <c r="N403" s="3" t="s">
        <v>5317</v>
      </c>
      <c r="R403" s="3">
        <v>12</v>
      </c>
      <c r="S403" s="3" t="s">
        <v>5423</v>
      </c>
      <c r="T403" s="3" t="s">
        <v>325</v>
      </c>
      <c r="U403" s="3" t="s">
        <v>355</v>
      </c>
      <c r="V403" s="3">
        <v>434</v>
      </c>
      <c r="W403" s="3">
        <v>0</v>
      </c>
      <c r="X403" s="3">
        <v>230</v>
      </c>
      <c r="Y403" s="3">
        <v>0</v>
      </c>
      <c r="Z403" s="3">
        <v>0</v>
      </c>
      <c r="AA403" s="3">
        <v>230</v>
      </c>
      <c r="AB403" s="3">
        <v>3268</v>
      </c>
      <c r="AC403" s="192">
        <v>0</v>
      </c>
      <c r="AF403" s="193">
        <v>2.2222222222222223E-2</v>
      </c>
      <c r="AG403" s="193">
        <v>0.31388888888888888</v>
      </c>
      <c r="AH403" s="193">
        <v>0.65625</v>
      </c>
    </row>
    <row r="404" spans="1:34" x14ac:dyDescent="0.25">
      <c r="A404" s="3" t="s">
        <v>375</v>
      </c>
      <c r="B404" s="3">
        <v>132982</v>
      </c>
      <c r="C404" s="3">
        <v>941707</v>
      </c>
      <c r="D404" s="3" t="s">
        <v>3526</v>
      </c>
      <c r="E404" s="3">
        <v>6</v>
      </c>
      <c r="F404" s="3">
        <v>13</v>
      </c>
      <c r="G404" s="3">
        <v>7</v>
      </c>
      <c r="H404" s="55" t="s">
        <v>289</v>
      </c>
      <c r="I404" s="3" t="s">
        <v>279</v>
      </c>
      <c r="J404" s="135">
        <v>46180</v>
      </c>
      <c r="L404" s="3">
        <v>1820</v>
      </c>
      <c r="M404" s="3">
        <v>26791</v>
      </c>
      <c r="N404" s="3" t="s">
        <v>5317</v>
      </c>
      <c r="R404" s="3">
        <v>12</v>
      </c>
      <c r="S404" s="3" t="s">
        <v>5423</v>
      </c>
      <c r="T404" s="3" t="s">
        <v>325</v>
      </c>
      <c r="U404" s="3">
        <v>22</v>
      </c>
      <c r="V404" s="3">
        <v>434</v>
      </c>
      <c r="W404" s="3">
        <v>0</v>
      </c>
      <c r="X404" s="3">
        <v>238</v>
      </c>
      <c r="Y404" s="3">
        <v>0</v>
      </c>
      <c r="Z404" s="3">
        <v>0</v>
      </c>
      <c r="AA404" s="3">
        <v>238</v>
      </c>
      <c r="AB404" s="3">
        <v>3506</v>
      </c>
      <c r="AC404" s="192">
        <v>0</v>
      </c>
      <c r="AF404" s="193">
        <v>2.2916666666666665E-2</v>
      </c>
      <c r="AG404" s="193">
        <v>0.33680555555555558</v>
      </c>
      <c r="AH404" s="193">
        <v>0.6791666666666667</v>
      </c>
    </row>
    <row r="405" spans="1:34" x14ac:dyDescent="0.25">
      <c r="A405" s="3" t="s">
        <v>375</v>
      </c>
      <c r="B405" s="3">
        <v>132982</v>
      </c>
      <c r="C405" s="3">
        <v>941707</v>
      </c>
      <c r="D405" s="3" t="s">
        <v>3526</v>
      </c>
      <c r="E405" s="3">
        <v>6</v>
      </c>
      <c r="F405" s="3">
        <v>14</v>
      </c>
      <c r="G405" s="3">
        <v>8</v>
      </c>
      <c r="H405" s="55" t="s">
        <v>289</v>
      </c>
      <c r="I405" s="3" t="s">
        <v>279</v>
      </c>
      <c r="J405" s="135">
        <v>46180</v>
      </c>
      <c r="L405" s="3">
        <v>1820</v>
      </c>
      <c r="M405" s="3">
        <v>26791</v>
      </c>
      <c r="N405" s="3" t="s">
        <v>5317</v>
      </c>
      <c r="R405" s="3">
        <v>12</v>
      </c>
      <c r="S405" s="3" t="s">
        <v>5423</v>
      </c>
      <c r="T405" s="3" t="s">
        <v>325</v>
      </c>
      <c r="U405" s="3" t="s">
        <v>290</v>
      </c>
      <c r="V405" s="3">
        <v>434</v>
      </c>
      <c r="W405" s="3">
        <v>0</v>
      </c>
      <c r="X405" s="3">
        <v>172</v>
      </c>
      <c r="Y405" s="3">
        <v>0</v>
      </c>
      <c r="Z405" s="3">
        <v>0</v>
      </c>
      <c r="AA405" s="3">
        <v>172</v>
      </c>
      <c r="AB405" s="3">
        <v>3678</v>
      </c>
      <c r="AC405" s="192">
        <v>0</v>
      </c>
      <c r="AF405" s="193">
        <v>1.6666666666666666E-2</v>
      </c>
      <c r="AG405" s="193">
        <v>0.3527777777777778</v>
      </c>
      <c r="AH405" s="193">
        <v>0.6958333333333333</v>
      </c>
    </row>
    <row r="406" spans="1:34" x14ac:dyDescent="0.25">
      <c r="A406" s="3" t="s">
        <v>375</v>
      </c>
      <c r="B406" s="3">
        <v>141246</v>
      </c>
      <c r="C406" s="3">
        <v>942207</v>
      </c>
      <c r="D406" s="3" t="s">
        <v>3526</v>
      </c>
      <c r="E406" s="3">
        <v>7</v>
      </c>
      <c r="F406" s="3">
        <v>15</v>
      </c>
      <c r="G406" s="3">
        <v>4</v>
      </c>
      <c r="H406" s="55" t="s">
        <v>289</v>
      </c>
      <c r="I406" s="3" t="s">
        <v>279</v>
      </c>
      <c r="J406" s="135">
        <v>46302</v>
      </c>
      <c r="L406" s="3">
        <v>1830</v>
      </c>
      <c r="M406" s="3">
        <v>27011</v>
      </c>
      <c r="N406" s="3" t="s">
        <v>5263</v>
      </c>
      <c r="R406" s="3">
        <v>10</v>
      </c>
      <c r="S406" s="3" t="s">
        <v>4181</v>
      </c>
      <c r="T406" s="3" t="s">
        <v>5424</v>
      </c>
      <c r="U406" s="3" t="s">
        <v>354</v>
      </c>
      <c r="V406" s="3">
        <v>383</v>
      </c>
      <c r="W406" s="3">
        <v>0</v>
      </c>
      <c r="X406" s="3">
        <v>154</v>
      </c>
      <c r="Y406" s="3">
        <v>0</v>
      </c>
      <c r="Z406" s="3">
        <v>0</v>
      </c>
      <c r="AA406" s="3">
        <v>154</v>
      </c>
      <c r="AB406" s="3">
        <v>3832</v>
      </c>
      <c r="AC406" s="192">
        <v>0</v>
      </c>
      <c r="AF406" s="193">
        <v>1.6666666666666666E-2</v>
      </c>
      <c r="AG406" s="193">
        <v>0.37013888888888891</v>
      </c>
      <c r="AH406" s="193">
        <v>0.71250000000000002</v>
      </c>
    </row>
    <row r="407" spans="1:34" x14ac:dyDescent="0.25">
      <c r="A407" s="3" t="s">
        <v>375</v>
      </c>
      <c r="B407" s="3">
        <v>141246</v>
      </c>
      <c r="C407" s="3">
        <v>942207</v>
      </c>
      <c r="D407" s="3" t="s">
        <v>3526</v>
      </c>
      <c r="E407" s="3">
        <v>7</v>
      </c>
      <c r="F407" s="3">
        <v>16</v>
      </c>
      <c r="G407" s="3">
        <v>5</v>
      </c>
      <c r="H407" s="55" t="s">
        <v>289</v>
      </c>
      <c r="I407" s="3" t="s">
        <v>279</v>
      </c>
      <c r="J407" s="135">
        <v>46302</v>
      </c>
      <c r="L407" s="3">
        <v>1830</v>
      </c>
      <c r="M407" s="3">
        <v>27011</v>
      </c>
      <c r="N407" s="3" t="s">
        <v>5263</v>
      </c>
      <c r="R407" s="3">
        <v>10</v>
      </c>
      <c r="S407" s="3" t="s">
        <v>4181</v>
      </c>
      <c r="T407" s="3" t="s">
        <v>5424</v>
      </c>
      <c r="U407" s="3">
        <v>19</v>
      </c>
      <c r="V407" s="3">
        <v>383</v>
      </c>
      <c r="W407" s="3">
        <v>0</v>
      </c>
      <c r="X407" s="3">
        <v>372</v>
      </c>
      <c r="Y407" s="3">
        <v>0</v>
      </c>
      <c r="Z407" s="3">
        <v>0</v>
      </c>
      <c r="AA407" s="3">
        <v>372</v>
      </c>
      <c r="AB407" s="3">
        <v>4204</v>
      </c>
      <c r="AC407" s="192">
        <v>0</v>
      </c>
      <c r="AF407" s="193">
        <v>4.027777777777778E-2</v>
      </c>
      <c r="AG407" s="193">
        <v>0.41041666666666665</v>
      </c>
      <c r="AH407" s="193">
        <v>0.75277777777777777</v>
      </c>
    </row>
    <row r="408" spans="1:34" x14ac:dyDescent="0.25">
      <c r="A408" s="3" t="s">
        <v>375</v>
      </c>
      <c r="B408" s="3">
        <v>141246</v>
      </c>
      <c r="C408" s="3">
        <v>942207</v>
      </c>
      <c r="D408" s="3" t="s">
        <v>3526</v>
      </c>
      <c r="E408" s="3">
        <v>7</v>
      </c>
      <c r="F408" s="3">
        <v>17</v>
      </c>
      <c r="G408" s="3">
        <v>6</v>
      </c>
      <c r="H408" s="55" t="s">
        <v>289</v>
      </c>
      <c r="I408" s="3" t="s">
        <v>279</v>
      </c>
      <c r="J408" s="135">
        <v>46302</v>
      </c>
      <c r="L408" s="3">
        <v>1830</v>
      </c>
      <c r="M408" s="3">
        <v>27011</v>
      </c>
      <c r="N408" s="3" t="s">
        <v>5263</v>
      </c>
      <c r="R408" s="3">
        <v>10</v>
      </c>
      <c r="S408" s="3" t="s">
        <v>4181</v>
      </c>
      <c r="T408" s="3" t="s">
        <v>5424</v>
      </c>
      <c r="U408" s="3" t="s">
        <v>355</v>
      </c>
      <c r="V408" s="3">
        <v>383</v>
      </c>
      <c r="W408" s="3">
        <v>0</v>
      </c>
      <c r="X408" s="3">
        <v>614</v>
      </c>
      <c r="Y408" s="3">
        <v>0</v>
      </c>
      <c r="Z408" s="3">
        <v>0</v>
      </c>
      <c r="AA408" s="3">
        <v>614</v>
      </c>
      <c r="AB408" s="3">
        <v>4818</v>
      </c>
      <c r="AC408" s="192">
        <v>0.05</v>
      </c>
      <c r="AD408" s="3" t="s">
        <v>285</v>
      </c>
      <c r="AE408" s="3" t="s">
        <v>286</v>
      </c>
      <c r="AF408" s="193">
        <v>6.6666666666666666E-2</v>
      </c>
      <c r="AG408" s="193">
        <v>0.47708333333333336</v>
      </c>
      <c r="AH408" s="193">
        <v>0.86944444444444446</v>
      </c>
    </row>
    <row r="409" spans="1:34" x14ac:dyDescent="0.25">
      <c r="A409" s="3" t="s">
        <v>375</v>
      </c>
      <c r="B409" s="3">
        <v>141246</v>
      </c>
      <c r="C409" s="3">
        <v>942207</v>
      </c>
      <c r="D409" s="3" t="s">
        <v>3526</v>
      </c>
      <c r="E409" s="3">
        <v>7</v>
      </c>
      <c r="F409" s="3">
        <v>18</v>
      </c>
      <c r="G409" s="3">
        <v>7</v>
      </c>
      <c r="H409" s="55" t="s">
        <v>289</v>
      </c>
      <c r="I409" s="3" t="s">
        <v>279</v>
      </c>
      <c r="J409" s="135">
        <v>46302</v>
      </c>
      <c r="L409" s="3">
        <v>1830</v>
      </c>
      <c r="M409" s="3">
        <v>27011</v>
      </c>
      <c r="N409" s="3" t="s">
        <v>5263</v>
      </c>
      <c r="R409" s="3">
        <v>10</v>
      </c>
      <c r="S409" s="3" t="s">
        <v>4181</v>
      </c>
      <c r="T409" s="3" t="s">
        <v>5424</v>
      </c>
      <c r="U409" s="3">
        <v>22</v>
      </c>
      <c r="V409" s="3">
        <v>383</v>
      </c>
      <c r="W409" s="3">
        <v>0</v>
      </c>
      <c r="X409" s="3">
        <v>650</v>
      </c>
      <c r="Y409" s="3">
        <v>0</v>
      </c>
      <c r="Z409" s="3">
        <v>0</v>
      </c>
      <c r="AA409" s="3">
        <v>650</v>
      </c>
      <c r="AB409" s="3">
        <v>5468</v>
      </c>
      <c r="AC409" s="192">
        <v>0</v>
      </c>
      <c r="AF409" s="193">
        <v>7.0833333333333331E-2</v>
      </c>
      <c r="AG409" s="193">
        <v>0.54791666666666672</v>
      </c>
      <c r="AH409" s="193">
        <v>0.94027777777777777</v>
      </c>
    </row>
    <row r="410" spans="1:34" x14ac:dyDescent="0.25">
      <c r="A410" s="3" t="s">
        <v>376</v>
      </c>
      <c r="B410" s="3">
        <v>129377</v>
      </c>
      <c r="C410" s="3">
        <v>941407</v>
      </c>
      <c r="D410" s="3" t="s">
        <v>3526</v>
      </c>
      <c r="E410" s="3">
        <v>5</v>
      </c>
      <c r="F410" s="3">
        <v>1</v>
      </c>
      <c r="G410" s="3">
        <v>11</v>
      </c>
      <c r="H410" s="55" t="s">
        <v>289</v>
      </c>
      <c r="I410" s="3" t="s">
        <v>279</v>
      </c>
      <c r="J410" s="135">
        <v>46088</v>
      </c>
      <c r="K410" s="3" t="s">
        <v>5096</v>
      </c>
      <c r="L410" s="3">
        <v>1820</v>
      </c>
      <c r="M410" s="3">
        <v>27291</v>
      </c>
      <c r="N410" s="3" t="s">
        <v>5197</v>
      </c>
      <c r="R410" s="3">
        <v>9</v>
      </c>
      <c r="S410" s="3" t="s">
        <v>5198</v>
      </c>
      <c r="T410" s="3" t="s">
        <v>5199</v>
      </c>
      <c r="U410" s="3" t="s">
        <v>311</v>
      </c>
      <c r="V410" s="3">
        <v>340</v>
      </c>
      <c r="W410" s="3">
        <v>0</v>
      </c>
      <c r="X410" s="3">
        <v>370</v>
      </c>
      <c r="Y410" s="3">
        <v>342</v>
      </c>
      <c r="Z410" s="3">
        <v>0</v>
      </c>
      <c r="AA410" s="3">
        <v>28</v>
      </c>
      <c r="AB410" s="3">
        <v>28</v>
      </c>
      <c r="AC410" s="192">
        <v>0</v>
      </c>
      <c r="AF410" s="193">
        <v>3.472222222222222E-3</v>
      </c>
      <c r="AG410" s="193">
        <v>3.472222222222222E-3</v>
      </c>
      <c r="AH410" s="193">
        <v>0.28055555555555556</v>
      </c>
    </row>
    <row r="411" spans="1:34" x14ac:dyDescent="0.25">
      <c r="A411" s="3" t="s">
        <v>376</v>
      </c>
      <c r="B411" s="3">
        <v>133001</v>
      </c>
      <c r="C411" s="3">
        <v>941707</v>
      </c>
      <c r="D411" s="3" t="s">
        <v>3526</v>
      </c>
      <c r="E411" s="3">
        <v>6</v>
      </c>
      <c r="F411" s="3">
        <v>2</v>
      </c>
      <c r="G411" s="3">
        <v>10</v>
      </c>
      <c r="H411" s="55" t="s">
        <v>289</v>
      </c>
      <c r="I411" s="3" t="s">
        <v>279</v>
      </c>
      <c r="J411" s="135">
        <v>46210</v>
      </c>
      <c r="K411" s="3" t="s">
        <v>5363</v>
      </c>
      <c r="L411" s="3">
        <v>1820</v>
      </c>
      <c r="M411" s="3">
        <v>27036</v>
      </c>
      <c r="N411" s="3" t="s">
        <v>5195</v>
      </c>
      <c r="R411" s="3">
        <v>12</v>
      </c>
      <c r="S411" s="3" t="s">
        <v>5425</v>
      </c>
      <c r="T411" s="3" t="s">
        <v>5426</v>
      </c>
      <c r="U411" s="3" t="s">
        <v>284</v>
      </c>
      <c r="V411" s="3">
        <v>450</v>
      </c>
      <c r="W411" s="3">
        <v>0</v>
      </c>
      <c r="X411" s="3">
        <v>468</v>
      </c>
      <c r="Y411" s="3">
        <v>390</v>
      </c>
      <c r="Z411" s="3">
        <v>0</v>
      </c>
      <c r="AA411" s="3">
        <v>78</v>
      </c>
      <c r="AB411" s="3">
        <v>106</v>
      </c>
      <c r="AC411" s="192">
        <v>0</v>
      </c>
      <c r="AF411" s="193">
        <v>6.9444444444444441E-3</v>
      </c>
      <c r="AG411" s="193">
        <v>1.0416666666666666E-2</v>
      </c>
      <c r="AH411" s="193">
        <v>0.28749999999999998</v>
      </c>
    </row>
    <row r="412" spans="1:34" x14ac:dyDescent="0.25">
      <c r="A412" s="3" t="s">
        <v>376</v>
      </c>
      <c r="B412" s="3">
        <v>133001</v>
      </c>
      <c r="C412" s="3">
        <v>941707</v>
      </c>
      <c r="D412" s="3" t="s">
        <v>3526</v>
      </c>
      <c r="E412" s="3">
        <v>6</v>
      </c>
      <c r="F412" s="3">
        <v>3</v>
      </c>
      <c r="G412" s="3">
        <v>7</v>
      </c>
      <c r="H412" s="55" t="s">
        <v>289</v>
      </c>
      <c r="I412" s="3" t="s">
        <v>279</v>
      </c>
      <c r="J412" s="135">
        <v>46210</v>
      </c>
      <c r="L412" s="3">
        <v>1820</v>
      </c>
      <c r="M412" s="3">
        <v>27036</v>
      </c>
      <c r="N412" s="3" t="s">
        <v>5195</v>
      </c>
      <c r="R412" s="3">
        <v>12</v>
      </c>
      <c r="S412" s="3" t="s">
        <v>5425</v>
      </c>
      <c r="T412" s="3" t="s">
        <v>5426</v>
      </c>
      <c r="U412" s="3" t="s">
        <v>298</v>
      </c>
      <c r="V412" s="3">
        <v>450</v>
      </c>
      <c r="W412" s="3">
        <v>0</v>
      </c>
      <c r="X412" s="3">
        <v>64</v>
      </c>
      <c r="Y412" s="3">
        <v>0</v>
      </c>
      <c r="Z412" s="3">
        <v>0</v>
      </c>
      <c r="AA412" s="3">
        <v>64</v>
      </c>
      <c r="AB412" s="3">
        <v>170</v>
      </c>
      <c r="AC412" s="192">
        <v>0</v>
      </c>
      <c r="AF412" s="193">
        <v>6.2500000000000003E-3</v>
      </c>
      <c r="AG412" s="193">
        <v>1.6666666666666666E-2</v>
      </c>
      <c r="AH412" s="193">
        <v>0.29375000000000001</v>
      </c>
    </row>
    <row r="413" spans="1:34" x14ac:dyDescent="0.25">
      <c r="A413" s="3" t="s">
        <v>376</v>
      </c>
      <c r="B413" s="3">
        <v>133001</v>
      </c>
      <c r="C413" s="3">
        <v>941707</v>
      </c>
      <c r="D413" s="3" t="s">
        <v>3526</v>
      </c>
      <c r="E413" s="3">
        <v>6</v>
      </c>
      <c r="F413" s="3">
        <v>4</v>
      </c>
      <c r="G413" s="3">
        <v>8</v>
      </c>
      <c r="H413" s="55" t="s">
        <v>289</v>
      </c>
      <c r="I413" s="3" t="s">
        <v>279</v>
      </c>
      <c r="J413" s="135">
        <v>46210</v>
      </c>
      <c r="L413" s="3">
        <v>1820</v>
      </c>
      <c r="M413" s="3">
        <v>27036</v>
      </c>
      <c r="N413" s="3" t="s">
        <v>5195</v>
      </c>
      <c r="R413" s="3">
        <v>12</v>
      </c>
      <c r="S413" s="3" t="s">
        <v>5425</v>
      </c>
      <c r="T413" s="3" t="s">
        <v>5426</v>
      </c>
      <c r="U413" s="3">
        <v>35</v>
      </c>
      <c r="V413" s="3">
        <v>450</v>
      </c>
      <c r="W413" s="3">
        <v>0</v>
      </c>
      <c r="X413" s="3">
        <v>174</v>
      </c>
      <c r="Y413" s="3">
        <v>0</v>
      </c>
      <c r="Z413" s="3">
        <v>0</v>
      </c>
      <c r="AA413" s="3">
        <v>174</v>
      </c>
      <c r="AB413" s="3">
        <v>344</v>
      </c>
      <c r="AC413" s="192">
        <v>0</v>
      </c>
      <c r="AF413" s="193">
        <v>1.5972222222222221E-2</v>
      </c>
      <c r="AG413" s="193">
        <v>3.2638888888888891E-2</v>
      </c>
      <c r="AH413" s="193">
        <v>0.30972222222222223</v>
      </c>
    </row>
    <row r="414" spans="1:34" x14ac:dyDescent="0.25">
      <c r="A414" s="3" t="s">
        <v>376</v>
      </c>
      <c r="B414" s="3">
        <v>133001</v>
      </c>
      <c r="C414" s="3">
        <v>941707</v>
      </c>
      <c r="D414" s="3" t="s">
        <v>3526</v>
      </c>
      <c r="E414" s="3">
        <v>6</v>
      </c>
      <c r="F414" s="3">
        <v>5</v>
      </c>
      <c r="G414" s="3">
        <v>11</v>
      </c>
      <c r="H414" s="55" t="s">
        <v>289</v>
      </c>
      <c r="I414" s="3" t="s">
        <v>279</v>
      </c>
      <c r="J414" s="135">
        <v>46210</v>
      </c>
      <c r="L414" s="3">
        <v>1820</v>
      </c>
      <c r="M414" s="3">
        <v>27036</v>
      </c>
      <c r="N414" s="3" t="s">
        <v>5195</v>
      </c>
      <c r="R414" s="3">
        <v>12</v>
      </c>
      <c r="S414" s="3" t="s">
        <v>5425</v>
      </c>
      <c r="T414" s="3" t="s">
        <v>5426</v>
      </c>
      <c r="U414" s="3" t="s">
        <v>280</v>
      </c>
      <c r="V414" s="3">
        <v>450</v>
      </c>
      <c r="W414" s="3">
        <v>0</v>
      </c>
      <c r="X414" s="3">
        <v>318</v>
      </c>
      <c r="Y414" s="3">
        <v>0</v>
      </c>
      <c r="Z414" s="3">
        <v>0</v>
      </c>
      <c r="AA414" s="3">
        <v>318</v>
      </c>
      <c r="AB414" s="3">
        <v>662</v>
      </c>
      <c r="AC414" s="192">
        <v>0</v>
      </c>
      <c r="AF414" s="193">
        <v>2.9166666666666667E-2</v>
      </c>
      <c r="AG414" s="193">
        <v>6.1805555555555558E-2</v>
      </c>
      <c r="AH414" s="193">
        <v>0.33888888888888891</v>
      </c>
    </row>
    <row r="415" spans="1:34" x14ac:dyDescent="0.25">
      <c r="A415" s="3" t="s">
        <v>376</v>
      </c>
      <c r="B415" s="3">
        <v>133003</v>
      </c>
      <c r="C415" s="3">
        <v>941707</v>
      </c>
      <c r="D415" s="3" t="s">
        <v>3526</v>
      </c>
      <c r="E415" s="3">
        <v>6</v>
      </c>
      <c r="F415" s="3">
        <v>6</v>
      </c>
      <c r="G415" s="3">
        <v>10</v>
      </c>
      <c r="H415" s="55" t="s">
        <v>289</v>
      </c>
      <c r="I415" s="3" t="s">
        <v>279</v>
      </c>
      <c r="J415" s="135">
        <v>46210</v>
      </c>
      <c r="L415" s="3">
        <v>1820</v>
      </c>
      <c r="M415" s="3">
        <v>27036</v>
      </c>
      <c r="N415" s="3" t="s">
        <v>5195</v>
      </c>
      <c r="R415" s="3">
        <v>12</v>
      </c>
      <c r="S415" s="3" t="s">
        <v>5427</v>
      </c>
      <c r="T415" s="3" t="s">
        <v>5200</v>
      </c>
      <c r="U415" s="3" t="s">
        <v>284</v>
      </c>
      <c r="V415" s="3">
        <v>450</v>
      </c>
      <c r="W415" s="3">
        <v>0</v>
      </c>
      <c r="X415" s="3">
        <v>350</v>
      </c>
      <c r="Y415" s="3">
        <v>0</v>
      </c>
      <c r="Z415" s="3">
        <v>0</v>
      </c>
      <c r="AA415" s="3">
        <v>350</v>
      </c>
      <c r="AB415" s="3">
        <v>1012</v>
      </c>
      <c r="AC415" s="192">
        <v>8.3333333333333332E-3</v>
      </c>
      <c r="AD415" s="3" t="s">
        <v>292</v>
      </c>
      <c r="AF415" s="193">
        <v>3.2638888888888891E-2</v>
      </c>
      <c r="AG415" s="193">
        <v>9.4444444444444442E-2</v>
      </c>
      <c r="AH415" s="193">
        <v>0.37986111111111109</v>
      </c>
    </row>
    <row r="416" spans="1:34" x14ac:dyDescent="0.25">
      <c r="A416" s="3" t="s">
        <v>376</v>
      </c>
      <c r="B416" s="3">
        <v>133003</v>
      </c>
      <c r="C416" s="3">
        <v>941707</v>
      </c>
      <c r="D416" s="3" t="s">
        <v>3526</v>
      </c>
      <c r="E416" s="3">
        <v>6</v>
      </c>
      <c r="F416" s="3">
        <v>7</v>
      </c>
      <c r="G416" s="3">
        <v>7</v>
      </c>
      <c r="H416" s="55" t="s">
        <v>289</v>
      </c>
      <c r="I416" s="3" t="s">
        <v>279</v>
      </c>
      <c r="J416" s="135">
        <v>46210</v>
      </c>
      <c r="L416" s="3">
        <v>1820</v>
      </c>
      <c r="M416" s="3">
        <v>27036</v>
      </c>
      <c r="N416" s="3" t="s">
        <v>5195</v>
      </c>
      <c r="R416" s="3">
        <v>12</v>
      </c>
      <c r="S416" s="3" t="s">
        <v>5427</v>
      </c>
      <c r="T416" s="3" t="s">
        <v>5200</v>
      </c>
      <c r="U416" s="3" t="s">
        <v>298</v>
      </c>
      <c r="V416" s="3">
        <v>450</v>
      </c>
      <c r="W416" s="3">
        <v>0</v>
      </c>
      <c r="X416" s="3">
        <v>34</v>
      </c>
      <c r="Y416" s="3">
        <v>0</v>
      </c>
      <c r="Z416" s="3">
        <v>0</v>
      </c>
      <c r="AA416" s="3">
        <v>34</v>
      </c>
      <c r="AB416" s="3">
        <v>1046</v>
      </c>
      <c r="AC416" s="192">
        <v>0</v>
      </c>
      <c r="AF416" s="193">
        <v>3.472222222222222E-3</v>
      </c>
      <c r="AG416" s="193">
        <v>9.7916666666666666E-2</v>
      </c>
      <c r="AH416" s="193">
        <v>0.38333333333333336</v>
      </c>
    </row>
    <row r="417" spans="1:34" x14ac:dyDescent="0.25">
      <c r="A417" s="3" t="s">
        <v>376</v>
      </c>
      <c r="B417" s="3">
        <v>133003</v>
      </c>
      <c r="C417" s="3">
        <v>941707</v>
      </c>
      <c r="D417" s="3" t="s">
        <v>3526</v>
      </c>
      <c r="E417" s="3">
        <v>6</v>
      </c>
      <c r="F417" s="3">
        <v>8</v>
      </c>
      <c r="G417" s="3">
        <v>8</v>
      </c>
      <c r="H417" s="55" t="s">
        <v>289</v>
      </c>
      <c r="I417" s="3" t="s">
        <v>279</v>
      </c>
      <c r="J417" s="135">
        <v>46210</v>
      </c>
      <c r="L417" s="3">
        <v>1820</v>
      </c>
      <c r="M417" s="3">
        <v>27036</v>
      </c>
      <c r="N417" s="3" t="s">
        <v>5195</v>
      </c>
      <c r="R417" s="3">
        <v>12</v>
      </c>
      <c r="S417" s="3" t="s">
        <v>5427</v>
      </c>
      <c r="T417" s="3" t="s">
        <v>5200</v>
      </c>
      <c r="U417" s="3">
        <v>35</v>
      </c>
      <c r="V417" s="3">
        <v>450</v>
      </c>
      <c r="W417" s="3">
        <v>0</v>
      </c>
      <c r="X417" s="3">
        <v>108</v>
      </c>
      <c r="Y417" s="3">
        <v>0</v>
      </c>
      <c r="Z417" s="3">
        <v>0</v>
      </c>
      <c r="AA417" s="3">
        <v>108</v>
      </c>
      <c r="AB417" s="3">
        <v>1154</v>
      </c>
      <c r="AC417" s="192">
        <v>0</v>
      </c>
      <c r="AF417" s="193">
        <v>9.7222222222222224E-3</v>
      </c>
      <c r="AG417" s="193">
        <v>0.1076388888888889</v>
      </c>
      <c r="AH417" s="193">
        <v>0.39305555555555555</v>
      </c>
    </row>
    <row r="418" spans="1:34" x14ac:dyDescent="0.25">
      <c r="A418" s="3" t="s">
        <v>376</v>
      </c>
      <c r="B418" s="3">
        <v>133003</v>
      </c>
      <c r="C418" s="3">
        <v>941707</v>
      </c>
      <c r="D418" s="3" t="s">
        <v>3526</v>
      </c>
      <c r="E418" s="3">
        <v>6</v>
      </c>
      <c r="F418" s="3">
        <v>9</v>
      </c>
      <c r="G418" s="3">
        <v>9</v>
      </c>
      <c r="H418" s="55" t="s">
        <v>289</v>
      </c>
      <c r="I418" s="3" t="s">
        <v>279</v>
      </c>
      <c r="J418" s="135">
        <v>46210</v>
      </c>
      <c r="L418" s="3">
        <v>1820</v>
      </c>
      <c r="M418" s="3">
        <v>27036</v>
      </c>
      <c r="N418" s="3" t="s">
        <v>5195</v>
      </c>
      <c r="R418" s="3">
        <v>12</v>
      </c>
      <c r="S418" s="3" t="s">
        <v>5427</v>
      </c>
      <c r="T418" s="3" t="s">
        <v>5200</v>
      </c>
      <c r="U418" s="3">
        <v>36</v>
      </c>
      <c r="V418" s="3">
        <v>450</v>
      </c>
      <c r="W418" s="3">
        <v>0</v>
      </c>
      <c r="X418" s="3">
        <v>232</v>
      </c>
      <c r="Y418" s="3">
        <v>0</v>
      </c>
      <c r="Z418" s="3">
        <v>0</v>
      </c>
      <c r="AA418" s="3">
        <v>232</v>
      </c>
      <c r="AB418" s="3">
        <v>1386</v>
      </c>
      <c r="AC418" s="192">
        <v>0</v>
      </c>
      <c r="AF418" s="193">
        <v>2.1527777777777778E-2</v>
      </c>
      <c r="AG418" s="193">
        <v>0.12916666666666668</v>
      </c>
      <c r="AH418" s="193">
        <v>0.41458333333333336</v>
      </c>
    </row>
    <row r="419" spans="1:34" x14ac:dyDescent="0.25">
      <c r="A419" s="3" t="s">
        <v>376</v>
      </c>
      <c r="B419" s="3">
        <v>133003</v>
      </c>
      <c r="C419" s="3">
        <v>941707</v>
      </c>
      <c r="D419" s="3" t="s">
        <v>3526</v>
      </c>
      <c r="E419" s="3">
        <v>6</v>
      </c>
      <c r="F419" s="3">
        <v>10</v>
      </c>
      <c r="G419" s="3">
        <v>11</v>
      </c>
      <c r="H419" s="55" t="s">
        <v>289</v>
      </c>
      <c r="I419" s="3" t="s">
        <v>279</v>
      </c>
      <c r="J419" s="135">
        <v>46210</v>
      </c>
      <c r="L419" s="3">
        <v>1820</v>
      </c>
      <c r="M419" s="3">
        <v>27036</v>
      </c>
      <c r="N419" s="3" t="s">
        <v>5195</v>
      </c>
      <c r="R419" s="3">
        <v>12</v>
      </c>
      <c r="S419" s="3" t="s">
        <v>5427</v>
      </c>
      <c r="T419" s="3" t="s">
        <v>5200</v>
      </c>
      <c r="U419" s="3" t="s">
        <v>280</v>
      </c>
      <c r="V419" s="3">
        <v>450</v>
      </c>
      <c r="W419" s="3">
        <v>0</v>
      </c>
      <c r="X419" s="3">
        <v>282</v>
      </c>
      <c r="Y419" s="3">
        <v>0</v>
      </c>
      <c r="Z419" s="3">
        <v>0</v>
      </c>
      <c r="AA419" s="3">
        <v>282</v>
      </c>
      <c r="AB419" s="3">
        <v>1668</v>
      </c>
      <c r="AC419" s="192">
        <v>0</v>
      </c>
      <c r="AF419" s="193">
        <v>2.6388888888888889E-2</v>
      </c>
      <c r="AG419" s="193">
        <v>0.15555555555555556</v>
      </c>
      <c r="AH419" s="193">
        <v>0.44097222222222221</v>
      </c>
    </row>
    <row r="420" spans="1:34" x14ac:dyDescent="0.25">
      <c r="A420" s="3" t="s">
        <v>376</v>
      </c>
      <c r="B420" s="3">
        <v>133002</v>
      </c>
      <c r="C420" s="3">
        <v>941707</v>
      </c>
      <c r="D420" s="3" t="s">
        <v>3526</v>
      </c>
      <c r="E420" s="3">
        <v>6</v>
      </c>
      <c r="F420" s="3">
        <v>11</v>
      </c>
      <c r="G420" s="3">
        <v>11</v>
      </c>
      <c r="H420" s="55" t="s">
        <v>289</v>
      </c>
      <c r="I420" s="3" t="s">
        <v>279</v>
      </c>
      <c r="J420" s="135">
        <v>46210</v>
      </c>
      <c r="L420" s="3">
        <v>1820</v>
      </c>
      <c r="M420" s="3">
        <v>27036</v>
      </c>
      <c r="N420" s="3" t="s">
        <v>5195</v>
      </c>
      <c r="R420" s="3">
        <v>12</v>
      </c>
      <c r="S420" s="3" t="s">
        <v>5196</v>
      </c>
      <c r="T420" s="3" t="s">
        <v>4714</v>
      </c>
      <c r="U420" s="3" t="s">
        <v>280</v>
      </c>
      <c r="V420" s="3">
        <v>450</v>
      </c>
      <c r="W420" s="3">
        <v>0</v>
      </c>
      <c r="X420" s="3">
        <v>202</v>
      </c>
      <c r="Y420" s="3">
        <v>0</v>
      </c>
      <c r="Z420" s="3">
        <v>0</v>
      </c>
      <c r="AA420" s="3">
        <v>202</v>
      </c>
      <c r="AB420" s="3">
        <v>1870</v>
      </c>
      <c r="AC420" s="192">
        <v>4.1666666666666664E-2</v>
      </c>
      <c r="AD420" s="3" t="s">
        <v>294</v>
      </c>
      <c r="AE420" s="3" t="s">
        <v>295</v>
      </c>
      <c r="AF420" s="193">
        <v>1.8749999999999999E-2</v>
      </c>
      <c r="AG420" s="193">
        <v>0.17430555555555555</v>
      </c>
      <c r="AH420" s="193">
        <v>0.50138888888888888</v>
      </c>
    </row>
    <row r="421" spans="1:34" x14ac:dyDescent="0.25">
      <c r="A421" s="3" t="s">
        <v>376</v>
      </c>
      <c r="B421" s="3">
        <v>133002</v>
      </c>
      <c r="C421" s="3">
        <v>941707</v>
      </c>
      <c r="D421" s="3" t="s">
        <v>3526</v>
      </c>
      <c r="E421" s="3">
        <v>6</v>
      </c>
      <c r="F421" s="3">
        <v>12</v>
      </c>
      <c r="G421" s="3">
        <v>7</v>
      </c>
      <c r="H421" s="55" t="s">
        <v>289</v>
      </c>
      <c r="I421" s="3" t="s">
        <v>279</v>
      </c>
      <c r="J421" s="135">
        <v>46210</v>
      </c>
      <c r="L421" s="3">
        <v>1820</v>
      </c>
      <c r="M421" s="3">
        <v>27036</v>
      </c>
      <c r="N421" s="3" t="s">
        <v>5195</v>
      </c>
      <c r="R421" s="3">
        <v>12</v>
      </c>
      <c r="S421" s="3" t="s">
        <v>5196</v>
      </c>
      <c r="T421" s="3" t="s">
        <v>4714</v>
      </c>
      <c r="U421" s="3" t="s">
        <v>298</v>
      </c>
      <c r="V421" s="3">
        <v>450</v>
      </c>
      <c r="W421" s="3">
        <v>0</v>
      </c>
      <c r="X421" s="3">
        <v>100</v>
      </c>
      <c r="Y421" s="3">
        <v>0</v>
      </c>
      <c r="Z421" s="3">
        <v>0</v>
      </c>
      <c r="AA421" s="3">
        <v>100</v>
      </c>
      <c r="AB421" s="3">
        <v>1970</v>
      </c>
      <c r="AC421" s="192">
        <v>0</v>
      </c>
      <c r="AF421" s="193">
        <v>9.0277777777777769E-3</v>
      </c>
      <c r="AG421" s="193">
        <v>0.18333333333333332</v>
      </c>
      <c r="AH421" s="193">
        <v>0.51041666666666663</v>
      </c>
    </row>
    <row r="422" spans="1:34" x14ac:dyDescent="0.25">
      <c r="A422" s="3" t="s">
        <v>376</v>
      </c>
      <c r="B422" s="3">
        <v>133002</v>
      </c>
      <c r="C422" s="3">
        <v>941707</v>
      </c>
      <c r="D422" s="3" t="s">
        <v>3526</v>
      </c>
      <c r="E422" s="3">
        <v>6</v>
      </c>
      <c r="F422" s="3">
        <v>13</v>
      </c>
      <c r="G422" s="3">
        <v>8</v>
      </c>
      <c r="H422" s="55" t="s">
        <v>289</v>
      </c>
      <c r="I422" s="3" t="s">
        <v>279</v>
      </c>
      <c r="J422" s="135">
        <v>46210</v>
      </c>
      <c r="L422" s="3">
        <v>1820</v>
      </c>
      <c r="M422" s="3">
        <v>27036</v>
      </c>
      <c r="N422" s="3" t="s">
        <v>5195</v>
      </c>
      <c r="R422" s="3">
        <v>12</v>
      </c>
      <c r="S422" s="3" t="s">
        <v>5196</v>
      </c>
      <c r="T422" s="3" t="s">
        <v>4714</v>
      </c>
      <c r="U422" s="3">
        <v>35</v>
      </c>
      <c r="V422" s="3">
        <v>450</v>
      </c>
      <c r="W422" s="3">
        <v>0</v>
      </c>
      <c r="X422" s="3">
        <v>268</v>
      </c>
      <c r="Y422" s="3">
        <v>0</v>
      </c>
      <c r="Z422" s="3">
        <v>0</v>
      </c>
      <c r="AA422" s="3">
        <v>268</v>
      </c>
      <c r="AB422" s="3">
        <v>2238</v>
      </c>
      <c r="AC422" s="192">
        <v>0</v>
      </c>
      <c r="AF422" s="193">
        <v>2.5000000000000001E-2</v>
      </c>
      <c r="AG422" s="193">
        <v>0.20833333333333334</v>
      </c>
      <c r="AH422" s="193">
        <v>0.53541666666666665</v>
      </c>
    </row>
    <row r="423" spans="1:34" x14ac:dyDescent="0.25">
      <c r="A423" s="3" t="s">
        <v>376</v>
      </c>
      <c r="B423" s="3">
        <v>133002</v>
      </c>
      <c r="C423" s="3">
        <v>941707</v>
      </c>
      <c r="D423" s="3" t="s">
        <v>3526</v>
      </c>
      <c r="E423" s="3">
        <v>6</v>
      </c>
      <c r="F423" s="3">
        <v>14</v>
      </c>
      <c r="G423" s="3">
        <v>9</v>
      </c>
      <c r="H423" s="55" t="s">
        <v>289</v>
      </c>
      <c r="I423" s="3" t="s">
        <v>279</v>
      </c>
      <c r="J423" s="135">
        <v>46210</v>
      </c>
      <c r="L423" s="3">
        <v>1820</v>
      </c>
      <c r="M423" s="3">
        <v>27036</v>
      </c>
      <c r="N423" s="3" t="s">
        <v>5195</v>
      </c>
      <c r="R423" s="3">
        <v>12</v>
      </c>
      <c r="S423" s="3" t="s">
        <v>5196</v>
      </c>
      <c r="T423" s="3" t="s">
        <v>4714</v>
      </c>
      <c r="U423" s="3">
        <v>36</v>
      </c>
      <c r="V423" s="3">
        <v>450</v>
      </c>
      <c r="W423" s="3">
        <v>0</v>
      </c>
      <c r="X423" s="3">
        <v>300</v>
      </c>
      <c r="Y423" s="3">
        <v>0</v>
      </c>
      <c r="Z423" s="3">
        <v>0</v>
      </c>
      <c r="AA423" s="3">
        <v>300</v>
      </c>
      <c r="AB423" s="3">
        <v>2538</v>
      </c>
      <c r="AC423" s="192">
        <v>8.3333333333333332E-3</v>
      </c>
      <c r="AD423" s="3" t="s">
        <v>404</v>
      </c>
      <c r="AF423" s="193">
        <v>2.7777777777777776E-2</v>
      </c>
      <c r="AG423" s="193">
        <v>0.2361111111111111</v>
      </c>
      <c r="AH423" s="193">
        <v>0.57152777777777775</v>
      </c>
    </row>
    <row r="424" spans="1:34" x14ac:dyDescent="0.25">
      <c r="A424" s="3" t="s">
        <v>376</v>
      </c>
      <c r="B424" s="3">
        <v>133002</v>
      </c>
      <c r="C424" s="3">
        <v>941707</v>
      </c>
      <c r="D424" s="3" t="s">
        <v>3526</v>
      </c>
      <c r="E424" s="3">
        <v>6</v>
      </c>
      <c r="F424" s="3">
        <v>15</v>
      </c>
      <c r="G424" s="3">
        <v>10</v>
      </c>
      <c r="H424" s="55" t="s">
        <v>289</v>
      </c>
      <c r="I424" s="3" t="s">
        <v>279</v>
      </c>
      <c r="J424" s="135">
        <v>46210</v>
      </c>
      <c r="L424" s="3">
        <v>1820</v>
      </c>
      <c r="M424" s="3">
        <v>27036</v>
      </c>
      <c r="N424" s="3" t="s">
        <v>5195</v>
      </c>
      <c r="R424" s="3">
        <v>12</v>
      </c>
      <c r="S424" s="3" t="s">
        <v>5196</v>
      </c>
      <c r="T424" s="3" t="s">
        <v>4714</v>
      </c>
      <c r="U424" s="3" t="s">
        <v>284</v>
      </c>
      <c r="V424" s="3">
        <v>450</v>
      </c>
      <c r="W424" s="3">
        <v>0</v>
      </c>
      <c r="X424" s="3">
        <v>382</v>
      </c>
      <c r="Y424" s="3">
        <v>0</v>
      </c>
      <c r="Z424" s="3">
        <v>0</v>
      </c>
      <c r="AA424" s="3">
        <v>382</v>
      </c>
      <c r="AB424" s="3">
        <v>2920</v>
      </c>
      <c r="AC424" s="192">
        <v>0</v>
      </c>
      <c r="AF424" s="193">
        <v>3.5416666666666666E-2</v>
      </c>
      <c r="AG424" s="193">
        <v>0.27152777777777776</v>
      </c>
      <c r="AH424" s="193">
        <v>0.6069444444444444</v>
      </c>
    </row>
    <row r="425" spans="1:34" x14ac:dyDescent="0.25">
      <c r="A425" s="3" t="s">
        <v>376</v>
      </c>
      <c r="B425" s="3">
        <v>141156</v>
      </c>
      <c r="C425" s="3">
        <v>942207</v>
      </c>
      <c r="D425" s="3" t="s">
        <v>3526</v>
      </c>
      <c r="E425" s="3">
        <v>7</v>
      </c>
      <c r="F425" s="3">
        <v>16</v>
      </c>
      <c r="G425" s="3">
        <v>9</v>
      </c>
      <c r="H425" s="55" t="s">
        <v>289</v>
      </c>
      <c r="I425" s="3" t="s">
        <v>279</v>
      </c>
      <c r="J425" s="135">
        <v>46302</v>
      </c>
      <c r="L425" s="3">
        <v>1820</v>
      </c>
      <c r="M425" s="3">
        <v>26790</v>
      </c>
      <c r="N425" s="3" t="s">
        <v>5317</v>
      </c>
      <c r="R425" s="3">
        <v>8</v>
      </c>
      <c r="S425" s="3" t="s">
        <v>5428</v>
      </c>
      <c r="T425" s="3" t="s">
        <v>5271</v>
      </c>
      <c r="U425" s="3" t="s">
        <v>313</v>
      </c>
      <c r="V425" s="3">
        <v>450</v>
      </c>
      <c r="W425" s="3">
        <v>0</v>
      </c>
      <c r="X425" s="3">
        <v>1224</v>
      </c>
      <c r="Y425" s="3">
        <v>0</v>
      </c>
      <c r="Z425" s="3">
        <v>0</v>
      </c>
      <c r="AA425" s="3">
        <v>1224</v>
      </c>
      <c r="AB425" s="3">
        <v>4144</v>
      </c>
      <c r="AC425" s="192">
        <v>0</v>
      </c>
      <c r="AF425" s="193">
        <v>0.11319444444444444</v>
      </c>
      <c r="AG425" s="193">
        <v>0.38472222222222224</v>
      </c>
      <c r="AH425" s="193">
        <v>0.7270833333333333</v>
      </c>
    </row>
    <row r="426" spans="1:34" x14ac:dyDescent="0.25">
      <c r="A426" s="3" t="s">
        <v>376</v>
      </c>
      <c r="B426" s="3">
        <v>132973</v>
      </c>
      <c r="C426" s="3">
        <v>942207</v>
      </c>
      <c r="D426" s="3" t="s">
        <v>3526</v>
      </c>
      <c r="E426" s="3">
        <v>7</v>
      </c>
      <c r="F426" s="3">
        <v>17</v>
      </c>
      <c r="G426" s="3">
        <v>7</v>
      </c>
      <c r="H426" s="55" t="s">
        <v>289</v>
      </c>
      <c r="I426" s="3" t="s">
        <v>279</v>
      </c>
      <c r="J426" s="135">
        <v>46180</v>
      </c>
      <c r="L426" s="3">
        <v>1820</v>
      </c>
      <c r="M426" s="3">
        <v>26790</v>
      </c>
      <c r="N426" s="3" t="s">
        <v>5317</v>
      </c>
      <c r="R426" s="3">
        <v>8</v>
      </c>
      <c r="S426" s="3" t="s">
        <v>5428</v>
      </c>
      <c r="T426" s="3" t="s">
        <v>5271</v>
      </c>
      <c r="U426" s="3" t="s">
        <v>313</v>
      </c>
      <c r="V426" s="3">
        <v>450</v>
      </c>
      <c r="W426" s="3">
        <v>0</v>
      </c>
      <c r="X426" s="3">
        <v>42</v>
      </c>
      <c r="Y426" s="3">
        <v>0</v>
      </c>
      <c r="Z426" s="3">
        <v>0</v>
      </c>
      <c r="AA426" s="3">
        <v>42</v>
      </c>
      <c r="AB426" s="3">
        <v>4186</v>
      </c>
      <c r="AC426" s="192">
        <v>0</v>
      </c>
      <c r="AF426" s="193">
        <v>4.1666666666666666E-3</v>
      </c>
      <c r="AG426" s="193">
        <v>0.38819444444444445</v>
      </c>
      <c r="AH426" s="193">
        <v>0.73124999999999996</v>
      </c>
    </row>
    <row r="427" spans="1:34" x14ac:dyDescent="0.25">
      <c r="A427" s="3" t="s">
        <v>376</v>
      </c>
      <c r="B427" s="3">
        <v>132973</v>
      </c>
      <c r="C427" s="3">
        <v>942207</v>
      </c>
      <c r="D427" s="3" t="s">
        <v>3526</v>
      </c>
      <c r="E427" s="3">
        <v>7</v>
      </c>
      <c r="F427" s="3">
        <v>18</v>
      </c>
      <c r="G427" s="3">
        <v>9</v>
      </c>
      <c r="H427" s="55" t="s">
        <v>289</v>
      </c>
      <c r="I427" s="3" t="s">
        <v>279</v>
      </c>
      <c r="J427" s="135">
        <v>46180</v>
      </c>
      <c r="L427" s="3">
        <v>1820</v>
      </c>
      <c r="M427" s="3">
        <v>26790</v>
      </c>
      <c r="N427" s="3" t="s">
        <v>5317</v>
      </c>
      <c r="R427" s="3">
        <v>8</v>
      </c>
      <c r="S427" s="3" t="s">
        <v>5428</v>
      </c>
      <c r="T427" s="3" t="s">
        <v>5271</v>
      </c>
      <c r="U427" s="3" t="s">
        <v>298</v>
      </c>
      <c r="V427" s="3">
        <v>450</v>
      </c>
      <c r="W427" s="3">
        <v>0</v>
      </c>
      <c r="X427" s="3">
        <v>118</v>
      </c>
      <c r="Y427" s="3">
        <v>0</v>
      </c>
      <c r="Z427" s="3">
        <v>0</v>
      </c>
      <c r="AA427" s="3">
        <v>118</v>
      </c>
      <c r="AB427" s="3">
        <v>4304</v>
      </c>
      <c r="AC427" s="192">
        <v>0</v>
      </c>
      <c r="AF427" s="193">
        <v>1.1111111111111112E-2</v>
      </c>
      <c r="AG427" s="193">
        <v>0.39930555555555558</v>
      </c>
      <c r="AH427" s="193">
        <v>0.74236111111111114</v>
      </c>
    </row>
    <row r="428" spans="1:34" x14ac:dyDescent="0.25">
      <c r="A428" s="3" t="s">
        <v>376</v>
      </c>
      <c r="B428" s="3">
        <v>141156</v>
      </c>
      <c r="C428" s="3">
        <v>942207</v>
      </c>
      <c r="D428" s="3" t="s">
        <v>3526</v>
      </c>
      <c r="E428" s="3">
        <v>7</v>
      </c>
      <c r="F428" s="3">
        <v>19</v>
      </c>
      <c r="G428" s="3">
        <v>13</v>
      </c>
      <c r="H428" s="55" t="s">
        <v>289</v>
      </c>
      <c r="I428" s="3" t="s">
        <v>5358</v>
      </c>
      <c r="J428" s="135">
        <v>46302</v>
      </c>
      <c r="L428" s="3">
        <v>1820</v>
      </c>
      <c r="M428" s="3">
        <v>26790</v>
      </c>
      <c r="N428" s="3" t="s">
        <v>5317</v>
      </c>
      <c r="R428" s="3">
        <v>8</v>
      </c>
      <c r="S428" s="3" t="s">
        <v>5428</v>
      </c>
      <c r="T428" s="3" t="s">
        <v>5271</v>
      </c>
      <c r="U428" s="3" t="s">
        <v>298</v>
      </c>
      <c r="V428" s="3">
        <v>450</v>
      </c>
      <c r="W428" s="3">
        <v>0</v>
      </c>
      <c r="X428" s="3">
        <v>689</v>
      </c>
      <c r="Y428" s="3">
        <v>0</v>
      </c>
      <c r="Z428" s="3">
        <v>0</v>
      </c>
      <c r="AA428" s="3">
        <v>689</v>
      </c>
      <c r="AB428" s="3">
        <v>4993</v>
      </c>
      <c r="AC428" s="192">
        <v>0.05</v>
      </c>
      <c r="AD428" s="3" t="s">
        <v>285</v>
      </c>
      <c r="AE428" s="3" t="s">
        <v>286</v>
      </c>
      <c r="AF428" s="193">
        <v>6.3888888888888884E-2</v>
      </c>
      <c r="AG428" s="193">
        <v>0.46319444444444446</v>
      </c>
      <c r="AH428" s="193">
        <v>0.85624999999999996</v>
      </c>
    </row>
    <row r="429" spans="1:34" x14ac:dyDescent="0.25">
      <c r="A429" s="3" t="s">
        <v>376</v>
      </c>
      <c r="B429" s="3">
        <v>132973</v>
      </c>
      <c r="C429" s="3">
        <v>942207</v>
      </c>
      <c r="D429" s="3" t="s">
        <v>3526</v>
      </c>
      <c r="E429" s="3">
        <v>7</v>
      </c>
      <c r="F429" s="3">
        <v>20</v>
      </c>
      <c r="G429" s="3">
        <v>6</v>
      </c>
      <c r="H429" s="55" t="s">
        <v>289</v>
      </c>
      <c r="I429" s="3" t="s">
        <v>5358</v>
      </c>
      <c r="J429" s="135">
        <v>46180</v>
      </c>
      <c r="L429" s="3">
        <v>1820</v>
      </c>
      <c r="M429" s="3">
        <v>26790</v>
      </c>
      <c r="N429" s="3" t="s">
        <v>5317</v>
      </c>
      <c r="R429" s="3">
        <v>8</v>
      </c>
      <c r="S429" s="3" t="s">
        <v>5428</v>
      </c>
      <c r="T429" s="3" t="s">
        <v>5271</v>
      </c>
      <c r="U429" s="3" t="s">
        <v>290</v>
      </c>
      <c r="V429" s="3">
        <v>450</v>
      </c>
      <c r="W429" s="3">
        <v>0</v>
      </c>
      <c r="X429" s="3">
        <v>80</v>
      </c>
      <c r="Y429" s="3">
        <v>0</v>
      </c>
      <c r="Z429" s="3">
        <v>0</v>
      </c>
      <c r="AA429" s="3">
        <v>80</v>
      </c>
      <c r="AB429" s="3">
        <v>5073</v>
      </c>
      <c r="AC429" s="192">
        <v>0</v>
      </c>
      <c r="AF429" s="193">
        <v>7.6388888888888886E-3</v>
      </c>
      <c r="AG429" s="193">
        <v>0.47083333333333333</v>
      </c>
      <c r="AH429" s="193">
        <v>0.86388888888888893</v>
      </c>
    </row>
    <row r="430" spans="1:34" x14ac:dyDescent="0.25">
      <c r="A430" s="3" t="s">
        <v>376</v>
      </c>
      <c r="B430" s="3">
        <v>141156</v>
      </c>
      <c r="C430" s="3">
        <v>942207</v>
      </c>
      <c r="D430" s="3" t="s">
        <v>3526</v>
      </c>
      <c r="E430" s="3">
        <v>7</v>
      </c>
      <c r="F430" s="3">
        <v>21</v>
      </c>
      <c r="G430" s="3">
        <v>8</v>
      </c>
      <c r="H430" s="55" t="s">
        <v>289</v>
      </c>
      <c r="I430" s="3" t="s">
        <v>5358</v>
      </c>
      <c r="J430" s="135">
        <v>46302</v>
      </c>
      <c r="L430" s="3">
        <v>1820</v>
      </c>
      <c r="M430" s="3">
        <v>26790</v>
      </c>
      <c r="N430" s="3" t="s">
        <v>5317</v>
      </c>
      <c r="R430" s="3">
        <v>8</v>
      </c>
      <c r="S430" s="3" t="s">
        <v>5428</v>
      </c>
      <c r="T430" s="3" t="s">
        <v>5271</v>
      </c>
      <c r="U430" s="3" t="s">
        <v>290</v>
      </c>
      <c r="V430" s="3">
        <v>450</v>
      </c>
      <c r="W430" s="3">
        <v>0</v>
      </c>
      <c r="X430" s="3">
        <v>648</v>
      </c>
      <c r="Y430" s="3">
        <v>0</v>
      </c>
      <c r="Z430" s="3">
        <v>0</v>
      </c>
      <c r="AA430" s="3">
        <v>648</v>
      </c>
      <c r="AB430" s="3">
        <v>5721</v>
      </c>
      <c r="AC430" s="192">
        <v>0</v>
      </c>
      <c r="AF430" s="193">
        <v>5.9722222222222225E-2</v>
      </c>
      <c r="AG430" s="193">
        <v>0.53055555555555556</v>
      </c>
      <c r="AH430" s="193">
        <v>0.92361111111111116</v>
      </c>
    </row>
    <row r="431" spans="1:34" x14ac:dyDescent="0.25">
      <c r="A431" s="3" t="s">
        <v>376</v>
      </c>
      <c r="B431" s="3">
        <v>132973</v>
      </c>
      <c r="C431" s="3">
        <v>942207</v>
      </c>
      <c r="D431" s="3" t="s">
        <v>3526</v>
      </c>
      <c r="E431" s="3">
        <v>7</v>
      </c>
      <c r="F431" s="3">
        <v>22</v>
      </c>
      <c r="G431" s="3">
        <v>8</v>
      </c>
      <c r="H431" s="55" t="s">
        <v>289</v>
      </c>
      <c r="I431" s="3" t="s">
        <v>5358</v>
      </c>
      <c r="J431" s="135">
        <v>46180</v>
      </c>
      <c r="L431" s="3">
        <v>1820</v>
      </c>
      <c r="M431" s="3">
        <v>26790</v>
      </c>
      <c r="N431" s="3" t="s">
        <v>5317</v>
      </c>
      <c r="R431" s="3">
        <v>8</v>
      </c>
      <c r="S431" s="3" t="s">
        <v>5428</v>
      </c>
      <c r="T431" s="3" t="s">
        <v>5271</v>
      </c>
      <c r="U431" s="3" t="s">
        <v>304</v>
      </c>
      <c r="V431" s="3">
        <v>450</v>
      </c>
      <c r="W431" s="3">
        <v>0</v>
      </c>
      <c r="X431" s="3">
        <v>54</v>
      </c>
      <c r="Y431" s="3">
        <v>0</v>
      </c>
      <c r="Z431" s="3">
        <v>0</v>
      </c>
      <c r="AA431" s="3">
        <v>54</v>
      </c>
      <c r="AB431" s="3">
        <v>5775</v>
      </c>
      <c r="AC431" s="192">
        <v>0</v>
      </c>
      <c r="AF431" s="193">
        <v>4.8611111111111112E-3</v>
      </c>
      <c r="AG431" s="193">
        <v>0.53541666666666665</v>
      </c>
      <c r="AH431" s="193">
        <v>0.92847222222222225</v>
      </c>
    </row>
    <row r="432" spans="1:34" x14ac:dyDescent="0.25">
      <c r="A432" s="3" t="s">
        <v>381</v>
      </c>
      <c r="B432" s="3">
        <v>129592</v>
      </c>
      <c r="C432" s="3">
        <v>941407</v>
      </c>
      <c r="D432" s="3" t="s">
        <v>3526</v>
      </c>
      <c r="E432" s="3">
        <v>5</v>
      </c>
      <c r="F432" s="3">
        <v>1</v>
      </c>
      <c r="G432" s="3">
        <v>4</v>
      </c>
      <c r="H432" s="55" t="s">
        <v>289</v>
      </c>
      <c r="I432" s="3" t="s">
        <v>279</v>
      </c>
      <c r="J432" s="135">
        <v>46088</v>
      </c>
      <c r="K432" s="135">
        <v>46302</v>
      </c>
      <c r="L432" s="3">
        <v>180</v>
      </c>
      <c r="M432" s="3">
        <v>11840</v>
      </c>
      <c r="N432" s="3" t="s">
        <v>5201</v>
      </c>
      <c r="R432" s="3">
        <v>8</v>
      </c>
      <c r="S432" s="3" t="s">
        <v>999</v>
      </c>
      <c r="T432" s="3" t="s">
        <v>5202</v>
      </c>
      <c r="U432" s="3">
        <v>42</v>
      </c>
      <c r="V432" s="3">
        <v>401</v>
      </c>
      <c r="W432" s="3">
        <v>0</v>
      </c>
      <c r="X432" s="3">
        <v>840</v>
      </c>
      <c r="Y432" s="3">
        <v>792</v>
      </c>
      <c r="Z432" s="3">
        <v>0</v>
      </c>
      <c r="AA432" s="3">
        <v>48</v>
      </c>
      <c r="AB432" s="3">
        <v>48</v>
      </c>
      <c r="AC432" s="192">
        <v>0</v>
      </c>
      <c r="AF432" s="193">
        <v>4.8611111111111112E-3</v>
      </c>
      <c r="AG432" s="193">
        <v>4.8611111111111112E-3</v>
      </c>
      <c r="AH432" s="193">
        <v>0.28194444444444444</v>
      </c>
    </row>
    <row r="433" spans="1:34" x14ac:dyDescent="0.25">
      <c r="A433" s="3" t="s">
        <v>381</v>
      </c>
      <c r="B433" s="3">
        <v>129592</v>
      </c>
      <c r="C433" s="3">
        <v>941407</v>
      </c>
      <c r="D433" s="3" t="s">
        <v>3526</v>
      </c>
      <c r="E433" s="3">
        <v>5</v>
      </c>
      <c r="F433" s="3">
        <v>2</v>
      </c>
      <c r="G433" s="3">
        <v>3</v>
      </c>
      <c r="H433" s="55" t="s">
        <v>289</v>
      </c>
      <c r="I433" s="3" t="s">
        <v>279</v>
      </c>
      <c r="J433" s="135">
        <v>46088</v>
      </c>
      <c r="K433" s="135">
        <v>46302</v>
      </c>
      <c r="L433" s="3">
        <v>180</v>
      </c>
      <c r="M433" s="3">
        <v>11840</v>
      </c>
      <c r="N433" s="3" t="s">
        <v>5201</v>
      </c>
      <c r="R433" s="3">
        <v>8</v>
      </c>
      <c r="S433" s="3" t="s">
        <v>999</v>
      </c>
      <c r="T433" s="3" t="s">
        <v>5202</v>
      </c>
      <c r="U433" s="3">
        <v>41</v>
      </c>
      <c r="V433" s="3">
        <v>401</v>
      </c>
      <c r="W433" s="3">
        <v>0</v>
      </c>
      <c r="X433" s="3">
        <v>830</v>
      </c>
      <c r="Y433" s="3">
        <v>782</v>
      </c>
      <c r="Z433" s="3">
        <v>0</v>
      </c>
      <c r="AA433" s="3">
        <v>48</v>
      </c>
      <c r="AB433" s="3">
        <v>96</v>
      </c>
      <c r="AC433" s="192">
        <v>0</v>
      </c>
      <c r="AF433" s="193">
        <v>4.8611111111111112E-3</v>
      </c>
      <c r="AG433" s="193">
        <v>9.7222222222222224E-3</v>
      </c>
      <c r="AH433" s="193">
        <v>0.28680555555555554</v>
      </c>
    </row>
    <row r="434" spans="1:34" x14ac:dyDescent="0.25">
      <c r="A434" s="3" t="s">
        <v>381</v>
      </c>
      <c r="B434" s="3">
        <v>135165</v>
      </c>
      <c r="C434" s="3">
        <v>941707</v>
      </c>
      <c r="D434" s="3" t="s">
        <v>3526</v>
      </c>
      <c r="E434" s="3">
        <v>6</v>
      </c>
      <c r="F434" s="3">
        <v>3</v>
      </c>
      <c r="G434" s="3">
        <v>6</v>
      </c>
      <c r="H434" s="55" t="s">
        <v>289</v>
      </c>
      <c r="I434" s="3" t="s">
        <v>279</v>
      </c>
      <c r="J434" s="135">
        <v>46210</v>
      </c>
      <c r="K434" s="3" t="s">
        <v>5096</v>
      </c>
      <c r="L434" s="3">
        <v>180</v>
      </c>
      <c r="M434" s="3">
        <v>11840</v>
      </c>
      <c r="N434" s="3" t="s">
        <v>5201</v>
      </c>
      <c r="R434" s="3">
        <v>6</v>
      </c>
      <c r="S434" s="3" t="s">
        <v>980</v>
      </c>
      <c r="T434" s="3" t="s">
        <v>5203</v>
      </c>
      <c r="U434" s="3" t="s">
        <v>281</v>
      </c>
      <c r="V434" s="3">
        <v>403</v>
      </c>
      <c r="W434" s="3">
        <v>0</v>
      </c>
      <c r="X434" s="3">
        <v>1790</v>
      </c>
      <c r="Y434" s="3">
        <v>1718</v>
      </c>
      <c r="Z434" s="3">
        <v>0</v>
      </c>
      <c r="AA434" s="3">
        <v>72</v>
      </c>
      <c r="AB434" s="3">
        <v>168</v>
      </c>
      <c r="AC434" s="192">
        <v>0</v>
      </c>
      <c r="AF434" s="193">
        <v>7.6388888888888886E-3</v>
      </c>
      <c r="AG434" s="193">
        <v>1.7361111111111112E-2</v>
      </c>
      <c r="AH434" s="193">
        <v>0.29444444444444445</v>
      </c>
    </row>
    <row r="435" spans="1:34" x14ac:dyDescent="0.25">
      <c r="A435" s="3" t="s">
        <v>381</v>
      </c>
      <c r="B435" s="3">
        <v>135165</v>
      </c>
      <c r="C435" s="3">
        <v>941707</v>
      </c>
      <c r="D435" s="3" t="s">
        <v>3526</v>
      </c>
      <c r="E435" s="3">
        <v>6</v>
      </c>
      <c r="F435" s="3">
        <v>4</v>
      </c>
      <c r="G435" s="3">
        <v>2</v>
      </c>
      <c r="H435" s="55" t="s">
        <v>289</v>
      </c>
      <c r="I435" s="3" t="s">
        <v>279</v>
      </c>
      <c r="J435" s="135">
        <v>46210</v>
      </c>
      <c r="K435" s="3" t="s">
        <v>5096</v>
      </c>
      <c r="L435" s="3">
        <v>180</v>
      </c>
      <c r="M435" s="3">
        <v>11840</v>
      </c>
      <c r="N435" s="3" t="s">
        <v>5201</v>
      </c>
      <c r="R435" s="3">
        <v>6</v>
      </c>
      <c r="S435" s="3" t="s">
        <v>980</v>
      </c>
      <c r="T435" s="3" t="s">
        <v>5203</v>
      </c>
      <c r="U435" s="3">
        <v>39</v>
      </c>
      <c r="V435" s="3">
        <v>403</v>
      </c>
      <c r="W435" s="3">
        <v>0</v>
      </c>
      <c r="X435" s="3">
        <v>2632</v>
      </c>
      <c r="Y435" s="3">
        <v>2560</v>
      </c>
      <c r="Z435" s="3">
        <v>0</v>
      </c>
      <c r="AA435" s="3">
        <v>72</v>
      </c>
      <c r="AB435" s="3">
        <v>240</v>
      </c>
      <c r="AC435" s="192">
        <v>0</v>
      </c>
      <c r="AF435" s="193">
        <v>7.6388888888888886E-3</v>
      </c>
      <c r="AG435" s="193">
        <v>2.5000000000000001E-2</v>
      </c>
      <c r="AH435" s="193">
        <v>0.30208333333333331</v>
      </c>
    </row>
    <row r="436" spans="1:34" x14ac:dyDescent="0.25">
      <c r="A436" s="3" t="s">
        <v>381</v>
      </c>
      <c r="B436" s="3">
        <v>135166</v>
      </c>
      <c r="C436" s="3">
        <v>941707</v>
      </c>
      <c r="D436" s="3" t="s">
        <v>3526</v>
      </c>
      <c r="E436" s="3">
        <v>6</v>
      </c>
      <c r="F436" s="3">
        <v>5</v>
      </c>
      <c r="G436" s="3">
        <v>1</v>
      </c>
      <c r="H436" s="55" t="s">
        <v>289</v>
      </c>
      <c r="I436" s="3" t="s">
        <v>279</v>
      </c>
      <c r="J436" s="135">
        <v>46210</v>
      </c>
      <c r="K436" s="3" t="s">
        <v>5291</v>
      </c>
      <c r="L436" s="3">
        <v>180</v>
      </c>
      <c r="M436" s="3">
        <v>11840</v>
      </c>
      <c r="N436" s="3" t="s">
        <v>5201</v>
      </c>
      <c r="R436" s="3">
        <v>8</v>
      </c>
      <c r="S436" s="3" t="s">
        <v>986</v>
      </c>
      <c r="T436" s="3" t="s">
        <v>5203</v>
      </c>
      <c r="U436" s="3">
        <v>39</v>
      </c>
      <c r="V436" s="3">
        <v>401</v>
      </c>
      <c r="W436" s="3">
        <v>0</v>
      </c>
      <c r="X436" s="3">
        <v>130</v>
      </c>
      <c r="Y436" s="3">
        <v>120</v>
      </c>
      <c r="Z436" s="3">
        <v>0</v>
      </c>
      <c r="AA436" s="3">
        <v>10</v>
      </c>
      <c r="AB436" s="3">
        <v>250</v>
      </c>
      <c r="AC436" s="192">
        <v>0</v>
      </c>
      <c r="AF436" s="193">
        <v>6.9444444444444447E-4</v>
      </c>
      <c r="AG436" s="193">
        <v>2.5694444444444443E-2</v>
      </c>
      <c r="AH436" s="193">
        <v>0.30277777777777776</v>
      </c>
    </row>
    <row r="437" spans="1:34" x14ac:dyDescent="0.25">
      <c r="A437" s="3" t="s">
        <v>381</v>
      </c>
      <c r="B437" s="3">
        <v>135166</v>
      </c>
      <c r="C437" s="3">
        <v>941707</v>
      </c>
      <c r="D437" s="3" t="s">
        <v>3526</v>
      </c>
      <c r="E437" s="3">
        <v>6</v>
      </c>
      <c r="F437" s="3">
        <v>6</v>
      </c>
      <c r="G437" s="3">
        <v>2</v>
      </c>
      <c r="H437" s="55" t="s">
        <v>289</v>
      </c>
      <c r="I437" s="3" t="s">
        <v>279</v>
      </c>
      <c r="J437" s="135">
        <v>46210</v>
      </c>
      <c r="K437" s="3" t="s">
        <v>5291</v>
      </c>
      <c r="L437" s="3">
        <v>180</v>
      </c>
      <c r="M437" s="3">
        <v>11840</v>
      </c>
      <c r="N437" s="3" t="s">
        <v>5201</v>
      </c>
      <c r="R437" s="3">
        <v>8</v>
      </c>
      <c r="S437" s="3" t="s">
        <v>986</v>
      </c>
      <c r="T437" s="3" t="s">
        <v>5203</v>
      </c>
      <c r="U437" s="3">
        <v>40</v>
      </c>
      <c r="V437" s="3">
        <v>401</v>
      </c>
      <c r="W437" s="3">
        <v>0</v>
      </c>
      <c r="X437" s="3">
        <v>762</v>
      </c>
      <c r="Y437" s="3">
        <v>738</v>
      </c>
      <c r="Z437" s="3">
        <v>0</v>
      </c>
      <c r="AA437" s="3">
        <v>24</v>
      </c>
      <c r="AB437" s="3">
        <v>274</v>
      </c>
      <c r="AC437" s="192">
        <v>0</v>
      </c>
      <c r="AF437" s="193">
        <v>2.7777777777777779E-3</v>
      </c>
      <c r="AG437" s="193">
        <v>2.8472222222222222E-2</v>
      </c>
      <c r="AH437" s="193">
        <v>0.30555555555555558</v>
      </c>
    </row>
    <row r="438" spans="1:34" x14ac:dyDescent="0.25">
      <c r="A438" s="3" t="s">
        <v>381</v>
      </c>
      <c r="B438" s="3">
        <v>135168</v>
      </c>
      <c r="C438" s="3">
        <v>941707</v>
      </c>
      <c r="D438" s="3" t="s">
        <v>3526</v>
      </c>
      <c r="E438" s="3">
        <v>6</v>
      </c>
      <c r="F438" s="3">
        <v>7</v>
      </c>
      <c r="G438" s="3">
        <v>2</v>
      </c>
      <c r="H438" s="55" t="s">
        <v>289</v>
      </c>
      <c r="I438" s="3" t="s">
        <v>279</v>
      </c>
      <c r="J438" s="135">
        <v>46210</v>
      </c>
      <c r="K438" s="3" t="s">
        <v>5291</v>
      </c>
      <c r="L438" s="3">
        <v>180</v>
      </c>
      <c r="M438" s="3">
        <v>11840</v>
      </c>
      <c r="N438" s="3" t="s">
        <v>5201</v>
      </c>
      <c r="R438" s="3">
        <v>8</v>
      </c>
      <c r="S438" s="3" t="s">
        <v>996</v>
      </c>
      <c r="T438" s="3" t="s">
        <v>5204</v>
      </c>
      <c r="U438" s="3">
        <v>40</v>
      </c>
      <c r="V438" s="3">
        <v>401</v>
      </c>
      <c r="W438" s="3">
        <v>0</v>
      </c>
      <c r="X438" s="3">
        <v>128</v>
      </c>
      <c r="Y438" s="3">
        <v>120</v>
      </c>
      <c r="Z438" s="3">
        <v>0</v>
      </c>
      <c r="AA438" s="3">
        <v>8</v>
      </c>
      <c r="AB438" s="3">
        <v>282</v>
      </c>
      <c r="AC438" s="192">
        <v>0</v>
      </c>
      <c r="AF438" s="193">
        <v>6.9444444444444447E-4</v>
      </c>
      <c r="AG438" s="193">
        <v>2.9166666666666667E-2</v>
      </c>
      <c r="AH438" s="193">
        <v>0.30625000000000002</v>
      </c>
    </row>
    <row r="439" spans="1:34" x14ac:dyDescent="0.25">
      <c r="A439" s="3" t="s">
        <v>381</v>
      </c>
      <c r="B439" s="3">
        <v>136957</v>
      </c>
      <c r="C439" s="3">
        <v>942207</v>
      </c>
      <c r="D439" s="3" t="s">
        <v>3526</v>
      </c>
      <c r="E439" s="3">
        <v>7</v>
      </c>
      <c r="F439" s="3">
        <v>8</v>
      </c>
      <c r="G439" s="3">
        <v>4</v>
      </c>
      <c r="H439" s="55" t="s">
        <v>289</v>
      </c>
      <c r="I439" s="3" t="s">
        <v>279</v>
      </c>
      <c r="J439" s="135">
        <v>46241</v>
      </c>
      <c r="K439" s="3" t="s">
        <v>5291</v>
      </c>
      <c r="L439" s="3">
        <v>180</v>
      </c>
      <c r="M439" s="3">
        <v>11840</v>
      </c>
      <c r="N439" s="3" t="s">
        <v>5201</v>
      </c>
      <c r="R439" s="3">
        <v>6</v>
      </c>
      <c r="S439" s="3" t="s">
        <v>980</v>
      </c>
      <c r="T439" s="3" t="s">
        <v>5203</v>
      </c>
      <c r="U439" s="3">
        <v>41</v>
      </c>
      <c r="V439" s="3">
        <v>403</v>
      </c>
      <c r="W439" s="3">
        <v>0</v>
      </c>
      <c r="X439" s="3">
        <v>2888</v>
      </c>
      <c r="Y439" s="3">
        <v>2744</v>
      </c>
      <c r="Z439" s="3">
        <v>0</v>
      </c>
      <c r="AA439" s="3">
        <v>144</v>
      </c>
      <c r="AB439" s="3">
        <v>426</v>
      </c>
      <c r="AC439" s="192">
        <v>0</v>
      </c>
      <c r="AF439" s="193">
        <v>1.4583333333333334E-2</v>
      </c>
      <c r="AG439" s="193">
        <v>4.4444444444444446E-2</v>
      </c>
      <c r="AH439" s="193">
        <v>0.32083333333333336</v>
      </c>
    </row>
    <row r="440" spans="1:34" x14ac:dyDescent="0.25">
      <c r="A440" s="3" t="s">
        <v>381</v>
      </c>
      <c r="B440" s="3">
        <v>136957</v>
      </c>
      <c r="C440" s="3">
        <v>942207</v>
      </c>
      <c r="D440" s="3" t="s">
        <v>3526</v>
      </c>
      <c r="E440" s="3">
        <v>7</v>
      </c>
      <c r="F440" s="3">
        <v>9</v>
      </c>
      <c r="G440" s="3">
        <v>1</v>
      </c>
      <c r="H440" s="55" t="s">
        <v>289</v>
      </c>
      <c r="I440" s="3" t="s">
        <v>279</v>
      </c>
      <c r="J440" s="135">
        <v>46241</v>
      </c>
      <c r="K440" s="3" t="s">
        <v>5363</v>
      </c>
      <c r="L440" s="3">
        <v>180</v>
      </c>
      <c r="M440" s="3">
        <v>11840</v>
      </c>
      <c r="N440" s="3" t="s">
        <v>5201</v>
      </c>
      <c r="R440" s="3">
        <v>6</v>
      </c>
      <c r="S440" s="3" t="s">
        <v>980</v>
      </c>
      <c r="T440" s="3" t="s">
        <v>5203</v>
      </c>
      <c r="U440" s="3" t="s">
        <v>284</v>
      </c>
      <c r="V440" s="3">
        <v>403</v>
      </c>
      <c r="W440" s="3">
        <v>0</v>
      </c>
      <c r="X440" s="3">
        <v>1312</v>
      </c>
      <c r="Y440" s="3">
        <v>208</v>
      </c>
      <c r="Z440" s="3">
        <v>0</v>
      </c>
      <c r="AA440" s="3">
        <v>1104</v>
      </c>
      <c r="AB440" s="3">
        <v>1530</v>
      </c>
      <c r="AC440" s="192">
        <v>8.3333333333333332E-3</v>
      </c>
      <c r="AD440" s="3" t="s">
        <v>292</v>
      </c>
      <c r="AF440" s="193">
        <v>0.11388888888888889</v>
      </c>
      <c r="AG440" s="193">
        <v>0.15833333333333333</v>
      </c>
      <c r="AH440" s="193">
        <v>0.44305555555555554</v>
      </c>
    </row>
    <row r="441" spans="1:34" x14ac:dyDescent="0.25">
      <c r="A441" s="3" t="s">
        <v>381</v>
      </c>
      <c r="B441" s="3">
        <v>136957</v>
      </c>
      <c r="C441" s="3">
        <v>942207</v>
      </c>
      <c r="D441" s="3" t="s">
        <v>3526</v>
      </c>
      <c r="E441" s="3">
        <v>7</v>
      </c>
      <c r="F441" s="3">
        <v>10</v>
      </c>
      <c r="G441" s="3">
        <v>2</v>
      </c>
      <c r="H441" s="55" t="s">
        <v>289</v>
      </c>
      <c r="I441" s="3" t="s">
        <v>279</v>
      </c>
      <c r="J441" s="135">
        <v>46241</v>
      </c>
      <c r="L441" s="3">
        <v>180</v>
      </c>
      <c r="M441" s="3">
        <v>11840</v>
      </c>
      <c r="N441" s="3" t="s">
        <v>5201</v>
      </c>
      <c r="R441" s="3">
        <v>6</v>
      </c>
      <c r="S441" s="3" t="s">
        <v>980</v>
      </c>
      <c r="T441" s="3" t="s">
        <v>5203</v>
      </c>
      <c r="U441" s="3">
        <v>39</v>
      </c>
      <c r="V441" s="3">
        <v>403</v>
      </c>
      <c r="W441" s="3">
        <v>0</v>
      </c>
      <c r="X441" s="3">
        <v>1928</v>
      </c>
      <c r="Y441" s="3">
        <v>0</v>
      </c>
      <c r="Z441" s="3">
        <v>0</v>
      </c>
      <c r="AA441" s="3">
        <v>1928</v>
      </c>
      <c r="AB441" s="3">
        <v>3458</v>
      </c>
      <c r="AC441" s="192">
        <v>0.05</v>
      </c>
      <c r="AD441" s="3" t="s">
        <v>294</v>
      </c>
      <c r="AE441" s="3" t="s">
        <v>5292</v>
      </c>
      <c r="AF441" s="193">
        <v>0.19930555555555557</v>
      </c>
      <c r="AG441" s="193">
        <v>0.3576388888888889</v>
      </c>
      <c r="AH441" s="193">
        <v>0.69930555555555551</v>
      </c>
    </row>
    <row r="442" spans="1:34" x14ac:dyDescent="0.25">
      <c r="A442" s="3" t="s">
        <v>382</v>
      </c>
      <c r="B442" s="3">
        <v>129468</v>
      </c>
      <c r="C442" s="3">
        <v>941707</v>
      </c>
      <c r="D442" s="3" t="s">
        <v>3526</v>
      </c>
      <c r="E442" s="3">
        <v>6</v>
      </c>
      <c r="F442" s="3">
        <v>1</v>
      </c>
      <c r="G442" s="3">
        <v>6</v>
      </c>
      <c r="H442" s="55" t="s">
        <v>289</v>
      </c>
      <c r="I442" s="3" t="s">
        <v>279</v>
      </c>
      <c r="J442" s="135">
        <v>46088</v>
      </c>
      <c r="K442" s="3" t="s">
        <v>5096</v>
      </c>
      <c r="L442" s="3">
        <v>1830</v>
      </c>
      <c r="M442" s="3">
        <v>12726</v>
      </c>
      <c r="N442" s="3" t="s">
        <v>5205</v>
      </c>
      <c r="R442" s="3">
        <v>10</v>
      </c>
      <c r="S442" s="3" t="s">
        <v>5206</v>
      </c>
      <c r="T442" s="3" t="s">
        <v>412</v>
      </c>
      <c r="U442" s="3" t="s">
        <v>5109</v>
      </c>
      <c r="V442" s="3">
        <v>377</v>
      </c>
      <c r="W442" s="3">
        <v>0</v>
      </c>
      <c r="X442" s="3">
        <v>120</v>
      </c>
      <c r="Y442" s="3">
        <v>60</v>
      </c>
      <c r="Z442" s="3">
        <v>0</v>
      </c>
      <c r="AA442" s="3">
        <v>60</v>
      </c>
      <c r="AB442" s="3">
        <v>60</v>
      </c>
      <c r="AC442" s="192">
        <v>0</v>
      </c>
      <c r="AF442" s="193">
        <v>6.9444444444444441E-3</v>
      </c>
      <c r="AG442" s="193">
        <v>6.9444444444444441E-3</v>
      </c>
      <c r="AH442" s="193">
        <v>0.28402777777777777</v>
      </c>
    </row>
    <row r="443" spans="1:34" x14ac:dyDescent="0.25">
      <c r="A443" s="3" t="s">
        <v>382</v>
      </c>
      <c r="B443" s="3">
        <v>135963</v>
      </c>
      <c r="C443" s="3">
        <v>942207</v>
      </c>
      <c r="D443" s="3" t="s">
        <v>3526</v>
      </c>
      <c r="E443" s="3">
        <v>7</v>
      </c>
      <c r="F443" s="3">
        <v>2</v>
      </c>
      <c r="G443" s="3">
        <v>6</v>
      </c>
      <c r="H443" s="55" t="s">
        <v>289</v>
      </c>
      <c r="I443" s="3" t="s">
        <v>279</v>
      </c>
      <c r="J443" s="135">
        <v>46210</v>
      </c>
      <c r="K443" s="3" t="s">
        <v>5291</v>
      </c>
      <c r="L443" s="3">
        <v>1830</v>
      </c>
      <c r="M443" s="3">
        <v>12726</v>
      </c>
      <c r="N443" s="3" t="s">
        <v>5205</v>
      </c>
      <c r="R443" s="3">
        <v>8</v>
      </c>
      <c r="S443" s="3" t="s">
        <v>1784</v>
      </c>
      <c r="T443" s="3" t="s">
        <v>5089</v>
      </c>
      <c r="U443" s="3" t="s">
        <v>5109</v>
      </c>
      <c r="V443" s="3">
        <v>377</v>
      </c>
      <c r="W443" s="3">
        <v>0</v>
      </c>
      <c r="X443" s="3">
        <v>600</v>
      </c>
      <c r="Y443" s="3">
        <v>588</v>
      </c>
      <c r="Z443" s="3">
        <v>0</v>
      </c>
      <c r="AA443" s="3">
        <v>12</v>
      </c>
      <c r="AB443" s="3">
        <v>72</v>
      </c>
      <c r="AC443" s="192">
        <v>0</v>
      </c>
      <c r="AF443" s="193">
        <v>1.3888888888888889E-3</v>
      </c>
      <c r="AG443" s="193">
        <v>7.6388888888888886E-3</v>
      </c>
      <c r="AH443" s="193">
        <v>0.28541666666666665</v>
      </c>
    </row>
    <row r="444" spans="1:34" x14ac:dyDescent="0.25">
      <c r="A444" s="3" t="s">
        <v>382</v>
      </c>
      <c r="B444" s="3">
        <v>135963</v>
      </c>
      <c r="C444" s="3">
        <v>942207</v>
      </c>
      <c r="D444" s="3" t="s">
        <v>3526</v>
      </c>
      <c r="E444" s="3">
        <v>7</v>
      </c>
      <c r="F444" s="3">
        <v>3</v>
      </c>
      <c r="G444" s="3">
        <v>5</v>
      </c>
      <c r="H444" s="55" t="s">
        <v>289</v>
      </c>
      <c r="I444" s="3" t="s">
        <v>279</v>
      </c>
      <c r="J444" s="135">
        <v>46210</v>
      </c>
      <c r="K444" s="3" t="s">
        <v>5291</v>
      </c>
      <c r="L444" s="3">
        <v>1830</v>
      </c>
      <c r="M444" s="3">
        <v>12726</v>
      </c>
      <c r="N444" s="3" t="s">
        <v>5205</v>
      </c>
      <c r="R444" s="3">
        <v>8</v>
      </c>
      <c r="S444" s="3" t="s">
        <v>1784</v>
      </c>
      <c r="T444" s="3" t="s">
        <v>5089</v>
      </c>
      <c r="U444" s="3" t="s">
        <v>280</v>
      </c>
      <c r="V444" s="3">
        <v>377</v>
      </c>
      <c r="W444" s="3">
        <v>0</v>
      </c>
      <c r="X444" s="3">
        <v>1400</v>
      </c>
      <c r="Y444" s="3">
        <v>912</v>
      </c>
      <c r="Z444" s="3">
        <v>0</v>
      </c>
      <c r="AA444" s="3">
        <v>488</v>
      </c>
      <c r="AB444" s="3">
        <v>560</v>
      </c>
      <c r="AC444" s="192">
        <v>0</v>
      </c>
      <c r="AF444" s="193">
        <v>5.4166666666666669E-2</v>
      </c>
      <c r="AG444" s="193">
        <v>6.1805555555555558E-2</v>
      </c>
      <c r="AH444" s="193">
        <v>0.33958333333333335</v>
      </c>
    </row>
    <row r="445" spans="1:34" x14ac:dyDescent="0.25">
      <c r="A445" s="3" t="s">
        <v>382</v>
      </c>
      <c r="B445" s="3">
        <v>135963</v>
      </c>
      <c r="C445" s="3">
        <v>942207</v>
      </c>
      <c r="D445" s="3" t="s">
        <v>3526</v>
      </c>
      <c r="E445" s="3">
        <v>7</v>
      </c>
      <c r="F445" s="3">
        <v>4</v>
      </c>
      <c r="G445" s="3">
        <v>7</v>
      </c>
      <c r="H445" s="55" t="s">
        <v>289</v>
      </c>
      <c r="I445" s="3" t="s">
        <v>279</v>
      </c>
      <c r="J445" s="135">
        <v>46210</v>
      </c>
      <c r="L445" s="3">
        <v>1830</v>
      </c>
      <c r="M445" s="3">
        <v>12726</v>
      </c>
      <c r="N445" s="3" t="s">
        <v>5205</v>
      </c>
      <c r="R445" s="3">
        <v>8</v>
      </c>
      <c r="S445" s="3" t="s">
        <v>1784</v>
      </c>
      <c r="T445" s="3" t="s">
        <v>5089</v>
      </c>
      <c r="U445" s="3" t="s">
        <v>281</v>
      </c>
      <c r="V445" s="3">
        <v>377</v>
      </c>
      <c r="W445" s="3">
        <v>0</v>
      </c>
      <c r="X445" s="3">
        <v>200</v>
      </c>
      <c r="Y445" s="3">
        <v>0</v>
      </c>
      <c r="Z445" s="3">
        <v>0</v>
      </c>
      <c r="AA445" s="3">
        <v>200</v>
      </c>
      <c r="AB445" s="3">
        <v>760</v>
      </c>
      <c r="AC445" s="192">
        <v>8.3333333333333332E-3</v>
      </c>
      <c r="AD445" s="3" t="s">
        <v>292</v>
      </c>
      <c r="AF445" s="193">
        <v>2.2222222222222223E-2</v>
      </c>
      <c r="AG445" s="193">
        <v>8.4027777777777785E-2</v>
      </c>
      <c r="AH445" s="193">
        <v>0.37013888888888891</v>
      </c>
    </row>
    <row r="446" spans="1:34" x14ac:dyDescent="0.25">
      <c r="A446" s="3" t="s">
        <v>382</v>
      </c>
      <c r="B446" s="3">
        <v>135965</v>
      </c>
      <c r="C446" s="3">
        <v>942207</v>
      </c>
      <c r="D446" s="3" t="s">
        <v>3526</v>
      </c>
      <c r="E446" s="3">
        <v>7</v>
      </c>
      <c r="F446" s="3">
        <v>5</v>
      </c>
      <c r="G446" s="3">
        <v>7</v>
      </c>
      <c r="H446" s="55" t="s">
        <v>289</v>
      </c>
      <c r="I446" s="3" t="s">
        <v>279</v>
      </c>
      <c r="J446" s="135">
        <v>46210</v>
      </c>
      <c r="L446" s="3">
        <v>1830</v>
      </c>
      <c r="M446" s="3">
        <v>12726</v>
      </c>
      <c r="N446" s="3" t="s">
        <v>5205</v>
      </c>
      <c r="R446" s="3">
        <v>8</v>
      </c>
      <c r="S446" s="3" t="s">
        <v>1785</v>
      </c>
      <c r="T446" s="3" t="s">
        <v>5106</v>
      </c>
      <c r="U446" s="3" t="s">
        <v>281</v>
      </c>
      <c r="V446" s="3">
        <v>377</v>
      </c>
      <c r="W446" s="3">
        <v>0</v>
      </c>
      <c r="X446" s="3">
        <v>56</v>
      </c>
      <c r="Y446" s="3">
        <v>0</v>
      </c>
      <c r="Z446" s="3">
        <v>0</v>
      </c>
      <c r="AA446" s="3">
        <v>56</v>
      </c>
      <c r="AB446" s="3">
        <v>816</v>
      </c>
      <c r="AC446" s="192">
        <v>0</v>
      </c>
      <c r="AF446" s="193">
        <v>6.2500000000000003E-3</v>
      </c>
      <c r="AG446" s="193">
        <v>9.0277777777777776E-2</v>
      </c>
      <c r="AH446" s="193">
        <v>0.37638888888888888</v>
      </c>
    </row>
    <row r="447" spans="1:34" x14ac:dyDescent="0.25">
      <c r="A447" s="3" t="s">
        <v>382</v>
      </c>
      <c r="B447" s="3">
        <v>135965</v>
      </c>
      <c r="C447" s="3">
        <v>942207</v>
      </c>
      <c r="D447" s="3" t="s">
        <v>3526</v>
      </c>
      <c r="E447" s="3">
        <v>7</v>
      </c>
      <c r="F447" s="3">
        <v>6</v>
      </c>
      <c r="G447" s="3">
        <v>4</v>
      </c>
      <c r="H447" s="55" t="s">
        <v>289</v>
      </c>
      <c r="I447" s="3" t="s">
        <v>279</v>
      </c>
      <c r="J447" s="135">
        <v>46210</v>
      </c>
      <c r="L447" s="3">
        <v>1830</v>
      </c>
      <c r="M447" s="3">
        <v>12726</v>
      </c>
      <c r="N447" s="3" t="s">
        <v>5205</v>
      </c>
      <c r="R447" s="3">
        <v>8</v>
      </c>
      <c r="S447" s="3" t="s">
        <v>1785</v>
      </c>
      <c r="T447" s="3" t="s">
        <v>5106</v>
      </c>
      <c r="U447" s="3" t="s">
        <v>284</v>
      </c>
      <c r="V447" s="3">
        <v>377</v>
      </c>
      <c r="W447" s="3">
        <v>0</v>
      </c>
      <c r="X447" s="3">
        <v>48</v>
      </c>
      <c r="Y447" s="3">
        <v>0</v>
      </c>
      <c r="Z447" s="3">
        <v>0</v>
      </c>
      <c r="AA447" s="3">
        <v>48</v>
      </c>
      <c r="AB447" s="3">
        <v>864</v>
      </c>
      <c r="AC447" s="192">
        <v>0</v>
      </c>
      <c r="AF447" s="193">
        <v>5.5555555555555558E-3</v>
      </c>
      <c r="AG447" s="193">
        <v>9.583333333333334E-2</v>
      </c>
      <c r="AH447" s="193">
        <v>0.38194444444444442</v>
      </c>
    </row>
    <row r="448" spans="1:34" x14ac:dyDescent="0.25">
      <c r="A448" s="3" t="s">
        <v>382</v>
      </c>
      <c r="B448" s="3">
        <v>135965</v>
      </c>
      <c r="C448" s="3">
        <v>942207</v>
      </c>
      <c r="D448" s="3" t="s">
        <v>3526</v>
      </c>
      <c r="E448" s="3">
        <v>7</v>
      </c>
      <c r="F448" s="3">
        <v>7</v>
      </c>
      <c r="G448" s="3">
        <v>5</v>
      </c>
      <c r="H448" s="55" t="s">
        <v>289</v>
      </c>
      <c r="I448" s="3" t="s">
        <v>279</v>
      </c>
      <c r="J448" s="135">
        <v>46210</v>
      </c>
      <c r="L448" s="3">
        <v>1830</v>
      </c>
      <c r="M448" s="3">
        <v>12726</v>
      </c>
      <c r="N448" s="3" t="s">
        <v>5205</v>
      </c>
      <c r="R448" s="3">
        <v>8</v>
      </c>
      <c r="S448" s="3" t="s">
        <v>1785</v>
      </c>
      <c r="T448" s="3" t="s">
        <v>5106</v>
      </c>
      <c r="U448" s="3" t="s">
        <v>280</v>
      </c>
      <c r="V448" s="3">
        <v>377</v>
      </c>
      <c r="W448" s="3">
        <v>0</v>
      </c>
      <c r="X448" s="3">
        <v>60</v>
      </c>
      <c r="Y448" s="3">
        <v>0</v>
      </c>
      <c r="Z448" s="3">
        <v>0</v>
      </c>
      <c r="AA448" s="3">
        <v>60</v>
      </c>
      <c r="AB448" s="3">
        <v>924</v>
      </c>
      <c r="AC448" s="192">
        <v>0</v>
      </c>
      <c r="AF448" s="193">
        <v>6.9444444444444441E-3</v>
      </c>
      <c r="AG448" s="193">
        <v>0.10208333333333333</v>
      </c>
      <c r="AH448" s="193">
        <v>0.3888888888888889</v>
      </c>
    </row>
    <row r="449" spans="1:34" x14ac:dyDescent="0.25">
      <c r="A449" s="3" t="s">
        <v>382</v>
      </c>
      <c r="B449" s="3">
        <v>135965</v>
      </c>
      <c r="C449" s="3">
        <v>942207</v>
      </c>
      <c r="D449" s="3" t="s">
        <v>3526</v>
      </c>
      <c r="E449" s="3">
        <v>7</v>
      </c>
      <c r="F449" s="3">
        <v>8</v>
      </c>
      <c r="G449" s="3">
        <v>6</v>
      </c>
      <c r="H449" s="55" t="s">
        <v>289</v>
      </c>
      <c r="I449" s="3" t="s">
        <v>279</v>
      </c>
      <c r="J449" s="135">
        <v>46210</v>
      </c>
      <c r="L449" s="3">
        <v>1830</v>
      </c>
      <c r="M449" s="3">
        <v>12726</v>
      </c>
      <c r="N449" s="3" t="s">
        <v>5205</v>
      </c>
      <c r="R449" s="3">
        <v>8</v>
      </c>
      <c r="S449" s="3" t="s">
        <v>1785</v>
      </c>
      <c r="T449" s="3" t="s">
        <v>5106</v>
      </c>
      <c r="U449" s="3" t="s">
        <v>5109</v>
      </c>
      <c r="V449" s="3">
        <v>377</v>
      </c>
      <c r="W449" s="3">
        <v>0</v>
      </c>
      <c r="X449" s="3">
        <v>86</v>
      </c>
      <c r="Y449" s="3">
        <v>0</v>
      </c>
      <c r="Z449" s="3">
        <v>0</v>
      </c>
      <c r="AA449" s="3">
        <v>86</v>
      </c>
      <c r="AB449" s="3">
        <v>1010</v>
      </c>
      <c r="AC449" s="192">
        <v>0</v>
      </c>
      <c r="AF449" s="193">
        <v>9.7222222222222224E-3</v>
      </c>
      <c r="AG449" s="193">
        <v>0.11180555555555556</v>
      </c>
      <c r="AH449" s="193">
        <v>0.39861111111111114</v>
      </c>
    </row>
    <row r="450" spans="1:34" x14ac:dyDescent="0.25">
      <c r="A450" s="3" t="s">
        <v>382</v>
      </c>
      <c r="B450" s="3">
        <v>135966</v>
      </c>
      <c r="C450" s="3">
        <v>942207</v>
      </c>
      <c r="D450" s="3" t="s">
        <v>3526</v>
      </c>
      <c r="E450" s="3">
        <v>7</v>
      </c>
      <c r="F450" s="3">
        <v>9</v>
      </c>
      <c r="G450" s="3">
        <v>6</v>
      </c>
      <c r="H450" s="55" t="s">
        <v>289</v>
      </c>
      <c r="I450" s="3" t="s">
        <v>279</v>
      </c>
      <c r="J450" s="135">
        <v>46210</v>
      </c>
      <c r="L450" s="3">
        <v>1830</v>
      </c>
      <c r="M450" s="3">
        <v>12726</v>
      </c>
      <c r="N450" s="3" t="s">
        <v>5205</v>
      </c>
      <c r="R450" s="3">
        <v>8</v>
      </c>
      <c r="S450" s="3" t="s">
        <v>1786</v>
      </c>
      <c r="T450" s="3" t="s">
        <v>5107</v>
      </c>
      <c r="U450" s="3" t="s">
        <v>5109</v>
      </c>
      <c r="V450" s="3">
        <v>377</v>
      </c>
      <c r="W450" s="3">
        <v>0</v>
      </c>
      <c r="X450" s="3">
        <v>830</v>
      </c>
      <c r="Y450" s="3">
        <v>0</v>
      </c>
      <c r="Z450" s="3">
        <v>0</v>
      </c>
      <c r="AA450" s="3">
        <v>830</v>
      </c>
      <c r="AB450" s="3">
        <v>1840</v>
      </c>
      <c r="AC450" s="192">
        <v>4.1666666666666664E-2</v>
      </c>
      <c r="AD450" s="3" t="s">
        <v>294</v>
      </c>
      <c r="AE450" s="3" t="s">
        <v>295</v>
      </c>
      <c r="AF450" s="193">
        <v>9.166666666666666E-2</v>
      </c>
      <c r="AG450" s="193">
        <v>0.20347222222222222</v>
      </c>
      <c r="AH450" s="193">
        <v>0.53194444444444444</v>
      </c>
    </row>
    <row r="451" spans="1:34" x14ac:dyDescent="0.25">
      <c r="A451" s="3" t="s">
        <v>382</v>
      </c>
      <c r="B451" s="3">
        <v>135966</v>
      </c>
      <c r="C451" s="3">
        <v>942207</v>
      </c>
      <c r="D451" s="3" t="s">
        <v>3526</v>
      </c>
      <c r="E451" s="3">
        <v>7</v>
      </c>
      <c r="F451" s="3">
        <v>10</v>
      </c>
      <c r="G451" s="3">
        <v>4</v>
      </c>
      <c r="H451" s="55" t="s">
        <v>289</v>
      </c>
      <c r="I451" s="3" t="s">
        <v>279</v>
      </c>
      <c r="J451" s="135">
        <v>46210</v>
      </c>
      <c r="L451" s="3">
        <v>1830</v>
      </c>
      <c r="M451" s="3">
        <v>12726</v>
      </c>
      <c r="N451" s="3" t="s">
        <v>5205</v>
      </c>
      <c r="R451" s="3">
        <v>8</v>
      </c>
      <c r="S451" s="3" t="s">
        <v>1786</v>
      </c>
      <c r="T451" s="3" t="s">
        <v>5107</v>
      </c>
      <c r="U451" s="3" t="s">
        <v>284</v>
      </c>
      <c r="V451" s="3">
        <v>377</v>
      </c>
      <c r="W451" s="3">
        <v>0</v>
      </c>
      <c r="X451" s="3">
        <v>530</v>
      </c>
      <c r="Y451" s="3">
        <v>0</v>
      </c>
      <c r="Z451" s="3">
        <v>0</v>
      </c>
      <c r="AA451" s="3">
        <v>530</v>
      </c>
      <c r="AB451" s="3">
        <v>2370</v>
      </c>
      <c r="AC451" s="192">
        <v>8.3333333333333332E-3</v>
      </c>
      <c r="AD451" s="3" t="s">
        <v>404</v>
      </c>
      <c r="AF451" s="193">
        <v>5.8333333333333334E-2</v>
      </c>
      <c r="AG451" s="193">
        <v>0.26180555555555557</v>
      </c>
      <c r="AH451" s="193">
        <v>0.59861111111111109</v>
      </c>
    </row>
    <row r="452" spans="1:34" x14ac:dyDescent="0.25">
      <c r="A452" s="3" t="s">
        <v>382</v>
      </c>
      <c r="B452" s="3">
        <v>135966</v>
      </c>
      <c r="C452" s="3">
        <v>942207</v>
      </c>
      <c r="D452" s="3" t="s">
        <v>3526</v>
      </c>
      <c r="E452" s="3">
        <v>7</v>
      </c>
      <c r="F452" s="3">
        <v>11</v>
      </c>
      <c r="G452" s="3">
        <v>5</v>
      </c>
      <c r="H452" s="55" t="s">
        <v>289</v>
      </c>
      <c r="I452" s="3" t="s">
        <v>279</v>
      </c>
      <c r="J452" s="135">
        <v>46210</v>
      </c>
      <c r="L452" s="3">
        <v>1830</v>
      </c>
      <c r="M452" s="3">
        <v>12726</v>
      </c>
      <c r="N452" s="3" t="s">
        <v>5205</v>
      </c>
      <c r="R452" s="3">
        <v>8</v>
      </c>
      <c r="S452" s="3" t="s">
        <v>1786</v>
      </c>
      <c r="T452" s="3" t="s">
        <v>5107</v>
      </c>
      <c r="U452" s="3" t="s">
        <v>280</v>
      </c>
      <c r="V452" s="3">
        <v>377</v>
      </c>
      <c r="W452" s="3">
        <v>0</v>
      </c>
      <c r="X452" s="3">
        <v>1200</v>
      </c>
      <c r="Y452" s="3">
        <v>0</v>
      </c>
      <c r="Z452" s="3">
        <v>0</v>
      </c>
      <c r="AA452" s="3">
        <v>1200</v>
      </c>
      <c r="AB452" s="3">
        <v>3570</v>
      </c>
      <c r="AC452" s="192">
        <v>0</v>
      </c>
      <c r="AF452" s="193">
        <v>0.13263888888888889</v>
      </c>
      <c r="AG452" s="193">
        <v>0.39444444444444443</v>
      </c>
      <c r="AH452" s="193">
        <v>0.73819444444444449</v>
      </c>
    </row>
    <row r="453" spans="1:34" x14ac:dyDescent="0.25">
      <c r="A453" s="3" t="s">
        <v>382</v>
      </c>
      <c r="B453" s="3">
        <v>135966</v>
      </c>
      <c r="C453" s="3">
        <v>942207</v>
      </c>
      <c r="D453" s="3" t="s">
        <v>3526</v>
      </c>
      <c r="E453" s="3">
        <v>7</v>
      </c>
      <c r="F453" s="3">
        <v>12</v>
      </c>
      <c r="G453" s="3">
        <v>7</v>
      </c>
      <c r="H453" s="55" t="s">
        <v>289</v>
      </c>
      <c r="I453" s="3" t="s">
        <v>279</v>
      </c>
      <c r="J453" s="135">
        <v>46210</v>
      </c>
      <c r="L453" s="3">
        <v>1830</v>
      </c>
      <c r="M453" s="3">
        <v>12726</v>
      </c>
      <c r="N453" s="3" t="s">
        <v>5205</v>
      </c>
      <c r="R453" s="3">
        <v>8</v>
      </c>
      <c r="S453" s="3" t="s">
        <v>1786</v>
      </c>
      <c r="T453" s="3" t="s">
        <v>5107</v>
      </c>
      <c r="U453" s="3" t="s">
        <v>281</v>
      </c>
      <c r="V453" s="3">
        <v>377</v>
      </c>
      <c r="W453" s="3">
        <v>0</v>
      </c>
      <c r="X453" s="3">
        <v>200</v>
      </c>
      <c r="Y453" s="3">
        <v>0</v>
      </c>
      <c r="Z453" s="3">
        <v>0</v>
      </c>
      <c r="AA453" s="3">
        <v>200</v>
      </c>
      <c r="AB453" s="3">
        <v>3770</v>
      </c>
      <c r="AC453" s="192">
        <v>0</v>
      </c>
      <c r="AF453" s="193">
        <v>2.2222222222222223E-2</v>
      </c>
      <c r="AG453" s="193">
        <v>0.41666666666666669</v>
      </c>
      <c r="AH453" s="193">
        <v>0.76041666666666663</v>
      </c>
    </row>
    <row r="454" spans="1:34" x14ac:dyDescent="0.25">
      <c r="A454" s="3" t="s">
        <v>382</v>
      </c>
      <c r="B454" s="3">
        <v>135967</v>
      </c>
      <c r="C454" s="3">
        <v>942207</v>
      </c>
      <c r="D454" s="3" t="s">
        <v>3526</v>
      </c>
      <c r="E454" s="3">
        <v>7</v>
      </c>
      <c r="F454" s="3">
        <v>13</v>
      </c>
      <c r="G454" s="3">
        <v>7</v>
      </c>
      <c r="H454" s="55" t="s">
        <v>289</v>
      </c>
      <c r="I454" s="3" t="s">
        <v>279</v>
      </c>
      <c r="J454" s="135">
        <v>46210</v>
      </c>
      <c r="L454" s="3">
        <v>1830</v>
      </c>
      <c r="M454" s="3">
        <v>12726</v>
      </c>
      <c r="N454" s="3" t="s">
        <v>5205</v>
      </c>
      <c r="R454" s="3">
        <v>8</v>
      </c>
      <c r="S454" s="3" t="s">
        <v>391</v>
      </c>
      <c r="T454" s="3" t="s">
        <v>392</v>
      </c>
      <c r="U454" s="3" t="s">
        <v>281</v>
      </c>
      <c r="V454" s="3">
        <v>377</v>
      </c>
      <c r="W454" s="3">
        <v>0</v>
      </c>
      <c r="X454" s="3">
        <v>260</v>
      </c>
      <c r="Y454" s="3">
        <v>0</v>
      </c>
      <c r="Z454" s="3">
        <v>0</v>
      </c>
      <c r="AA454" s="3">
        <v>260</v>
      </c>
      <c r="AB454" s="3">
        <v>4030</v>
      </c>
      <c r="AC454" s="192">
        <v>8.3333333333333332E-3</v>
      </c>
      <c r="AD454" s="3" t="s">
        <v>292</v>
      </c>
      <c r="AF454" s="193">
        <v>2.8472222222222222E-2</v>
      </c>
      <c r="AG454" s="193">
        <v>0.44513888888888886</v>
      </c>
      <c r="AH454" s="193">
        <v>0.79722222222222228</v>
      </c>
    </row>
    <row r="455" spans="1:34" x14ac:dyDescent="0.25">
      <c r="A455" s="3" t="s">
        <v>382</v>
      </c>
      <c r="B455" s="3">
        <v>135967</v>
      </c>
      <c r="C455" s="3">
        <v>942207</v>
      </c>
      <c r="D455" s="3" t="s">
        <v>3526</v>
      </c>
      <c r="E455" s="3">
        <v>7</v>
      </c>
      <c r="F455" s="3">
        <v>14</v>
      </c>
      <c r="G455" s="3">
        <v>4</v>
      </c>
      <c r="H455" s="55" t="s">
        <v>289</v>
      </c>
      <c r="I455" s="3" t="s">
        <v>279</v>
      </c>
      <c r="J455" s="135">
        <v>46210</v>
      </c>
      <c r="L455" s="3">
        <v>1830</v>
      </c>
      <c r="M455" s="3">
        <v>12726</v>
      </c>
      <c r="N455" s="3" t="s">
        <v>5205</v>
      </c>
      <c r="R455" s="3">
        <v>8</v>
      </c>
      <c r="S455" s="3" t="s">
        <v>391</v>
      </c>
      <c r="T455" s="3" t="s">
        <v>392</v>
      </c>
      <c r="U455" s="3" t="s">
        <v>284</v>
      </c>
      <c r="V455" s="3">
        <v>377</v>
      </c>
      <c r="W455" s="3">
        <v>0</v>
      </c>
      <c r="X455" s="3">
        <v>750</v>
      </c>
      <c r="Y455" s="3">
        <v>0</v>
      </c>
      <c r="Z455" s="3">
        <v>0</v>
      </c>
      <c r="AA455" s="3">
        <v>750</v>
      </c>
      <c r="AB455" s="3">
        <v>4780</v>
      </c>
      <c r="AC455" s="192">
        <v>4.1666666666666664E-2</v>
      </c>
      <c r="AD455" s="3" t="s">
        <v>294</v>
      </c>
      <c r="AE455" s="3" t="s">
        <v>295</v>
      </c>
      <c r="AF455" s="193">
        <v>8.2638888888888887E-2</v>
      </c>
      <c r="AG455" s="193">
        <v>0.52847222222222223</v>
      </c>
      <c r="AH455" s="193">
        <v>0.92152777777777772</v>
      </c>
    </row>
    <row r="456" spans="1:34" x14ac:dyDescent="0.25">
      <c r="A456" s="3" t="s">
        <v>383</v>
      </c>
      <c r="B456" s="3">
        <v>137185</v>
      </c>
      <c r="C456" s="3">
        <v>942207</v>
      </c>
      <c r="D456" s="3" t="s">
        <v>3526</v>
      </c>
      <c r="E456" s="3">
        <v>7</v>
      </c>
      <c r="F456" s="3">
        <v>1</v>
      </c>
      <c r="G456" s="3">
        <v>3</v>
      </c>
      <c r="H456" s="55" t="s">
        <v>289</v>
      </c>
      <c r="I456" s="3" t="s">
        <v>279</v>
      </c>
      <c r="J456" s="135">
        <v>46241</v>
      </c>
      <c r="L456" s="3">
        <v>1802</v>
      </c>
      <c r="M456" s="3">
        <v>26983</v>
      </c>
      <c r="N456" s="3" t="s">
        <v>5430</v>
      </c>
      <c r="R456" s="3">
        <v>14</v>
      </c>
      <c r="S456" s="3" t="s">
        <v>2623</v>
      </c>
      <c r="T456" s="3" t="s">
        <v>5107</v>
      </c>
      <c r="U456" s="3">
        <v>34</v>
      </c>
      <c r="V456" s="3">
        <v>568</v>
      </c>
      <c r="W456" s="3">
        <v>0</v>
      </c>
      <c r="X456" s="3">
        <v>90</v>
      </c>
      <c r="Y456" s="3">
        <v>0</v>
      </c>
      <c r="Z456" s="3">
        <v>0</v>
      </c>
      <c r="AA456" s="3">
        <v>90</v>
      </c>
      <c r="AB456" s="3">
        <v>90</v>
      </c>
      <c r="AC456" s="192">
        <v>0</v>
      </c>
      <c r="AF456" s="193">
        <v>6.9444444444444441E-3</v>
      </c>
      <c r="AG456" s="193">
        <v>6.9444444444444441E-3</v>
      </c>
      <c r="AH456" s="193">
        <v>0.28402777777777777</v>
      </c>
    </row>
    <row r="457" spans="1:34" x14ac:dyDescent="0.25">
      <c r="A457" s="3" t="s">
        <v>383</v>
      </c>
      <c r="B457" s="3">
        <v>137185</v>
      </c>
      <c r="C457" s="3">
        <v>942207</v>
      </c>
      <c r="D457" s="3" t="s">
        <v>3526</v>
      </c>
      <c r="E457" s="3">
        <v>7</v>
      </c>
      <c r="F457" s="3">
        <v>2</v>
      </c>
      <c r="G457" s="3">
        <v>4</v>
      </c>
      <c r="H457" s="55" t="s">
        <v>289</v>
      </c>
      <c r="I457" s="3" t="s">
        <v>279</v>
      </c>
      <c r="J457" s="135">
        <v>46241</v>
      </c>
      <c r="L457" s="3">
        <v>1802</v>
      </c>
      <c r="M457" s="3">
        <v>26983</v>
      </c>
      <c r="N457" s="3" t="s">
        <v>5430</v>
      </c>
      <c r="R457" s="3">
        <v>14</v>
      </c>
      <c r="S457" s="3" t="s">
        <v>2623</v>
      </c>
      <c r="T457" s="3" t="s">
        <v>5107</v>
      </c>
      <c r="U457" s="3">
        <v>35</v>
      </c>
      <c r="V457" s="3">
        <v>568</v>
      </c>
      <c r="W457" s="3">
        <v>0</v>
      </c>
      <c r="X457" s="3">
        <v>354</v>
      </c>
      <c r="Y457" s="3">
        <v>0</v>
      </c>
      <c r="Z457" s="3">
        <v>0</v>
      </c>
      <c r="AA457" s="3">
        <v>354</v>
      </c>
      <c r="AB457" s="3">
        <v>444</v>
      </c>
      <c r="AC457" s="192">
        <v>0</v>
      </c>
      <c r="AF457" s="193">
        <v>2.5694444444444443E-2</v>
      </c>
      <c r="AG457" s="193">
        <v>3.2638888888888891E-2</v>
      </c>
      <c r="AH457" s="193">
        <v>0.30972222222222223</v>
      </c>
    </row>
    <row r="458" spans="1:34" x14ac:dyDescent="0.25">
      <c r="A458" s="3" t="s">
        <v>383</v>
      </c>
      <c r="B458" s="3">
        <v>137185</v>
      </c>
      <c r="C458" s="3">
        <v>942207</v>
      </c>
      <c r="D458" s="3" t="s">
        <v>3526</v>
      </c>
      <c r="E458" s="3">
        <v>7</v>
      </c>
      <c r="F458" s="3">
        <v>3</v>
      </c>
      <c r="G458" s="3">
        <v>5</v>
      </c>
      <c r="H458" s="55" t="s">
        <v>289</v>
      </c>
      <c r="I458" s="3" t="s">
        <v>279</v>
      </c>
      <c r="J458" s="135">
        <v>46241</v>
      </c>
      <c r="L458" s="3">
        <v>1802</v>
      </c>
      <c r="M458" s="3">
        <v>26983</v>
      </c>
      <c r="N458" s="3" t="s">
        <v>5430</v>
      </c>
      <c r="R458" s="3">
        <v>14</v>
      </c>
      <c r="S458" s="3" t="s">
        <v>2623</v>
      </c>
      <c r="T458" s="3" t="s">
        <v>5107</v>
      </c>
      <c r="U458" s="3">
        <v>36</v>
      </c>
      <c r="V458" s="3">
        <v>568</v>
      </c>
      <c r="W458" s="3">
        <v>0</v>
      </c>
      <c r="X458" s="3">
        <v>734</v>
      </c>
      <c r="Y458" s="3">
        <v>0</v>
      </c>
      <c r="Z458" s="3">
        <v>0</v>
      </c>
      <c r="AA458" s="3">
        <v>734</v>
      </c>
      <c r="AB458" s="3">
        <v>1178</v>
      </c>
      <c r="AC458" s="192">
        <v>8.3333333333333332E-3</v>
      </c>
      <c r="AD458" s="3" t="s">
        <v>292</v>
      </c>
      <c r="AF458" s="193">
        <v>5.4166666666666669E-2</v>
      </c>
      <c r="AG458" s="193">
        <v>8.611111111111111E-2</v>
      </c>
      <c r="AH458" s="193">
        <v>0.37222222222222223</v>
      </c>
    </row>
    <row r="459" spans="1:34" x14ac:dyDescent="0.25">
      <c r="A459" s="3" t="s">
        <v>383</v>
      </c>
      <c r="B459" s="3">
        <v>137185</v>
      </c>
      <c r="C459" s="3">
        <v>942207</v>
      </c>
      <c r="D459" s="3" t="s">
        <v>3526</v>
      </c>
      <c r="E459" s="3">
        <v>7</v>
      </c>
      <c r="F459" s="3">
        <v>4</v>
      </c>
      <c r="G459" s="3">
        <v>6</v>
      </c>
      <c r="H459" s="55" t="s">
        <v>289</v>
      </c>
      <c r="I459" s="3" t="s">
        <v>5358</v>
      </c>
      <c r="J459" s="135">
        <v>46241</v>
      </c>
      <c r="L459" s="3">
        <v>1802</v>
      </c>
      <c r="M459" s="3">
        <v>26983</v>
      </c>
      <c r="N459" s="3" t="s">
        <v>5430</v>
      </c>
      <c r="R459" s="3">
        <v>14</v>
      </c>
      <c r="S459" s="3" t="s">
        <v>2623</v>
      </c>
      <c r="T459" s="3" t="s">
        <v>5107</v>
      </c>
      <c r="U459" s="3">
        <v>37</v>
      </c>
      <c r="V459" s="3">
        <v>568</v>
      </c>
      <c r="W459" s="3">
        <v>0</v>
      </c>
      <c r="X459" s="3">
        <v>976</v>
      </c>
      <c r="Y459" s="3">
        <v>0</v>
      </c>
      <c r="Z459" s="3">
        <v>0</v>
      </c>
      <c r="AA459" s="3">
        <v>976</v>
      </c>
      <c r="AB459" s="3">
        <v>2154</v>
      </c>
      <c r="AC459" s="192">
        <v>0</v>
      </c>
      <c r="AF459" s="193">
        <v>7.1527777777777773E-2</v>
      </c>
      <c r="AG459" s="193">
        <v>0.15833333333333333</v>
      </c>
      <c r="AH459" s="193">
        <v>0.44374999999999998</v>
      </c>
    </row>
    <row r="460" spans="1:34" x14ac:dyDescent="0.25">
      <c r="A460" s="3" t="s">
        <v>383</v>
      </c>
      <c r="B460" s="3">
        <v>137185</v>
      </c>
      <c r="C460" s="3">
        <v>942207</v>
      </c>
      <c r="D460" s="3" t="s">
        <v>3526</v>
      </c>
      <c r="E460" s="3">
        <v>7</v>
      </c>
      <c r="F460" s="3">
        <v>5</v>
      </c>
      <c r="G460" s="3">
        <v>7</v>
      </c>
      <c r="H460" s="55" t="s">
        <v>289</v>
      </c>
      <c r="I460" s="3" t="s">
        <v>5358</v>
      </c>
      <c r="J460" s="135">
        <v>46241</v>
      </c>
      <c r="L460" s="3">
        <v>1802</v>
      </c>
      <c r="M460" s="3">
        <v>26983</v>
      </c>
      <c r="N460" s="3" t="s">
        <v>5430</v>
      </c>
      <c r="R460" s="3">
        <v>14</v>
      </c>
      <c r="S460" s="3" t="s">
        <v>2623</v>
      </c>
      <c r="T460" s="3" t="s">
        <v>5107</v>
      </c>
      <c r="U460" s="3">
        <v>38</v>
      </c>
      <c r="V460" s="3">
        <v>568</v>
      </c>
      <c r="W460" s="3">
        <v>0</v>
      </c>
      <c r="X460" s="3">
        <v>1048</v>
      </c>
      <c r="Y460" s="3">
        <v>0</v>
      </c>
      <c r="Z460" s="3">
        <v>0</v>
      </c>
      <c r="AA460" s="3">
        <v>1048</v>
      </c>
      <c r="AB460" s="3">
        <v>3202</v>
      </c>
      <c r="AC460" s="192">
        <v>4.1666666666666664E-2</v>
      </c>
      <c r="AD460" s="3" t="s">
        <v>294</v>
      </c>
      <c r="AE460" s="3" t="s">
        <v>295</v>
      </c>
      <c r="AF460" s="193">
        <v>7.7083333333333337E-2</v>
      </c>
      <c r="AG460" s="193">
        <v>0.23472222222222222</v>
      </c>
      <c r="AH460" s="193">
        <v>0.5625</v>
      </c>
    </row>
    <row r="461" spans="1:34" x14ac:dyDescent="0.25">
      <c r="A461" s="3" t="s">
        <v>383</v>
      </c>
      <c r="B461" s="3">
        <v>137185</v>
      </c>
      <c r="C461" s="3">
        <v>942207</v>
      </c>
      <c r="D461" s="3" t="s">
        <v>3526</v>
      </c>
      <c r="E461" s="3">
        <v>7</v>
      </c>
      <c r="F461" s="3">
        <v>6</v>
      </c>
      <c r="G461" s="3">
        <v>8</v>
      </c>
      <c r="H461" s="55" t="s">
        <v>289</v>
      </c>
      <c r="I461" s="3" t="s">
        <v>5358</v>
      </c>
      <c r="J461" s="135">
        <v>46241</v>
      </c>
      <c r="L461" s="3">
        <v>1802</v>
      </c>
      <c r="M461" s="3">
        <v>26983</v>
      </c>
      <c r="N461" s="3" t="s">
        <v>5430</v>
      </c>
      <c r="R461" s="3">
        <v>14</v>
      </c>
      <c r="S461" s="3" t="s">
        <v>2623</v>
      </c>
      <c r="T461" s="3" t="s">
        <v>5107</v>
      </c>
      <c r="U461" s="3" t="s">
        <v>280</v>
      </c>
      <c r="V461" s="3">
        <v>568</v>
      </c>
      <c r="W461" s="3">
        <v>0</v>
      </c>
      <c r="X461" s="3">
        <v>656</v>
      </c>
      <c r="Y461" s="3">
        <v>0</v>
      </c>
      <c r="Z461" s="3">
        <v>0</v>
      </c>
      <c r="AA461" s="3">
        <v>656</v>
      </c>
      <c r="AB461" s="3">
        <v>3858</v>
      </c>
      <c r="AC461" s="192">
        <v>8.3333333333333332E-3</v>
      </c>
      <c r="AD461" s="3" t="s">
        <v>404</v>
      </c>
      <c r="AF461" s="193">
        <v>4.791666666666667E-2</v>
      </c>
      <c r="AG461" s="193">
        <v>0.28333333333333333</v>
      </c>
      <c r="AH461" s="193">
        <v>0.61875000000000002</v>
      </c>
    </row>
    <row r="462" spans="1:34" x14ac:dyDescent="0.25">
      <c r="A462" s="3" t="s">
        <v>383</v>
      </c>
      <c r="B462" s="3">
        <v>137187</v>
      </c>
      <c r="C462" s="3">
        <v>942207</v>
      </c>
      <c r="D462" s="3" t="s">
        <v>3526</v>
      </c>
      <c r="E462" s="3">
        <v>7</v>
      </c>
      <c r="F462" s="3">
        <v>7</v>
      </c>
      <c r="G462" s="3">
        <v>3</v>
      </c>
      <c r="H462" s="55" t="s">
        <v>289</v>
      </c>
      <c r="I462" s="3" t="s">
        <v>5358</v>
      </c>
      <c r="J462" s="135">
        <v>46241</v>
      </c>
      <c r="L462" s="3">
        <v>1802</v>
      </c>
      <c r="M462" s="3">
        <v>26983</v>
      </c>
      <c r="N462" s="3" t="s">
        <v>5430</v>
      </c>
      <c r="R462" s="3">
        <v>14</v>
      </c>
      <c r="S462" s="3" t="s">
        <v>2639</v>
      </c>
      <c r="T462" s="3" t="s">
        <v>5141</v>
      </c>
      <c r="U462" s="3">
        <v>34</v>
      </c>
      <c r="V462" s="3">
        <v>568</v>
      </c>
      <c r="W462" s="3">
        <v>0</v>
      </c>
      <c r="X462" s="3">
        <v>20</v>
      </c>
      <c r="Y462" s="3">
        <v>0</v>
      </c>
      <c r="Z462" s="3">
        <v>0</v>
      </c>
      <c r="AA462" s="3">
        <v>20</v>
      </c>
      <c r="AB462" s="3">
        <v>3878</v>
      </c>
      <c r="AC462" s="192">
        <v>0</v>
      </c>
      <c r="AF462" s="193">
        <v>1.3888888888888889E-3</v>
      </c>
      <c r="AG462" s="193">
        <v>0.28472222222222221</v>
      </c>
      <c r="AH462" s="193">
        <v>0.62013888888888891</v>
      </c>
    </row>
    <row r="463" spans="1:34" x14ac:dyDescent="0.25">
      <c r="A463" s="3" t="s">
        <v>383</v>
      </c>
      <c r="B463" s="3">
        <v>137187</v>
      </c>
      <c r="C463" s="3">
        <v>942207</v>
      </c>
      <c r="D463" s="3" t="s">
        <v>3526</v>
      </c>
      <c r="E463" s="3">
        <v>7</v>
      </c>
      <c r="F463" s="3">
        <v>8</v>
      </c>
      <c r="G463" s="3">
        <v>4</v>
      </c>
      <c r="H463" s="55" t="s">
        <v>289</v>
      </c>
      <c r="I463" s="3" t="s">
        <v>5358</v>
      </c>
      <c r="J463" s="135">
        <v>46241</v>
      </c>
      <c r="L463" s="3">
        <v>1802</v>
      </c>
      <c r="M463" s="3">
        <v>26983</v>
      </c>
      <c r="N463" s="3" t="s">
        <v>5430</v>
      </c>
      <c r="R463" s="3">
        <v>14</v>
      </c>
      <c r="S463" s="3" t="s">
        <v>2639</v>
      </c>
      <c r="T463" s="3" t="s">
        <v>5141</v>
      </c>
      <c r="U463" s="3">
        <v>35</v>
      </c>
      <c r="V463" s="3">
        <v>568</v>
      </c>
      <c r="W463" s="3">
        <v>0</v>
      </c>
      <c r="X463" s="3">
        <v>48</v>
      </c>
      <c r="Y463" s="3">
        <v>0</v>
      </c>
      <c r="Z463" s="3">
        <v>0</v>
      </c>
      <c r="AA463" s="3">
        <v>48</v>
      </c>
      <c r="AB463" s="3">
        <v>3926</v>
      </c>
      <c r="AC463" s="192">
        <v>0</v>
      </c>
      <c r="AF463" s="193">
        <v>3.472222222222222E-3</v>
      </c>
      <c r="AG463" s="193">
        <v>0.28819444444444442</v>
      </c>
      <c r="AH463" s="193">
        <v>0.62361111111111112</v>
      </c>
    </row>
    <row r="464" spans="1:34" x14ac:dyDescent="0.25">
      <c r="A464" s="3" t="s">
        <v>383</v>
      </c>
      <c r="B464" s="3">
        <v>137187</v>
      </c>
      <c r="C464" s="3">
        <v>942207</v>
      </c>
      <c r="D464" s="3" t="s">
        <v>3526</v>
      </c>
      <c r="E464" s="3">
        <v>7</v>
      </c>
      <c r="F464" s="3">
        <v>9</v>
      </c>
      <c r="G464" s="3">
        <v>5</v>
      </c>
      <c r="H464" s="55" t="s">
        <v>289</v>
      </c>
      <c r="I464" s="3" t="s">
        <v>5358</v>
      </c>
      <c r="J464" s="135">
        <v>46241</v>
      </c>
      <c r="L464" s="3">
        <v>1802</v>
      </c>
      <c r="M464" s="3">
        <v>26983</v>
      </c>
      <c r="N464" s="3" t="s">
        <v>5430</v>
      </c>
      <c r="R464" s="3">
        <v>14</v>
      </c>
      <c r="S464" s="3" t="s">
        <v>2639</v>
      </c>
      <c r="T464" s="3" t="s">
        <v>5141</v>
      </c>
      <c r="U464" s="3">
        <v>36</v>
      </c>
      <c r="V464" s="3">
        <v>568</v>
      </c>
      <c r="W464" s="3">
        <v>0</v>
      </c>
      <c r="X464" s="3">
        <v>86</v>
      </c>
      <c r="Y464" s="3">
        <v>0</v>
      </c>
      <c r="Z464" s="3">
        <v>0</v>
      </c>
      <c r="AA464" s="3">
        <v>86</v>
      </c>
      <c r="AB464" s="3">
        <v>4012</v>
      </c>
      <c r="AC464" s="192">
        <v>0</v>
      </c>
      <c r="AF464" s="193">
        <v>6.2500000000000003E-3</v>
      </c>
      <c r="AG464" s="193">
        <v>0.29444444444444445</v>
      </c>
      <c r="AH464" s="193">
        <v>0.62986111111111109</v>
      </c>
    </row>
    <row r="465" spans="1:34" x14ac:dyDescent="0.25">
      <c r="A465" s="3" t="s">
        <v>383</v>
      </c>
      <c r="B465" s="3">
        <v>137187</v>
      </c>
      <c r="C465" s="3">
        <v>942207</v>
      </c>
      <c r="D465" s="3" t="s">
        <v>3526</v>
      </c>
      <c r="E465" s="3">
        <v>7</v>
      </c>
      <c r="F465" s="3">
        <v>10</v>
      </c>
      <c r="G465" s="3">
        <v>6</v>
      </c>
      <c r="H465" s="55" t="s">
        <v>289</v>
      </c>
      <c r="I465" s="3" t="s">
        <v>5358</v>
      </c>
      <c r="J465" s="135">
        <v>46241</v>
      </c>
      <c r="L465" s="3">
        <v>1802</v>
      </c>
      <c r="M465" s="3">
        <v>26983</v>
      </c>
      <c r="N465" s="3" t="s">
        <v>5430</v>
      </c>
      <c r="R465" s="3">
        <v>14</v>
      </c>
      <c r="S465" s="3" t="s">
        <v>2639</v>
      </c>
      <c r="T465" s="3" t="s">
        <v>5141</v>
      </c>
      <c r="U465" s="3">
        <v>37</v>
      </c>
      <c r="V465" s="3">
        <v>568</v>
      </c>
      <c r="W465" s="3">
        <v>0</v>
      </c>
      <c r="X465" s="3">
        <v>106</v>
      </c>
      <c r="Y465" s="3">
        <v>0</v>
      </c>
      <c r="Z465" s="3">
        <v>0</v>
      </c>
      <c r="AA465" s="3">
        <v>106</v>
      </c>
      <c r="AB465" s="3">
        <v>4118</v>
      </c>
      <c r="AC465" s="192">
        <v>0</v>
      </c>
      <c r="AF465" s="193">
        <v>7.6388888888888886E-3</v>
      </c>
      <c r="AG465" s="193">
        <v>0.30208333333333331</v>
      </c>
      <c r="AH465" s="193">
        <v>0.64444444444444449</v>
      </c>
    </row>
    <row r="466" spans="1:34" x14ac:dyDescent="0.25">
      <c r="A466" s="3" t="s">
        <v>383</v>
      </c>
      <c r="B466" s="3">
        <v>137187</v>
      </c>
      <c r="C466" s="3">
        <v>942207</v>
      </c>
      <c r="D466" s="3" t="s">
        <v>3526</v>
      </c>
      <c r="E466" s="3">
        <v>7</v>
      </c>
      <c r="F466" s="3">
        <v>11</v>
      </c>
      <c r="G466" s="3">
        <v>7</v>
      </c>
      <c r="H466" s="55" t="s">
        <v>289</v>
      </c>
      <c r="I466" s="3" t="s">
        <v>5358</v>
      </c>
      <c r="J466" s="135">
        <v>46241</v>
      </c>
      <c r="L466" s="3">
        <v>1802</v>
      </c>
      <c r="M466" s="3">
        <v>26983</v>
      </c>
      <c r="N466" s="3" t="s">
        <v>5430</v>
      </c>
      <c r="R466" s="3">
        <v>14</v>
      </c>
      <c r="S466" s="3" t="s">
        <v>2639</v>
      </c>
      <c r="T466" s="3" t="s">
        <v>5141</v>
      </c>
      <c r="U466" s="3">
        <v>38</v>
      </c>
      <c r="V466" s="3">
        <v>568</v>
      </c>
      <c r="W466" s="3">
        <v>0</v>
      </c>
      <c r="X466" s="3">
        <v>110</v>
      </c>
      <c r="Y466" s="3">
        <v>0</v>
      </c>
      <c r="Z466" s="3">
        <v>0</v>
      </c>
      <c r="AA466" s="3">
        <v>110</v>
      </c>
      <c r="AB466" s="3">
        <v>4228</v>
      </c>
      <c r="AC466" s="192">
        <v>0</v>
      </c>
      <c r="AF466" s="193">
        <v>8.3333333333333332E-3</v>
      </c>
      <c r="AG466" s="193">
        <v>0.31041666666666667</v>
      </c>
      <c r="AH466" s="193">
        <v>0.65277777777777779</v>
      </c>
    </row>
    <row r="467" spans="1:34" x14ac:dyDescent="0.25">
      <c r="A467" s="3" t="s">
        <v>383</v>
      </c>
      <c r="B467" s="3">
        <v>137187</v>
      </c>
      <c r="C467" s="3">
        <v>942207</v>
      </c>
      <c r="D467" s="3" t="s">
        <v>3526</v>
      </c>
      <c r="E467" s="3">
        <v>7</v>
      </c>
      <c r="F467" s="3">
        <v>12</v>
      </c>
      <c r="G467" s="3">
        <v>8</v>
      </c>
      <c r="H467" s="55" t="s">
        <v>289</v>
      </c>
      <c r="I467" s="3" t="s">
        <v>5358</v>
      </c>
      <c r="J467" s="135">
        <v>46241</v>
      </c>
      <c r="L467" s="3">
        <v>1802</v>
      </c>
      <c r="M467" s="3">
        <v>26983</v>
      </c>
      <c r="N467" s="3" t="s">
        <v>5430</v>
      </c>
      <c r="R467" s="3">
        <v>14</v>
      </c>
      <c r="S467" s="3" t="s">
        <v>2639</v>
      </c>
      <c r="T467" s="3" t="s">
        <v>5141</v>
      </c>
      <c r="U467" s="3" t="s">
        <v>280</v>
      </c>
      <c r="V467" s="3">
        <v>568</v>
      </c>
      <c r="W467" s="3">
        <v>0</v>
      </c>
      <c r="X467" s="3">
        <v>54</v>
      </c>
      <c r="Y467" s="3">
        <v>0</v>
      </c>
      <c r="Z467" s="3">
        <v>0</v>
      </c>
      <c r="AA467" s="3">
        <v>54</v>
      </c>
      <c r="AB467" s="3">
        <v>4282</v>
      </c>
      <c r="AC467" s="192">
        <v>0</v>
      </c>
      <c r="AF467" s="193">
        <v>4.1666666666666666E-3</v>
      </c>
      <c r="AG467" s="193">
        <v>0.31388888888888888</v>
      </c>
      <c r="AH467" s="193">
        <v>0.65694444444444444</v>
      </c>
    </row>
    <row r="468" spans="1:34" x14ac:dyDescent="0.25">
      <c r="A468" s="3" t="s">
        <v>383</v>
      </c>
      <c r="B468" s="3">
        <v>137189</v>
      </c>
      <c r="C468" s="3">
        <v>942207</v>
      </c>
      <c r="D468" s="3" t="s">
        <v>3526</v>
      </c>
      <c r="E468" s="3">
        <v>7</v>
      </c>
      <c r="F468" s="3">
        <v>13</v>
      </c>
      <c r="G468" s="3">
        <v>3</v>
      </c>
      <c r="H468" s="55" t="s">
        <v>289</v>
      </c>
      <c r="I468" s="3" t="s">
        <v>5358</v>
      </c>
      <c r="J468" s="135">
        <v>46241</v>
      </c>
      <c r="L468" s="3">
        <v>1802</v>
      </c>
      <c r="M468" s="3">
        <v>26983</v>
      </c>
      <c r="N468" s="3" t="s">
        <v>5430</v>
      </c>
      <c r="R468" s="3">
        <v>14</v>
      </c>
      <c r="S468" s="3" t="s">
        <v>2647</v>
      </c>
      <c r="T468" s="3" t="s">
        <v>5431</v>
      </c>
      <c r="U468" s="3">
        <v>34</v>
      </c>
      <c r="V468" s="3">
        <v>568</v>
      </c>
      <c r="W468" s="3">
        <v>0</v>
      </c>
      <c r="X468" s="3">
        <v>70</v>
      </c>
      <c r="Y468" s="3">
        <v>0</v>
      </c>
      <c r="Z468" s="3">
        <v>0</v>
      </c>
      <c r="AA468" s="3">
        <v>70</v>
      </c>
      <c r="AB468" s="3">
        <v>4352</v>
      </c>
      <c r="AC468" s="192">
        <v>0</v>
      </c>
      <c r="AF468" s="193">
        <v>4.8611111111111112E-3</v>
      </c>
      <c r="AG468" s="193">
        <v>0.31944444444444442</v>
      </c>
      <c r="AH468" s="193">
        <v>0.66180555555555554</v>
      </c>
    </row>
    <row r="469" spans="1:34" x14ac:dyDescent="0.25">
      <c r="A469" s="3" t="s">
        <v>383</v>
      </c>
      <c r="B469" s="3">
        <v>137189</v>
      </c>
      <c r="C469" s="3">
        <v>942207</v>
      </c>
      <c r="D469" s="3" t="s">
        <v>3526</v>
      </c>
      <c r="E469" s="3">
        <v>7</v>
      </c>
      <c r="F469" s="3">
        <v>14</v>
      </c>
      <c r="G469" s="3">
        <v>4</v>
      </c>
      <c r="H469" s="55" t="s">
        <v>289</v>
      </c>
      <c r="I469" s="3" t="s">
        <v>5358</v>
      </c>
      <c r="J469" s="135">
        <v>46241</v>
      </c>
      <c r="L469" s="3">
        <v>1802</v>
      </c>
      <c r="M469" s="3">
        <v>26983</v>
      </c>
      <c r="N469" s="3" t="s">
        <v>5430</v>
      </c>
      <c r="R469" s="3">
        <v>14</v>
      </c>
      <c r="S469" s="3" t="s">
        <v>2647</v>
      </c>
      <c r="T469" s="3" t="s">
        <v>5431</v>
      </c>
      <c r="U469" s="3">
        <v>35</v>
      </c>
      <c r="V469" s="3">
        <v>568</v>
      </c>
      <c r="W469" s="3">
        <v>0</v>
      </c>
      <c r="X469" s="3">
        <v>256</v>
      </c>
      <c r="Y469" s="3">
        <v>0</v>
      </c>
      <c r="Z469" s="3">
        <v>0</v>
      </c>
      <c r="AA469" s="3">
        <v>256</v>
      </c>
      <c r="AB469" s="3">
        <v>4608</v>
      </c>
      <c r="AC469" s="192">
        <v>0</v>
      </c>
      <c r="AF469" s="193">
        <v>1.8749999999999999E-2</v>
      </c>
      <c r="AG469" s="193">
        <v>0.33819444444444446</v>
      </c>
      <c r="AH469" s="193">
        <v>0.68055555555555558</v>
      </c>
    </row>
    <row r="470" spans="1:34" x14ac:dyDescent="0.25">
      <c r="A470" s="3" t="s">
        <v>383</v>
      </c>
      <c r="B470" s="3">
        <v>137189</v>
      </c>
      <c r="C470" s="3">
        <v>942207</v>
      </c>
      <c r="D470" s="3" t="s">
        <v>3526</v>
      </c>
      <c r="E470" s="3">
        <v>7</v>
      </c>
      <c r="F470" s="3">
        <v>15</v>
      </c>
      <c r="G470" s="3">
        <v>5</v>
      </c>
      <c r="H470" s="55" t="s">
        <v>289</v>
      </c>
      <c r="I470" s="3" t="s">
        <v>5358</v>
      </c>
      <c r="J470" s="135">
        <v>46241</v>
      </c>
      <c r="L470" s="3">
        <v>1802</v>
      </c>
      <c r="M470" s="3">
        <v>26983</v>
      </c>
      <c r="N470" s="3" t="s">
        <v>5430</v>
      </c>
      <c r="R470" s="3">
        <v>14</v>
      </c>
      <c r="S470" s="3" t="s">
        <v>2647</v>
      </c>
      <c r="T470" s="3" t="s">
        <v>5431</v>
      </c>
      <c r="U470" s="3">
        <v>36</v>
      </c>
      <c r="V470" s="3">
        <v>568</v>
      </c>
      <c r="W470" s="3">
        <v>0</v>
      </c>
      <c r="X470" s="3">
        <v>464</v>
      </c>
      <c r="Y470" s="3">
        <v>0</v>
      </c>
      <c r="Z470" s="3">
        <v>0</v>
      </c>
      <c r="AA470" s="3">
        <v>464</v>
      </c>
      <c r="AB470" s="3">
        <v>5072</v>
      </c>
      <c r="AC470" s="192">
        <v>0</v>
      </c>
      <c r="AF470" s="193">
        <v>3.4027777777777775E-2</v>
      </c>
      <c r="AG470" s="193">
        <v>0.37222222222222223</v>
      </c>
      <c r="AH470" s="193">
        <v>0.71458333333333335</v>
      </c>
    </row>
    <row r="471" spans="1:34" x14ac:dyDescent="0.25">
      <c r="A471" s="3" t="s">
        <v>383</v>
      </c>
      <c r="B471" s="3">
        <v>137189</v>
      </c>
      <c r="C471" s="3">
        <v>942207</v>
      </c>
      <c r="D471" s="3" t="s">
        <v>3526</v>
      </c>
      <c r="E471" s="3">
        <v>7</v>
      </c>
      <c r="F471" s="3">
        <v>16</v>
      </c>
      <c r="G471" s="3">
        <v>6</v>
      </c>
      <c r="H471" s="55" t="s">
        <v>289</v>
      </c>
      <c r="I471" s="3" t="s">
        <v>5358</v>
      </c>
      <c r="J471" s="135">
        <v>46241</v>
      </c>
      <c r="L471" s="3">
        <v>1802</v>
      </c>
      <c r="M471" s="3">
        <v>26983</v>
      </c>
      <c r="N471" s="3" t="s">
        <v>5430</v>
      </c>
      <c r="R471" s="3">
        <v>14</v>
      </c>
      <c r="S471" s="3" t="s">
        <v>2647</v>
      </c>
      <c r="T471" s="3" t="s">
        <v>5431</v>
      </c>
      <c r="U471" s="3">
        <v>37</v>
      </c>
      <c r="V471" s="3">
        <v>568</v>
      </c>
      <c r="W471" s="3">
        <v>0</v>
      </c>
      <c r="X471" s="3">
        <v>594</v>
      </c>
      <c r="Y471" s="3">
        <v>0</v>
      </c>
      <c r="Z471" s="3">
        <v>0</v>
      </c>
      <c r="AA471" s="3">
        <v>594</v>
      </c>
      <c r="AB471" s="3">
        <v>5666</v>
      </c>
      <c r="AC471" s="192">
        <v>0</v>
      </c>
      <c r="AF471" s="193">
        <v>4.3749999999999997E-2</v>
      </c>
      <c r="AG471" s="193">
        <v>0.41597222222222224</v>
      </c>
      <c r="AH471" s="193">
        <v>0.7583333333333333</v>
      </c>
    </row>
    <row r="472" spans="1:34" x14ac:dyDescent="0.25">
      <c r="A472" s="3" t="s">
        <v>383</v>
      </c>
      <c r="B472" s="3">
        <v>137189</v>
      </c>
      <c r="C472" s="3">
        <v>942207</v>
      </c>
      <c r="D472" s="3" t="s">
        <v>3526</v>
      </c>
      <c r="E472" s="3">
        <v>7</v>
      </c>
      <c r="F472" s="3">
        <v>17</v>
      </c>
      <c r="G472" s="3">
        <v>7</v>
      </c>
      <c r="H472" s="55" t="s">
        <v>289</v>
      </c>
      <c r="I472" s="3" t="s">
        <v>5358</v>
      </c>
      <c r="J472" s="135">
        <v>46241</v>
      </c>
      <c r="L472" s="3">
        <v>1802</v>
      </c>
      <c r="M472" s="3">
        <v>26983</v>
      </c>
      <c r="N472" s="3" t="s">
        <v>5430</v>
      </c>
      <c r="R472" s="3">
        <v>14</v>
      </c>
      <c r="S472" s="3" t="s">
        <v>2647</v>
      </c>
      <c r="T472" s="3" t="s">
        <v>5431</v>
      </c>
      <c r="U472" s="3">
        <v>38</v>
      </c>
      <c r="V472" s="3">
        <v>568</v>
      </c>
      <c r="W472" s="3">
        <v>0</v>
      </c>
      <c r="X472" s="3">
        <v>574</v>
      </c>
      <c r="Y472" s="3">
        <v>0</v>
      </c>
      <c r="Z472" s="3">
        <v>0</v>
      </c>
      <c r="AA472" s="3">
        <v>574</v>
      </c>
      <c r="AB472" s="3">
        <v>6240</v>
      </c>
      <c r="AC472" s="192">
        <v>8.3333333333333332E-3</v>
      </c>
      <c r="AD472" s="3" t="s">
        <v>292</v>
      </c>
      <c r="AF472" s="193">
        <v>4.2361111111111113E-2</v>
      </c>
      <c r="AG472" s="193">
        <v>0.45763888888888887</v>
      </c>
      <c r="AH472" s="193">
        <v>0.80902777777777779</v>
      </c>
    </row>
    <row r="473" spans="1:34" x14ac:dyDescent="0.25">
      <c r="A473" s="3" t="s">
        <v>383</v>
      </c>
      <c r="B473" s="3">
        <v>137189</v>
      </c>
      <c r="C473" s="3">
        <v>942207</v>
      </c>
      <c r="D473" s="3" t="s">
        <v>3526</v>
      </c>
      <c r="E473" s="3">
        <v>7</v>
      </c>
      <c r="F473" s="3">
        <v>18</v>
      </c>
      <c r="G473" s="3">
        <v>8</v>
      </c>
      <c r="H473" s="55" t="s">
        <v>289</v>
      </c>
      <c r="I473" s="3" t="s">
        <v>5358</v>
      </c>
      <c r="J473" s="135">
        <v>46241</v>
      </c>
      <c r="L473" s="3">
        <v>1802</v>
      </c>
      <c r="M473" s="3">
        <v>26983</v>
      </c>
      <c r="N473" s="3" t="s">
        <v>5430</v>
      </c>
      <c r="R473" s="3">
        <v>14</v>
      </c>
      <c r="S473" s="3" t="s">
        <v>2647</v>
      </c>
      <c r="T473" s="3" t="s">
        <v>5431</v>
      </c>
      <c r="U473" s="3" t="s">
        <v>280</v>
      </c>
      <c r="V473" s="3">
        <v>568</v>
      </c>
      <c r="W473" s="3">
        <v>0</v>
      </c>
      <c r="X473" s="3">
        <v>344</v>
      </c>
      <c r="Y473" s="3">
        <v>0</v>
      </c>
      <c r="Z473" s="3">
        <v>0</v>
      </c>
      <c r="AA473" s="3">
        <v>344</v>
      </c>
      <c r="AB473" s="3">
        <v>6584</v>
      </c>
      <c r="AC473" s="192">
        <v>4.1666666666666664E-2</v>
      </c>
      <c r="AD473" s="3" t="s">
        <v>294</v>
      </c>
      <c r="AE473" s="3" t="s">
        <v>295</v>
      </c>
      <c r="AF473" s="193">
        <v>2.5000000000000001E-2</v>
      </c>
      <c r="AG473" s="193">
        <v>0.4826388888888889</v>
      </c>
      <c r="AH473" s="193">
        <v>0.87569444444444444</v>
      </c>
    </row>
    <row r="474" spans="1:34" x14ac:dyDescent="0.25">
      <c r="A474" s="3" t="s">
        <v>383</v>
      </c>
      <c r="B474" s="3">
        <v>136107</v>
      </c>
      <c r="C474" s="3">
        <v>942207</v>
      </c>
      <c r="D474" s="3" t="s">
        <v>3526</v>
      </c>
      <c r="E474" s="3">
        <v>7</v>
      </c>
      <c r="F474" s="3">
        <v>19</v>
      </c>
      <c r="G474" s="3">
        <v>3</v>
      </c>
      <c r="H474" s="55" t="s">
        <v>289</v>
      </c>
      <c r="I474" s="3" t="s">
        <v>5358</v>
      </c>
      <c r="J474" s="135">
        <v>46210</v>
      </c>
      <c r="L474" s="3">
        <v>1819</v>
      </c>
      <c r="M474" s="3">
        <v>19442</v>
      </c>
      <c r="N474" s="3" t="s">
        <v>5432</v>
      </c>
      <c r="R474" s="3">
        <v>12</v>
      </c>
      <c r="S474" s="3" t="s">
        <v>5433</v>
      </c>
      <c r="T474" s="3" t="s">
        <v>5434</v>
      </c>
      <c r="U474" s="3">
        <v>28</v>
      </c>
      <c r="V474" s="3">
        <v>210</v>
      </c>
      <c r="W474" s="3">
        <v>0</v>
      </c>
      <c r="X474" s="3">
        <v>78</v>
      </c>
      <c r="Y474" s="3">
        <v>0</v>
      </c>
      <c r="Z474" s="3">
        <v>0</v>
      </c>
      <c r="AA474" s="3">
        <v>78</v>
      </c>
      <c r="AB474" s="3">
        <v>6662</v>
      </c>
      <c r="AC474" s="192">
        <v>0</v>
      </c>
      <c r="AF474" s="193">
        <v>1.5277777777777777E-2</v>
      </c>
      <c r="AG474" s="193">
        <v>0.49861111111111112</v>
      </c>
      <c r="AH474" s="193">
        <v>0.89097222222222228</v>
      </c>
    </row>
    <row r="475" spans="1:34" x14ac:dyDescent="0.25">
      <c r="A475" s="3" t="s">
        <v>383</v>
      </c>
      <c r="B475" s="3">
        <v>136107</v>
      </c>
      <c r="C475" s="3">
        <v>942207</v>
      </c>
      <c r="D475" s="3" t="s">
        <v>3526</v>
      </c>
      <c r="E475" s="3">
        <v>7</v>
      </c>
      <c r="F475" s="3">
        <v>20</v>
      </c>
      <c r="G475" s="3">
        <v>4</v>
      </c>
      <c r="H475" s="55" t="s">
        <v>289</v>
      </c>
      <c r="I475" s="3" t="s">
        <v>5358</v>
      </c>
      <c r="J475" s="135">
        <v>46210</v>
      </c>
      <c r="L475" s="3">
        <v>1819</v>
      </c>
      <c r="M475" s="3">
        <v>19442</v>
      </c>
      <c r="N475" s="3" t="s">
        <v>5432</v>
      </c>
      <c r="R475" s="3">
        <v>12</v>
      </c>
      <c r="S475" s="3" t="s">
        <v>5433</v>
      </c>
      <c r="T475" s="3" t="s">
        <v>5434</v>
      </c>
      <c r="U475" s="3">
        <v>29</v>
      </c>
      <c r="V475" s="3">
        <v>210</v>
      </c>
      <c r="W475" s="3">
        <v>0</v>
      </c>
      <c r="X475" s="3">
        <v>354</v>
      </c>
      <c r="Y475" s="3">
        <v>0</v>
      </c>
      <c r="Z475" s="3">
        <v>0</v>
      </c>
      <c r="AA475" s="3">
        <v>354</v>
      </c>
      <c r="AB475" s="3">
        <v>7016</v>
      </c>
      <c r="AC475" s="192">
        <v>0</v>
      </c>
      <c r="AF475" s="193">
        <v>7.013888888888889E-2</v>
      </c>
      <c r="AG475" s="193">
        <v>0.56874999999999998</v>
      </c>
      <c r="AH475" s="193">
        <v>0.96111111111111114</v>
      </c>
    </row>
    <row r="476" spans="1:34" x14ac:dyDescent="0.25">
      <c r="A476" s="3" t="s">
        <v>384</v>
      </c>
      <c r="B476" s="3">
        <v>127092</v>
      </c>
      <c r="C476" s="3">
        <v>941407</v>
      </c>
      <c r="D476" s="3" t="s">
        <v>3526</v>
      </c>
      <c r="E476" s="3">
        <v>5</v>
      </c>
      <c r="F476" s="3">
        <v>1</v>
      </c>
      <c r="G476" s="3">
        <v>7</v>
      </c>
      <c r="H476" s="55" t="s">
        <v>289</v>
      </c>
      <c r="I476" s="3" t="s">
        <v>279</v>
      </c>
      <c r="J476" s="135">
        <v>46029</v>
      </c>
      <c r="K476" s="135">
        <v>46241</v>
      </c>
      <c r="L476" s="3">
        <v>1805</v>
      </c>
      <c r="M476" s="3">
        <v>83648</v>
      </c>
      <c r="N476" s="3" t="s">
        <v>5209</v>
      </c>
      <c r="R476" s="3">
        <v>8</v>
      </c>
      <c r="S476" s="3" t="s">
        <v>5210</v>
      </c>
      <c r="T476" s="3" t="s">
        <v>5211</v>
      </c>
      <c r="U476" s="3">
        <v>37</v>
      </c>
      <c r="V476" s="3">
        <v>352</v>
      </c>
      <c r="W476" s="3">
        <v>0</v>
      </c>
      <c r="X476" s="3">
        <v>1004</v>
      </c>
      <c r="Y476" s="3">
        <v>956</v>
      </c>
      <c r="Z476" s="3">
        <v>0</v>
      </c>
      <c r="AA476" s="3">
        <v>48</v>
      </c>
      <c r="AB476" s="3">
        <v>48</v>
      </c>
      <c r="AC476" s="192">
        <v>0</v>
      </c>
      <c r="AF476" s="193">
        <v>5.5555555555555558E-3</v>
      </c>
      <c r="AG476" s="193">
        <v>5.5555555555555558E-3</v>
      </c>
      <c r="AH476" s="193">
        <v>0.28263888888888888</v>
      </c>
    </row>
    <row r="477" spans="1:34" x14ac:dyDescent="0.25">
      <c r="A477" s="3" t="s">
        <v>384</v>
      </c>
      <c r="B477" s="3">
        <v>129598</v>
      </c>
      <c r="C477" s="3">
        <v>941407</v>
      </c>
      <c r="D477" s="3" t="s">
        <v>3526</v>
      </c>
      <c r="E477" s="3">
        <v>5</v>
      </c>
      <c r="F477" s="3">
        <v>2</v>
      </c>
      <c r="G477" s="3">
        <v>4</v>
      </c>
      <c r="H477" s="55" t="s">
        <v>289</v>
      </c>
      <c r="I477" s="3" t="s">
        <v>279</v>
      </c>
      <c r="J477" s="135">
        <v>46088</v>
      </c>
      <c r="K477" s="135">
        <v>46302</v>
      </c>
      <c r="L477" s="3">
        <v>1830</v>
      </c>
      <c r="M477" s="3">
        <v>12432</v>
      </c>
      <c r="N477" s="3" t="s">
        <v>5212</v>
      </c>
      <c r="R477" s="3">
        <v>11</v>
      </c>
      <c r="S477" s="3" t="s">
        <v>3613</v>
      </c>
      <c r="T477" s="3" t="s">
        <v>5213</v>
      </c>
      <c r="U477" s="3">
        <v>41</v>
      </c>
      <c r="V477" s="3">
        <v>397</v>
      </c>
      <c r="W477" s="3">
        <v>0</v>
      </c>
      <c r="X477" s="3">
        <v>900</v>
      </c>
      <c r="Y477" s="3">
        <v>828</v>
      </c>
      <c r="Z477" s="3">
        <v>0</v>
      </c>
      <c r="AA477" s="3">
        <v>72</v>
      </c>
      <c r="AB477" s="3">
        <v>120</v>
      </c>
      <c r="AC477" s="192">
        <v>0</v>
      </c>
      <c r="AF477" s="193">
        <v>7.6388888888888886E-3</v>
      </c>
      <c r="AG477" s="193">
        <v>1.3194444444444444E-2</v>
      </c>
      <c r="AH477" s="193">
        <v>0.2902777777777778</v>
      </c>
    </row>
    <row r="478" spans="1:34" x14ac:dyDescent="0.25">
      <c r="A478" s="3" t="s">
        <v>384</v>
      </c>
      <c r="B478" s="3">
        <v>129598</v>
      </c>
      <c r="C478" s="3">
        <v>941407</v>
      </c>
      <c r="D478" s="3" t="s">
        <v>3526</v>
      </c>
      <c r="E478" s="3">
        <v>5</v>
      </c>
      <c r="F478" s="3">
        <v>3</v>
      </c>
      <c r="G478" s="3">
        <v>6</v>
      </c>
      <c r="H478" s="55" t="s">
        <v>289</v>
      </c>
      <c r="I478" s="3" t="s">
        <v>279</v>
      </c>
      <c r="J478" s="135">
        <v>46088</v>
      </c>
      <c r="K478" s="135">
        <v>46302</v>
      </c>
      <c r="L478" s="3">
        <v>1830</v>
      </c>
      <c r="M478" s="3">
        <v>12432</v>
      </c>
      <c r="N478" s="3" t="s">
        <v>5212</v>
      </c>
      <c r="R478" s="3">
        <v>11</v>
      </c>
      <c r="S478" s="3" t="s">
        <v>3613</v>
      </c>
      <c r="T478" s="3" t="s">
        <v>5213</v>
      </c>
      <c r="U478" s="3" t="s">
        <v>281</v>
      </c>
      <c r="V478" s="3">
        <v>397</v>
      </c>
      <c r="W478" s="3">
        <v>0</v>
      </c>
      <c r="X478" s="3">
        <v>306</v>
      </c>
      <c r="Y478" s="3">
        <v>264</v>
      </c>
      <c r="Z478" s="3">
        <v>0</v>
      </c>
      <c r="AA478" s="3">
        <v>42</v>
      </c>
      <c r="AB478" s="3">
        <v>162</v>
      </c>
      <c r="AC478" s="192">
        <v>0</v>
      </c>
      <c r="AF478" s="193">
        <v>4.1666666666666666E-3</v>
      </c>
      <c r="AG478" s="193">
        <v>1.7361111111111112E-2</v>
      </c>
      <c r="AH478" s="193">
        <v>0.29444444444444445</v>
      </c>
    </row>
    <row r="479" spans="1:34" x14ac:dyDescent="0.25">
      <c r="A479" s="3" t="s">
        <v>384</v>
      </c>
      <c r="B479" s="3">
        <v>129597</v>
      </c>
      <c r="C479" s="3">
        <v>941407</v>
      </c>
      <c r="D479" s="3" t="s">
        <v>3526</v>
      </c>
      <c r="E479" s="3">
        <v>5</v>
      </c>
      <c r="F479" s="3">
        <v>4</v>
      </c>
      <c r="G479" s="3">
        <v>4</v>
      </c>
      <c r="H479" s="55" t="s">
        <v>289</v>
      </c>
      <c r="I479" s="3" t="s">
        <v>279</v>
      </c>
      <c r="J479" s="135">
        <v>46088</v>
      </c>
      <c r="K479" s="135">
        <v>46302</v>
      </c>
      <c r="L479" s="3">
        <v>1830</v>
      </c>
      <c r="M479" s="3">
        <v>12432</v>
      </c>
      <c r="N479" s="3" t="s">
        <v>5212</v>
      </c>
      <c r="R479" s="3">
        <v>10</v>
      </c>
      <c r="S479" s="3" t="s">
        <v>3612</v>
      </c>
      <c r="T479" s="3" t="s">
        <v>5200</v>
      </c>
      <c r="U479" s="3">
        <v>41</v>
      </c>
      <c r="V479" s="3">
        <v>397</v>
      </c>
      <c r="W479" s="3">
        <v>0</v>
      </c>
      <c r="X479" s="3">
        <v>900</v>
      </c>
      <c r="Y479" s="3">
        <v>852</v>
      </c>
      <c r="Z479" s="3">
        <v>0</v>
      </c>
      <c r="AA479" s="3">
        <v>48</v>
      </c>
      <c r="AB479" s="3">
        <v>210</v>
      </c>
      <c r="AC479" s="192">
        <v>0</v>
      </c>
      <c r="AF479" s="193">
        <v>4.8611111111111112E-3</v>
      </c>
      <c r="AG479" s="193">
        <v>2.2916666666666665E-2</v>
      </c>
      <c r="AH479" s="193">
        <v>0.29930555555555555</v>
      </c>
    </row>
    <row r="480" spans="1:34" x14ac:dyDescent="0.25">
      <c r="A480" s="3" t="s">
        <v>384</v>
      </c>
      <c r="B480" s="3">
        <v>129597</v>
      </c>
      <c r="C480" s="3">
        <v>941407</v>
      </c>
      <c r="D480" s="3" t="s">
        <v>3526</v>
      </c>
      <c r="E480" s="3">
        <v>5</v>
      </c>
      <c r="F480" s="3">
        <v>5</v>
      </c>
      <c r="G480" s="3">
        <v>5</v>
      </c>
      <c r="H480" s="55" t="s">
        <v>289</v>
      </c>
      <c r="I480" s="3" t="s">
        <v>279</v>
      </c>
      <c r="J480" s="135">
        <v>46088</v>
      </c>
      <c r="K480" s="135">
        <v>46302</v>
      </c>
      <c r="L480" s="3">
        <v>1830</v>
      </c>
      <c r="M480" s="3">
        <v>12432</v>
      </c>
      <c r="N480" s="3" t="s">
        <v>5212</v>
      </c>
      <c r="R480" s="3">
        <v>10</v>
      </c>
      <c r="S480" s="3" t="s">
        <v>3612</v>
      </c>
      <c r="T480" s="3" t="s">
        <v>5200</v>
      </c>
      <c r="U480" s="3">
        <v>42</v>
      </c>
      <c r="V480" s="3">
        <v>397</v>
      </c>
      <c r="W480" s="3">
        <v>0</v>
      </c>
      <c r="X480" s="3">
        <v>810</v>
      </c>
      <c r="Y480" s="3">
        <v>738</v>
      </c>
      <c r="Z480" s="3">
        <v>0</v>
      </c>
      <c r="AA480" s="3">
        <v>72</v>
      </c>
      <c r="AB480" s="3">
        <v>282</v>
      </c>
      <c r="AC480" s="192">
        <v>0</v>
      </c>
      <c r="AF480" s="193">
        <v>7.6388888888888886E-3</v>
      </c>
      <c r="AG480" s="193">
        <v>3.0555555555555555E-2</v>
      </c>
      <c r="AH480" s="193">
        <v>0.30694444444444446</v>
      </c>
    </row>
    <row r="481" spans="1:34" x14ac:dyDescent="0.25">
      <c r="A481" s="3" t="s">
        <v>384</v>
      </c>
      <c r="B481" s="3">
        <v>141155</v>
      </c>
      <c r="C481" s="3">
        <v>942207</v>
      </c>
      <c r="D481" s="3" t="s">
        <v>3526</v>
      </c>
      <c r="E481" s="3">
        <v>7</v>
      </c>
      <c r="F481" s="3">
        <v>6</v>
      </c>
      <c r="G481" s="3">
        <v>8</v>
      </c>
      <c r="H481" s="55" t="s">
        <v>289</v>
      </c>
      <c r="I481" s="3" t="s">
        <v>279</v>
      </c>
      <c r="J481" s="135">
        <v>46302</v>
      </c>
      <c r="K481" s="3" t="s">
        <v>5291</v>
      </c>
      <c r="L481" s="3">
        <v>1816</v>
      </c>
      <c r="M481" s="3">
        <v>12621</v>
      </c>
      <c r="N481" s="3" t="s">
        <v>5214</v>
      </c>
      <c r="R481" s="3">
        <v>10</v>
      </c>
      <c r="S481" s="3" t="s">
        <v>5215</v>
      </c>
      <c r="T481" s="3" t="s">
        <v>5183</v>
      </c>
      <c r="U481" s="3" t="s">
        <v>284</v>
      </c>
      <c r="V481" s="3">
        <v>333</v>
      </c>
      <c r="W481" s="3">
        <v>0</v>
      </c>
      <c r="X481" s="3">
        <v>672</v>
      </c>
      <c r="Y481" s="3">
        <v>616</v>
      </c>
      <c r="Z481" s="3">
        <v>0</v>
      </c>
      <c r="AA481" s="3">
        <v>56</v>
      </c>
      <c r="AB481" s="3">
        <v>338</v>
      </c>
      <c r="AC481" s="192">
        <v>0</v>
      </c>
      <c r="AF481" s="193">
        <v>6.9444444444444441E-3</v>
      </c>
      <c r="AG481" s="193">
        <v>3.7499999999999999E-2</v>
      </c>
      <c r="AH481" s="193">
        <v>0.31388888888888888</v>
      </c>
    </row>
    <row r="482" spans="1:34" x14ac:dyDescent="0.25">
      <c r="A482" s="3" t="s">
        <v>384</v>
      </c>
      <c r="B482" s="3">
        <v>141155</v>
      </c>
      <c r="C482" s="3">
        <v>942207</v>
      </c>
      <c r="D482" s="3" t="s">
        <v>3526</v>
      </c>
      <c r="E482" s="3">
        <v>7</v>
      </c>
      <c r="F482" s="3">
        <v>7</v>
      </c>
      <c r="G482" s="3">
        <v>13</v>
      </c>
      <c r="H482" s="55" t="s">
        <v>289</v>
      </c>
      <c r="I482" s="3" t="s">
        <v>279</v>
      </c>
      <c r="J482" s="135">
        <v>46302</v>
      </c>
      <c r="K482" s="3" t="s">
        <v>5291</v>
      </c>
      <c r="L482" s="3">
        <v>1816</v>
      </c>
      <c r="M482" s="3">
        <v>12621</v>
      </c>
      <c r="N482" s="3" t="s">
        <v>5214</v>
      </c>
      <c r="R482" s="3">
        <v>10</v>
      </c>
      <c r="S482" s="3" t="s">
        <v>5215</v>
      </c>
      <c r="T482" s="3" t="s">
        <v>5183</v>
      </c>
      <c r="U482" s="3" t="s">
        <v>281</v>
      </c>
      <c r="V482" s="3">
        <v>333</v>
      </c>
      <c r="W482" s="3">
        <v>0</v>
      </c>
      <c r="X482" s="3">
        <v>1208</v>
      </c>
      <c r="Y482" s="3">
        <v>360</v>
      </c>
      <c r="Z482" s="3">
        <v>0</v>
      </c>
      <c r="AA482" s="3">
        <v>848</v>
      </c>
      <c r="AB482" s="3">
        <v>1186</v>
      </c>
      <c r="AC482" s="192">
        <v>8.3333333333333332E-3</v>
      </c>
      <c r="AD482" s="3" t="s">
        <v>292</v>
      </c>
      <c r="AF482" s="193">
        <v>0.10625</v>
      </c>
      <c r="AG482" s="193">
        <v>0.14305555555555555</v>
      </c>
      <c r="AH482" s="193">
        <v>0.4284722222222222</v>
      </c>
    </row>
    <row r="483" spans="1:34" x14ac:dyDescent="0.25">
      <c r="A483" s="3" t="s">
        <v>384</v>
      </c>
      <c r="B483" s="3">
        <v>141155</v>
      </c>
      <c r="C483" s="3">
        <v>942207</v>
      </c>
      <c r="D483" s="3" t="s">
        <v>3526</v>
      </c>
      <c r="E483" s="3">
        <v>7</v>
      </c>
      <c r="F483" s="3">
        <v>8</v>
      </c>
      <c r="G483" s="3">
        <v>12</v>
      </c>
      <c r="H483" s="55" t="s">
        <v>289</v>
      </c>
      <c r="I483" s="3" t="s">
        <v>279</v>
      </c>
      <c r="J483" s="135">
        <v>46302</v>
      </c>
      <c r="L483" s="3">
        <v>1816</v>
      </c>
      <c r="M483" s="3">
        <v>12621</v>
      </c>
      <c r="N483" s="3" t="s">
        <v>5214</v>
      </c>
      <c r="R483" s="3">
        <v>10</v>
      </c>
      <c r="S483" s="3" t="s">
        <v>5215</v>
      </c>
      <c r="T483" s="3" t="s">
        <v>5183</v>
      </c>
      <c r="U483" s="3">
        <v>42</v>
      </c>
      <c r="V483" s="3">
        <v>333</v>
      </c>
      <c r="W483" s="3">
        <v>0</v>
      </c>
      <c r="X483" s="3">
        <v>2052</v>
      </c>
      <c r="Y483" s="3">
        <v>0</v>
      </c>
      <c r="Z483" s="3">
        <v>0</v>
      </c>
      <c r="AA483" s="3">
        <v>2052</v>
      </c>
      <c r="AB483" s="3">
        <v>3238</v>
      </c>
      <c r="AC483" s="192">
        <v>0.05</v>
      </c>
      <c r="AD483" s="3" t="s">
        <v>294</v>
      </c>
      <c r="AE483" s="3" t="s">
        <v>5292</v>
      </c>
      <c r="AF483" s="193">
        <v>0.25694444444444442</v>
      </c>
      <c r="AG483" s="193">
        <v>0.4</v>
      </c>
      <c r="AH483" s="193">
        <v>0.74236111111111114</v>
      </c>
    </row>
    <row r="484" spans="1:34" x14ac:dyDescent="0.25">
      <c r="A484" s="3" t="s">
        <v>384</v>
      </c>
      <c r="B484" s="3">
        <v>137500</v>
      </c>
      <c r="C484" s="3" t="s">
        <v>5105</v>
      </c>
      <c r="D484" s="3" t="s">
        <v>3526</v>
      </c>
      <c r="E484" s="3">
        <v>7</v>
      </c>
      <c r="F484" s="3">
        <v>9</v>
      </c>
      <c r="G484" s="3">
        <v>9</v>
      </c>
      <c r="H484" s="55" t="s">
        <v>5095</v>
      </c>
      <c r="I484" s="3" t="s">
        <v>5358</v>
      </c>
      <c r="J484" s="135">
        <v>46241</v>
      </c>
      <c r="L484" s="3">
        <v>1816</v>
      </c>
      <c r="M484" s="3">
        <v>12675</v>
      </c>
      <c r="N484" s="3" t="s">
        <v>5324</v>
      </c>
      <c r="R484" s="3">
        <v>6</v>
      </c>
      <c r="S484" s="3" t="s">
        <v>1757</v>
      </c>
      <c r="T484" s="3" t="s">
        <v>5365</v>
      </c>
      <c r="U484" s="3" t="s">
        <v>5109</v>
      </c>
      <c r="V484" s="3">
        <v>385</v>
      </c>
      <c r="W484" s="3">
        <v>0</v>
      </c>
      <c r="X484" s="3">
        <v>6816</v>
      </c>
      <c r="Y484" s="3">
        <v>0</v>
      </c>
      <c r="Z484" s="3">
        <v>0</v>
      </c>
      <c r="AA484" s="3">
        <v>6816</v>
      </c>
      <c r="AB484" s="3">
        <v>10054</v>
      </c>
      <c r="AC484" s="192">
        <v>0.125</v>
      </c>
      <c r="AD484" s="3" t="s">
        <v>285</v>
      </c>
      <c r="AE484" s="3" t="s">
        <v>286</v>
      </c>
      <c r="AF484" s="193">
        <v>0.73750000000000004</v>
      </c>
      <c r="AG484" s="193">
        <v>1.1375</v>
      </c>
      <c r="AH484" s="193">
        <v>0.80486111111111114</v>
      </c>
    </row>
    <row r="485" spans="1:34" x14ac:dyDescent="0.25">
      <c r="A485" s="3" t="s">
        <v>384</v>
      </c>
      <c r="B485" s="3">
        <v>137501</v>
      </c>
      <c r="C485" s="3" t="s">
        <v>5105</v>
      </c>
      <c r="D485" s="3" t="s">
        <v>3526</v>
      </c>
      <c r="E485" s="3">
        <v>7</v>
      </c>
      <c r="F485" s="3">
        <v>10</v>
      </c>
      <c r="G485" s="3">
        <v>9</v>
      </c>
      <c r="H485" s="55" t="s">
        <v>5095</v>
      </c>
      <c r="I485" s="3" t="s">
        <v>5358</v>
      </c>
      <c r="J485" s="135">
        <v>46241</v>
      </c>
      <c r="L485" s="3">
        <v>1816</v>
      </c>
      <c r="M485" s="3">
        <v>12675</v>
      </c>
      <c r="N485" s="3" t="s">
        <v>5324</v>
      </c>
      <c r="R485" s="3">
        <v>6</v>
      </c>
      <c r="S485" s="3" t="s">
        <v>1757</v>
      </c>
      <c r="T485" s="3" t="s">
        <v>5365</v>
      </c>
      <c r="U485" s="3" t="s">
        <v>5109</v>
      </c>
      <c r="V485" s="3">
        <v>385</v>
      </c>
      <c r="W485" s="3">
        <v>0</v>
      </c>
      <c r="X485" s="3">
        <v>6816</v>
      </c>
      <c r="Y485" s="3">
        <v>0</v>
      </c>
      <c r="Z485" s="3">
        <v>0</v>
      </c>
      <c r="AA485" s="3">
        <v>6816</v>
      </c>
      <c r="AB485" s="3">
        <v>16870</v>
      </c>
      <c r="AC485" s="192">
        <v>0.15833333333333333</v>
      </c>
      <c r="AD485" s="3" t="s">
        <v>294</v>
      </c>
      <c r="AE485" s="3" t="s">
        <v>5292</v>
      </c>
      <c r="AF485" s="193">
        <v>0.73750000000000004</v>
      </c>
      <c r="AG485" s="193">
        <v>1.8756944444444446</v>
      </c>
      <c r="AH485" s="193">
        <v>0.90069444444444446</v>
      </c>
    </row>
    <row r="486" spans="1:34" x14ac:dyDescent="0.25">
      <c r="A486" s="3" t="s">
        <v>387</v>
      </c>
      <c r="B486" s="3">
        <v>129472</v>
      </c>
      <c r="C486" s="3">
        <v>941707</v>
      </c>
      <c r="D486" s="3" t="s">
        <v>3526</v>
      </c>
      <c r="E486" s="3">
        <v>6</v>
      </c>
      <c r="F486" s="3">
        <v>1</v>
      </c>
      <c r="G486" s="3">
        <v>5</v>
      </c>
      <c r="H486" s="55" t="s">
        <v>289</v>
      </c>
      <c r="I486" s="3" t="s">
        <v>279</v>
      </c>
      <c r="J486" s="135">
        <v>46088</v>
      </c>
      <c r="K486" s="135">
        <v>46302</v>
      </c>
      <c r="L486" s="3">
        <v>1830</v>
      </c>
      <c r="M486" s="3">
        <v>12726</v>
      </c>
      <c r="N486" s="3" t="s">
        <v>5205</v>
      </c>
      <c r="R486" s="3">
        <v>8</v>
      </c>
      <c r="S486" s="3" t="s">
        <v>3672</v>
      </c>
      <c r="T486" s="3" t="s">
        <v>5207</v>
      </c>
      <c r="U486" s="3" t="s">
        <v>280</v>
      </c>
      <c r="V486" s="3">
        <v>377</v>
      </c>
      <c r="W486" s="3">
        <v>0</v>
      </c>
      <c r="X486" s="3">
        <v>408</v>
      </c>
      <c r="Y486" s="3">
        <v>400</v>
      </c>
      <c r="Z486" s="3">
        <v>0</v>
      </c>
      <c r="AA486" s="3">
        <v>8</v>
      </c>
      <c r="AB486" s="3">
        <v>8</v>
      </c>
      <c r="AC486" s="192">
        <v>0</v>
      </c>
      <c r="AF486" s="193">
        <v>6.9444444444444447E-4</v>
      </c>
      <c r="AG486" s="193">
        <v>6.9444444444444447E-4</v>
      </c>
      <c r="AH486" s="193">
        <v>0.27777777777777779</v>
      </c>
    </row>
    <row r="487" spans="1:34" x14ac:dyDescent="0.25">
      <c r="A487" s="3" t="s">
        <v>387</v>
      </c>
      <c r="B487" s="3">
        <v>136374</v>
      </c>
      <c r="C487" s="3">
        <v>942207</v>
      </c>
      <c r="D487" s="3" t="s">
        <v>3526</v>
      </c>
      <c r="E487" s="3">
        <v>7</v>
      </c>
      <c r="F487" s="3">
        <v>2</v>
      </c>
      <c r="G487" s="3">
        <v>3</v>
      </c>
      <c r="H487" s="55" t="s">
        <v>289</v>
      </c>
      <c r="I487" s="3" t="s">
        <v>279</v>
      </c>
      <c r="J487" s="135">
        <v>46210</v>
      </c>
      <c r="L487" s="3">
        <v>1819</v>
      </c>
      <c r="M487" s="3">
        <v>12694</v>
      </c>
      <c r="N487" s="3" t="s">
        <v>5435</v>
      </c>
      <c r="R487" s="3">
        <v>14</v>
      </c>
      <c r="S487" s="3" t="s">
        <v>5436</v>
      </c>
      <c r="T487" s="3" t="s">
        <v>441</v>
      </c>
      <c r="U487" s="3" t="s">
        <v>397</v>
      </c>
      <c r="V487" s="3">
        <v>171</v>
      </c>
      <c r="W487" s="3">
        <v>0</v>
      </c>
      <c r="X487" s="3">
        <v>238</v>
      </c>
      <c r="Y487" s="3">
        <v>0</v>
      </c>
      <c r="Z487" s="3">
        <v>0</v>
      </c>
      <c r="AA487" s="3">
        <v>238</v>
      </c>
      <c r="AB487" s="3">
        <v>246</v>
      </c>
      <c r="AC487" s="192">
        <v>0</v>
      </c>
      <c r="AF487" s="193">
        <v>5.8333333333333334E-2</v>
      </c>
      <c r="AG487" s="193">
        <v>5.9027777777777776E-2</v>
      </c>
      <c r="AH487" s="193">
        <v>0.33611111111111114</v>
      </c>
    </row>
    <row r="488" spans="1:34" x14ac:dyDescent="0.25">
      <c r="A488" s="3" t="s">
        <v>387</v>
      </c>
      <c r="B488" s="3">
        <v>136374</v>
      </c>
      <c r="C488" s="3">
        <v>942207</v>
      </c>
      <c r="D488" s="3" t="s">
        <v>3526</v>
      </c>
      <c r="E488" s="3">
        <v>7</v>
      </c>
      <c r="F488" s="3">
        <v>3</v>
      </c>
      <c r="G488" s="3">
        <v>4</v>
      </c>
      <c r="H488" s="55" t="s">
        <v>289</v>
      </c>
      <c r="I488" s="3" t="s">
        <v>279</v>
      </c>
      <c r="J488" s="135">
        <v>46210</v>
      </c>
      <c r="L488" s="3">
        <v>1819</v>
      </c>
      <c r="M488" s="3">
        <v>12694</v>
      </c>
      <c r="N488" s="3" t="s">
        <v>5435</v>
      </c>
      <c r="R488" s="3">
        <v>14</v>
      </c>
      <c r="S488" s="3" t="s">
        <v>5436</v>
      </c>
      <c r="T488" s="3" t="s">
        <v>441</v>
      </c>
      <c r="U488" s="3">
        <v>28</v>
      </c>
      <c r="V488" s="3">
        <v>171</v>
      </c>
      <c r="W488" s="3">
        <v>0</v>
      </c>
      <c r="X488" s="3">
        <v>238</v>
      </c>
      <c r="Y488" s="3">
        <v>0</v>
      </c>
      <c r="Z488" s="3">
        <v>0</v>
      </c>
      <c r="AA488" s="3">
        <v>238</v>
      </c>
      <c r="AB488" s="3">
        <v>484</v>
      </c>
      <c r="AC488" s="192">
        <v>8.3333333333333332E-3</v>
      </c>
      <c r="AD488" s="3" t="s">
        <v>292</v>
      </c>
      <c r="AF488" s="193">
        <v>5.8333333333333334E-2</v>
      </c>
      <c r="AG488" s="193">
        <v>0.11666666666666667</v>
      </c>
      <c r="AH488" s="193">
        <v>0.40277777777777779</v>
      </c>
    </row>
    <row r="489" spans="1:34" x14ac:dyDescent="0.25">
      <c r="A489" s="3" t="s">
        <v>387</v>
      </c>
      <c r="B489" s="3">
        <v>136375</v>
      </c>
      <c r="C489" s="3">
        <v>942207</v>
      </c>
      <c r="D489" s="3" t="s">
        <v>3526</v>
      </c>
      <c r="E489" s="3">
        <v>7</v>
      </c>
      <c r="F489" s="3">
        <v>4</v>
      </c>
      <c r="G489" s="3">
        <v>3</v>
      </c>
      <c r="H489" s="55" t="s">
        <v>289</v>
      </c>
      <c r="I489" s="3" t="s">
        <v>279</v>
      </c>
      <c r="J489" s="135">
        <v>46210</v>
      </c>
      <c r="L489" s="3">
        <v>1819</v>
      </c>
      <c r="M489" s="3">
        <v>12694</v>
      </c>
      <c r="N489" s="3" t="s">
        <v>5435</v>
      </c>
      <c r="R489" s="3">
        <v>14</v>
      </c>
      <c r="S489" s="3" t="s">
        <v>5436</v>
      </c>
      <c r="T489" s="3" t="s">
        <v>441</v>
      </c>
      <c r="U489" s="3">
        <v>28</v>
      </c>
      <c r="V489" s="3">
        <v>171</v>
      </c>
      <c r="W489" s="3">
        <v>0</v>
      </c>
      <c r="X489" s="3">
        <v>70</v>
      </c>
      <c r="Y489" s="3">
        <v>0</v>
      </c>
      <c r="Z489" s="3">
        <v>0</v>
      </c>
      <c r="AA489" s="3">
        <v>70</v>
      </c>
      <c r="AB489" s="3">
        <v>554</v>
      </c>
      <c r="AC489" s="192">
        <v>0</v>
      </c>
      <c r="AF489" s="193">
        <v>1.7361111111111112E-2</v>
      </c>
      <c r="AG489" s="193">
        <v>0.13402777777777777</v>
      </c>
      <c r="AH489" s="193">
        <v>0.4201388888888889</v>
      </c>
    </row>
    <row r="490" spans="1:34" x14ac:dyDescent="0.25">
      <c r="A490" s="3" t="s">
        <v>387</v>
      </c>
      <c r="B490" s="3">
        <v>136375</v>
      </c>
      <c r="C490" s="3">
        <v>942207</v>
      </c>
      <c r="D490" s="3" t="s">
        <v>3526</v>
      </c>
      <c r="E490" s="3">
        <v>7</v>
      </c>
      <c r="F490" s="3">
        <v>5</v>
      </c>
      <c r="G490" s="3">
        <v>4</v>
      </c>
      <c r="H490" s="55" t="s">
        <v>289</v>
      </c>
      <c r="I490" s="3" t="s">
        <v>279</v>
      </c>
      <c r="J490" s="135">
        <v>46210</v>
      </c>
      <c r="L490" s="3">
        <v>1819</v>
      </c>
      <c r="M490" s="3">
        <v>12694</v>
      </c>
      <c r="N490" s="3" t="s">
        <v>5435</v>
      </c>
      <c r="R490" s="3">
        <v>14</v>
      </c>
      <c r="S490" s="3" t="s">
        <v>5436</v>
      </c>
      <c r="T490" s="3" t="s">
        <v>441</v>
      </c>
      <c r="U490" s="3">
        <v>29</v>
      </c>
      <c r="V490" s="3">
        <v>171</v>
      </c>
      <c r="W490" s="3">
        <v>0</v>
      </c>
      <c r="X490" s="3">
        <v>202</v>
      </c>
      <c r="Y490" s="3">
        <v>0</v>
      </c>
      <c r="Z490" s="3">
        <v>0</v>
      </c>
      <c r="AA490" s="3">
        <v>202</v>
      </c>
      <c r="AB490" s="3">
        <v>756</v>
      </c>
      <c r="AC490" s="192">
        <v>4.1666666666666664E-2</v>
      </c>
      <c r="AD490" s="3" t="s">
        <v>294</v>
      </c>
      <c r="AE490" s="3" t="s">
        <v>295</v>
      </c>
      <c r="AF490" s="193">
        <v>4.9305555555555554E-2</v>
      </c>
      <c r="AG490" s="193">
        <v>0.18333333333333332</v>
      </c>
      <c r="AH490" s="193">
        <v>0.51111111111111107</v>
      </c>
    </row>
    <row r="491" spans="1:34" x14ac:dyDescent="0.25">
      <c r="A491" s="3" t="s">
        <v>387</v>
      </c>
      <c r="B491" s="3">
        <v>136374</v>
      </c>
      <c r="C491" s="3">
        <v>942207</v>
      </c>
      <c r="D491" s="3" t="s">
        <v>3526</v>
      </c>
      <c r="E491" s="3">
        <v>7</v>
      </c>
      <c r="F491" s="3">
        <v>6</v>
      </c>
      <c r="G491" s="3">
        <v>5</v>
      </c>
      <c r="H491" s="55" t="s">
        <v>289</v>
      </c>
      <c r="I491" s="3" t="s">
        <v>279</v>
      </c>
      <c r="J491" s="135">
        <v>46210</v>
      </c>
      <c r="L491" s="3">
        <v>1819</v>
      </c>
      <c r="M491" s="3">
        <v>12694</v>
      </c>
      <c r="N491" s="3" t="s">
        <v>5435</v>
      </c>
      <c r="R491" s="3">
        <v>14</v>
      </c>
      <c r="S491" s="3" t="s">
        <v>5436</v>
      </c>
      <c r="T491" s="3" t="s">
        <v>441</v>
      </c>
      <c r="U491" s="3">
        <v>29</v>
      </c>
      <c r="V491" s="3">
        <v>171</v>
      </c>
      <c r="W491" s="3">
        <v>0</v>
      </c>
      <c r="X491" s="3">
        <v>238</v>
      </c>
      <c r="Y491" s="3">
        <v>0</v>
      </c>
      <c r="Z491" s="3">
        <v>0</v>
      </c>
      <c r="AA491" s="3">
        <v>238</v>
      </c>
      <c r="AB491" s="3">
        <v>994</v>
      </c>
      <c r="AC491" s="192">
        <v>8.3333333333333332E-3</v>
      </c>
      <c r="AD491" s="3" t="s">
        <v>404</v>
      </c>
      <c r="AF491" s="193">
        <v>5.8333333333333334E-2</v>
      </c>
      <c r="AG491" s="193">
        <v>0.24097222222222223</v>
      </c>
      <c r="AH491" s="193">
        <v>0.57777777777777772</v>
      </c>
    </row>
    <row r="492" spans="1:34" x14ac:dyDescent="0.25">
      <c r="A492" s="3" t="s">
        <v>387</v>
      </c>
      <c r="B492" s="3">
        <v>136374</v>
      </c>
      <c r="C492" s="3">
        <v>942207</v>
      </c>
      <c r="D492" s="3" t="s">
        <v>3526</v>
      </c>
      <c r="E492" s="3">
        <v>7</v>
      </c>
      <c r="F492" s="3">
        <v>7</v>
      </c>
      <c r="G492" s="3">
        <v>6</v>
      </c>
      <c r="H492" s="55" t="s">
        <v>289</v>
      </c>
      <c r="I492" s="3" t="s">
        <v>279</v>
      </c>
      <c r="J492" s="135">
        <v>46210</v>
      </c>
      <c r="L492" s="3">
        <v>1819</v>
      </c>
      <c r="M492" s="3">
        <v>12694</v>
      </c>
      <c r="N492" s="3" t="s">
        <v>5435</v>
      </c>
      <c r="R492" s="3">
        <v>14</v>
      </c>
      <c r="S492" s="3" t="s">
        <v>5436</v>
      </c>
      <c r="T492" s="3" t="s">
        <v>441</v>
      </c>
      <c r="U492" s="3">
        <v>30</v>
      </c>
      <c r="V492" s="3">
        <v>171</v>
      </c>
      <c r="W492" s="3">
        <v>0</v>
      </c>
      <c r="X492" s="3">
        <v>238</v>
      </c>
      <c r="Y492" s="3">
        <v>0</v>
      </c>
      <c r="Z492" s="3">
        <v>0</v>
      </c>
      <c r="AA492" s="3">
        <v>238</v>
      </c>
      <c r="AB492" s="3">
        <v>1232</v>
      </c>
      <c r="AC492" s="192">
        <v>0</v>
      </c>
      <c r="AF492" s="193">
        <v>5.8333333333333334E-2</v>
      </c>
      <c r="AG492" s="193">
        <v>0.29930555555555555</v>
      </c>
      <c r="AH492" s="193">
        <v>0.6430555555555556</v>
      </c>
    </row>
    <row r="493" spans="1:34" x14ac:dyDescent="0.25">
      <c r="A493" s="3" t="s">
        <v>387</v>
      </c>
      <c r="B493" s="3">
        <v>136375</v>
      </c>
      <c r="C493" s="3">
        <v>942207</v>
      </c>
      <c r="D493" s="3" t="s">
        <v>3526</v>
      </c>
      <c r="E493" s="3">
        <v>7</v>
      </c>
      <c r="F493" s="3">
        <v>8</v>
      </c>
      <c r="G493" s="3">
        <v>5</v>
      </c>
      <c r="H493" s="55" t="s">
        <v>289</v>
      </c>
      <c r="I493" s="3" t="s">
        <v>279</v>
      </c>
      <c r="J493" s="135">
        <v>46210</v>
      </c>
      <c r="L493" s="3">
        <v>1819</v>
      </c>
      <c r="M493" s="3">
        <v>12694</v>
      </c>
      <c r="N493" s="3" t="s">
        <v>5435</v>
      </c>
      <c r="R493" s="3">
        <v>14</v>
      </c>
      <c r="S493" s="3" t="s">
        <v>5436</v>
      </c>
      <c r="T493" s="3" t="s">
        <v>441</v>
      </c>
      <c r="U493" s="3">
        <v>30</v>
      </c>
      <c r="V493" s="3">
        <v>171</v>
      </c>
      <c r="W493" s="3">
        <v>0</v>
      </c>
      <c r="X493" s="3">
        <v>272</v>
      </c>
      <c r="Y493" s="3">
        <v>0</v>
      </c>
      <c r="Z493" s="3">
        <v>0</v>
      </c>
      <c r="AA493" s="3">
        <v>272</v>
      </c>
      <c r="AB493" s="3">
        <v>1504</v>
      </c>
      <c r="AC493" s="192">
        <v>0</v>
      </c>
      <c r="AF493" s="193">
        <v>6.5972222222222224E-2</v>
      </c>
      <c r="AG493" s="193">
        <v>0.36527777777777776</v>
      </c>
      <c r="AH493" s="193">
        <v>0.70902777777777781</v>
      </c>
    </row>
    <row r="494" spans="1:34" x14ac:dyDescent="0.25">
      <c r="A494" s="3" t="s">
        <v>387</v>
      </c>
      <c r="B494" s="3">
        <v>136375</v>
      </c>
      <c r="C494" s="3">
        <v>942207</v>
      </c>
      <c r="D494" s="3" t="s">
        <v>3526</v>
      </c>
      <c r="E494" s="3">
        <v>7</v>
      </c>
      <c r="F494" s="3">
        <v>9</v>
      </c>
      <c r="G494" s="3">
        <v>6</v>
      </c>
      <c r="H494" s="55" t="s">
        <v>289</v>
      </c>
      <c r="I494" s="3" t="s">
        <v>279</v>
      </c>
      <c r="J494" s="135">
        <v>46210</v>
      </c>
      <c r="L494" s="3">
        <v>1819</v>
      </c>
      <c r="M494" s="3">
        <v>12694</v>
      </c>
      <c r="N494" s="3" t="s">
        <v>5435</v>
      </c>
      <c r="R494" s="3">
        <v>14</v>
      </c>
      <c r="S494" s="3" t="s">
        <v>5436</v>
      </c>
      <c r="T494" s="3" t="s">
        <v>441</v>
      </c>
      <c r="U494" s="3">
        <v>31</v>
      </c>
      <c r="V494" s="3">
        <v>171</v>
      </c>
      <c r="W494" s="3">
        <v>0</v>
      </c>
      <c r="X494" s="3">
        <v>474</v>
      </c>
      <c r="Y494" s="3">
        <v>0</v>
      </c>
      <c r="Z494" s="3">
        <v>0</v>
      </c>
      <c r="AA494" s="3">
        <v>474</v>
      </c>
      <c r="AB494" s="3">
        <v>1978</v>
      </c>
      <c r="AC494" s="192">
        <v>0.05</v>
      </c>
      <c r="AD494" s="3" t="s">
        <v>285</v>
      </c>
      <c r="AE494" s="3" t="s">
        <v>286</v>
      </c>
      <c r="AF494" s="193">
        <v>0.11527777777777778</v>
      </c>
      <c r="AG494" s="193">
        <v>0.48125000000000001</v>
      </c>
      <c r="AH494" s="193">
        <v>0.87430555555555556</v>
      </c>
    </row>
    <row r="495" spans="1:34" x14ac:dyDescent="0.25">
      <c r="A495" s="3" t="s">
        <v>387</v>
      </c>
      <c r="B495" s="3">
        <v>136374</v>
      </c>
      <c r="C495" s="3">
        <v>942207</v>
      </c>
      <c r="D495" s="3" t="s">
        <v>3526</v>
      </c>
      <c r="E495" s="3">
        <v>7</v>
      </c>
      <c r="F495" s="3">
        <v>10</v>
      </c>
      <c r="G495" s="3">
        <v>7</v>
      </c>
      <c r="H495" s="55" t="s">
        <v>289</v>
      </c>
      <c r="I495" s="3" t="s">
        <v>279</v>
      </c>
      <c r="J495" s="135">
        <v>46210</v>
      </c>
      <c r="L495" s="3">
        <v>1819</v>
      </c>
      <c r="M495" s="3">
        <v>12694</v>
      </c>
      <c r="N495" s="3" t="s">
        <v>5435</v>
      </c>
      <c r="R495" s="3">
        <v>14</v>
      </c>
      <c r="S495" s="3" t="s">
        <v>5436</v>
      </c>
      <c r="T495" s="3" t="s">
        <v>441</v>
      </c>
      <c r="U495" s="3">
        <v>31</v>
      </c>
      <c r="V495" s="3">
        <v>171</v>
      </c>
      <c r="W495" s="3">
        <v>0</v>
      </c>
      <c r="X495" s="3">
        <v>238</v>
      </c>
      <c r="Y495" s="3">
        <v>0</v>
      </c>
      <c r="Z495" s="3">
        <v>0</v>
      </c>
      <c r="AA495" s="3">
        <v>238</v>
      </c>
      <c r="AB495" s="3">
        <v>2216</v>
      </c>
      <c r="AC495" s="192">
        <v>0</v>
      </c>
      <c r="AF495" s="193">
        <v>5.8333333333333334E-2</v>
      </c>
      <c r="AG495" s="193">
        <v>0.53888888888888886</v>
      </c>
      <c r="AH495" s="193">
        <v>0.93263888888888891</v>
      </c>
    </row>
    <row r="496" spans="1:34" x14ac:dyDescent="0.25">
      <c r="A496" s="3" t="s">
        <v>387</v>
      </c>
      <c r="B496" s="3">
        <v>136374</v>
      </c>
      <c r="C496" s="3">
        <v>942207</v>
      </c>
      <c r="D496" s="3" t="s">
        <v>3526</v>
      </c>
      <c r="E496" s="3">
        <v>7</v>
      </c>
      <c r="F496" s="3">
        <v>11</v>
      </c>
      <c r="G496" s="3">
        <v>8</v>
      </c>
      <c r="H496" s="55" t="s">
        <v>289</v>
      </c>
      <c r="I496" s="3" t="s">
        <v>279</v>
      </c>
      <c r="J496" s="135">
        <v>46210</v>
      </c>
      <c r="L496" s="3">
        <v>1819</v>
      </c>
      <c r="M496" s="3">
        <v>12694</v>
      </c>
      <c r="N496" s="3" t="s">
        <v>5435</v>
      </c>
      <c r="R496" s="3">
        <v>14</v>
      </c>
      <c r="S496" s="3" t="s">
        <v>5436</v>
      </c>
      <c r="T496" s="3" t="s">
        <v>441</v>
      </c>
      <c r="U496" s="3" t="s">
        <v>398</v>
      </c>
      <c r="V496" s="3">
        <v>171</v>
      </c>
      <c r="W496" s="3">
        <v>0</v>
      </c>
      <c r="X496" s="3">
        <v>238</v>
      </c>
      <c r="Y496" s="3">
        <v>0</v>
      </c>
      <c r="Z496" s="3">
        <v>0</v>
      </c>
      <c r="AA496" s="3">
        <v>238</v>
      </c>
      <c r="AB496" s="3">
        <v>2454</v>
      </c>
      <c r="AC496" s="192">
        <v>8.3333333333333332E-3</v>
      </c>
      <c r="AD496" s="3" t="s">
        <v>404</v>
      </c>
      <c r="AF496" s="193">
        <v>5.8333333333333334E-2</v>
      </c>
      <c r="AG496" s="193">
        <v>0.59722222222222221</v>
      </c>
      <c r="AH496" s="193">
        <v>0.99930555555555556</v>
      </c>
    </row>
    <row r="497" spans="1:34" x14ac:dyDescent="0.25">
      <c r="A497" s="3" t="s">
        <v>390</v>
      </c>
      <c r="B497" s="3">
        <v>132583</v>
      </c>
      <c r="C497" s="3">
        <v>941707</v>
      </c>
      <c r="D497" s="3" t="s">
        <v>3526</v>
      </c>
      <c r="E497" s="3">
        <v>6</v>
      </c>
      <c r="F497" s="3">
        <v>1</v>
      </c>
      <c r="G497" s="3">
        <v>8</v>
      </c>
      <c r="H497" s="55" t="s">
        <v>289</v>
      </c>
      <c r="I497" s="3" t="s">
        <v>279</v>
      </c>
      <c r="J497" s="135">
        <v>46180</v>
      </c>
      <c r="K497" s="3" t="s">
        <v>5096</v>
      </c>
      <c r="L497" s="3">
        <v>1816</v>
      </c>
      <c r="M497" s="3">
        <v>12777</v>
      </c>
      <c r="N497" s="3" t="s">
        <v>5216</v>
      </c>
      <c r="R497" s="3">
        <v>8</v>
      </c>
      <c r="S497" s="3" t="s">
        <v>5217</v>
      </c>
      <c r="T497" s="3" t="s">
        <v>5218</v>
      </c>
      <c r="U497" s="3" t="s">
        <v>5109</v>
      </c>
      <c r="V497" s="3">
        <v>345</v>
      </c>
      <c r="W497" s="3">
        <v>0</v>
      </c>
      <c r="X497" s="3">
        <v>516</v>
      </c>
      <c r="Y497" s="3">
        <v>490</v>
      </c>
      <c r="Z497" s="3">
        <v>0</v>
      </c>
      <c r="AA497" s="3">
        <v>26</v>
      </c>
      <c r="AB497" s="3">
        <v>26</v>
      </c>
      <c r="AC497" s="192">
        <v>0</v>
      </c>
      <c r="AF497" s="193">
        <v>3.472222222222222E-3</v>
      </c>
      <c r="AG497" s="193">
        <v>3.472222222222222E-3</v>
      </c>
      <c r="AH497" s="193">
        <v>0.28055555555555556</v>
      </c>
    </row>
    <row r="498" spans="1:34" x14ac:dyDescent="0.25">
      <c r="A498" s="3" t="s">
        <v>390</v>
      </c>
      <c r="B498" s="3">
        <v>132581</v>
      </c>
      <c r="C498" s="3">
        <v>942207</v>
      </c>
      <c r="D498" s="3" t="s">
        <v>3526</v>
      </c>
      <c r="E498" s="3">
        <v>7</v>
      </c>
      <c r="F498" s="3">
        <v>2</v>
      </c>
      <c r="G498" s="3">
        <v>8</v>
      </c>
      <c r="H498" s="55" t="s">
        <v>289</v>
      </c>
      <c r="I498" s="3" t="s">
        <v>279</v>
      </c>
      <c r="J498" s="135">
        <v>46180</v>
      </c>
      <c r="K498" s="3" t="s">
        <v>5291</v>
      </c>
      <c r="L498" s="3">
        <v>1816</v>
      </c>
      <c r="M498" s="3">
        <v>12777</v>
      </c>
      <c r="N498" s="3" t="s">
        <v>5216</v>
      </c>
      <c r="R498" s="3">
        <v>8</v>
      </c>
      <c r="S498" s="3" t="s">
        <v>5437</v>
      </c>
      <c r="T498" s="3" t="s">
        <v>5438</v>
      </c>
      <c r="U498" s="3" t="s">
        <v>5109</v>
      </c>
      <c r="V498" s="3">
        <v>345</v>
      </c>
      <c r="W498" s="3">
        <v>0</v>
      </c>
      <c r="X498" s="3">
        <v>1176</v>
      </c>
      <c r="Y498" s="3">
        <v>476</v>
      </c>
      <c r="Z498" s="3">
        <v>0</v>
      </c>
      <c r="AA498" s="3">
        <v>700</v>
      </c>
      <c r="AB498" s="3">
        <v>726</v>
      </c>
      <c r="AC498" s="192">
        <v>8.3333333333333332E-3</v>
      </c>
      <c r="AD498" s="3" t="s">
        <v>292</v>
      </c>
      <c r="AF498" s="193">
        <v>8.4722222222222227E-2</v>
      </c>
      <c r="AG498" s="193">
        <v>8.7499999999999994E-2</v>
      </c>
      <c r="AH498" s="193">
        <v>0.37361111111111112</v>
      </c>
    </row>
    <row r="499" spans="1:34" x14ac:dyDescent="0.25">
      <c r="A499" s="3" t="s">
        <v>390</v>
      </c>
      <c r="B499" s="3">
        <v>132581</v>
      </c>
      <c r="C499" s="3">
        <v>942207</v>
      </c>
      <c r="D499" s="3" t="s">
        <v>3526</v>
      </c>
      <c r="E499" s="3">
        <v>7</v>
      </c>
      <c r="F499" s="3">
        <v>3</v>
      </c>
      <c r="G499" s="3">
        <v>6</v>
      </c>
      <c r="H499" s="55" t="s">
        <v>289</v>
      </c>
      <c r="I499" s="3" t="s">
        <v>279</v>
      </c>
      <c r="J499" s="135">
        <v>46180</v>
      </c>
      <c r="L499" s="3">
        <v>1816</v>
      </c>
      <c r="M499" s="3">
        <v>12777</v>
      </c>
      <c r="N499" s="3" t="s">
        <v>5216</v>
      </c>
      <c r="R499" s="3">
        <v>8</v>
      </c>
      <c r="S499" s="3" t="s">
        <v>5437</v>
      </c>
      <c r="T499" s="3" t="s">
        <v>5438</v>
      </c>
      <c r="U499" s="3" t="s">
        <v>284</v>
      </c>
      <c r="V499" s="3">
        <v>345</v>
      </c>
      <c r="W499" s="3">
        <v>0</v>
      </c>
      <c r="X499" s="3">
        <v>686</v>
      </c>
      <c r="Y499" s="3">
        <v>0</v>
      </c>
      <c r="Z499" s="3">
        <v>0</v>
      </c>
      <c r="AA499" s="3">
        <v>686</v>
      </c>
      <c r="AB499" s="3">
        <v>1412</v>
      </c>
      <c r="AC499" s="192">
        <v>0</v>
      </c>
      <c r="AF499" s="193">
        <v>8.2638888888888887E-2</v>
      </c>
      <c r="AG499" s="193">
        <v>0.17083333333333334</v>
      </c>
      <c r="AH499" s="193">
        <v>0.45624999999999999</v>
      </c>
    </row>
    <row r="500" spans="1:34" x14ac:dyDescent="0.25">
      <c r="A500" s="3" t="s">
        <v>390</v>
      </c>
      <c r="B500" s="3">
        <v>132581</v>
      </c>
      <c r="C500" s="3">
        <v>942207</v>
      </c>
      <c r="D500" s="3" t="s">
        <v>3526</v>
      </c>
      <c r="E500" s="3">
        <v>7</v>
      </c>
      <c r="F500" s="3">
        <v>4</v>
      </c>
      <c r="G500" s="3">
        <v>7</v>
      </c>
      <c r="H500" s="55" t="s">
        <v>289</v>
      </c>
      <c r="I500" s="3" t="s">
        <v>279</v>
      </c>
      <c r="J500" s="135">
        <v>46180</v>
      </c>
      <c r="L500" s="3">
        <v>1816</v>
      </c>
      <c r="M500" s="3">
        <v>12777</v>
      </c>
      <c r="N500" s="3" t="s">
        <v>5216</v>
      </c>
      <c r="R500" s="3">
        <v>8</v>
      </c>
      <c r="S500" s="3" t="s">
        <v>5437</v>
      </c>
      <c r="T500" s="3" t="s">
        <v>5438</v>
      </c>
      <c r="U500" s="3" t="s">
        <v>280</v>
      </c>
      <c r="V500" s="3">
        <v>345</v>
      </c>
      <c r="W500" s="3">
        <v>0</v>
      </c>
      <c r="X500" s="3">
        <v>1176</v>
      </c>
      <c r="Y500" s="3">
        <v>0</v>
      </c>
      <c r="Z500" s="3">
        <v>0</v>
      </c>
      <c r="AA500" s="3">
        <v>1176</v>
      </c>
      <c r="AB500" s="3">
        <v>2588</v>
      </c>
      <c r="AC500" s="192">
        <v>0.05</v>
      </c>
      <c r="AD500" s="3" t="s">
        <v>294</v>
      </c>
      <c r="AE500" s="3" t="s">
        <v>5292</v>
      </c>
      <c r="AF500" s="193">
        <v>0.1423611111111111</v>
      </c>
      <c r="AG500" s="193">
        <v>0.3125</v>
      </c>
      <c r="AH500" s="193">
        <v>0.65555555555555556</v>
      </c>
    </row>
    <row r="501" spans="1:34" x14ac:dyDescent="0.25">
      <c r="A501" s="3" t="s">
        <v>390</v>
      </c>
      <c r="B501" s="3">
        <v>132581</v>
      </c>
      <c r="C501" s="3">
        <v>942207</v>
      </c>
      <c r="D501" s="3" t="s">
        <v>3526</v>
      </c>
      <c r="E501" s="3">
        <v>7</v>
      </c>
      <c r="F501" s="3">
        <v>5</v>
      </c>
      <c r="G501" s="3">
        <v>9</v>
      </c>
      <c r="H501" s="55" t="s">
        <v>289</v>
      </c>
      <c r="I501" s="3" t="s">
        <v>279</v>
      </c>
      <c r="J501" s="135">
        <v>46180</v>
      </c>
      <c r="L501" s="3">
        <v>1816</v>
      </c>
      <c r="M501" s="3">
        <v>12777</v>
      </c>
      <c r="N501" s="3" t="s">
        <v>5216</v>
      </c>
      <c r="R501" s="3">
        <v>8</v>
      </c>
      <c r="S501" s="3" t="s">
        <v>5437</v>
      </c>
      <c r="T501" s="3" t="s">
        <v>5438</v>
      </c>
      <c r="U501" s="3" t="s">
        <v>281</v>
      </c>
      <c r="V501" s="3">
        <v>345</v>
      </c>
      <c r="W501" s="3">
        <v>0</v>
      </c>
      <c r="X501" s="3">
        <v>686</v>
      </c>
      <c r="Y501" s="3">
        <v>0</v>
      </c>
      <c r="Z501" s="3">
        <v>0</v>
      </c>
      <c r="AA501" s="3">
        <v>686</v>
      </c>
      <c r="AB501" s="3">
        <v>3274</v>
      </c>
      <c r="AC501" s="192">
        <v>0</v>
      </c>
      <c r="AF501" s="193">
        <v>8.2638888888888887E-2</v>
      </c>
      <c r="AG501" s="193">
        <v>0.39513888888888887</v>
      </c>
      <c r="AH501" s="193">
        <v>0.73819444444444449</v>
      </c>
    </row>
    <row r="502" spans="1:34" x14ac:dyDescent="0.25">
      <c r="A502" s="3" t="s">
        <v>390</v>
      </c>
      <c r="B502" s="3">
        <v>135743</v>
      </c>
      <c r="C502" s="3">
        <v>942207</v>
      </c>
      <c r="D502" s="3" t="s">
        <v>3526</v>
      </c>
      <c r="E502" s="3">
        <v>7</v>
      </c>
      <c r="F502" s="3">
        <v>6</v>
      </c>
      <c r="G502" s="3">
        <v>8</v>
      </c>
      <c r="H502" s="55" t="s">
        <v>289</v>
      </c>
      <c r="I502" s="3" t="s">
        <v>279</v>
      </c>
      <c r="J502" s="135">
        <v>46210</v>
      </c>
      <c r="L502" s="3">
        <v>1816</v>
      </c>
      <c r="M502" s="3">
        <v>12777</v>
      </c>
      <c r="N502" s="3" t="s">
        <v>5216</v>
      </c>
      <c r="R502" s="3">
        <v>7</v>
      </c>
      <c r="S502" s="3" t="s">
        <v>5439</v>
      </c>
      <c r="T502" s="3" t="s">
        <v>5219</v>
      </c>
      <c r="U502" s="3" t="s">
        <v>5109</v>
      </c>
      <c r="V502" s="3">
        <v>345</v>
      </c>
      <c r="W502" s="3">
        <v>0</v>
      </c>
      <c r="X502" s="3">
        <v>1440</v>
      </c>
      <c r="Y502" s="3">
        <v>0</v>
      </c>
      <c r="Z502" s="3">
        <v>0</v>
      </c>
      <c r="AA502" s="3">
        <v>1440</v>
      </c>
      <c r="AB502" s="3">
        <v>4714</v>
      </c>
      <c r="AC502" s="192">
        <v>0.05</v>
      </c>
      <c r="AD502" s="3" t="s">
        <v>285</v>
      </c>
      <c r="AE502" s="3" t="s">
        <v>286</v>
      </c>
      <c r="AF502" s="193">
        <v>0.1736111111111111</v>
      </c>
      <c r="AG502" s="193">
        <v>0.56944444444444442</v>
      </c>
      <c r="AH502" s="193">
        <v>0.96180555555555558</v>
      </c>
    </row>
    <row r="503" spans="1:34" x14ac:dyDescent="0.25">
      <c r="A503" s="3" t="s">
        <v>393</v>
      </c>
      <c r="B503" s="3">
        <v>135948</v>
      </c>
      <c r="C503" s="3">
        <v>942207</v>
      </c>
      <c r="D503" s="3" t="s">
        <v>3526</v>
      </c>
      <c r="E503" s="3">
        <v>7</v>
      </c>
      <c r="F503" s="3">
        <v>1</v>
      </c>
      <c r="G503" s="3">
        <v>7</v>
      </c>
      <c r="H503" s="55" t="s">
        <v>289</v>
      </c>
      <c r="I503" s="3" t="s">
        <v>279</v>
      </c>
      <c r="J503" s="135">
        <v>46210</v>
      </c>
      <c r="L503" s="3">
        <v>1816</v>
      </c>
      <c r="M503" s="3">
        <v>12675</v>
      </c>
      <c r="N503" s="3" t="s">
        <v>5324</v>
      </c>
      <c r="R503" s="3">
        <v>7</v>
      </c>
      <c r="S503" s="3" t="s">
        <v>386</v>
      </c>
      <c r="T503" s="3" t="s">
        <v>5189</v>
      </c>
      <c r="U503" s="3" t="s">
        <v>284</v>
      </c>
      <c r="V503" s="3">
        <v>379</v>
      </c>
      <c r="W503" s="3">
        <v>0</v>
      </c>
      <c r="X503" s="3">
        <v>336</v>
      </c>
      <c r="Y503" s="3">
        <v>0</v>
      </c>
      <c r="Z503" s="3">
        <v>0</v>
      </c>
      <c r="AA503" s="3">
        <v>336</v>
      </c>
      <c r="AB503" s="3">
        <v>336</v>
      </c>
      <c r="AC503" s="192">
        <v>0</v>
      </c>
      <c r="AF503" s="193">
        <v>3.6805555555555557E-2</v>
      </c>
      <c r="AG503" s="193">
        <v>3.6805555555555557E-2</v>
      </c>
      <c r="AH503" s="193">
        <v>0.31388888888888888</v>
      </c>
    </row>
    <row r="504" spans="1:34" x14ac:dyDescent="0.25">
      <c r="A504" s="3" t="s">
        <v>393</v>
      </c>
      <c r="B504" s="3">
        <v>135948</v>
      </c>
      <c r="C504" s="3">
        <v>942207</v>
      </c>
      <c r="D504" s="3" t="s">
        <v>3526</v>
      </c>
      <c r="E504" s="3">
        <v>7</v>
      </c>
      <c r="F504" s="3">
        <v>2</v>
      </c>
      <c r="G504" s="3">
        <v>9</v>
      </c>
      <c r="H504" s="55" t="s">
        <v>289</v>
      </c>
      <c r="I504" s="3" t="s">
        <v>279</v>
      </c>
      <c r="J504" s="135">
        <v>46210</v>
      </c>
      <c r="K504" s="3" t="s">
        <v>5291</v>
      </c>
      <c r="L504" s="3">
        <v>1816</v>
      </c>
      <c r="M504" s="3">
        <v>12675</v>
      </c>
      <c r="N504" s="3" t="s">
        <v>5324</v>
      </c>
      <c r="R504" s="3">
        <v>7</v>
      </c>
      <c r="S504" s="3" t="s">
        <v>386</v>
      </c>
      <c r="T504" s="3" t="s">
        <v>5189</v>
      </c>
      <c r="U504" s="3" t="s">
        <v>5109</v>
      </c>
      <c r="V504" s="3">
        <v>379</v>
      </c>
      <c r="W504" s="3">
        <v>0</v>
      </c>
      <c r="X504" s="3">
        <v>1684</v>
      </c>
      <c r="Y504" s="3">
        <v>1468</v>
      </c>
      <c r="Z504" s="3">
        <v>0</v>
      </c>
      <c r="AA504" s="3">
        <v>216</v>
      </c>
      <c r="AB504" s="3">
        <v>552</v>
      </c>
      <c r="AC504" s="192">
        <v>0</v>
      </c>
      <c r="AF504" s="193">
        <v>2.361111111111111E-2</v>
      </c>
      <c r="AG504" s="193">
        <v>6.0416666666666667E-2</v>
      </c>
      <c r="AH504" s="193">
        <v>0.33750000000000002</v>
      </c>
    </row>
    <row r="505" spans="1:34" x14ac:dyDescent="0.25">
      <c r="A505" s="3" t="s">
        <v>393</v>
      </c>
      <c r="B505" s="3">
        <v>135948</v>
      </c>
      <c r="C505" s="3">
        <v>942207</v>
      </c>
      <c r="D505" s="3" t="s">
        <v>3526</v>
      </c>
      <c r="E505" s="3">
        <v>7</v>
      </c>
      <c r="F505" s="3">
        <v>3</v>
      </c>
      <c r="G505" s="3">
        <v>8</v>
      </c>
      <c r="H505" s="55" t="s">
        <v>289</v>
      </c>
      <c r="I505" s="3" t="s">
        <v>279</v>
      </c>
      <c r="J505" s="135">
        <v>46210</v>
      </c>
      <c r="L505" s="3">
        <v>1816</v>
      </c>
      <c r="M505" s="3">
        <v>12675</v>
      </c>
      <c r="N505" s="3" t="s">
        <v>5324</v>
      </c>
      <c r="R505" s="3">
        <v>7</v>
      </c>
      <c r="S505" s="3" t="s">
        <v>386</v>
      </c>
      <c r="T505" s="3" t="s">
        <v>5189</v>
      </c>
      <c r="U505" s="3" t="s">
        <v>280</v>
      </c>
      <c r="V505" s="3">
        <v>379</v>
      </c>
      <c r="W505" s="3">
        <v>0</v>
      </c>
      <c r="X505" s="3">
        <v>1236</v>
      </c>
      <c r="Y505" s="3">
        <v>0</v>
      </c>
      <c r="Z505" s="3">
        <v>0</v>
      </c>
      <c r="AA505" s="3">
        <v>1236</v>
      </c>
      <c r="AB505" s="3">
        <v>1788</v>
      </c>
      <c r="AC505" s="192">
        <v>0.05</v>
      </c>
      <c r="AD505" s="3" t="s">
        <v>285</v>
      </c>
      <c r="AE505" s="3" t="s">
        <v>286</v>
      </c>
      <c r="AF505" s="193">
        <v>0.1361111111111111</v>
      </c>
      <c r="AG505" s="193">
        <v>0.19652777777777777</v>
      </c>
      <c r="AH505" s="193">
        <v>0.52361111111111114</v>
      </c>
    </row>
    <row r="506" spans="1:34" x14ac:dyDescent="0.25">
      <c r="A506" s="3" t="s">
        <v>393</v>
      </c>
      <c r="B506" s="3">
        <v>135948</v>
      </c>
      <c r="C506" s="3">
        <v>942207</v>
      </c>
      <c r="D506" s="3" t="s">
        <v>3526</v>
      </c>
      <c r="E506" s="3">
        <v>7</v>
      </c>
      <c r="F506" s="3">
        <v>4</v>
      </c>
      <c r="G506" s="3">
        <v>10</v>
      </c>
      <c r="H506" s="55" t="s">
        <v>289</v>
      </c>
      <c r="I506" s="3" t="s">
        <v>279</v>
      </c>
      <c r="J506" s="135">
        <v>46210</v>
      </c>
      <c r="L506" s="3">
        <v>1816</v>
      </c>
      <c r="M506" s="3">
        <v>12675</v>
      </c>
      <c r="N506" s="3" t="s">
        <v>5324</v>
      </c>
      <c r="R506" s="3">
        <v>7</v>
      </c>
      <c r="S506" s="3" t="s">
        <v>386</v>
      </c>
      <c r="T506" s="3" t="s">
        <v>5189</v>
      </c>
      <c r="U506" s="3" t="s">
        <v>281</v>
      </c>
      <c r="V506" s="3">
        <v>379</v>
      </c>
      <c r="W506" s="3">
        <v>0</v>
      </c>
      <c r="X506" s="3">
        <v>732</v>
      </c>
      <c r="Y506" s="3">
        <v>0</v>
      </c>
      <c r="Z506" s="3">
        <v>0</v>
      </c>
      <c r="AA506" s="3">
        <v>732</v>
      </c>
      <c r="AB506" s="3">
        <v>2520</v>
      </c>
      <c r="AC506" s="192">
        <v>8.3333333333333332E-3</v>
      </c>
      <c r="AD506" s="3" t="s">
        <v>404</v>
      </c>
      <c r="AF506" s="193">
        <v>8.0555555555555561E-2</v>
      </c>
      <c r="AG506" s="193">
        <v>0.27708333333333335</v>
      </c>
      <c r="AH506" s="193">
        <v>0.61250000000000004</v>
      </c>
    </row>
    <row r="507" spans="1:34" x14ac:dyDescent="0.25">
      <c r="A507" s="3" t="s">
        <v>393</v>
      </c>
      <c r="B507" s="3">
        <v>135949</v>
      </c>
      <c r="C507" s="3">
        <v>942207</v>
      </c>
      <c r="D507" s="3" t="s">
        <v>3526</v>
      </c>
      <c r="E507" s="3">
        <v>7</v>
      </c>
      <c r="F507" s="3">
        <v>5</v>
      </c>
      <c r="G507" s="3">
        <v>9</v>
      </c>
      <c r="H507" s="55" t="s">
        <v>289</v>
      </c>
      <c r="I507" s="3" t="s">
        <v>279</v>
      </c>
      <c r="J507" s="135">
        <v>46210</v>
      </c>
      <c r="L507" s="3">
        <v>1816</v>
      </c>
      <c r="M507" s="3">
        <v>12675</v>
      </c>
      <c r="N507" s="3" t="s">
        <v>5324</v>
      </c>
      <c r="R507" s="3">
        <v>7</v>
      </c>
      <c r="S507" s="3" t="s">
        <v>385</v>
      </c>
      <c r="T507" s="3" t="s">
        <v>293</v>
      </c>
      <c r="U507" s="3" t="s">
        <v>5109</v>
      </c>
      <c r="V507" s="3">
        <v>379</v>
      </c>
      <c r="W507" s="3">
        <v>0</v>
      </c>
      <c r="X507" s="3">
        <v>362</v>
      </c>
      <c r="Y507" s="3">
        <v>0</v>
      </c>
      <c r="Z507" s="3">
        <v>0</v>
      </c>
      <c r="AA507" s="3">
        <v>362</v>
      </c>
      <c r="AB507" s="3">
        <v>2882</v>
      </c>
      <c r="AC507" s="192">
        <v>0</v>
      </c>
      <c r="AF507" s="193">
        <v>3.9583333333333331E-2</v>
      </c>
      <c r="AG507" s="193">
        <v>0.31666666666666665</v>
      </c>
      <c r="AH507" s="193">
        <v>0.65902777777777777</v>
      </c>
    </row>
    <row r="508" spans="1:34" x14ac:dyDescent="0.25">
      <c r="A508" s="3" t="s">
        <v>393</v>
      </c>
      <c r="B508" s="3">
        <v>135949</v>
      </c>
      <c r="C508" s="3">
        <v>942207</v>
      </c>
      <c r="D508" s="3" t="s">
        <v>3526</v>
      </c>
      <c r="E508" s="3">
        <v>7</v>
      </c>
      <c r="F508" s="3">
        <v>6</v>
      </c>
      <c r="G508" s="3">
        <v>7</v>
      </c>
      <c r="H508" s="55" t="s">
        <v>289</v>
      </c>
      <c r="I508" s="3" t="s">
        <v>279</v>
      </c>
      <c r="J508" s="135">
        <v>46210</v>
      </c>
      <c r="L508" s="3">
        <v>1816</v>
      </c>
      <c r="M508" s="3">
        <v>12675</v>
      </c>
      <c r="N508" s="3" t="s">
        <v>5324</v>
      </c>
      <c r="R508" s="3">
        <v>7</v>
      </c>
      <c r="S508" s="3" t="s">
        <v>385</v>
      </c>
      <c r="T508" s="3" t="s">
        <v>293</v>
      </c>
      <c r="U508" s="3" t="s">
        <v>284</v>
      </c>
      <c r="V508" s="3">
        <v>379</v>
      </c>
      <c r="W508" s="3">
        <v>0</v>
      </c>
      <c r="X508" s="3">
        <v>120</v>
      </c>
      <c r="Y508" s="3">
        <v>0</v>
      </c>
      <c r="Z508" s="3">
        <v>0</v>
      </c>
      <c r="AA508" s="3">
        <v>120</v>
      </c>
      <c r="AB508" s="3">
        <v>3002</v>
      </c>
      <c r="AC508" s="192">
        <v>0</v>
      </c>
      <c r="AF508" s="193">
        <v>1.3194444444444444E-2</v>
      </c>
      <c r="AG508" s="193">
        <v>0.3298611111111111</v>
      </c>
      <c r="AH508" s="193">
        <v>0.67222222222222228</v>
      </c>
    </row>
    <row r="509" spans="1:34" x14ac:dyDescent="0.25">
      <c r="A509" s="3" t="s">
        <v>393</v>
      </c>
      <c r="B509" s="3">
        <v>135949</v>
      </c>
      <c r="C509" s="3">
        <v>942207</v>
      </c>
      <c r="D509" s="3" t="s">
        <v>3526</v>
      </c>
      <c r="E509" s="3">
        <v>7</v>
      </c>
      <c r="F509" s="3">
        <v>7</v>
      </c>
      <c r="G509" s="3">
        <v>8</v>
      </c>
      <c r="H509" s="55" t="s">
        <v>289</v>
      </c>
      <c r="I509" s="3" t="s">
        <v>279</v>
      </c>
      <c r="J509" s="135">
        <v>46210</v>
      </c>
      <c r="L509" s="3">
        <v>1816</v>
      </c>
      <c r="M509" s="3">
        <v>12675</v>
      </c>
      <c r="N509" s="3" t="s">
        <v>5324</v>
      </c>
      <c r="R509" s="3">
        <v>7</v>
      </c>
      <c r="S509" s="3" t="s">
        <v>385</v>
      </c>
      <c r="T509" s="3" t="s">
        <v>293</v>
      </c>
      <c r="U509" s="3" t="s">
        <v>280</v>
      </c>
      <c r="V509" s="3">
        <v>379</v>
      </c>
      <c r="W509" s="3">
        <v>0</v>
      </c>
      <c r="X509" s="3">
        <v>406</v>
      </c>
      <c r="Y509" s="3">
        <v>0</v>
      </c>
      <c r="Z509" s="3">
        <v>0</v>
      </c>
      <c r="AA509" s="3">
        <v>406</v>
      </c>
      <c r="AB509" s="3">
        <v>3408</v>
      </c>
      <c r="AC509" s="192">
        <v>0</v>
      </c>
      <c r="AF509" s="193">
        <v>4.4444444444444446E-2</v>
      </c>
      <c r="AG509" s="193">
        <v>0.375</v>
      </c>
      <c r="AH509" s="193">
        <v>0.71666666666666667</v>
      </c>
    </row>
    <row r="510" spans="1:34" x14ac:dyDescent="0.25">
      <c r="A510" s="3" t="s">
        <v>393</v>
      </c>
      <c r="B510" s="3">
        <v>135949</v>
      </c>
      <c r="C510" s="3">
        <v>942207</v>
      </c>
      <c r="D510" s="3" t="s">
        <v>3526</v>
      </c>
      <c r="E510" s="3">
        <v>7</v>
      </c>
      <c r="F510" s="3">
        <v>8</v>
      </c>
      <c r="G510" s="3">
        <v>10</v>
      </c>
      <c r="H510" s="55" t="s">
        <v>289</v>
      </c>
      <c r="I510" s="3" t="s">
        <v>279</v>
      </c>
      <c r="J510" s="135">
        <v>46210</v>
      </c>
      <c r="L510" s="3">
        <v>1816</v>
      </c>
      <c r="M510" s="3">
        <v>12675</v>
      </c>
      <c r="N510" s="3" t="s">
        <v>5324</v>
      </c>
      <c r="R510" s="3">
        <v>7</v>
      </c>
      <c r="S510" s="3" t="s">
        <v>385</v>
      </c>
      <c r="T510" s="3" t="s">
        <v>293</v>
      </c>
      <c r="U510" s="3" t="s">
        <v>281</v>
      </c>
      <c r="V510" s="3">
        <v>379</v>
      </c>
      <c r="W510" s="3">
        <v>0</v>
      </c>
      <c r="X510" s="3">
        <v>30</v>
      </c>
      <c r="Y510" s="3">
        <v>0</v>
      </c>
      <c r="Z510" s="3">
        <v>0</v>
      </c>
      <c r="AA510" s="3">
        <v>30</v>
      </c>
      <c r="AB510" s="3">
        <v>3438</v>
      </c>
      <c r="AC510" s="192">
        <v>0</v>
      </c>
      <c r="AF510" s="193">
        <v>3.472222222222222E-3</v>
      </c>
      <c r="AG510" s="193">
        <v>0.37777777777777777</v>
      </c>
      <c r="AH510" s="193">
        <v>0.72013888888888888</v>
      </c>
    </row>
    <row r="511" spans="1:34" x14ac:dyDescent="0.25">
      <c r="A511" s="3" t="s">
        <v>393</v>
      </c>
      <c r="B511" s="3">
        <v>135944</v>
      </c>
      <c r="C511" s="3">
        <v>942207</v>
      </c>
      <c r="D511" s="3" t="s">
        <v>3526</v>
      </c>
      <c r="E511" s="3">
        <v>7</v>
      </c>
      <c r="F511" s="3">
        <v>9</v>
      </c>
      <c r="G511" s="3">
        <v>7</v>
      </c>
      <c r="H511" s="55" t="s">
        <v>289</v>
      </c>
      <c r="I511" s="3" t="s">
        <v>279</v>
      </c>
      <c r="J511" s="135">
        <v>46210</v>
      </c>
      <c r="L511" s="3">
        <v>1816</v>
      </c>
      <c r="M511" s="3">
        <v>12675</v>
      </c>
      <c r="N511" s="3" t="s">
        <v>5324</v>
      </c>
      <c r="R511" s="3">
        <v>6</v>
      </c>
      <c r="S511" s="3" t="s">
        <v>1757</v>
      </c>
      <c r="T511" s="3" t="s">
        <v>5365</v>
      </c>
      <c r="U511" s="3" t="s">
        <v>284</v>
      </c>
      <c r="V511" s="3">
        <v>385</v>
      </c>
      <c r="W511" s="3">
        <v>0</v>
      </c>
      <c r="X511" s="3">
        <v>684</v>
      </c>
      <c r="Y511" s="3">
        <v>0</v>
      </c>
      <c r="Z511" s="3">
        <v>0</v>
      </c>
      <c r="AA511" s="3">
        <v>684</v>
      </c>
      <c r="AB511" s="3">
        <v>4122</v>
      </c>
      <c r="AC511" s="192">
        <v>8.3333333333333332E-3</v>
      </c>
      <c r="AD511" s="3" t="s">
        <v>292</v>
      </c>
      <c r="AF511" s="193">
        <v>7.4305555555555555E-2</v>
      </c>
      <c r="AG511" s="193">
        <v>0.45208333333333334</v>
      </c>
      <c r="AH511" s="193">
        <v>0.80277777777777781</v>
      </c>
    </row>
    <row r="512" spans="1:34" x14ac:dyDescent="0.25">
      <c r="A512" s="3" t="s">
        <v>396</v>
      </c>
      <c r="B512" s="3">
        <v>135922</v>
      </c>
      <c r="C512" s="3">
        <v>942207</v>
      </c>
      <c r="D512" s="3" t="s">
        <v>3526</v>
      </c>
      <c r="E512" s="3">
        <v>7</v>
      </c>
      <c r="F512" s="3">
        <v>1</v>
      </c>
      <c r="G512" s="3">
        <v>7</v>
      </c>
      <c r="H512" s="55" t="s">
        <v>289</v>
      </c>
      <c r="I512" s="3" t="s">
        <v>279</v>
      </c>
      <c r="J512" s="135">
        <v>46241</v>
      </c>
      <c r="K512" s="3" t="s">
        <v>5363</v>
      </c>
      <c r="L512" s="3">
        <v>1811</v>
      </c>
      <c r="M512" s="3">
        <v>83611</v>
      </c>
      <c r="N512" s="3" t="s">
        <v>5321</v>
      </c>
      <c r="R512" s="3">
        <v>11</v>
      </c>
      <c r="S512" s="3" t="s">
        <v>5036</v>
      </c>
      <c r="T512" s="3" t="s">
        <v>5322</v>
      </c>
      <c r="U512" s="3">
        <v>37</v>
      </c>
      <c r="V512" s="3">
        <v>342</v>
      </c>
      <c r="W512" s="3">
        <v>0</v>
      </c>
      <c r="X512" s="3">
        <v>288</v>
      </c>
      <c r="Y512" s="3">
        <v>168</v>
      </c>
      <c r="Z512" s="3">
        <v>0</v>
      </c>
      <c r="AA512" s="3">
        <v>120</v>
      </c>
      <c r="AB512" s="3">
        <v>120</v>
      </c>
      <c r="AC512" s="192">
        <v>0</v>
      </c>
      <c r="AF512" s="193">
        <v>1.4583333333333334E-2</v>
      </c>
      <c r="AG512" s="193">
        <v>1.4583333333333334E-2</v>
      </c>
      <c r="AH512" s="193">
        <v>0.29166666666666669</v>
      </c>
    </row>
    <row r="513" spans="1:34" x14ac:dyDescent="0.25">
      <c r="A513" s="3" t="s">
        <v>396</v>
      </c>
      <c r="B513" s="3">
        <v>135922</v>
      </c>
      <c r="C513" s="3">
        <v>942207</v>
      </c>
      <c r="D513" s="3" t="s">
        <v>3526</v>
      </c>
      <c r="E513" s="3">
        <v>7</v>
      </c>
      <c r="F513" s="3">
        <v>2</v>
      </c>
      <c r="G513" s="3">
        <v>8</v>
      </c>
      <c r="H513" s="55" t="s">
        <v>289</v>
      </c>
      <c r="I513" s="3" t="s">
        <v>279</v>
      </c>
      <c r="J513" s="135">
        <v>46241</v>
      </c>
      <c r="L513" s="3">
        <v>1811</v>
      </c>
      <c r="M513" s="3">
        <v>83611</v>
      </c>
      <c r="N513" s="3" t="s">
        <v>5321</v>
      </c>
      <c r="R513" s="3">
        <v>11</v>
      </c>
      <c r="S513" s="3" t="s">
        <v>5036</v>
      </c>
      <c r="T513" s="3" t="s">
        <v>5322</v>
      </c>
      <c r="U513" s="3">
        <v>38</v>
      </c>
      <c r="V513" s="3">
        <v>342</v>
      </c>
      <c r="W513" s="3">
        <v>0</v>
      </c>
      <c r="X513" s="3">
        <v>298</v>
      </c>
      <c r="Y513" s="3">
        <v>0</v>
      </c>
      <c r="Z513" s="3">
        <v>0</v>
      </c>
      <c r="AA513" s="3">
        <v>298</v>
      </c>
      <c r="AB513" s="3">
        <v>418</v>
      </c>
      <c r="AC513" s="192">
        <v>0</v>
      </c>
      <c r="AF513" s="193">
        <v>3.6111111111111108E-2</v>
      </c>
      <c r="AG513" s="193">
        <v>5.0694444444444445E-2</v>
      </c>
      <c r="AH513" s="193">
        <v>0.32777777777777778</v>
      </c>
    </row>
    <row r="514" spans="1:34" x14ac:dyDescent="0.25">
      <c r="A514" s="3" t="s">
        <v>396</v>
      </c>
      <c r="B514" s="3">
        <v>135922</v>
      </c>
      <c r="C514" s="3">
        <v>942207</v>
      </c>
      <c r="D514" s="3" t="s">
        <v>3526</v>
      </c>
      <c r="E514" s="3">
        <v>7</v>
      </c>
      <c r="F514" s="3">
        <v>3</v>
      </c>
      <c r="G514" s="3">
        <v>4</v>
      </c>
      <c r="H514" s="55" t="s">
        <v>289</v>
      </c>
      <c r="I514" s="3" t="s">
        <v>279</v>
      </c>
      <c r="J514" s="135">
        <v>46241</v>
      </c>
      <c r="L514" s="3">
        <v>1811</v>
      </c>
      <c r="M514" s="3">
        <v>83611</v>
      </c>
      <c r="N514" s="3" t="s">
        <v>5321</v>
      </c>
      <c r="R514" s="3">
        <v>11</v>
      </c>
      <c r="S514" s="3" t="s">
        <v>5036</v>
      </c>
      <c r="T514" s="3" t="s">
        <v>5322</v>
      </c>
      <c r="U514" s="3" t="s">
        <v>298</v>
      </c>
      <c r="V514" s="3">
        <v>342</v>
      </c>
      <c r="W514" s="3">
        <v>0</v>
      </c>
      <c r="X514" s="3">
        <v>20</v>
      </c>
      <c r="Y514" s="3">
        <v>0</v>
      </c>
      <c r="Z514" s="3">
        <v>0</v>
      </c>
      <c r="AA514" s="3">
        <v>20</v>
      </c>
      <c r="AB514" s="3">
        <v>438</v>
      </c>
      <c r="AC514" s="192">
        <v>0</v>
      </c>
      <c r="AF514" s="193">
        <v>2.7777777777777779E-3</v>
      </c>
      <c r="AG514" s="193">
        <v>5.347222222222222E-2</v>
      </c>
      <c r="AH514" s="193">
        <v>0.33055555555555555</v>
      </c>
    </row>
    <row r="515" spans="1:34" x14ac:dyDescent="0.25">
      <c r="A515" s="3" t="s">
        <v>396</v>
      </c>
      <c r="B515" s="3">
        <v>135922</v>
      </c>
      <c r="C515" s="3">
        <v>942207</v>
      </c>
      <c r="D515" s="3" t="s">
        <v>3526</v>
      </c>
      <c r="E515" s="3">
        <v>7</v>
      </c>
      <c r="F515" s="3">
        <v>4</v>
      </c>
      <c r="G515" s="3">
        <v>6</v>
      </c>
      <c r="H515" s="55" t="s">
        <v>289</v>
      </c>
      <c r="I515" s="3" t="s">
        <v>279</v>
      </c>
      <c r="J515" s="135">
        <v>46241</v>
      </c>
      <c r="L515" s="3">
        <v>1811</v>
      </c>
      <c r="M515" s="3">
        <v>83611</v>
      </c>
      <c r="N515" s="3" t="s">
        <v>5321</v>
      </c>
      <c r="R515" s="3">
        <v>11</v>
      </c>
      <c r="S515" s="3" t="s">
        <v>5036</v>
      </c>
      <c r="T515" s="3" t="s">
        <v>5322</v>
      </c>
      <c r="U515" s="3">
        <v>36</v>
      </c>
      <c r="V515" s="3">
        <v>342</v>
      </c>
      <c r="W515" s="3">
        <v>0</v>
      </c>
      <c r="X515" s="3">
        <v>324</v>
      </c>
      <c r="Y515" s="3">
        <v>0</v>
      </c>
      <c r="Z515" s="3">
        <v>0</v>
      </c>
      <c r="AA515" s="3">
        <v>324</v>
      </c>
      <c r="AB515" s="3">
        <v>762</v>
      </c>
      <c r="AC515" s="192">
        <v>8.3333333333333332E-3</v>
      </c>
      <c r="AD515" s="3" t="s">
        <v>292</v>
      </c>
      <c r="AF515" s="193">
        <v>3.9583333333333331E-2</v>
      </c>
      <c r="AG515" s="193">
        <v>9.3055555555555558E-2</v>
      </c>
      <c r="AH515" s="193">
        <v>0.37847222222222221</v>
      </c>
    </row>
    <row r="516" spans="1:34" x14ac:dyDescent="0.25">
      <c r="A516" s="3" t="s">
        <v>396</v>
      </c>
      <c r="B516" s="3">
        <v>135922</v>
      </c>
      <c r="C516" s="3">
        <v>942207</v>
      </c>
      <c r="D516" s="3" t="s">
        <v>3526</v>
      </c>
      <c r="E516" s="3">
        <v>7</v>
      </c>
      <c r="F516" s="3">
        <v>5</v>
      </c>
      <c r="G516" s="3">
        <v>10</v>
      </c>
      <c r="H516" s="55" t="s">
        <v>289</v>
      </c>
      <c r="I516" s="3" t="s">
        <v>279</v>
      </c>
      <c r="J516" s="135">
        <v>46241</v>
      </c>
      <c r="L516" s="3">
        <v>1811</v>
      </c>
      <c r="M516" s="3">
        <v>83611</v>
      </c>
      <c r="N516" s="3" t="s">
        <v>5321</v>
      </c>
      <c r="R516" s="3">
        <v>11</v>
      </c>
      <c r="S516" s="3" t="s">
        <v>5036</v>
      </c>
      <c r="T516" s="3" t="s">
        <v>5322</v>
      </c>
      <c r="U516" s="3">
        <v>41</v>
      </c>
      <c r="V516" s="3">
        <v>342</v>
      </c>
      <c r="W516" s="3">
        <v>0</v>
      </c>
      <c r="X516" s="3">
        <v>60</v>
      </c>
      <c r="Y516" s="3">
        <v>0</v>
      </c>
      <c r="Z516" s="3">
        <v>0</v>
      </c>
      <c r="AA516" s="3">
        <v>60</v>
      </c>
      <c r="AB516" s="3">
        <v>822</v>
      </c>
      <c r="AC516" s="192">
        <v>0</v>
      </c>
      <c r="AF516" s="193">
        <v>7.6388888888888886E-3</v>
      </c>
      <c r="AG516" s="193">
        <v>0.1</v>
      </c>
      <c r="AH516" s="193">
        <v>0.38611111111111113</v>
      </c>
    </row>
    <row r="517" spans="1:34" x14ac:dyDescent="0.25">
      <c r="A517" s="3" t="s">
        <v>396</v>
      </c>
      <c r="B517" s="3">
        <v>135922</v>
      </c>
      <c r="C517" s="3">
        <v>942207</v>
      </c>
      <c r="D517" s="3" t="s">
        <v>3526</v>
      </c>
      <c r="E517" s="3">
        <v>7</v>
      </c>
      <c r="F517" s="3">
        <v>6</v>
      </c>
      <c r="G517" s="3">
        <v>9</v>
      </c>
      <c r="H517" s="55" t="s">
        <v>289</v>
      </c>
      <c r="I517" s="3" t="s">
        <v>5358</v>
      </c>
      <c r="J517" s="135">
        <v>46241</v>
      </c>
      <c r="L517" s="3">
        <v>1811</v>
      </c>
      <c r="M517" s="3">
        <v>83611</v>
      </c>
      <c r="N517" s="3" t="s">
        <v>5321</v>
      </c>
      <c r="R517" s="3">
        <v>11</v>
      </c>
      <c r="S517" s="3" t="s">
        <v>5036</v>
      </c>
      <c r="T517" s="3" t="s">
        <v>5322</v>
      </c>
      <c r="U517" s="3" t="s">
        <v>280</v>
      </c>
      <c r="V517" s="3">
        <v>342</v>
      </c>
      <c r="W517" s="3">
        <v>0</v>
      </c>
      <c r="X517" s="3">
        <v>284</v>
      </c>
      <c r="Y517" s="3">
        <v>0</v>
      </c>
      <c r="Z517" s="3">
        <v>0</v>
      </c>
      <c r="AA517" s="3">
        <v>284</v>
      </c>
      <c r="AB517" s="3">
        <v>1106</v>
      </c>
      <c r="AC517" s="192">
        <v>0</v>
      </c>
      <c r="AF517" s="193">
        <v>3.4722222222222224E-2</v>
      </c>
      <c r="AG517" s="193">
        <v>0.13472222222222222</v>
      </c>
      <c r="AH517" s="193">
        <v>0.42083333333333334</v>
      </c>
    </row>
    <row r="518" spans="1:34" x14ac:dyDescent="0.25">
      <c r="A518" s="3" t="s">
        <v>396</v>
      </c>
      <c r="B518" s="3">
        <v>135922</v>
      </c>
      <c r="C518" s="3">
        <v>942207</v>
      </c>
      <c r="D518" s="3" t="s">
        <v>3526</v>
      </c>
      <c r="E518" s="3">
        <v>7</v>
      </c>
      <c r="F518" s="3">
        <v>7</v>
      </c>
      <c r="G518" s="3">
        <v>5</v>
      </c>
      <c r="H518" s="55" t="s">
        <v>289</v>
      </c>
      <c r="I518" s="3" t="s">
        <v>5358</v>
      </c>
      <c r="J518" s="135">
        <v>46241</v>
      </c>
      <c r="L518" s="3">
        <v>1811</v>
      </c>
      <c r="M518" s="3">
        <v>83611</v>
      </c>
      <c r="N518" s="3" t="s">
        <v>5321</v>
      </c>
      <c r="R518" s="3">
        <v>11</v>
      </c>
      <c r="S518" s="3" t="s">
        <v>5036</v>
      </c>
      <c r="T518" s="3" t="s">
        <v>5322</v>
      </c>
      <c r="U518" s="3">
        <v>35</v>
      </c>
      <c r="V518" s="3">
        <v>342</v>
      </c>
      <c r="W518" s="3">
        <v>0</v>
      </c>
      <c r="X518" s="3">
        <v>144</v>
      </c>
      <c r="Y518" s="3">
        <v>0</v>
      </c>
      <c r="Z518" s="3">
        <v>0</v>
      </c>
      <c r="AA518" s="3">
        <v>144</v>
      </c>
      <c r="AB518" s="3">
        <v>1250</v>
      </c>
      <c r="AC518" s="192">
        <v>0</v>
      </c>
      <c r="AF518" s="193">
        <v>1.7361111111111112E-2</v>
      </c>
      <c r="AG518" s="193">
        <v>0.15208333333333332</v>
      </c>
      <c r="AH518" s="193">
        <v>0.43819444444444444</v>
      </c>
    </row>
    <row r="519" spans="1:34" x14ac:dyDescent="0.25">
      <c r="A519" s="3" t="s">
        <v>396</v>
      </c>
      <c r="B519" s="3">
        <v>135920</v>
      </c>
      <c r="C519" s="3">
        <v>942207</v>
      </c>
      <c r="D519" s="3" t="s">
        <v>3526</v>
      </c>
      <c r="E519" s="3">
        <v>7</v>
      </c>
      <c r="F519" s="3">
        <v>8</v>
      </c>
      <c r="G519" s="3">
        <v>4</v>
      </c>
      <c r="H519" s="55" t="s">
        <v>289</v>
      </c>
      <c r="I519" s="3" t="s">
        <v>5358</v>
      </c>
      <c r="J519" s="135">
        <v>46241</v>
      </c>
      <c r="L519" s="3">
        <v>1811</v>
      </c>
      <c r="M519" s="3">
        <v>83611</v>
      </c>
      <c r="N519" s="3" t="s">
        <v>5321</v>
      </c>
      <c r="R519" s="3">
        <v>11</v>
      </c>
      <c r="S519" s="3" t="s">
        <v>5033</v>
      </c>
      <c r="T519" s="3" t="s">
        <v>5440</v>
      </c>
      <c r="U519" s="3" t="s">
        <v>298</v>
      </c>
      <c r="V519" s="3">
        <v>342</v>
      </c>
      <c r="W519" s="3">
        <v>0</v>
      </c>
      <c r="X519" s="3">
        <v>44</v>
      </c>
      <c r="Y519" s="3">
        <v>0</v>
      </c>
      <c r="Z519" s="3">
        <v>0</v>
      </c>
      <c r="AA519" s="3">
        <v>44</v>
      </c>
      <c r="AB519" s="3">
        <v>1294</v>
      </c>
      <c r="AC519" s="192">
        <v>0</v>
      </c>
      <c r="AF519" s="193">
        <v>5.5555555555555558E-3</v>
      </c>
      <c r="AG519" s="193">
        <v>0.15763888888888888</v>
      </c>
      <c r="AH519" s="193">
        <v>0.44374999999999998</v>
      </c>
    </row>
    <row r="520" spans="1:34" x14ac:dyDescent="0.25">
      <c r="A520" s="3" t="s">
        <v>396</v>
      </c>
      <c r="B520" s="3">
        <v>135920</v>
      </c>
      <c r="C520" s="3">
        <v>942207</v>
      </c>
      <c r="D520" s="3" t="s">
        <v>3526</v>
      </c>
      <c r="E520" s="3">
        <v>7</v>
      </c>
      <c r="F520" s="3">
        <v>9</v>
      </c>
      <c r="G520" s="3">
        <v>5</v>
      </c>
      <c r="H520" s="55" t="s">
        <v>289</v>
      </c>
      <c r="I520" s="3" t="s">
        <v>5358</v>
      </c>
      <c r="J520" s="135">
        <v>46241</v>
      </c>
      <c r="L520" s="3">
        <v>1811</v>
      </c>
      <c r="M520" s="3">
        <v>83611</v>
      </c>
      <c r="N520" s="3" t="s">
        <v>5321</v>
      </c>
      <c r="R520" s="3">
        <v>11</v>
      </c>
      <c r="S520" s="3" t="s">
        <v>5033</v>
      </c>
      <c r="T520" s="3" t="s">
        <v>5440</v>
      </c>
      <c r="U520" s="3">
        <v>35</v>
      </c>
      <c r="V520" s="3">
        <v>342</v>
      </c>
      <c r="W520" s="3">
        <v>0</v>
      </c>
      <c r="X520" s="3">
        <v>162</v>
      </c>
      <c r="Y520" s="3">
        <v>0</v>
      </c>
      <c r="Z520" s="3">
        <v>0</v>
      </c>
      <c r="AA520" s="3">
        <v>162</v>
      </c>
      <c r="AB520" s="3">
        <v>1456</v>
      </c>
      <c r="AC520" s="192">
        <v>4.1666666666666664E-2</v>
      </c>
      <c r="AD520" s="3" t="s">
        <v>294</v>
      </c>
      <c r="AE520" s="3" t="s">
        <v>295</v>
      </c>
      <c r="AF520" s="193">
        <v>1.9444444444444445E-2</v>
      </c>
      <c r="AG520" s="193">
        <v>0.17708333333333334</v>
      </c>
      <c r="AH520" s="193">
        <v>0.50486111111111109</v>
      </c>
    </row>
    <row r="521" spans="1:34" x14ac:dyDescent="0.25">
      <c r="A521" s="3" t="s">
        <v>396</v>
      </c>
      <c r="B521" s="3">
        <v>135920</v>
      </c>
      <c r="C521" s="3">
        <v>942207</v>
      </c>
      <c r="D521" s="3" t="s">
        <v>3526</v>
      </c>
      <c r="E521" s="3">
        <v>7</v>
      </c>
      <c r="F521" s="3">
        <v>10</v>
      </c>
      <c r="G521" s="3">
        <v>6</v>
      </c>
      <c r="H521" s="55" t="s">
        <v>289</v>
      </c>
      <c r="I521" s="3" t="s">
        <v>5358</v>
      </c>
      <c r="J521" s="135">
        <v>46241</v>
      </c>
      <c r="L521" s="3">
        <v>1811</v>
      </c>
      <c r="M521" s="3">
        <v>83611</v>
      </c>
      <c r="N521" s="3" t="s">
        <v>5321</v>
      </c>
      <c r="R521" s="3">
        <v>11</v>
      </c>
      <c r="S521" s="3" t="s">
        <v>5033</v>
      </c>
      <c r="T521" s="3" t="s">
        <v>5440</v>
      </c>
      <c r="U521" s="3">
        <v>36</v>
      </c>
      <c r="V521" s="3">
        <v>342</v>
      </c>
      <c r="W521" s="3">
        <v>0</v>
      </c>
      <c r="X521" s="3">
        <v>360</v>
      </c>
      <c r="Y521" s="3">
        <v>0</v>
      </c>
      <c r="Z521" s="3">
        <v>0</v>
      </c>
      <c r="AA521" s="3">
        <v>360</v>
      </c>
      <c r="AB521" s="3">
        <v>1816</v>
      </c>
      <c r="AC521" s="192">
        <v>0</v>
      </c>
      <c r="AF521" s="193">
        <v>4.3749999999999997E-2</v>
      </c>
      <c r="AG521" s="193">
        <v>0.22152777777777777</v>
      </c>
      <c r="AH521" s="193">
        <v>0.54861111111111116</v>
      </c>
    </row>
    <row r="522" spans="1:34" x14ac:dyDescent="0.25">
      <c r="A522" s="3" t="s">
        <v>396</v>
      </c>
      <c r="B522" s="3">
        <v>135920</v>
      </c>
      <c r="C522" s="3">
        <v>942207</v>
      </c>
      <c r="D522" s="3" t="s">
        <v>3526</v>
      </c>
      <c r="E522" s="3">
        <v>7</v>
      </c>
      <c r="F522" s="3">
        <v>11</v>
      </c>
      <c r="G522" s="3">
        <v>7</v>
      </c>
      <c r="H522" s="55" t="s">
        <v>289</v>
      </c>
      <c r="I522" s="3" t="s">
        <v>5358</v>
      </c>
      <c r="J522" s="135">
        <v>46241</v>
      </c>
      <c r="L522" s="3">
        <v>1811</v>
      </c>
      <c r="M522" s="3">
        <v>83611</v>
      </c>
      <c r="N522" s="3" t="s">
        <v>5321</v>
      </c>
      <c r="R522" s="3">
        <v>11</v>
      </c>
      <c r="S522" s="3" t="s">
        <v>5033</v>
      </c>
      <c r="T522" s="3" t="s">
        <v>5440</v>
      </c>
      <c r="U522" s="3">
        <v>37</v>
      </c>
      <c r="V522" s="3">
        <v>342</v>
      </c>
      <c r="W522" s="3">
        <v>0</v>
      </c>
      <c r="X522" s="3">
        <v>348</v>
      </c>
      <c r="Y522" s="3">
        <v>0</v>
      </c>
      <c r="Z522" s="3">
        <v>0</v>
      </c>
      <c r="AA522" s="3">
        <v>348</v>
      </c>
      <c r="AB522" s="3">
        <v>2164</v>
      </c>
      <c r="AC522" s="192">
        <v>8.3333333333333332E-3</v>
      </c>
      <c r="AD522" s="3" t="s">
        <v>404</v>
      </c>
      <c r="AF522" s="193">
        <v>4.2361111111111113E-2</v>
      </c>
      <c r="AG522" s="193">
        <v>0.2638888888888889</v>
      </c>
      <c r="AH522" s="193">
        <v>0.59930555555555554</v>
      </c>
    </row>
    <row r="523" spans="1:34" x14ac:dyDescent="0.25">
      <c r="A523" s="3" t="s">
        <v>396</v>
      </c>
      <c r="B523" s="3">
        <v>135920</v>
      </c>
      <c r="C523" s="3">
        <v>942207</v>
      </c>
      <c r="D523" s="3" t="s">
        <v>3526</v>
      </c>
      <c r="E523" s="3">
        <v>7</v>
      </c>
      <c r="F523" s="3">
        <v>12</v>
      </c>
      <c r="G523" s="3">
        <v>8</v>
      </c>
      <c r="H523" s="55" t="s">
        <v>289</v>
      </c>
      <c r="I523" s="3" t="s">
        <v>5358</v>
      </c>
      <c r="J523" s="135">
        <v>46241</v>
      </c>
      <c r="L523" s="3">
        <v>1811</v>
      </c>
      <c r="M523" s="3">
        <v>83611</v>
      </c>
      <c r="N523" s="3" t="s">
        <v>5321</v>
      </c>
      <c r="R523" s="3">
        <v>11</v>
      </c>
      <c r="S523" s="3" t="s">
        <v>5033</v>
      </c>
      <c r="T523" s="3" t="s">
        <v>5440</v>
      </c>
      <c r="U523" s="3">
        <v>38</v>
      </c>
      <c r="V523" s="3">
        <v>342</v>
      </c>
      <c r="W523" s="3">
        <v>0</v>
      </c>
      <c r="X523" s="3">
        <v>342</v>
      </c>
      <c r="Y523" s="3">
        <v>0</v>
      </c>
      <c r="Z523" s="3">
        <v>0</v>
      </c>
      <c r="AA523" s="3">
        <v>342</v>
      </c>
      <c r="AB523" s="3">
        <v>2506</v>
      </c>
      <c r="AC523" s="192">
        <v>0</v>
      </c>
      <c r="AF523" s="193">
        <v>4.1666666666666664E-2</v>
      </c>
      <c r="AG523" s="193">
        <v>0.30555555555555558</v>
      </c>
      <c r="AH523" s="193">
        <v>0.6479166666666667</v>
      </c>
    </row>
    <row r="524" spans="1:34" x14ac:dyDescent="0.25">
      <c r="A524" s="3" t="s">
        <v>396</v>
      </c>
      <c r="B524" s="3">
        <v>135920</v>
      </c>
      <c r="C524" s="3">
        <v>942207</v>
      </c>
      <c r="D524" s="3" t="s">
        <v>3526</v>
      </c>
      <c r="E524" s="3">
        <v>7</v>
      </c>
      <c r="F524" s="3">
        <v>13</v>
      </c>
      <c r="G524" s="3">
        <v>9</v>
      </c>
      <c r="H524" s="55" t="s">
        <v>289</v>
      </c>
      <c r="I524" s="3" t="s">
        <v>5358</v>
      </c>
      <c r="J524" s="135">
        <v>46241</v>
      </c>
      <c r="L524" s="3">
        <v>1811</v>
      </c>
      <c r="M524" s="3">
        <v>83611</v>
      </c>
      <c r="N524" s="3" t="s">
        <v>5321</v>
      </c>
      <c r="R524" s="3">
        <v>11</v>
      </c>
      <c r="S524" s="3" t="s">
        <v>5033</v>
      </c>
      <c r="T524" s="3" t="s">
        <v>5440</v>
      </c>
      <c r="U524" s="3" t="s">
        <v>280</v>
      </c>
      <c r="V524" s="3">
        <v>342</v>
      </c>
      <c r="W524" s="3">
        <v>0</v>
      </c>
      <c r="X524" s="3">
        <v>320</v>
      </c>
      <c r="Y524" s="3">
        <v>0</v>
      </c>
      <c r="Z524" s="3">
        <v>0</v>
      </c>
      <c r="AA524" s="3">
        <v>320</v>
      </c>
      <c r="AB524" s="3">
        <v>2826</v>
      </c>
      <c r="AC524" s="192">
        <v>0</v>
      </c>
      <c r="AF524" s="193">
        <v>3.888888888888889E-2</v>
      </c>
      <c r="AG524" s="193">
        <v>0.34444444444444444</v>
      </c>
      <c r="AH524" s="193">
        <v>0.68680555555555556</v>
      </c>
    </row>
    <row r="525" spans="1:34" x14ac:dyDescent="0.25">
      <c r="A525" s="3" t="s">
        <v>396</v>
      </c>
      <c r="B525" s="3">
        <v>135920</v>
      </c>
      <c r="C525" s="3">
        <v>942207</v>
      </c>
      <c r="D525" s="3" t="s">
        <v>3526</v>
      </c>
      <c r="E525" s="3">
        <v>7</v>
      </c>
      <c r="F525" s="3">
        <v>14</v>
      </c>
      <c r="G525" s="3">
        <v>10</v>
      </c>
      <c r="H525" s="55" t="s">
        <v>289</v>
      </c>
      <c r="I525" s="3" t="s">
        <v>5358</v>
      </c>
      <c r="J525" s="135">
        <v>46241</v>
      </c>
      <c r="L525" s="3">
        <v>1811</v>
      </c>
      <c r="M525" s="3">
        <v>83611</v>
      </c>
      <c r="N525" s="3" t="s">
        <v>5321</v>
      </c>
      <c r="R525" s="3">
        <v>11</v>
      </c>
      <c r="S525" s="3" t="s">
        <v>5033</v>
      </c>
      <c r="T525" s="3" t="s">
        <v>5440</v>
      </c>
      <c r="U525" s="3">
        <v>41</v>
      </c>
      <c r="V525" s="3">
        <v>342</v>
      </c>
      <c r="W525" s="3">
        <v>0</v>
      </c>
      <c r="X525" s="3">
        <v>50</v>
      </c>
      <c r="Y525" s="3">
        <v>0</v>
      </c>
      <c r="Z525" s="3">
        <v>0</v>
      </c>
      <c r="AA525" s="3">
        <v>50</v>
      </c>
      <c r="AB525" s="3">
        <v>2876</v>
      </c>
      <c r="AC525" s="192">
        <v>0</v>
      </c>
      <c r="AF525" s="193">
        <v>6.2500000000000003E-3</v>
      </c>
      <c r="AG525" s="193">
        <v>0.35069444444444442</v>
      </c>
      <c r="AH525" s="193">
        <v>0.69305555555555554</v>
      </c>
    </row>
    <row r="526" spans="1:34" x14ac:dyDescent="0.25">
      <c r="A526" s="3" t="s">
        <v>396</v>
      </c>
      <c r="B526" s="3">
        <v>135919</v>
      </c>
      <c r="C526" s="3">
        <v>942207</v>
      </c>
      <c r="D526" s="3" t="s">
        <v>3526</v>
      </c>
      <c r="E526" s="3">
        <v>7</v>
      </c>
      <c r="F526" s="3">
        <v>15</v>
      </c>
      <c r="G526" s="3">
        <v>9</v>
      </c>
      <c r="H526" s="55" t="s">
        <v>289</v>
      </c>
      <c r="I526" s="3" t="s">
        <v>5358</v>
      </c>
      <c r="J526" s="135">
        <v>46241</v>
      </c>
      <c r="L526" s="3">
        <v>1811</v>
      </c>
      <c r="M526" s="3">
        <v>83611</v>
      </c>
      <c r="N526" s="3" t="s">
        <v>5321</v>
      </c>
      <c r="R526" s="3">
        <v>11</v>
      </c>
      <c r="S526" s="3" t="s">
        <v>4757</v>
      </c>
      <c r="T526" s="3" t="s">
        <v>5441</v>
      </c>
      <c r="U526" s="3">
        <v>41</v>
      </c>
      <c r="V526" s="3">
        <v>342</v>
      </c>
      <c r="W526" s="3">
        <v>0</v>
      </c>
      <c r="X526" s="3">
        <v>50</v>
      </c>
      <c r="Y526" s="3">
        <v>0</v>
      </c>
      <c r="Z526" s="3">
        <v>0</v>
      </c>
      <c r="AA526" s="3">
        <v>50</v>
      </c>
      <c r="AB526" s="3">
        <v>2926</v>
      </c>
      <c r="AC526" s="192">
        <v>0</v>
      </c>
      <c r="AF526" s="193">
        <v>6.2500000000000003E-3</v>
      </c>
      <c r="AG526" s="193">
        <v>0.35625000000000001</v>
      </c>
      <c r="AH526" s="193">
        <v>0.69930555555555551</v>
      </c>
    </row>
    <row r="527" spans="1:34" x14ac:dyDescent="0.25">
      <c r="A527" s="3" t="s">
        <v>396</v>
      </c>
      <c r="B527" s="3">
        <v>135919</v>
      </c>
      <c r="C527" s="3">
        <v>942207</v>
      </c>
      <c r="D527" s="3" t="s">
        <v>3526</v>
      </c>
      <c r="E527" s="3">
        <v>7</v>
      </c>
      <c r="F527" s="3">
        <v>16</v>
      </c>
      <c r="G527" s="3">
        <v>4</v>
      </c>
      <c r="H527" s="55" t="s">
        <v>289</v>
      </c>
      <c r="I527" s="3" t="s">
        <v>5358</v>
      </c>
      <c r="J527" s="135">
        <v>46241</v>
      </c>
      <c r="L527" s="3">
        <v>1811</v>
      </c>
      <c r="M527" s="3">
        <v>83611</v>
      </c>
      <c r="N527" s="3" t="s">
        <v>5321</v>
      </c>
      <c r="R527" s="3">
        <v>11</v>
      </c>
      <c r="S527" s="3" t="s">
        <v>4757</v>
      </c>
      <c r="T527" s="3" t="s">
        <v>5441</v>
      </c>
      <c r="U527" s="3">
        <v>35</v>
      </c>
      <c r="V527" s="3">
        <v>342</v>
      </c>
      <c r="W527" s="3">
        <v>0</v>
      </c>
      <c r="X527" s="3">
        <v>84</v>
      </c>
      <c r="Y527" s="3">
        <v>0</v>
      </c>
      <c r="Z527" s="3">
        <v>0</v>
      </c>
      <c r="AA527" s="3">
        <v>84</v>
      </c>
      <c r="AB527" s="3">
        <v>3010</v>
      </c>
      <c r="AC527" s="192">
        <v>0</v>
      </c>
      <c r="AF527" s="193">
        <v>1.0416666666666666E-2</v>
      </c>
      <c r="AG527" s="193">
        <v>0.36666666666666664</v>
      </c>
      <c r="AH527" s="193">
        <v>0.70972222222222225</v>
      </c>
    </row>
    <row r="528" spans="1:34" x14ac:dyDescent="0.25">
      <c r="A528" s="3" t="s">
        <v>396</v>
      </c>
      <c r="B528" s="3">
        <v>135919</v>
      </c>
      <c r="C528" s="3">
        <v>942207</v>
      </c>
      <c r="D528" s="3" t="s">
        <v>3526</v>
      </c>
      <c r="E528" s="3">
        <v>7</v>
      </c>
      <c r="F528" s="3">
        <v>17</v>
      </c>
      <c r="G528" s="3">
        <v>5</v>
      </c>
      <c r="H528" s="55" t="s">
        <v>289</v>
      </c>
      <c r="I528" s="3" t="s">
        <v>5358</v>
      </c>
      <c r="J528" s="135">
        <v>46241</v>
      </c>
      <c r="L528" s="3">
        <v>1811</v>
      </c>
      <c r="M528" s="3">
        <v>83611</v>
      </c>
      <c r="N528" s="3" t="s">
        <v>5321</v>
      </c>
      <c r="R528" s="3">
        <v>11</v>
      </c>
      <c r="S528" s="3" t="s">
        <v>4757</v>
      </c>
      <c r="T528" s="3" t="s">
        <v>5441</v>
      </c>
      <c r="U528" s="3">
        <v>36</v>
      </c>
      <c r="V528" s="3">
        <v>342</v>
      </c>
      <c r="W528" s="3">
        <v>0</v>
      </c>
      <c r="X528" s="3">
        <v>194</v>
      </c>
      <c r="Y528" s="3">
        <v>0</v>
      </c>
      <c r="Z528" s="3">
        <v>0</v>
      </c>
      <c r="AA528" s="3">
        <v>194</v>
      </c>
      <c r="AB528" s="3">
        <v>3204</v>
      </c>
      <c r="AC528" s="192">
        <v>0</v>
      </c>
      <c r="AF528" s="193">
        <v>2.361111111111111E-2</v>
      </c>
      <c r="AG528" s="193">
        <v>0.39027777777777778</v>
      </c>
      <c r="AH528" s="193">
        <v>0.73333333333333328</v>
      </c>
    </row>
    <row r="529" spans="1:34" x14ac:dyDescent="0.25">
      <c r="A529" s="3" t="s">
        <v>396</v>
      </c>
      <c r="B529" s="3">
        <v>135919</v>
      </c>
      <c r="C529" s="3">
        <v>942207</v>
      </c>
      <c r="D529" s="3" t="s">
        <v>3526</v>
      </c>
      <c r="E529" s="3">
        <v>7</v>
      </c>
      <c r="F529" s="3">
        <v>18</v>
      </c>
      <c r="G529" s="3">
        <v>6</v>
      </c>
      <c r="H529" s="55" t="s">
        <v>289</v>
      </c>
      <c r="I529" s="3" t="s">
        <v>5358</v>
      </c>
      <c r="J529" s="135">
        <v>46241</v>
      </c>
      <c r="L529" s="3">
        <v>1811</v>
      </c>
      <c r="M529" s="3">
        <v>83611</v>
      </c>
      <c r="N529" s="3" t="s">
        <v>5321</v>
      </c>
      <c r="R529" s="3">
        <v>11</v>
      </c>
      <c r="S529" s="3" t="s">
        <v>4757</v>
      </c>
      <c r="T529" s="3" t="s">
        <v>5441</v>
      </c>
      <c r="U529" s="3">
        <v>37</v>
      </c>
      <c r="V529" s="3">
        <v>342</v>
      </c>
      <c r="W529" s="3">
        <v>0</v>
      </c>
      <c r="X529" s="3">
        <v>204</v>
      </c>
      <c r="Y529" s="3">
        <v>0</v>
      </c>
      <c r="Z529" s="3">
        <v>0</v>
      </c>
      <c r="AA529" s="3">
        <v>204</v>
      </c>
      <c r="AB529" s="3">
        <v>3408</v>
      </c>
      <c r="AC529" s="192">
        <v>0</v>
      </c>
      <c r="AF529" s="193">
        <v>2.5000000000000001E-2</v>
      </c>
      <c r="AG529" s="193">
        <v>0.4152777777777778</v>
      </c>
      <c r="AH529" s="193">
        <v>0.7583333333333333</v>
      </c>
    </row>
    <row r="530" spans="1:34" x14ac:dyDescent="0.25">
      <c r="A530" s="3" t="s">
        <v>396</v>
      </c>
      <c r="B530" s="3">
        <v>135919</v>
      </c>
      <c r="C530" s="3">
        <v>942207</v>
      </c>
      <c r="D530" s="3" t="s">
        <v>3526</v>
      </c>
      <c r="E530" s="3">
        <v>7</v>
      </c>
      <c r="F530" s="3">
        <v>19</v>
      </c>
      <c r="G530" s="3">
        <v>7</v>
      </c>
      <c r="H530" s="55" t="s">
        <v>289</v>
      </c>
      <c r="I530" s="3" t="s">
        <v>5358</v>
      </c>
      <c r="J530" s="135">
        <v>46241</v>
      </c>
      <c r="L530" s="3">
        <v>1811</v>
      </c>
      <c r="M530" s="3">
        <v>83611</v>
      </c>
      <c r="N530" s="3" t="s">
        <v>5321</v>
      </c>
      <c r="R530" s="3">
        <v>11</v>
      </c>
      <c r="S530" s="3" t="s">
        <v>4757</v>
      </c>
      <c r="T530" s="3" t="s">
        <v>5441</v>
      </c>
      <c r="U530" s="3">
        <v>38</v>
      </c>
      <c r="V530" s="3">
        <v>342</v>
      </c>
      <c r="W530" s="3">
        <v>0</v>
      </c>
      <c r="X530" s="3">
        <v>198</v>
      </c>
      <c r="Y530" s="3">
        <v>0</v>
      </c>
      <c r="Z530" s="3">
        <v>0</v>
      </c>
      <c r="AA530" s="3">
        <v>198</v>
      </c>
      <c r="AB530" s="3">
        <v>3606</v>
      </c>
      <c r="AC530" s="192">
        <v>8.3333333333333332E-3</v>
      </c>
      <c r="AD530" s="3" t="s">
        <v>292</v>
      </c>
      <c r="AF530" s="193">
        <v>2.4305555555555556E-2</v>
      </c>
      <c r="AG530" s="193">
        <v>0.43958333333333333</v>
      </c>
      <c r="AH530" s="193">
        <v>0.79097222222222219</v>
      </c>
    </row>
    <row r="531" spans="1:34" x14ac:dyDescent="0.25">
      <c r="A531" s="3" t="s">
        <v>396</v>
      </c>
      <c r="B531" s="3">
        <v>135919</v>
      </c>
      <c r="C531" s="3">
        <v>942207</v>
      </c>
      <c r="D531" s="3" t="s">
        <v>3526</v>
      </c>
      <c r="E531" s="3">
        <v>7</v>
      </c>
      <c r="F531" s="3">
        <v>20</v>
      </c>
      <c r="G531" s="3">
        <v>8</v>
      </c>
      <c r="H531" s="55" t="s">
        <v>289</v>
      </c>
      <c r="I531" s="3" t="s">
        <v>5358</v>
      </c>
      <c r="J531" s="135">
        <v>46241</v>
      </c>
      <c r="L531" s="3">
        <v>1811</v>
      </c>
      <c r="M531" s="3">
        <v>83611</v>
      </c>
      <c r="N531" s="3" t="s">
        <v>5321</v>
      </c>
      <c r="R531" s="3">
        <v>11</v>
      </c>
      <c r="S531" s="3" t="s">
        <v>4757</v>
      </c>
      <c r="T531" s="3" t="s">
        <v>5441</v>
      </c>
      <c r="U531" s="3" t="s">
        <v>280</v>
      </c>
      <c r="V531" s="3">
        <v>342</v>
      </c>
      <c r="W531" s="3">
        <v>0</v>
      </c>
      <c r="X531" s="3">
        <v>156</v>
      </c>
      <c r="Y531" s="3">
        <v>0</v>
      </c>
      <c r="Z531" s="3">
        <v>0</v>
      </c>
      <c r="AA531" s="3">
        <v>156</v>
      </c>
      <c r="AB531" s="3">
        <v>3762</v>
      </c>
      <c r="AC531" s="192">
        <v>0</v>
      </c>
      <c r="AF531" s="193">
        <v>1.8749999999999999E-2</v>
      </c>
      <c r="AG531" s="193">
        <v>0.45833333333333331</v>
      </c>
      <c r="AH531" s="193">
        <v>0.80972222222222223</v>
      </c>
    </row>
    <row r="532" spans="1:34" x14ac:dyDescent="0.25">
      <c r="A532" s="3" t="s">
        <v>396</v>
      </c>
      <c r="B532" s="3">
        <v>135921</v>
      </c>
      <c r="C532" s="3">
        <v>942207</v>
      </c>
      <c r="D532" s="3" t="s">
        <v>3526</v>
      </c>
      <c r="E532" s="3">
        <v>7</v>
      </c>
      <c r="F532" s="3">
        <v>21</v>
      </c>
      <c r="G532" s="3">
        <v>10</v>
      </c>
      <c r="H532" s="55" t="s">
        <v>289</v>
      </c>
      <c r="I532" s="3" t="s">
        <v>5358</v>
      </c>
      <c r="J532" s="135">
        <v>46241</v>
      </c>
      <c r="L532" s="3">
        <v>1811</v>
      </c>
      <c r="M532" s="3">
        <v>83611</v>
      </c>
      <c r="N532" s="3" t="s">
        <v>5321</v>
      </c>
      <c r="R532" s="3">
        <v>12</v>
      </c>
      <c r="S532" s="3" t="s">
        <v>5035</v>
      </c>
      <c r="T532" s="3" t="s">
        <v>5320</v>
      </c>
      <c r="U532" s="3">
        <v>41</v>
      </c>
      <c r="V532" s="3">
        <v>342</v>
      </c>
      <c r="W532" s="3">
        <v>0</v>
      </c>
      <c r="X532" s="3">
        <v>40</v>
      </c>
      <c r="Y532" s="3">
        <v>0</v>
      </c>
      <c r="Z532" s="3">
        <v>0</v>
      </c>
      <c r="AA532" s="3">
        <v>40</v>
      </c>
      <c r="AB532" s="3">
        <v>3802</v>
      </c>
      <c r="AC532" s="192">
        <v>4.1666666666666664E-2</v>
      </c>
      <c r="AD532" s="3" t="s">
        <v>294</v>
      </c>
      <c r="AE532" s="3" t="s">
        <v>295</v>
      </c>
      <c r="AF532" s="193">
        <v>4.8611111111111112E-3</v>
      </c>
      <c r="AG532" s="193">
        <v>0.46319444444444446</v>
      </c>
      <c r="AH532" s="193">
        <v>0.85624999999999996</v>
      </c>
    </row>
    <row r="533" spans="1:34" x14ac:dyDescent="0.25">
      <c r="A533" s="3" t="s">
        <v>396</v>
      </c>
      <c r="B533" s="3">
        <v>135921</v>
      </c>
      <c r="C533" s="3">
        <v>942207</v>
      </c>
      <c r="D533" s="3" t="s">
        <v>3526</v>
      </c>
      <c r="E533" s="3">
        <v>7</v>
      </c>
      <c r="F533" s="3">
        <v>22</v>
      </c>
      <c r="G533" s="3">
        <v>4</v>
      </c>
      <c r="H533" s="55" t="s">
        <v>289</v>
      </c>
      <c r="I533" s="3" t="s">
        <v>5358</v>
      </c>
      <c r="J533" s="135">
        <v>46241</v>
      </c>
      <c r="L533" s="3">
        <v>1811</v>
      </c>
      <c r="M533" s="3">
        <v>83611</v>
      </c>
      <c r="N533" s="3" t="s">
        <v>5321</v>
      </c>
      <c r="R533" s="3">
        <v>12</v>
      </c>
      <c r="S533" s="3" t="s">
        <v>5035</v>
      </c>
      <c r="T533" s="3" t="s">
        <v>5320</v>
      </c>
      <c r="U533" s="3" t="s">
        <v>298</v>
      </c>
      <c r="V533" s="3">
        <v>342</v>
      </c>
      <c r="W533" s="3">
        <v>0</v>
      </c>
      <c r="X533" s="3">
        <v>20</v>
      </c>
      <c r="Y533" s="3">
        <v>0</v>
      </c>
      <c r="Z533" s="3">
        <v>0</v>
      </c>
      <c r="AA533" s="3">
        <v>20</v>
      </c>
      <c r="AB533" s="3">
        <v>3822</v>
      </c>
      <c r="AC533" s="192">
        <v>0</v>
      </c>
      <c r="AF533" s="193">
        <v>2.7777777777777779E-3</v>
      </c>
      <c r="AG533" s="193">
        <v>0.46597222222222223</v>
      </c>
      <c r="AH533" s="193">
        <v>0.85902777777777772</v>
      </c>
    </row>
    <row r="534" spans="1:34" x14ac:dyDescent="0.25">
      <c r="A534" s="3" t="s">
        <v>396</v>
      </c>
      <c r="B534" s="3">
        <v>135921</v>
      </c>
      <c r="C534" s="3">
        <v>942207</v>
      </c>
      <c r="D534" s="3" t="s">
        <v>3526</v>
      </c>
      <c r="E534" s="3">
        <v>7</v>
      </c>
      <c r="F534" s="3">
        <v>23</v>
      </c>
      <c r="G534" s="3">
        <v>5</v>
      </c>
      <c r="H534" s="55" t="s">
        <v>289</v>
      </c>
      <c r="I534" s="3" t="s">
        <v>5358</v>
      </c>
      <c r="J534" s="135">
        <v>46241</v>
      </c>
      <c r="L534" s="3">
        <v>1811</v>
      </c>
      <c r="M534" s="3">
        <v>83611</v>
      </c>
      <c r="N534" s="3" t="s">
        <v>5321</v>
      </c>
      <c r="R534" s="3">
        <v>12</v>
      </c>
      <c r="S534" s="3" t="s">
        <v>5035</v>
      </c>
      <c r="T534" s="3" t="s">
        <v>5320</v>
      </c>
      <c r="U534" s="3">
        <v>35</v>
      </c>
      <c r="V534" s="3">
        <v>342</v>
      </c>
      <c r="W534" s="3">
        <v>0</v>
      </c>
      <c r="X534" s="3">
        <v>110</v>
      </c>
      <c r="Y534" s="3">
        <v>0</v>
      </c>
      <c r="Z534" s="3">
        <v>0</v>
      </c>
      <c r="AA534" s="3">
        <v>110</v>
      </c>
      <c r="AB534" s="3">
        <v>3932</v>
      </c>
      <c r="AC534" s="192">
        <v>0</v>
      </c>
      <c r="AF534" s="193">
        <v>1.3194444444444444E-2</v>
      </c>
      <c r="AG534" s="193">
        <v>0.47916666666666669</v>
      </c>
      <c r="AH534" s="193">
        <v>0.87222222222222223</v>
      </c>
    </row>
    <row r="535" spans="1:34" x14ac:dyDescent="0.25">
      <c r="A535" s="3" t="s">
        <v>396</v>
      </c>
      <c r="B535" s="3">
        <v>135921</v>
      </c>
      <c r="C535" s="3">
        <v>942207</v>
      </c>
      <c r="D535" s="3" t="s">
        <v>3526</v>
      </c>
      <c r="E535" s="3">
        <v>7</v>
      </c>
      <c r="F535" s="3">
        <v>24</v>
      </c>
      <c r="G535" s="3">
        <v>6</v>
      </c>
      <c r="H535" s="55" t="s">
        <v>289</v>
      </c>
      <c r="I535" s="3" t="s">
        <v>5358</v>
      </c>
      <c r="J535" s="135">
        <v>46241</v>
      </c>
      <c r="L535" s="3">
        <v>1811</v>
      </c>
      <c r="M535" s="3">
        <v>83611</v>
      </c>
      <c r="N535" s="3" t="s">
        <v>5321</v>
      </c>
      <c r="R535" s="3">
        <v>12</v>
      </c>
      <c r="S535" s="3" t="s">
        <v>5035</v>
      </c>
      <c r="T535" s="3" t="s">
        <v>5320</v>
      </c>
      <c r="U535" s="3">
        <v>36</v>
      </c>
      <c r="V535" s="3">
        <v>342</v>
      </c>
      <c r="W535" s="3">
        <v>0</v>
      </c>
      <c r="X535" s="3">
        <v>220</v>
      </c>
      <c r="Y535" s="3">
        <v>0</v>
      </c>
      <c r="Z535" s="3">
        <v>0</v>
      </c>
      <c r="AA535" s="3">
        <v>220</v>
      </c>
      <c r="AB535" s="3">
        <v>4152</v>
      </c>
      <c r="AC535" s="192">
        <v>0</v>
      </c>
      <c r="AF535" s="193">
        <v>2.7083333333333334E-2</v>
      </c>
      <c r="AG535" s="193">
        <v>0.50555555555555554</v>
      </c>
      <c r="AH535" s="193">
        <v>0.89930555555555558</v>
      </c>
    </row>
    <row r="536" spans="1:34" x14ac:dyDescent="0.25">
      <c r="A536" s="3" t="s">
        <v>396</v>
      </c>
      <c r="B536" s="3">
        <v>135921</v>
      </c>
      <c r="C536" s="3">
        <v>942207</v>
      </c>
      <c r="D536" s="3" t="s">
        <v>3526</v>
      </c>
      <c r="E536" s="3">
        <v>7</v>
      </c>
      <c r="F536" s="3">
        <v>25</v>
      </c>
      <c r="G536" s="3">
        <v>7</v>
      </c>
      <c r="H536" s="55" t="s">
        <v>289</v>
      </c>
      <c r="I536" s="3" t="s">
        <v>5358</v>
      </c>
      <c r="J536" s="135">
        <v>46241</v>
      </c>
      <c r="L536" s="3">
        <v>1811</v>
      </c>
      <c r="M536" s="3">
        <v>83611</v>
      </c>
      <c r="N536" s="3" t="s">
        <v>5321</v>
      </c>
      <c r="R536" s="3">
        <v>12</v>
      </c>
      <c r="S536" s="3" t="s">
        <v>5035</v>
      </c>
      <c r="T536" s="3" t="s">
        <v>5320</v>
      </c>
      <c r="U536" s="3">
        <v>37</v>
      </c>
      <c r="V536" s="3">
        <v>342</v>
      </c>
      <c r="W536" s="3">
        <v>0</v>
      </c>
      <c r="X536" s="3">
        <v>198</v>
      </c>
      <c r="Y536" s="3">
        <v>0</v>
      </c>
      <c r="Z536" s="3">
        <v>0</v>
      </c>
      <c r="AA536" s="3">
        <v>198</v>
      </c>
      <c r="AB536" s="3">
        <v>4350</v>
      </c>
      <c r="AC536" s="192">
        <v>0</v>
      </c>
      <c r="AF536" s="193">
        <v>2.4305555555555556E-2</v>
      </c>
      <c r="AG536" s="193">
        <v>0.52986111111111112</v>
      </c>
      <c r="AH536" s="193">
        <v>0.92361111111111116</v>
      </c>
    </row>
    <row r="537" spans="1:34" x14ac:dyDescent="0.25">
      <c r="A537" s="3" t="s">
        <v>396</v>
      </c>
      <c r="B537" s="3">
        <v>135921</v>
      </c>
      <c r="C537" s="3">
        <v>942207</v>
      </c>
      <c r="D537" s="3" t="s">
        <v>3526</v>
      </c>
      <c r="E537" s="3">
        <v>7</v>
      </c>
      <c r="F537" s="3">
        <v>26</v>
      </c>
      <c r="G537" s="3">
        <v>8</v>
      </c>
      <c r="H537" s="55" t="s">
        <v>289</v>
      </c>
      <c r="I537" s="3" t="s">
        <v>5358</v>
      </c>
      <c r="J537" s="135">
        <v>46241</v>
      </c>
      <c r="L537" s="3">
        <v>1811</v>
      </c>
      <c r="M537" s="3">
        <v>83611</v>
      </c>
      <c r="N537" s="3" t="s">
        <v>5321</v>
      </c>
      <c r="R537" s="3">
        <v>12</v>
      </c>
      <c r="S537" s="3" t="s">
        <v>5035</v>
      </c>
      <c r="T537" s="3" t="s">
        <v>5320</v>
      </c>
      <c r="U537" s="3">
        <v>38</v>
      </c>
      <c r="V537" s="3">
        <v>342</v>
      </c>
      <c r="W537" s="3">
        <v>0</v>
      </c>
      <c r="X537" s="3">
        <v>200</v>
      </c>
      <c r="Y537" s="3">
        <v>0</v>
      </c>
      <c r="Z537" s="3">
        <v>0</v>
      </c>
      <c r="AA537" s="3">
        <v>200</v>
      </c>
      <c r="AB537" s="3">
        <v>4550</v>
      </c>
      <c r="AC537" s="192">
        <v>0</v>
      </c>
      <c r="AF537" s="193">
        <v>2.4305555555555556E-2</v>
      </c>
      <c r="AG537" s="193">
        <v>0.5541666666666667</v>
      </c>
      <c r="AH537" s="193">
        <v>0.94791666666666663</v>
      </c>
    </row>
    <row r="538" spans="1:34" x14ac:dyDescent="0.25">
      <c r="A538" s="3" t="s">
        <v>396</v>
      </c>
      <c r="B538" s="3">
        <v>135921</v>
      </c>
      <c r="C538" s="3">
        <v>942207</v>
      </c>
      <c r="D538" s="3" t="s">
        <v>3526</v>
      </c>
      <c r="E538" s="3">
        <v>7</v>
      </c>
      <c r="F538" s="3">
        <v>27</v>
      </c>
      <c r="G538" s="3">
        <v>9</v>
      </c>
      <c r="H538" s="55" t="s">
        <v>289</v>
      </c>
      <c r="I538" s="3" t="s">
        <v>5358</v>
      </c>
      <c r="J538" s="135">
        <v>46241</v>
      </c>
      <c r="L538" s="3">
        <v>1811</v>
      </c>
      <c r="M538" s="3">
        <v>83611</v>
      </c>
      <c r="N538" s="3" t="s">
        <v>5321</v>
      </c>
      <c r="R538" s="3">
        <v>12</v>
      </c>
      <c r="S538" s="3" t="s">
        <v>5035</v>
      </c>
      <c r="T538" s="3" t="s">
        <v>5320</v>
      </c>
      <c r="U538" s="3" t="s">
        <v>280</v>
      </c>
      <c r="V538" s="3">
        <v>342</v>
      </c>
      <c r="W538" s="3">
        <v>0</v>
      </c>
      <c r="X538" s="3">
        <v>190</v>
      </c>
      <c r="Y538" s="3">
        <v>0</v>
      </c>
      <c r="Z538" s="3">
        <v>0</v>
      </c>
      <c r="AA538" s="3">
        <v>190</v>
      </c>
      <c r="AB538" s="3">
        <v>4740</v>
      </c>
      <c r="AC538" s="192">
        <v>0</v>
      </c>
      <c r="AF538" s="193">
        <v>2.2916666666666665E-2</v>
      </c>
      <c r="AG538" s="193">
        <v>0.57777777777777772</v>
      </c>
      <c r="AH538" s="193">
        <v>0.97083333333333333</v>
      </c>
    </row>
    <row r="539" spans="1:34" x14ac:dyDescent="0.25">
      <c r="A539" s="3" t="s">
        <v>399</v>
      </c>
      <c r="B539" s="3">
        <v>136955</v>
      </c>
      <c r="C539" s="3">
        <v>942207</v>
      </c>
      <c r="D539" s="3" t="s">
        <v>3526</v>
      </c>
      <c r="E539" s="3">
        <v>7</v>
      </c>
      <c r="F539" s="3">
        <v>1</v>
      </c>
      <c r="G539" s="3">
        <v>6</v>
      </c>
      <c r="H539" s="55" t="s">
        <v>289</v>
      </c>
      <c r="I539" s="3" t="s">
        <v>279</v>
      </c>
      <c r="J539" s="135">
        <v>46241</v>
      </c>
      <c r="K539" s="3" t="s">
        <v>5291</v>
      </c>
      <c r="L539" s="3">
        <v>1804</v>
      </c>
      <c r="M539" s="3">
        <v>84011</v>
      </c>
      <c r="N539" s="3" t="s">
        <v>5221</v>
      </c>
      <c r="R539" s="3">
        <v>9</v>
      </c>
      <c r="S539" s="3" t="s">
        <v>5222</v>
      </c>
      <c r="T539" s="3" t="s">
        <v>5223</v>
      </c>
      <c r="U539" s="3">
        <v>36</v>
      </c>
      <c r="V539" s="3">
        <v>261</v>
      </c>
      <c r="W539" s="3">
        <v>0</v>
      </c>
      <c r="X539" s="3">
        <v>610</v>
      </c>
      <c r="Y539" s="3">
        <v>554</v>
      </c>
      <c r="Z539" s="3">
        <v>0</v>
      </c>
      <c r="AA539" s="3">
        <v>56</v>
      </c>
      <c r="AB539" s="3">
        <v>56</v>
      </c>
      <c r="AC539" s="192">
        <v>0</v>
      </c>
      <c r="AF539" s="193">
        <v>9.0277777777777769E-3</v>
      </c>
      <c r="AG539" s="193">
        <v>9.0277777777777769E-3</v>
      </c>
      <c r="AH539" s="193">
        <v>0.28611111111111109</v>
      </c>
    </row>
    <row r="540" spans="1:34" x14ac:dyDescent="0.25">
      <c r="A540" s="3" t="s">
        <v>399</v>
      </c>
      <c r="B540" s="3">
        <v>136955</v>
      </c>
      <c r="C540" s="3">
        <v>942207</v>
      </c>
      <c r="D540" s="3" t="s">
        <v>3526</v>
      </c>
      <c r="E540" s="3">
        <v>7</v>
      </c>
      <c r="F540" s="3">
        <v>2</v>
      </c>
      <c r="G540" s="3">
        <v>4</v>
      </c>
      <c r="H540" s="55" t="s">
        <v>289</v>
      </c>
      <c r="I540" s="3" t="s">
        <v>279</v>
      </c>
      <c r="J540" s="135">
        <v>46241</v>
      </c>
      <c r="L540" s="3">
        <v>1804</v>
      </c>
      <c r="M540" s="3">
        <v>84011</v>
      </c>
      <c r="N540" s="3" t="s">
        <v>5221</v>
      </c>
      <c r="R540" s="3">
        <v>9</v>
      </c>
      <c r="S540" s="3" t="s">
        <v>5222</v>
      </c>
      <c r="T540" s="3" t="s">
        <v>5223</v>
      </c>
      <c r="U540" s="3" t="s">
        <v>298</v>
      </c>
      <c r="V540" s="3">
        <v>261</v>
      </c>
      <c r="W540" s="3">
        <v>0</v>
      </c>
      <c r="X540" s="3">
        <v>52</v>
      </c>
      <c r="Y540" s="3">
        <v>0</v>
      </c>
      <c r="Z540" s="3">
        <v>0</v>
      </c>
      <c r="AA540" s="3">
        <v>52</v>
      </c>
      <c r="AB540" s="3">
        <v>108</v>
      </c>
      <c r="AC540" s="192">
        <v>0</v>
      </c>
      <c r="AF540" s="193">
        <v>8.3333333333333332E-3</v>
      </c>
      <c r="AG540" s="193">
        <v>1.7361111111111112E-2</v>
      </c>
      <c r="AH540" s="193">
        <v>0.29444444444444445</v>
      </c>
    </row>
    <row r="541" spans="1:34" x14ac:dyDescent="0.25">
      <c r="A541" s="3" t="s">
        <v>399</v>
      </c>
      <c r="B541" s="3">
        <v>136955</v>
      </c>
      <c r="C541" s="3">
        <v>942207</v>
      </c>
      <c r="D541" s="3" t="s">
        <v>3526</v>
      </c>
      <c r="E541" s="3">
        <v>7</v>
      </c>
      <c r="F541" s="3">
        <v>3</v>
      </c>
      <c r="G541" s="3">
        <v>5</v>
      </c>
      <c r="H541" s="55" t="s">
        <v>289</v>
      </c>
      <c r="I541" s="3" t="s">
        <v>279</v>
      </c>
      <c r="J541" s="135">
        <v>46241</v>
      </c>
      <c r="L541" s="3">
        <v>1804</v>
      </c>
      <c r="M541" s="3">
        <v>84011</v>
      </c>
      <c r="N541" s="3" t="s">
        <v>5221</v>
      </c>
      <c r="R541" s="3">
        <v>9</v>
      </c>
      <c r="S541" s="3" t="s">
        <v>5222</v>
      </c>
      <c r="T541" s="3" t="s">
        <v>5223</v>
      </c>
      <c r="U541" s="3">
        <v>35</v>
      </c>
      <c r="V541" s="3">
        <v>261</v>
      </c>
      <c r="W541" s="3">
        <v>0</v>
      </c>
      <c r="X541" s="3">
        <v>268</v>
      </c>
      <c r="Y541" s="3">
        <v>0</v>
      </c>
      <c r="Z541" s="3">
        <v>0</v>
      </c>
      <c r="AA541" s="3">
        <v>268</v>
      </c>
      <c r="AB541" s="3">
        <v>376</v>
      </c>
      <c r="AC541" s="192">
        <v>0</v>
      </c>
      <c r="AF541" s="193">
        <v>4.3055555555555555E-2</v>
      </c>
      <c r="AG541" s="193">
        <v>5.9722222222222225E-2</v>
      </c>
      <c r="AH541" s="193">
        <v>0.33750000000000002</v>
      </c>
    </row>
    <row r="542" spans="1:34" x14ac:dyDescent="0.25">
      <c r="A542" s="3" t="s">
        <v>399</v>
      </c>
      <c r="B542" s="3">
        <v>136955</v>
      </c>
      <c r="C542" s="3">
        <v>942207</v>
      </c>
      <c r="D542" s="3" t="s">
        <v>3526</v>
      </c>
      <c r="E542" s="3">
        <v>7</v>
      </c>
      <c r="F542" s="3">
        <v>4</v>
      </c>
      <c r="G542" s="3">
        <v>7</v>
      </c>
      <c r="H542" s="55" t="s">
        <v>289</v>
      </c>
      <c r="I542" s="3" t="s">
        <v>279</v>
      </c>
      <c r="J542" s="135">
        <v>46241</v>
      </c>
      <c r="K542" s="3" t="s">
        <v>5363</v>
      </c>
      <c r="L542" s="3">
        <v>1804</v>
      </c>
      <c r="M542" s="3">
        <v>84011</v>
      </c>
      <c r="N542" s="3" t="s">
        <v>5221</v>
      </c>
      <c r="R542" s="3">
        <v>9</v>
      </c>
      <c r="S542" s="3" t="s">
        <v>5222</v>
      </c>
      <c r="T542" s="3" t="s">
        <v>5223</v>
      </c>
      <c r="U542" s="3">
        <v>37</v>
      </c>
      <c r="V542" s="3">
        <v>261</v>
      </c>
      <c r="W542" s="3">
        <v>0</v>
      </c>
      <c r="X542" s="3">
        <v>720</v>
      </c>
      <c r="Y542" s="3">
        <v>112</v>
      </c>
      <c r="Z542" s="3">
        <v>0</v>
      </c>
      <c r="AA542" s="3">
        <v>608</v>
      </c>
      <c r="AB542" s="3">
        <v>984</v>
      </c>
      <c r="AC542" s="192">
        <v>8.3333333333333332E-3</v>
      </c>
      <c r="AD542" s="3" t="s">
        <v>292</v>
      </c>
      <c r="AF542" s="193">
        <v>9.7222222222222224E-2</v>
      </c>
      <c r="AG542" s="193">
        <v>0.15694444444444444</v>
      </c>
      <c r="AH542" s="193">
        <v>0.44305555555555554</v>
      </c>
    </row>
    <row r="543" spans="1:34" x14ac:dyDescent="0.25">
      <c r="A543" s="3" t="s">
        <v>399</v>
      </c>
      <c r="B543" s="3">
        <v>136955</v>
      </c>
      <c r="C543" s="3">
        <v>942207</v>
      </c>
      <c r="D543" s="3" t="s">
        <v>3526</v>
      </c>
      <c r="E543" s="3">
        <v>7</v>
      </c>
      <c r="F543" s="3">
        <v>5</v>
      </c>
      <c r="G543" s="3">
        <v>8</v>
      </c>
      <c r="H543" s="55" t="s">
        <v>289</v>
      </c>
      <c r="I543" s="3" t="s">
        <v>279</v>
      </c>
      <c r="J543" s="135">
        <v>46241</v>
      </c>
      <c r="L543" s="3">
        <v>1804</v>
      </c>
      <c r="M543" s="3">
        <v>84011</v>
      </c>
      <c r="N543" s="3" t="s">
        <v>5221</v>
      </c>
      <c r="R543" s="3">
        <v>9</v>
      </c>
      <c r="S543" s="3" t="s">
        <v>5222</v>
      </c>
      <c r="T543" s="3" t="s">
        <v>5223</v>
      </c>
      <c r="U543" s="3">
        <v>38</v>
      </c>
      <c r="V543" s="3">
        <v>261</v>
      </c>
      <c r="W543" s="3">
        <v>0</v>
      </c>
      <c r="X543" s="3">
        <v>504</v>
      </c>
      <c r="Y543" s="3">
        <v>0</v>
      </c>
      <c r="Z543" s="3">
        <v>0</v>
      </c>
      <c r="AA543" s="3">
        <v>504</v>
      </c>
      <c r="AB543" s="3">
        <v>1488</v>
      </c>
      <c r="AC543" s="192">
        <v>0.05</v>
      </c>
      <c r="AD543" s="3" t="s">
        <v>294</v>
      </c>
      <c r="AE543" s="3" t="s">
        <v>5292</v>
      </c>
      <c r="AF543" s="193">
        <v>8.0555555555555561E-2</v>
      </c>
      <c r="AG543" s="193">
        <v>0.23749999999999999</v>
      </c>
      <c r="AH543" s="193">
        <v>0.57361111111111107</v>
      </c>
    </row>
    <row r="544" spans="1:34" x14ac:dyDescent="0.25">
      <c r="A544" s="3" t="s">
        <v>399</v>
      </c>
      <c r="B544" s="3">
        <v>136955</v>
      </c>
      <c r="C544" s="3">
        <v>942207</v>
      </c>
      <c r="D544" s="3" t="s">
        <v>3526</v>
      </c>
      <c r="E544" s="3">
        <v>7</v>
      </c>
      <c r="F544" s="3">
        <v>6</v>
      </c>
      <c r="G544" s="3">
        <v>9</v>
      </c>
      <c r="H544" s="55" t="s">
        <v>289</v>
      </c>
      <c r="I544" s="3" t="s">
        <v>279</v>
      </c>
      <c r="J544" s="135">
        <v>46241</v>
      </c>
      <c r="L544" s="3">
        <v>1804</v>
      </c>
      <c r="M544" s="3">
        <v>84011</v>
      </c>
      <c r="N544" s="3" t="s">
        <v>5221</v>
      </c>
      <c r="R544" s="3">
        <v>9</v>
      </c>
      <c r="S544" s="3" t="s">
        <v>5222</v>
      </c>
      <c r="T544" s="3" t="s">
        <v>5223</v>
      </c>
      <c r="U544" s="3" t="s">
        <v>280</v>
      </c>
      <c r="V544" s="3">
        <v>261</v>
      </c>
      <c r="W544" s="3">
        <v>0</v>
      </c>
      <c r="X544" s="3">
        <v>170</v>
      </c>
      <c r="Y544" s="3">
        <v>0</v>
      </c>
      <c r="Z544" s="3">
        <v>0</v>
      </c>
      <c r="AA544" s="3">
        <v>170</v>
      </c>
      <c r="AB544" s="3">
        <v>1658</v>
      </c>
      <c r="AC544" s="192">
        <v>0</v>
      </c>
      <c r="AF544" s="193">
        <v>2.7083333333333334E-2</v>
      </c>
      <c r="AG544" s="193">
        <v>0.26458333333333334</v>
      </c>
      <c r="AH544" s="193">
        <v>0.60069444444444442</v>
      </c>
    </row>
    <row r="545" spans="1:34" x14ac:dyDescent="0.25">
      <c r="A545" s="3" t="s">
        <v>399</v>
      </c>
      <c r="B545" s="3">
        <v>136961</v>
      </c>
      <c r="C545" s="3">
        <v>942207</v>
      </c>
      <c r="D545" s="3" t="s">
        <v>3526</v>
      </c>
      <c r="E545" s="3">
        <v>7</v>
      </c>
      <c r="F545" s="3">
        <v>7</v>
      </c>
      <c r="G545" s="3">
        <v>9</v>
      </c>
      <c r="H545" s="55" t="s">
        <v>289</v>
      </c>
      <c r="I545" s="3" t="s">
        <v>279</v>
      </c>
      <c r="J545" s="135">
        <v>46241</v>
      </c>
      <c r="L545" s="3">
        <v>1804</v>
      </c>
      <c r="M545" s="3">
        <v>84011</v>
      </c>
      <c r="N545" s="3" t="s">
        <v>5221</v>
      </c>
      <c r="R545" s="3">
        <v>9</v>
      </c>
      <c r="S545" s="3" t="s">
        <v>5325</v>
      </c>
      <c r="T545" s="3" t="s">
        <v>5194</v>
      </c>
      <c r="U545" s="3" t="s">
        <v>280</v>
      </c>
      <c r="V545" s="3">
        <v>261</v>
      </c>
      <c r="W545" s="3">
        <v>0</v>
      </c>
      <c r="X545" s="3">
        <v>188</v>
      </c>
      <c r="Y545" s="3">
        <v>0</v>
      </c>
      <c r="Z545" s="3">
        <v>0</v>
      </c>
      <c r="AA545" s="3">
        <v>188</v>
      </c>
      <c r="AB545" s="3">
        <v>1846</v>
      </c>
      <c r="AC545" s="192">
        <v>0</v>
      </c>
      <c r="AF545" s="193">
        <v>2.9861111111111113E-2</v>
      </c>
      <c r="AG545" s="193">
        <v>0.29444444444444445</v>
      </c>
      <c r="AH545" s="193">
        <v>0.63055555555555554</v>
      </c>
    </row>
    <row r="546" spans="1:34" x14ac:dyDescent="0.25">
      <c r="A546" s="3" t="s">
        <v>399</v>
      </c>
      <c r="B546" s="3">
        <v>136961</v>
      </c>
      <c r="C546" s="3">
        <v>942207</v>
      </c>
      <c r="D546" s="3" t="s">
        <v>3526</v>
      </c>
      <c r="E546" s="3">
        <v>7</v>
      </c>
      <c r="F546" s="3">
        <v>8</v>
      </c>
      <c r="G546" s="3">
        <v>4</v>
      </c>
      <c r="H546" s="55" t="s">
        <v>289</v>
      </c>
      <c r="I546" s="3" t="s">
        <v>279</v>
      </c>
      <c r="J546" s="135">
        <v>46241</v>
      </c>
      <c r="L546" s="3">
        <v>1804</v>
      </c>
      <c r="M546" s="3">
        <v>84011</v>
      </c>
      <c r="N546" s="3" t="s">
        <v>5221</v>
      </c>
      <c r="R546" s="3">
        <v>9</v>
      </c>
      <c r="S546" s="3" t="s">
        <v>5325</v>
      </c>
      <c r="T546" s="3" t="s">
        <v>5194</v>
      </c>
      <c r="U546" s="3" t="s">
        <v>298</v>
      </c>
      <c r="V546" s="3">
        <v>261</v>
      </c>
      <c r="W546" s="3">
        <v>0</v>
      </c>
      <c r="X546" s="3">
        <v>50</v>
      </c>
      <c r="Y546" s="3">
        <v>0</v>
      </c>
      <c r="Z546" s="3">
        <v>0</v>
      </c>
      <c r="AA546" s="3">
        <v>50</v>
      </c>
      <c r="AB546" s="3">
        <v>1896</v>
      </c>
      <c r="AC546" s="192">
        <v>0</v>
      </c>
      <c r="AF546" s="193">
        <v>7.6388888888888886E-3</v>
      </c>
      <c r="AG546" s="193">
        <v>0.30277777777777776</v>
      </c>
      <c r="AH546" s="193">
        <v>0.64513888888888893</v>
      </c>
    </row>
    <row r="547" spans="1:34" x14ac:dyDescent="0.25">
      <c r="A547" s="3" t="s">
        <v>399</v>
      </c>
      <c r="B547" s="3">
        <v>136961</v>
      </c>
      <c r="C547" s="3">
        <v>942207</v>
      </c>
      <c r="D547" s="3" t="s">
        <v>3526</v>
      </c>
      <c r="E547" s="3">
        <v>7</v>
      </c>
      <c r="F547" s="3">
        <v>9</v>
      </c>
      <c r="G547" s="3">
        <v>5</v>
      </c>
      <c r="H547" s="55" t="s">
        <v>289</v>
      </c>
      <c r="I547" s="3" t="s">
        <v>279</v>
      </c>
      <c r="J547" s="135">
        <v>46241</v>
      </c>
      <c r="L547" s="3">
        <v>1804</v>
      </c>
      <c r="M547" s="3">
        <v>84011</v>
      </c>
      <c r="N547" s="3" t="s">
        <v>5221</v>
      </c>
      <c r="R547" s="3">
        <v>9</v>
      </c>
      <c r="S547" s="3" t="s">
        <v>5325</v>
      </c>
      <c r="T547" s="3" t="s">
        <v>5194</v>
      </c>
      <c r="U547" s="3">
        <v>35</v>
      </c>
      <c r="V547" s="3">
        <v>261</v>
      </c>
      <c r="W547" s="3">
        <v>0</v>
      </c>
      <c r="X547" s="3">
        <v>274</v>
      </c>
      <c r="Y547" s="3">
        <v>0</v>
      </c>
      <c r="Z547" s="3">
        <v>0</v>
      </c>
      <c r="AA547" s="3">
        <v>274</v>
      </c>
      <c r="AB547" s="3">
        <v>2170</v>
      </c>
      <c r="AC547" s="192">
        <v>0</v>
      </c>
      <c r="AF547" s="193">
        <v>4.3749999999999997E-2</v>
      </c>
      <c r="AG547" s="193">
        <v>0.34652777777777777</v>
      </c>
      <c r="AH547" s="193">
        <v>0.68888888888888888</v>
      </c>
    </row>
    <row r="548" spans="1:34" x14ac:dyDescent="0.25">
      <c r="A548" s="3" t="s">
        <v>399</v>
      </c>
      <c r="B548" s="3">
        <v>136961</v>
      </c>
      <c r="C548" s="3">
        <v>942207</v>
      </c>
      <c r="D548" s="3" t="s">
        <v>3526</v>
      </c>
      <c r="E548" s="3">
        <v>7</v>
      </c>
      <c r="F548" s="3">
        <v>10</v>
      </c>
      <c r="G548" s="3">
        <v>6</v>
      </c>
      <c r="H548" s="55" t="s">
        <v>289</v>
      </c>
      <c r="I548" s="3" t="s">
        <v>279</v>
      </c>
      <c r="J548" s="135">
        <v>46241</v>
      </c>
      <c r="L548" s="3">
        <v>1804</v>
      </c>
      <c r="M548" s="3">
        <v>84011</v>
      </c>
      <c r="N548" s="3" t="s">
        <v>5221</v>
      </c>
      <c r="R548" s="3">
        <v>9</v>
      </c>
      <c r="S548" s="3" t="s">
        <v>5325</v>
      </c>
      <c r="T548" s="3" t="s">
        <v>5194</v>
      </c>
      <c r="U548" s="3">
        <v>36</v>
      </c>
      <c r="V548" s="3">
        <v>261</v>
      </c>
      <c r="W548" s="3">
        <v>0</v>
      </c>
      <c r="X548" s="3">
        <v>638</v>
      </c>
      <c r="Y548" s="3">
        <v>0</v>
      </c>
      <c r="Z548" s="3">
        <v>0</v>
      </c>
      <c r="AA548" s="3">
        <v>638</v>
      </c>
      <c r="AB548" s="3">
        <v>2808</v>
      </c>
      <c r="AC548" s="192">
        <v>8.3333333333333332E-3</v>
      </c>
      <c r="AD548" s="3" t="s">
        <v>292</v>
      </c>
      <c r="AF548" s="193">
        <v>0.10208333333333333</v>
      </c>
      <c r="AG548" s="193">
        <v>0.44861111111111113</v>
      </c>
      <c r="AH548" s="193">
        <v>0.7993055555555556</v>
      </c>
    </row>
    <row r="549" spans="1:34" x14ac:dyDescent="0.25">
      <c r="A549" s="3" t="s">
        <v>399</v>
      </c>
      <c r="B549" s="3">
        <v>136961</v>
      </c>
      <c r="C549" s="3">
        <v>942207</v>
      </c>
      <c r="D549" s="3" t="s">
        <v>3526</v>
      </c>
      <c r="E549" s="3">
        <v>7</v>
      </c>
      <c r="F549" s="3">
        <v>11</v>
      </c>
      <c r="G549" s="3">
        <v>7</v>
      </c>
      <c r="H549" s="55" t="s">
        <v>289</v>
      </c>
      <c r="I549" s="3" t="s">
        <v>279</v>
      </c>
      <c r="J549" s="135">
        <v>46241</v>
      </c>
      <c r="L549" s="3">
        <v>1804</v>
      </c>
      <c r="M549" s="3">
        <v>84011</v>
      </c>
      <c r="N549" s="3" t="s">
        <v>5221</v>
      </c>
      <c r="R549" s="3">
        <v>9</v>
      </c>
      <c r="S549" s="3" t="s">
        <v>5325</v>
      </c>
      <c r="T549" s="3" t="s">
        <v>5194</v>
      </c>
      <c r="U549" s="3">
        <v>37</v>
      </c>
      <c r="V549" s="3">
        <v>261</v>
      </c>
      <c r="W549" s="3">
        <v>0</v>
      </c>
      <c r="X549" s="3">
        <v>775</v>
      </c>
      <c r="Y549" s="3">
        <v>0</v>
      </c>
      <c r="Z549" s="3">
        <v>0</v>
      </c>
      <c r="AA549" s="3">
        <v>775</v>
      </c>
      <c r="AB549" s="3">
        <v>3583</v>
      </c>
      <c r="AC549" s="192">
        <v>4.1666666666666664E-2</v>
      </c>
      <c r="AD549" s="3" t="s">
        <v>294</v>
      </c>
      <c r="AE549" s="3" t="s">
        <v>295</v>
      </c>
      <c r="AF549" s="193">
        <v>0.12361111111111112</v>
      </c>
      <c r="AG549" s="193">
        <v>0.57222222222222219</v>
      </c>
      <c r="AH549" s="193">
        <v>0.96458333333333335</v>
      </c>
    </row>
    <row r="550" spans="1:34" x14ac:dyDescent="0.25">
      <c r="A550" s="3" t="s">
        <v>3401</v>
      </c>
      <c r="B550" s="3">
        <v>148835</v>
      </c>
      <c r="C550" s="3">
        <v>370807</v>
      </c>
      <c r="D550" s="3" t="s">
        <v>3526</v>
      </c>
      <c r="E550" s="3">
        <v>4</v>
      </c>
      <c r="F550" s="3">
        <v>1</v>
      </c>
      <c r="G550" s="3">
        <v>3</v>
      </c>
      <c r="H550" s="55" t="s">
        <v>289</v>
      </c>
      <c r="I550" s="3" t="s">
        <v>279</v>
      </c>
      <c r="J550" s="3" t="s">
        <v>5291</v>
      </c>
      <c r="L550" s="3">
        <v>1830</v>
      </c>
      <c r="M550" s="3">
        <v>27241</v>
      </c>
      <c r="N550" s="3" t="s">
        <v>5443</v>
      </c>
      <c r="R550" s="3">
        <v>11</v>
      </c>
      <c r="S550" s="3" t="s">
        <v>4833</v>
      </c>
      <c r="T550" s="3" t="s">
        <v>5111</v>
      </c>
      <c r="U550" s="3">
        <v>38</v>
      </c>
      <c r="V550" s="3">
        <v>304</v>
      </c>
      <c r="W550" s="3">
        <v>0</v>
      </c>
      <c r="X550" s="3">
        <v>20</v>
      </c>
      <c r="Y550" s="3">
        <v>0</v>
      </c>
      <c r="Z550" s="3">
        <v>0</v>
      </c>
      <c r="AA550" s="3">
        <v>20</v>
      </c>
      <c r="AB550" s="3">
        <v>20</v>
      </c>
      <c r="AC550" s="192">
        <v>0</v>
      </c>
      <c r="AF550" s="193">
        <v>2.7777777777777779E-3</v>
      </c>
      <c r="AG550" s="193">
        <v>2.7777777777777779E-3</v>
      </c>
      <c r="AH550" s="193">
        <v>0.27986111111111112</v>
      </c>
    </row>
    <row r="551" spans="1:34" x14ac:dyDescent="0.25">
      <c r="A551" s="3" t="s">
        <v>3401</v>
      </c>
      <c r="B551" s="3">
        <v>148841</v>
      </c>
      <c r="C551" s="3">
        <v>370807</v>
      </c>
      <c r="D551" s="3" t="s">
        <v>3526</v>
      </c>
      <c r="E551" s="3">
        <v>4</v>
      </c>
      <c r="F551" s="3">
        <v>2</v>
      </c>
      <c r="G551" s="3">
        <v>3</v>
      </c>
      <c r="H551" s="55" t="s">
        <v>289</v>
      </c>
      <c r="I551" s="3" t="s">
        <v>279</v>
      </c>
      <c r="J551" s="3" t="s">
        <v>5291</v>
      </c>
      <c r="L551" s="3">
        <v>1802</v>
      </c>
      <c r="M551" s="3">
        <v>27275</v>
      </c>
      <c r="N551" s="3" t="s">
        <v>5444</v>
      </c>
      <c r="R551" s="3">
        <v>12</v>
      </c>
      <c r="S551" s="3" t="s">
        <v>4853</v>
      </c>
      <c r="T551" s="3" t="s">
        <v>5442</v>
      </c>
      <c r="U551" s="3">
        <v>38</v>
      </c>
      <c r="V551" s="3">
        <v>360</v>
      </c>
      <c r="W551" s="3">
        <v>0</v>
      </c>
      <c r="X551" s="3">
        <v>30</v>
      </c>
      <c r="Y551" s="3">
        <v>0</v>
      </c>
      <c r="Z551" s="3">
        <v>0</v>
      </c>
      <c r="AA551" s="3">
        <v>30</v>
      </c>
      <c r="AB551" s="3">
        <v>50</v>
      </c>
      <c r="AC551" s="192">
        <v>0</v>
      </c>
      <c r="AF551" s="193">
        <v>3.472222222222222E-3</v>
      </c>
      <c r="AG551" s="193">
        <v>6.2500000000000003E-3</v>
      </c>
      <c r="AH551" s="193">
        <v>0.28333333333333333</v>
      </c>
    </row>
    <row r="552" spans="1:34" x14ac:dyDescent="0.25">
      <c r="A552" s="3" t="s">
        <v>5445</v>
      </c>
      <c r="B552" s="3">
        <v>135775</v>
      </c>
      <c r="C552" s="3">
        <v>943007</v>
      </c>
      <c r="D552" s="3" t="s">
        <v>5288</v>
      </c>
      <c r="E552" s="3">
        <v>1</v>
      </c>
      <c r="F552" s="3">
        <v>1</v>
      </c>
      <c r="G552" s="3">
        <v>3</v>
      </c>
      <c r="H552" s="55" t="s">
        <v>289</v>
      </c>
      <c r="I552" s="3" t="s">
        <v>5358</v>
      </c>
      <c r="J552" s="135">
        <v>46210</v>
      </c>
      <c r="L552" s="3">
        <v>1819</v>
      </c>
      <c r="M552" s="3">
        <v>19442</v>
      </c>
      <c r="N552" s="3" t="s">
        <v>5432</v>
      </c>
      <c r="R552" s="3">
        <v>12</v>
      </c>
      <c r="S552" s="3" t="s">
        <v>5446</v>
      </c>
      <c r="T552" s="3" t="s">
        <v>5267</v>
      </c>
      <c r="U552" s="3">
        <v>28</v>
      </c>
      <c r="V552" s="3">
        <v>210</v>
      </c>
      <c r="W552" s="3">
        <v>0</v>
      </c>
      <c r="X552" s="3">
        <v>532</v>
      </c>
      <c r="Y552" s="3">
        <v>0</v>
      </c>
      <c r="Z552" s="3">
        <v>0</v>
      </c>
      <c r="AA552" s="3">
        <v>532</v>
      </c>
      <c r="AB552" s="3">
        <v>532</v>
      </c>
      <c r="AC552" s="192">
        <v>8.3333333333333332E-3</v>
      </c>
      <c r="AD552" s="3" t="s">
        <v>292</v>
      </c>
      <c r="AF552" s="193">
        <v>0.10555555555555556</v>
      </c>
      <c r="AG552" s="193">
        <v>0.10555555555555556</v>
      </c>
      <c r="AH552" s="193">
        <v>0.39097222222222222</v>
      </c>
    </row>
    <row r="553" spans="1:34" x14ac:dyDescent="0.25">
      <c r="A553" s="3" t="s">
        <v>5445</v>
      </c>
      <c r="B553" s="3">
        <v>135775</v>
      </c>
      <c r="C553" s="3">
        <v>943007</v>
      </c>
      <c r="D553" s="3" t="s">
        <v>5288</v>
      </c>
      <c r="E553" s="3">
        <v>1</v>
      </c>
      <c r="F553" s="3">
        <v>2</v>
      </c>
      <c r="G553" s="3">
        <v>4</v>
      </c>
      <c r="H553" s="55" t="s">
        <v>289</v>
      </c>
      <c r="I553" s="3" t="s">
        <v>5358</v>
      </c>
      <c r="J553" s="135">
        <v>46210</v>
      </c>
      <c r="L553" s="3">
        <v>1819</v>
      </c>
      <c r="M553" s="3">
        <v>19442</v>
      </c>
      <c r="N553" s="3" t="s">
        <v>5432</v>
      </c>
      <c r="R553" s="3">
        <v>12</v>
      </c>
      <c r="S553" s="3" t="s">
        <v>5446</v>
      </c>
      <c r="T553" s="3" t="s">
        <v>5267</v>
      </c>
      <c r="U553" s="3">
        <v>29</v>
      </c>
      <c r="V553" s="3">
        <v>210</v>
      </c>
      <c r="W553" s="3">
        <v>0</v>
      </c>
      <c r="X553" s="3">
        <v>646</v>
      </c>
      <c r="Y553" s="3">
        <v>0</v>
      </c>
      <c r="Z553" s="3">
        <v>0</v>
      </c>
      <c r="AA553" s="3">
        <v>646</v>
      </c>
      <c r="AB553" s="3">
        <v>1178</v>
      </c>
      <c r="AC553" s="192">
        <v>4.1666666666666664E-2</v>
      </c>
      <c r="AD553" s="3" t="s">
        <v>294</v>
      </c>
      <c r="AE553" s="3" t="s">
        <v>295</v>
      </c>
      <c r="AF553" s="193">
        <v>0.12847222222222221</v>
      </c>
      <c r="AG553" s="193">
        <v>0.23402777777777778</v>
      </c>
      <c r="AH553" s="193">
        <v>0.56111111111111112</v>
      </c>
    </row>
    <row r="554" spans="1:34" x14ac:dyDescent="0.25">
      <c r="A554" s="3" t="s">
        <v>5445</v>
      </c>
      <c r="B554" s="3">
        <v>135775</v>
      </c>
      <c r="C554" s="3">
        <v>943007</v>
      </c>
      <c r="D554" s="3" t="s">
        <v>5288</v>
      </c>
      <c r="E554" s="3">
        <v>1</v>
      </c>
      <c r="F554" s="3">
        <v>3</v>
      </c>
      <c r="G554" s="3">
        <v>5</v>
      </c>
      <c r="H554" s="55" t="s">
        <v>289</v>
      </c>
      <c r="I554" s="3" t="s">
        <v>5358</v>
      </c>
      <c r="J554" s="135">
        <v>46210</v>
      </c>
      <c r="L554" s="3">
        <v>1819</v>
      </c>
      <c r="M554" s="3">
        <v>19442</v>
      </c>
      <c r="N554" s="3" t="s">
        <v>5432</v>
      </c>
      <c r="R554" s="3">
        <v>12</v>
      </c>
      <c r="S554" s="3" t="s">
        <v>5446</v>
      </c>
      <c r="T554" s="3" t="s">
        <v>5267</v>
      </c>
      <c r="U554" s="3">
        <v>30</v>
      </c>
      <c r="V554" s="3">
        <v>210</v>
      </c>
      <c r="W554" s="3">
        <v>0</v>
      </c>
      <c r="X554" s="3">
        <v>654</v>
      </c>
      <c r="Y554" s="3">
        <v>0</v>
      </c>
      <c r="Z554" s="3">
        <v>0</v>
      </c>
      <c r="AA554" s="3">
        <v>654</v>
      </c>
      <c r="AB554" s="3">
        <v>1832</v>
      </c>
      <c r="AC554" s="192">
        <v>8.3333333333333332E-3</v>
      </c>
      <c r="AD554" s="3" t="s">
        <v>404</v>
      </c>
      <c r="AF554" s="193">
        <v>0.12986111111111112</v>
      </c>
      <c r="AG554" s="193">
        <v>0.36319444444444443</v>
      </c>
      <c r="AH554" s="193">
        <v>0.70625000000000004</v>
      </c>
    </row>
    <row r="555" spans="1:34" x14ac:dyDescent="0.25">
      <c r="A555" s="3" t="s">
        <v>5445</v>
      </c>
      <c r="B555" s="3">
        <v>135775</v>
      </c>
      <c r="C555" s="3">
        <v>943007</v>
      </c>
      <c r="D555" s="3" t="s">
        <v>5288</v>
      </c>
      <c r="E555" s="3">
        <v>1</v>
      </c>
      <c r="F555" s="3">
        <v>4</v>
      </c>
      <c r="G555" s="3">
        <v>6</v>
      </c>
      <c r="H555" s="55" t="s">
        <v>289</v>
      </c>
      <c r="I555" s="3" t="s">
        <v>5358</v>
      </c>
      <c r="J555" s="135">
        <v>46210</v>
      </c>
      <c r="L555" s="3">
        <v>1819</v>
      </c>
      <c r="M555" s="3">
        <v>19442</v>
      </c>
      <c r="N555" s="3" t="s">
        <v>5432</v>
      </c>
      <c r="R555" s="3">
        <v>12</v>
      </c>
      <c r="S555" s="3" t="s">
        <v>5446</v>
      </c>
      <c r="T555" s="3" t="s">
        <v>5267</v>
      </c>
      <c r="U555" s="3">
        <v>31</v>
      </c>
      <c r="V555" s="3">
        <v>210</v>
      </c>
      <c r="W555" s="3">
        <v>0</v>
      </c>
      <c r="X555" s="3">
        <v>670</v>
      </c>
      <c r="Y555" s="3">
        <v>0</v>
      </c>
      <c r="Z555" s="3">
        <v>0</v>
      </c>
      <c r="AA555" s="3">
        <v>670</v>
      </c>
      <c r="AB555" s="3">
        <v>2502</v>
      </c>
      <c r="AC555" s="192">
        <v>0.05</v>
      </c>
      <c r="AD555" s="3" t="s">
        <v>285</v>
      </c>
      <c r="AE555" s="3" t="s">
        <v>286</v>
      </c>
      <c r="AF555" s="193">
        <v>0.13263888888888889</v>
      </c>
      <c r="AG555" s="193">
        <v>0.49652777777777779</v>
      </c>
      <c r="AH555" s="193">
        <v>0.88888888888888884</v>
      </c>
    </row>
    <row r="556" spans="1:34" x14ac:dyDescent="0.25">
      <c r="A556" s="3" t="s">
        <v>5447</v>
      </c>
      <c r="B556" s="3">
        <v>114773</v>
      </c>
      <c r="C556" s="3">
        <v>941208</v>
      </c>
      <c r="D556" s="3" t="s">
        <v>5288</v>
      </c>
      <c r="E556" s="3">
        <v>4</v>
      </c>
      <c r="F556" s="3">
        <v>1</v>
      </c>
      <c r="G556" s="3">
        <v>3</v>
      </c>
      <c r="H556" s="55" t="s">
        <v>289</v>
      </c>
      <c r="I556" s="3" t="s">
        <v>5358</v>
      </c>
      <c r="J556" s="3" t="s">
        <v>5448</v>
      </c>
      <c r="L556" s="3">
        <v>1816</v>
      </c>
      <c r="M556" s="3">
        <v>12742</v>
      </c>
      <c r="N556" s="3" t="s">
        <v>5449</v>
      </c>
      <c r="R556" s="3">
        <v>8</v>
      </c>
      <c r="S556" s="3" t="s">
        <v>348</v>
      </c>
      <c r="T556" s="3" t="s">
        <v>5399</v>
      </c>
      <c r="U556" s="3" t="s">
        <v>284</v>
      </c>
      <c r="V556" s="3">
        <v>385</v>
      </c>
      <c r="W556" s="3">
        <v>0</v>
      </c>
      <c r="X556" s="3">
        <v>268</v>
      </c>
      <c r="Y556" s="3">
        <v>0</v>
      </c>
      <c r="Z556" s="3">
        <v>0</v>
      </c>
      <c r="AA556" s="3">
        <v>268</v>
      </c>
      <c r="AB556" s="3">
        <v>268</v>
      </c>
      <c r="AC556" s="192">
        <v>0</v>
      </c>
      <c r="AF556" s="193">
        <v>2.9166666666666667E-2</v>
      </c>
      <c r="AG556" s="193">
        <v>2.9166666666666667E-2</v>
      </c>
      <c r="AH556" s="193">
        <v>0.30625000000000002</v>
      </c>
    </row>
    <row r="557" spans="1:34" x14ac:dyDescent="0.25">
      <c r="A557" s="3" t="s">
        <v>5447</v>
      </c>
      <c r="B557" s="3">
        <v>114773</v>
      </c>
      <c r="C557" s="3">
        <v>941208</v>
      </c>
      <c r="D557" s="3" t="s">
        <v>5288</v>
      </c>
      <c r="E557" s="3">
        <v>4</v>
      </c>
      <c r="F557" s="3">
        <v>2</v>
      </c>
      <c r="G557" s="3">
        <v>4</v>
      </c>
      <c r="H557" s="55" t="s">
        <v>289</v>
      </c>
      <c r="I557" s="3" t="s">
        <v>5358</v>
      </c>
      <c r="J557" s="3" t="s">
        <v>5448</v>
      </c>
      <c r="L557" s="3">
        <v>1816</v>
      </c>
      <c r="M557" s="3">
        <v>12742</v>
      </c>
      <c r="N557" s="3" t="s">
        <v>5449</v>
      </c>
      <c r="R557" s="3">
        <v>8</v>
      </c>
      <c r="S557" s="3" t="s">
        <v>348</v>
      </c>
      <c r="T557" s="3" t="s">
        <v>5399</v>
      </c>
      <c r="U557" s="3" t="s">
        <v>280</v>
      </c>
      <c r="V557" s="3">
        <v>385</v>
      </c>
      <c r="W557" s="3">
        <v>0</v>
      </c>
      <c r="X557" s="3">
        <v>696</v>
      </c>
      <c r="Y557" s="3">
        <v>0</v>
      </c>
      <c r="Z557" s="3">
        <v>0</v>
      </c>
      <c r="AA557" s="3">
        <v>696</v>
      </c>
      <c r="AB557" s="3">
        <v>964</v>
      </c>
      <c r="AC557" s="192">
        <v>8.3333333333333332E-3</v>
      </c>
      <c r="AD557" s="3" t="s">
        <v>292</v>
      </c>
      <c r="AF557" s="193">
        <v>7.4999999999999997E-2</v>
      </c>
      <c r="AG557" s="193">
        <v>0.10416666666666667</v>
      </c>
      <c r="AH557" s="193">
        <v>0.38958333333333334</v>
      </c>
    </row>
    <row r="558" spans="1:34" x14ac:dyDescent="0.25">
      <c r="A558" s="3" t="s">
        <v>5447</v>
      </c>
      <c r="B558" s="3">
        <v>114773</v>
      </c>
      <c r="C558" s="3">
        <v>941208</v>
      </c>
      <c r="D558" s="3" t="s">
        <v>5288</v>
      </c>
      <c r="E558" s="3">
        <v>4</v>
      </c>
      <c r="F558" s="3">
        <v>3</v>
      </c>
      <c r="G558" s="3">
        <v>5</v>
      </c>
      <c r="H558" s="55" t="s">
        <v>289</v>
      </c>
      <c r="I558" s="3" t="s">
        <v>5358</v>
      </c>
      <c r="J558" s="3" t="s">
        <v>5448</v>
      </c>
      <c r="L558" s="3">
        <v>1816</v>
      </c>
      <c r="M558" s="3">
        <v>12742</v>
      </c>
      <c r="N558" s="3" t="s">
        <v>5449</v>
      </c>
      <c r="R558" s="3">
        <v>8</v>
      </c>
      <c r="S558" s="3" t="s">
        <v>348</v>
      </c>
      <c r="T558" s="3" t="s">
        <v>5399</v>
      </c>
      <c r="U558" s="3" t="s">
        <v>5109</v>
      </c>
      <c r="V558" s="3">
        <v>385</v>
      </c>
      <c r="W558" s="3">
        <v>0</v>
      </c>
      <c r="X558" s="3">
        <v>790</v>
      </c>
      <c r="Y558" s="3">
        <v>0</v>
      </c>
      <c r="Z558" s="3">
        <v>0</v>
      </c>
      <c r="AA558" s="3">
        <v>790</v>
      </c>
      <c r="AB558" s="3">
        <v>1754</v>
      </c>
      <c r="AC558" s="192">
        <v>4.1666666666666664E-2</v>
      </c>
      <c r="AD558" s="3" t="s">
        <v>294</v>
      </c>
      <c r="AE558" s="3" t="s">
        <v>295</v>
      </c>
      <c r="AF558" s="193">
        <v>8.5416666666666669E-2</v>
      </c>
      <c r="AG558" s="193">
        <v>0.18958333333333333</v>
      </c>
      <c r="AH558" s="193">
        <v>0.51666666666666672</v>
      </c>
    </row>
    <row r="559" spans="1:34" x14ac:dyDescent="0.25">
      <c r="A559" s="3" t="s">
        <v>5447</v>
      </c>
      <c r="B559" s="3">
        <v>114773</v>
      </c>
      <c r="C559" s="3">
        <v>941208</v>
      </c>
      <c r="D559" s="3" t="s">
        <v>5288</v>
      </c>
      <c r="E559" s="3">
        <v>4</v>
      </c>
      <c r="F559" s="3">
        <v>4</v>
      </c>
      <c r="G559" s="3">
        <v>6</v>
      </c>
      <c r="H559" s="55" t="s">
        <v>289</v>
      </c>
      <c r="I559" s="3" t="s">
        <v>5358</v>
      </c>
      <c r="J559" s="3" t="s">
        <v>5448</v>
      </c>
      <c r="L559" s="3">
        <v>1816</v>
      </c>
      <c r="M559" s="3">
        <v>12742</v>
      </c>
      <c r="N559" s="3" t="s">
        <v>5449</v>
      </c>
      <c r="R559" s="3">
        <v>8</v>
      </c>
      <c r="S559" s="3" t="s">
        <v>348</v>
      </c>
      <c r="T559" s="3" t="s">
        <v>5399</v>
      </c>
      <c r="U559" s="3" t="s">
        <v>281</v>
      </c>
      <c r="V559" s="3">
        <v>385</v>
      </c>
      <c r="W559" s="3">
        <v>0</v>
      </c>
      <c r="X559" s="3">
        <v>322</v>
      </c>
      <c r="Y559" s="3">
        <v>0</v>
      </c>
      <c r="Z559" s="3">
        <v>0</v>
      </c>
      <c r="AA559" s="3">
        <v>322</v>
      </c>
      <c r="AB559" s="3">
        <v>2076</v>
      </c>
      <c r="AC559" s="192">
        <v>0</v>
      </c>
      <c r="AF559" s="193">
        <v>3.4722222222222224E-2</v>
      </c>
      <c r="AG559" s="193">
        <v>0.22500000000000001</v>
      </c>
      <c r="AH559" s="193">
        <v>0.55138888888888893</v>
      </c>
    </row>
    <row r="560" spans="1:34" x14ac:dyDescent="0.25">
      <c r="A560" s="3" t="s">
        <v>5447</v>
      </c>
      <c r="B560" s="3">
        <v>114774</v>
      </c>
      <c r="C560" s="3">
        <v>941208</v>
      </c>
      <c r="D560" s="3" t="s">
        <v>5288</v>
      </c>
      <c r="E560" s="3">
        <v>4</v>
      </c>
      <c r="F560" s="3">
        <v>5</v>
      </c>
      <c r="G560" s="3">
        <v>3</v>
      </c>
      <c r="H560" s="55" t="s">
        <v>289</v>
      </c>
      <c r="I560" s="3" t="s">
        <v>5358</v>
      </c>
      <c r="J560" s="3" t="s">
        <v>5448</v>
      </c>
      <c r="L560" s="3">
        <v>1816</v>
      </c>
      <c r="M560" s="3">
        <v>12742</v>
      </c>
      <c r="N560" s="3" t="s">
        <v>5449</v>
      </c>
      <c r="R560" s="3">
        <v>8</v>
      </c>
      <c r="S560" s="3" t="s">
        <v>349</v>
      </c>
      <c r="T560" s="3" t="s">
        <v>5450</v>
      </c>
      <c r="U560" s="3" t="s">
        <v>284</v>
      </c>
      <c r="V560" s="3">
        <v>385</v>
      </c>
      <c r="W560" s="3">
        <v>0</v>
      </c>
      <c r="X560" s="3">
        <v>116</v>
      </c>
      <c r="Y560" s="3">
        <v>0</v>
      </c>
      <c r="Z560" s="3">
        <v>0</v>
      </c>
      <c r="AA560" s="3">
        <v>116</v>
      </c>
      <c r="AB560" s="3">
        <v>2192</v>
      </c>
      <c r="AC560" s="192">
        <v>8.3333333333333332E-3</v>
      </c>
      <c r="AD560" s="3" t="s">
        <v>404</v>
      </c>
      <c r="AF560" s="193">
        <v>1.2500000000000001E-2</v>
      </c>
      <c r="AG560" s="193">
        <v>0.23749999999999999</v>
      </c>
      <c r="AH560" s="193">
        <v>0.57222222222222219</v>
      </c>
    </row>
    <row r="561" spans="1:34" x14ac:dyDescent="0.25">
      <c r="A561" s="3" t="s">
        <v>5447</v>
      </c>
      <c r="B561" s="3">
        <v>114774</v>
      </c>
      <c r="C561" s="3">
        <v>941208</v>
      </c>
      <c r="D561" s="3" t="s">
        <v>5288</v>
      </c>
      <c r="E561" s="3">
        <v>4</v>
      </c>
      <c r="F561" s="3">
        <v>6</v>
      </c>
      <c r="G561" s="3">
        <v>4</v>
      </c>
      <c r="H561" s="55" t="s">
        <v>289</v>
      </c>
      <c r="I561" s="3" t="s">
        <v>5358</v>
      </c>
      <c r="J561" s="3" t="s">
        <v>5448</v>
      </c>
      <c r="L561" s="3">
        <v>1816</v>
      </c>
      <c r="M561" s="3">
        <v>12742</v>
      </c>
      <c r="N561" s="3" t="s">
        <v>5449</v>
      </c>
      <c r="R561" s="3">
        <v>8</v>
      </c>
      <c r="S561" s="3" t="s">
        <v>349</v>
      </c>
      <c r="T561" s="3" t="s">
        <v>5450</v>
      </c>
      <c r="U561" s="3" t="s">
        <v>280</v>
      </c>
      <c r="V561" s="3">
        <v>385</v>
      </c>
      <c r="W561" s="3">
        <v>0</v>
      </c>
      <c r="X561" s="3">
        <v>322</v>
      </c>
      <c r="Y561" s="3">
        <v>0</v>
      </c>
      <c r="Z561" s="3">
        <v>0</v>
      </c>
      <c r="AA561" s="3">
        <v>322</v>
      </c>
      <c r="AB561" s="3">
        <v>2514</v>
      </c>
      <c r="AC561" s="192">
        <v>0</v>
      </c>
      <c r="AF561" s="193">
        <v>3.4722222222222224E-2</v>
      </c>
      <c r="AG561" s="193">
        <v>0.2722222222222222</v>
      </c>
      <c r="AH561" s="193">
        <v>0.6069444444444444</v>
      </c>
    </row>
    <row r="562" spans="1:34" x14ac:dyDescent="0.25">
      <c r="A562" s="3" t="s">
        <v>5447</v>
      </c>
      <c r="B562" s="3">
        <v>114774</v>
      </c>
      <c r="C562" s="3">
        <v>941208</v>
      </c>
      <c r="D562" s="3" t="s">
        <v>5288</v>
      </c>
      <c r="E562" s="3">
        <v>4</v>
      </c>
      <c r="F562" s="3">
        <v>7</v>
      </c>
      <c r="G562" s="3">
        <v>5</v>
      </c>
      <c r="H562" s="55" t="s">
        <v>289</v>
      </c>
      <c r="I562" s="3" t="s">
        <v>5358</v>
      </c>
      <c r="J562" s="3" t="s">
        <v>5448</v>
      </c>
      <c r="L562" s="3">
        <v>1816</v>
      </c>
      <c r="M562" s="3">
        <v>12742</v>
      </c>
      <c r="N562" s="3" t="s">
        <v>5449</v>
      </c>
      <c r="R562" s="3">
        <v>8</v>
      </c>
      <c r="S562" s="3" t="s">
        <v>349</v>
      </c>
      <c r="T562" s="3" t="s">
        <v>5450</v>
      </c>
      <c r="U562" s="3" t="s">
        <v>5109</v>
      </c>
      <c r="V562" s="3">
        <v>385</v>
      </c>
      <c r="W562" s="3">
        <v>0</v>
      </c>
      <c r="X562" s="3">
        <v>366</v>
      </c>
      <c r="Y562" s="3">
        <v>0</v>
      </c>
      <c r="Z562" s="3">
        <v>0</v>
      </c>
      <c r="AA562" s="3">
        <v>366</v>
      </c>
      <c r="AB562" s="3">
        <v>2880</v>
      </c>
      <c r="AC562" s="192">
        <v>0</v>
      </c>
      <c r="AF562" s="193">
        <v>3.9583333333333331E-2</v>
      </c>
      <c r="AG562" s="193">
        <v>0.31180555555555556</v>
      </c>
      <c r="AH562" s="193">
        <v>0.65347222222222223</v>
      </c>
    </row>
    <row r="563" spans="1:34" x14ac:dyDescent="0.25">
      <c r="A563" s="3" t="s">
        <v>5447</v>
      </c>
      <c r="B563" s="3">
        <v>114774</v>
      </c>
      <c r="C563" s="3">
        <v>941208</v>
      </c>
      <c r="D563" s="3" t="s">
        <v>5288</v>
      </c>
      <c r="E563" s="3">
        <v>4</v>
      </c>
      <c r="F563" s="3">
        <v>8</v>
      </c>
      <c r="G563" s="3">
        <v>6</v>
      </c>
      <c r="H563" s="55" t="s">
        <v>289</v>
      </c>
      <c r="I563" s="3" t="s">
        <v>5358</v>
      </c>
      <c r="J563" s="3" t="s">
        <v>5448</v>
      </c>
      <c r="L563" s="3">
        <v>1816</v>
      </c>
      <c r="M563" s="3">
        <v>12742</v>
      </c>
      <c r="N563" s="3" t="s">
        <v>5449</v>
      </c>
      <c r="R563" s="3">
        <v>8</v>
      </c>
      <c r="S563" s="3" t="s">
        <v>349</v>
      </c>
      <c r="T563" s="3" t="s">
        <v>5450</v>
      </c>
      <c r="U563" s="3" t="s">
        <v>281</v>
      </c>
      <c r="V563" s="3">
        <v>385</v>
      </c>
      <c r="W563" s="3">
        <v>0</v>
      </c>
      <c r="X563" s="3">
        <v>148</v>
      </c>
      <c r="Y563" s="3">
        <v>0</v>
      </c>
      <c r="Z563" s="3">
        <v>0</v>
      </c>
      <c r="AA563" s="3">
        <v>148</v>
      </c>
      <c r="AB563" s="3">
        <v>3028</v>
      </c>
      <c r="AC563" s="192">
        <v>0</v>
      </c>
      <c r="AF563" s="193">
        <v>1.5972222222222221E-2</v>
      </c>
      <c r="AG563" s="193">
        <v>0.32777777777777778</v>
      </c>
      <c r="AH563" s="193">
        <v>0.6694444444444444</v>
      </c>
    </row>
    <row r="564" spans="1:34" x14ac:dyDescent="0.25">
      <c r="A564" s="3" t="s">
        <v>5447</v>
      </c>
      <c r="B564" s="3">
        <v>114775</v>
      </c>
      <c r="C564" s="3">
        <v>941208</v>
      </c>
      <c r="D564" s="3" t="s">
        <v>5288</v>
      </c>
      <c r="E564" s="3">
        <v>4</v>
      </c>
      <c r="F564" s="3">
        <v>9</v>
      </c>
      <c r="G564" s="3">
        <v>3</v>
      </c>
      <c r="H564" s="55" t="s">
        <v>289</v>
      </c>
      <c r="I564" s="3" t="s">
        <v>5358</v>
      </c>
      <c r="J564" s="3" t="s">
        <v>5448</v>
      </c>
      <c r="L564" s="3">
        <v>1816</v>
      </c>
      <c r="M564" s="3">
        <v>12742</v>
      </c>
      <c r="N564" s="3" t="s">
        <v>5449</v>
      </c>
      <c r="R564" s="3">
        <v>8</v>
      </c>
      <c r="S564" s="3" t="s">
        <v>346</v>
      </c>
      <c r="T564" s="3" t="s">
        <v>5141</v>
      </c>
      <c r="U564" s="3" t="s">
        <v>284</v>
      </c>
      <c r="V564" s="3">
        <v>385</v>
      </c>
      <c r="W564" s="3">
        <v>0</v>
      </c>
      <c r="X564" s="3">
        <v>658</v>
      </c>
      <c r="Y564" s="3">
        <v>0</v>
      </c>
      <c r="Z564" s="3">
        <v>0</v>
      </c>
      <c r="AA564" s="3">
        <v>658</v>
      </c>
      <c r="AB564" s="3">
        <v>3686</v>
      </c>
      <c r="AC564" s="192">
        <v>0</v>
      </c>
      <c r="AF564" s="193">
        <v>7.1527777777777773E-2</v>
      </c>
      <c r="AG564" s="193">
        <v>0.39861111111111114</v>
      </c>
      <c r="AH564" s="193">
        <v>0.74097222222222225</v>
      </c>
    </row>
    <row r="565" spans="1:34" x14ac:dyDescent="0.25">
      <c r="A565" s="3" t="s">
        <v>5447</v>
      </c>
      <c r="B565" s="3">
        <v>114775</v>
      </c>
      <c r="C565" s="3">
        <v>941208</v>
      </c>
      <c r="D565" s="3" t="s">
        <v>5288</v>
      </c>
      <c r="E565" s="3">
        <v>4</v>
      </c>
      <c r="F565" s="3">
        <v>10</v>
      </c>
      <c r="G565" s="3">
        <v>4</v>
      </c>
      <c r="H565" s="55" t="s">
        <v>289</v>
      </c>
      <c r="I565" s="3" t="s">
        <v>5358</v>
      </c>
      <c r="J565" s="3" t="s">
        <v>5448</v>
      </c>
      <c r="L565" s="3">
        <v>1816</v>
      </c>
      <c r="M565" s="3">
        <v>12742</v>
      </c>
      <c r="N565" s="3" t="s">
        <v>5449</v>
      </c>
      <c r="R565" s="3">
        <v>8</v>
      </c>
      <c r="S565" s="3" t="s">
        <v>346</v>
      </c>
      <c r="T565" s="3" t="s">
        <v>5141</v>
      </c>
      <c r="U565" s="3" t="s">
        <v>280</v>
      </c>
      <c r="V565" s="3">
        <v>385</v>
      </c>
      <c r="W565" s="3">
        <v>0</v>
      </c>
      <c r="X565" s="3">
        <v>1594</v>
      </c>
      <c r="Y565" s="3">
        <v>0</v>
      </c>
      <c r="Z565" s="3">
        <v>0</v>
      </c>
      <c r="AA565" s="3">
        <v>1594</v>
      </c>
      <c r="AB565" s="3">
        <v>5280</v>
      </c>
      <c r="AC565" s="192">
        <v>0.05</v>
      </c>
      <c r="AD565" s="3" t="s">
        <v>285</v>
      </c>
      <c r="AE565" s="3" t="s">
        <v>286</v>
      </c>
      <c r="AF565" s="193">
        <v>0.17222222222222222</v>
      </c>
      <c r="AG565" s="193">
        <v>0.57152777777777775</v>
      </c>
      <c r="AH565" s="193">
        <v>0.96319444444444446</v>
      </c>
    </row>
    <row r="566" spans="1:34" x14ac:dyDescent="0.25">
      <c r="A566" s="3" t="s">
        <v>400</v>
      </c>
      <c r="B566" s="3">
        <v>125417</v>
      </c>
      <c r="C566" s="3">
        <v>941407</v>
      </c>
      <c r="D566" s="3" t="s">
        <v>3526</v>
      </c>
      <c r="E566" s="3">
        <v>5</v>
      </c>
      <c r="F566" s="3">
        <v>1</v>
      </c>
      <c r="G566" s="3">
        <v>1</v>
      </c>
      <c r="H566" s="55" t="s">
        <v>289</v>
      </c>
      <c r="I566" s="3" t="s">
        <v>279</v>
      </c>
      <c r="J566" s="135">
        <v>46029</v>
      </c>
      <c r="K566" s="3" t="s">
        <v>5108</v>
      </c>
      <c r="L566" s="3">
        <v>2160</v>
      </c>
      <c r="M566" s="3">
        <v>27576</v>
      </c>
      <c r="N566" s="3" t="s">
        <v>5226</v>
      </c>
      <c r="O566" s="3" t="s">
        <v>4754</v>
      </c>
      <c r="R566" s="3">
        <v>16</v>
      </c>
      <c r="S566" s="3" t="s">
        <v>5227</v>
      </c>
      <c r="T566" s="3" t="s">
        <v>5228</v>
      </c>
      <c r="U566" s="3">
        <v>25</v>
      </c>
      <c r="V566" s="3">
        <v>259</v>
      </c>
      <c r="W566" s="3">
        <v>0</v>
      </c>
      <c r="X566" s="3">
        <v>190</v>
      </c>
      <c r="Y566" s="3">
        <v>176</v>
      </c>
      <c r="Z566" s="3">
        <v>0</v>
      </c>
      <c r="AA566" s="3">
        <v>14</v>
      </c>
      <c r="AB566" s="3">
        <v>14</v>
      </c>
      <c r="AC566" s="192">
        <v>0</v>
      </c>
      <c r="AF566" s="193">
        <v>2.0833333333333333E-3</v>
      </c>
      <c r="AG566" s="193">
        <v>2.0833333333333333E-3</v>
      </c>
      <c r="AH566" s="193">
        <v>0.27916666666666667</v>
      </c>
    </row>
    <row r="567" spans="1:34" x14ac:dyDescent="0.25">
      <c r="A567" s="3" t="s">
        <v>400</v>
      </c>
      <c r="B567" s="3">
        <v>125416</v>
      </c>
      <c r="C567" s="3">
        <v>941407</v>
      </c>
      <c r="D567" s="3" t="s">
        <v>3526</v>
      </c>
      <c r="E567" s="3">
        <v>5</v>
      </c>
      <c r="F567" s="3">
        <v>2</v>
      </c>
      <c r="G567" s="3">
        <v>4</v>
      </c>
      <c r="H567" s="55" t="s">
        <v>289</v>
      </c>
      <c r="I567" s="3" t="s">
        <v>279</v>
      </c>
      <c r="J567" s="135">
        <v>46029</v>
      </c>
      <c r="K567" s="3" t="s">
        <v>5108</v>
      </c>
      <c r="L567" s="3">
        <v>2160</v>
      </c>
      <c r="M567" s="3">
        <v>27576</v>
      </c>
      <c r="N567" s="3" t="s">
        <v>5226</v>
      </c>
      <c r="O567" s="3" t="s">
        <v>4754</v>
      </c>
      <c r="R567" s="3">
        <v>16</v>
      </c>
      <c r="S567" s="3" t="s">
        <v>5229</v>
      </c>
      <c r="T567" s="3" t="s">
        <v>5112</v>
      </c>
      <c r="U567" s="3">
        <v>29</v>
      </c>
      <c r="V567" s="3">
        <v>259</v>
      </c>
      <c r="W567" s="3">
        <v>0</v>
      </c>
      <c r="X567" s="3">
        <v>120</v>
      </c>
      <c r="Y567" s="3">
        <v>112</v>
      </c>
      <c r="Z567" s="3">
        <v>0</v>
      </c>
      <c r="AA567" s="3">
        <v>8</v>
      </c>
      <c r="AB567" s="3">
        <v>22</v>
      </c>
      <c r="AC567" s="192">
        <v>0</v>
      </c>
      <c r="AF567" s="193">
        <v>1.3888888888888889E-3</v>
      </c>
      <c r="AG567" s="193">
        <v>3.472222222222222E-3</v>
      </c>
      <c r="AH567" s="193">
        <v>0.28055555555555556</v>
      </c>
    </row>
    <row r="568" spans="1:34" x14ac:dyDescent="0.25">
      <c r="A568" s="3" t="s">
        <v>400</v>
      </c>
      <c r="B568" s="3">
        <v>125419</v>
      </c>
      <c r="C568" s="3">
        <v>941407</v>
      </c>
      <c r="D568" s="3" t="s">
        <v>3526</v>
      </c>
      <c r="E568" s="3">
        <v>5</v>
      </c>
      <c r="F568" s="3">
        <v>3</v>
      </c>
      <c r="G568" s="3">
        <v>6</v>
      </c>
      <c r="H568" s="55" t="s">
        <v>289</v>
      </c>
      <c r="I568" s="3" t="s">
        <v>279</v>
      </c>
      <c r="J568" s="135">
        <v>46029</v>
      </c>
      <c r="K568" s="3" t="s">
        <v>5108</v>
      </c>
      <c r="L568" s="3">
        <v>2160</v>
      </c>
      <c r="M568" s="3">
        <v>27576</v>
      </c>
      <c r="N568" s="3" t="s">
        <v>5226</v>
      </c>
      <c r="O568" s="3" t="s">
        <v>4754</v>
      </c>
      <c r="R568" s="3">
        <v>16</v>
      </c>
      <c r="S568" s="3" t="s">
        <v>5230</v>
      </c>
      <c r="T568" s="3" t="s">
        <v>5168</v>
      </c>
      <c r="U568" s="3">
        <v>31</v>
      </c>
      <c r="V568" s="3">
        <v>259</v>
      </c>
      <c r="W568" s="3">
        <v>0</v>
      </c>
      <c r="X568" s="3">
        <v>180</v>
      </c>
      <c r="Y568" s="3">
        <v>168</v>
      </c>
      <c r="Z568" s="3">
        <v>0</v>
      </c>
      <c r="AA568" s="3">
        <v>12</v>
      </c>
      <c r="AB568" s="3">
        <v>34</v>
      </c>
      <c r="AC568" s="192">
        <v>0</v>
      </c>
      <c r="AF568" s="193">
        <v>2.0833333333333333E-3</v>
      </c>
      <c r="AG568" s="193">
        <v>5.5555555555555558E-3</v>
      </c>
      <c r="AH568" s="193">
        <v>0.28263888888888888</v>
      </c>
    </row>
    <row r="569" spans="1:34" x14ac:dyDescent="0.25">
      <c r="A569" s="3" t="s">
        <v>400</v>
      </c>
      <c r="B569" s="3">
        <v>135260</v>
      </c>
      <c r="C569" s="3">
        <v>941707</v>
      </c>
      <c r="D569" s="3" t="s">
        <v>3526</v>
      </c>
      <c r="E569" s="3">
        <v>6</v>
      </c>
      <c r="F569" s="3">
        <v>4</v>
      </c>
      <c r="G569" s="3">
        <v>2</v>
      </c>
      <c r="H569" s="55" t="s">
        <v>289</v>
      </c>
      <c r="I569" s="3" t="s">
        <v>279</v>
      </c>
      <c r="J569" s="135">
        <v>46210</v>
      </c>
      <c r="K569" s="3" t="s">
        <v>5291</v>
      </c>
      <c r="L569" s="3">
        <v>2160</v>
      </c>
      <c r="M569" s="3">
        <v>27572</v>
      </c>
      <c r="N569" s="3" t="s">
        <v>5225</v>
      </c>
      <c r="R569" s="3">
        <v>16</v>
      </c>
      <c r="S569" s="3" t="s">
        <v>4887</v>
      </c>
      <c r="T569" s="3" t="s">
        <v>3513</v>
      </c>
      <c r="U569" s="3">
        <v>35</v>
      </c>
      <c r="V569" s="3">
        <v>259</v>
      </c>
      <c r="W569" s="3">
        <v>0</v>
      </c>
      <c r="X569" s="3">
        <v>1400</v>
      </c>
      <c r="Y569" s="3">
        <v>1340</v>
      </c>
      <c r="Z569" s="3">
        <v>0</v>
      </c>
      <c r="AA569" s="3">
        <v>60</v>
      </c>
      <c r="AB569" s="3">
        <v>94</v>
      </c>
      <c r="AC569" s="192">
        <v>0</v>
      </c>
      <c r="AF569" s="193">
        <v>9.7222222222222224E-3</v>
      </c>
      <c r="AG569" s="193">
        <v>1.5277777777777777E-2</v>
      </c>
      <c r="AH569" s="193">
        <v>0.29236111111111113</v>
      </c>
    </row>
    <row r="570" spans="1:34" x14ac:dyDescent="0.25">
      <c r="A570" s="3" t="s">
        <v>400</v>
      </c>
      <c r="B570" s="3">
        <v>135260</v>
      </c>
      <c r="C570" s="3">
        <v>941707</v>
      </c>
      <c r="D570" s="3" t="s">
        <v>3526</v>
      </c>
      <c r="E570" s="3">
        <v>6</v>
      </c>
      <c r="F570" s="3">
        <v>5</v>
      </c>
      <c r="G570" s="3">
        <v>3</v>
      </c>
      <c r="H570" s="55" t="s">
        <v>289</v>
      </c>
      <c r="I570" s="3" t="s">
        <v>279</v>
      </c>
      <c r="J570" s="135">
        <v>46210</v>
      </c>
      <c r="K570" s="3" t="s">
        <v>5291</v>
      </c>
      <c r="L570" s="3">
        <v>2160</v>
      </c>
      <c r="M570" s="3">
        <v>27572</v>
      </c>
      <c r="N570" s="3" t="s">
        <v>5225</v>
      </c>
      <c r="R570" s="3">
        <v>16</v>
      </c>
      <c r="S570" s="3" t="s">
        <v>4887</v>
      </c>
      <c r="T570" s="3" t="s">
        <v>3513</v>
      </c>
      <c r="U570" s="3">
        <v>36</v>
      </c>
      <c r="V570" s="3">
        <v>259</v>
      </c>
      <c r="W570" s="3">
        <v>0</v>
      </c>
      <c r="X570" s="3">
        <v>2100</v>
      </c>
      <c r="Y570" s="3">
        <v>1104</v>
      </c>
      <c r="Z570" s="3">
        <v>0</v>
      </c>
      <c r="AA570" s="3">
        <v>996</v>
      </c>
      <c r="AB570" s="3">
        <v>1090</v>
      </c>
      <c r="AC570" s="192">
        <v>0.05</v>
      </c>
      <c r="AD570" s="3" t="s">
        <v>285</v>
      </c>
      <c r="AE570" s="3" t="s">
        <v>286</v>
      </c>
      <c r="AF570" s="193">
        <v>0.16041666666666668</v>
      </c>
      <c r="AG570" s="193">
        <v>0.17569444444444443</v>
      </c>
      <c r="AH570" s="193">
        <v>0.50277777777777777</v>
      </c>
    </row>
    <row r="571" spans="1:34" x14ac:dyDescent="0.25">
      <c r="A571" s="3" t="s">
        <v>400</v>
      </c>
      <c r="B571" s="3">
        <v>135261</v>
      </c>
      <c r="C571" s="3">
        <v>941707</v>
      </c>
      <c r="D571" s="3" t="s">
        <v>3526</v>
      </c>
      <c r="E571" s="3">
        <v>6</v>
      </c>
      <c r="F571" s="3">
        <v>6</v>
      </c>
      <c r="G571" s="3">
        <v>1</v>
      </c>
      <c r="H571" s="55" t="s">
        <v>289</v>
      </c>
      <c r="I571" s="3" t="s">
        <v>279</v>
      </c>
      <c r="J571" s="135">
        <v>46210</v>
      </c>
      <c r="L571" s="3">
        <v>2160</v>
      </c>
      <c r="M571" s="3">
        <v>27572</v>
      </c>
      <c r="N571" s="3" t="s">
        <v>5225</v>
      </c>
      <c r="R571" s="3">
        <v>16</v>
      </c>
      <c r="S571" s="3" t="s">
        <v>4888</v>
      </c>
      <c r="T571" s="3" t="s">
        <v>4715</v>
      </c>
      <c r="U571" s="3" t="s">
        <v>298</v>
      </c>
      <c r="V571" s="3">
        <v>259</v>
      </c>
      <c r="W571" s="3">
        <v>0</v>
      </c>
      <c r="X571" s="3">
        <v>460</v>
      </c>
      <c r="Y571" s="3">
        <v>0</v>
      </c>
      <c r="Z571" s="3">
        <v>0</v>
      </c>
      <c r="AA571" s="3">
        <v>460</v>
      </c>
      <c r="AB571" s="3">
        <v>1550</v>
      </c>
      <c r="AC571" s="192">
        <v>8.3333333333333332E-3</v>
      </c>
      <c r="AD571" s="3" t="s">
        <v>404</v>
      </c>
      <c r="AF571" s="193">
        <v>7.4305555555555555E-2</v>
      </c>
      <c r="AG571" s="193">
        <v>0.24930555555555556</v>
      </c>
      <c r="AH571" s="193">
        <v>0.5854166666666667</v>
      </c>
    </row>
    <row r="572" spans="1:34" x14ac:dyDescent="0.25">
      <c r="A572" s="3" t="s">
        <v>400</v>
      </c>
      <c r="B572" s="3">
        <v>135261</v>
      </c>
      <c r="C572" s="3">
        <v>941707</v>
      </c>
      <c r="D572" s="3" t="s">
        <v>3526</v>
      </c>
      <c r="E572" s="3">
        <v>6</v>
      </c>
      <c r="F572" s="3">
        <v>7</v>
      </c>
      <c r="G572" s="3">
        <v>2</v>
      </c>
      <c r="H572" s="55" t="s">
        <v>289</v>
      </c>
      <c r="I572" s="3" t="s">
        <v>279</v>
      </c>
      <c r="J572" s="135">
        <v>46210</v>
      </c>
      <c r="L572" s="3">
        <v>2160</v>
      </c>
      <c r="M572" s="3">
        <v>27572</v>
      </c>
      <c r="N572" s="3" t="s">
        <v>5225</v>
      </c>
      <c r="R572" s="3">
        <v>16</v>
      </c>
      <c r="S572" s="3" t="s">
        <v>4888</v>
      </c>
      <c r="T572" s="3" t="s">
        <v>4715</v>
      </c>
      <c r="U572" s="3">
        <v>35</v>
      </c>
      <c r="V572" s="3">
        <v>259</v>
      </c>
      <c r="W572" s="3">
        <v>0</v>
      </c>
      <c r="X572" s="3">
        <v>920</v>
      </c>
      <c r="Y572" s="3">
        <v>0</v>
      </c>
      <c r="Z572" s="3">
        <v>0</v>
      </c>
      <c r="AA572" s="3">
        <v>920</v>
      </c>
      <c r="AB572" s="3">
        <v>2470</v>
      </c>
      <c r="AC572" s="192">
        <v>0</v>
      </c>
      <c r="AF572" s="193">
        <v>0.14791666666666667</v>
      </c>
      <c r="AG572" s="193">
        <v>0.3972222222222222</v>
      </c>
      <c r="AH572" s="193">
        <v>0.74027777777777781</v>
      </c>
    </row>
    <row r="573" spans="1:34" x14ac:dyDescent="0.25">
      <c r="A573" s="3" t="s">
        <v>401</v>
      </c>
      <c r="B573" s="3">
        <v>118709</v>
      </c>
      <c r="C573" s="3">
        <v>941407</v>
      </c>
      <c r="D573" s="3" t="s">
        <v>3526</v>
      </c>
      <c r="E573" s="3">
        <v>5</v>
      </c>
      <c r="F573" s="3">
        <v>1</v>
      </c>
      <c r="G573" s="3">
        <v>2</v>
      </c>
      <c r="H573" s="55" t="s">
        <v>289</v>
      </c>
      <c r="I573" s="3" t="s">
        <v>279</v>
      </c>
      <c r="J573" s="3" t="s">
        <v>5224</v>
      </c>
      <c r="K573" s="135">
        <v>46302</v>
      </c>
      <c r="L573" s="3">
        <v>2150</v>
      </c>
      <c r="M573" s="3">
        <v>27571</v>
      </c>
      <c r="N573" s="3" t="s">
        <v>5080</v>
      </c>
      <c r="R573" s="3">
        <v>9</v>
      </c>
      <c r="S573" s="3" t="s">
        <v>4429</v>
      </c>
      <c r="T573" s="3" t="s">
        <v>5231</v>
      </c>
      <c r="U573" s="3">
        <v>35</v>
      </c>
      <c r="V573" s="3">
        <v>250</v>
      </c>
      <c r="W573" s="3">
        <v>0</v>
      </c>
      <c r="X573" s="3">
        <v>1866</v>
      </c>
      <c r="Y573" s="3">
        <v>1830</v>
      </c>
      <c r="Z573" s="3">
        <v>0</v>
      </c>
      <c r="AA573" s="3">
        <v>36</v>
      </c>
      <c r="AB573" s="3">
        <v>36</v>
      </c>
      <c r="AC573" s="192">
        <v>0</v>
      </c>
      <c r="AF573" s="193">
        <v>6.2500000000000003E-3</v>
      </c>
      <c r="AG573" s="193">
        <v>6.2500000000000003E-3</v>
      </c>
      <c r="AH573" s="193">
        <v>0.28333333333333333</v>
      </c>
    </row>
    <row r="574" spans="1:34" x14ac:dyDescent="0.25">
      <c r="A574" s="3" t="s">
        <v>401</v>
      </c>
      <c r="B574" s="3">
        <v>133286</v>
      </c>
      <c r="C574" s="3">
        <v>941707</v>
      </c>
      <c r="D574" s="3" t="s">
        <v>3526</v>
      </c>
      <c r="E574" s="3">
        <v>6</v>
      </c>
      <c r="F574" s="3">
        <v>2</v>
      </c>
      <c r="G574" s="3">
        <v>10</v>
      </c>
      <c r="H574" s="55" t="s">
        <v>289</v>
      </c>
      <c r="I574" s="3" t="s">
        <v>279</v>
      </c>
      <c r="J574" s="135">
        <v>46180</v>
      </c>
      <c r="K574" s="3" t="s">
        <v>5096</v>
      </c>
      <c r="L574" s="3">
        <v>2160</v>
      </c>
      <c r="M574" s="3">
        <v>27577</v>
      </c>
      <c r="N574" s="3" t="s">
        <v>5232</v>
      </c>
      <c r="R574" s="3">
        <v>14</v>
      </c>
      <c r="S574" s="3" t="s">
        <v>5233</v>
      </c>
      <c r="T574" s="3" t="s">
        <v>5228</v>
      </c>
      <c r="U574" s="3" t="s">
        <v>355</v>
      </c>
      <c r="V574" s="3">
        <v>244</v>
      </c>
      <c r="W574" s="3">
        <v>0</v>
      </c>
      <c r="X574" s="3">
        <v>1000</v>
      </c>
      <c r="Y574" s="3">
        <v>936</v>
      </c>
      <c r="Z574" s="3">
        <v>0</v>
      </c>
      <c r="AA574" s="3">
        <v>64</v>
      </c>
      <c r="AB574" s="3">
        <v>100</v>
      </c>
      <c r="AC574" s="192">
        <v>0</v>
      </c>
      <c r="AF574" s="193">
        <v>1.1111111111111112E-2</v>
      </c>
      <c r="AG574" s="193">
        <v>1.6666666666666666E-2</v>
      </c>
      <c r="AH574" s="193">
        <v>0.29444444444444445</v>
      </c>
    </row>
    <row r="575" spans="1:34" x14ac:dyDescent="0.25">
      <c r="A575" s="3" t="s">
        <v>401</v>
      </c>
      <c r="B575" s="3">
        <v>133286</v>
      </c>
      <c r="C575" s="3">
        <v>941707</v>
      </c>
      <c r="D575" s="3" t="s">
        <v>3526</v>
      </c>
      <c r="E575" s="3">
        <v>6</v>
      </c>
      <c r="F575" s="3">
        <v>3</v>
      </c>
      <c r="G575" s="3">
        <v>11</v>
      </c>
      <c r="H575" s="55" t="s">
        <v>289</v>
      </c>
      <c r="I575" s="3" t="s">
        <v>279</v>
      </c>
      <c r="J575" s="135">
        <v>46180</v>
      </c>
      <c r="K575" s="3" t="s">
        <v>5291</v>
      </c>
      <c r="L575" s="3">
        <v>2160</v>
      </c>
      <c r="M575" s="3">
        <v>27577</v>
      </c>
      <c r="N575" s="3" t="s">
        <v>5232</v>
      </c>
      <c r="R575" s="3">
        <v>14</v>
      </c>
      <c r="S575" s="3" t="s">
        <v>5233</v>
      </c>
      <c r="T575" s="3" t="s">
        <v>5228</v>
      </c>
      <c r="U575" s="3">
        <v>22</v>
      </c>
      <c r="V575" s="3">
        <v>244</v>
      </c>
      <c r="W575" s="3">
        <v>0</v>
      </c>
      <c r="X575" s="3">
        <v>1000</v>
      </c>
      <c r="Y575" s="3">
        <v>964</v>
      </c>
      <c r="Z575" s="3">
        <v>0</v>
      </c>
      <c r="AA575" s="3">
        <v>36</v>
      </c>
      <c r="AB575" s="3">
        <v>136</v>
      </c>
      <c r="AC575" s="192">
        <v>0</v>
      </c>
      <c r="AF575" s="193">
        <v>6.2500000000000003E-3</v>
      </c>
      <c r="AG575" s="193">
        <v>2.2916666666666665E-2</v>
      </c>
      <c r="AH575" s="193">
        <v>0.30069444444444443</v>
      </c>
    </row>
    <row r="576" spans="1:34" x14ac:dyDescent="0.25">
      <c r="A576" s="3" t="s">
        <v>401</v>
      </c>
      <c r="B576" s="3">
        <v>133286</v>
      </c>
      <c r="C576" s="3">
        <v>941707</v>
      </c>
      <c r="D576" s="3" t="s">
        <v>3526</v>
      </c>
      <c r="E576" s="3">
        <v>6</v>
      </c>
      <c r="F576" s="3">
        <v>4</v>
      </c>
      <c r="G576" s="3">
        <v>12</v>
      </c>
      <c r="H576" s="55" t="s">
        <v>289</v>
      </c>
      <c r="I576" s="3" t="s">
        <v>279</v>
      </c>
      <c r="J576" s="135">
        <v>46180</v>
      </c>
      <c r="K576" s="3" t="s">
        <v>5291</v>
      </c>
      <c r="L576" s="3">
        <v>2160</v>
      </c>
      <c r="M576" s="3">
        <v>27577</v>
      </c>
      <c r="N576" s="3" t="s">
        <v>5232</v>
      </c>
      <c r="R576" s="3">
        <v>14</v>
      </c>
      <c r="S576" s="3" t="s">
        <v>5233</v>
      </c>
      <c r="T576" s="3" t="s">
        <v>5228</v>
      </c>
      <c r="U576" s="3" t="s">
        <v>290</v>
      </c>
      <c r="V576" s="3">
        <v>244</v>
      </c>
      <c r="W576" s="3">
        <v>0</v>
      </c>
      <c r="X576" s="3">
        <v>1500</v>
      </c>
      <c r="Y576" s="3">
        <v>1464</v>
      </c>
      <c r="Z576" s="3">
        <v>0</v>
      </c>
      <c r="AA576" s="3">
        <v>36</v>
      </c>
      <c r="AB576" s="3">
        <v>172</v>
      </c>
      <c r="AC576" s="192">
        <v>0</v>
      </c>
      <c r="AF576" s="193">
        <v>6.2500000000000003E-3</v>
      </c>
      <c r="AG576" s="193">
        <v>2.9166666666666667E-2</v>
      </c>
      <c r="AH576" s="193">
        <v>0.30694444444444446</v>
      </c>
    </row>
    <row r="577" spans="1:34" x14ac:dyDescent="0.25">
      <c r="A577" s="3" t="s">
        <v>401</v>
      </c>
      <c r="B577" s="3">
        <v>133287</v>
      </c>
      <c r="C577" s="3">
        <v>941707</v>
      </c>
      <c r="D577" s="3" t="s">
        <v>3526</v>
      </c>
      <c r="E577" s="3">
        <v>6</v>
      </c>
      <c r="F577" s="3">
        <v>5</v>
      </c>
      <c r="G577" s="3">
        <v>9</v>
      </c>
      <c r="H577" s="55" t="s">
        <v>289</v>
      </c>
      <c r="I577" s="3" t="s">
        <v>279</v>
      </c>
      <c r="J577" s="135">
        <v>46180</v>
      </c>
      <c r="L577" s="3">
        <v>2160</v>
      </c>
      <c r="M577" s="3">
        <v>27577</v>
      </c>
      <c r="N577" s="3" t="s">
        <v>5232</v>
      </c>
      <c r="O577" s="3" t="s">
        <v>4754</v>
      </c>
      <c r="R577" s="3">
        <v>14</v>
      </c>
      <c r="S577" s="3" t="s">
        <v>5451</v>
      </c>
      <c r="T577" s="3" t="s">
        <v>5167</v>
      </c>
      <c r="U577" s="3" t="s">
        <v>354</v>
      </c>
      <c r="V577" s="3">
        <v>244</v>
      </c>
      <c r="W577" s="3">
        <v>0</v>
      </c>
      <c r="X577" s="3">
        <v>410</v>
      </c>
      <c r="Y577" s="3">
        <v>0</v>
      </c>
      <c r="Z577" s="3">
        <v>0</v>
      </c>
      <c r="AA577" s="3">
        <v>410</v>
      </c>
      <c r="AB577" s="3">
        <v>582</v>
      </c>
      <c r="AC577" s="192">
        <v>8.3333333333333332E-3</v>
      </c>
      <c r="AD577" s="3" t="s">
        <v>292</v>
      </c>
      <c r="AF577" s="193">
        <v>7.013888888888889E-2</v>
      </c>
      <c r="AG577" s="193">
        <v>9.930555555555555E-2</v>
      </c>
      <c r="AH577" s="193">
        <v>0.38541666666666669</v>
      </c>
    </row>
    <row r="578" spans="1:34" x14ac:dyDescent="0.25">
      <c r="A578" s="3" t="s">
        <v>401</v>
      </c>
      <c r="B578" s="3">
        <v>133287</v>
      </c>
      <c r="C578" s="3">
        <v>941707</v>
      </c>
      <c r="D578" s="3" t="s">
        <v>3526</v>
      </c>
      <c r="E578" s="3">
        <v>6</v>
      </c>
      <c r="F578" s="3">
        <v>6</v>
      </c>
      <c r="G578" s="3">
        <v>10</v>
      </c>
      <c r="H578" s="55" t="s">
        <v>289</v>
      </c>
      <c r="I578" s="3" t="s">
        <v>279</v>
      </c>
      <c r="J578" s="135">
        <v>46180</v>
      </c>
      <c r="L578" s="3">
        <v>2160</v>
      </c>
      <c r="M578" s="3">
        <v>27577</v>
      </c>
      <c r="N578" s="3" t="s">
        <v>5232</v>
      </c>
      <c r="O578" s="3" t="s">
        <v>4754</v>
      </c>
      <c r="R578" s="3">
        <v>14</v>
      </c>
      <c r="S578" s="3" t="s">
        <v>5451</v>
      </c>
      <c r="T578" s="3" t="s">
        <v>5167</v>
      </c>
      <c r="U578" s="3">
        <v>19</v>
      </c>
      <c r="V578" s="3">
        <v>244</v>
      </c>
      <c r="W578" s="3">
        <v>0</v>
      </c>
      <c r="X578" s="3">
        <v>550</v>
      </c>
      <c r="Y578" s="3">
        <v>0</v>
      </c>
      <c r="Z578" s="3">
        <v>0</v>
      </c>
      <c r="AA578" s="3">
        <v>550</v>
      </c>
      <c r="AB578" s="3">
        <v>1132</v>
      </c>
      <c r="AC578" s="192">
        <v>4.1666666666666664E-2</v>
      </c>
      <c r="AD578" s="3" t="s">
        <v>294</v>
      </c>
      <c r="AE578" s="3" t="s">
        <v>295</v>
      </c>
      <c r="AF578" s="193">
        <v>9.375E-2</v>
      </c>
      <c r="AG578" s="193">
        <v>0.19305555555555556</v>
      </c>
      <c r="AH578" s="193">
        <v>0.52083333333333337</v>
      </c>
    </row>
    <row r="579" spans="1:34" x14ac:dyDescent="0.25">
      <c r="A579" s="3" t="s">
        <v>401</v>
      </c>
      <c r="B579" s="3">
        <v>133287</v>
      </c>
      <c r="C579" s="3">
        <v>941707</v>
      </c>
      <c r="D579" s="3" t="s">
        <v>3526</v>
      </c>
      <c r="E579" s="3">
        <v>6</v>
      </c>
      <c r="F579" s="3">
        <v>7</v>
      </c>
      <c r="G579" s="3">
        <v>11</v>
      </c>
      <c r="H579" s="55" t="s">
        <v>289</v>
      </c>
      <c r="I579" s="3" t="s">
        <v>279</v>
      </c>
      <c r="J579" s="135">
        <v>46180</v>
      </c>
      <c r="L579" s="3">
        <v>2160</v>
      </c>
      <c r="M579" s="3">
        <v>27577</v>
      </c>
      <c r="N579" s="3" t="s">
        <v>5232</v>
      </c>
      <c r="O579" s="3" t="s">
        <v>4754</v>
      </c>
      <c r="R579" s="3">
        <v>14</v>
      </c>
      <c r="S579" s="3" t="s">
        <v>5451</v>
      </c>
      <c r="T579" s="3" t="s">
        <v>5167</v>
      </c>
      <c r="U579" s="3" t="s">
        <v>355</v>
      </c>
      <c r="V579" s="3">
        <v>244</v>
      </c>
      <c r="W579" s="3">
        <v>0</v>
      </c>
      <c r="X579" s="3">
        <v>960</v>
      </c>
      <c r="Y579" s="3">
        <v>0</v>
      </c>
      <c r="Z579" s="3">
        <v>0</v>
      </c>
      <c r="AA579" s="3">
        <v>960</v>
      </c>
      <c r="AB579" s="3">
        <v>2092</v>
      </c>
      <c r="AC579" s="192">
        <v>8.3333333333333332E-3</v>
      </c>
      <c r="AD579" s="3" t="s">
        <v>404</v>
      </c>
      <c r="AF579" s="193">
        <v>0.16388888888888889</v>
      </c>
      <c r="AG579" s="193">
        <v>0.35694444444444445</v>
      </c>
      <c r="AH579" s="193">
        <v>0.7</v>
      </c>
    </row>
    <row r="580" spans="1:34" x14ac:dyDescent="0.25">
      <c r="A580" s="3" t="s">
        <v>401</v>
      </c>
      <c r="B580" s="3">
        <v>133287</v>
      </c>
      <c r="C580" s="3">
        <v>941707</v>
      </c>
      <c r="D580" s="3" t="s">
        <v>3526</v>
      </c>
      <c r="E580" s="3">
        <v>6</v>
      </c>
      <c r="F580" s="3">
        <v>8</v>
      </c>
      <c r="G580" s="3">
        <v>12</v>
      </c>
      <c r="H580" s="55" t="s">
        <v>289</v>
      </c>
      <c r="I580" s="3" t="s">
        <v>279</v>
      </c>
      <c r="J580" s="135">
        <v>46180</v>
      </c>
      <c r="L580" s="3">
        <v>2160</v>
      </c>
      <c r="M580" s="3">
        <v>27577</v>
      </c>
      <c r="N580" s="3" t="s">
        <v>5232</v>
      </c>
      <c r="O580" s="3" t="s">
        <v>4754</v>
      </c>
      <c r="R580" s="3">
        <v>14</v>
      </c>
      <c r="S580" s="3" t="s">
        <v>5451</v>
      </c>
      <c r="T580" s="3" t="s">
        <v>5167</v>
      </c>
      <c r="U580" s="3">
        <v>22</v>
      </c>
      <c r="V580" s="3">
        <v>244</v>
      </c>
      <c r="W580" s="3">
        <v>0</v>
      </c>
      <c r="X580" s="3">
        <v>1090</v>
      </c>
      <c r="Y580" s="3">
        <v>0</v>
      </c>
      <c r="Z580" s="3">
        <v>0</v>
      </c>
      <c r="AA580" s="3">
        <v>1090</v>
      </c>
      <c r="AB580" s="3">
        <v>3182</v>
      </c>
      <c r="AC580" s="192">
        <v>0.05</v>
      </c>
      <c r="AD580" s="3" t="s">
        <v>285</v>
      </c>
      <c r="AE580" s="3" t="s">
        <v>286</v>
      </c>
      <c r="AF580" s="193">
        <v>0.18611111111111112</v>
      </c>
      <c r="AG580" s="193">
        <v>0.54305555555555551</v>
      </c>
      <c r="AH580" s="193">
        <v>0.93611111111111112</v>
      </c>
    </row>
    <row r="581" spans="1:34" x14ac:dyDescent="0.25">
      <c r="A581" s="3" t="s">
        <v>405</v>
      </c>
      <c r="B581" s="3">
        <v>118776</v>
      </c>
      <c r="C581" s="3">
        <v>941407</v>
      </c>
      <c r="D581" s="3" t="s">
        <v>3526</v>
      </c>
      <c r="E581" s="3">
        <v>5</v>
      </c>
      <c r="F581" s="3">
        <v>1</v>
      </c>
      <c r="G581" s="3">
        <v>6</v>
      </c>
      <c r="H581" s="55" t="s">
        <v>289</v>
      </c>
      <c r="I581" s="3" t="s">
        <v>279</v>
      </c>
      <c r="J581" s="3" t="s">
        <v>5224</v>
      </c>
      <c r="K581" s="135">
        <v>46241</v>
      </c>
      <c r="L581" s="3">
        <v>2150</v>
      </c>
      <c r="M581" s="3">
        <v>27571</v>
      </c>
      <c r="N581" s="3" t="s">
        <v>5080</v>
      </c>
      <c r="R581" s="3">
        <v>9</v>
      </c>
      <c r="S581" s="3" t="s">
        <v>4435</v>
      </c>
      <c r="T581" s="3" t="s">
        <v>5234</v>
      </c>
      <c r="U581" s="3" t="s">
        <v>280</v>
      </c>
      <c r="V581" s="3">
        <v>250</v>
      </c>
      <c r="W581" s="3">
        <v>0</v>
      </c>
      <c r="X581" s="3">
        <v>260</v>
      </c>
      <c r="Y581" s="3">
        <v>248</v>
      </c>
      <c r="Z581" s="3">
        <v>0</v>
      </c>
      <c r="AA581" s="3">
        <v>12</v>
      </c>
      <c r="AB581" s="3">
        <v>12</v>
      </c>
      <c r="AC581" s="192">
        <v>0</v>
      </c>
      <c r="AF581" s="193">
        <v>2.0833333333333333E-3</v>
      </c>
      <c r="AG581" s="193">
        <v>2.0833333333333333E-3</v>
      </c>
      <c r="AH581" s="193">
        <v>0.27916666666666667</v>
      </c>
    </row>
    <row r="582" spans="1:34" x14ac:dyDescent="0.25">
      <c r="A582" s="3" t="s">
        <v>405</v>
      </c>
      <c r="B582" s="3">
        <v>118747</v>
      </c>
      <c r="C582" s="3">
        <v>941407</v>
      </c>
      <c r="D582" s="3" t="s">
        <v>3526</v>
      </c>
      <c r="E582" s="3">
        <v>5</v>
      </c>
      <c r="F582" s="3">
        <v>2</v>
      </c>
      <c r="G582" s="3">
        <v>4</v>
      </c>
      <c r="H582" s="55" t="s">
        <v>289</v>
      </c>
      <c r="I582" s="3" t="s">
        <v>279</v>
      </c>
      <c r="J582" s="3" t="s">
        <v>5224</v>
      </c>
      <c r="K582" s="135">
        <v>46333</v>
      </c>
      <c r="L582" s="3">
        <v>2150</v>
      </c>
      <c r="M582" s="3">
        <v>27571</v>
      </c>
      <c r="N582" s="3" t="s">
        <v>5080</v>
      </c>
      <c r="R582" s="3">
        <v>9</v>
      </c>
      <c r="S582" s="3" t="s">
        <v>4432</v>
      </c>
      <c r="T582" s="3" t="s">
        <v>5235</v>
      </c>
      <c r="U582" s="3">
        <v>37</v>
      </c>
      <c r="V582" s="3">
        <v>250</v>
      </c>
      <c r="W582" s="3">
        <v>0</v>
      </c>
      <c r="X582" s="3">
        <v>360</v>
      </c>
      <c r="Y582" s="3">
        <v>336</v>
      </c>
      <c r="Z582" s="3">
        <v>0</v>
      </c>
      <c r="AA582" s="3">
        <v>24</v>
      </c>
      <c r="AB582" s="3">
        <v>36</v>
      </c>
      <c r="AC582" s="192">
        <v>0</v>
      </c>
      <c r="AF582" s="193">
        <v>4.1666666666666666E-3</v>
      </c>
      <c r="AG582" s="193">
        <v>6.2500000000000003E-3</v>
      </c>
      <c r="AH582" s="193">
        <v>0.28333333333333333</v>
      </c>
    </row>
    <row r="583" spans="1:34" x14ac:dyDescent="0.25">
      <c r="A583" s="3" t="s">
        <v>405</v>
      </c>
      <c r="B583" s="3">
        <v>133099</v>
      </c>
      <c r="C583" s="3">
        <v>941707</v>
      </c>
      <c r="D583" s="3" t="s">
        <v>3526</v>
      </c>
      <c r="E583" s="3">
        <v>6</v>
      </c>
      <c r="F583" s="3">
        <v>3</v>
      </c>
      <c r="G583" s="3">
        <v>11</v>
      </c>
      <c r="H583" s="55" t="s">
        <v>289</v>
      </c>
      <c r="I583" s="3" t="s">
        <v>279</v>
      </c>
      <c r="J583" s="135">
        <v>46180</v>
      </c>
      <c r="K583" s="3" t="s">
        <v>5108</v>
      </c>
      <c r="L583" s="3">
        <v>2150</v>
      </c>
      <c r="M583" s="3">
        <v>27571</v>
      </c>
      <c r="N583" s="3" t="s">
        <v>5080</v>
      </c>
      <c r="R583" s="3">
        <v>9</v>
      </c>
      <c r="S583" s="3" t="s">
        <v>4429</v>
      </c>
      <c r="T583" s="3" t="s">
        <v>5231</v>
      </c>
      <c r="U583" s="3">
        <v>35</v>
      </c>
      <c r="V583" s="3">
        <v>250</v>
      </c>
      <c r="W583" s="3">
        <v>0</v>
      </c>
      <c r="X583" s="3">
        <v>240</v>
      </c>
      <c r="Y583" s="3">
        <v>204</v>
      </c>
      <c r="Z583" s="3">
        <v>0</v>
      </c>
      <c r="AA583" s="3">
        <v>36</v>
      </c>
      <c r="AB583" s="3">
        <v>72</v>
      </c>
      <c r="AC583" s="192">
        <v>0</v>
      </c>
      <c r="AF583" s="193">
        <v>6.2500000000000003E-3</v>
      </c>
      <c r="AG583" s="193">
        <v>1.1805555555555555E-2</v>
      </c>
      <c r="AH583" s="193">
        <v>0.28958333333333336</v>
      </c>
    </row>
    <row r="584" spans="1:34" x14ac:dyDescent="0.25">
      <c r="A584" s="3" t="s">
        <v>405</v>
      </c>
      <c r="B584" s="3">
        <v>133099</v>
      </c>
      <c r="C584" s="3">
        <v>941707</v>
      </c>
      <c r="D584" s="3" t="s">
        <v>3526</v>
      </c>
      <c r="E584" s="3">
        <v>6</v>
      </c>
      <c r="F584" s="3">
        <v>4</v>
      </c>
      <c r="G584" s="3">
        <v>13</v>
      </c>
      <c r="H584" s="55" t="s">
        <v>289</v>
      </c>
      <c r="I584" s="3" t="s">
        <v>279</v>
      </c>
      <c r="J584" s="135">
        <v>46180</v>
      </c>
      <c r="K584" s="3" t="s">
        <v>5108</v>
      </c>
      <c r="L584" s="3">
        <v>2150</v>
      </c>
      <c r="M584" s="3">
        <v>27571</v>
      </c>
      <c r="N584" s="3" t="s">
        <v>5080</v>
      </c>
      <c r="R584" s="3">
        <v>9</v>
      </c>
      <c r="S584" s="3" t="s">
        <v>4429</v>
      </c>
      <c r="T584" s="3" t="s">
        <v>5231</v>
      </c>
      <c r="U584" s="3">
        <v>37</v>
      </c>
      <c r="V584" s="3">
        <v>250</v>
      </c>
      <c r="W584" s="3">
        <v>0</v>
      </c>
      <c r="X584" s="3">
        <v>480</v>
      </c>
      <c r="Y584" s="3">
        <v>456</v>
      </c>
      <c r="Z584" s="3">
        <v>0</v>
      </c>
      <c r="AA584" s="3">
        <v>24</v>
      </c>
      <c r="AB584" s="3">
        <v>96</v>
      </c>
      <c r="AC584" s="192">
        <v>0</v>
      </c>
      <c r="AF584" s="193">
        <v>4.1666666666666666E-3</v>
      </c>
      <c r="AG584" s="193">
        <v>1.5972222222222221E-2</v>
      </c>
      <c r="AH584" s="193">
        <v>0.29375000000000001</v>
      </c>
    </row>
    <row r="585" spans="1:34" x14ac:dyDescent="0.25">
      <c r="A585" s="3" t="s">
        <v>405</v>
      </c>
      <c r="B585" s="3">
        <v>133101</v>
      </c>
      <c r="C585" s="3">
        <v>942207</v>
      </c>
      <c r="D585" s="3" t="s">
        <v>3526</v>
      </c>
      <c r="E585" s="3">
        <v>7</v>
      </c>
      <c r="F585" s="3">
        <v>5</v>
      </c>
      <c r="G585" s="3">
        <v>10</v>
      </c>
      <c r="H585" s="55" t="s">
        <v>289</v>
      </c>
      <c r="I585" s="3" t="s">
        <v>279</v>
      </c>
      <c r="J585" s="135">
        <v>46180</v>
      </c>
      <c r="L585" s="3">
        <v>2150</v>
      </c>
      <c r="M585" s="3">
        <v>27571</v>
      </c>
      <c r="N585" s="3" t="s">
        <v>5080</v>
      </c>
      <c r="R585" s="3">
        <v>9</v>
      </c>
      <c r="S585" s="3" t="s">
        <v>4431</v>
      </c>
      <c r="T585" s="3" t="s">
        <v>4715</v>
      </c>
      <c r="U585" s="3" t="s">
        <v>298</v>
      </c>
      <c r="V585" s="3">
        <v>250</v>
      </c>
      <c r="W585" s="3">
        <v>0</v>
      </c>
      <c r="X585" s="3">
        <v>384</v>
      </c>
      <c r="Y585" s="3">
        <v>0</v>
      </c>
      <c r="Z585" s="3">
        <v>0</v>
      </c>
      <c r="AA585" s="3">
        <v>384</v>
      </c>
      <c r="AB585" s="3">
        <v>480</v>
      </c>
      <c r="AC585" s="192">
        <v>8.3333333333333332E-3</v>
      </c>
      <c r="AD585" s="3" t="s">
        <v>292</v>
      </c>
      <c r="AF585" s="193">
        <v>6.3888888888888884E-2</v>
      </c>
      <c r="AG585" s="193">
        <v>7.9861111111111105E-2</v>
      </c>
      <c r="AH585" s="193">
        <v>0.3659722222222222</v>
      </c>
    </row>
    <row r="586" spans="1:34" x14ac:dyDescent="0.25">
      <c r="A586" s="3" t="s">
        <v>405</v>
      </c>
      <c r="B586" s="3">
        <v>133101</v>
      </c>
      <c r="C586" s="3">
        <v>942207</v>
      </c>
      <c r="D586" s="3" t="s">
        <v>3526</v>
      </c>
      <c r="E586" s="3">
        <v>7</v>
      </c>
      <c r="F586" s="3">
        <v>6</v>
      </c>
      <c r="G586" s="3">
        <v>11</v>
      </c>
      <c r="H586" s="55" t="s">
        <v>289</v>
      </c>
      <c r="I586" s="3" t="s">
        <v>279</v>
      </c>
      <c r="J586" s="135">
        <v>46180</v>
      </c>
      <c r="L586" s="3">
        <v>2150</v>
      </c>
      <c r="M586" s="3">
        <v>27571</v>
      </c>
      <c r="N586" s="3" t="s">
        <v>5080</v>
      </c>
      <c r="R586" s="3">
        <v>9</v>
      </c>
      <c r="S586" s="3" t="s">
        <v>4431</v>
      </c>
      <c r="T586" s="3" t="s">
        <v>4715</v>
      </c>
      <c r="U586" s="3">
        <v>35</v>
      </c>
      <c r="V586" s="3">
        <v>250</v>
      </c>
      <c r="W586" s="3">
        <v>0</v>
      </c>
      <c r="X586" s="3">
        <v>768</v>
      </c>
      <c r="Y586" s="3">
        <v>0</v>
      </c>
      <c r="Z586" s="3">
        <v>0</v>
      </c>
      <c r="AA586" s="3">
        <v>768</v>
      </c>
      <c r="AB586" s="3">
        <v>1248</v>
      </c>
      <c r="AC586" s="192">
        <v>4.1666666666666664E-2</v>
      </c>
      <c r="AD586" s="3" t="s">
        <v>294</v>
      </c>
      <c r="AE586" s="3" t="s">
        <v>295</v>
      </c>
      <c r="AF586" s="193">
        <v>0.12777777777777777</v>
      </c>
      <c r="AG586" s="193">
        <v>0.20833333333333334</v>
      </c>
      <c r="AH586" s="193">
        <v>0.53541666666666665</v>
      </c>
    </row>
    <row r="587" spans="1:34" x14ac:dyDescent="0.25">
      <c r="A587" s="3" t="s">
        <v>405</v>
      </c>
      <c r="B587" s="3">
        <v>133101</v>
      </c>
      <c r="C587" s="3">
        <v>942207</v>
      </c>
      <c r="D587" s="3" t="s">
        <v>3526</v>
      </c>
      <c r="E587" s="3">
        <v>7</v>
      </c>
      <c r="F587" s="3">
        <v>7</v>
      </c>
      <c r="G587" s="3">
        <v>12</v>
      </c>
      <c r="H587" s="55" t="s">
        <v>289</v>
      </c>
      <c r="I587" s="3" t="s">
        <v>279</v>
      </c>
      <c r="J587" s="135">
        <v>46180</v>
      </c>
      <c r="K587" s="3" t="s">
        <v>5291</v>
      </c>
      <c r="L587" s="3">
        <v>2150</v>
      </c>
      <c r="M587" s="3">
        <v>27571</v>
      </c>
      <c r="N587" s="3" t="s">
        <v>5080</v>
      </c>
      <c r="R587" s="3">
        <v>9</v>
      </c>
      <c r="S587" s="3" t="s">
        <v>4431</v>
      </c>
      <c r="T587" s="3" t="s">
        <v>4715</v>
      </c>
      <c r="U587" s="3">
        <v>36</v>
      </c>
      <c r="V587" s="3">
        <v>250</v>
      </c>
      <c r="W587" s="3">
        <v>0</v>
      </c>
      <c r="X587" s="3">
        <v>1152</v>
      </c>
      <c r="Y587" s="3">
        <v>408</v>
      </c>
      <c r="Z587" s="3">
        <v>0</v>
      </c>
      <c r="AA587" s="3">
        <v>744</v>
      </c>
      <c r="AB587" s="3">
        <v>1992</v>
      </c>
      <c r="AC587" s="192">
        <v>8.3333333333333332E-3</v>
      </c>
      <c r="AD587" s="3" t="s">
        <v>404</v>
      </c>
      <c r="AF587" s="193">
        <v>0.12430555555555556</v>
      </c>
      <c r="AG587" s="193">
        <v>0.33194444444444443</v>
      </c>
      <c r="AH587" s="193">
        <v>0.67500000000000004</v>
      </c>
    </row>
    <row r="588" spans="1:34" x14ac:dyDescent="0.25">
      <c r="A588" s="3" t="s">
        <v>405</v>
      </c>
      <c r="B588" s="3">
        <v>133101</v>
      </c>
      <c r="C588" s="3">
        <v>942207</v>
      </c>
      <c r="D588" s="3" t="s">
        <v>3526</v>
      </c>
      <c r="E588" s="3">
        <v>7</v>
      </c>
      <c r="F588" s="3">
        <v>8</v>
      </c>
      <c r="G588" s="3">
        <v>13</v>
      </c>
      <c r="H588" s="55" t="s">
        <v>289</v>
      </c>
      <c r="I588" s="3" t="s">
        <v>279</v>
      </c>
      <c r="J588" s="135">
        <v>46180</v>
      </c>
      <c r="L588" s="3">
        <v>2150</v>
      </c>
      <c r="M588" s="3">
        <v>27571</v>
      </c>
      <c r="N588" s="3" t="s">
        <v>5080</v>
      </c>
      <c r="R588" s="3">
        <v>9</v>
      </c>
      <c r="S588" s="3" t="s">
        <v>4431</v>
      </c>
      <c r="T588" s="3" t="s">
        <v>4715</v>
      </c>
      <c r="U588" s="3">
        <v>37</v>
      </c>
      <c r="V588" s="3">
        <v>250</v>
      </c>
      <c r="W588" s="3">
        <v>0</v>
      </c>
      <c r="X588" s="3">
        <v>1152</v>
      </c>
      <c r="Y588" s="3">
        <v>0</v>
      </c>
      <c r="Z588" s="3">
        <v>0</v>
      </c>
      <c r="AA588" s="3">
        <v>1152</v>
      </c>
      <c r="AB588" s="3">
        <v>3144</v>
      </c>
      <c r="AC588" s="192">
        <v>0.05</v>
      </c>
      <c r="AD588" s="3" t="s">
        <v>285</v>
      </c>
      <c r="AE588" s="3" t="s">
        <v>286</v>
      </c>
      <c r="AF588" s="193">
        <v>0.19166666666666668</v>
      </c>
      <c r="AG588" s="193">
        <v>0.52430555555555558</v>
      </c>
      <c r="AH588" s="193">
        <v>0.91666666666666663</v>
      </c>
    </row>
    <row r="589" spans="1:34" x14ac:dyDescent="0.25">
      <c r="A589" s="3" t="s">
        <v>409</v>
      </c>
      <c r="B589" s="3">
        <v>135261</v>
      </c>
      <c r="C589" s="3">
        <v>941707</v>
      </c>
      <c r="D589" s="3" t="s">
        <v>3526</v>
      </c>
      <c r="E589" s="3">
        <v>6</v>
      </c>
      <c r="F589" s="3">
        <v>1</v>
      </c>
      <c r="G589" s="3">
        <v>4</v>
      </c>
      <c r="H589" s="55" t="s">
        <v>289</v>
      </c>
      <c r="I589" s="3" t="s">
        <v>279</v>
      </c>
      <c r="J589" s="135">
        <v>46210</v>
      </c>
      <c r="K589" s="3" t="s">
        <v>5291</v>
      </c>
      <c r="L589" s="3">
        <v>2160</v>
      </c>
      <c r="M589" s="3">
        <v>27572</v>
      </c>
      <c r="N589" s="3" t="s">
        <v>5225</v>
      </c>
      <c r="R589" s="3">
        <v>16</v>
      </c>
      <c r="S589" s="3" t="s">
        <v>4888</v>
      </c>
      <c r="T589" s="3" t="s">
        <v>4715</v>
      </c>
      <c r="U589" s="3">
        <v>37</v>
      </c>
      <c r="V589" s="3">
        <v>259</v>
      </c>
      <c r="W589" s="3">
        <v>0</v>
      </c>
      <c r="X589" s="3">
        <v>2040</v>
      </c>
      <c r="Y589" s="3">
        <v>670</v>
      </c>
      <c r="Z589" s="3">
        <v>0</v>
      </c>
      <c r="AA589" s="3">
        <v>1370</v>
      </c>
      <c r="AB589" s="3">
        <v>1370</v>
      </c>
      <c r="AC589" s="192">
        <v>0.05</v>
      </c>
      <c r="AD589" s="3" t="s">
        <v>285</v>
      </c>
      <c r="AE589" s="3" t="s">
        <v>286</v>
      </c>
      <c r="AF589" s="193">
        <v>0.22013888888888888</v>
      </c>
      <c r="AG589" s="193">
        <v>0.22013888888888888</v>
      </c>
      <c r="AH589" s="193">
        <v>0.54722222222222228</v>
      </c>
    </row>
    <row r="590" spans="1:34" x14ac:dyDescent="0.25">
      <c r="A590" s="3" t="s">
        <v>409</v>
      </c>
      <c r="B590" s="3">
        <v>135261</v>
      </c>
      <c r="C590" s="3">
        <v>941707</v>
      </c>
      <c r="D590" s="3" t="s">
        <v>3526</v>
      </c>
      <c r="E590" s="3">
        <v>6</v>
      </c>
      <c r="F590" s="3">
        <v>2</v>
      </c>
      <c r="G590" s="3">
        <v>5</v>
      </c>
      <c r="H590" s="55" t="s">
        <v>289</v>
      </c>
      <c r="I590" s="3" t="s">
        <v>279</v>
      </c>
      <c r="J590" s="135">
        <v>46210</v>
      </c>
      <c r="L590" s="3">
        <v>2160</v>
      </c>
      <c r="M590" s="3">
        <v>27572</v>
      </c>
      <c r="N590" s="3" t="s">
        <v>5225</v>
      </c>
      <c r="R590" s="3">
        <v>16</v>
      </c>
      <c r="S590" s="3" t="s">
        <v>4888</v>
      </c>
      <c r="T590" s="3" t="s">
        <v>4715</v>
      </c>
      <c r="U590" s="3">
        <v>38</v>
      </c>
      <c r="V590" s="3">
        <v>259</v>
      </c>
      <c r="W590" s="3">
        <v>0</v>
      </c>
      <c r="X590" s="3">
        <v>1260</v>
      </c>
      <c r="Y590" s="3">
        <v>0</v>
      </c>
      <c r="Z590" s="3">
        <v>0</v>
      </c>
      <c r="AA590" s="3">
        <v>1260</v>
      </c>
      <c r="AB590" s="3">
        <v>2630</v>
      </c>
      <c r="AC590" s="192">
        <v>8.3333333333333332E-3</v>
      </c>
      <c r="AD590" s="3" t="s">
        <v>404</v>
      </c>
      <c r="AF590" s="193">
        <v>0.20277777777777778</v>
      </c>
      <c r="AG590" s="193">
        <v>0.42291666666666666</v>
      </c>
      <c r="AH590" s="193">
        <v>0.76527777777777772</v>
      </c>
    </row>
    <row r="591" spans="1:34" x14ac:dyDescent="0.25">
      <c r="A591" s="3" t="s">
        <v>409</v>
      </c>
      <c r="B591" s="3">
        <v>135261</v>
      </c>
      <c r="C591" s="3">
        <v>941707</v>
      </c>
      <c r="D591" s="3" t="s">
        <v>3526</v>
      </c>
      <c r="E591" s="3">
        <v>6</v>
      </c>
      <c r="F591" s="3">
        <v>3</v>
      </c>
      <c r="G591" s="3">
        <v>6</v>
      </c>
      <c r="H591" s="55" t="s">
        <v>289</v>
      </c>
      <c r="I591" s="3" t="s">
        <v>279</v>
      </c>
      <c r="J591" s="135">
        <v>46210</v>
      </c>
      <c r="L591" s="3">
        <v>2160</v>
      </c>
      <c r="M591" s="3">
        <v>27572</v>
      </c>
      <c r="N591" s="3" t="s">
        <v>5225</v>
      </c>
      <c r="R591" s="3">
        <v>16</v>
      </c>
      <c r="S591" s="3" t="s">
        <v>4888</v>
      </c>
      <c r="T591" s="3" t="s">
        <v>4715</v>
      </c>
      <c r="U591" s="3" t="s">
        <v>280</v>
      </c>
      <c r="V591" s="3">
        <v>259</v>
      </c>
      <c r="W591" s="3">
        <v>0</v>
      </c>
      <c r="X591" s="3">
        <v>780</v>
      </c>
      <c r="Y591" s="3">
        <v>0</v>
      </c>
      <c r="Z591" s="3">
        <v>0</v>
      </c>
      <c r="AA591" s="3">
        <v>780</v>
      </c>
      <c r="AB591" s="3">
        <v>3410</v>
      </c>
      <c r="AC591" s="192">
        <v>0.05</v>
      </c>
      <c r="AD591" s="3" t="s">
        <v>285</v>
      </c>
      <c r="AE591" s="3" t="s">
        <v>286</v>
      </c>
      <c r="AF591" s="193">
        <v>0.12569444444444444</v>
      </c>
      <c r="AG591" s="193">
        <v>0.54861111111111116</v>
      </c>
      <c r="AH591" s="193">
        <v>0.94097222222222221</v>
      </c>
    </row>
    <row r="592" spans="1:34" x14ac:dyDescent="0.25">
      <c r="A592" s="3" t="s">
        <v>413</v>
      </c>
      <c r="B592" s="3">
        <v>128167</v>
      </c>
      <c r="C592" s="3">
        <v>941707</v>
      </c>
      <c r="D592" s="3" t="s">
        <v>3526</v>
      </c>
      <c r="E592" s="3">
        <v>6</v>
      </c>
      <c r="F592" s="3">
        <v>1</v>
      </c>
      <c r="G592" s="3">
        <v>4</v>
      </c>
      <c r="H592" s="55" t="s">
        <v>289</v>
      </c>
      <c r="I592" s="3" t="s">
        <v>279</v>
      </c>
      <c r="J592" s="135">
        <v>46060</v>
      </c>
      <c r="K592" s="3" t="s">
        <v>5096</v>
      </c>
      <c r="L592" s="3">
        <v>2160</v>
      </c>
      <c r="M592" s="3">
        <v>27575</v>
      </c>
      <c r="N592" s="3" t="s">
        <v>5237</v>
      </c>
      <c r="O592" s="3" t="s">
        <v>4754</v>
      </c>
      <c r="R592" s="3">
        <v>15</v>
      </c>
      <c r="S592" s="3" t="s">
        <v>5238</v>
      </c>
      <c r="T592" s="3" t="s">
        <v>5228</v>
      </c>
      <c r="U592" s="3">
        <v>25</v>
      </c>
      <c r="V592" s="3">
        <v>252</v>
      </c>
      <c r="W592" s="3">
        <v>0</v>
      </c>
      <c r="X592" s="3">
        <v>500</v>
      </c>
      <c r="Y592" s="3">
        <v>414</v>
      </c>
      <c r="Z592" s="3">
        <v>0</v>
      </c>
      <c r="AA592" s="3">
        <v>86</v>
      </c>
      <c r="AB592" s="3">
        <v>86</v>
      </c>
      <c r="AC592" s="192">
        <v>0</v>
      </c>
      <c r="AF592" s="193">
        <v>1.3888888888888888E-2</v>
      </c>
      <c r="AG592" s="193">
        <v>1.3888888888888888E-2</v>
      </c>
      <c r="AH592" s="193">
        <v>0.29097222222222224</v>
      </c>
    </row>
    <row r="593" spans="1:34" x14ac:dyDescent="0.25">
      <c r="A593" s="3" t="s">
        <v>413</v>
      </c>
      <c r="B593" s="3">
        <v>128167</v>
      </c>
      <c r="C593" s="3">
        <v>941707</v>
      </c>
      <c r="D593" s="3" t="s">
        <v>3526</v>
      </c>
      <c r="E593" s="3">
        <v>6</v>
      </c>
      <c r="F593" s="3">
        <v>2</v>
      </c>
      <c r="G593" s="3">
        <v>7</v>
      </c>
      <c r="H593" s="55" t="s">
        <v>289</v>
      </c>
      <c r="I593" s="3" t="s">
        <v>279</v>
      </c>
      <c r="J593" s="135">
        <v>46060</v>
      </c>
      <c r="K593" s="3" t="s">
        <v>5096</v>
      </c>
      <c r="L593" s="3">
        <v>2160</v>
      </c>
      <c r="M593" s="3">
        <v>27575</v>
      </c>
      <c r="N593" s="3" t="s">
        <v>5237</v>
      </c>
      <c r="O593" s="3" t="s">
        <v>4754</v>
      </c>
      <c r="R593" s="3">
        <v>15</v>
      </c>
      <c r="S593" s="3" t="s">
        <v>5238</v>
      </c>
      <c r="T593" s="3" t="s">
        <v>5228</v>
      </c>
      <c r="U593" s="3">
        <v>29</v>
      </c>
      <c r="V593" s="3">
        <v>252</v>
      </c>
      <c r="W593" s="3">
        <v>0</v>
      </c>
      <c r="X593" s="3">
        <v>1000</v>
      </c>
      <c r="Y593" s="3">
        <v>882</v>
      </c>
      <c r="Z593" s="3">
        <v>0</v>
      </c>
      <c r="AA593" s="3">
        <v>118</v>
      </c>
      <c r="AB593" s="3">
        <v>204</v>
      </c>
      <c r="AC593" s="192">
        <v>0</v>
      </c>
      <c r="AF593" s="193">
        <v>1.9444444444444445E-2</v>
      </c>
      <c r="AG593" s="193">
        <v>3.4027777777777775E-2</v>
      </c>
      <c r="AH593" s="193">
        <v>0.31041666666666667</v>
      </c>
    </row>
    <row r="594" spans="1:34" x14ac:dyDescent="0.25">
      <c r="A594" s="3" t="s">
        <v>413</v>
      </c>
      <c r="B594" s="3">
        <v>128167</v>
      </c>
      <c r="C594" s="3">
        <v>941707</v>
      </c>
      <c r="D594" s="3" t="s">
        <v>3526</v>
      </c>
      <c r="E594" s="3">
        <v>6</v>
      </c>
      <c r="F594" s="3">
        <v>3</v>
      </c>
      <c r="G594" s="3">
        <v>9</v>
      </c>
      <c r="H594" s="55" t="s">
        <v>289</v>
      </c>
      <c r="I594" s="3" t="s">
        <v>279</v>
      </c>
      <c r="J594" s="135">
        <v>46060</v>
      </c>
      <c r="K594" s="3" t="s">
        <v>5096</v>
      </c>
      <c r="L594" s="3">
        <v>2160</v>
      </c>
      <c r="M594" s="3">
        <v>27575</v>
      </c>
      <c r="N594" s="3" t="s">
        <v>5237</v>
      </c>
      <c r="O594" s="3" t="s">
        <v>4754</v>
      </c>
      <c r="R594" s="3">
        <v>15</v>
      </c>
      <c r="S594" s="3" t="s">
        <v>5238</v>
      </c>
      <c r="T594" s="3" t="s">
        <v>5228</v>
      </c>
      <c r="U594" s="3">
        <v>31</v>
      </c>
      <c r="V594" s="3">
        <v>252</v>
      </c>
      <c r="W594" s="3">
        <v>0</v>
      </c>
      <c r="X594" s="3">
        <v>1000</v>
      </c>
      <c r="Y594" s="3">
        <v>936</v>
      </c>
      <c r="Z594" s="3">
        <v>0</v>
      </c>
      <c r="AA594" s="3">
        <v>64</v>
      </c>
      <c r="AB594" s="3">
        <v>268</v>
      </c>
      <c r="AC594" s="192">
        <v>0</v>
      </c>
      <c r="AF594" s="193">
        <v>1.0416666666666666E-2</v>
      </c>
      <c r="AG594" s="193">
        <v>4.4444444444444446E-2</v>
      </c>
      <c r="AH594" s="193">
        <v>0.32083333333333336</v>
      </c>
    </row>
    <row r="595" spans="1:34" x14ac:dyDescent="0.25">
      <c r="A595" s="3" t="s">
        <v>413</v>
      </c>
      <c r="B595" s="3">
        <v>128167</v>
      </c>
      <c r="C595" s="3">
        <v>941707</v>
      </c>
      <c r="D595" s="3" t="s">
        <v>3526</v>
      </c>
      <c r="E595" s="3">
        <v>6</v>
      </c>
      <c r="F595" s="3">
        <v>4</v>
      </c>
      <c r="G595" s="3">
        <v>10</v>
      </c>
      <c r="H595" s="55" t="s">
        <v>289</v>
      </c>
      <c r="I595" s="3" t="s">
        <v>279</v>
      </c>
      <c r="J595" s="135">
        <v>46060</v>
      </c>
      <c r="K595" s="3" t="s">
        <v>5291</v>
      </c>
      <c r="L595" s="3">
        <v>2160</v>
      </c>
      <c r="M595" s="3">
        <v>27575</v>
      </c>
      <c r="N595" s="3" t="s">
        <v>5237</v>
      </c>
      <c r="O595" s="3" t="s">
        <v>4754</v>
      </c>
      <c r="R595" s="3">
        <v>15</v>
      </c>
      <c r="S595" s="3" t="s">
        <v>5238</v>
      </c>
      <c r="T595" s="3" t="s">
        <v>5228</v>
      </c>
      <c r="U595" s="3" t="s">
        <v>398</v>
      </c>
      <c r="V595" s="3">
        <v>252</v>
      </c>
      <c r="W595" s="3">
        <v>0</v>
      </c>
      <c r="X595" s="3">
        <v>700</v>
      </c>
      <c r="Y595" s="3">
        <v>684</v>
      </c>
      <c r="Z595" s="3">
        <v>0</v>
      </c>
      <c r="AA595" s="3">
        <v>16</v>
      </c>
      <c r="AB595" s="3">
        <v>284</v>
      </c>
      <c r="AC595" s="192">
        <v>0</v>
      </c>
      <c r="AF595" s="193">
        <v>2.7777777777777779E-3</v>
      </c>
      <c r="AG595" s="193">
        <v>4.7222222222222221E-2</v>
      </c>
      <c r="AH595" s="193">
        <v>0.32361111111111113</v>
      </c>
    </row>
    <row r="596" spans="1:34" x14ac:dyDescent="0.25">
      <c r="A596" s="3" t="s">
        <v>413</v>
      </c>
      <c r="B596" s="3">
        <v>128166</v>
      </c>
      <c r="C596" s="3">
        <v>941707</v>
      </c>
      <c r="D596" s="3" t="s">
        <v>3526</v>
      </c>
      <c r="E596" s="3">
        <v>6</v>
      </c>
      <c r="F596" s="3">
        <v>5</v>
      </c>
      <c r="G596" s="3">
        <v>3</v>
      </c>
      <c r="H596" s="55" t="s">
        <v>289</v>
      </c>
      <c r="I596" s="3" t="s">
        <v>279</v>
      </c>
      <c r="J596" s="135">
        <v>46060</v>
      </c>
      <c r="L596" s="3">
        <v>2160</v>
      </c>
      <c r="M596" s="3">
        <v>27575</v>
      </c>
      <c r="N596" s="3" t="s">
        <v>5237</v>
      </c>
      <c r="R596" s="3">
        <v>15</v>
      </c>
      <c r="S596" s="3" t="s">
        <v>5327</v>
      </c>
      <c r="T596" s="3" t="s">
        <v>5328</v>
      </c>
      <c r="U596" s="3">
        <v>25</v>
      </c>
      <c r="V596" s="3">
        <v>252</v>
      </c>
      <c r="W596" s="3">
        <v>0</v>
      </c>
      <c r="X596" s="3">
        <v>100</v>
      </c>
      <c r="Y596" s="3">
        <v>0</v>
      </c>
      <c r="Z596" s="3">
        <v>0</v>
      </c>
      <c r="AA596" s="3">
        <v>100</v>
      </c>
      <c r="AB596" s="3">
        <v>384</v>
      </c>
      <c r="AC596" s="192">
        <v>0</v>
      </c>
      <c r="AF596" s="193">
        <v>1.6666666666666666E-2</v>
      </c>
      <c r="AG596" s="193">
        <v>6.3194444444444442E-2</v>
      </c>
      <c r="AH596" s="193">
        <v>0.34027777777777779</v>
      </c>
    </row>
    <row r="597" spans="1:34" x14ac:dyDescent="0.25">
      <c r="A597" s="3" t="s">
        <v>413</v>
      </c>
      <c r="B597" s="3">
        <v>128166</v>
      </c>
      <c r="C597" s="3">
        <v>941707</v>
      </c>
      <c r="D597" s="3" t="s">
        <v>3526</v>
      </c>
      <c r="E597" s="3">
        <v>6</v>
      </c>
      <c r="F597" s="3">
        <v>6</v>
      </c>
      <c r="G597" s="3">
        <v>5</v>
      </c>
      <c r="H597" s="55" t="s">
        <v>289</v>
      </c>
      <c r="I597" s="3" t="s">
        <v>279</v>
      </c>
      <c r="J597" s="135">
        <v>46060</v>
      </c>
      <c r="K597" s="3" t="s">
        <v>5291</v>
      </c>
      <c r="L597" s="3">
        <v>2160</v>
      </c>
      <c r="M597" s="3">
        <v>27575</v>
      </c>
      <c r="N597" s="3" t="s">
        <v>5237</v>
      </c>
      <c r="R597" s="3">
        <v>15</v>
      </c>
      <c r="S597" s="3" t="s">
        <v>5327</v>
      </c>
      <c r="T597" s="3" t="s">
        <v>5328</v>
      </c>
      <c r="U597" s="3">
        <v>28</v>
      </c>
      <c r="V597" s="3">
        <v>252</v>
      </c>
      <c r="W597" s="3">
        <v>0</v>
      </c>
      <c r="X597" s="3">
        <v>200</v>
      </c>
      <c r="Y597" s="3">
        <v>182</v>
      </c>
      <c r="Z597" s="3">
        <v>0</v>
      </c>
      <c r="AA597" s="3">
        <v>18</v>
      </c>
      <c r="AB597" s="3">
        <v>402</v>
      </c>
      <c r="AC597" s="192">
        <v>0</v>
      </c>
      <c r="AF597" s="193">
        <v>2.7777777777777779E-3</v>
      </c>
      <c r="AG597" s="193">
        <v>6.6666666666666666E-2</v>
      </c>
      <c r="AH597" s="193">
        <v>0.34305555555555556</v>
      </c>
    </row>
    <row r="598" spans="1:34" x14ac:dyDescent="0.25">
      <c r="A598" s="3" t="s">
        <v>413</v>
      </c>
      <c r="B598" s="3">
        <v>128166</v>
      </c>
      <c r="C598" s="3">
        <v>941707</v>
      </c>
      <c r="D598" s="3" t="s">
        <v>3526</v>
      </c>
      <c r="E598" s="3">
        <v>6</v>
      </c>
      <c r="F598" s="3">
        <v>7</v>
      </c>
      <c r="G598" s="3">
        <v>9</v>
      </c>
      <c r="H598" s="55" t="s">
        <v>289</v>
      </c>
      <c r="I598" s="3" t="s">
        <v>279</v>
      </c>
      <c r="J598" s="135">
        <v>46060</v>
      </c>
      <c r="K598" s="3" t="s">
        <v>5291</v>
      </c>
      <c r="L598" s="3">
        <v>2160</v>
      </c>
      <c r="M598" s="3">
        <v>27575</v>
      </c>
      <c r="N598" s="3" t="s">
        <v>5237</v>
      </c>
      <c r="R598" s="3">
        <v>15</v>
      </c>
      <c r="S598" s="3" t="s">
        <v>5327</v>
      </c>
      <c r="T598" s="3" t="s">
        <v>5328</v>
      </c>
      <c r="U598" s="3" t="s">
        <v>398</v>
      </c>
      <c r="V598" s="3">
        <v>252</v>
      </c>
      <c r="W598" s="3">
        <v>0</v>
      </c>
      <c r="X598" s="3">
        <v>200</v>
      </c>
      <c r="Y598" s="3">
        <v>182</v>
      </c>
      <c r="Z598" s="3">
        <v>0</v>
      </c>
      <c r="AA598" s="3">
        <v>18</v>
      </c>
      <c r="AB598" s="3">
        <v>420</v>
      </c>
      <c r="AC598" s="192">
        <v>0</v>
      </c>
      <c r="AF598" s="193">
        <v>2.7777777777777779E-3</v>
      </c>
      <c r="AG598" s="193">
        <v>6.9444444444444448E-2</v>
      </c>
      <c r="AH598" s="193">
        <v>0.34583333333333333</v>
      </c>
    </row>
    <row r="599" spans="1:34" x14ac:dyDescent="0.25">
      <c r="A599" s="3" t="s">
        <v>413</v>
      </c>
      <c r="B599" s="3">
        <v>128168</v>
      </c>
      <c r="C599" s="3">
        <v>941707</v>
      </c>
      <c r="D599" s="3" t="s">
        <v>3526</v>
      </c>
      <c r="E599" s="3">
        <v>6</v>
      </c>
      <c r="F599" s="3">
        <v>8</v>
      </c>
      <c r="G599" s="3">
        <v>10</v>
      </c>
      <c r="H599" s="55" t="s">
        <v>289</v>
      </c>
      <c r="I599" s="3" t="s">
        <v>279</v>
      </c>
      <c r="J599" s="135">
        <v>46060</v>
      </c>
      <c r="K599" s="3" t="s">
        <v>5363</v>
      </c>
      <c r="L599" s="3">
        <v>2160</v>
      </c>
      <c r="M599" s="3">
        <v>27575</v>
      </c>
      <c r="N599" s="3" t="s">
        <v>5237</v>
      </c>
      <c r="O599" s="3" t="s">
        <v>4754</v>
      </c>
      <c r="R599" s="3">
        <v>15</v>
      </c>
      <c r="S599" s="3" t="s">
        <v>5329</v>
      </c>
      <c r="T599" s="3" t="s">
        <v>5167</v>
      </c>
      <c r="U599" s="3" t="s">
        <v>398</v>
      </c>
      <c r="V599" s="3">
        <v>252</v>
      </c>
      <c r="W599" s="3">
        <v>0</v>
      </c>
      <c r="X599" s="3">
        <v>444</v>
      </c>
      <c r="Y599" s="3">
        <v>54</v>
      </c>
      <c r="Z599" s="3">
        <v>0</v>
      </c>
      <c r="AA599" s="3">
        <v>390</v>
      </c>
      <c r="AB599" s="3">
        <v>810</v>
      </c>
      <c r="AC599" s="192">
        <v>8.3333333333333332E-3</v>
      </c>
      <c r="AD599" s="3" t="s">
        <v>292</v>
      </c>
      <c r="AF599" s="193">
        <v>6.458333333333334E-2</v>
      </c>
      <c r="AG599" s="193">
        <v>0.13402777777777777</v>
      </c>
      <c r="AH599" s="193">
        <v>0.41875000000000001</v>
      </c>
    </row>
    <row r="600" spans="1:34" x14ac:dyDescent="0.25">
      <c r="A600" s="3" t="s">
        <v>413</v>
      </c>
      <c r="B600" s="3">
        <v>128169</v>
      </c>
      <c r="C600" s="3">
        <v>941707</v>
      </c>
      <c r="D600" s="3" t="s">
        <v>3526</v>
      </c>
      <c r="E600" s="3">
        <v>6</v>
      </c>
      <c r="F600" s="3">
        <v>9</v>
      </c>
      <c r="G600" s="3">
        <v>4</v>
      </c>
      <c r="H600" s="55" t="s">
        <v>289</v>
      </c>
      <c r="I600" s="3" t="s">
        <v>279</v>
      </c>
      <c r="J600" s="135">
        <v>46060</v>
      </c>
      <c r="L600" s="3">
        <v>2160</v>
      </c>
      <c r="M600" s="3">
        <v>27575</v>
      </c>
      <c r="N600" s="3" t="s">
        <v>5237</v>
      </c>
      <c r="O600" s="3" t="s">
        <v>4754</v>
      </c>
      <c r="R600" s="3">
        <v>15</v>
      </c>
      <c r="S600" s="3" t="s">
        <v>5452</v>
      </c>
      <c r="T600" s="3" t="s">
        <v>5166</v>
      </c>
      <c r="U600" s="3">
        <v>25</v>
      </c>
      <c r="V600" s="3">
        <v>252</v>
      </c>
      <c r="W600" s="3">
        <v>0</v>
      </c>
      <c r="X600" s="3">
        <v>240</v>
      </c>
      <c r="Y600" s="3">
        <v>0</v>
      </c>
      <c r="Z600" s="3">
        <v>0</v>
      </c>
      <c r="AA600" s="3">
        <v>240</v>
      </c>
      <c r="AB600" s="3">
        <v>1050</v>
      </c>
      <c r="AC600" s="192">
        <v>0</v>
      </c>
      <c r="AF600" s="193">
        <v>3.9583333333333331E-2</v>
      </c>
      <c r="AG600" s="193">
        <v>0.1736111111111111</v>
      </c>
      <c r="AH600" s="193">
        <v>0.45833333333333331</v>
      </c>
    </row>
    <row r="601" spans="1:34" x14ac:dyDescent="0.25">
      <c r="A601" s="3" t="s">
        <v>413</v>
      </c>
      <c r="B601" s="3">
        <v>128169</v>
      </c>
      <c r="C601" s="3">
        <v>941707</v>
      </c>
      <c r="D601" s="3" t="s">
        <v>3526</v>
      </c>
      <c r="E601" s="3">
        <v>6</v>
      </c>
      <c r="F601" s="3">
        <v>10</v>
      </c>
      <c r="G601" s="3">
        <v>5</v>
      </c>
      <c r="H601" s="55" t="s">
        <v>289</v>
      </c>
      <c r="I601" s="3" t="s">
        <v>279</v>
      </c>
      <c r="J601" s="135">
        <v>46060</v>
      </c>
      <c r="L601" s="3">
        <v>2160</v>
      </c>
      <c r="M601" s="3">
        <v>27575</v>
      </c>
      <c r="N601" s="3" t="s">
        <v>5237</v>
      </c>
      <c r="O601" s="3" t="s">
        <v>4754</v>
      </c>
      <c r="R601" s="3">
        <v>15</v>
      </c>
      <c r="S601" s="3" t="s">
        <v>5452</v>
      </c>
      <c r="T601" s="3" t="s">
        <v>5166</v>
      </c>
      <c r="U601" s="3" t="s">
        <v>397</v>
      </c>
      <c r="V601" s="3">
        <v>252</v>
      </c>
      <c r="W601" s="3">
        <v>0</v>
      </c>
      <c r="X601" s="3">
        <v>360</v>
      </c>
      <c r="Y601" s="3">
        <v>0</v>
      </c>
      <c r="Z601" s="3">
        <v>0</v>
      </c>
      <c r="AA601" s="3">
        <v>360</v>
      </c>
      <c r="AB601" s="3">
        <v>1410</v>
      </c>
      <c r="AC601" s="192">
        <v>4.1666666666666664E-2</v>
      </c>
      <c r="AD601" s="3" t="s">
        <v>294</v>
      </c>
      <c r="AE601" s="3" t="s">
        <v>295</v>
      </c>
      <c r="AF601" s="193">
        <v>5.9722222222222225E-2</v>
      </c>
      <c r="AG601" s="193">
        <v>0.23333333333333334</v>
      </c>
      <c r="AH601" s="193">
        <v>0.55972222222222223</v>
      </c>
    </row>
    <row r="602" spans="1:34" x14ac:dyDescent="0.25">
      <c r="A602" s="3" t="s">
        <v>413</v>
      </c>
      <c r="B602" s="3">
        <v>128169</v>
      </c>
      <c r="C602" s="3">
        <v>941707</v>
      </c>
      <c r="D602" s="3" t="s">
        <v>3526</v>
      </c>
      <c r="E602" s="3">
        <v>6</v>
      </c>
      <c r="F602" s="3">
        <v>11</v>
      </c>
      <c r="G602" s="3">
        <v>6</v>
      </c>
      <c r="H602" s="55" t="s">
        <v>289</v>
      </c>
      <c r="I602" s="3" t="s">
        <v>279</v>
      </c>
      <c r="J602" s="135">
        <v>46060</v>
      </c>
      <c r="L602" s="3">
        <v>2160</v>
      </c>
      <c r="M602" s="3">
        <v>27575</v>
      </c>
      <c r="N602" s="3" t="s">
        <v>5237</v>
      </c>
      <c r="O602" s="3" t="s">
        <v>4754</v>
      </c>
      <c r="R602" s="3">
        <v>15</v>
      </c>
      <c r="S602" s="3" t="s">
        <v>5452</v>
      </c>
      <c r="T602" s="3" t="s">
        <v>5166</v>
      </c>
      <c r="U602" s="3">
        <v>28</v>
      </c>
      <c r="V602" s="3">
        <v>252</v>
      </c>
      <c r="W602" s="3">
        <v>0</v>
      </c>
      <c r="X602" s="3">
        <v>600</v>
      </c>
      <c r="Y602" s="3">
        <v>0</v>
      </c>
      <c r="Z602" s="3">
        <v>0</v>
      </c>
      <c r="AA602" s="3">
        <v>600</v>
      </c>
      <c r="AB602" s="3">
        <v>2010</v>
      </c>
      <c r="AC602" s="192">
        <v>8.3333333333333332E-3</v>
      </c>
      <c r="AD602" s="3" t="s">
        <v>404</v>
      </c>
      <c r="AF602" s="193">
        <v>9.930555555555555E-2</v>
      </c>
      <c r="AG602" s="193">
        <v>0.33263888888888887</v>
      </c>
      <c r="AH602" s="193">
        <v>0.6743055555555556</v>
      </c>
    </row>
    <row r="603" spans="1:34" x14ac:dyDescent="0.25">
      <c r="A603" s="3" t="s">
        <v>413</v>
      </c>
      <c r="B603" s="3">
        <v>128169</v>
      </c>
      <c r="C603" s="3">
        <v>941707</v>
      </c>
      <c r="D603" s="3" t="s">
        <v>3526</v>
      </c>
      <c r="E603" s="3">
        <v>6</v>
      </c>
      <c r="F603" s="3">
        <v>12</v>
      </c>
      <c r="G603" s="3">
        <v>7</v>
      </c>
      <c r="H603" s="55" t="s">
        <v>289</v>
      </c>
      <c r="I603" s="3" t="s">
        <v>279</v>
      </c>
      <c r="J603" s="135">
        <v>46060</v>
      </c>
      <c r="L603" s="3">
        <v>2160</v>
      </c>
      <c r="M603" s="3">
        <v>27575</v>
      </c>
      <c r="N603" s="3" t="s">
        <v>5237</v>
      </c>
      <c r="O603" s="3" t="s">
        <v>4754</v>
      </c>
      <c r="R603" s="3">
        <v>15</v>
      </c>
      <c r="S603" s="3" t="s">
        <v>5452</v>
      </c>
      <c r="T603" s="3" t="s">
        <v>5166</v>
      </c>
      <c r="U603" s="3">
        <v>29</v>
      </c>
      <c r="V603" s="3">
        <v>252</v>
      </c>
      <c r="W603" s="3">
        <v>0</v>
      </c>
      <c r="X603" s="3">
        <v>600</v>
      </c>
      <c r="Y603" s="3">
        <v>0</v>
      </c>
      <c r="Z603" s="3">
        <v>0</v>
      </c>
      <c r="AA603" s="3">
        <v>600</v>
      </c>
      <c r="AB603" s="3">
        <v>2610</v>
      </c>
      <c r="AC603" s="192">
        <v>8.3333333333333332E-3</v>
      </c>
      <c r="AD603" s="3" t="s">
        <v>292</v>
      </c>
      <c r="AF603" s="193">
        <v>9.930555555555555E-2</v>
      </c>
      <c r="AG603" s="193">
        <v>0.43125000000000002</v>
      </c>
      <c r="AH603" s="193">
        <v>0.78194444444444444</v>
      </c>
    </row>
    <row r="604" spans="1:34" x14ac:dyDescent="0.25">
      <c r="A604" s="3" t="s">
        <v>413</v>
      </c>
      <c r="B604" s="3">
        <v>128169</v>
      </c>
      <c r="C604" s="3">
        <v>941707</v>
      </c>
      <c r="D604" s="3" t="s">
        <v>3526</v>
      </c>
      <c r="E604" s="3">
        <v>6</v>
      </c>
      <c r="F604" s="3">
        <v>13</v>
      </c>
      <c r="G604" s="3">
        <v>8</v>
      </c>
      <c r="H604" s="55" t="s">
        <v>289</v>
      </c>
      <c r="I604" s="3" t="s">
        <v>279</v>
      </c>
      <c r="J604" s="135">
        <v>46060</v>
      </c>
      <c r="L604" s="3">
        <v>2160</v>
      </c>
      <c r="M604" s="3">
        <v>27575</v>
      </c>
      <c r="N604" s="3" t="s">
        <v>5237</v>
      </c>
      <c r="O604" s="3" t="s">
        <v>4754</v>
      </c>
      <c r="R604" s="3">
        <v>15</v>
      </c>
      <c r="S604" s="3" t="s">
        <v>5452</v>
      </c>
      <c r="T604" s="3" t="s">
        <v>5166</v>
      </c>
      <c r="U604" s="3">
        <v>30</v>
      </c>
      <c r="V604" s="3">
        <v>252</v>
      </c>
      <c r="W604" s="3">
        <v>0</v>
      </c>
      <c r="X604" s="3">
        <v>600</v>
      </c>
      <c r="Y604" s="3">
        <v>0</v>
      </c>
      <c r="Z604" s="3">
        <v>0</v>
      </c>
      <c r="AA604" s="3">
        <v>600</v>
      </c>
      <c r="AB604" s="3">
        <v>3210</v>
      </c>
      <c r="AC604" s="192">
        <v>4.1666666666666664E-2</v>
      </c>
      <c r="AD604" s="3" t="s">
        <v>294</v>
      </c>
      <c r="AE604" s="3" t="s">
        <v>295</v>
      </c>
      <c r="AF604" s="193">
        <v>9.930555555555555E-2</v>
      </c>
      <c r="AG604" s="193">
        <v>0.53055555555555556</v>
      </c>
      <c r="AH604" s="193">
        <v>0.92291666666666672</v>
      </c>
    </row>
    <row r="605" spans="1:34" x14ac:dyDescent="0.25">
      <c r="A605" s="3" t="s">
        <v>418</v>
      </c>
      <c r="B605" s="3">
        <v>138043</v>
      </c>
      <c r="C605" s="3">
        <v>941707</v>
      </c>
      <c r="D605" s="3" t="s">
        <v>3526</v>
      </c>
      <c r="E605" s="3">
        <v>6</v>
      </c>
      <c r="F605" s="3">
        <v>1</v>
      </c>
      <c r="G605" s="3">
        <v>8</v>
      </c>
      <c r="H605" s="55" t="s">
        <v>289</v>
      </c>
      <c r="I605" s="3" t="s">
        <v>279</v>
      </c>
      <c r="J605" s="135">
        <v>46272</v>
      </c>
      <c r="K605" s="3" t="s">
        <v>5291</v>
      </c>
      <c r="L605" s="3">
        <v>2160</v>
      </c>
      <c r="M605" s="3">
        <v>27570</v>
      </c>
      <c r="N605" s="3" t="s">
        <v>3517</v>
      </c>
      <c r="R605" s="3">
        <v>13</v>
      </c>
      <c r="S605" s="3" t="s">
        <v>3519</v>
      </c>
      <c r="T605" s="3" t="s">
        <v>3520</v>
      </c>
      <c r="U605" s="3">
        <v>38</v>
      </c>
      <c r="V605" s="3">
        <v>383</v>
      </c>
      <c r="W605" s="3">
        <v>0</v>
      </c>
      <c r="X605" s="3">
        <v>2304</v>
      </c>
      <c r="Y605" s="3">
        <v>2020</v>
      </c>
      <c r="Z605" s="3">
        <v>0</v>
      </c>
      <c r="AA605" s="3">
        <v>284</v>
      </c>
      <c r="AB605" s="3">
        <v>284</v>
      </c>
      <c r="AC605" s="192">
        <v>0</v>
      </c>
      <c r="AF605" s="193">
        <v>3.0555555555555555E-2</v>
      </c>
      <c r="AG605" s="193">
        <v>3.0555555555555555E-2</v>
      </c>
      <c r="AH605" s="193">
        <v>0.30763888888888891</v>
      </c>
    </row>
    <row r="606" spans="1:34" x14ac:dyDescent="0.25">
      <c r="A606" s="3" t="s">
        <v>418</v>
      </c>
      <c r="B606" s="3">
        <v>132834</v>
      </c>
      <c r="C606" s="3">
        <v>941707</v>
      </c>
      <c r="D606" s="3" t="s">
        <v>3526</v>
      </c>
      <c r="E606" s="3">
        <v>6</v>
      </c>
      <c r="F606" s="3">
        <v>2</v>
      </c>
      <c r="G606" s="3">
        <v>7</v>
      </c>
      <c r="H606" s="55" t="s">
        <v>289</v>
      </c>
      <c r="I606" s="3" t="s">
        <v>279</v>
      </c>
      <c r="J606" s="135">
        <v>46180</v>
      </c>
      <c r="L606" s="3">
        <v>2160</v>
      </c>
      <c r="M606" s="3">
        <v>27570</v>
      </c>
      <c r="N606" s="3" t="s">
        <v>3517</v>
      </c>
      <c r="R606" s="3">
        <v>13</v>
      </c>
      <c r="S606" s="3" t="s">
        <v>4428</v>
      </c>
      <c r="T606" s="3" t="s">
        <v>5389</v>
      </c>
      <c r="U606" s="3">
        <v>37</v>
      </c>
      <c r="V606" s="3">
        <v>383</v>
      </c>
      <c r="W606" s="3">
        <v>0</v>
      </c>
      <c r="X606" s="3">
        <v>288</v>
      </c>
      <c r="Y606" s="3">
        <v>0</v>
      </c>
      <c r="Z606" s="3">
        <v>0</v>
      </c>
      <c r="AA606" s="3">
        <v>288</v>
      </c>
      <c r="AB606" s="3">
        <v>572</v>
      </c>
      <c r="AC606" s="192">
        <v>0</v>
      </c>
      <c r="AF606" s="193">
        <v>3.125E-2</v>
      </c>
      <c r="AG606" s="193">
        <v>6.25E-2</v>
      </c>
      <c r="AH606" s="193">
        <v>0.33888888888888891</v>
      </c>
    </row>
    <row r="607" spans="1:34" x14ac:dyDescent="0.25">
      <c r="A607" s="3" t="s">
        <v>418</v>
      </c>
      <c r="B607" s="3">
        <v>132834</v>
      </c>
      <c r="C607" s="3">
        <v>941707</v>
      </c>
      <c r="D607" s="3" t="s">
        <v>3526</v>
      </c>
      <c r="E607" s="3">
        <v>6</v>
      </c>
      <c r="F607" s="3">
        <v>3</v>
      </c>
      <c r="G607" s="3">
        <v>8</v>
      </c>
      <c r="H607" s="55" t="s">
        <v>289</v>
      </c>
      <c r="I607" s="3" t="s">
        <v>279</v>
      </c>
      <c r="J607" s="135">
        <v>46180</v>
      </c>
      <c r="L607" s="3">
        <v>2160</v>
      </c>
      <c r="M607" s="3">
        <v>27570</v>
      </c>
      <c r="N607" s="3" t="s">
        <v>3517</v>
      </c>
      <c r="R607" s="3">
        <v>13</v>
      </c>
      <c r="S607" s="3" t="s">
        <v>4428</v>
      </c>
      <c r="T607" s="3" t="s">
        <v>5389</v>
      </c>
      <c r="U607" s="3">
        <v>38</v>
      </c>
      <c r="V607" s="3">
        <v>383</v>
      </c>
      <c r="W607" s="3">
        <v>0</v>
      </c>
      <c r="X607" s="3">
        <v>192</v>
      </c>
      <c r="Y607" s="3">
        <v>0</v>
      </c>
      <c r="Z607" s="3">
        <v>0</v>
      </c>
      <c r="AA607" s="3">
        <v>192</v>
      </c>
      <c r="AB607" s="3">
        <v>764</v>
      </c>
      <c r="AC607" s="192">
        <v>8.3333333333333332E-3</v>
      </c>
      <c r="AD607" s="3" t="s">
        <v>292</v>
      </c>
      <c r="AF607" s="193">
        <v>2.0833333333333332E-2</v>
      </c>
      <c r="AG607" s="193">
        <v>8.3333333333333329E-2</v>
      </c>
      <c r="AH607" s="193">
        <v>0.36805555555555558</v>
      </c>
    </row>
    <row r="608" spans="1:34" x14ac:dyDescent="0.25">
      <c r="A608" s="3" t="s">
        <v>418</v>
      </c>
      <c r="B608" s="3">
        <v>132834</v>
      </c>
      <c r="C608" s="3">
        <v>941707</v>
      </c>
      <c r="D608" s="3" t="s">
        <v>3526</v>
      </c>
      <c r="E608" s="3">
        <v>6</v>
      </c>
      <c r="F608" s="3">
        <v>4</v>
      </c>
      <c r="G608" s="3">
        <v>9</v>
      </c>
      <c r="H608" s="55" t="s">
        <v>289</v>
      </c>
      <c r="I608" s="3" t="s">
        <v>279</v>
      </c>
      <c r="J608" s="135">
        <v>46180</v>
      </c>
      <c r="L608" s="3">
        <v>2160</v>
      </c>
      <c r="M608" s="3">
        <v>27570</v>
      </c>
      <c r="N608" s="3" t="s">
        <v>3517</v>
      </c>
      <c r="R608" s="3">
        <v>13</v>
      </c>
      <c r="S608" s="3" t="s">
        <v>4428</v>
      </c>
      <c r="T608" s="3" t="s">
        <v>5389</v>
      </c>
      <c r="U608" s="3" t="s">
        <v>280</v>
      </c>
      <c r="V608" s="3">
        <v>383</v>
      </c>
      <c r="W608" s="3">
        <v>0</v>
      </c>
      <c r="X608" s="3">
        <v>128</v>
      </c>
      <c r="Y608" s="3">
        <v>0</v>
      </c>
      <c r="Z608" s="3">
        <v>0</v>
      </c>
      <c r="AA608" s="3">
        <v>128</v>
      </c>
      <c r="AB608" s="3">
        <v>892</v>
      </c>
      <c r="AC608" s="192">
        <v>0</v>
      </c>
      <c r="AF608" s="193">
        <v>1.3888888888888888E-2</v>
      </c>
      <c r="AG608" s="193">
        <v>9.7222222222222224E-2</v>
      </c>
      <c r="AH608" s="193">
        <v>0.38194444444444442</v>
      </c>
    </row>
    <row r="609" spans="1:34" x14ac:dyDescent="0.25">
      <c r="A609" s="3" t="s">
        <v>418</v>
      </c>
      <c r="B609" s="3">
        <v>132835</v>
      </c>
      <c r="C609" s="3">
        <v>941707</v>
      </c>
      <c r="D609" s="3" t="s">
        <v>3526</v>
      </c>
      <c r="E609" s="3">
        <v>6</v>
      </c>
      <c r="F609" s="3">
        <v>5</v>
      </c>
      <c r="G609" s="3">
        <v>7</v>
      </c>
      <c r="H609" s="55" t="s">
        <v>289</v>
      </c>
      <c r="I609" s="3" t="s">
        <v>279</v>
      </c>
      <c r="J609" s="135">
        <v>46180</v>
      </c>
      <c r="L609" s="3">
        <v>2160</v>
      </c>
      <c r="M609" s="3">
        <v>27570</v>
      </c>
      <c r="N609" s="3" t="s">
        <v>3517</v>
      </c>
      <c r="R609" s="3">
        <v>13</v>
      </c>
      <c r="S609" s="3" t="s">
        <v>4883</v>
      </c>
      <c r="T609" s="3" t="s">
        <v>5239</v>
      </c>
      <c r="U609" s="3">
        <v>37</v>
      </c>
      <c r="V609" s="3">
        <v>383</v>
      </c>
      <c r="W609" s="3">
        <v>0</v>
      </c>
      <c r="X609" s="3">
        <v>504</v>
      </c>
      <c r="Y609" s="3">
        <v>0</v>
      </c>
      <c r="Z609" s="3">
        <v>0</v>
      </c>
      <c r="AA609" s="3">
        <v>504</v>
      </c>
      <c r="AB609" s="3">
        <v>1396</v>
      </c>
      <c r="AC609" s="192">
        <v>0</v>
      </c>
      <c r="AF609" s="193">
        <v>5.486111111111111E-2</v>
      </c>
      <c r="AG609" s="193">
        <v>0.15208333333333332</v>
      </c>
      <c r="AH609" s="193">
        <v>0.43680555555555556</v>
      </c>
    </row>
    <row r="610" spans="1:34" x14ac:dyDescent="0.25">
      <c r="A610" s="3" t="s">
        <v>418</v>
      </c>
      <c r="B610" s="3">
        <v>132835</v>
      </c>
      <c r="C610" s="3">
        <v>941707</v>
      </c>
      <c r="D610" s="3" t="s">
        <v>3526</v>
      </c>
      <c r="E610" s="3">
        <v>6</v>
      </c>
      <c r="F610" s="3">
        <v>6</v>
      </c>
      <c r="G610" s="3">
        <v>8</v>
      </c>
      <c r="H610" s="55" t="s">
        <v>289</v>
      </c>
      <c r="I610" s="3" t="s">
        <v>279</v>
      </c>
      <c r="J610" s="135">
        <v>46180</v>
      </c>
      <c r="L610" s="3">
        <v>2160</v>
      </c>
      <c r="M610" s="3">
        <v>27570</v>
      </c>
      <c r="N610" s="3" t="s">
        <v>3517</v>
      </c>
      <c r="R610" s="3">
        <v>13</v>
      </c>
      <c r="S610" s="3" t="s">
        <v>4883</v>
      </c>
      <c r="T610" s="3" t="s">
        <v>5239</v>
      </c>
      <c r="U610" s="3">
        <v>38</v>
      </c>
      <c r="V610" s="3">
        <v>383</v>
      </c>
      <c r="W610" s="3">
        <v>0</v>
      </c>
      <c r="X610" s="3">
        <v>336</v>
      </c>
      <c r="Y610" s="3">
        <v>0</v>
      </c>
      <c r="Z610" s="3">
        <v>0</v>
      </c>
      <c r="AA610" s="3">
        <v>336</v>
      </c>
      <c r="AB610" s="3">
        <v>1732</v>
      </c>
      <c r="AC610" s="192">
        <v>4.1666666666666664E-2</v>
      </c>
      <c r="AD610" s="3" t="s">
        <v>294</v>
      </c>
      <c r="AE610" s="3" t="s">
        <v>295</v>
      </c>
      <c r="AF610" s="193">
        <v>3.6805555555555557E-2</v>
      </c>
      <c r="AG610" s="193">
        <v>0.18819444444444444</v>
      </c>
      <c r="AH610" s="193">
        <v>0.51527777777777772</v>
      </c>
    </row>
    <row r="611" spans="1:34" x14ac:dyDescent="0.25">
      <c r="A611" s="3" t="s">
        <v>418</v>
      </c>
      <c r="B611" s="3">
        <v>132835</v>
      </c>
      <c r="C611" s="3">
        <v>941707</v>
      </c>
      <c r="D611" s="3" t="s">
        <v>3526</v>
      </c>
      <c r="E611" s="3">
        <v>6</v>
      </c>
      <c r="F611" s="3">
        <v>7</v>
      </c>
      <c r="G611" s="3">
        <v>9</v>
      </c>
      <c r="H611" s="55" t="s">
        <v>289</v>
      </c>
      <c r="I611" s="3" t="s">
        <v>279</v>
      </c>
      <c r="J611" s="135">
        <v>46180</v>
      </c>
      <c r="L611" s="3">
        <v>2160</v>
      </c>
      <c r="M611" s="3">
        <v>27570</v>
      </c>
      <c r="N611" s="3" t="s">
        <v>3517</v>
      </c>
      <c r="R611" s="3">
        <v>13</v>
      </c>
      <c r="S611" s="3" t="s">
        <v>4883</v>
      </c>
      <c r="T611" s="3" t="s">
        <v>5239</v>
      </c>
      <c r="U611" s="3" t="s">
        <v>280</v>
      </c>
      <c r="V611" s="3">
        <v>383</v>
      </c>
      <c r="W611" s="3">
        <v>0</v>
      </c>
      <c r="X611" s="3">
        <v>224</v>
      </c>
      <c r="Y611" s="3">
        <v>0</v>
      </c>
      <c r="Z611" s="3">
        <v>0</v>
      </c>
      <c r="AA611" s="3">
        <v>224</v>
      </c>
      <c r="AB611" s="3">
        <v>1956</v>
      </c>
      <c r="AC611" s="192">
        <v>0</v>
      </c>
      <c r="AF611" s="193">
        <v>2.4305555555555556E-2</v>
      </c>
      <c r="AG611" s="193">
        <v>0.21249999999999999</v>
      </c>
      <c r="AH611" s="193">
        <v>0.5395833333333333</v>
      </c>
    </row>
    <row r="612" spans="1:34" x14ac:dyDescent="0.25">
      <c r="A612" s="3" t="s">
        <v>418</v>
      </c>
      <c r="B612" s="3">
        <v>133095</v>
      </c>
      <c r="C612" s="3">
        <v>941707</v>
      </c>
      <c r="D612" s="3" t="s">
        <v>3526</v>
      </c>
      <c r="E612" s="3">
        <v>6</v>
      </c>
      <c r="F612" s="3">
        <v>8</v>
      </c>
      <c r="G612" s="3">
        <v>7</v>
      </c>
      <c r="H612" s="55" t="s">
        <v>289</v>
      </c>
      <c r="I612" s="3" t="s">
        <v>279</v>
      </c>
      <c r="J612" s="135">
        <v>46180</v>
      </c>
      <c r="L612" s="3">
        <v>2160</v>
      </c>
      <c r="M612" s="3">
        <v>27570</v>
      </c>
      <c r="N612" s="3" t="s">
        <v>3517</v>
      </c>
      <c r="R612" s="3">
        <v>13</v>
      </c>
      <c r="S612" s="3" t="s">
        <v>4426</v>
      </c>
      <c r="T612" s="3" t="s">
        <v>5453</v>
      </c>
      <c r="U612" s="3">
        <v>37</v>
      </c>
      <c r="V612" s="3">
        <v>383</v>
      </c>
      <c r="W612" s="3">
        <v>0</v>
      </c>
      <c r="X612" s="3">
        <v>488</v>
      </c>
      <c r="Y612" s="3">
        <v>0</v>
      </c>
      <c r="Z612" s="3">
        <v>0</v>
      </c>
      <c r="AA612" s="3">
        <v>488</v>
      </c>
      <c r="AB612" s="3">
        <v>2444</v>
      </c>
      <c r="AC612" s="192">
        <v>8.3333333333333332E-3</v>
      </c>
      <c r="AD612" s="3" t="s">
        <v>404</v>
      </c>
      <c r="AF612" s="193">
        <v>5.2777777777777778E-2</v>
      </c>
      <c r="AG612" s="193">
        <v>0.26597222222222222</v>
      </c>
      <c r="AH612" s="193">
        <v>0.60069444444444442</v>
      </c>
    </row>
    <row r="613" spans="1:34" x14ac:dyDescent="0.25">
      <c r="A613" s="3" t="s">
        <v>418</v>
      </c>
      <c r="B613" s="3">
        <v>133095</v>
      </c>
      <c r="C613" s="3">
        <v>941707</v>
      </c>
      <c r="D613" s="3" t="s">
        <v>3526</v>
      </c>
      <c r="E613" s="3">
        <v>6</v>
      </c>
      <c r="F613" s="3">
        <v>9</v>
      </c>
      <c r="G613" s="3">
        <v>8</v>
      </c>
      <c r="H613" s="55" t="s">
        <v>289</v>
      </c>
      <c r="I613" s="3" t="s">
        <v>279</v>
      </c>
      <c r="J613" s="135">
        <v>46180</v>
      </c>
      <c r="L613" s="3">
        <v>2160</v>
      </c>
      <c r="M613" s="3">
        <v>27570</v>
      </c>
      <c r="N613" s="3" t="s">
        <v>3517</v>
      </c>
      <c r="R613" s="3">
        <v>13</v>
      </c>
      <c r="S613" s="3" t="s">
        <v>4426</v>
      </c>
      <c r="T613" s="3" t="s">
        <v>5453</v>
      </c>
      <c r="U613" s="3">
        <v>38</v>
      </c>
      <c r="V613" s="3">
        <v>383</v>
      </c>
      <c r="W613" s="3">
        <v>0</v>
      </c>
      <c r="X613" s="3">
        <v>336</v>
      </c>
      <c r="Y613" s="3">
        <v>0</v>
      </c>
      <c r="Z613" s="3">
        <v>0</v>
      </c>
      <c r="AA613" s="3">
        <v>336</v>
      </c>
      <c r="AB613" s="3">
        <v>2780</v>
      </c>
      <c r="AC613" s="192">
        <v>0</v>
      </c>
      <c r="AF613" s="193">
        <v>3.6805555555555557E-2</v>
      </c>
      <c r="AG613" s="193">
        <v>0.30277777777777776</v>
      </c>
      <c r="AH613" s="193">
        <v>0.64444444444444449</v>
      </c>
    </row>
    <row r="614" spans="1:34" x14ac:dyDescent="0.25">
      <c r="A614" s="3" t="s">
        <v>418</v>
      </c>
      <c r="B614" s="3">
        <v>133095</v>
      </c>
      <c r="C614" s="3">
        <v>941707</v>
      </c>
      <c r="D614" s="3" t="s">
        <v>3526</v>
      </c>
      <c r="E614" s="3">
        <v>6</v>
      </c>
      <c r="F614" s="3">
        <v>10</v>
      </c>
      <c r="G614" s="3">
        <v>9</v>
      </c>
      <c r="H614" s="55" t="s">
        <v>289</v>
      </c>
      <c r="I614" s="3" t="s">
        <v>279</v>
      </c>
      <c r="J614" s="135">
        <v>46180</v>
      </c>
      <c r="L614" s="3">
        <v>2160</v>
      </c>
      <c r="M614" s="3">
        <v>27570</v>
      </c>
      <c r="N614" s="3" t="s">
        <v>3517</v>
      </c>
      <c r="R614" s="3">
        <v>13</v>
      </c>
      <c r="S614" s="3" t="s">
        <v>4426</v>
      </c>
      <c r="T614" s="3" t="s">
        <v>5453</v>
      </c>
      <c r="U614" s="3" t="s">
        <v>280</v>
      </c>
      <c r="V614" s="3">
        <v>383</v>
      </c>
      <c r="W614" s="3">
        <v>0</v>
      </c>
      <c r="X614" s="3">
        <v>224</v>
      </c>
      <c r="Y614" s="3">
        <v>0</v>
      </c>
      <c r="Z614" s="3">
        <v>0</v>
      </c>
      <c r="AA614" s="3">
        <v>224</v>
      </c>
      <c r="AB614" s="3">
        <v>3004</v>
      </c>
      <c r="AC614" s="192">
        <v>0</v>
      </c>
      <c r="AF614" s="193">
        <v>2.4305555555555556E-2</v>
      </c>
      <c r="AG614" s="193">
        <v>0.32708333333333334</v>
      </c>
      <c r="AH614" s="193">
        <v>0.66874999999999996</v>
      </c>
    </row>
    <row r="615" spans="1:34" x14ac:dyDescent="0.25">
      <c r="A615" s="3" t="s">
        <v>418</v>
      </c>
      <c r="B615" s="3">
        <v>133096</v>
      </c>
      <c r="C615" s="3">
        <v>941707</v>
      </c>
      <c r="D615" s="3" t="s">
        <v>3526</v>
      </c>
      <c r="E615" s="3">
        <v>6</v>
      </c>
      <c r="F615" s="3">
        <v>11</v>
      </c>
      <c r="G615" s="3">
        <v>7</v>
      </c>
      <c r="H615" s="55" t="s">
        <v>289</v>
      </c>
      <c r="I615" s="3" t="s">
        <v>279</v>
      </c>
      <c r="J615" s="135">
        <v>46180</v>
      </c>
      <c r="L615" s="3">
        <v>2160</v>
      </c>
      <c r="M615" s="3">
        <v>27570</v>
      </c>
      <c r="N615" s="3" t="s">
        <v>3517</v>
      </c>
      <c r="R615" s="3">
        <v>13</v>
      </c>
      <c r="S615" s="3" t="s">
        <v>4427</v>
      </c>
      <c r="T615" s="3" t="s">
        <v>5454</v>
      </c>
      <c r="U615" s="3">
        <v>37</v>
      </c>
      <c r="V615" s="3">
        <v>383</v>
      </c>
      <c r="W615" s="3">
        <v>0</v>
      </c>
      <c r="X615" s="3">
        <v>680</v>
      </c>
      <c r="Y615" s="3">
        <v>0</v>
      </c>
      <c r="Z615" s="3">
        <v>0</v>
      </c>
      <c r="AA615" s="3">
        <v>680</v>
      </c>
      <c r="AB615" s="3">
        <v>3684</v>
      </c>
      <c r="AC615" s="192">
        <v>0</v>
      </c>
      <c r="AF615" s="193">
        <v>7.4305555555555555E-2</v>
      </c>
      <c r="AG615" s="193">
        <v>0.40069444444444446</v>
      </c>
      <c r="AH615" s="193">
        <v>0.74305555555555558</v>
      </c>
    </row>
    <row r="616" spans="1:34" x14ac:dyDescent="0.25">
      <c r="A616" s="3" t="s">
        <v>418</v>
      </c>
      <c r="B616" s="3">
        <v>133096</v>
      </c>
      <c r="C616" s="3">
        <v>941707</v>
      </c>
      <c r="D616" s="3" t="s">
        <v>3526</v>
      </c>
      <c r="E616" s="3">
        <v>6</v>
      </c>
      <c r="F616" s="3">
        <v>12</v>
      </c>
      <c r="G616" s="3">
        <v>8</v>
      </c>
      <c r="H616" s="55" t="s">
        <v>289</v>
      </c>
      <c r="I616" s="3" t="s">
        <v>279</v>
      </c>
      <c r="J616" s="135">
        <v>46180</v>
      </c>
      <c r="L616" s="3">
        <v>2160</v>
      </c>
      <c r="M616" s="3">
        <v>27570</v>
      </c>
      <c r="N616" s="3" t="s">
        <v>3517</v>
      </c>
      <c r="R616" s="3">
        <v>13</v>
      </c>
      <c r="S616" s="3" t="s">
        <v>4427</v>
      </c>
      <c r="T616" s="3" t="s">
        <v>5454</v>
      </c>
      <c r="U616" s="3">
        <v>38</v>
      </c>
      <c r="V616" s="3">
        <v>383</v>
      </c>
      <c r="W616" s="3">
        <v>0</v>
      </c>
      <c r="X616" s="3">
        <v>480</v>
      </c>
      <c r="Y616" s="3">
        <v>0</v>
      </c>
      <c r="Z616" s="3">
        <v>0</v>
      </c>
      <c r="AA616" s="3">
        <v>480</v>
      </c>
      <c r="AB616" s="3">
        <v>4164</v>
      </c>
      <c r="AC616" s="192">
        <v>8.3333333333333332E-3</v>
      </c>
      <c r="AD616" s="3" t="s">
        <v>292</v>
      </c>
      <c r="AF616" s="193">
        <v>5.2083333333333336E-2</v>
      </c>
      <c r="AG616" s="193">
        <v>0.45277777777777778</v>
      </c>
      <c r="AH616" s="193">
        <v>0.80347222222222225</v>
      </c>
    </row>
    <row r="617" spans="1:34" x14ac:dyDescent="0.25">
      <c r="A617" s="3" t="s">
        <v>418</v>
      </c>
      <c r="B617" s="3">
        <v>133096</v>
      </c>
      <c r="C617" s="3">
        <v>941707</v>
      </c>
      <c r="D617" s="3" t="s">
        <v>3526</v>
      </c>
      <c r="E617" s="3">
        <v>6</v>
      </c>
      <c r="F617" s="3">
        <v>13</v>
      </c>
      <c r="G617" s="3">
        <v>9</v>
      </c>
      <c r="H617" s="55" t="s">
        <v>289</v>
      </c>
      <c r="I617" s="3" t="s">
        <v>279</v>
      </c>
      <c r="J617" s="135">
        <v>46180</v>
      </c>
      <c r="L617" s="3">
        <v>2160</v>
      </c>
      <c r="M617" s="3">
        <v>27570</v>
      </c>
      <c r="N617" s="3" t="s">
        <v>3517</v>
      </c>
      <c r="R617" s="3">
        <v>13</v>
      </c>
      <c r="S617" s="3" t="s">
        <v>4427</v>
      </c>
      <c r="T617" s="3" t="s">
        <v>5454</v>
      </c>
      <c r="U617" s="3" t="s">
        <v>280</v>
      </c>
      <c r="V617" s="3">
        <v>383</v>
      </c>
      <c r="W617" s="3">
        <v>0</v>
      </c>
      <c r="X617" s="3">
        <v>320</v>
      </c>
      <c r="Y617" s="3">
        <v>0</v>
      </c>
      <c r="Z617" s="3">
        <v>0</v>
      </c>
      <c r="AA617" s="3">
        <v>320</v>
      </c>
      <c r="AB617" s="3">
        <v>4484</v>
      </c>
      <c r="AC617" s="192">
        <v>4.1666666666666664E-2</v>
      </c>
      <c r="AD617" s="3" t="s">
        <v>294</v>
      </c>
      <c r="AE617" s="3" t="s">
        <v>295</v>
      </c>
      <c r="AF617" s="193">
        <v>3.4722222222222224E-2</v>
      </c>
      <c r="AG617" s="193">
        <v>0.48749999999999999</v>
      </c>
      <c r="AH617" s="193">
        <v>0.87986111111111109</v>
      </c>
    </row>
    <row r="618" spans="1:34" x14ac:dyDescent="0.25">
      <c r="A618" s="3" t="s">
        <v>418</v>
      </c>
      <c r="B618" s="3">
        <v>133097</v>
      </c>
      <c r="C618" s="3">
        <v>941707</v>
      </c>
      <c r="D618" s="3" t="s">
        <v>3526</v>
      </c>
      <c r="E618" s="3">
        <v>6</v>
      </c>
      <c r="F618" s="3">
        <v>14</v>
      </c>
      <c r="G618" s="3">
        <v>7</v>
      </c>
      <c r="H618" s="55" t="s">
        <v>289</v>
      </c>
      <c r="I618" s="3" t="s">
        <v>279</v>
      </c>
      <c r="J618" s="135">
        <v>46180</v>
      </c>
      <c r="L618" s="3">
        <v>2160</v>
      </c>
      <c r="M618" s="3">
        <v>27570</v>
      </c>
      <c r="N618" s="3" t="s">
        <v>3517</v>
      </c>
      <c r="R618" s="3">
        <v>13</v>
      </c>
      <c r="S618" s="3" t="s">
        <v>4884</v>
      </c>
      <c r="T618" s="3" t="s">
        <v>5455</v>
      </c>
      <c r="U618" s="3">
        <v>37</v>
      </c>
      <c r="V618" s="3">
        <v>383</v>
      </c>
      <c r="W618" s="3">
        <v>0</v>
      </c>
      <c r="X618" s="3">
        <v>288</v>
      </c>
      <c r="Y618" s="3">
        <v>0</v>
      </c>
      <c r="Z618" s="3">
        <v>0</v>
      </c>
      <c r="AA618" s="3">
        <v>288</v>
      </c>
      <c r="AB618" s="3">
        <v>4772</v>
      </c>
      <c r="AC618" s="192">
        <v>0</v>
      </c>
      <c r="AF618" s="193">
        <v>3.125E-2</v>
      </c>
      <c r="AG618" s="193">
        <v>0.51944444444444449</v>
      </c>
      <c r="AH618" s="193">
        <v>0.91111111111111109</v>
      </c>
    </row>
    <row r="619" spans="1:34" x14ac:dyDescent="0.25">
      <c r="A619" s="3" t="s">
        <v>418</v>
      </c>
      <c r="B619" s="3">
        <v>133097</v>
      </c>
      <c r="C619" s="3">
        <v>941707</v>
      </c>
      <c r="D619" s="3" t="s">
        <v>3526</v>
      </c>
      <c r="E619" s="3">
        <v>6</v>
      </c>
      <c r="F619" s="3">
        <v>15</v>
      </c>
      <c r="G619" s="3">
        <v>8</v>
      </c>
      <c r="H619" s="55" t="s">
        <v>289</v>
      </c>
      <c r="I619" s="3" t="s">
        <v>279</v>
      </c>
      <c r="J619" s="135">
        <v>46180</v>
      </c>
      <c r="L619" s="3">
        <v>2160</v>
      </c>
      <c r="M619" s="3">
        <v>27570</v>
      </c>
      <c r="N619" s="3" t="s">
        <v>3517</v>
      </c>
      <c r="R619" s="3">
        <v>13</v>
      </c>
      <c r="S619" s="3" t="s">
        <v>4884</v>
      </c>
      <c r="T619" s="3" t="s">
        <v>5455</v>
      </c>
      <c r="U619" s="3">
        <v>38</v>
      </c>
      <c r="V619" s="3">
        <v>383</v>
      </c>
      <c r="W619" s="3">
        <v>0</v>
      </c>
      <c r="X619" s="3">
        <v>192</v>
      </c>
      <c r="Y619" s="3">
        <v>0</v>
      </c>
      <c r="Z619" s="3">
        <v>0</v>
      </c>
      <c r="AA619" s="3">
        <v>192</v>
      </c>
      <c r="AB619" s="3">
        <v>4964</v>
      </c>
      <c r="AC619" s="192">
        <v>0</v>
      </c>
      <c r="AF619" s="193">
        <v>2.0833333333333332E-2</v>
      </c>
      <c r="AG619" s="193">
        <v>0.54027777777777775</v>
      </c>
      <c r="AH619" s="193">
        <v>0.93194444444444446</v>
      </c>
    </row>
    <row r="620" spans="1:34" x14ac:dyDescent="0.25">
      <c r="A620" s="3" t="s">
        <v>418</v>
      </c>
      <c r="B620" s="3">
        <v>133097</v>
      </c>
      <c r="C620" s="3">
        <v>941707</v>
      </c>
      <c r="D620" s="3" t="s">
        <v>3526</v>
      </c>
      <c r="E620" s="3">
        <v>6</v>
      </c>
      <c r="F620" s="3">
        <v>16</v>
      </c>
      <c r="G620" s="3">
        <v>9</v>
      </c>
      <c r="H620" s="55" t="s">
        <v>289</v>
      </c>
      <c r="I620" s="3" t="s">
        <v>279</v>
      </c>
      <c r="J620" s="135">
        <v>46180</v>
      </c>
      <c r="L620" s="3">
        <v>2160</v>
      </c>
      <c r="M620" s="3">
        <v>27570</v>
      </c>
      <c r="N620" s="3" t="s">
        <v>3517</v>
      </c>
      <c r="R620" s="3">
        <v>13</v>
      </c>
      <c r="S620" s="3" t="s">
        <v>4884</v>
      </c>
      <c r="T620" s="3" t="s">
        <v>5455</v>
      </c>
      <c r="U620" s="3" t="s">
        <v>280</v>
      </c>
      <c r="V620" s="3">
        <v>383</v>
      </c>
      <c r="W620" s="3">
        <v>0</v>
      </c>
      <c r="X620" s="3">
        <v>128</v>
      </c>
      <c r="Y620" s="3">
        <v>0</v>
      </c>
      <c r="Z620" s="3">
        <v>0</v>
      </c>
      <c r="AA620" s="3">
        <v>128</v>
      </c>
      <c r="AB620" s="3">
        <v>5092</v>
      </c>
      <c r="AC620" s="192">
        <v>0</v>
      </c>
      <c r="AF620" s="193">
        <v>1.3888888888888888E-2</v>
      </c>
      <c r="AG620" s="193">
        <v>0.5541666666666667</v>
      </c>
      <c r="AH620" s="193">
        <v>0.9458333333333333</v>
      </c>
    </row>
    <row r="621" spans="1:34" x14ac:dyDescent="0.25">
      <c r="A621" s="3" t="s">
        <v>3430</v>
      </c>
      <c r="B621" s="3">
        <v>133092</v>
      </c>
      <c r="C621" s="3">
        <v>941707</v>
      </c>
      <c r="D621" s="3" t="s">
        <v>3526</v>
      </c>
      <c r="E621" s="3">
        <v>6</v>
      </c>
      <c r="F621" s="3">
        <v>1</v>
      </c>
      <c r="G621" s="3">
        <v>6</v>
      </c>
      <c r="H621" s="55" t="s">
        <v>289</v>
      </c>
      <c r="I621" s="3" t="s">
        <v>279</v>
      </c>
      <c r="J621" s="135">
        <v>46180</v>
      </c>
      <c r="K621" s="3" t="s">
        <v>5291</v>
      </c>
      <c r="L621" s="3">
        <v>2160</v>
      </c>
      <c r="M621" s="3">
        <v>27570</v>
      </c>
      <c r="N621" s="3" t="s">
        <v>3517</v>
      </c>
      <c r="R621" s="3">
        <v>13</v>
      </c>
      <c r="S621" s="3" t="s">
        <v>3519</v>
      </c>
      <c r="T621" s="3" t="s">
        <v>3520</v>
      </c>
      <c r="U621" s="3">
        <v>36</v>
      </c>
      <c r="V621" s="3">
        <v>383</v>
      </c>
      <c r="W621" s="3">
        <v>0</v>
      </c>
      <c r="X621" s="3">
        <v>2944</v>
      </c>
      <c r="Y621" s="3">
        <v>2740</v>
      </c>
      <c r="Z621" s="3">
        <v>0</v>
      </c>
      <c r="AA621" s="3">
        <v>204</v>
      </c>
      <c r="AB621" s="3">
        <v>204</v>
      </c>
      <c r="AC621" s="192">
        <v>0</v>
      </c>
      <c r="AF621" s="193">
        <v>2.2222222222222223E-2</v>
      </c>
      <c r="AG621" s="193">
        <v>2.2222222222222223E-2</v>
      </c>
      <c r="AH621" s="193">
        <v>0.29930555555555555</v>
      </c>
    </row>
    <row r="622" spans="1:34" x14ac:dyDescent="0.25">
      <c r="A622" s="3" t="s">
        <v>3430</v>
      </c>
      <c r="B622" s="3">
        <v>133095</v>
      </c>
      <c r="C622" s="3">
        <v>941707</v>
      </c>
      <c r="D622" s="3" t="s">
        <v>3526</v>
      </c>
      <c r="E622" s="3">
        <v>6</v>
      </c>
      <c r="F622" s="3">
        <v>2</v>
      </c>
      <c r="G622" s="3">
        <v>4</v>
      </c>
      <c r="H622" s="55" t="s">
        <v>289</v>
      </c>
      <c r="I622" s="3" t="s">
        <v>279</v>
      </c>
      <c r="J622" s="135">
        <v>46180</v>
      </c>
      <c r="L622" s="3">
        <v>2160</v>
      </c>
      <c r="M622" s="3">
        <v>27570</v>
      </c>
      <c r="N622" s="3" t="s">
        <v>3517</v>
      </c>
      <c r="R622" s="3">
        <v>13</v>
      </c>
      <c r="S622" s="3" t="s">
        <v>4426</v>
      </c>
      <c r="T622" s="3" t="s">
        <v>5453</v>
      </c>
      <c r="U622" s="3" t="s">
        <v>298</v>
      </c>
      <c r="V622" s="3">
        <v>383</v>
      </c>
      <c r="W622" s="3">
        <v>0</v>
      </c>
      <c r="X622" s="3">
        <v>120</v>
      </c>
      <c r="Y622" s="3">
        <v>0</v>
      </c>
      <c r="Z622" s="3">
        <v>0</v>
      </c>
      <c r="AA622" s="3">
        <v>120</v>
      </c>
      <c r="AB622" s="3">
        <v>324</v>
      </c>
      <c r="AC622" s="192">
        <v>0</v>
      </c>
      <c r="AF622" s="193">
        <v>1.3194444444444444E-2</v>
      </c>
      <c r="AG622" s="193">
        <v>3.5416666666666666E-2</v>
      </c>
      <c r="AH622" s="193">
        <v>0.3125</v>
      </c>
    </row>
    <row r="623" spans="1:34" x14ac:dyDescent="0.25">
      <c r="A623" s="3" t="s">
        <v>3430</v>
      </c>
      <c r="B623" s="3">
        <v>133095</v>
      </c>
      <c r="C623" s="3">
        <v>941707</v>
      </c>
      <c r="D623" s="3" t="s">
        <v>3526</v>
      </c>
      <c r="E623" s="3">
        <v>6</v>
      </c>
      <c r="F623" s="3">
        <v>3</v>
      </c>
      <c r="G623" s="3">
        <v>5</v>
      </c>
      <c r="H623" s="55" t="s">
        <v>289</v>
      </c>
      <c r="I623" s="3" t="s">
        <v>279</v>
      </c>
      <c r="J623" s="135">
        <v>46180</v>
      </c>
      <c r="L623" s="3">
        <v>2160</v>
      </c>
      <c r="M623" s="3">
        <v>27570</v>
      </c>
      <c r="N623" s="3" t="s">
        <v>3517</v>
      </c>
      <c r="R623" s="3">
        <v>13</v>
      </c>
      <c r="S623" s="3" t="s">
        <v>4426</v>
      </c>
      <c r="T623" s="3" t="s">
        <v>5453</v>
      </c>
      <c r="U623" s="3">
        <v>35</v>
      </c>
      <c r="V623" s="3">
        <v>383</v>
      </c>
      <c r="W623" s="3">
        <v>0</v>
      </c>
      <c r="X623" s="3">
        <v>240</v>
      </c>
      <c r="Y623" s="3">
        <v>0</v>
      </c>
      <c r="Z623" s="3">
        <v>0</v>
      </c>
      <c r="AA623" s="3">
        <v>240</v>
      </c>
      <c r="AB623" s="3">
        <v>564</v>
      </c>
      <c r="AC623" s="192">
        <v>0</v>
      </c>
      <c r="AF623" s="193">
        <v>2.6388888888888889E-2</v>
      </c>
      <c r="AG623" s="193">
        <v>6.1111111111111109E-2</v>
      </c>
      <c r="AH623" s="193">
        <v>0.33888888888888891</v>
      </c>
    </row>
    <row r="624" spans="1:34" x14ac:dyDescent="0.25">
      <c r="A624" s="3" t="s">
        <v>3430</v>
      </c>
      <c r="B624" s="3">
        <v>133095</v>
      </c>
      <c r="C624" s="3">
        <v>941707</v>
      </c>
      <c r="D624" s="3" t="s">
        <v>3526</v>
      </c>
      <c r="E624" s="3">
        <v>6</v>
      </c>
      <c r="F624" s="3">
        <v>4</v>
      </c>
      <c r="G624" s="3">
        <v>6</v>
      </c>
      <c r="H624" s="55" t="s">
        <v>289</v>
      </c>
      <c r="I624" s="3" t="s">
        <v>279</v>
      </c>
      <c r="J624" s="135">
        <v>46180</v>
      </c>
      <c r="L624" s="3">
        <v>2160</v>
      </c>
      <c r="M624" s="3">
        <v>27570</v>
      </c>
      <c r="N624" s="3" t="s">
        <v>3517</v>
      </c>
      <c r="R624" s="3">
        <v>13</v>
      </c>
      <c r="S624" s="3" t="s">
        <v>4426</v>
      </c>
      <c r="T624" s="3" t="s">
        <v>5453</v>
      </c>
      <c r="U624" s="3">
        <v>36</v>
      </c>
      <c r="V624" s="3">
        <v>383</v>
      </c>
      <c r="W624" s="3">
        <v>0</v>
      </c>
      <c r="X624" s="3">
        <v>320</v>
      </c>
      <c r="Y624" s="3">
        <v>0</v>
      </c>
      <c r="Z624" s="3">
        <v>0</v>
      </c>
      <c r="AA624" s="3">
        <v>320</v>
      </c>
      <c r="AB624" s="3">
        <v>884</v>
      </c>
      <c r="AC624" s="192">
        <v>8.3333333333333332E-3</v>
      </c>
      <c r="AD624" s="3" t="s">
        <v>292</v>
      </c>
      <c r="AF624" s="193">
        <v>3.4722222222222224E-2</v>
      </c>
      <c r="AG624" s="193">
        <v>9.583333333333334E-2</v>
      </c>
      <c r="AH624" s="193">
        <v>0.38194444444444442</v>
      </c>
    </row>
    <row r="625" spans="1:34" x14ac:dyDescent="0.25">
      <c r="A625" s="3" t="s">
        <v>3430</v>
      </c>
      <c r="B625" s="3">
        <v>133096</v>
      </c>
      <c r="C625" s="3">
        <v>941707</v>
      </c>
      <c r="D625" s="3" t="s">
        <v>3526</v>
      </c>
      <c r="E625" s="3">
        <v>6</v>
      </c>
      <c r="F625" s="3">
        <v>5</v>
      </c>
      <c r="G625" s="3">
        <v>4</v>
      </c>
      <c r="H625" s="55" t="s">
        <v>289</v>
      </c>
      <c r="I625" s="3" t="s">
        <v>279</v>
      </c>
      <c r="J625" s="135">
        <v>46180</v>
      </c>
      <c r="L625" s="3">
        <v>2160</v>
      </c>
      <c r="M625" s="3">
        <v>27570</v>
      </c>
      <c r="N625" s="3" t="s">
        <v>3517</v>
      </c>
      <c r="R625" s="3">
        <v>13</v>
      </c>
      <c r="S625" s="3" t="s">
        <v>4427</v>
      </c>
      <c r="T625" s="3" t="s">
        <v>5454</v>
      </c>
      <c r="U625" s="3" t="s">
        <v>298</v>
      </c>
      <c r="V625" s="3">
        <v>383</v>
      </c>
      <c r="W625" s="3">
        <v>0</v>
      </c>
      <c r="X625" s="3">
        <v>120</v>
      </c>
      <c r="Y625" s="3">
        <v>0</v>
      </c>
      <c r="Z625" s="3">
        <v>0</v>
      </c>
      <c r="AA625" s="3">
        <v>120</v>
      </c>
      <c r="AB625" s="3">
        <v>1004</v>
      </c>
      <c r="AC625" s="192">
        <v>0</v>
      </c>
      <c r="AF625" s="193">
        <v>1.3194444444444444E-2</v>
      </c>
      <c r="AG625" s="193">
        <v>0.10902777777777778</v>
      </c>
      <c r="AH625" s="193">
        <v>0.39513888888888887</v>
      </c>
    </row>
    <row r="626" spans="1:34" x14ac:dyDescent="0.25">
      <c r="A626" s="3" t="s">
        <v>3430</v>
      </c>
      <c r="B626" s="3">
        <v>133096</v>
      </c>
      <c r="C626" s="3">
        <v>941707</v>
      </c>
      <c r="D626" s="3" t="s">
        <v>3526</v>
      </c>
      <c r="E626" s="3">
        <v>6</v>
      </c>
      <c r="F626" s="3">
        <v>6</v>
      </c>
      <c r="G626" s="3">
        <v>5</v>
      </c>
      <c r="H626" s="55" t="s">
        <v>289</v>
      </c>
      <c r="I626" s="3" t="s">
        <v>279</v>
      </c>
      <c r="J626" s="135">
        <v>46180</v>
      </c>
      <c r="L626" s="3">
        <v>2160</v>
      </c>
      <c r="M626" s="3">
        <v>27570</v>
      </c>
      <c r="N626" s="3" t="s">
        <v>3517</v>
      </c>
      <c r="R626" s="3">
        <v>13</v>
      </c>
      <c r="S626" s="3" t="s">
        <v>4427</v>
      </c>
      <c r="T626" s="3" t="s">
        <v>5454</v>
      </c>
      <c r="U626" s="3">
        <v>35</v>
      </c>
      <c r="V626" s="3">
        <v>383</v>
      </c>
      <c r="W626" s="3">
        <v>0</v>
      </c>
      <c r="X626" s="3">
        <v>240</v>
      </c>
      <c r="Y626" s="3">
        <v>0</v>
      </c>
      <c r="Z626" s="3">
        <v>0</v>
      </c>
      <c r="AA626" s="3">
        <v>240</v>
      </c>
      <c r="AB626" s="3">
        <v>1244</v>
      </c>
      <c r="AC626" s="192">
        <v>0</v>
      </c>
      <c r="AF626" s="193">
        <v>2.6388888888888889E-2</v>
      </c>
      <c r="AG626" s="193">
        <v>0.13541666666666666</v>
      </c>
      <c r="AH626" s="193">
        <v>0.42152777777777778</v>
      </c>
    </row>
    <row r="627" spans="1:34" x14ac:dyDescent="0.25">
      <c r="A627" s="3" t="s">
        <v>3430</v>
      </c>
      <c r="B627" s="3">
        <v>133096</v>
      </c>
      <c r="C627" s="3">
        <v>941707</v>
      </c>
      <c r="D627" s="3" t="s">
        <v>3526</v>
      </c>
      <c r="E627" s="3">
        <v>6</v>
      </c>
      <c r="F627" s="3">
        <v>7</v>
      </c>
      <c r="G627" s="3">
        <v>6</v>
      </c>
      <c r="H627" s="55" t="s">
        <v>289</v>
      </c>
      <c r="I627" s="3" t="s">
        <v>279</v>
      </c>
      <c r="J627" s="135">
        <v>46180</v>
      </c>
      <c r="L627" s="3">
        <v>2160</v>
      </c>
      <c r="M627" s="3">
        <v>27570</v>
      </c>
      <c r="N627" s="3" t="s">
        <v>3517</v>
      </c>
      <c r="R627" s="3">
        <v>13</v>
      </c>
      <c r="S627" s="3" t="s">
        <v>4427</v>
      </c>
      <c r="T627" s="3" t="s">
        <v>5454</v>
      </c>
      <c r="U627" s="3">
        <v>36</v>
      </c>
      <c r="V627" s="3">
        <v>383</v>
      </c>
      <c r="W627" s="3">
        <v>0</v>
      </c>
      <c r="X627" s="3">
        <v>320</v>
      </c>
      <c r="Y627" s="3">
        <v>0</v>
      </c>
      <c r="Z627" s="3">
        <v>0</v>
      </c>
      <c r="AA627" s="3">
        <v>320</v>
      </c>
      <c r="AB627" s="3">
        <v>1564</v>
      </c>
      <c r="AC627" s="192">
        <v>0</v>
      </c>
      <c r="AF627" s="193">
        <v>3.4722222222222224E-2</v>
      </c>
      <c r="AG627" s="193">
        <v>0.1701388888888889</v>
      </c>
      <c r="AH627" s="193">
        <v>0.45624999999999999</v>
      </c>
    </row>
    <row r="628" spans="1:34" x14ac:dyDescent="0.25">
      <c r="A628" s="3" t="s">
        <v>3430</v>
      </c>
      <c r="B628" s="3">
        <v>133097</v>
      </c>
      <c r="C628" s="3">
        <v>941707</v>
      </c>
      <c r="D628" s="3" t="s">
        <v>3526</v>
      </c>
      <c r="E628" s="3">
        <v>6</v>
      </c>
      <c r="F628" s="3">
        <v>8</v>
      </c>
      <c r="G628" s="3">
        <v>4</v>
      </c>
      <c r="H628" s="55" t="s">
        <v>289</v>
      </c>
      <c r="I628" s="3" t="s">
        <v>279</v>
      </c>
      <c r="J628" s="135">
        <v>46180</v>
      </c>
      <c r="L628" s="3">
        <v>2160</v>
      </c>
      <c r="M628" s="3">
        <v>27570</v>
      </c>
      <c r="N628" s="3" t="s">
        <v>3517</v>
      </c>
      <c r="R628" s="3">
        <v>13</v>
      </c>
      <c r="S628" s="3" t="s">
        <v>4884</v>
      </c>
      <c r="T628" s="3" t="s">
        <v>5455</v>
      </c>
      <c r="U628" s="3" t="s">
        <v>298</v>
      </c>
      <c r="V628" s="3">
        <v>383</v>
      </c>
      <c r="W628" s="3">
        <v>0</v>
      </c>
      <c r="X628" s="3">
        <v>96</v>
      </c>
      <c r="Y628" s="3">
        <v>0</v>
      </c>
      <c r="Z628" s="3">
        <v>0</v>
      </c>
      <c r="AA628" s="3">
        <v>96</v>
      </c>
      <c r="AB628" s="3">
        <v>1660</v>
      </c>
      <c r="AC628" s="192">
        <v>4.1666666666666664E-2</v>
      </c>
      <c r="AD628" s="3" t="s">
        <v>294</v>
      </c>
      <c r="AE628" s="3" t="s">
        <v>295</v>
      </c>
      <c r="AF628" s="193">
        <v>1.0416666666666666E-2</v>
      </c>
      <c r="AG628" s="193">
        <v>0.18055555555555555</v>
      </c>
      <c r="AH628" s="193">
        <v>0.5083333333333333</v>
      </c>
    </row>
    <row r="629" spans="1:34" x14ac:dyDescent="0.25">
      <c r="A629" s="3" t="s">
        <v>3430</v>
      </c>
      <c r="B629" s="3">
        <v>133097</v>
      </c>
      <c r="C629" s="3">
        <v>941707</v>
      </c>
      <c r="D629" s="3" t="s">
        <v>3526</v>
      </c>
      <c r="E629" s="3">
        <v>6</v>
      </c>
      <c r="F629" s="3">
        <v>9</v>
      </c>
      <c r="G629" s="3">
        <v>5</v>
      </c>
      <c r="H629" s="55" t="s">
        <v>289</v>
      </c>
      <c r="I629" s="3" t="s">
        <v>279</v>
      </c>
      <c r="J629" s="135">
        <v>46180</v>
      </c>
      <c r="L629" s="3">
        <v>2160</v>
      </c>
      <c r="M629" s="3">
        <v>27570</v>
      </c>
      <c r="N629" s="3" t="s">
        <v>3517</v>
      </c>
      <c r="R629" s="3">
        <v>13</v>
      </c>
      <c r="S629" s="3" t="s">
        <v>4884</v>
      </c>
      <c r="T629" s="3" t="s">
        <v>5455</v>
      </c>
      <c r="U629" s="3">
        <v>35</v>
      </c>
      <c r="V629" s="3">
        <v>383</v>
      </c>
      <c r="W629" s="3">
        <v>0</v>
      </c>
      <c r="X629" s="3">
        <v>192</v>
      </c>
      <c r="Y629" s="3">
        <v>0</v>
      </c>
      <c r="Z629" s="3">
        <v>0</v>
      </c>
      <c r="AA629" s="3">
        <v>192</v>
      </c>
      <c r="AB629" s="3">
        <v>1852</v>
      </c>
      <c r="AC629" s="192">
        <v>0</v>
      </c>
      <c r="AF629" s="193">
        <v>2.0833333333333332E-2</v>
      </c>
      <c r="AG629" s="193">
        <v>0.2013888888888889</v>
      </c>
      <c r="AH629" s="193">
        <v>0.52916666666666667</v>
      </c>
    </row>
    <row r="630" spans="1:34" x14ac:dyDescent="0.25">
      <c r="A630" s="3" t="s">
        <v>3430</v>
      </c>
      <c r="B630" s="3">
        <v>133097</v>
      </c>
      <c r="C630" s="3">
        <v>941707</v>
      </c>
      <c r="D630" s="3" t="s">
        <v>3526</v>
      </c>
      <c r="E630" s="3">
        <v>6</v>
      </c>
      <c r="F630" s="3">
        <v>10</v>
      </c>
      <c r="G630" s="3">
        <v>6</v>
      </c>
      <c r="H630" s="55" t="s">
        <v>289</v>
      </c>
      <c r="I630" s="3" t="s">
        <v>279</v>
      </c>
      <c r="J630" s="135">
        <v>46180</v>
      </c>
      <c r="L630" s="3">
        <v>2160</v>
      </c>
      <c r="M630" s="3">
        <v>27570</v>
      </c>
      <c r="N630" s="3" t="s">
        <v>3517</v>
      </c>
      <c r="R630" s="3">
        <v>13</v>
      </c>
      <c r="S630" s="3" t="s">
        <v>4884</v>
      </c>
      <c r="T630" s="3" t="s">
        <v>5455</v>
      </c>
      <c r="U630" s="3">
        <v>36</v>
      </c>
      <c r="V630" s="3">
        <v>383</v>
      </c>
      <c r="W630" s="3">
        <v>0</v>
      </c>
      <c r="X630" s="3">
        <v>256</v>
      </c>
      <c r="Y630" s="3">
        <v>0</v>
      </c>
      <c r="Z630" s="3">
        <v>0</v>
      </c>
      <c r="AA630" s="3">
        <v>256</v>
      </c>
      <c r="AB630" s="3">
        <v>2108</v>
      </c>
      <c r="AC630" s="192">
        <v>0</v>
      </c>
      <c r="AF630" s="193">
        <v>2.7777777777777776E-2</v>
      </c>
      <c r="AG630" s="193">
        <v>0.22916666666666666</v>
      </c>
      <c r="AH630" s="193">
        <v>0.55694444444444446</v>
      </c>
    </row>
    <row r="631" spans="1:34" x14ac:dyDescent="0.25">
      <c r="A631" s="3" t="s">
        <v>3430</v>
      </c>
      <c r="B631" s="3">
        <v>133098</v>
      </c>
      <c r="C631" s="3">
        <v>941707</v>
      </c>
      <c r="D631" s="3" t="s">
        <v>3526</v>
      </c>
      <c r="E631" s="3">
        <v>6</v>
      </c>
      <c r="F631" s="3">
        <v>11</v>
      </c>
      <c r="G631" s="3">
        <v>4</v>
      </c>
      <c r="H631" s="55" t="s">
        <v>289</v>
      </c>
      <c r="I631" s="3" t="s">
        <v>279</v>
      </c>
      <c r="J631" s="135">
        <v>46180</v>
      </c>
      <c r="L631" s="3">
        <v>2160</v>
      </c>
      <c r="M631" s="3">
        <v>27570</v>
      </c>
      <c r="N631" s="3" t="s">
        <v>3517</v>
      </c>
      <c r="R631" s="3">
        <v>13</v>
      </c>
      <c r="S631" s="3" t="s">
        <v>4885</v>
      </c>
      <c r="T631" s="3" t="s">
        <v>5456</v>
      </c>
      <c r="U631" s="3" t="s">
        <v>298</v>
      </c>
      <c r="V631" s="3">
        <v>383</v>
      </c>
      <c r="W631" s="3">
        <v>0</v>
      </c>
      <c r="X631" s="3">
        <v>192</v>
      </c>
      <c r="Y631" s="3">
        <v>0</v>
      </c>
      <c r="Z631" s="3">
        <v>0</v>
      </c>
      <c r="AA631" s="3">
        <v>192</v>
      </c>
      <c r="AB631" s="3">
        <v>2300</v>
      </c>
      <c r="AC631" s="192">
        <v>8.3333333333333332E-3</v>
      </c>
      <c r="AD631" s="3" t="s">
        <v>404</v>
      </c>
      <c r="AF631" s="193">
        <v>2.0833333333333332E-2</v>
      </c>
      <c r="AG631" s="193">
        <v>0.25</v>
      </c>
      <c r="AH631" s="193">
        <v>0.58611111111111114</v>
      </c>
    </row>
    <row r="632" spans="1:34" x14ac:dyDescent="0.25">
      <c r="A632" s="3" t="s">
        <v>3430</v>
      </c>
      <c r="B632" s="3">
        <v>133098</v>
      </c>
      <c r="C632" s="3">
        <v>941707</v>
      </c>
      <c r="D632" s="3" t="s">
        <v>3526</v>
      </c>
      <c r="E632" s="3">
        <v>6</v>
      </c>
      <c r="F632" s="3">
        <v>12</v>
      </c>
      <c r="G632" s="3">
        <v>5</v>
      </c>
      <c r="H632" s="55" t="s">
        <v>289</v>
      </c>
      <c r="I632" s="3" t="s">
        <v>279</v>
      </c>
      <c r="J632" s="135">
        <v>46180</v>
      </c>
      <c r="L632" s="3">
        <v>2160</v>
      </c>
      <c r="M632" s="3">
        <v>27570</v>
      </c>
      <c r="N632" s="3" t="s">
        <v>3517</v>
      </c>
      <c r="R632" s="3">
        <v>13</v>
      </c>
      <c r="S632" s="3" t="s">
        <v>4885</v>
      </c>
      <c r="T632" s="3" t="s">
        <v>5456</v>
      </c>
      <c r="U632" s="3">
        <v>35</v>
      </c>
      <c r="V632" s="3">
        <v>383</v>
      </c>
      <c r="W632" s="3">
        <v>0</v>
      </c>
      <c r="X632" s="3">
        <v>384</v>
      </c>
      <c r="Y632" s="3">
        <v>0</v>
      </c>
      <c r="Z632" s="3">
        <v>0</v>
      </c>
      <c r="AA632" s="3">
        <v>384</v>
      </c>
      <c r="AB632" s="3">
        <v>2684</v>
      </c>
      <c r="AC632" s="192">
        <v>0</v>
      </c>
      <c r="AF632" s="193">
        <v>4.1666666666666664E-2</v>
      </c>
      <c r="AG632" s="193">
        <v>0.29166666666666669</v>
      </c>
      <c r="AH632" s="193">
        <v>0.62777777777777777</v>
      </c>
    </row>
    <row r="633" spans="1:34" x14ac:dyDescent="0.25">
      <c r="A633" s="3" t="s">
        <v>3430</v>
      </c>
      <c r="B633" s="3">
        <v>133098</v>
      </c>
      <c r="C633" s="3">
        <v>941707</v>
      </c>
      <c r="D633" s="3" t="s">
        <v>3526</v>
      </c>
      <c r="E633" s="3">
        <v>6</v>
      </c>
      <c r="F633" s="3">
        <v>13</v>
      </c>
      <c r="G633" s="3">
        <v>6</v>
      </c>
      <c r="H633" s="55" t="s">
        <v>289</v>
      </c>
      <c r="I633" s="3" t="s">
        <v>279</v>
      </c>
      <c r="J633" s="135">
        <v>46180</v>
      </c>
      <c r="L633" s="3">
        <v>2160</v>
      </c>
      <c r="M633" s="3">
        <v>27570</v>
      </c>
      <c r="N633" s="3" t="s">
        <v>3517</v>
      </c>
      <c r="R633" s="3">
        <v>13</v>
      </c>
      <c r="S633" s="3" t="s">
        <v>4885</v>
      </c>
      <c r="T633" s="3" t="s">
        <v>5456</v>
      </c>
      <c r="U633" s="3">
        <v>36</v>
      </c>
      <c r="V633" s="3">
        <v>383</v>
      </c>
      <c r="W633" s="3">
        <v>0</v>
      </c>
      <c r="X633" s="3">
        <v>512</v>
      </c>
      <c r="Y633" s="3">
        <v>0</v>
      </c>
      <c r="Z633" s="3">
        <v>0</v>
      </c>
      <c r="AA633" s="3">
        <v>512</v>
      </c>
      <c r="AB633" s="3">
        <v>3196</v>
      </c>
      <c r="AC633" s="192">
        <v>0</v>
      </c>
      <c r="AF633" s="193">
        <v>5.5555555555555552E-2</v>
      </c>
      <c r="AG633" s="193">
        <v>0.34791666666666665</v>
      </c>
      <c r="AH633" s="193">
        <v>0.69027777777777777</v>
      </c>
    </row>
    <row r="634" spans="1:34" x14ac:dyDescent="0.25">
      <c r="A634" s="3" t="s">
        <v>3430</v>
      </c>
      <c r="B634" s="3">
        <v>133211</v>
      </c>
      <c r="C634" s="3">
        <v>941707</v>
      </c>
      <c r="D634" s="3" t="s">
        <v>3526</v>
      </c>
      <c r="E634" s="3">
        <v>6</v>
      </c>
      <c r="F634" s="3">
        <v>14</v>
      </c>
      <c r="G634" s="3">
        <v>9</v>
      </c>
      <c r="H634" s="55" t="s">
        <v>289</v>
      </c>
      <c r="I634" s="3" t="s">
        <v>279</v>
      </c>
      <c r="J634" s="135">
        <v>46210</v>
      </c>
      <c r="L634" s="3">
        <v>2157</v>
      </c>
      <c r="M634" s="3">
        <v>19228</v>
      </c>
      <c r="N634" s="3" t="s">
        <v>5244</v>
      </c>
      <c r="R634" s="3">
        <v>16</v>
      </c>
      <c r="S634" s="3" t="s">
        <v>5245</v>
      </c>
      <c r="T634" s="3" t="s">
        <v>5246</v>
      </c>
      <c r="U634" s="3" t="s">
        <v>298</v>
      </c>
      <c r="V634" s="3">
        <v>242</v>
      </c>
      <c r="W634" s="3">
        <v>0</v>
      </c>
      <c r="X634" s="3">
        <v>74</v>
      </c>
      <c r="Y634" s="3">
        <v>0</v>
      </c>
      <c r="Z634" s="3">
        <v>0</v>
      </c>
      <c r="AA634" s="3">
        <v>74</v>
      </c>
      <c r="AB634" s="3">
        <v>3270</v>
      </c>
      <c r="AC634" s="192">
        <v>0</v>
      </c>
      <c r="AF634" s="193">
        <v>1.2500000000000001E-2</v>
      </c>
      <c r="AG634" s="193">
        <v>0.36041666666666666</v>
      </c>
      <c r="AH634" s="193">
        <v>0.70277777777777772</v>
      </c>
    </row>
    <row r="635" spans="1:34" x14ac:dyDescent="0.25">
      <c r="A635" s="3" t="s">
        <v>3430</v>
      </c>
      <c r="B635" s="3">
        <v>133211</v>
      </c>
      <c r="C635" s="3">
        <v>941707</v>
      </c>
      <c r="D635" s="3" t="s">
        <v>3526</v>
      </c>
      <c r="E635" s="3">
        <v>6</v>
      </c>
      <c r="F635" s="3">
        <v>15</v>
      </c>
      <c r="G635" s="3">
        <v>10</v>
      </c>
      <c r="H635" s="55" t="s">
        <v>289</v>
      </c>
      <c r="I635" s="3" t="s">
        <v>279</v>
      </c>
      <c r="J635" s="135">
        <v>46210</v>
      </c>
      <c r="L635" s="3">
        <v>2157</v>
      </c>
      <c r="M635" s="3">
        <v>19228</v>
      </c>
      <c r="N635" s="3" t="s">
        <v>5244</v>
      </c>
      <c r="R635" s="3">
        <v>16</v>
      </c>
      <c r="S635" s="3" t="s">
        <v>5245</v>
      </c>
      <c r="T635" s="3" t="s">
        <v>5246</v>
      </c>
      <c r="U635" s="3">
        <v>35</v>
      </c>
      <c r="V635" s="3">
        <v>242</v>
      </c>
      <c r="W635" s="3">
        <v>0</v>
      </c>
      <c r="X635" s="3">
        <v>148</v>
      </c>
      <c r="Y635" s="3">
        <v>0</v>
      </c>
      <c r="Z635" s="3">
        <v>0</v>
      </c>
      <c r="AA635" s="3">
        <v>148</v>
      </c>
      <c r="AB635" s="3">
        <v>3418</v>
      </c>
      <c r="AC635" s="192">
        <v>0</v>
      </c>
      <c r="AF635" s="193">
        <v>2.5694444444444443E-2</v>
      </c>
      <c r="AG635" s="193">
        <v>0.38611111111111113</v>
      </c>
      <c r="AH635" s="193">
        <v>0.72847222222222219</v>
      </c>
    </row>
    <row r="636" spans="1:34" x14ac:dyDescent="0.25">
      <c r="A636" s="3" t="s">
        <v>3430</v>
      </c>
      <c r="B636" s="3">
        <v>133211</v>
      </c>
      <c r="C636" s="3">
        <v>941707</v>
      </c>
      <c r="D636" s="3" t="s">
        <v>3526</v>
      </c>
      <c r="E636" s="3">
        <v>6</v>
      </c>
      <c r="F636" s="3">
        <v>16</v>
      </c>
      <c r="G636" s="3">
        <v>11</v>
      </c>
      <c r="H636" s="55" t="s">
        <v>289</v>
      </c>
      <c r="I636" s="3" t="s">
        <v>279</v>
      </c>
      <c r="J636" s="135">
        <v>46210</v>
      </c>
      <c r="L636" s="3">
        <v>2157</v>
      </c>
      <c r="M636" s="3">
        <v>19228</v>
      </c>
      <c r="N636" s="3" t="s">
        <v>5244</v>
      </c>
      <c r="R636" s="3">
        <v>16</v>
      </c>
      <c r="S636" s="3" t="s">
        <v>5245</v>
      </c>
      <c r="T636" s="3" t="s">
        <v>5246</v>
      </c>
      <c r="U636" s="3">
        <v>36</v>
      </c>
      <c r="V636" s="3">
        <v>242</v>
      </c>
      <c r="W636" s="3">
        <v>0</v>
      </c>
      <c r="X636" s="3">
        <v>222</v>
      </c>
      <c r="Y636" s="3">
        <v>0</v>
      </c>
      <c r="Z636" s="3">
        <v>0</v>
      </c>
      <c r="AA636" s="3">
        <v>222</v>
      </c>
      <c r="AB636" s="3">
        <v>3640</v>
      </c>
      <c r="AC636" s="192">
        <v>0</v>
      </c>
      <c r="AF636" s="193">
        <v>3.8194444444444448E-2</v>
      </c>
      <c r="AG636" s="193">
        <v>0.42430555555555555</v>
      </c>
      <c r="AH636" s="193">
        <v>0.76666666666666672</v>
      </c>
    </row>
    <row r="637" spans="1:34" x14ac:dyDescent="0.25">
      <c r="A637" s="3" t="s">
        <v>3430</v>
      </c>
      <c r="B637" s="3">
        <v>133211</v>
      </c>
      <c r="C637" s="3">
        <v>941707</v>
      </c>
      <c r="D637" s="3" t="s">
        <v>3526</v>
      </c>
      <c r="E637" s="3">
        <v>6</v>
      </c>
      <c r="F637" s="3">
        <v>17</v>
      </c>
      <c r="G637" s="3">
        <v>12</v>
      </c>
      <c r="H637" s="55" t="s">
        <v>289</v>
      </c>
      <c r="I637" s="3" t="s">
        <v>279</v>
      </c>
      <c r="J637" s="135">
        <v>46210</v>
      </c>
      <c r="L637" s="3">
        <v>2157</v>
      </c>
      <c r="M637" s="3">
        <v>19228</v>
      </c>
      <c r="N637" s="3" t="s">
        <v>5244</v>
      </c>
      <c r="R637" s="3">
        <v>16</v>
      </c>
      <c r="S637" s="3" t="s">
        <v>5245</v>
      </c>
      <c r="T637" s="3" t="s">
        <v>5246</v>
      </c>
      <c r="U637" s="3">
        <v>37</v>
      </c>
      <c r="V637" s="3">
        <v>242</v>
      </c>
      <c r="W637" s="3">
        <v>0</v>
      </c>
      <c r="X637" s="3">
        <v>222</v>
      </c>
      <c r="Y637" s="3">
        <v>0</v>
      </c>
      <c r="Z637" s="3">
        <v>0</v>
      </c>
      <c r="AA637" s="3">
        <v>222</v>
      </c>
      <c r="AB637" s="3">
        <v>3862</v>
      </c>
      <c r="AC637" s="192">
        <v>0.05</v>
      </c>
      <c r="AD637" s="3" t="s">
        <v>285</v>
      </c>
      <c r="AE637" s="3" t="s">
        <v>286</v>
      </c>
      <c r="AF637" s="193">
        <v>3.8194444444444448E-2</v>
      </c>
      <c r="AG637" s="193">
        <v>0.46250000000000002</v>
      </c>
      <c r="AH637" s="193">
        <v>0.85486111111111107</v>
      </c>
    </row>
    <row r="638" spans="1:34" x14ac:dyDescent="0.25">
      <c r="A638" s="3" t="s">
        <v>3430</v>
      </c>
      <c r="B638" s="3">
        <v>133211</v>
      </c>
      <c r="C638" s="3">
        <v>941707</v>
      </c>
      <c r="D638" s="3" t="s">
        <v>3526</v>
      </c>
      <c r="E638" s="3">
        <v>6</v>
      </c>
      <c r="F638" s="3">
        <v>18</v>
      </c>
      <c r="G638" s="3">
        <v>13</v>
      </c>
      <c r="H638" s="55" t="s">
        <v>289</v>
      </c>
      <c r="I638" s="3" t="s">
        <v>279</v>
      </c>
      <c r="J638" s="135">
        <v>46210</v>
      </c>
      <c r="L638" s="3">
        <v>2157</v>
      </c>
      <c r="M638" s="3">
        <v>19228</v>
      </c>
      <c r="N638" s="3" t="s">
        <v>5244</v>
      </c>
      <c r="R638" s="3">
        <v>16</v>
      </c>
      <c r="S638" s="3" t="s">
        <v>5245</v>
      </c>
      <c r="T638" s="3" t="s">
        <v>5246</v>
      </c>
      <c r="U638" s="3">
        <v>38</v>
      </c>
      <c r="V638" s="3">
        <v>242</v>
      </c>
      <c r="W638" s="3">
        <v>0</v>
      </c>
      <c r="X638" s="3">
        <v>148</v>
      </c>
      <c r="Y638" s="3">
        <v>0</v>
      </c>
      <c r="Z638" s="3">
        <v>0</v>
      </c>
      <c r="AA638" s="3">
        <v>148</v>
      </c>
      <c r="AB638" s="3">
        <v>4010</v>
      </c>
      <c r="AC638" s="192">
        <v>0</v>
      </c>
      <c r="AF638" s="193">
        <v>2.5694444444444443E-2</v>
      </c>
      <c r="AG638" s="193">
        <v>0.48749999999999999</v>
      </c>
      <c r="AH638" s="193">
        <v>0.88055555555555554</v>
      </c>
    </row>
    <row r="639" spans="1:34" x14ac:dyDescent="0.25">
      <c r="A639" s="3" t="s">
        <v>3430</v>
      </c>
      <c r="B639" s="3">
        <v>133211</v>
      </c>
      <c r="C639" s="3">
        <v>941707</v>
      </c>
      <c r="D639" s="3" t="s">
        <v>3526</v>
      </c>
      <c r="E639" s="3">
        <v>6</v>
      </c>
      <c r="F639" s="3">
        <v>19</v>
      </c>
      <c r="G639" s="3">
        <v>14</v>
      </c>
      <c r="H639" s="55" t="s">
        <v>289</v>
      </c>
      <c r="I639" s="3" t="s">
        <v>279</v>
      </c>
      <c r="J639" s="135">
        <v>46210</v>
      </c>
      <c r="L639" s="3">
        <v>2157</v>
      </c>
      <c r="M639" s="3">
        <v>19228</v>
      </c>
      <c r="N639" s="3" t="s">
        <v>5244</v>
      </c>
      <c r="R639" s="3">
        <v>16</v>
      </c>
      <c r="S639" s="3" t="s">
        <v>5245</v>
      </c>
      <c r="T639" s="3" t="s">
        <v>5246</v>
      </c>
      <c r="U639" s="3" t="s">
        <v>280</v>
      </c>
      <c r="V639" s="3">
        <v>242</v>
      </c>
      <c r="W639" s="3">
        <v>0</v>
      </c>
      <c r="X639" s="3">
        <v>74</v>
      </c>
      <c r="Y639" s="3">
        <v>0</v>
      </c>
      <c r="Z639" s="3">
        <v>0</v>
      </c>
      <c r="AA639" s="3">
        <v>74</v>
      </c>
      <c r="AB639" s="3">
        <v>4084</v>
      </c>
      <c r="AC639" s="192">
        <v>0</v>
      </c>
      <c r="AF639" s="193">
        <v>1.2500000000000001E-2</v>
      </c>
      <c r="AG639" s="193">
        <v>0.50069444444444444</v>
      </c>
      <c r="AH639" s="193">
        <v>0.8930555555555556</v>
      </c>
    </row>
    <row r="640" spans="1:34" x14ac:dyDescent="0.25">
      <c r="A640" s="3" t="s">
        <v>3430</v>
      </c>
      <c r="B640" s="3">
        <v>135147</v>
      </c>
      <c r="C640" s="3">
        <v>941707</v>
      </c>
      <c r="D640" s="3" t="s">
        <v>3526</v>
      </c>
      <c r="E640" s="3">
        <v>6</v>
      </c>
      <c r="F640" s="3">
        <v>20</v>
      </c>
      <c r="G640" s="3">
        <v>1</v>
      </c>
      <c r="H640" s="55" t="s">
        <v>289</v>
      </c>
      <c r="I640" s="3" t="s">
        <v>279</v>
      </c>
      <c r="J640" s="135">
        <v>46210</v>
      </c>
      <c r="L640" s="3">
        <v>2160</v>
      </c>
      <c r="M640" s="3">
        <v>19086</v>
      </c>
      <c r="N640" s="3" t="s">
        <v>5236</v>
      </c>
      <c r="R640" s="3">
        <v>13</v>
      </c>
      <c r="S640" s="3" t="s">
        <v>1976</v>
      </c>
      <c r="T640" s="3" t="s">
        <v>5252</v>
      </c>
      <c r="U640" s="3">
        <v>37</v>
      </c>
      <c r="V640" s="3">
        <v>342</v>
      </c>
      <c r="W640" s="3">
        <v>0</v>
      </c>
      <c r="X640" s="3">
        <v>30</v>
      </c>
      <c r="Y640" s="3">
        <v>0</v>
      </c>
      <c r="Z640" s="3">
        <v>0</v>
      </c>
      <c r="AA640" s="3">
        <v>30</v>
      </c>
      <c r="AB640" s="3">
        <v>4114</v>
      </c>
      <c r="AC640" s="192">
        <v>0</v>
      </c>
      <c r="AF640" s="193">
        <v>3.472222222222222E-3</v>
      </c>
      <c r="AG640" s="193">
        <v>0.50416666666666665</v>
      </c>
      <c r="AH640" s="193">
        <v>0.89652777777777781</v>
      </c>
    </row>
    <row r="641" spans="1:34" x14ac:dyDescent="0.25">
      <c r="A641" s="3" t="s">
        <v>5240</v>
      </c>
      <c r="B641" s="3">
        <v>129514</v>
      </c>
      <c r="C641" s="3">
        <v>941407</v>
      </c>
      <c r="D641" s="3" t="s">
        <v>3526</v>
      </c>
      <c r="E641" s="3">
        <v>5</v>
      </c>
      <c r="F641" s="3">
        <v>1</v>
      </c>
      <c r="G641" s="3">
        <v>11</v>
      </c>
      <c r="H641" s="55" t="s">
        <v>289</v>
      </c>
      <c r="I641" s="3" t="s">
        <v>279</v>
      </c>
      <c r="J641" s="135">
        <v>46088</v>
      </c>
      <c r="K641" s="135">
        <v>46241</v>
      </c>
      <c r="L641" s="3">
        <v>2160</v>
      </c>
      <c r="M641" s="3">
        <v>19443</v>
      </c>
      <c r="N641" s="3" t="s">
        <v>5241</v>
      </c>
      <c r="R641" s="3">
        <v>7</v>
      </c>
      <c r="S641" s="3" t="s">
        <v>4776</v>
      </c>
      <c r="T641" s="3" t="s">
        <v>5242</v>
      </c>
      <c r="U641" s="3">
        <v>36</v>
      </c>
      <c r="V641" s="3">
        <v>405</v>
      </c>
      <c r="W641" s="3">
        <v>0</v>
      </c>
      <c r="X641" s="3">
        <v>994</v>
      </c>
      <c r="Y641" s="3">
        <v>962</v>
      </c>
      <c r="Z641" s="3">
        <v>0</v>
      </c>
      <c r="AA641" s="3">
        <v>32</v>
      </c>
      <c r="AB641" s="3">
        <v>32</v>
      </c>
      <c r="AC641" s="192">
        <v>0</v>
      </c>
      <c r="AF641" s="193">
        <v>3.472222222222222E-3</v>
      </c>
      <c r="AG641" s="193">
        <v>3.472222222222222E-3</v>
      </c>
      <c r="AH641" s="193">
        <v>0.28055555555555556</v>
      </c>
    </row>
    <row r="642" spans="1:34" x14ac:dyDescent="0.25">
      <c r="A642" s="3" t="s">
        <v>5240</v>
      </c>
      <c r="B642" s="3">
        <v>135293</v>
      </c>
      <c r="C642" s="3">
        <v>941707</v>
      </c>
      <c r="D642" s="3" t="s">
        <v>3526</v>
      </c>
      <c r="E642" s="3">
        <v>6</v>
      </c>
      <c r="F642" s="3">
        <v>2</v>
      </c>
      <c r="G642" s="3">
        <v>3</v>
      </c>
      <c r="H642" s="55" t="s">
        <v>289</v>
      </c>
      <c r="I642" s="3" t="s">
        <v>279</v>
      </c>
      <c r="J642" s="135">
        <v>46210</v>
      </c>
      <c r="K642" s="3" t="s">
        <v>5096</v>
      </c>
      <c r="L642" s="3">
        <v>2160</v>
      </c>
      <c r="M642" s="3">
        <v>27595</v>
      </c>
      <c r="N642" s="3" t="s">
        <v>5237</v>
      </c>
      <c r="R642" s="3">
        <v>15</v>
      </c>
      <c r="S642" s="3" t="s">
        <v>4892</v>
      </c>
      <c r="T642" s="3" t="s">
        <v>3513</v>
      </c>
      <c r="U642" s="3">
        <v>36</v>
      </c>
      <c r="V642" s="3">
        <v>252</v>
      </c>
      <c r="W642" s="3">
        <v>0</v>
      </c>
      <c r="X642" s="3">
        <v>2100</v>
      </c>
      <c r="Y642" s="3">
        <v>2088</v>
      </c>
      <c r="Z642" s="3">
        <v>0</v>
      </c>
      <c r="AA642" s="3">
        <v>12</v>
      </c>
      <c r="AB642" s="3">
        <v>44</v>
      </c>
      <c r="AC642" s="192">
        <v>0</v>
      </c>
      <c r="AF642" s="193">
        <v>2.0833333333333333E-3</v>
      </c>
      <c r="AG642" s="193">
        <v>5.5555555555555558E-3</v>
      </c>
      <c r="AH642" s="193">
        <v>0.28263888888888888</v>
      </c>
    </row>
    <row r="643" spans="1:34" x14ac:dyDescent="0.25">
      <c r="A643" s="3" t="s">
        <v>5240</v>
      </c>
      <c r="B643" s="3">
        <v>135293</v>
      </c>
      <c r="C643" s="3">
        <v>941707</v>
      </c>
      <c r="D643" s="3" t="s">
        <v>3526</v>
      </c>
      <c r="E643" s="3">
        <v>6</v>
      </c>
      <c r="F643" s="3">
        <v>3</v>
      </c>
      <c r="G643" s="3">
        <v>4</v>
      </c>
      <c r="H643" s="55" t="s">
        <v>289</v>
      </c>
      <c r="I643" s="3" t="s">
        <v>279</v>
      </c>
      <c r="J643" s="135">
        <v>46210</v>
      </c>
      <c r="K643" s="3" t="s">
        <v>5291</v>
      </c>
      <c r="L643" s="3">
        <v>2160</v>
      </c>
      <c r="M643" s="3">
        <v>27595</v>
      </c>
      <c r="N643" s="3" t="s">
        <v>5237</v>
      </c>
      <c r="R643" s="3">
        <v>15</v>
      </c>
      <c r="S643" s="3" t="s">
        <v>4892</v>
      </c>
      <c r="T643" s="3" t="s">
        <v>3513</v>
      </c>
      <c r="U643" s="3">
        <v>37</v>
      </c>
      <c r="V643" s="3">
        <v>252</v>
      </c>
      <c r="W643" s="3">
        <v>0</v>
      </c>
      <c r="X643" s="3">
        <v>2100</v>
      </c>
      <c r="Y643" s="3">
        <v>2064</v>
      </c>
      <c r="Z643" s="3">
        <v>0</v>
      </c>
      <c r="AA643" s="3">
        <v>36</v>
      </c>
      <c r="AB643" s="3">
        <v>80</v>
      </c>
      <c r="AC643" s="192">
        <v>0</v>
      </c>
      <c r="AF643" s="193">
        <v>6.2500000000000003E-3</v>
      </c>
      <c r="AG643" s="193">
        <v>1.1111111111111112E-2</v>
      </c>
      <c r="AH643" s="193">
        <v>0.28888888888888886</v>
      </c>
    </row>
    <row r="644" spans="1:34" x14ac:dyDescent="0.25">
      <c r="A644" s="3" t="s">
        <v>5240</v>
      </c>
      <c r="B644" s="3">
        <v>135293</v>
      </c>
      <c r="C644" s="3">
        <v>941707</v>
      </c>
      <c r="D644" s="3" t="s">
        <v>3526</v>
      </c>
      <c r="E644" s="3">
        <v>6</v>
      </c>
      <c r="F644" s="3">
        <v>4</v>
      </c>
      <c r="G644" s="3">
        <v>5</v>
      </c>
      <c r="H644" s="55" t="s">
        <v>289</v>
      </c>
      <c r="I644" s="3" t="s">
        <v>279</v>
      </c>
      <c r="J644" s="135">
        <v>46210</v>
      </c>
      <c r="L644" s="3">
        <v>2160</v>
      </c>
      <c r="M644" s="3">
        <v>27595</v>
      </c>
      <c r="N644" s="3" t="s">
        <v>5237</v>
      </c>
      <c r="R644" s="3">
        <v>15</v>
      </c>
      <c r="S644" s="3" t="s">
        <v>4892</v>
      </c>
      <c r="T644" s="3" t="s">
        <v>3513</v>
      </c>
      <c r="U644" s="3">
        <v>38</v>
      </c>
      <c r="V644" s="3">
        <v>252</v>
      </c>
      <c r="W644" s="3">
        <v>0</v>
      </c>
      <c r="X644" s="3">
        <v>1300</v>
      </c>
      <c r="Y644" s="3">
        <v>0</v>
      </c>
      <c r="Z644" s="3">
        <v>0</v>
      </c>
      <c r="AA644" s="3">
        <v>1300</v>
      </c>
      <c r="AB644" s="3">
        <v>1380</v>
      </c>
      <c r="AC644" s="192">
        <v>0.05</v>
      </c>
      <c r="AD644" s="3" t="s">
        <v>285</v>
      </c>
      <c r="AE644" s="3" t="s">
        <v>286</v>
      </c>
      <c r="AF644" s="193">
        <v>0.21527777777777779</v>
      </c>
      <c r="AG644" s="193">
        <v>0.22638888888888889</v>
      </c>
      <c r="AH644" s="193">
        <v>0.5541666666666667</v>
      </c>
    </row>
    <row r="645" spans="1:34" x14ac:dyDescent="0.25">
      <c r="A645" s="3" t="s">
        <v>5240</v>
      </c>
      <c r="B645" s="3">
        <v>135293</v>
      </c>
      <c r="C645" s="3">
        <v>941707</v>
      </c>
      <c r="D645" s="3" t="s">
        <v>3526</v>
      </c>
      <c r="E645" s="3">
        <v>6</v>
      </c>
      <c r="F645" s="3">
        <v>5</v>
      </c>
      <c r="G645" s="3">
        <v>6</v>
      </c>
      <c r="H645" s="55" t="s">
        <v>289</v>
      </c>
      <c r="I645" s="3" t="s">
        <v>279</v>
      </c>
      <c r="J645" s="135">
        <v>46210</v>
      </c>
      <c r="L645" s="3">
        <v>2160</v>
      </c>
      <c r="M645" s="3">
        <v>27595</v>
      </c>
      <c r="N645" s="3" t="s">
        <v>5237</v>
      </c>
      <c r="R645" s="3">
        <v>15</v>
      </c>
      <c r="S645" s="3" t="s">
        <v>4892</v>
      </c>
      <c r="T645" s="3" t="s">
        <v>3513</v>
      </c>
      <c r="U645" s="3" t="s">
        <v>280</v>
      </c>
      <c r="V645" s="3">
        <v>252</v>
      </c>
      <c r="W645" s="3">
        <v>0</v>
      </c>
      <c r="X645" s="3">
        <v>800</v>
      </c>
      <c r="Y645" s="3">
        <v>0</v>
      </c>
      <c r="Z645" s="3">
        <v>0</v>
      </c>
      <c r="AA645" s="3">
        <v>800</v>
      </c>
      <c r="AB645" s="3">
        <v>2180</v>
      </c>
      <c r="AC645" s="192">
        <v>8.3333333333333332E-3</v>
      </c>
      <c r="AD645" s="3" t="s">
        <v>404</v>
      </c>
      <c r="AF645" s="193">
        <v>0.13194444444444445</v>
      </c>
      <c r="AG645" s="193">
        <v>0.35833333333333334</v>
      </c>
      <c r="AH645" s="193">
        <v>0.70138888888888884</v>
      </c>
    </row>
    <row r="646" spans="1:34" x14ac:dyDescent="0.25">
      <c r="A646" s="3" t="s">
        <v>5240</v>
      </c>
      <c r="B646" s="3">
        <v>135294</v>
      </c>
      <c r="C646" s="3">
        <v>941707</v>
      </c>
      <c r="D646" s="3" t="s">
        <v>3526</v>
      </c>
      <c r="E646" s="3">
        <v>6</v>
      </c>
      <c r="F646" s="3">
        <v>6</v>
      </c>
      <c r="G646" s="3">
        <v>1</v>
      </c>
      <c r="H646" s="55" t="s">
        <v>289</v>
      </c>
      <c r="I646" s="3" t="s">
        <v>279</v>
      </c>
      <c r="J646" s="135">
        <v>46210</v>
      </c>
      <c r="L646" s="3">
        <v>2160</v>
      </c>
      <c r="M646" s="3">
        <v>27595</v>
      </c>
      <c r="N646" s="3" t="s">
        <v>5237</v>
      </c>
      <c r="R646" s="3">
        <v>15</v>
      </c>
      <c r="S646" s="3" t="s">
        <v>4893</v>
      </c>
      <c r="T646" s="3" t="s">
        <v>5171</v>
      </c>
      <c r="U646" s="3" t="s">
        <v>298</v>
      </c>
      <c r="V646" s="3">
        <v>252</v>
      </c>
      <c r="W646" s="3">
        <v>0</v>
      </c>
      <c r="X646" s="3">
        <v>412</v>
      </c>
      <c r="Y646" s="3">
        <v>0</v>
      </c>
      <c r="Z646" s="3">
        <v>0</v>
      </c>
      <c r="AA646" s="3">
        <v>412</v>
      </c>
      <c r="AB646" s="3">
        <v>2592</v>
      </c>
      <c r="AC646" s="192">
        <v>0</v>
      </c>
      <c r="AF646" s="193">
        <v>6.805555555555555E-2</v>
      </c>
      <c r="AG646" s="193">
        <v>0.42638888888888887</v>
      </c>
      <c r="AH646" s="193">
        <v>0.76944444444444449</v>
      </c>
    </row>
    <row r="647" spans="1:34" x14ac:dyDescent="0.25">
      <c r="A647" s="3" t="s">
        <v>5240</v>
      </c>
      <c r="B647" s="3">
        <v>135294</v>
      </c>
      <c r="C647" s="3">
        <v>941707</v>
      </c>
      <c r="D647" s="3" t="s">
        <v>3526</v>
      </c>
      <c r="E647" s="3">
        <v>6</v>
      </c>
      <c r="F647" s="3">
        <v>7</v>
      </c>
      <c r="G647" s="3">
        <v>2</v>
      </c>
      <c r="H647" s="55" t="s">
        <v>289</v>
      </c>
      <c r="I647" s="3" t="s">
        <v>279</v>
      </c>
      <c r="J647" s="135">
        <v>46210</v>
      </c>
      <c r="L647" s="3">
        <v>2160</v>
      </c>
      <c r="M647" s="3">
        <v>27595</v>
      </c>
      <c r="N647" s="3" t="s">
        <v>5237</v>
      </c>
      <c r="R647" s="3">
        <v>15</v>
      </c>
      <c r="S647" s="3" t="s">
        <v>4893</v>
      </c>
      <c r="T647" s="3" t="s">
        <v>5171</v>
      </c>
      <c r="U647" s="3">
        <v>35</v>
      </c>
      <c r="V647" s="3">
        <v>252</v>
      </c>
      <c r="W647" s="3">
        <v>0</v>
      </c>
      <c r="X647" s="3">
        <v>824</v>
      </c>
      <c r="Y647" s="3">
        <v>0</v>
      </c>
      <c r="Z647" s="3">
        <v>0</v>
      </c>
      <c r="AA647" s="3">
        <v>824</v>
      </c>
      <c r="AB647" s="3">
        <v>3416</v>
      </c>
      <c r="AC647" s="192">
        <v>0.05</v>
      </c>
      <c r="AD647" s="3" t="s">
        <v>285</v>
      </c>
      <c r="AE647" s="3" t="s">
        <v>286</v>
      </c>
      <c r="AF647" s="193">
        <v>0.1361111111111111</v>
      </c>
      <c r="AG647" s="193">
        <v>0.5625</v>
      </c>
      <c r="AH647" s="193">
        <v>0.9555555555555556</v>
      </c>
    </row>
    <row r="648" spans="1:34" x14ac:dyDescent="0.25">
      <c r="A648" s="3" t="s">
        <v>3431</v>
      </c>
      <c r="B648" s="3">
        <v>128835</v>
      </c>
      <c r="C648" s="3">
        <v>941707</v>
      </c>
      <c r="D648" s="3" t="s">
        <v>3526</v>
      </c>
      <c r="E648" s="3">
        <v>6</v>
      </c>
      <c r="F648" s="3">
        <v>1</v>
      </c>
      <c r="G648" s="3">
        <v>1</v>
      </c>
      <c r="H648" s="55" t="s">
        <v>289</v>
      </c>
      <c r="I648" s="3" t="s">
        <v>279</v>
      </c>
      <c r="J648" s="135">
        <v>46060</v>
      </c>
      <c r="L648" s="3">
        <v>2160</v>
      </c>
      <c r="M648" s="3">
        <v>27600</v>
      </c>
      <c r="N648" s="3" t="s">
        <v>5247</v>
      </c>
      <c r="O648" s="3" t="s">
        <v>4754</v>
      </c>
      <c r="R648" s="3">
        <v>7</v>
      </c>
      <c r="S648" s="3" t="s">
        <v>5331</v>
      </c>
      <c r="T648" s="3" t="s">
        <v>5192</v>
      </c>
      <c r="U648" s="3" t="s">
        <v>354</v>
      </c>
      <c r="V648" s="3">
        <v>261</v>
      </c>
      <c r="W648" s="3">
        <v>0</v>
      </c>
      <c r="X648" s="3">
        <v>70</v>
      </c>
      <c r="Y648" s="3">
        <v>0</v>
      </c>
      <c r="Z648" s="3">
        <v>0</v>
      </c>
      <c r="AA648" s="3">
        <v>70</v>
      </c>
      <c r="AB648" s="3">
        <v>70</v>
      </c>
      <c r="AC648" s="192">
        <v>0</v>
      </c>
      <c r="AF648" s="193">
        <v>1.1111111111111112E-2</v>
      </c>
      <c r="AG648" s="193">
        <v>1.1111111111111112E-2</v>
      </c>
      <c r="AH648" s="193">
        <v>0.28819444444444442</v>
      </c>
    </row>
    <row r="649" spans="1:34" x14ac:dyDescent="0.25">
      <c r="A649" s="3" t="s">
        <v>3431</v>
      </c>
      <c r="B649" s="3">
        <v>128835</v>
      </c>
      <c r="C649" s="3">
        <v>941707</v>
      </c>
      <c r="D649" s="3" t="s">
        <v>3526</v>
      </c>
      <c r="E649" s="3">
        <v>6</v>
      </c>
      <c r="F649" s="3">
        <v>2</v>
      </c>
      <c r="G649" s="3">
        <v>2</v>
      </c>
      <c r="H649" s="55" t="s">
        <v>289</v>
      </c>
      <c r="I649" s="3" t="s">
        <v>279</v>
      </c>
      <c r="J649" s="135">
        <v>46060</v>
      </c>
      <c r="L649" s="3">
        <v>2160</v>
      </c>
      <c r="M649" s="3">
        <v>27600</v>
      </c>
      <c r="N649" s="3" t="s">
        <v>5247</v>
      </c>
      <c r="O649" s="3" t="s">
        <v>4754</v>
      </c>
      <c r="R649" s="3">
        <v>7</v>
      </c>
      <c r="S649" s="3" t="s">
        <v>5331</v>
      </c>
      <c r="T649" s="3" t="s">
        <v>5192</v>
      </c>
      <c r="U649" s="3">
        <v>19</v>
      </c>
      <c r="V649" s="3">
        <v>261</v>
      </c>
      <c r="W649" s="3">
        <v>0</v>
      </c>
      <c r="X649" s="3">
        <v>140</v>
      </c>
      <c r="Y649" s="3">
        <v>0</v>
      </c>
      <c r="Z649" s="3">
        <v>0</v>
      </c>
      <c r="AA649" s="3">
        <v>140</v>
      </c>
      <c r="AB649" s="3">
        <v>210</v>
      </c>
      <c r="AC649" s="192">
        <v>0</v>
      </c>
      <c r="AF649" s="193">
        <v>2.2222222222222223E-2</v>
      </c>
      <c r="AG649" s="193">
        <v>3.3333333333333333E-2</v>
      </c>
      <c r="AH649" s="193">
        <v>0.31041666666666667</v>
      </c>
    </row>
    <row r="650" spans="1:34" x14ac:dyDescent="0.25">
      <c r="A650" s="3" t="s">
        <v>3431</v>
      </c>
      <c r="B650" s="3">
        <v>128835</v>
      </c>
      <c r="C650" s="3">
        <v>941707</v>
      </c>
      <c r="D650" s="3" t="s">
        <v>3526</v>
      </c>
      <c r="E650" s="3">
        <v>6</v>
      </c>
      <c r="F650" s="3">
        <v>3</v>
      </c>
      <c r="G650" s="3">
        <v>3</v>
      </c>
      <c r="H650" s="55" t="s">
        <v>289</v>
      </c>
      <c r="I650" s="3" t="s">
        <v>279</v>
      </c>
      <c r="J650" s="135">
        <v>46060</v>
      </c>
      <c r="L650" s="3">
        <v>2160</v>
      </c>
      <c r="M650" s="3">
        <v>27600</v>
      </c>
      <c r="N650" s="3" t="s">
        <v>5247</v>
      </c>
      <c r="O650" s="3" t="s">
        <v>4754</v>
      </c>
      <c r="R650" s="3">
        <v>7</v>
      </c>
      <c r="S650" s="3" t="s">
        <v>5331</v>
      </c>
      <c r="T650" s="3" t="s">
        <v>5192</v>
      </c>
      <c r="U650" s="3" t="s">
        <v>355</v>
      </c>
      <c r="V650" s="3">
        <v>261</v>
      </c>
      <c r="W650" s="3">
        <v>0</v>
      </c>
      <c r="X650" s="3">
        <v>140</v>
      </c>
      <c r="Y650" s="3">
        <v>0</v>
      </c>
      <c r="Z650" s="3">
        <v>0</v>
      </c>
      <c r="AA650" s="3">
        <v>140</v>
      </c>
      <c r="AB650" s="3">
        <v>350</v>
      </c>
      <c r="AC650" s="192">
        <v>0</v>
      </c>
      <c r="AF650" s="193">
        <v>2.2222222222222223E-2</v>
      </c>
      <c r="AG650" s="193">
        <v>5.5555555555555552E-2</v>
      </c>
      <c r="AH650" s="193">
        <v>0.33263888888888887</v>
      </c>
    </row>
    <row r="651" spans="1:34" x14ac:dyDescent="0.25">
      <c r="A651" s="3" t="s">
        <v>3431</v>
      </c>
      <c r="B651" s="3">
        <v>128836</v>
      </c>
      <c r="C651" s="3">
        <v>941707</v>
      </c>
      <c r="D651" s="3" t="s">
        <v>3526</v>
      </c>
      <c r="E651" s="3">
        <v>6</v>
      </c>
      <c r="F651" s="3">
        <v>4</v>
      </c>
      <c r="G651" s="3">
        <v>1</v>
      </c>
      <c r="H651" s="55" t="s">
        <v>289</v>
      </c>
      <c r="I651" s="3" t="s">
        <v>279</v>
      </c>
      <c r="J651" s="135">
        <v>46060</v>
      </c>
      <c r="L651" s="3">
        <v>2160</v>
      </c>
      <c r="M651" s="3">
        <v>27600</v>
      </c>
      <c r="N651" s="3" t="s">
        <v>5247</v>
      </c>
      <c r="O651" s="3" t="s">
        <v>4754</v>
      </c>
      <c r="R651" s="3">
        <v>7</v>
      </c>
      <c r="S651" s="3" t="s">
        <v>5457</v>
      </c>
      <c r="T651" s="3" t="s">
        <v>5458</v>
      </c>
      <c r="U651" s="3" t="s">
        <v>354</v>
      </c>
      <c r="V651" s="3">
        <v>261</v>
      </c>
      <c r="W651" s="3">
        <v>0</v>
      </c>
      <c r="X651" s="3">
        <v>170</v>
      </c>
      <c r="Y651" s="3">
        <v>0</v>
      </c>
      <c r="Z651" s="3">
        <v>0</v>
      </c>
      <c r="AA651" s="3">
        <v>170</v>
      </c>
      <c r="AB651" s="3">
        <v>520</v>
      </c>
      <c r="AC651" s="192">
        <v>8.3333333333333332E-3</v>
      </c>
      <c r="AD651" s="3" t="s">
        <v>292</v>
      </c>
      <c r="AF651" s="193">
        <v>2.7083333333333334E-2</v>
      </c>
      <c r="AG651" s="193">
        <v>8.3333333333333329E-2</v>
      </c>
      <c r="AH651" s="193">
        <v>0.36805555555555558</v>
      </c>
    </row>
    <row r="652" spans="1:34" x14ac:dyDescent="0.25">
      <c r="A652" s="3" t="s">
        <v>3431</v>
      </c>
      <c r="B652" s="3">
        <v>128836</v>
      </c>
      <c r="C652" s="3">
        <v>941707</v>
      </c>
      <c r="D652" s="3" t="s">
        <v>3526</v>
      </c>
      <c r="E652" s="3">
        <v>6</v>
      </c>
      <c r="F652" s="3">
        <v>5</v>
      </c>
      <c r="G652" s="3">
        <v>2</v>
      </c>
      <c r="H652" s="55" t="s">
        <v>289</v>
      </c>
      <c r="I652" s="3" t="s">
        <v>279</v>
      </c>
      <c r="J652" s="135">
        <v>46060</v>
      </c>
      <c r="L652" s="3">
        <v>2160</v>
      </c>
      <c r="M652" s="3">
        <v>27600</v>
      </c>
      <c r="N652" s="3" t="s">
        <v>5247</v>
      </c>
      <c r="O652" s="3" t="s">
        <v>4754</v>
      </c>
      <c r="R652" s="3">
        <v>7</v>
      </c>
      <c r="S652" s="3" t="s">
        <v>5457</v>
      </c>
      <c r="T652" s="3" t="s">
        <v>5458</v>
      </c>
      <c r="U652" s="3">
        <v>19</v>
      </c>
      <c r="V652" s="3">
        <v>261</v>
      </c>
      <c r="W652" s="3">
        <v>0</v>
      </c>
      <c r="X652" s="3">
        <v>250</v>
      </c>
      <c r="Y652" s="3">
        <v>0</v>
      </c>
      <c r="Z652" s="3">
        <v>0</v>
      </c>
      <c r="AA652" s="3">
        <v>250</v>
      </c>
      <c r="AB652" s="3">
        <v>770</v>
      </c>
      <c r="AC652" s="192">
        <v>0</v>
      </c>
      <c r="AF652" s="193">
        <v>3.9583333333333331E-2</v>
      </c>
      <c r="AG652" s="193">
        <v>0.12291666666666666</v>
      </c>
      <c r="AH652" s="193">
        <v>0.40763888888888888</v>
      </c>
    </row>
    <row r="653" spans="1:34" x14ac:dyDescent="0.25">
      <c r="A653" s="3" t="s">
        <v>3431</v>
      </c>
      <c r="B653" s="3">
        <v>128836</v>
      </c>
      <c r="C653" s="3">
        <v>941707</v>
      </c>
      <c r="D653" s="3" t="s">
        <v>3526</v>
      </c>
      <c r="E653" s="3">
        <v>6</v>
      </c>
      <c r="F653" s="3">
        <v>6</v>
      </c>
      <c r="G653" s="3">
        <v>3</v>
      </c>
      <c r="H653" s="55" t="s">
        <v>289</v>
      </c>
      <c r="I653" s="3" t="s">
        <v>279</v>
      </c>
      <c r="J653" s="135">
        <v>46060</v>
      </c>
      <c r="L653" s="3">
        <v>2160</v>
      </c>
      <c r="M653" s="3">
        <v>27600</v>
      </c>
      <c r="N653" s="3" t="s">
        <v>5247</v>
      </c>
      <c r="O653" s="3" t="s">
        <v>4754</v>
      </c>
      <c r="R653" s="3">
        <v>7</v>
      </c>
      <c r="S653" s="3" t="s">
        <v>5457</v>
      </c>
      <c r="T653" s="3" t="s">
        <v>5458</v>
      </c>
      <c r="U653" s="3" t="s">
        <v>355</v>
      </c>
      <c r="V653" s="3">
        <v>261</v>
      </c>
      <c r="W653" s="3">
        <v>0</v>
      </c>
      <c r="X653" s="3">
        <v>430</v>
      </c>
      <c r="Y653" s="3">
        <v>0</v>
      </c>
      <c r="Z653" s="3">
        <v>0</v>
      </c>
      <c r="AA653" s="3">
        <v>430</v>
      </c>
      <c r="AB653" s="3">
        <v>1200</v>
      </c>
      <c r="AC653" s="192">
        <v>4.1666666666666664E-2</v>
      </c>
      <c r="AD653" s="3" t="s">
        <v>294</v>
      </c>
      <c r="AE653" s="3" t="s">
        <v>295</v>
      </c>
      <c r="AF653" s="193">
        <v>6.8750000000000006E-2</v>
      </c>
      <c r="AG653" s="193">
        <v>0.19166666666666668</v>
      </c>
      <c r="AH653" s="193">
        <v>0.5180555555555556</v>
      </c>
    </row>
    <row r="654" spans="1:34" x14ac:dyDescent="0.25">
      <c r="A654" s="3" t="s">
        <v>3431</v>
      </c>
      <c r="B654" s="3">
        <v>128837</v>
      </c>
      <c r="C654" s="3">
        <v>941707</v>
      </c>
      <c r="D654" s="3" t="s">
        <v>3526</v>
      </c>
      <c r="E654" s="3">
        <v>6</v>
      </c>
      <c r="F654" s="3">
        <v>7</v>
      </c>
      <c r="G654" s="3">
        <v>1</v>
      </c>
      <c r="H654" s="55" t="s">
        <v>289</v>
      </c>
      <c r="I654" s="3" t="s">
        <v>279</v>
      </c>
      <c r="J654" s="135">
        <v>46060</v>
      </c>
      <c r="L654" s="3">
        <v>2160</v>
      </c>
      <c r="M654" s="3">
        <v>27600</v>
      </c>
      <c r="N654" s="3" t="s">
        <v>5247</v>
      </c>
      <c r="O654" s="3" t="s">
        <v>4754</v>
      </c>
      <c r="R654" s="3">
        <v>7</v>
      </c>
      <c r="S654" s="3" t="s">
        <v>5459</v>
      </c>
      <c r="T654" s="3" t="s">
        <v>5393</v>
      </c>
      <c r="U654" s="3" t="s">
        <v>354</v>
      </c>
      <c r="V654" s="3">
        <v>261</v>
      </c>
      <c r="W654" s="3">
        <v>0</v>
      </c>
      <c r="X654" s="3">
        <v>470</v>
      </c>
      <c r="Y654" s="3">
        <v>0</v>
      </c>
      <c r="Z654" s="3">
        <v>0</v>
      </c>
      <c r="AA654" s="3">
        <v>470</v>
      </c>
      <c r="AB654" s="3">
        <v>1670</v>
      </c>
      <c r="AC654" s="192">
        <v>8.3333333333333332E-3</v>
      </c>
      <c r="AD654" s="3" t="s">
        <v>404</v>
      </c>
      <c r="AF654" s="193">
        <v>7.4999999999999997E-2</v>
      </c>
      <c r="AG654" s="193">
        <v>0.26666666666666666</v>
      </c>
      <c r="AH654" s="193">
        <v>0.60138888888888886</v>
      </c>
    </row>
    <row r="655" spans="1:34" x14ac:dyDescent="0.25">
      <c r="A655" s="3" t="s">
        <v>3431</v>
      </c>
      <c r="B655" s="3">
        <v>128837</v>
      </c>
      <c r="C655" s="3">
        <v>941707</v>
      </c>
      <c r="D655" s="3" t="s">
        <v>3526</v>
      </c>
      <c r="E655" s="3">
        <v>6</v>
      </c>
      <c r="F655" s="3">
        <v>8</v>
      </c>
      <c r="G655" s="3">
        <v>2</v>
      </c>
      <c r="H655" s="55" t="s">
        <v>289</v>
      </c>
      <c r="I655" s="3" t="s">
        <v>279</v>
      </c>
      <c r="J655" s="135">
        <v>46060</v>
      </c>
      <c r="L655" s="3">
        <v>2160</v>
      </c>
      <c r="M655" s="3">
        <v>27600</v>
      </c>
      <c r="N655" s="3" t="s">
        <v>5247</v>
      </c>
      <c r="O655" s="3" t="s">
        <v>4754</v>
      </c>
      <c r="R655" s="3">
        <v>7</v>
      </c>
      <c r="S655" s="3" t="s">
        <v>5459</v>
      </c>
      <c r="T655" s="3" t="s">
        <v>5393</v>
      </c>
      <c r="U655" s="3">
        <v>19</v>
      </c>
      <c r="V655" s="3">
        <v>261</v>
      </c>
      <c r="W655" s="3">
        <v>0</v>
      </c>
      <c r="X655" s="3">
        <v>620</v>
      </c>
      <c r="Y655" s="3">
        <v>0</v>
      </c>
      <c r="Z655" s="3">
        <v>0</v>
      </c>
      <c r="AA655" s="3">
        <v>620</v>
      </c>
      <c r="AB655" s="3">
        <v>2290</v>
      </c>
      <c r="AC655" s="192">
        <v>0</v>
      </c>
      <c r="AF655" s="193">
        <v>9.930555555555555E-2</v>
      </c>
      <c r="AG655" s="193">
        <v>0.36527777777777776</v>
      </c>
      <c r="AH655" s="193">
        <v>0.70763888888888893</v>
      </c>
    </row>
    <row r="656" spans="1:34" x14ac:dyDescent="0.25">
      <c r="A656" s="3" t="s">
        <v>3431</v>
      </c>
      <c r="B656" s="3">
        <v>128837</v>
      </c>
      <c r="C656" s="3">
        <v>941707</v>
      </c>
      <c r="D656" s="3" t="s">
        <v>3526</v>
      </c>
      <c r="E656" s="3">
        <v>6</v>
      </c>
      <c r="F656" s="3">
        <v>9</v>
      </c>
      <c r="G656" s="3">
        <v>3</v>
      </c>
      <c r="H656" s="55" t="s">
        <v>289</v>
      </c>
      <c r="I656" s="3" t="s">
        <v>279</v>
      </c>
      <c r="J656" s="135">
        <v>46060</v>
      </c>
      <c r="L656" s="3">
        <v>2160</v>
      </c>
      <c r="M656" s="3">
        <v>27600</v>
      </c>
      <c r="N656" s="3" t="s">
        <v>5247</v>
      </c>
      <c r="O656" s="3" t="s">
        <v>4754</v>
      </c>
      <c r="R656" s="3">
        <v>7</v>
      </c>
      <c r="S656" s="3" t="s">
        <v>5459</v>
      </c>
      <c r="T656" s="3" t="s">
        <v>5393</v>
      </c>
      <c r="U656" s="3" t="s">
        <v>355</v>
      </c>
      <c r="V656" s="3">
        <v>261</v>
      </c>
      <c r="W656" s="3">
        <v>0</v>
      </c>
      <c r="X656" s="3">
        <v>1090</v>
      </c>
      <c r="Y656" s="3">
        <v>0</v>
      </c>
      <c r="Z656" s="3">
        <v>0</v>
      </c>
      <c r="AA656" s="3">
        <v>1090</v>
      </c>
      <c r="AB656" s="3">
        <v>3380</v>
      </c>
      <c r="AC656" s="192">
        <v>0.05</v>
      </c>
      <c r="AD656" s="3" t="s">
        <v>285</v>
      </c>
      <c r="AE656" s="3" t="s">
        <v>286</v>
      </c>
      <c r="AF656" s="193">
        <v>0.17430555555555555</v>
      </c>
      <c r="AG656" s="193">
        <v>0.5395833333333333</v>
      </c>
      <c r="AH656" s="193">
        <v>0.93194444444444446</v>
      </c>
    </row>
    <row r="657" spans="1:34" x14ac:dyDescent="0.25">
      <c r="A657" s="3" t="s">
        <v>3432</v>
      </c>
      <c r="B657" s="3">
        <v>128833</v>
      </c>
      <c r="C657" s="3">
        <v>941707</v>
      </c>
      <c r="D657" s="3" t="s">
        <v>3526</v>
      </c>
      <c r="E657" s="3">
        <v>6</v>
      </c>
      <c r="F657" s="3">
        <v>1</v>
      </c>
      <c r="G657" s="3">
        <v>5</v>
      </c>
      <c r="H657" s="55" t="s">
        <v>289</v>
      </c>
      <c r="I657" s="3" t="s">
        <v>279</v>
      </c>
      <c r="J657" s="135">
        <v>46060</v>
      </c>
      <c r="L657" s="3">
        <v>2160</v>
      </c>
      <c r="M657" s="3">
        <v>27600</v>
      </c>
      <c r="N657" s="3" t="s">
        <v>5247</v>
      </c>
      <c r="R657" s="3">
        <v>7</v>
      </c>
      <c r="S657" s="3" t="s">
        <v>5248</v>
      </c>
      <c r="T657" s="3" t="s">
        <v>5249</v>
      </c>
      <c r="U657" s="3" t="s">
        <v>290</v>
      </c>
      <c r="V657" s="3">
        <v>261</v>
      </c>
      <c r="W657" s="3">
        <v>0</v>
      </c>
      <c r="X657" s="3">
        <v>552</v>
      </c>
      <c r="Y657" s="3">
        <v>0</v>
      </c>
      <c r="Z657" s="3">
        <v>0</v>
      </c>
      <c r="AA657" s="3">
        <v>552</v>
      </c>
      <c r="AB657" s="3">
        <v>552</v>
      </c>
      <c r="AC657" s="192">
        <v>8.3333333333333332E-3</v>
      </c>
      <c r="AD657" s="3" t="s">
        <v>292</v>
      </c>
      <c r="AF657" s="193">
        <v>8.819444444444445E-2</v>
      </c>
      <c r="AG657" s="193">
        <v>8.819444444444445E-2</v>
      </c>
      <c r="AH657" s="193">
        <v>0.37361111111111112</v>
      </c>
    </row>
    <row r="658" spans="1:34" x14ac:dyDescent="0.25">
      <c r="A658" s="3" t="s">
        <v>3432</v>
      </c>
      <c r="B658" s="3">
        <v>128834</v>
      </c>
      <c r="C658" s="3">
        <v>941707</v>
      </c>
      <c r="D658" s="3" t="s">
        <v>3526</v>
      </c>
      <c r="E658" s="3">
        <v>6</v>
      </c>
      <c r="F658" s="3">
        <v>2</v>
      </c>
      <c r="G658" s="3">
        <v>5</v>
      </c>
      <c r="H658" s="55" t="s">
        <v>289</v>
      </c>
      <c r="I658" s="3" t="s">
        <v>279</v>
      </c>
      <c r="J658" s="135">
        <v>46060</v>
      </c>
      <c r="K658" s="3" t="s">
        <v>5291</v>
      </c>
      <c r="L658" s="3">
        <v>2160</v>
      </c>
      <c r="M658" s="3">
        <v>27600</v>
      </c>
      <c r="N658" s="3" t="s">
        <v>5247</v>
      </c>
      <c r="O658" s="3" t="s">
        <v>4754</v>
      </c>
      <c r="R658" s="3">
        <v>7</v>
      </c>
      <c r="S658" s="3" t="s">
        <v>5330</v>
      </c>
      <c r="T658" s="3" t="s">
        <v>4715</v>
      </c>
      <c r="U658" s="3" t="s">
        <v>290</v>
      </c>
      <c r="V658" s="3">
        <v>261</v>
      </c>
      <c r="W658" s="3">
        <v>0</v>
      </c>
      <c r="X658" s="3">
        <v>1260</v>
      </c>
      <c r="Y658" s="3">
        <v>1068</v>
      </c>
      <c r="Z658" s="3">
        <v>0</v>
      </c>
      <c r="AA658" s="3">
        <v>192</v>
      </c>
      <c r="AB658" s="3">
        <v>744</v>
      </c>
      <c r="AC658" s="192">
        <v>0</v>
      </c>
      <c r="AF658" s="193">
        <v>3.0555555555555555E-2</v>
      </c>
      <c r="AG658" s="193">
        <v>0.11874999999999999</v>
      </c>
      <c r="AH658" s="193">
        <v>0.40416666666666667</v>
      </c>
    </row>
    <row r="659" spans="1:34" x14ac:dyDescent="0.25">
      <c r="A659" s="3" t="s">
        <v>3432</v>
      </c>
      <c r="B659" s="3">
        <v>128835</v>
      </c>
      <c r="C659" s="3">
        <v>941707</v>
      </c>
      <c r="D659" s="3" t="s">
        <v>3526</v>
      </c>
      <c r="E659" s="3">
        <v>6</v>
      </c>
      <c r="F659" s="3">
        <v>3</v>
      </c>
      <c r="G659" s="3">
        <v>4</v>
      </c>
      <c r="H659" s="55" t="s">
        <v>289</v>
      </c>
      <c r="I659" s="3" t="s">
        <v>279</v>
      </c>
      <c r="J659" s="135">
        <v>46060</v>
      </c>
      <c r="K659" s="3" t="s">
        <v>5291</v>
      </c>
      <c r="L659" s="3">
        <v>2160</v>
      </c>
      <c r="M659" s="3">
        <v>27600</v>
      </c>
      <c r="N659" s="3" t="s">
        <v>5247</v>
      </c>
      <c r="O659" s="3" t="s">
        <v>4754</v>
      </c>
      <c r="R659" s="3">
        <v>7</v>
      </c>
      <c r="S659" s="3" t="s">
        <v>5331</v>
      </c>
      <c r="T659" s="3" t="s">
        <v>5192</v>
      </c>
      <c r="U659" s="3">
        <v>22</v>
      </c>
      <c r="V659" s="3">
        <v>261</v>
      </c>
      <c r="W659" s="3">
        <v>0</v>
      </c>
      <c r="X659" s="3">
        <v>210</v>
      </c>
      <c r="Y659" s="3">
        <v>180</v>
      </c>
      <c r="Z659" s="3">
        <v>0</v>
      </c>
      <c r="AA659" s="3">
        <v>30</v>
      </c>
      <c r="AB659" s="3">
        <v>774</v>
      </c>
      <c r="AC659" s="192">
        <v>0</v>
      </c>
      <c r="AF659" s="193">
        <v>4.8611111111111112E-3</v>
      </c>
      <c r="AG659" s="193">
        <v>0.12361111111111112</v>
      </c>
      <c r="AH659" s="193">
        <v>0.40902777777777777</v>
      </c>
    </row>
    <row r="660" spans="1:34" x14ac:dyDescent="0.25">
      <c r="A660" s="3" t="s">
        <v>3432</v>
      </c>
      <c r="B660" s="3">
        <v>128835</v>
      </c>
      <c r="C660" s="3">
        <v>941707</v>
      </c>
      <c r="D660" s="3" t="s">
        <v>3526</v>
      </c>
      <c r="E660" s="3">
        <v>6</v>
      </c>
      <c r="F660" s="3">
        <v>4</v>
      </c>
      <c r="G660" s="3">
        <v>5</v>
      </c>
      <c r="H660" s="55" t="s">
        <v>289</v>
      </c>
      <c r="I660" s="3" t="s">
        <v>279</v>
      </c>
      <c r="J660" s="135">
        <v>46060</v>
      </c>
      <c r="L660" s="3">
        <v>2160</v>
      </c>
      <c r="M660" s="3">
        <v>27600</v>
      </c>
      <c r="N660" s="3" t="s">
        <v>5247</v>
      </c>
      <c r="O660" s="3" t="s">
        <v>4754</v>
      </c>
      <c r="R660" s="3">
        <v>7</v>
      </c>
      <c r="S660" s="3" t="s">
        <v>5331</v>
      </c>
      <c r="T660" s="3" t="s">
        <v>5192</v>
      </c>
      <c r="U660" s="3" t="s">
        <v>290</v>
      </c>
      <c r="V660" s="3">
        <v>261</v>
      </c>
      <c r="W660" s="3">
        <v>0</v>
      </c>
      <c r="X660" s="3">
        <v>140</v>
      </c>
      <c r="Y660" s="3">
        <v>0</v>
      </c>
      <c r="Z660" s="3">
        <v>0</v>
      </c>
      <c r="AA660" s="3">
        <v>140</v>
      </c>
      <c r="AB660" s="3">
        <v>914</v>
      </c>
      <c r="AC660" s="192">
        <v>0</v>
      </c>
      <c r="AF660" s="193">
        <v>2.2222222222222223E-2</v>
      </c>
      <c r="AG660" s="193">
        <v>0.14583333333333334</v>
      </c>
      <c r="AH660" s="193">
        <v>0.43125000000000002</v>
      </c>
    </row>
    <row r="661" spans="1:34" x14ac:dyDescent="0.25">
      <c r="A661" s="3" t="s">
        <v>3432</v>
      </c>
      <c r="B661" s="3">
        <v>128836</v>
      </c>
      <c r="C661" s="3">
        <v>941707</v>
      </c>
      <c r="D661" s="3" t="s">
        <v>3526</v>
      </c>
      <c r="E661" s="3">
        <v>6</v>
      </c>
      <c r="F661" s="3">
        <v>5</v>
      </c>
      <c r="G661" s="3">
        <v>4</v>
      </c>
      <c r="H661" s="55" t="s">
        <v>289</v>
      </c>
      <c r="I661" s="3" t="s">
        <v>279</v>
      </c>
      <c r="J661" s="135">
        <v>46060</v>
      </c>
      <c r="K661" s="3" t="s">
        <v>5363</v>
      </c>
      <c r="L661" s="3">
        <v>2160</v>
      </c>
      <c r="M661" s="3">
        <v>27600</v>
      </c>
      <c r="N661" s="3" t="s">
        <v>5247</v>
      </c>
      <c r="O661" s="3" t="s">
        <v>4754</v>
      </c>
      <c r="R661" s="3">
        <v>7</v>
      </c>
      <c r="S661" s="3" t="s">
        <v>5457</v>
      </c>
      <c r="T661" s="3" t="s">
        <v>5458</v>
      </c>
      <c r="U661" s="3">
        <v>22</v>
      </c>
      <c r="V661" s="3">
        <v>261</v>
      </c>
      <c r="W661" s="3">
        <v>0</v>
      </c>
      <c r="X661" s="3">
        <v>510</v>
      </c>
      <c r="Y661" s="3">
        <v>180</v>
      </c>
      <c r="Z661" s="3">
        <v>0</v>
      </c>
      <c r="AA661" s="3">
        <v>330</v>
      </c>
      <c r="AB661" s="3">
        <v>1244</v>
      </c>
      <c r="AC661" s="192">
        <v>4.1666666666666664E-2</v>
      </c>
      <c r="AD661" s="3" t="s">
        <v>294</v>
      </c>
      <c r="AE661" s="3" t="s">
        <v>295</v>
      </c>
      <c r="AF661" s="193">
        <v>5.2777777777777778E-2</v>
      </c>
      <c r="AG661" s="193">
        <v>0.1986111111111111</v>
      </c>
      <c r="AH661" s="193">
        <v>0.52569444444444446</v>
      </c>
    </row>
    <row r="662" spans="1:34" x14ac:dyDescent="0.25">
      <c r="A662" s="3" t="s">
        <v>3432</v>
      </c>
      <c r="B662" s="3">
        <v>128836</v>
      </c>
      <c r="C662" s="3">
        <v>941707</v>
      </c>
      <c r="D662" s="3" t="s">
        <v>3526</v>
      </c>
      <c r="E662" s="3">
        <v>6</v>
      </c>
      <c r="F662" s="3">
        <v>6</v>
      </c>
      <c r="G662" s="3">
        <v>5</v>
      </c>
      <c r="H662" s="55" t="s">
        <v>289</v>
      </c>
      <c r="I662" s="3" t="s">
        <v>279</v>
      </c>
      <c r="J662" s="135">
        <v>46060</v>
      </c>
      <c r="L662" s="3">
        <v>2160</v>
      </c>
      <c r="M662" s="3">
        <v>27600</v>
      </c>
      <c r="N662" s="3" t="s">
        <v>5247</v>
      </c>
      <c r="O662" s="3" t="s">
        <v>4754</v>
      </c>
      <c r="R662" s="3">
        <v>7</v>
      </c>
      <c r="S662" s="3" t="s">
        <v>5457</v>
      </c>
      <c r="T662" s="3" t="s">
        <v>5458</v>
      </c>
      <c r="U662" s="3" t="s">
        <v>290</v>
      </c>
      <c r="V662" s="3">
        <v>261</v>
      </c>
      <c r="W662" s="3">
        <v>0</v>
      </c>
      <c r="X662" s="3">
        <v>340</v>
      </c>
      <c r="Y662" s="3">
        <v>0</v>
      </c>
      <c r="Z662" s="3">
        <v>0</v>
      </c>
      <c r="AA662" s="3">
        <v>340</v>
      </c>
      <c r="AB662" s="3">
        <v>1584</v>
      </c>
      <c r="AC662" s="192">
        <v>8.3333333333333332E-3</v>
      </c>
      <c r="AD662" s="3" t="s">
        <v>404</v>
      </c>
      <c r="AF662" s="193">
        <v>5.4166666666666669E-2</v>
      </c>
      <c r="AG662" s="193">
        <v>0.25277777777777777</v>
      </c>
      <c r="AH662" s="193">
        <v>0.58819444444444446</v>
      </c>
    </row>
    <row r="663" spans="1:34" x14ac:dyDescent="0.25">
      <c r="A663" s="3" t="s">
        <v>3432</v>
      </c>
      <c r="B663" s="3">
        <v>128837</v>
      </c>
      <c r="C663" s="3">
        <v>941707</v>
      </c>
      <c r="D663" s="3" t="s">
        <v>3526</v>
      </c>
      <c r="E663" s="3">
        <v>6</v>
      </c>
      <c r="F663" s="3">
        <v>7</v>
      </c>
      <c r="G663" s="3">
        <v>4</v>
      </c>
      <c r="H663" s="55" t="s">
        <v>289</v>
      </c>
      <c r="I663" s="3" t="s">
        <v>279</v>
      </c>
      <c r="J663" s="135">
        <v>46060</v>
      </c>
      <c r="L663" s="3">
        <v>2160</v>
      </c>
      <c r="M663" s="3">
        <v>27600</v>
      </c>
      <c r="N663" s="3" t="s">
        <v>5247</v>
      </c>
      <c r="O663" s="3" t="s">
        <v>4754</v>
      </c>
      <c r="R663" s="3">
        <v>7</v>
      </c>
      <c r="S663" s="3" t="s">
        <v>5459</v>
      </c>
      <c r="T663" s="3" t="s">
        <v>5393</v>
      </c>
      <c r="U663" s="3">
        <v>22</v>
      </c>
      <c r="V663" s="3">
        <v>261</v>
      </c>
      <c r="W663" s="3">
        <v>0</v>
      </c>
      <c r="X663" s="3">
        <v>1410</v>
      </c>
      <c r="Y663" s="3">
        <v>0</v>
      </c>
      <c r="Z663" s="3">
        <v>0</v>
      </c>
      <c r="AA663" s="3">
        <v>1410</v>
      </c>
      <c r="AB663" s="3">
        <v>2994</v>
      </c>
      <c r="AC663" s="192">
        <v>0.05</v>
      </c>
      <c r="AD663" s="3" t="s">
        <v>285</v>
      </c>
      <c r="AE663" s="3" t="s">
        <v>286</v>
      </c>
      <c r="AF663" s="193">
        <v>0.22500000000000001</v>
      </c>
      <c r="AG663" s="193">
        <v>0.4777777777777778</v>
      </c>
      <c r="AH663" s="193">
        <v>0.87013888888888891</v>
      </c>
    </row>
    <row r="664" spans="1:34" x14ac:dyDescent="0.25">
      <c r="A664" s="3" t="s">
        <v>5460</v>
      </c>
      <c r="B664" s="3">
        <v>146990</v>
      </c>
      <c r="C664" s="3">
        <v>943007</v>
      </c>
      <c r="D664" s="3" t="s">
        <v>5288</v>
      </c>
      <c r="E664" s="3">
        <v>1</v>
      </c>
      <c r="F664" s="3">
        <v>1</v>
      </c>
      <c r="G664" s="3">
        <v>3</v>
      </c>
      <c r="H664" s="55" t="s">
        <v>289</v>
      </c>
      <c r="I664" s="3" t="s">
        <v>5358</v>
      </c>
      <c r="J664" s="3" t="s">
        <v>5096</v>
      </c>
      <c r="L664" s="3">
        <v>2101</v>
      </c>
      <c r="M664" s="3">
        <v>12439</v>
      </c>
      <c r="N664" s="3" t="s">
        <v>5461</v>
      </c>
      <c r="R664" s="3">
        <v>13</v>
      </c>
      <c r="S664" s="3" t="s">
        <v>3614</v>
      </c>
      <c r="T664" s="3" t="s">
        <v>5429</v>
      </c>
      <c r="U664" s="3" t="s">
        <v>354</v>
      </c>
      <c r="V664" s="3">
        <v>380</v>
      </c>
      <c r="W664" s="3">
        <v>0</v>
      </c>
      <c r="X664" s="3">
        <v>38</v>
      </c>
      <c r="Y664" s="3">
        <v>0</v>
      </c>
      <c r="Z664" s="3">
        <v>0</v>
      </c>
      <c r="AA664" s="3">
        <v>38</v>
      </c>
      <c r="AB664" s="3">
        <v>38</v>
      </c>
      <c r="AC664" s="192">
        <v>0</v>
      </c>
      <c r="AF664" s="193">
        <v>4.1666666666666666E-3</v>
      </c>
      <c r="AG664" s="193">
        <v>4.1666666666666666E-3</v>
      </c>
      <c r="AH664" s="193">
        <v>0.28125</v>
      </c>
    </row>
    <row r="665" spans="1:34" x14ac:dyDescent="0.25">
      <c r="A665" s="3" t="s">
        <v>5460</v>
      </c>
      <c r="B665" s="3">
        <v>146990</v>
      </c>
      <c r="C665" s="3">
        <v>943007</v>
      </c>
      <c r="D665" s="3" t="s">
        <v>5288</v>
      </c>
      <c r="E665" s="3">
        <v>1</v>
      </c>
      <c r="F665" s="3">
        <v>2</v>
      </c>
      <c r="G665" s="3">
        <v>4</v>
      </c>
      <c r="H665" s="55" t="s">
        <v>289</v>
      </c>
      <c r="I665" s="3" t="s">
        <v>5358</v>
      </c>
      <c r="J665" s="3" t="s">
        <v>5096</v>
      </c>
      <c r="L665" s="3">
        <v>2101</v>
      </c>
      <c r="M665" s="3">
        <v>12439</v>
      </c>
      <c r="N665" s="3" t="s">
        <v>5461</v>
      </c>
      <c r="R665" s="3">
        <v>13</v>
      </c>
      <c r="S665" s="3" t="s">
        <v>3614</v>
      </c>
      <c r="T665" s="3" t="s">
        <v>5429</v>
      </c>
      <c r="U665" s="3">
        <v>19</v>
      </c>
      <c r="V665" s="3">
        <v>380</v>
      </c>
      <c r="W665" s="3">
        <v>0</v>
      </c>
      <c r="X665" s="3">
        <v>172</v>
      </c>
      <c r="Y665" s="3">
        <v>0</v>
      </c>
      <c r="Z665" s="3">
        <v>0</v>
      </c>
      <c r="AA665" s="3">
        <v>172</v>
      </c>
      <c r="AB665" s="3">
        <v>210</v>
      </c>
      <c r="AC665" s="192">
        <v>0</v>
      </c>
      <c r="AF665" s="193">
        <v>1.8749999999999999E-2</v>
      </c>
      <c r="AG665" s="193">
        <v>2.2916666666666665E-2</v>
      </c>
      <c r="AH665" s="193">
        <v>0.3</v>
      </c>
    </row>
    <row r="666" spans="1:34" x14ac:dyDescent="0.25">
      <c r="A666" s="3" t="s">
        <v>5460</v>
      </c>
      <c r="B666" s="3">
        <v>146990</v>
      </c>
      <c r="C666" s="3">
        <v>943007</v>
      </c>
      <c r="D666" s="3" t="s">
        <v>5288</v>
      </c>
      <c r="E666" s="3">
        <v>1</v>
      </c>
      <c r="F666" s="3">
        <v>3</v>
      </c>
      <c r="G666" s="3">
        <v>5</v>
      </c>
      <c r="H666" s="55" t="s">
        <v>289</v>
      </c>
      <c r="I666" s="3" t="s">
        <v>5358</v>
      </c>
      <c r="J666" s="3" t="s">
        <v>5096</v>
      </c>
      <c r="L666" s="3">
        <v>2101</v>
      </c>
      <c r="M666" s="3">
        <v>12439</v>
      </c>
      <c r="N666" s="3" t="s">
        <v>5461</v>
      </c>
      <c r="R666" s="3">
        <v>13</v>
      </c>
      <c r="S666" s="3" t="s">
        <v>3614</v>
      </c>
      <c r="T666" s="3" t="s">
        <v>5429</v>
      </c>
      <c r="U666" s="3" t="s">
        <v>355</v>
      </c>
      <c r="V666" s="3">
        <v>380</v>
      </c>
      <c r="W666" s="3">
        <v>0</v>
      </c>
      <c r="X666" s="3">
        <v>270</v>
      </c>
      <c r="Y666" s="3">
        <v>0</v>
      </c>
      <c r="Z666" s="3">
        <v>0</v>
      </c>
      <c r="AA666" s="3">
        <v>270</v>
      </c>
      <c r="AB666" s="3">
        <v>480</v>
      </c>
      <c r="AC666" s="192">
        <v>0</v>
      </c>
      <c r="AF666" s="193">
        <v>2.9861111111111113E-2</v>
      </c>
      <c r="AG666" s="193">
        <v>5.2777777777777778E-2</v>
      </c>
      <c r="AH666" s="193">
        <v>0.3298611111111111</v>
      </c>
    </row>
    <row r="667" spans="1:34" x14ac:dyDescent="0.25">
      <c r="A667" s="3" t="s">
        <v>5460</v>
      </c>
      <c r="B667" s="3">
        <v>146990</v>
      </c>
      <c r="C667" s="3">
        <v>943007</v>
      </c>
      <c r="D667" s="3" t="s">
        <v>5288</v>
      </c>
      <c r="E667" s="3">
        <v>1</v>
      </c>
      <c r="F667" s="3">
        <v>4</v>
      </c>
      <c r="G667" s="3">
        <v>6</v>
      </c>
      <c r="H667" s="55" t="s">
        <v>289</v>
      </c>
      <c r="I667" s="3" t="s">
        <v>5358</v>
      </c>
      <c r="J667" s="3" t="s">
        <v>5096</v>
      </c>
      <c r="L667" s="3">
        <v>2101</v>
      </c>
      <c r="M667" s="3">
        <v>12439</v>
      </c>
      <c r="N667" s="3" t="s">
        <v>5461</v>
      </c>
      <c r="R667" s="3">
        <v>13</v>
      </c>
      <c r="S667" s="3" t="s">
        <v>3614</v>
      </c>
      <c r="T667" s="3" t="s">
        <v>5429</v>
      </c>
      <c r="U667" s="3">
        <v>22</v>
      </c>
      <c r="V667" s="3">
        <v>380</v>
      </c>
      <c r="W667" s="3">
        <v>0</v>
      </c>
      <c r="X667" s="3">
        <v>318</v>
      </c>
      <c r="Y667" s="3">
        <v>0</v>
      </c>
      <c r="Z667" s="3">
        <v>0</v>
      </c>
      <c r="AA667" s="3">
        <v>318</v>
      </c>
      <c r="AB667" s="3">
        <v>798</v>
      </c>
      <c r="AC667" s="192">
        <v>8.3333333333333332E-3</v>
      </c>
      <c r="AD667" s="3" t="s">
        <v>292</v>
      </c>
      <c r="AF667" s="193">
        <v>3.4722222222222224E-2</v>
      </c>
      <c r="AG667" s="193">
        <v>8.7499999999999994E-2</v>
      </c>
      <c r="AH667" s="193">
        <v>0.37291666666666667</v>
      </c>
    </row>
    <row r="668" spans="1:34" x14ac:dyDescent="0.25">
      <c r="A668" s="3" t="s">
        <v>5460</v>
      </c>
      <c r="B668" s="3">
        <v>146990</v>
      </c>
      <c r="C668" s="3">
        <v>943007</v>
      </c>
      <c r="D668" s="3" t="s">
        <v>5288</v>
      </c>
      <c r="E668" s="3">
        <v>1</v>
      </c>
      <c r="F668" s="3">
        <v>5</v>
      </c>
      <c r="G668" s="3">
        <v>7</v>
      </c>
      <c r="H668" s="55" t="s">
        <v>289</v>
      </c>
      <c r="I668" s="3" t="s">
        <v>5358</v>
      </c>
      <c r="J668" s="3" t="s">
        <v>5096</v>
      </c>
      <c r="L668" s="3">
        <v>2101</v>
      </c>
      <c r="M668" s="3">
        <v>12439</v>
      </c>
      <c r="N668" s="3" t="s">
        <v>5461</v>
      </c>
      <c r="R668" s="3">
        <v>13</v>
      </c>
      <c r="S668" s="3" t="s">
        <v>3614</v>
      </c>
      <c r="T668" s="3" t="s">
        <v>5429</v>
      </c>
      <c r="U668" s="3" t="s">
        <v>290</v>
      </c>
      <c r="V668" s="3">
        <v>380</v>
      </c>
      <c r="W668" s="3">
        <v>0</v>
      </c>
      <c r="X668" s="3">
        <v>288</v>
      </c>
      <c r="Y668" s="3">
        <v>0</v>
      </c>
      <c r="Z668" s="3">
        <v>0</v>
      </c>
      <c r="AA668" s="3">
        <v>288</v>
      </c>
      <c r="AB668" s="3">
        <v>1086</v>
      </c>
      <c r="AC668" s="192">
        <v>0</v>
      </c>
      <c r="AF668" s="193">
        <v>3.125E-2</v>
      </c>
      <c r="AG668" s="193">
        <v>0.11874999999999999</v>
      </c>
      <c r="AH668" s="193">
        <v>0.40416666666666667</v>
      </c>
    </row>
    <row r="669" spans="1:34" x14ac:dyDescent="0.25">
      <c r="A669" s="3" t="s">
        <v>5460</v>
      </c>
      <c r="B669" s="3">
        <v>146990</v>
      </c>
      <c r="C669" s="3">
        <v>943007</v>
      </c>
      <c r="D669" s="3" t="s">
        <v>5288</v>
      </c>
      <c r="E669" s="3">
        <v>1</v>
      </c>
      <c r="F669" s="3">
        <v>6</v>
      </c>
      <c r="G669" s="3">
        <v>8</v>
      </c>
      <c r="H669" s="55" t="s">
        <v>289</v>
      </c>
      <c r="I669" s="3" t="s">
        <v>5358</v>
      </c>
      <c r="J669" s="3" t="s">
        <v>5096</v>
      </c>
      <c r="L669" s="3">
        <v>2101</v>
      </c>
      <c r="M669" s="3">
        <v>12439</v>
      </c>
      <c r="N669" s="3" t="s">
        <v>5461</v>
      </c>
      <c r="R669" s="3">
        <v>13</v>
      </c>
      <c r="S669" s="3" t="s">
        <v>3614</v>
      </c>
      <c r="T669" s="3" t="s">
        <v>5429</v>
      </c>
      <c r="U669" s="3">
        <v>25</v>
      </c>
      <c r="V669" s="3">
        <v>380</v>
      </c>
      <c r="W669" s="3">
        <v>0</v>
      </c>
      <c r="X669" s="3">
        <v>94</v>
      </c>
      <c r="Y669" s="3">
        <v>0</v>
      </c>
      <c r="Z669" s="3">
        <v>0</v>
      </c>
      <c r="AA669" s="3">
        <v>94</v>
      </c>
      <c r="AB669" s="3">
        <v>1180</v>
      </c>
      <c r="AC669" s="192">
        <v>0</v>
      </c>
      <c r="AF669" s="193">
        <v>1.0416666666666666E-2</v>
      </c>
      <c r="AG669" s="193">
        <v>0.12916666666666668</v>
      </c>
      <c r="AH669" s="193">
        <v>0.41458333333333336</v>
      </c>
    </row>
    <row r="670" spans="1:34" x14ac:dyDescent="0.25">
      <c r="A670" s="3" t="s">
        <v>5460</v>
      </c>
      <c r="B670" s="3">
        <v>146991</v>
      </c>
      <c r="C670" s="3">
        <v>943007</v>
      </c>
      <c r="D670" s="3" t="s">
        <v>5288</v>
      </c>
      <c r="E670" s="3">
        <v>1</v>
      </c>
      <c r="F670" s="3">
        <v>7</v>
      </c>
      <c r="G670" s="3">
        <v>3</v>
      </c>
      <c r="H670" s="55" t="s">
        <v>289</v>
      </c>
      <c r="I670" s="3" t="s">
        <v>5358</v>
      </c>
      <c r="J670" s="3" t="s">
        <v>5096</v>
      </c>
      <c r="L670" s="3">
        <v>2101</v>
      </c>
      <c r="M670" s="3">
        <v>12439</v>
      </c>
      <c r="N670" s="3" t="s">
        <v>5461</v>
      </c>
      <c r="R670" s="3">
        <v>13</v>
      </c>
      <c r="S670" s="3" t="s">
        <v>3615</v>
      </c>
      <c r="T670" s="3" t="s">
        <v>5462</v>
      </c>
      <c r="U670" s="3" t="s">
        <v>354</v>
      </c>
      <c r="V670" s="3">
        <v>380</v>
      </c>
      <c r="W670" s="3">
        <v>0</v>
      </c>
      <c r="X670" s="3">
        <v>56</v>
      </c>
      <c r="Y670" s="3">
        <v>0</v>
      </c>
      <c r="Z670" s="3">
        <v>0</v>
      </c>
      <c r="AA670" s="3">
        <v>56</v>
      </c>
      <c r="AB670" s="3">
        <v>1236</v>
      </c>
      <c r="AC670" s="192">
        <v>0</v>
      </c>
      <c r="AF670" s="193">
        <v>6.2500000000000003E-3</v>
      </c>
      <c r="AG670" s="193">
        <v>0.13541666666666666</v>
      </c>
      <c r="AH670" s="193">
        <v>0.42083333333333334</v>
      </c>
    </row>
    <row r="671" spans="1:34" x14ac:dyDescent="0.25">
      <c r="A671" s="3" t="s">
        <v>5460</v>
      </c>
      <c r="B671" s="3">
        <v>146991</v>
      </c>
      <c r="C671" s="3">
        <v>943007</v>
      </c>
      <c r="D671" s="3" t="s">
        <v>5288</v>
      </c>
      <c r="E671" s="3">
        <v>1</v>
      </c>
      <c r="F671" s="3">
        <v>8</v>
      </c>
      <c r="G671" s="3">
        <v>4</v>
      </c>
      <c r="H671" s="55" t="s">
        <v>289</v>
      </c>
      <c r="I671" s="3" t="s">
        <v>5358</v>
      </c>
      <c r="J671" s="3" t="s">
        <v>5096</v>
      </c>
      <c r="L671" s="3">
        <v>2101</v>
      </c>
      <c r="M671" s="3">
        <v>12439</v>
      </c>
      <c r="N671" s="3" t="s">
        <v>5461</v>
      </c>
      <c r="R671" s="3">
        <v>13</v>
      </c>
      <c r="S671" s="3" t="s">
        <v>3615</v>
      </c>
      <c r="T671" s="3" t="s">
        <v>5462</v>
      </c>
      <c r="U671" s="3">
        <v>19</v>
      </c>
      <c r="V671" s="3">
        <v>380</v>
      </c>
      <c r="W671" s="3">
        <v>0</v>
      </c>
      <c r="X671" s="3">
        <v>260</v>
      </c>
      <c r="Y671" s="3">
        <v>0</v>
      </c>
      <c r="Z671" s="3">
        <v>0</v>
      </c>
      <c r="AA671" s="3">
        <v>260</v>
      </c>
      <c r="AB671" s="3">
        <v>1496</v>
      </c>
      <c r="AC671" s="192">
        <v>0</v>
      </c>
      <c r="AF671" s="193">
        <v>2.8472222222222222E-2</v>
      </c>
      <c r="AG671" s="193">
        <v>0.16388888888888889</v>
      </c>
      <c r="AH671" s="193">
        <v>0.44930555555555557</v>
      </c>
    </row>
    <row r="672" spans="1:34" x14ac:dyDescent="0.25">
      <c r="A672" s="3" t="s">
        <v>5460</v>
      </c>
      <c r="B672" s="3">
        <v>146991</v>
      </c>
      <c r="C672" s="3">
        <v>943007</v>
      </c>
      <c r="D672" s="3" t="s">
        <v>5288</v>
      </c>
      <c r="E672" s="3">
        <v>1</v>
      </c>
      <c r="F672" s="3">
        <v>9</v>
      </c>
      <c r="G672" s="3">
        <v>5</v>
      </c>
      <c r="H672" s="55" t="s">
        <v>289</v>
      </c>
      <c r="I672" s="3" t="s">
        <v>5358</v>
      </c>
      <c r="J672" s="3" t="s">
        <v>5096</v>
      </c>
      <c r="L672" s="3">
        <v>2101</v>
      </c>
      <c r="M672" s="3">
        <v>12439</v>
      </c>
      <c r="N672" s="3" t="s">
        <v>5461</v>
      </c>
      <c r="R672" s="3">
        <v>13</v>
      </c>
      <c r="S672" s="3" t="s">
        <v>3615</v>
      </c>
      <c r="T672" s="3" t="s">
        <v>5462</v>
      </c>
      <c r="U672" s="3" t="s">
        <v>355</v>
      </c>
      <c r="V672" s="3">
        <v>380</v>
      </c>
      <c r="W672" s="3">
        <v>0</v>
      </c>
      <c r="X672" s="3">
        <v>370</v>
      </c>
      <c r="Y672" s="3">
        <v>0</v>
      </c>
      <c r="Z672" s="3">
        <v>0</v>
      </c>
      <c r="AA672" s="3">
        <v>370</v>
      </c>
      <c r="AB672" s="3">
        <v>1866</v>
      </c>
      <c r="AC672" s="192">
        <v>4.1666666666666664E-2</v>
      </c>
      <c r="AD672" s="3" t="s">
        <v>294</v>
      </c>
      <c r="AE672" s="3" t="s">
        <v>295</v>
      </c>
      <c r="AF672" s="193">
        <v>4.027777777777778E-2</v>
      </c>
      <c r="AG672" s="193">
        <v>0.2048611111111111</v>
      </c>
      <c r="AH672" s="193">
        <v>0.53125</v>
      </c>
    </row>
    <row r="673" spans="1:34" x14ac:dyDescent="0.25">
      <c r="A673" s="3" t="s">
        <v>5460</v>
      </c>
      <c r="B673" s="3">
        <v>146991</v>
      </c>
      <c r="C673" s="3">
        <v>943007</v>
      </c>
      <c r="D673" s="3" t="s">
        <v>5288</v>
      </c>
      <c r="E673" s="3">
        <v>1</v>
      </c>
      <c r="F673" s="3">
        <v>10</v>
      </c>
      <c r="G673" s="3">
        <v>6</v>
      </c>
      <c r="H673" s="55" t="s">
        <v>289</v>
      </c>
      <c r="I673" s="3" t="s">
        <v>5358</v>
      </c>
      <c r="J673" s="3" t="s">
        <v>5096</v>
      </c>
      <c r="L673" s="3">
        <v>2101</v>
      </c>
      <c r="M673" s="3">
        <v>12439</v>
      </c>
      <c r="N673" s="3" t="s">
        <v>5461</v>
      </c>
      <c r="R673" s="3">
        <v>13</v>
      </c>
      <c r="S673" s="3" t="s">
        <v>3615</v>
      </c>
      <c r="T673" s="3" t="s">
        <v>5462</v>
      </c>
      <c r="U673" s="3">
        <v>22</v>
      </c>
      <c r="V673" s="3">
        <v>380</v>
      </c>
      <c r="W673" s="3">
        <v>0</v>
      </c>
      <c r="X673" s="3">
        <v>438</v>
      </c>
      <c r="Y673" s="3">
        <v>0</v>
      </c>
      <c r="Z673" s="3">
        <v>0</v>
      </c>
      <c r="AA673" s="3">
        <v>438</v>
      </c>
      <c r="AB673" s="3">
        <v>2304</v>
      </c>
      <c r="AC673" s="192">
        <v>8.3333333333333332E-3</v>
      </c>
      <c r="AD673" s="3" t="s">
        <v>404</v>
      </c>
      <c r="AF673" s="193">
        <v>4.791666666666667E-2</v>
      </c>
      <c r="AG673" s="193">
        <v>0.25277777777777777</v>
      </c>
      <c r="AH673" s="193">
        <v>0.58750000000000002</v>
      </c>
    </row>
    <row r="674" spans="1:34" x14ac:dyDescent="0.25">
      <c r="A674" s="3" t="s">
        <v>5460</v>
      </c>
      <c r="B674" s="3">
        <v>146991</v>
      </c>
      <c r="C674" s="3">
        <v>943007</v>
      </c>
      <c r="D674" s="3" t="s">
        <v>5288</v>
      </c>
      <c r="E674" s="3">
        <v>1</v>
      </c>
      <c r="F674" s="3">
        <v>11</v>
      </c>
      <c r="G674" s="3">
        <v>7</v>
      </c>
      <c r="H674" s="55" t="s">
        <v>289</v>
      </c>
      <c r="I674" s="3" t="s">
        <v>5358</v>
      </c>
      <c r="J674" s="3" t="s">
        <v>5096</v>
      </c>
      <c r="L674" s="3">
        <v>2101</v>
      </c>
      <c r="M674" s="3">
        <v>12439</v>
      </c>
      <c r="N674" s="3" t="s">
        <v>5461</v>
      </c>
      <c r="R674" s="3">
        <v>13</v>
      </c>
      <c r="S674" s="3" t="s">
        <v>3615</v>
      </c>
      <c r="T674" s="3" t="s">
        <v>5462</v>
      </c>
      <c r="U674" s="3" t="s">
        <v>290</v>
      </c>
      <c r="V674" s="3">
        <v>380</v>
      </c>
      <c r="W674" s="3">
        <v>0</v>
      </c>
      <c r="X674" s="3">
        <v>312</v>
      </c>
      <c r="Y674" s="3">
        <v>0</v>
      </c>
      <c r="Z674" s="3">
        <v>0</v>
      </c>
      <c r="AA674" s="3">
        <v>312</v>
      </c>
      <c r="AB674" s="3">
        <v>2616</v>
      </c>
      <c r="AC674" s="192">
        <v>0</v>
      </c>
      <c r="AF674" s="193">
        <v>3.4027777777777775E-2</v>
      </c>
      <c r="AG674" s="193">
        <v>0.28680555555555554</v>
      </c>
      <c r="AH674" s="193">
        <v>0.62152777777777779</v>
      </c>
    </row>
    <row r="675" spans="1:34" x14ac:dyDescent="0.25">
      <c r="A675" s="3" t="s">
        <v>5460</v>
      </c>
      <c r="B675" s="3">
        <v>146991</v>
      </c>
      <c r="C675" s="3">
        <v>943007</v>
      </c>
      <c r="D675" s="3" t="s">
        <v>5288</v>
      </c>
      <c r="E675" s="3">
        <v>1</v>
      </c>
      <c r="F675" s="3">
        <v>12</v>
      </c>
      <c r="G675" s="3">
        <v>8</v>
      </c>
      <c r="H675" s="55" t="s">
        <v>289</v>
      </c>
      <c r="I675" s="3" t="s">
        <v>5358</v>
      </c>
      <c r="J675" s="3" t="s">
        <v>5096</v>
      </c>
      <c r="L675" s="3">
        <v>2101</v>
      </c>
      <c r="M675" s="3">
        <v>12439</v>
      </c>
      <c r="N675" s="3" t="s">
        <v>5461</v>
      </c>
      <c r="R675" s="3">
        <v>13</v>
      </c>
      <c r="S675" s="3" t="s">
        <v>3615</v>
      </c>
      <c r="T675" s="3" t="s">
        <v>5462</v>
      </c>
      <c r="U675" s="3">
        <v>25</v>
      </c>
      <c r="V675" s="3">
        <v>380</v>
      </c>
      <c r="W675" s="3">
        <v>0</v>
      </c>
      <c r="X675" s="3">
        <v>162</v>
      </c>
      <c r="Y675" s="3">
        <v>0</v>
      </c>
      <c r="Z675" s="3">
        <v>0</v>
      </c>
      <c r="AA675" s="3">
        <v>162</v>
      </c>
      <c r="AB675" s="3">
        <v>2778</v>
      </c>
      <c r="AC675" s="192">
        <v>0</v>
      </c>
      <c r="AF675" s="193">
        <v>1.8055555555555554E-2</v>
      </c>
      <c r="AG675" s="193">
        <v>0.30486111111111114</v>
      </c>
      <c r="AH675" s="193">
        <v>0.64652777777777781</v>
      </c>
    </row>
    <row r="676" spans="1:34" x14ac:dyDescent="0.25">
      <c r="A676" s="3" t="s">
        <v>5460</v>
      </c>
      <c r="B676" s="3">
        <v>146992</v>
      </c>
      <c r="C676" s="3">
        <v>943007</v>
      </c>
      <c r="D676" s="3" t="s">
        <v>5288</v>
      </c>
      <c r="E676" s="3">
        <v>1</v>
      </c>
      <c r="F676" s="3">
        <v>13</v>
      </c>
      <c r="G676" s="3">
        <v>3</v>
      </c>
      <c r="H676" s="55" t="s">
        <v>289</v>
      </c>
      <c r="I676" s="3" t="s">
        <v>5358</v>
      </c>
      <c r="J676" s="3" t="s">
        <v>5096</v>
      </c>
      <c r="L676" s="3">
        <v>2101</v>
      </c>
      <c r="M676" s="3">
        <v>12439</v>
      </c>
      <c r="N676" s="3" t="s">
        <v>5461</v>
      </c>
      <c r="R676" s="3">
        <v>13</v>
      </c>
      <c r="S676" s="3" t="s">
        <v>3616</v>
      </c>
      <c r="T676" s="3" t="s">
        <v>5463</v>
      </c>
      <c r="U676" s="3" t="s">
        <v>354</v>
      </c>
      <c r="V676" s="3">
        <v>380</v>
      </c>
      <c r="W676" s="3">
        <v>0</v>
      </c>
      <c r="X676" s="3">
        <v>38</v>
      </c>
      <c r="Y676" s="3">
        <v>0</v>
      </c>
      <c r="Z676" s="3">
        <v>0</v>
      </c>
      <c r="AA676" s="3">
        <v>38</v>
      </c>
      <c r="AB676" s="3">
        <v>2816</v>
      </c>
      <c r="AC676" s="192">
        <v>0</v>
      </c>
      <c r="AF676" s="193">
        <v>4.1666666666666666E-3</v>
      </c>
      <c r="AG676" s="193">
        <v>0.30902777777777779</v>
      </c>
      <c r="AH676" s="193">
        <v>0.65069444444444446</v>
      </c>
    </row>
    <row r="677" spans="1:34" x14ac:dyDescent="0.25">
      <c r="A677" s="3" t="s">
        <v>5460</v>
      </c>
      <c r="B677" s="3">
        <v>146992</v>
      </c>
      <c r="C677" s="3">
        <v>943007</v>
      </c>
      <c r="D677" s="3" t="s">
        <v>5288</v>
      </c>
      <c r="E677" s="3">
        <v>1</v>
      </c>
      <c r="F677" s="3">
        <v>14</v>
      </c>
      <c r="G677" s="3">
        <v>4</v>
      </c>
      <c r="H677" s="55" t="s">
        <v>289</v>
      </c>
      <c r="I677" s="3" t="s">
        <v>5358</v>
      </c>
      <c r="J677" s="3" t="s">
        <v>5096</v>
      </c>
      <c r="L677" s="3">
        <v>2101</v>
      </c>
      <c r="M677" s="3">
        <v>12439</v>
      </c>
      <c r="N677" s="3" t="s">
        <v>5461</v>
      </c>
      <c r="R677" s="3">
        <v>13</v>
      </c>
      <c r="S677" s="3" t="s">
        <v>3616</v>
      </c>
      <c r="T677" s="3" t="s">
        <v>5463</v>
      </c>
      <c r="U677" s="3">
        <v>19</v>
      </c>
      <c r="V677" s="3">
        <v>380</v>
      </c>
      <c r="W677" s="3">
        <v>0</v>
      </c>
      <c r="X677" s="3">
        <v>118</v>
      </c>
      <c r="Y677" s="3">
        <v>0</v>
      </c>
      <c r="Z677" s="3">
        <v>0</v>
      </c>
      <c r="AA677" s="3">
        <v>118</v>
      </c>
      <c r="AB677" s="3">
        <v>2934</v>
      </c>
      <c r="AC677" s="192">
        <v>0</v>
      </c>
      <c r="AF677" s="193">
        <v>1.3194444444444444E-2</v>
      </c>
      <c r="AG677" s="193">
        <v>0.3215277777777778</v>
      </c>
      <c r="AH677" s="193">
        <v>0.66388888888888886</v>
      </c>
    </row>
    <row r="678" spans="1:34" x14ac:dyDescent="0.25">
      <c r="A678" s="3" t="s">
        <v>5460</v>
      </c>
      <c r="B678" s="3">
        <v>146992</v>
      </c>
      <c r="C678" s="3">
        <v>943007</v>
      </c>
      <c r="D678" s="3" t="s">
        <v>5288</v>
      </c>
      <c r="E678" s="3">
        <v>1</v>
      </c>
      <c r="F678" s="3">
        <v>15</v>
      </c>
      <c r="G678" s="3">
        <v>5</v>
      </c>
      <c r="H678" s="55" t="s">
        <v>289</v>
      </c>
      <c r="I678" s="3" t="s">
        <v>5358</v>
      </c>
      <c r="J678" s="3" t="s">
        <v>5096</v>
      </c>
      <c r="L678" s="3">
        <v>2101</v>
      </c>
      <c r="M678" s="3">
        <v>12439</v>
      </c>
      <c r="N678" s="3" t="s">
        <v>5461</v>
      </c>
      <c r="R678" s="3">
        <v>13</v>
      </c>
      <c r="S678" s="3" t="s">
        <v>3616</v>
      </c>
      <c r="T678" s="3" t="s">
        <v>5463</v>
      </c>
      <c r="U678" s="3" t="s">
        <v>355</v>
      </c>
      <c r="V678" s="3">
        <v>380</v>
      </c>
      <c r="W678" s="3">
        <v>0</v>
      </c>
      <c r="X678" s="3">
        <v>206</v>
      </c>
      <c r="Y678" s="3">
        <v>0</v>
      </c>
      <c r="Z678" s="3">
        <v>0</v>
      </c>
      <c r="AA678" s="3">
        <v>206</v>
      </c>
      <c r="AB678" s="3">
        <v>3140</v>
      </c>
      <c r="AC678" s="192">
        <v>0</v>
      </c>
      <c r="AF678" s="193">
        <v>2.2916666666666665E-2</v>
      </c>
      <c r="AG678" s="193">
        <v>0.34444444444444444</v>
      </c>
      <c r="AH678" s="193">
        <v>0.68680555555555556</v>
      </c>
    </row>
    <row r="679" spans="1:34" x14ac:dyDescent="0.25">
      <c r="A679" s="3" t="s">
        <v>5460</v>
      </c>
      <c r="B679" s="3">
        <v>146992</v>
      </c>
      <c r="C679" s="3">
        <v>943007</v>
      </c>
      <c r="D679" s="3" t="s">
        <v>5288</v>
      </c>
      <c r="E679" s="3">
        <v>1</v>
      </c>
      <c r="F679" s="3">
        <v>16</v>
      </c>
      <c r="G679" s="3">
        <v>6</v>
      </c>
      <c r="H679" s="55" t="s">
        <v>289</v>
      </c>
      <c r="I679" s="3" t="s">
        <v>5358</v>
      </c>
      <c r="J679" s="3" t="s">
        <v>5096</v>
      </c>
      <c r="L679" s="3">
        <v>2101</v>
      </c>
      <c r="M679" s="3">
        <v>12439</v>
      </c>
      <c r="N679" s="3" t="s">
        <v>5461</v>
      </c>
      <c r="R679" s="3">
        <v>13</v>
      </c>
      <c r="S679" s="3" t="s">
        <v>3616</v>
      </c>
      <c r="T679" s="3" t="s">
        <v>5463</v>
      </c>
      <c r="U679" s="3">
        <v>22</v>
      </c>
      <c r="V679" s="3">
        <v>380</v>
      </c>
      <c r="W679" s="3">
        <v>0</v>
      </c>
      <c r="X679" s="3">
        <v>242</v>
      </c>
      <c r="Y679" s="3">
        <v>0</v>
      </c>
      <c r="Z679" s="3">
        <v>0</v>
      </c>
      <c r="AA679" s="3">
        <v>242</v>
      </c>
      <c r="AB679" s="3">
        <v>3382</v>
      </c>
      <c r="AC679" s="192">
        <v>0</v>
      </c>
      <c r="AF679" s="193">
        <v>2.6388888888888889E-2</v>
      </c>
      <c r="AG679" s="193">
        <v>0.37083333333333335</v>
      </c>
      <c r="AH679" s="193">
        <v>0.71319444444444446</v>
      </c>
    </row>
    <row r="680" spans="1:34" x14ac:dyDescent="0.25">
      <c r="A680" s="3" t="s">
        <v>5460</v>
      </c>
      <c r="B680" s="3">
        <v>146992</v>
      </c>
      <c r="C680" s="3">
        <v>943007</v>
      </c>
      <c r="D680" s="3" t="s">
        <v>5288</v>
      </c>
      <c r="E680" s="3">
        <v>1</v>
      </c>
      <c r="F680" s="3">
        <v>17</v>
      </c>
      <c r="G680" s="3">
        <v>7</v>
      </c>
      <c r="H680" s="55" t="s">
        <v>289</v>
      </c>
      <c r="I680" s="3" t="s">
        <v>5358</v>
      </c>
      <c r="J680" s="3" t="s">
        <v>5096</v>
      </c>
      <c r="L680" s="3">
        <v>2101</v>
      </c>
      <c r="M680" s="3">
        <v>12439</v>
      </c>
      <c r="N680" s="3" t="s">
        <v>5461</v>
      </c>
      <c r="R680" s="3">
        <v>13</v>
      </c>
      <c r="S680" s="3" t="s">
        <v>3616</v>
      </c>
      <c r="T680" s="3" t="s">
        <v>5463</v>
      </c>
      <c r="U680" s="3" t="s">
        <v>290</v>
      </c>
      <c r="V680" s="3">
        <v>380</v>
      </c>
      <c r="W680" s="3">
        <v>0</v>
      </c>
      <c r="X680" s="3">
        <v>214</v>
      </c>
      <c r="Y680" s="3">
        <v>0</v>
      </c>
      <c r="Z680" s="3">
        <v>0</v>
      </c>
      <c r="AA680" s="3">
        <v>214</v>
      </c>
      <c r="AB680" s="3">
        <v>3596</v>
      </c>
      <c r="AC680" s="192">
        <v>0</v>
      </c>
      <c r="AF680" s="193">
        <v>2.361111111111111E-2</v>
      </c>
      <c r="AG680" s="193">
        <v>0.39444444444444443</v>
      </c>
      <c r="AH680" s="193">
        <v>0.7368055555555556</v>
      </c>
    </row>
    <row r="681" spans="1:34" x14ac:dyDescent="0.25">
      <c r="A681" s="3" t="s">
        <v>5460</v>
      </c>
      <c r="B681" s="3">
        <v>146992</v>
      </c>
      <c r="C681" s="3">
        <v>943007</v>
      </c>
      <c r="D681" s="3" t="s">
        <v>5288</v>
      </c>
      <c r="E681" s="3">
        <v>1</v>
      </c>
      <c r="F681" s="3">
        <v>18</v>
      </c>
      <c r="G681" s="3">
        <v>8</v>
      </c>
      <c r="H681" s="55" t="s">
        <v>289</v>
      </c>
      <c r="I681" s="3" t="s">
        <v>5358</v>
      </c>
      <c r="J681" s="3" t="s">
        <v>5096</v>
      </c>
      <c r="L681" s="3">
        <v>2101</v>
      </c>
      <c r="M681" s="3">
        <v>12439</v>
      </c>
      <c r="N681" s="3" t="s">
        <v>5461</v>
      </c>
      <c r="R681" s="3">
        <v>13</v>
      </c>
      <c r="S681" s="3" t="s">
        <v>3616</v>
      </c>
      <c r="T681" s="3" t="s">
        <v>5463</v>
      </c>
      <c r="U681" s="3">
        <v>25</v>
      </c>
      <c r="V681" s="3">
        <v>380</v>
      </c>
      <c r="W681" s="3">
        <v>0</v>
      </c>
      <c r="X681" s="3">
        <v>134</v>
      </c>
      <c r="Y681" s="3">
        <v>0</v>
      </c>
      <c r="Z681" s="3">
        <v>0</v>
      </c>
      <c r="AA681" s="3">
        <v>134</v>
      </c>
      <c r="AB681" s="3">
        <v>3730</v>
      </c>
      <c r="AC681" s="192">
        <v>0</v>
      </c>
      <c r="AF681" s="193">
        <v>1.4583333333333334E-2</v>
      </c>
      <c r="AG681" s="193">
        <v>0.40902777777777777</v>
      </c>
      <c r="AH681" s="193">
        <v>0.75138888888888888</v>
      </c>
    </row>
    <row r="682" spans="1:34" x14ac:dyDescent="0.25">
      <c r="A682" s="3" t="s">
        <v>5460</v>
      </c>
      <c r="B682" s="3">
        <v>146993</v>
      </c>
      <c r="C682" s="3">
        <v>940408</v>
      </c>
      <c r="D682" s="3" t="s">
        <v>5288</v>
      </c>
      <c r="E682" s="3">
        <v>2</v>
      </c>
      <c r="F682" s="3">
        <v>19</v>
      </c>
      <c r="G682" s="3">
        <v>3</v>
      </c>
      <c r="H682" s="55" t="s">
        <v>289</v>
      </c>
      <c r="I682" s="3" t="s">
        <v>5358</v>
      </c>
      <c r="J682" s="3" t="s">
        <v>5096</v>
      </c>
      <c r="L682" s="3">
        <v>2101</v>
      </c>
      <c r="M682" s="3">
        <v>12439</v>
      </c>
      <c r="N682" s="3" t="s">
        <v>5461</v>
      </c>
      <c r="R682" s="3">
        <v>13</v>
      </c>
      <c r="S682" s="3" t="s">
        <v>3617</v>
      </c>
      <c r="T682" s="3" t="s">
        <v>300</v>
      </c>
      <c r="U682" s="3" t="s">
        <v>354</v>
      </c>
      <c r="V682" s="3">
        <v>380</v>
      </c>
      <c r="W682" s="3">
        <v>0</v>
      </c>
      <c r="X682" s="3">
        <v>40</v>
      </c>
      <c r="Y682" s="3">
        <v>0</v>
      </c>
      <c r="Z682" s="3">
        <v>0</v>
      </c>
      <c r="AA682" s="3">
        <v>40</v>
      </c>
      <c r="AB682" s="3">
        <v>3770</v>
      </c>
      <c r="AC682" s="192">
        <v>0</v>
      </c>
      <c r="AF682" s="193">
        <v>4.1666666666666666E-3</v>
      </c>
      <c r="AG682" s="193">
        <v>0.41319444444444442</v>
      </c>
      <c r="AH682" s="193">
        <v>0.75555555555555554</v>
      </c>
    </row>
    <row r="683" spans="1:34" x14ac:dyDescent="0.25">
      <c r="A683" s="3" t="s">
        <v>5460</v>
      </c>
      <c r="B683" s="3">
        <v>146993</v>
      </c>
      <c r="C683" s="3">
        <v>940408</v>
      </c>
      <c r="D683" s="3" t="s">
        <v>5288</v>
      </c>
      <c r="E683" s="3">
        <v>2</v>
      </c>
      <c r="F683" s="3">
        <v>20</v>
      </c>
      <c r="G683" s="3">
        <v>4</v>
      </c>
      <c r="H683" s="55" t="s">
        <v>289</v>
      </c>
      <c r="I683" s="3" t="s">
        <v>5358</v>
      </c>
      <c r="J683" s="3" t="s">
        <v>5096</v>
      </c>
      <c r="L683" s="3">
        <v>2101</v>
      </c>
      <c r="M683" s="3">
        <v>12439</v>
      </c>
      <c r="N683" s="3" t="s">
        <v>5461</v>
      </c>
      <c r="R683" s="3">
        <v>13</v>
      </c>
      <c r="S683" s="3" t="s">
        <v>3617</v>
      </c>
      <c r="T683" s="3" t="s">
        <v>300</v>
      </c>
      <c r="U683" s="3">
        <v>19</v>
      </c>
      <c r="V683" s="3">
        <v>380</v>
      </c>
      <c r="W683" s="3">
        <v>0</v>
      </c>
      <c r="X683" s="3">
        <v>126</v>
      </c>
      <c r="Y683" s="3">
        <v>0</v>
      </c>
      <c r="Z683" s="3">
        <v>0</v>
      </c>
      <c r="AA683" s="3">
        <v>126</v>
      </c>
      <c r="AB683" s="3">
        <v>3896</v>
      </c>
      <c r="AC683" s="192">
        <v>0</v>
      </c>
      <c r="AF683" s="193">
        <v>1.3888888888888888E-2</v>
      </c>
      <c r="AG683" s="193">
        <v>0.42708333333333331</v>
      </c>
      <c r="AH683" s="193">
        <v>0.76944444444444449</v>
      </c>
    </row>
    <row r="684" spans="1:34" x14ac:dyDescent="0.25">
      <c r="A684" s="3" t="s">
        <v>5460</v>
      </c>
      <c r="B684" s="3">
        <v>146993</v>
      </c>
      <c r="C684" s="3">
        <v>940408</v>
      </c>
      <c r="D684" s="3" t="s">
        <v>5288</v>
      </c>
      <c r="E684" s="3">
        <v>2</v>
      </c>
      <c r="F684" s="3">
        <v>21</v>
      </c>
      <c r="G684" s="3">
        <v>5</v>
      </c>
      <c r="H684" s="55" t="s">
        <v>289</v>
      </c>
      <c r="I684" s="3" t="s">
        <v>5358</v>
      </c>
      <c r="J684" s="3" t="s">
        <v>5096</v>
      </c>
      <c r="L684" s="3">
        <v>2101</v>
      </c>
      <c r="M684" s="3">
        <v>12439</v>
      </c>
      <c r="N684" s="3" t="s">
        <v>5461</v>
      </c>
      <c r="R684" s="3">
        <v>13</v>
      </c>
      <c r="S684" s="3" t="s">
        <v>3617</v>
      </c>
      <c r="T684" s="3" t="s">
        <v>300</v>
      </c>
      <c r="U684" s="3" t="s">
        <v>355</v>
      </c>
      <c r="V684" s="3">
        <v>380</v>
      </c>
      <c r="W684" s="3">
        <v>0</v>
      </c>
      <c r="X684" s="3">
        <v>190</v>
      </c>
      <c r="Y684" s="3">
        <v>0</v>
      </c>
      <c r="Z684" s="3">
        <v>0</v>
      </c>
      <c r="AA684" s="3">
        <v>190</v>
      </c>
      <c r="AB684" s="3">
        <v>4086</v>
      </c>
      <c r="AC684" s="192">
        <v>8.3333333333333332E-3</v>
      </c>
      <c r="AD684" s="3" t="s">
        <v>292</v>
      </c>
      <c r="AF684" s="193">
        <v>2.0833333333333332E-2</v>
      </c>
      <c r="AG684" s="193">
        <v>0.44791666666666669</v>
      </c>
      <c r="AH684" s="193">
        <v>0.79861111111111116</v>
      </c>
    </row>
    <row r="685" spans="1:34" x14ac:dyDescent="0.25">
      <c r="A685" s="3" t="s">
        <v>5460</v>
      </c>
      <c r="B685" s="3">
        <v>146993</v>
      </c>
      <c r="C685" s="3">
        <v>940408</v>
      </c>
      <c r="D685" s="3" t="s">
        <v>5288</v>
      </c>
      <c r="E685" s="3">
        <v>2</v>
      </c>
      <c r="F685" s="3">
        <v>22</v>
      </c>
      <c r="G685" s="3">
        <v>6</v>
      </c>
      <c r="H685" s="55" t="s">
        <v>289</v>
      </c>
      <c r="I685" s="3" t="s">
        <v>5358</v>
      </c>
      <c r="J685" s="3" t="s">
        <v>5096</v>
      </c>
      <c r="L685" s="3">
        <v>2101</v>
      </c>
      <c r="M685" s="3">
        <v>12439</v>
      </c>
      <c r="N685" s="3" t="s">
        <v>5461</v>
      </c>
      <c r="R685" s="3">
        <v>13</v>
      </c>
      <c r="S685" s="3" t="s">
        <v>3617</v>
      </c>
      <c r="T685" s="3" t="s">
        <v>300</v>
      </c>
      <c r="U685" s="3">
        <v>22</v>
      </c>
      <c r="V685" s="3">
        <v>380</v>
      </c>
      <c r="W685" s="3">
        <v>0</v>
      </c>
      <c r="X685" s="3">
        <v>194</v>
      </c>
      <c r="Y685" s="3">
        <v>0</v>
      </c>
      <c r="Z685" s="3">
        <v>0</v>
      </c>
      <c r="AA685" s="3">
        <v>194</v>
      </c>
      <c r="AB685" s="3">
        <v>4280</v>
      </c>
      <c r="AC685" s="192">
        <v>4.1666666666666664E-2</v>
      </c>
      <c r="AD685" s="3" t="s">
        <v>294</v>
      </c>
      <c r="AE685" s="3" t="s">
        <v>295</v>
      </c>
      <c r="AF685" s="193">
        <v>2.1527777777777778E-2</v>
      </c>
      <c r="AG685" s="193">
        <v>0.46944444444444444</v>
      </c>
      <c r="AH685" s="193">
        <v>0.8618055555555556</v>
      </c>
    </row>
    <row r="686" spans="1:34" x14ac:dyDescent="0.25">
      <c r="A686" s="3" t="s">
        <v>5460</v>
      </c>
      <c r="B686" s="3">
        <v>146993</v>
      </c>
      <c r="C686" s="3">
        <v>940408</v>
      </c>
      <c r="D686" s="3" t="s">
        <v>5288</v>
      </c>
      <c r="E686" s="3">
        <v>2</v>
      </c>
      <c r="F686" s="3">
        <v>23</v>
      </c>
      <c r="G686" s="3">
        <v>7</v>
      </c>
      <c r="H686" s="55" t="s">
        <v>289</v>
      </c>
      <c r="I686" s="3" t="s">
        <v>5358</v>
      </c>
      <c r="J686" s="3" t="s">
        <v>5096</v>
      </c>
      <c r="L686" s="3">
        <v>2101</v>
      </c>
      <c r="M686" s="3">
        <v>12439</v>
      </c>
      <c r="N686" s="3" t="s">
        <v>5461</v>
      </c>
      <c r="R686" s="3">
        <v>13</v>
      </c>
      <c r="S686" s="3" t="s">
        <v>3617</v>
      </c>
      <c r="T686" s="3" t="s">
        <v>300</v>
      </c>
      <c r="U686" s="3" t="s">
        <v>290</v>
      </c>
      <c r="V686" s="3">
        <v>380</v>
      </c>
      <c r="W686" s="3">
        <v>0</v>
      </c>
      <c r="X686" s="3">
        <v>180</v>
      </c>
      <c r="Y686" s="3">
        <v>0</v>
      </c>
      <c r="Z686" s="3">
        <v>0</v>
      </c>
      <c r="AA686" s="3">
        <v>180</v>
      </c>
      <c r="AB686" s="3">
        <v>4460</v>
      </c>
      <c r="AC686" s="192">
        <v>0</v>
      </c>
      <c r="AF686" s="193">
        <v>1.9444444444444445E-2</v>
      </c>
      <c r="AG686" s="193">
        <v>0.48888888888888887</v>
      </c>
      <c r="AH686" s="193">
        <v>0.88124999999999998</v>
      </c>
    </row>
    <row r="687" spans="1:34" x14ac:dyDescent="0.25">
      <c r="A687" s="3" t="s">
        <v>5460</v>
      </c>
      <c r="B687" s="3">
        <v>146993</v>
      </c>
      <c r="C687" s="3">
        <v>940408</v>
      </c>
      <c r="D687" s="3" t="s">
        <v>5288</v>
      </c>
      <c r="E687" s="3">
        <v>2</v>
      </c>
      <c r="F687" s="3">
        <v>24</v>
      </c>
      <c r="G687" s="3">
        <v>8</v>
      </c>
      <c r="H687" s="55" t="s">
        <v>289</v>
      </c>
      <c r="I687" s="3" t="s">
        <v>5358</v>
      </c>
      <c r="J687" s="3" t="s">
        <v>5096</v>
      </c>
      <c r="L687" s="3">
        <v>2101</v>
      </c>
      <c r="M687" s="3">
        <v>12439</v>
      </c>
      <c r="N687" s="3" t="s">
        <v>5461</v>
      </c>
      <c r="R687" s="3">
        <v>13</v>
      </c>
      <c r="S687" s="3" t="s">
        <v>3617</v>
      </c>
      <c r="T687" s="3" t="s">
        <v>300</v>
      </c>
      <c r="U687" s="3">
        <v>25</v>
      </c>
      <c r="V687" s="3">
        <v>380</v>
      </c>
      <c r="W687" s="3">
        <v>0</v>
      </c>
      <c r="X687" s="3">
        <v>88</v>
      </c>
      <c r="Y687" s="3">
        <v>0</v>
      </c>
      <c r="Z687" s="3">
        <v>0</v>
      </c>
      <c r="AA687" s="3">
        <v>88</v>
      </c>
      <c r="AB687" s="3">
        <v>4548</v>
      </c>
      <c r="AC687" s="192">
        <v>0</v>
      </c>
      <c r="AF687" s="193">
        <v>9.7222222222222224E-3</v>
      </c>
      <c r="AG687" s="193">
        <v>0.49861111111111112</v>
      </c>
      <c r="AH687" s="193">
        <v>0.89097222222222228</v>
      </c>
    </row>
    <row r="688" spans="1:34" x14ac:dyDescent="0.25">
      <c r="A688" s="3" t="s">
        <v>5460</v>
      </c>
      <c r="B688" s="3">
        <v>146575</v>
      </c>
      <c r="C688" s="3">
        <v>943007</v>
      </c>
      <c r="D688" s="3" t="s">
        <v>5288</v>
      </c>
      <c r="E688" s="3">
        <v>1</v>
      </c>
      <c r="F688" s="3">
        <v>25</v>
      </c>
      <c r="G688" s="3">
        <v>3</v>
      </c>
      <c r="H688" s="55" t="s">
        <v>289</v>
      </c>
      <c r="I688" s="3" t="s">
        <v>5358</v>
      </c>
      <c r="J688" s="3" t="s">
        <v>5096</v>
      </c>
      <c r="L688" s="3">
        <v>2101</v>
      </c>
      <c r="M688" s="3">
        <v>12439</v>
      </c>
      <c r="N688" s="3" t="s">
        <v>5461</v>
      </c>
      <c r="R688" s="3">
        <v>13</v>
      </c>
      <c r="S688" s="3" t="s">
        <v>3618</v>
      </c>
      <c r="T688" s="3" t="s">
        <v>5087</v>
      </c>
      <c r="U688" s="3">
        <v>19</v>
      </c>
      <c r="V688" s="3">
        <v>380</v>
      </c>
      <c r="W688" s="3">
        <v>0</v>
      </c>
      <c r="X688" s="3">
        <v>100</v>
      </c>
      <c r="Y688" s="3">
        <v>0</v>
      </c>
      <c r="Z688" s="3">
        <v>0</v>
      </c>
      <c r="AA688" s="3">
        <v>100</v>
      </c>
      <c r="AB688" s="3">
        <v>4648</v>
      </c>
      <c r="AC688" s="192">
        <v>0</v>
      </c>
      <c r="AF688" s="193">
        <v>1.1111111111111112E-2</v>
      </c>
      <c r="AG688" s="193">
        <v>0.50972222222222219</v>
      </c>
      <c r="AH688" s="193">
        <v>0.90208333333333335</v>
      </c>
    </row>
    <row r="689" spans="1:34" x14ac:dyDescent="0.25">
      <c r="A689" s="3" t="s">
        <v>5460</v>
      </c>
      <c r="B689" s="3">
        <v>146575</v>
      </c>
      <c r="C689" s="3">
        <v>943007</v>
      </c>
      <c r="D689" s="3" t="s">
        <v>5288</v>
      </c>
      <c r="E689" s="3">
        <v>1</v>
      </c>
      <c r="F689" s="3">
        <v>26</v>
      </c>
      <c r="G689" s="3">
        <v>4</v>
      </c>
      <c r="H689" s="55" t="s">
        <v>289</v>
      </c>
      <c r="I689" s="3" t="s">
        <v>5358</v>
      </c>
      <c r="J689" s="3" t="s">
        <v>5096</v>
      </c>
      <c r="L689" s="3">
        <v>2101</v>
      </c>
      <c r="M689" s="3">
        <v>12439</v>
      </c>
      <c r="N689" s="3" t="s">
        <v>5461</v>
      </c>
      <c r="R689" s="3">
        <v>13</v>
      </c>
      <c r="S689" s="3" t="s">
        <v>3618</v>
      </c>
      <c r="T689" s="3" t="s">
        <v>5087</v>
      </c>
      <c r="U689" s="3" t="s">
        <v>355</v>
      </c>
      <c r="V689" s="3">
        <v>380</v>
      </c>
      <c r="W689" s="3">
        <v>0</v>
      </c>
      <c r="X689" s="3">
        <v>130</v>
      </c>
      <c r="Y689" s="3">
        <v>0</v>
      </c>
      <c r="Z689" s="3">
        <v>0</v>
      </c>
      <c r="AA689" s="3">
        <v>130</v>
      </c>
      <c r="AB689" s="3">
        <v>4778</v>
      </c>
      <c r="AC689" s="192">
        <v>0</v>
      </c>
      <c r="AF689" s="193">
        <v>1.4583333333333334E-2</v>
      </c>
      <c r="AG689" s="193">
        <v>0.52361111111111114</v>
      </c>
      <c r="AH689" s="193">
        <v>0.91666666666666663</v>
      </c>
    </row>
    <row r="690" spans="1:34" x14ac:dyDescent="0.25">
      <c r="A690" s="3" t="s">
        <v>5460</v>
      </c>
      <c r="B690" s="3">
        <v>146575</v>
      </c>
      <c r="C690" s="3">
        <v>943007</v>
      </c>
      <c r="D690" s="3" t="s">
        <v>5288</v>
      </c>
      <c r="E690" s="3">
        <v>1</v>
      </c>
      <c r="F690" s="3">
        <v>27</v>
      </c>
      <c r="G690" s="3">
        <v>5</v>
      </c>
      <c r="H690" s="55" t="s">
        <v>289</v>
      </c>
      <c r="I690" s="3" t="s">
        <v>5358</v>
      </c>
      <c r="J690" s="3" t="s">
        <v>5096</v>
      </c>
      <c r="L690" s="3">
        <v>2101</v>
      </c>
      <c r="M690" s="3">
        <v>12439</v>
      </c>
      <c r="N690" s="3" t="s">
        <v>5461</v>
      </c>
      <c r="R690" s="3">
        <v>13</v>
      </c>
      <c r="S690" s="3" t="s">
        <v>3618</v>
      </c>
      <c r="T690" s="3" t="s">
        <v>5087</v>
      </c>
      <c r="U690" s="3">
        <v>22</v>
      </c>
      <c r="V690" s="3">
        <v>380</v>
      </c>
      <c r="W690" s="3">
        <v>0</v>
      </c>
      <c r="X690" s="3">
        <v>166</v>
      </c>
      <c r="Y690" s="3">
        <v>0</v>
      </c>
      <c r="Z690" s="3">
        <v>0</v>
      </c>
      <c r="AA690" s="3">
        <v>166</v>
      </c>
      <c r="AB690" s="3">
        <v>4944</v>
      </c>
      <c r="AC690" s="192">
        <v>0</v>
      </c>
      <c r="AF690" s="193">
        <v>1.8055555555555554E-2</v>
      </c>
      <c r="AG690" s="193">
        <v>0.54236111111111107</v>
      </c>
      <c r="AH690" s="193">
        <v>0.93472222222222223</v>
      </c>
    </row>
    <row r="691" spans="1:34" x14ac:dyDescent="0.25">
      <c r="A691" s="3" t="s">
        <v>5460</v>
      </c>
      <c r="B691" s="3">
        <v>146575</v>
      </c>
      <c r="C691" s="3">
        <v>943007</v>
      </c>
      <c r="D691" s="3" t="s">
        <v>5288</v>
      </c>
      <c r="E691" s="3">
        <v>1</v>
      </c>
      <c r="F691" s="3">
        <v>28</v>
      </c>
      <c r="G691" s="3">
        <v>6</v>
      </c>
      <c r="H691" s="55" t="s">
        <v>289</v>
      </c>
      <c r="I691" s="3" t="s">
        <v>5358</v>
      </c>
      <c r="J691" s="3" t="s">
        <v>5096</v>
      </c>
      <c r="L691" s="3">
        <v>2101</v>
      </c>
      <c r="M691" s="3">
        <v>12439</v>
      </c>
      <c r="N691" s="3" t="s">
        <v>5461</v>
      </c>
      <c r="R691" s="3">
        <v>13</v>
      </c>
      <c r="S691" s="3" t="s">
        <v>3618</v>
      </c>
      <c r="T691" s="3" t="s">
        <v>5087</v>
      </c>
      <c r="U691" s="3" t="s">
        <v>290</v>
      </c>
      <c r="V691" s="3">
        <v>380</v>
      </c>
      <c r="W691" s="3">
        <v>0</v>
      </c>
      <c r="X691" s="3">
        <v>78</v>
      </c>
      <c r="Y691" s="3">
        <v>0</v>
      </c>
      <c r="Z691" s="3">
        <v>0</v>
      </c>
      <c r="AA691" s="3">
        <v>78</v>
      </c>
      <c r="AB691" s="3">
        <v>5022</v>
      </c>
      <c r="AC691" s="192">
        <v>0</v>
      </c>
      <c r="AF691" s="193">
        <v>8.3333333333333332E-3</v>
      </c>
      <c r="AG691" s="193">
        <v>0.55069444444444449</v>
      </c>
      <c r="AH691" s="193">
        <v>0.94305555555555554</v>
      </c>
    </row>
    <row r="692" spans="1:34" x14ac:dyDescent="0.25">
      <c r="A692" s="3" t="s">
        <v>5460</v>
      </c>
      <c r="B692" s="3">
        <v>147053</v>
      </c>
      <c r="C692" s="3">
        <v>943007</v>
      </c>
      <c r="D692" s="3" t="s">
        <v>5288</v>
      </c>
      <c r="E692" s="3">
        <v>1</v>
      </c>
      <c r="F692" s="3">
        <v>29</v>
      </c>
      <c r="G692" s="3">
        <v>3</v>
      </c>
      <c r="H692" s="55" t="s">
        <v>289</v>
      </c>
      <c r="I692" s="3" t="s">
        <v>5358</v>
      </c>
      <c r="J692" s="3" t="s">
        <v>5096</v>
      </c>
      <c r="L692" s="3">
        <v>2101</v>
      </c>
      <c r="M692" s="3">
        <v>27531</v>
      </c>
      <c r="N692" s="3" t="s">
        <v>5464</v>
      </c>
      <c r="R692" s="3">
        <v>16</v>
      </c>
      <c r="S692" s="3" t="s">
        <v>2909</v>
      </c>
      <c r="T692" s="3" t="s">
        <v>5465</v>
      </c>
      <c r="U692" s="3" t="s">
        <v>354</v>
      </c>
      <c r="V692" s="3">
        <v>374</v>
      </c>
      <c r="W692" s="3">
        <v>0</v>
      </c>
      <c r="X692" s="3">
        <v>86</v>
      </c>
      <c r="Y692" s="3">
        <v>0</v>
      </c>
      <c r="Z692" s="3">
        <v>0</v>
      </c>
      <c r="AA692" s="3">
        <v>86</v>
      </c>
      <c r="AB692" s="3">
        <v>5108</v>
      </c>
      <c r="AC692" s="192">
        <v>0</v>
      </c>
      <c r="AF692" s="193">
        <v>9.7222222222222224E-3</v>
      </c>
      <c r="AG692" s="193">
        <v>0.56041666666666667</v>
      </c>
      <c r="AH692" s="193">
        <v>0.95277777777777772</v>
      </c>
    </row>
    <row r="693" spans="1:34" x14ac:dyDescent="0.25">
      <c r="A693" s="3" t="s">
        <v>5460</v>
      </c>
      <c r="B693" s="3">
        <v>147053</v>
      </c>
      <c r="C693" s="3">
        <v>943007</v>
      </c>
      <c r="D693" s="3" t="s">
        <v>5288</v>
      </c>
      <c r="E693" s="3">
        <v>1</v>
      </c>
      <c r="F693" s="3">
        <v>30</v>
      </c>
      <c r="G693" s="3">
        <v>4</v>
      </c>
      <c r="H693" s="55" t="s">
        <v>289</v>
      </c>
      <c r="I693" s="3" t="s">
        <v>5358</v>
      </c>
      <c r="J693" s="3" t="s">
        <v>5096</v>
      </c>
      <c r="L693" s="3">
        <v>2101</v>
      </c>
      <c r="M693" s="3">
        <v>27531</v>
      </c>
      <c r="N693" s="3" t="s">
        <v>5464</v>
      </c>
      <c r="R693" s="3">
        <v>16</v>
      </c>
      <c r="S693" s="3" t="s">
        <v>2909</v>
      </c>
      <c r="T693" s="3" t="s">
        <v>5465</v>
      </c>
      <c r="U693" s="3">
        <v>19</v>
      </c>
      <c r="V693" s="3">
        <v>374</v>
      </c>
      <c r="W693" s="3">
        <v>0</v>
      </c>
      <c r="X693" s="3">
        <v>170</v>
      </c>
      <c r="Y693" s="3">
        <v>0</v>
      </c>
      <c r="Z693" s="3">
        <v>0</v>
      </c>
      <c r="AA693" s="3">
        <v>170</v>
      </c>
      <c r="AB693" s="3">
        <v>5278</v>
      </c>
      <c r="AC693" s="192">
        <v>0</v>
      </c>
      <c r="AF693" s="193">
        <v>1.8749999999999999E-2</v>
      </c>
      <c r="AG693" s="193">
        <v>0.57916666666666672</v>
      </c>
      <c r="AH693" s="193">
        <v>0.97152777777777777</v>
      </c>
    </row>
    <row r="694" spans="1:34" x14ac:dyDescent="0.25">
      <c r="A694" s="3" t="s">
        <v>5467</v>
      </c>
      <c r="B694" s="3">
        <v>147013</v>
      </c>
      <c r="C694" s="3">
        <v>943007</v>
      </c>
      <c r="D694" s="3" t="s">
        <v>5288</v>
      </c>
      <c r="E694" s="3">
        <v>1</v>
      </c>
      <c r="F694" s="3">
        <v>1</v>
      </c>
      <c r="G694" s="3">
        <v>12</v>
      </c>
      <c r="H694" s="55" t="s">
        <v>289</v>
      </c>
      <c r="I694" s="3" t="s">
        <v>5358</v>
      </c>
      <c r="J694" s="3" t="s">
        <v>5096</v>
      </c>
      <c r="L694" s="3">
        <v>2103</v>
      </c>
      <c r="M694" s="3">
        <v>18501</v>
      </c>
      <c r="N694" s="3" t="s">
        <v>5265</v>
      </c>
      <c r="R694" s="3">
        <v>11</v>
      </c>
      <c r="S694" s="3" t="s">
        <v>5268</v>
      </c>
      <c r="T694" s="3" t="s">
        <v>5269</v>
      </c>
      <c r="U694" s="3" t="s">
        <v>354</v>
      </c>
      <c r="V694" s="3">
        <v>223</v>
      </c>
      <c r="W694" s="3">
        <v>0</v>
      </c>
      <c r="X694" s="3">
        <v>88</v>
      </c>
      <c r="Y694" s="3">
        <v>0</v>
      </c>
      <c r="Z694" s="3">
        <v>0</v>
      </c>
      <c r="AA694" s="3">
        <v>88</v>
      </c>
      <c r="AB694" s="3">
        <v>88</v>
      </c>
      <c r="AC694" s="192">
        <v>0</v>
      </c>
      <c r="AF694" s="193">
        <v>1.6666666666666666E-2</v>
      </c>
      <c r="AG694" s="193">
        <v>1.6666666666666666E-2</v>
      </c>
      <c r="AH694" s="193">
        <v>0.29375000000000001</v>
      </c>
    </row>
    <row r="695" spans="1:34" x14ac:dyDescent="0.25">
      <c r="A695" s="3" t="s">
        <v>5467</v>
      </c>
      <c r="B695" s="3">
        <v>147013</v>
      </c>
      <c r="C695" s="3">
        <v>943007</v>
      </c>
      <c r="D695" s="3" t="s">
        <v>5288</v>
      </c>
      <c r="E695" s="3">
        <v>1</v>
      </c>
      <c r="F695" s="3">
        <v>2</v>
      </c>
      <c r="G695" s="3">
        <v>13</v>
      </c>
      <c r="H695" s="55" t="s">
        <v>289</v>
      </c>
      <c r="I695" s="3" t="s">
        <v>5358</v>
      </c>
      <c r="J695" s="3" t="s">
        <v>5096</v>
      </c>
      <c r="L695" s="3">
        <v>2103</v>
      </c>
      <c r="M695" s="3">
        <v>18501</v>
      </c>
      <c r="N695" s="3" t="s">
        <v>5265</v>
      </c>
      <c r="R695" s="3">
        <v>11</v>
      </c>
      <c r="S695" s="3" t="s">
        <v>5268</v>
      </c>
      <c r="T695" s="3" t="s">
        <v>5269</v>
      </c>
      <c r="U695" s="3">
        <v>19</v>
      </c>
      <c r="V695" s="3">
        <v>223</v>
      </c>
      <c r="W695" s="3">
        <v>0</v>
      </c>
      <c r="X695" s="3">
        <v>236</v>
      </c>
      <c r="Y695" s="3">
        <v>0</v>
      </c>
      <c r="Z695" s="3">
        <v>0</v>
      </c>
      <c r="AA695" s="3">
        <v>236</v>
      </c>
      <c r="AB695" s="3">
        <v>324</v>
      </c>
      <c r="AC695" s="192">
        <v>0</v>
      </c>
      <c r="AF695" s="193">
        <v>4.3749999999999997E-2</v>
      </c>
      <c r="AG695" s="193">
        <v>6.0416666666666667E-2</v>
      </c>
      <c r="AH695" s="193">
        <v>0.33750000000000002</v>
      </c>
    </row>
    <row r="696" spans="1:34" x14ac:dyDescent="0.25">
      <c r="A696" s="3" t="s">
        <v>5467</v>
      </c>
      <c r="B696" s="3">
        <v>147013</v>
      </c>
      <c r="C696" s="3">
        <v>943007</v>
      </c>
      <c r="D696" s="3" t="s">
        <v>5288</v>
      </c>
      <c r="E696" s="3">
        <v>1</v>
      </c>
      <c r="F696" s="3">
        <v>3</v>
      </c>
      <c r="G696" s="3">
        <v>14</v>
      </c>
      <c r="H696" s="55" t="s">
        <v>289</v>
      </c>
      <c r="I696" s="3" t="s">
        <v>5358</v>
      </c>
      <c r="J696" s="3" t="s">
        <v>5096</v>
      </c>
      <c r="L696" s="3">
        <v>2103</v>
      </c>
      <c r="M696" s="3">
        <v>18501</v>
      </c>
      <c r="N696" s="3" t="s">
        <v>5265</v>
      </c>
      <c r="R696" s="3">
        <v>11</v>
      </c>
      <c r="S696" s="3" t="s">
        <v>5268</v>
      </c>
      <c r="T696" s="3" t="s">
        <v>5269</v>
      </c>
      <c r="U696" s="3">
        <v>20</v>
      </c>
      <c r="V696" s="3">
        <v>223</v>
      </c>
      <c r="W696" s="3">
        <v>0</v>
      </c>
      <c r="X696" s="3">
        <v>366</v>
      </c>
      <c r="Y696" s="3">
        <v>0</v>
      </c>
      <c r="Z696" s="3">
        <v>0</v>
      </c>
      <c r="AA696" s="3">
        <v>366</v>
      </c>
      <c r="AB696" s="3">
        <v>690</v>
      </c>
      <c r="AC696" s="192">
        <v>8.3333333333333332E-3</v>
      </c>
      <c r="AD696" s="3" t="s">
        <v>292</v>
      </c>
      <c r="AF696" s="193">
        <v>6.805555555555555E-2</v>
      </c>
      <c r="AG696" s="193">
        <v>0.12916666666666668</v>
      </c>
      <c r="AH696" s="193">
        <v>0.41388888888888886</v>
      </c>
    </row>
    <row r="697" spans="1:34" x14ac:dyDescent="0.25">
      <c r="A697" s="3" t="s">
        <v>5467</v>
      </c>
      <c r="B697" s="3">
        <v>147013</v>
      </c>
      <c r="C697" s="3">
        <v>943007</v>
      </c>
      <c r="D697" s="3" t="s">
        <v>5288</v>
      </c>
      <c r="E697" s="3">
        <v>1</v>
      </c>
      <c r="F697" s="3">
        <v>4</v>
      </c>
      <c r="G697" s="3">
        <v>15</v>
      </c>
      <c r="H697" s="55" t="s">
        <v>289</v>
      </c>
      <c r="I697" s="3" t="s">
        <v>5358</v>
      </c>
      <c r="J697" s="3" t="s">
        <v>5096</v>
      </c>
      <c r="L697" s="3">
        <v>2103</v>
      </c>
      <c r="M697" s="3">
        <v>18501</v>
      </c>
      <c r="N697" s="3" t="s">
        <v>5265</v>
      </c>
      <c r="R697" s="3">
        <v>11</v>
      </c>
      <c r="S697" s="3" t="s">
        <v>5268</v>
      </c>
      <c r="T697" s="3" t="s">
        <v>5269</v>
      </c>
      <c r="U697" s="3">
        <v>21</v>
      </c>
      <c r="V697" s="3">
        <v>223</v>
      </c>
      <c r="W697" s="3">
        <v>0</v>
      </c>
      <c r="X697" s="3">
        <v>384</v>
      </c>
      <c r="Y697" s="3">
        <v>0</v>
      </c>
      <c r="Z697" s="3">
        <v>0</v>
      </c>
      <c r="AA697" s="3">
        <v>384</v>
      </c>
      <c r="AB697" s="3">
        <v>1074</v>
      </c>
      <c r="AC697" s="192">
        <v>4.1666666666666664E-2</v>
      </c>
      <c r="AD697" s="3" t="s">
        <v>294</v>
      </c>
      <c r="AE697" s="3" t="s">
        <v>295</v>
      </c>
      <c r="AF697" s="193">
        <v>7.1527777777777773E-2</v>
      </c>
      <c r="AG697" s="193">
        <v>0.20069444444444445</v>
      </c>
      <c r="AH697" s="193">
        <v>0.52708333333333335</v>
      </c>
    </row>
    <row r="698" spans="1:34" x14ac:dyDescent="0.25">
      <c r="A698" s="3" t="s">
        <v>5467</v>
      </c>
      <c r="B698" s="3">
        <v>147013</v>
      </c>
      <c r="C698" s="3">
        <v>943007</v>
      </c>
      <c r="D698" s="3" t="s">
        <v>5288</v>
      </c>
      <c r="E698" s="3">
        <v>1</v>
      </c>
      <c r="F698" s="3">
        <v>5</v>
      </c>
      <c r="G698" s="3">
        <v>16</v>
      </c>
      <c r="H698" s="55" t="s">
        <v>289</v>
      </c>
      <c r="I698" s="3" t="s">
        <v>5358</v>
      </c>
      <c r="J698" s="3" t="s">
        <v>5096</v>
      </c>
      <c r="L698" s="3">
        <v>2103</v>
      </c>
      <c r="M698" s="3">
        <v>18501</v>
      </c>
      <c r="N698" s="3" t="s">
        <v>5265</v>
      </c>
      <c r="R698" s="3">
        <v>11</v>
      </c>
      <c r="S698" s="3" t="s">
        <v>5268</v>
      </c>
      <c r="T698" s="3" t="s">
        <v>5269</v>
      </c>
      <c r="U698" s="3">
        <v>22</v>
      </c>
      <c r="V698" s="3">
        <v>223</v>
      </c>
      <c r="W698" s="3">
        <v>0</v>
      </c>
      <c r="X698" s="3">
        <v>436</v>
      </c>
      <c r="Y698" s="3">
        <v>0</v>
      </c>
      <c r="Z698" s="3">
        <v>0</v>
      </c>
      <c r="AA698" s="3">
        <v>436</v>
      </c>
      <c r="AB698" s="3">
        <v>1510</v>
      </c>
      <c r="AC698" s="192">
        <v>8.3333333333333332E-3</v>
      </c>
      <c r="AD698" s="3" t="s">
        <v>404</v>
      </c>
      <c r="AF698" s="193">
        <v>8.1250000000000003E-2</v>
      </c>
      <c r="AG698" s="193">
        <v>0.28194444444444444</v>
      </c>
      <c r="AH698" s="193">
        <v>0.6166666666666667</v>
      </c>
    </row>
    <row r="699" spans="1:34" x14ac:dyDescent="0.25">
      <c r="A699" s="3" t="s">
        <v>5467</v>
      </c>
      <c r="B699" s="3">
        <v>147013</v>
      </c>
      <c r="C699" s="3">
        <v>943007</v>
      </c>
      <c r="D699" s="3" t="s">
        <v>5288</v>
      </c>
      <c r="E699" s="3">
        <v>1</v>
      </c>
      <c r="F699" s="3">
        <v>6</v>
      </c>
      <c r="G699" s="3">
        <v>17</v>
      </c>
      <c r="H699" s="55" t="s">
        <v>289</v>
      </c>
      <c r="I699" s="3" t="s">
        <v>5358</v>
      </c>
      <c r="J699" s="3" t="s">
        <v>5096</v>
      </c>
      <c r="L699" s="3">
        <v>2103</v>
      </c>
      <c r="M699" s="3">
        <v>18501</v>
      </c>
      <c r="N699" s="3" t="s">
        <v>5265</v>
      </c>
      <c r="R699" s="3">
        <v>11</v>
      </c>
      <c r="S699" s="3" t="s">
        <v>5268</v>
      </c>
      <c r="T699" s="3" t="s">
        <v>5269</v>
      </c>
      <c r="U699" s="3" t="s">
        <v>290</v>
      </c>
      <c r="V699" s="3">
        <v>223</v>
      </c>
      <c r="W699" s="3">
        <v>0</v>
      </c>
      <c r="X699" s="3">
        <v>436</v>
      </c>
      <c r="Y699" s="3">
        <v>0</v>
      </c>
      <c r="Z699" s="3">
        <v>0</v>
      </c>
      <c r="AA699" s="3">
        <v>436</v>
      </c>
      <c r="AB699" s="3">
        <v>1946</v>
      </c>
      <c r="AC699" s="192">
        <v>0</v>
      </c>
      <c r="AF699" s="193">
        <v>8.1250000000000003E-2</v>
      </c>
      <c r="AG699" s="193">
        <v>0.36388888888888887</v>
      </c>
      <c r="AH699" s="193">
        <v>0.70486111111111116</v>
      </c>
    </row>
    <row r="700" spans="1:34" x14ac:dyDescent="0.25">
      <c r="A700" s="3" t="s">
        <v>5467</v>
      </c>
      <c r="B700" s="3">
        <v>147013</v>
      </c>
      <c r="C700" s="3">
        <v>943007</v>
      </c>
      <c r="D700" s="3" t="s">
        <v>5288</v>
      </c>
      <c r="E700" s="3">
        <v>1</v>
      </c>
      <c r="F700" s="3">
        <v>7</v>
      </c>
      <c r="G700" s="3">
        <v>18</v>
      </c>
      <c r="H700" s="55" t="s">
        <v>289</v>
      </c>
      <c r="I700" s="3" t="s">
        <v>5358</v>
      </c>
      <c r="J700" s="3" t="s">
        <v>5096</v>
      </c>
      <c r="L700" s="3">
        <v>2103</v>
      </c>
      <c r="M700" s="3">
        <v>18501</v>
      </c>
      <c r="N700" s="3" t="s">
        <v>5265</v>
      </c>
      <c r="R700" s="3">
        <v>11</v>
      </c>
      <c r="S700" s="3" t="s">
        <v>5268</v>
      </c>
      <c r="T700" s="3" t="s">
        <v>5269</v>
      </c>
      <c r="U700" s="3">
        <v>25</v>
      </c>
      <c r="V700" s="3">
        <v>223</v>
      </c>
      <c r="W700" s="3">
        <v>0</v>
      </c>
      <c r="X700" s="3">
        <v>338</v>
      </c>
      <c r="Y700" s="3">
        <v>0</v>
      </c>
      <c r="Z700" s="3">
        <v>0</v>
      </c>
      <c r="AA700" s="3">
        <v>338</v>
      </c>
      <c r="AB700" s="3">
        <v>2284</v>
      </c>
      <c r="AC700" s="192">
        <v>0</v>
      </c>
      <c r="AF700" s="193">
        <v>6.3194444444444442E-2</v>
      </c>
      <c r="AG700" s="193">
        <v>0.42708333333333331</v>
      </c>
      <c r="AH700" s="193">
        <v>0.7680555555555556</v>
      </c>
    </row>
    <row r="701" spans="1:34" x14ac:dyDescent="0.25">
      <c r="A701" s="3" t="s">
        <v>5467</v>
      </c>
      <c r="B701" s="3">
        <v>147013</v>
      </c>
      <c r="C701" s="3">
        <v>943007</v>
      </c>
      <c r="D701" s="3" t="s">
        <v>5288</v>
      </c>
      <c r="E701" s="3">
        <v>1</v>
      </c>
      <c r="F701" s="3">
        <v>8</v>
      </c>
      <c r="G701" s="3">
        <v>19</v>
      </c>
      <c r="H701" s="55" t="s">
        <v>289</v>
      </c>
      <c r="I701" s="3" t="s">
        <v>5358</v>
      </c>
      <c r="J701" s="3" t="s">
        <v>5096</v>
      </c>
      <c r="L701" s="3">
        <v>2103</v>
      </c>
      <c r="M701" s="3">
        <v>18501</v>
      </c>
      <c r="N701" s="3" t="s">
        <v>5265</v>
      </c>
      <c r="R701" s="3">
        <v>11</v>
      </c>
      <c r="S701" s="3" t="s">
        <v>5268</v>
      </c>
      <c r="T701" s="3" t="s">
        <v>5269</v>
      </c>
      <c r="U701" s="3" t="s">
        <v>397</v>
      </c>
      <c r="V701" s="3">
        <v>223</v>
      </c>
      <c r="W701" s="3">
        <v>0</v>
      </c>
      <c r="X701" s="3">
        <v>208</v>
      </c>
      <c r="Y701" s="3">
        <v>0</v>
      </c>
      <c r="Z701" s="3">
        <v>0</v>
      </c>
      <c r="AA701" s="3">
        <v>208</v>
      </c>
      <c r="AB701" s="3">
        <v>2492</v>
      </c>
      <c r="AC701" s="192">
        <v>0.05</v>
      </c>
      <c r="AD701" s="3" t="s">
        <v>285</v>
      </c>
      <c r="AE701" s="3" t="s">
        <v>286</v>
      </c>
      <c r="AF701" s="193">
        <v>3.888888888888889E-2</v>
      </c>
      <c r="AG701" s="193">
        <v>0.46527777777777779</v>
      </c>
      <c r="AH701" s="193">
        <v>0.8569444444444444</v>
      </c>
    </row>
    <row r="702" spans="1:34" x14ac:dyDescent="0.25">
      <c r="A702" s="3" t="s">
        <v>5467</v>
      </c>
      <c r="B702" s="3">
        <v>147014</v>
      </c>
      <c r="C702" s="3">
        <v>943007</v>
      </c>
      <c r="D702" s="3" t="s">
        <v>5288</v>
      </c>
      <c r="E702" s="3">
        <v>1</v>
      </c>
      <c r="F702" s="3">
        <v>9</v>
      </c>
      <c r="G702" s="3">
        <v>11</v>
      </c>
      <c r="H702" s="55" t="s">
        <v>289</v>
      </c>
      <c r="I702" s="3" t="s">
        <v>5358</v>
      </c>
      <c r="J702" s="3" t="s">
        <v>5096</v>
      </c>
      <c r="L702" s="3">
        <v>2103</v>
      </c>
      <c r="M702" s="3">
        <v>18501</v>
      </c>
      <c r="N702" s="3" t="s">
        <v>5265</v>
      </c>
      <c r="R702" s="3">
        <v>11</v>
      </c>
      <c r="S702" s="3" t="s">
        <v>5266</v>
      </c>
      <c r="T702" s="3" t="s">
        <v>5267</v>
      </c>
      <c r="U702" s="3" t="s">
        <v>354</v>
      </c>
      <c r="V702" s="3">
        <v>223</v>
      </c>
      <c r="W702" s="3">
        <v>0</v>
      </c>
      <c r="X702" s="3">
        <v>46</v>
      </c>
      <c r="Y702" s="3">
        <v>0</v>
      </c>
      <c r="Z702" s="3">
        <v>0</v>
      </c>
      <c r="AA702" s="3">
        <v>46</v>
      </c>
      <c r="AB702" s="3">
        <v>2538</v>
      </c>
      <c r="AC702" s="192">
        <v>0</v>
      </c>
      <c r="AF702" s="193">
        <v>8.3333333333333332E-3</v>
      </c>
      <c r="AG702" s="193">
        <v>0.47430555555555554</v>
      </c>
      <c r="AH702" s="193">
        <v>0.86527777777777781</v>
      </c>
    </row>
    <row r="703" spans="1:34" x14ac:dyDescent="0.25">
      <c r="A703" s="3" t="s">
        <v>5467</v>
      </c>
      <c r="B703" s="3">
        <v>147014</v>
      </c>
      <c r="C703" s="3">
        <v>943007</v>
      </c>
      <c r="D703" s="3" t="s">
        <v>5288</v>
      </c>
      <c r="E703" s="3">
        <v>1</v>
      </c>
      <c r="F703" s="3">
        <v>10</v>
      </c>
      <c r="G703" s="3">
        <v>12</v>
      </c>
      <c r="H703" s="55" t="s">
        <v>289</v>
      </c>
      <c r="I703" s="3" t="s">
        <v>5358</v>
      </c>
      <c r="J703" s="3" t="s">
        <v>5096</v>
      </c>
      <c r="L703" s="3">
        <v>2103</v>
      </c>
      <c r="M703" s="3">
        <v>18501</v>
      </c>
      <c r="N703" s="3" t="s">
        <v>5265</v>
      </c>
      <c r="R703" s="3">
        <v>11</v>
      </c>
      <c r="S703" s="3" t="s">
        <v>5266</v>
      </c>
      <c r="T703" s="3" t="s">
        <v>5267</v>
      </c>
      <c r="U703" s="3">
        <v>19</v>
      </c>
      <c r="V703" s="3">
        <v>223</v>
      </c>
      <c r="W703" s="3">
        <v>0</v>
      </c>
      <c r="X703" s="3">
        <v>64</v>
      </c>
      <c r="Y703" s="3">
        <v>0</v>
      </c>
      <c r="Z703" s="3">
        <v>0</v>
      </c>
      <c r="AA703" s="3">
        <v>64</v>
      </c>
      <c r="AB703" s="3">
        <v>2602</v>
      </c>
      <c r="AC703" s="192">
        <v>0</v>
      </c>
      <c r="AF703" s="193">
        <v>1.1805555555555555E-2</v>
      </c>
      <c r="AG703" s="193">
        <v>0.4861111111111111</v>
      </c>
      <c r="AH703" s="193">
        <v>0.87708333333333333</v>
      </c>
    </row>
    <row r="704" spans="1:34" x14ac:dyDescent="0.25">
      <c r="A704" s="3" t="s">
        <v>5467</v>
      </c>
      <c r="B704" s="3">
        <v>147014</v>
      </c>
      <c r="C704" s="3">
        <v>943007</v>
      </c>
      <c r="D704" s="3" t="s">
        <v>5288</v>
      </c>
      <c r="E704" s="3">
        <v>1</v>
      </c>
      <c r="F704" s="3">
        <v>11</v>
      </c>
      <c r="G704" s="3">
        <v>13</v>
      </c>
      <c r="H704" s="55" t="s">
        <v>289</v>
      </c>
      <c r="I704" s="3" t="s">
        <v>5358</v>
      </c>
      <c r="J704" s="3" t="s">
        <v>5096</v>
      </c>
      <c r="L704" s="3">
        <v>2103</v>
      </c>
      <c r="M704" s="3">
        <v>18501</v>
      </c>
      <c r="N704" s="3" t="s">
        <v>5265</v>
      </c>
      <c r="R704" s="3">
        <v>11</v>
      </c>
      <c r="S704" s="3" t="s">
        <v>5266</v>
      </c>
      <c r="T704" s="3" t="s">
        <v>5267</v>
      </c>
      <c r="U704" s="3">
        <v>20</v>
      </c>
      <c r="V704" s="3">
        <v>223</v>
      </c>
      <c r="W704" s="3">
        <v>0</v>
      </c>
      <c r="X704" s="3">
        <v>88</v>
      </c>
      <c r="Y704" s="3">
        <v>0</v>
      </c>
      <c r="Z704" s="3">
        <v>0</v>
      </c>
      <c r="AA704" s="3">
        <v>88</v>
      </c>
      <c r="AB704" s="3">
        <v>2690</v>
      </c>
      <c r="AC704" s="192">
        <v>0</v>
      </c>
      <c r="AF704" s="193">
        <v>1.6666666666666666E-2</v>
      </c>
      <c r="AG704" s="193">
        <v>0.50277777777777777</v>
      </c>
      <c r="AH704" s="193">
        <v>0.89375000000000004</v>
      </c>
    </row>
    <row r="705" spans="1:34" x14ac:dyDescent="0.25">
      <c r="A705" s="3" t="s">
        <v>5467</v>
      </c>
      <c r="B705" s="3">
        <v>147014</v>
      </c>
      <c r="C705" s="3">
        <v>943007</v>
      </c>
      <c r="D705" s="3" t="s">
        <v>5288</v>
      </c>
      <c r="E705" s="3">
        <v>1</v>
      </c>
      <c r="F705" s="3">
        <v>12</v>
      </c>
      <c r="G705" s="3">
        <v>14</v>
      </c>
      <c r="H705" s="55" t="s">
        <v>289</v>
      </c>
      <c r="I705" s="3" t="s">
        <v>5358</v>
      </c>
      <c r="J705" s="3" t="s">
        <v>5096</v>
      </c>
      <c r="L705" s="3">
        <v>2103</v>
      </c>
      <c r="M705" s="3">
        <v>18501</v>
      </c>
      <c r="N705" s="3" t="s">
        <v>5265</v>
      </c>
      <c r="R705" s="3">
        <v>11</v>
      </c>
      <c r="S705" s="3" t="s">
        <v>5266</v>
      </c>
      <c r="T705" s="3" t="s">
        <v>5267</v>
      </c>
      <c r="U705" s="3">
        <v>21</v>
      </c>
      <c r="V705" s="3">
        <v>223</v>
      </c>
      <c r="W705" s="3">
        <v>0</v>
      </c>
      <c r="X705" s="3">
        <v>88</v>
      </c>
      <c r="Y705" s="3">
        <v>0</v>
      </c>
      <c r="Z705" s="3">
        <v>0</v>
      </c>
      <c r="AA705" s="3">
        <v>88</v>
      </c>
      <c r="AB705" s="3">
        <v>2778</v>
      </c>
      <c r="AC705" s="192">
        <v>0</v>
      </c>
      <c r="AF705" s="193">
        <v>1.6666666666666666E-2</v>
      </c>
      <c r="AG705" s="193">
        <v>0.51875000000000004</v>
      </c>
      <c r="AH705" s="193">
        <v>0.91041666666666665</v>
      </c>
    </row>
    <row r="706" spans="1:34" x14ac:dyDescent="0.25">
      <c r="A706" s="3" t="s">
        <v>5467</v>
      </c>
      <c r="B706" s="3">
        <v>147014</v>
      </c>
      <c r="C706" s="3">
        <v>943007</v>
      </c>
      <c r="D706" s="3" t="s">
        <v>5288</v>
      </c>
      <c r="E706" s="3">
        <v>1</v>
      </c>
      <c r="F706" s="3">
        <v>13</v>
      </c>
      <c r="G706" s="3">
        <v>15</v>
      </c>
      <c r="H706" s="55" t="s">
        <v>289</v>
      </c>
      <c r="I706" s="3" t="s">
        <v>5358</v>
      </c>
      <c r="J706" s="3" t="s">
        <v>5096</v>
      </c>
      <c r="L706" s="3">
        <v>2103</v>
      </c>
      <c r="M706" s="3">
        <v>18501</v>
      </c>
      <c r="N706" s="3" t="s">
        <v>5265</v>
      </c>
      <c r="R706" s="3">
        <v>11</v>
      </c>
      <c r="S706" s="3" t="s">
        <v>5266</v>
      </c>
      <c r="T706" s="3" t="s">
        <v>5267</v>
      </c>
      <c r="U706" s="3">
        <v>22</v>
      </c>
      <c r="V706" s="3">
        <v>223</v>
      </c>
      <c r="W706" s="3">
        <v>0</v>
      </c>
      <c r="X706" s="3">
        <v>130</v>
      </c>
      <c r="Y706" s="3">
        <v>0</v>
      </c>
      <c r="Z706" s="3">
        <v>0</v>
      </c>
      <c r="AA706" s="3">
        <v>130</v>
      </c>
      <c r="AB706" s="3">
        <v>2908</v>
      </c>
      <c r="AC706" s="192">
        <v>0</v>
      </c>
      <c r="AF706" s="193">
        <v>2.4305555555555556E-2</v>
      </c>
      <c r="AG706" s="193">
        <v>0.54305555555555551</v>
      </c>
      <c r="AH706" s="193">
        <v>0.93472222222222223</v>
      </c>
    </row>
    <row r="707" spans="1:34" x14ac:dyDescent="0.25">
      <c r="A707" s="3" t="s">
        <v>5467</v>
      </c>
      <c r="B707" s="3">
        <v>147014</v>
      </c>
      <c r="C707" s="3">
        <v>943007</v>
      </c>
      <c r="D707" s="3" t="s">
        <v>5288</v>
      </c>
      <c r="E707" s="3">
        <v>1</v>
      </c>
      <c r="F707" s="3">
        <v>14</v>
      </c>
      <c r="G707" s="3">
        <v>16</v>
      </c>
      <c r="H707" s="55" t="s">
        <v>289</v>
      </c>
      <c r="I707" s="3" t="s">
        <v>5358</v>
      </c>
      <c r="J707" s="3" t="s">
        <v>5096</v>
      </c>
      <c r="L707" s="3">
        <v>2103</v>
      </c>
      <c r="M707" s="3">
        <v>18501</v>
      </c>
      <c r="N707" s="3" t="s">
        <v>5265</v>
      </c>
      <c r="R707" s="3">
        <v>11</v>
      </c>
      <c r="S707" s="3" t="s">
        <v>5266</v>
      </c>
      <c r="T707" s="3" t="s">
        <v>5267</v>
      </c>
      <c r="U707" s="3" t="s">
        <v>290</v>
      </c>
      <c r="V707" s="3">
        <v>223</v>
      </c>
      <c r="W707" s="3">
        <v>0</v>
      </c>
      <c r="X707" s="3">
        <v>130</v>
      </c>
      <c r="Y707" s="3">
        <v>0</v>
      </c>
      <c r="Z707" s="3">
        <v>0</v>
      </c>
      <c r="AA707" s="3">
        <v>130</v>
      </c>
      <c r="AB707" s="3">
        <v>3038</v>
      </c>
      <c r="AC707" s="192">
        <v>0</v>
      </c>
      <c r="AF707" s="193">
        <v>2.4305555555555556E-2</v>
      </c>
      <c r="AG707" s="193">
        <v>0.56736111111111109</v>
      </c>
      <c r="AH707" s="193">
        <v>0.95902777777777781</v>
      </c>
    </row>
    <row r="708" spans="1:34" x14ac:dyDescent="0.25">
      <c r="A708" s="3" t="s">
        <v>5467</v>
      </c>
      <c r="B708" s="3">
        <v>147014</v>
      </c>
      <c r="C708" s="3">
        <v>943007</v>
      </c>
      <c r="D708" s="3" t="s">
        <v>5288</v>
      </c>
      <c r="E708" s="3">
        <v>1</v>
      </c>
      <c r="F708" s="3">
        <v>15</v>
      </c>
      <c r="G708" s="3">
        <v>17</v>
      </c>
      <c r="H708" s="55" t="s">
        <v>289</v>
      </c>
      <c r="I708" s="3" t="s">
        <v>5358</v>
      </c>
      <c r="J708" s="3" t="s">
        <v>5096</v>
      </c>
      <c r="L708" s="3">
        <v>2103</v>
      </c>
      <c r="M708" s="3">
        <v>18501</v>
      </c>
      <c r="N708" s="3" t="s">
        <v>5265</v>
      </c>
      <c r="R708" s="3">
        <v>11</v>
      </c>
      <c r="S708" s="3" t="s">
        <v>5266</v>
      </c>
      <c r="T708" s="3" t="s">
        <v>5267</v>
      </c>
      <c r="U708" s="3">
        <v>25</v>
      </c>
      <c r="V708" s="3">
        <v>223</v>
      </c>
      <c r="W708" s="3">
        <v>0</v>
      </c>
      <c r="X708" s="3">
        <v>26</v>
      </c>
      <c r="Y708" s="3">
        <v>0</v>
      </c>
      <c r="Z708" s="3">
        <v>0</v>
      </c>
      <c r="AA708" s="3">
        <v>26</v>
      </c>
      <c r="AB708" s="3">
        <v>3064</v>
      </c>
      <c r="AC708" s="192">
        <v>0</v>
      </c>
      <c r="AF708" s="193">
        <v>4.8611111111111112E-3</v>
      </c>
      <c r="AG708" s="193">
        <v>0.57222222222222219</v>
      </c>
      <c r="AH708" s="193">
        <v>0.96388888888888891</v>
      </c>
    </row>
    <row r="709" spans="1:34" x14ac:dyDescent="0.25">
      <c r="A709" s="3" t="s">
        <v>5467</v>
      </c>
      <c r="B709" s="3">
        <v>147014</v>
      </c>
      <c r="C709" s="3">
        <v>943007</v>
      </c>
      <c r="D709" s="3" t="s">
        <v>5288</v>
      </c>
      <c r="E709" s="3">
        <v>1</v>
      </c>
      <c r="F709" s="3">
        <v>16</v>
      </c>
      <c r="G709" s="3">
        <v>18</v>
      </c>
      <c r="H709" s="55" t="s">
        <v>289</v>
      </c>
      <c r="I709" s="3" t="s">
        <v>5358</v>
      </c>
      <c r="J709" s="3" t="s">
        <v>5096</v>
      </c>
      <c r="L709" s="3">
        <v>2103</v>
      </c>
      <c r="M709" s="3">
        <v>18501</v>
      </c>
      <c r="N709" s="3" t="s">
        <v>5265</v>
      </c>
      <c r="R709" s="3">
        <v>11</v>
      </c>
      <c r="S709" s="3" t="s">
        <v>5266</v>
      </c>
      <c r="T709" s="3" t="s">
        <v>5267</v>
      </c>
      <c r="U709" s="3" t="s">
        <v>397</v>
      </c>
      <c r="V709" s="3">
        <v>223</v>
      </c>
      <c r="W709" s="3">
        <v>0</v>
      </c>
      <c r="X709" s="3">
        <v>20</v>
      </c>
      <c r="Y709" s="3">
        <v>0</v>
      </c>
      <c r="Z709" s="3">
        <v>0</v>
      </c>
      <c r="AA709" s="3">
        <v>20</v>
      </c>
      <c r="AB709" s="3">
        <v>3084</v>
      </c>
      <c r="AC709" s="192">
        <v>0</v>
      </c>
      <c r="AF709" s="193">
        <v>3.472222222222222E-3</v>
      </c>
      <c r="AG709" s="193">
        <v>0.57638888888888884</v>
      </c>
      <c r="AH709" s="193">
        <v>0.96736111111111112</v>
      </c>
    </row>
    <row r="710" spans="1:34" x14ac:dyDescent="0.25">
      <c r="A710" s="3" t="s">
        <v>5467</v>
      </c>
      <c r="B710" s="3">
        <v>147015</v>
      </c>
      <c r="C710" s="3">
        <v>943007</v>
      </c>
      <c r="D710" s="3" t="s">
        <v>5288</v>
      </c>
      <c r="E710" s="3">
        <v>1</v>
      </c>
      <c r="F710" s="3">
        <v>17</v>
      </c>
      <c r="G710" s="3">
        <v>12</v>
      </c>
      <c r="H710" s="55" t="s">
        <v>289</v>
      </c>
      <c r="I710" s="3" t="s">
        <v>5358</v>
      </c>
      <c r="J710" s="3" t="s">
        <v>5096</v>
      </c>
      <c r="L710" s="3">
        <v>2103</v>
      </c>
      <c r="M710" s="3">
        <v>18501</v>
      </c>
      <c r="N710" s="3" t="s">
        <v>5265</v>
      </c>
      <c r="R710" s="3">
        <v>12</v>
      </c>
      <c r="S710" s="3" t="s">
        <v>5270</v>
      </c>
      <c r="T710" s="3" t="s">
        <v>5271</v>
      </c>
      <c r="U710" s="3" t="s">
        <v>354</v>
      </c>
      <c r="V710" s="3">
        <v>192</v>
      </c>
      <c r="W710" s="3">
        <v>0</v>
      </c>
      <c r="X710" s="3">
        <v>32</v>
      </c>
      <c r="Y710" s="3">
        <v>0</v>
      </c>
      <c r="Z710" s="3">
        <v>0</v>
      </c>
      <c r="AA710" s="3">
        <v>32</v>
      </c>
      <c r="AB710" s="3">
        <v>3116</v>
      </c>
      <c r="AC710" s="192">
        <v>0</v>
      </c>
      <c r="AF710" s="193">
        <v>6.9444444444444441E-3</v>
      </c>
      <c r="AG710" s="193">
        <v>0.58333333333333337</v>
      </c>
      <c r="AH710" s="193">
        <v>0.97430555555555554</v>
      </c>
    </row>
    <row r="711" spans="1:34" x14ac:dyDescent="0.25">
      <c r="A711" s="3" t="s">
        <v>426</v>
      </c>
      <c r="B711" s="3">
        <v>133086</v>
      </c>
      <c r="C711" s="3">
        <v>941707</v>
      </c>
      <c r="D711" s="3" t="s">
        <v>3526</v>
      </c>
      <c r="E711" s="3">
        <v>6</v>
      </c>
      <c r="F711" s="3">
        <v>1</v>
      </c>
      <c r="G711" s="3">
        <v>5</v>
      </c>
      <c r="H711" s="55" t="s">
        <v>289</v>
      </c>
      <c r="I711" s="3" t="s">
        <v>279</v>
      </c>
      <c r="J711" s="135">
        <v>46180</v>
      </c>
      <c r="L711" s="3">
        <v>2160</v>
      </c>
      <c r="M711" s="3">
        <v>27547</v>
      </c>
      <c r="N711" s="3" t="s">
        <v>5250</v>
      </c>
      <c r="R711" s="3">
        <v>8</v>
      </c>
      <c r="S711" s="3" t="s">
        <v>5251</v>
      </c>
      <c r="T711" s="3" t="s">
        <v>5084</v>
      </c>
      <c r="U711" s="3" t="s">
        <v>313</v>
      </c>
      <c r="V711" s="3">
        <v>381</v>
      </c>
      <c r="W711" s="3">
        <v>0</v>
      </c>
      <c r="X711" s="3">
        <v>42</v>
      </c>
      <c r="Y711" s="3">
        <v>0</v>
      </c>
      <c r="Z711" s="3">
        <v>0</v>
      </c>
      <c r="AA711" s="3">
        <v>42</v>
      </c>
      <c r="AB711" s="3">
        <v>42</v>
      </c>
      <c r="AC711" s="192">
        <v>0</v>
      </c>
      <c r="AF711" s="193">
        <v>4.8611111111111112E-3</v>
      </c>
      <c r="AG711" s="193">
        <v>4.8611111111111112E-3</v>
      </c>
      <c r="AH711" s="193">
        <v>0.28194444444444444</v>
      </c>
    </row>
    <row r="712" spans="1:34" x14ac:dyDescent="0.25">
      <c r="A712" s="3" t="s">
        <v>426</v>
      </c>
      <c r="B712" s="3">
        <v>133086</v>
      </c>
      <c r="C712" s="3">
        <v>941707</v>
      </c>
      <c r="D712" s="3" t="s">
        <v>3526</v>
      </c>
      <c r="E712" s="3">
        <v>6</v>
      </c>
      <c r="F712" s="3">
        <v>2</v>
      </c>
      <c r="G712" s="3">
        <v>6</v>
      </c>
      <c r="H712" s="55" t="s">
        <v>289</v>
      </c>
      <c r="I712" s="3" t="s">
        <v>279</v>
      </c>
      <c r="J712" s="135">
        <v>46180</v>
      </c>
      <c r="L712" s="3">
        <v>2160</v>
      </c>
      <c r="M712" s="3">
        <v>27547</v>
      </c>
      <c r="N712" s="3" t="s">
        <v>5250</v>
      </c>
      <c r="R712" s="3">
        <v>8</v>
      </c>
      <c r="S712" s="3" t="s">
        <v>5251</v>
      </c>
      <c r="T712" s="3" t="s">
        <v>5084</v>
      </c>
      <c r="U712" s="3" t="s">
        <v>311</v>
      </c>
      <c r="V712" s="3">
        <v>381</v>
      </c>
      <c r="W712" s="3">
        <v>0</v>
      </c>
      <c r="X712" s="3">
        <v>34</v>
      </c>
      <c r="Y712" s="3">
        <v>0</v>
      </c>
      <c r="Z712" s="3">
        <v>0</v>
      </c>
      <c r="AA712" s="3">
        <v>34</v>
      </c>
      <c r="AB712" s="3">
        <v>76</v>
      </c>
      <c r="AC712" s="192">
        <v>0</v>
      </c>
      <c r="AF712" s="193">
        <v>3.472222222222222E-3</v>
      </c>
      <c r="AG712" s="193">
        <v>8.3333333333333332E-3</v>
      </c>
      <c r="AH712" s="193">
        <v>0.28541666666666665</v>
      </c>
    </row>
    <row r="713" spans="1:34" x14ac:dyDescent="0.25">
      <c r="A713" s="3" t="s">
        <v>426</v>
      </c>
      <c r="B713" s="3">
        <v>133086</v>
      </c>
      <c r="C713" s="3">
        <v>941707</v>
      </c>
      <c r="D713" s="3" t="s">
        <v>3526</v>
      </c>
      <c r="E713" s="3">
        <v>6</v>
      </c>
      <c r="F713" s="3">
        <v>3</v>
      </c>
      <c r="G713" s="3">
        <v>7</v>
      </c>
      <c r="H713" s="55" t="s">
        <v>289</v>
      </c>
      <c r="I713" s="3" t="s">
        <v>279</v>
      </c>
      <c r="J713" s="135">
        <v>46180</v>
      </c>
      <c r="L713" s="3">
        <v>2160</v>
      </c>
      <c r="M713" s="3">
        <v>27547</v>
      </c>
      <c r="N713" s="3" t="s">
        <v>5250</v>
      </c>
      <c r="R713" s="3">
        <v>8</v>
      </c>
      <c r="S713" s="3" t="s">
        <v>5251</v>
      </c>
      <c r="T713" s="3" t="s">
        <v>5084</v>
      </c>
      <c r="U713" s="3" t="s">
        <v>304</v>
      </c>
      <c r="V713" s="3">
        <v>381</v>
      </c>
      <c r="W713" s="3">
        <v>0</v>
      </c>
      <c r="X713" s="3">
        <v>34</v>
      </c>
      <c r="Y713" s="3">
        <v>0</v>
      </c>
      <c r="Z713" s="3">
        <v>0</v>
      </c>
      <c r="AA713" s="3">
        <v>34</v>
      </c>
      <c r="AB713" s="3">
        <v>110</v>
      </c>
      <c r="AC713" s="192">
        <v>0</v>
      </c>
      <c r="AF713" s="193">
        <v>3.472222222222222E-3</v>
      </c>
      <c r="AG713" s="193">
        <v>1.1805555555555555E-2</v>
      </c>
      <c r="AH713" s="193">
        <v>0.28888888888888886</v>
      </c>
    </row>
    <row r="714" spans="1:34" x14ac:dyDescent="0.25">
      <c r="A714" s="3" t="s">
        <v>426</v>
      </c>
      <c r="B714" s="3">
        <v>132114</v>
      </c>
      <c r="C714" s="3">
        <v>941707</v>
      </c>
      <c r="D714" s="3" t="s">
        <v>3526</v>
      </c>
      <c r="E714" s="3">
        <v>6</v>
      </c>
      <c r="F714" s="3">
        <v>4</v>
      </c>
      <c r="G714" s="3">
        <v>3</v>
      </c>
      <c r="H714" s="55" t="s">
        <v>289</v>
      </c>
      <c r="I714" s="3" t="s">
        <v>279</v>
      </c>
      <c r="J714" s="135">
        <v>46180</v>
      </c>
      <c r="L714" s="3">
        <v>2160</v>
      </c>
      <c r="M714" s="3">
        <v>12565</v>
      </c>
      <c r="N714" s="3" t="s">
        <v>5332</v>
      </c>
      <c r="R714" s="3">
        <v>13</v>
      </c>
      <c r="S714" s="3" t="s">
        <v>1599</v>
      </c>
      <c r="T714" s="3" t="s">
        <v>5208</v>
      </c>
      <c r="U714" s="3" t="s">
        <v>280</v>
      </c>
      <c r="V714" s="3">
        <v>324</v>
      </c>
      <c r="W714" s="3">
        <v>0</v>
      </c>
      <c r="X714" s="3">
        <v>200</v>
      </c>
      <c r="Y714" s="3">
        <v>0</v>
      </c>
      <c r="Z714" s="3">
        <v>0</v>
      </c>
      <c r="AA714" s="3">
        <v>200</v>
      </c>
      <c r="AB714" s="3">
        <v>310</v>
      </c>
      <c r="AC714" s="192">
        <v>0</v>
      </c>
      <c r="AF714" s="193">
        <v>2.5694444444444443E-2</v>
      </c>
      <c r="AG714" s="193">
        <v>3.7499999999999999E-2</v>
      </c>
      <c r="AH714" s="193">
        <v>0.31458333333333333</v>
      </c>
    </row>
    <row r="715" spans="1:34" x14ac:dyDescent="0.25">
      <c r="A715" s="3" t="s">
        <v>426</v>
      </c>
      <c r="B715" s="3">
        <v>132114</v>
      </c>
      <c r="C715" s="3">
        <v>941707</v>
      </c>
      <c r="D715" s="3" t="s">
        <v>3526</v>
      </c>
      <c r="E715" s="3">
        <v>6</v>
      </c>
      <c r="F715" s="3">
        <v>5</v>
      </c>
      <c r="G715" s="3">
        <v>4</v>
      </c>
      <c r="H715" s="55" t="s">
        <v>289</v>
      </c>
      <c r="I715" s="3" t="s">
        <v>279</v>
      </c>
      <c r="J715" s="135">
        <v>46180</v>
      </c>
      <c r="L715" s="3">
        <v>2160</v>
      </c>
      <c r="M715" s="3">
        <v>12565</v>
      </c>
      <c r="N715" s="3" t="s">
        <v>5332</v>
      </c>
      <c r="R715" s="3">
        <v>13</v>
      </c>
      <c r="S715" s="3" t="s">
        <v>1599</v>
      </c>
      <c r="T715" s="3" t="s">
        <v>5208</v>
      </c>
      <c r="U715" s="3" t="s">
        <v>5109</v>
      </c>
      <c r="V715" s="3">
        <v>324</v>
      </c>
      <c r="W715" s="3">
        <v>0</v>
      </c>
      <c r="X715" s="3">
        <v>500</v>
      </c>
      <c r="Y715" s="3">
        <v>0</v>
      </c>
      <c r="Z715" s="3">
        <v>0</v>
      </c>
      <c r="AA715" s="3">
        <v>500</v>
      </c>
      <c r="AB715" s="3">
        <v>810</v>
      </c>
      <c r="AC715" s="192">
        <v>8.3333333333333332E-3</v>
      </c>
      <c r="AD715" s="3" t="s">
        <v>292</v>
      </c>
      <c r="AF715" s="193">
        <v>6.458333333333334E-2</v>
      </c>
      <c r="AG715" s="193">
        <v>0.10208333333333333</v>
      </c>
      <c r="AH715" s="193">
        <v>0.38750000000000001</v>
      </c>
    </row>
    <row r="716" spans="1:34" x14ac:dyDescent="0.25">
      <c r="A716" s="3" t="s">
        <v>426</v>
      </c>
      <c r="B716" s="3">
        <v>132114</v>
      </c>
      <c r="C716" s="3">
        <v>941707</v>
      </c>
      <c r="D716" s="3" t="s">
        <v>3526</v>
      </c>
      <c r="E716" s="3">
        <v>6</v>
      </c>
      <c r="F716" s="3">
        <v>6</v>
      </c>
      <c r="G716" s="3">
        <v>5</v>
      </c>
      <c r="H716" s="55" t="s">
        <v>289</v>
      </c>
      <c r="I716" s="3" t="s">
        <v>279</v>
      </c>
      <c r="J716" s="135">
        <v>46180</v>
      </c>
      <c r="L716" s="3">
        <v>2160</v>
      </c>
      <c r="M716" s="3">
        <v>12565</v>
      </c>
      <c r="N716" s="3" t="s">
        <v>5332</v>
      </c>
      <c r="R716" s="3">
        <v>13</v>
      </c>
      <c r="S716" s="3" t="s">
        <v>1599</v>
      </c>
      <c r="T716" s="3" t="s">
        <v>5208</v>
      </c>
      <c r="U716" s="3" t="s">
        <v>281</v>
      </c>
      <c r="V716" s="3">
        <v>324</v>
      </c>
      <c r="W716" s="3">
        <v>0</v>
      </c>
      <c r="X716" s="3">
        <v>140</v>
      </c>
      <c r="Y716" s="3">
        <v>0</v>
      </c>
      <c r="Z716" s="3">
        <v>0</v>
      </c>
      <c r="AA716" s="3">
        <v>140</v>
      </c>
      <c r="AB716" s="3">
        <v>950</v>
      </c>
      <c r="AC716" s="192">
        <v>0</v>
      </c>
      <c r="AF716" s="193">
        <v>1.8055555555555554E-2</v>
      </c>
      <c r="AG716" s="193">
        <v>0.12013888888888889</v>
      </c>
      <c r="AH716" s="193">
        <v>0.40555555555555556</v>
      </c>
    </row>
    <row r="717" spans="1:34" x14ac:dyDescent="0.25">
      <c r="A717" s="3" t="s">
        <v>426</v>
      </c>
      <c r="B717" s="3">
        <v>132116</v>
      </c>
      <c r="C717" s="3">
        <v>941707</v>
      </c>
      <c r="D717" s="3" t="s">
        <v>3526</v>
      </c>
      <c r="E717" s="3">
        <v>6</v>
      </c>
      <c r="F717" s="3">
        <v>7</v>
      </c>
      <c r="G717" s="3">
        <v>5</v>
      </c>
      <c r="H717" s="55" t="s">
        <v>289</v>
      </c>
      <c r="I717" s="3" t="s">
        <v>279</v>
      </c>
      <c r="J717" s="135">
        <v>46180</v>
      </c>
      <c r="L717" s="3">
        <v>2160</v>
      </c>
      <c r="M717" s="3">
        <v>12565</v>
      </c>
      <c r="N717" s="3" t="s">
        <v>5332</v>
      </c>
      <c r="R717" s="3">
        <v>13</v>
      </c>
      <c r="S717" s="3" t="s">
        <v>1600</v>
      </c>
      <c r="T717" s="3" t="s">
        <v>5333</v>
      </c>
      <c r="U717" s="3" t="s">
        <v>281</v>
      </c>
      <c r="V717" s="3">
        <v>324</v>
      </c>
      <c r="W717" s="3">
        <v>0</v>
      </c>
      <c r="X717" s="3">
        <v>132</v>
      </c>
      <c r="Y717" s="3">
        <v>0</v>
      </c>
      <c r="Z717" s="3">
        <v>0</v>
      </c>
      <c r="AA717" s="3">
        <v>132</v>
      </c>
      <c r="AB717" s="3">
        <v>1082</v>
      </c>
      <c r="AC717" s="192">
        <v>0</v>
      </c>
      <c r="AF717" s="193">
        <v>1.6666666666666666E-2</v>
      </c>
      <c r="AG717" s="193">
        <v>0.13680555555555557</v>
      </c>
      <c r="AH717" s="193">
        <v>0.42222222222222222</v>
      </c>
    </row>
    <row r="718" spans="1:34" x14ac:dyDescent="0.25">
      <c r="A718" s="3" t="s">
        <v>426</v>
      </c>
      <c r="B718" s="3">
        <v>132116</v>
      </c>
      <c r="C718" s="3">
        <v>941707</v>
      </c>
      <c r="D718" s="3" t="s">
        <v>3526</v>
      </c>
      <c r="E718" s="3">
        <v>6</v>
      </c>
      <c r="F718" s="3">
        <v>8</v>
      </c>
      <c r="G718" s="3">
        <v>3</v>
      </c>
      <c r="H718" s="55" t="s">
        <v>289</v>
      </c>
      <c r="I718" s="3" t="s">
        <v>279</v>
      </c>
      <c r="J718" s="135">
        <v>46180</v>
      </c>
      <c r="L718" s="3">
        <v>2160</v>
      </c>
      <c r="M718" s="3">
        <v>12565</v>
      </c>
      <c r="N718" s="3" t="s">
        <v>5332</v>
      </c>
      <c r="R718" s="3">
        <v>13</v>
      </c>
      <c r="S718" s="3" t="s">
        <v>1600</v>
      </c>
      <c r="T718" s="3" t="s">
        <v>5333</v>
      </c>
      <c r="U718" s="3" t="s">
        <v>280</v>
      </c>
      <c r="V718" s="3">
        <v>324</v>
      </c>
      <c r="W718" s="3">
        <v>0</v>
      </c>
      <c r="X718" s="3">
        <v>92</v>
      </c>
      <c r="Y718" s="3">
        <v>0</v>
      </c>
      <c r="Z718" s="3">
        <v>0</v>
      </c>
      <c r="AA718" s="3">
        <v>92</v>
      </c>
      <c r="AB718" s="3">
        <v>1174</v>
      </c>
      <c r="AC718" s="192">
        <v>0</v>
      </c>
      <c r="AF718" s="193">
        <v>1.1805555555555555E-2</v>
      </c>
      <c r="AG718" s="193">
        <v>0.14861111111111111</v>
      </c>
      <c r="AH718" s="193">
        <v>0.43402777777777779</v>
      </c>
    </row>
    <row r="719" spans="1:34" x14ac:dyDescent="0.25">
      <c r="A719" s="3" t="s">
        <v>426</v>
      </c>
      <c r="B719" s="3">
        <v>132116</v>
      </c>
      <c r="C719" s="3">
        <v>941707</v>
      </c>
      <c r="D719" s="3" t="s">
        <v>3526</v>
      </c>
      <c r="E719" s="3">
        <v>6</v>
      </c>
      <c r="F719" s="3">
        <v>9</v>
      </c>
      <c r="G719" s="3">
        <v>4</v>
      </c>
      <c r="H719" s="55" t="s">
        <v>289</v>
      </c>
      <c r="I719" s="3" t="s">
        <v>279</v>
      </c>
      <c r="J719" s="135">
        <v>46180</v>
      </c>
      <c r="L719" s="3">
        <v>2160</v>
      </c>
      <c r="M719" s="3">
        <v>12565</v>
      </c>
      <c r="N719" s="3" t="s">
        <v>5332</v>
      </c>
      <c r="R719" s="3">
        <v>13</v>
      </c>
      <c r="S719" s="3" t="s">
        <v>1600</v>
      </c>
      <c r="T719" s="3" t="s">
        <v>5333</v>
      </c>
      <c r="U719" s="3" t="s">
        <v>5109</v>
      </c>
      <c r="V719" s="3">
        <v>324</v>
      </c>
      <c r="W719" s="3">
        <v>0</v>
      </c>
      <c r="X719" s="3">
        <v>290</v>
      </c>
      <c r="Y719" s="3">
        <v>0</v>
      </c>
      <c r="Z719" s="3">
        <v>0</v>
      </c>
      <c r="AA719" s="3">
        <v>290</v>
      </c>
      <c r="AB719" s="3">
        <v>1464</v>
      </c>
      <c r="AC719" s="192">
        <v>4.1666666666666664E-2</v>
      </c>
      <c r="AD719" s="3" t="s">
        <v>294</v>
      </c>
      <c r="AE719" s="3" t="s">
        <v>295</v>
      </c>
      <c r="AF719" s="193">
        <v>3.7499999999999999E-2</v>
      </c>
      <c r="AG719" s="193">
        <v>0.18611111111111112</v>
      </c>
      <c r="AH719" s="193">
        <v>0.5131944444444444</v>
      </c>
    </row>
    <row r="720" spans="1:34" x14ac:dyDescent="0.25">
      <c r="A720" s="3" t="s">
        <v>426</v>
      </c>
      <c r="B720" s="3">
        <v>132111</v>
      </c>
      <c r="C720" s="3">
        <v>941707</v>
      </c>
      <c r="D720" s="3" t="s">
        <v>3526</v>
      </c>
      <c r="E720" s="3">
        <v>6</v>
      </c>
      <c r="F720" s="3">
        <v>10</v>
      </c>
      <c r="G720" s="3">
        <v>4</v>
      </c>
      <c r="H720" s="55" t="s">
        <v>289</v>
      </c>
      <c r="I720" s="3" t="s">
        <v>279</v>
      </c>
      <c r="J720" s="135">
        <v>46180</v>
      </c>
      <c r="L720" s="3">
        <v>2160</v>
      </c>
      <c r="M720" s="3">
        <v>12565</v>
      </c>
      <c r="N720" s="3" t="s">
        <v>5332</v>
      </c>
      <c r="R720" s="3">
        <v>12</v>
      </c>
      <c r="S720" s="3" t="s">
        <v>408</v>
      </c>
      <c r="T720" s="3" t="s">
        <v>5334</v>
      </c>
      <c r="U720" s="3" t="s">
        <v>5109</v>
      </c>
      <c r="V720" s="3">
        <v>324</v>
      </c>
      <c r="W720" s="3">
        <v>0</v>
      </c>
      <c r="X720" s="3">
        <v>710</v>
      </c>
      <c r="Y720" s="3">
        <v>0</v>
      </c>
      <c r="Z720" s="3">
        <v>0</v>
      </c>
      <c r="AA720" s="3">
        <v>710</v>
      </c>
      <c r="AB720" s="3">
        <v>2174</v>
      </c>
      <c r="AC720" s="192">
        <v>8.3333333333333332E-3</v>
      </c>
      <c r="AD720" s="3" t="s">
        <v>404</v>
      </c>
      <c r="AF720" s="193">
        <v>9.0972222222222218E-2</v>
      </c>
      <c r="AG720" s="193">
        <v>0.27777777777777779</v>
      </c>
      <c r="AH720" s="193">
        <v>0.61250000000000004</v>
      </c>
    </row>
    <row r="721" spans="1:34" x14ac:dyDescent="0.25">
      <c r="A721" s="3" t="s">
        <v>426</v>
      </c>
      <c r="B721" s="3">
        <v>132111</v>
      </c>
      <c r="C721" s="3">
        <v>941707</v>
      </c>
      <c r="D721" s="3" t="s">
        <v>3526</v>
      </c>
      <c r="E721" s="3">
        <v>6</v>
      </c>
      <c r="F721" s="3">
        <v>11</v>
      </c>
      <c r="G721" s="3">
        <v>3</v>
      </c>
      <c r="H721" s="55" t="s">
        <v>289</v>
      </c>
      <c r="I721" s="3" t="s">
        <v>279</v>
      </c>
      <c r="J721" s="135">
        <v>46180</v>
      </c>
      <c r="L721" s="3">
        <v>2160</v>
      </c>
      <c r="M721" s="3">
        <v>12565</v>
      </c>
      <c r="N721" s="3" t="s">
        <v>5332</v>
      </c>
      <c r="R721" s="3">
        <v>12</v>
      </c>
      <c r="S721" s="3" t="s">
        <v>408</v>
      </c>
      <c r="T721" s="3" t="s">
        <v>5334</v>
      </c>
      <c r="U721" s="3" t="s">
        <v>280</v>
      </c>
      <c r="V721" s="3">
        <v>324</v>
      </c>
      <c r="W721" s="3">
        <v>0</v>
      </c>
      <c r="X721" s="3">
        <v>132</v>
      </c>
      <c r="Y721" s="3">
        <v>0</v>
      </c>
      <c r="Z721" s="3">
        <v>0</v>
      </c>
      <c r="AA721" s="3">
        <v>132</v>
      </c>
      <c r="AB721" s="3">
        <v>2306</v>
      </c>
      <c r="AC721" s="192">
        <v>0</v>
      </c>
      <c r="AF721" s="193">
        <v>1.6666666666666666E-2</v>
      </c>
      <c r="AG721" s="193">
        <v>0.29444444444444445</v>
      </c>
      <c r="AH721" s="193">
        <v>0.62916666666666665</v>
      </c>
    </row>
    <row r="722" spans="1:34" x14ac:dyDescent="0.25">
      <c r="A722" s="3" t="s">
        <v>426</v>
      </c>
      <c r="B722" s="3">
        <v>133108</v>
      </c>
      <c r="C722" s="3">
        <v>941707</v>
      </c>
      <c r="D722" s="3" t="s">
        <v>3526</v>
      </c>
      <c r="E722" s="3">
        <v>6</v>
      </c>
      <c r="F722" s="3">
        <v>12</v>
      </c>
      <c r="G722" s="3">
        <v>3</v>
      </c>
      <c r="H722" s="55" t="s">
        <v>289</v>
      </c>
      <c r="I722" s="3" t="s">
        <v>279</v>
      </c>
      <c r="J722" s="135">
        <v>46210</v>
      </c>
      <c r="L722" s="3">
        <v>2160</v>
      </c>
      <c r="M722" s="3">
        <v>27594</v>
      </c>
      <c r="N722" s="3" t="s">
        <v>5335</v>
      </c>
      <c r="R722" s="3">
        <v>12</v>
      </c>
      <c r="S722" s="3" t="s">
        <v>415</v>
      </c>
      <c r="T722" s="3" t="s">
        <v>5337</v>
      </c>
      <c r="U722" s="3" t="s">
        <v>298</v>
      </c>
      <c r="V722" s="3">
        <v>338</v>
      </c>
      <c r="W722" s="3">
        <v>0</v>
      </c>
      <c r="X722" s="3">
        <v>52</v>
      </c>
      <c r="Y722" s="3">
        <v>0</v>
      </c>
      <c r="Z722" s="3">
        <v>0</v>
      </c>
      <c r="AA722" s="3">
        <v>52</v>
      </c>
      <c r="AB722" s="3">
        <v>2358</v>
      </c>
      <c r="AC722" s="192">
        <v>0</v>
      </c>
      <c r="AF722" s="193">
        <v>6.2500000000000003E-3</v>
      </c>
      <c r="AG722" s="193">
        <v>0.30069444444444443</v>
      </c>
      <c r="AH722" s="193">
        <v>0.64236111111111116</v>
      </c>
    </row>
    <row r="723" spans="1:34" x14ac:dyDescent="0.25">
      <c r="A723" s="3" t="s">
        <v>426</v>
      </c>
      <c r="B723" s="3">
        <v>133109</v>
      </c>
      <c r="C723" s="3">
        <v>941707</v>
      </c>
      <c r="D723" s="3" t="s">
        <v>3526</v>
      </c>
      <c r="E723" s="3">
        <v>6</v>
      </c>
      <c r="F723" s="3">
        <v>13</v>
      </c>
      <c r="G723" s="3">
        <v>9</v>
      </c>
      <c r="H723" s="55" t="s">
        <v>289</v>
      </c>
      <c r="I723" s="3" t="s">
        <v>279</v>
      </c>
      <c r="J723" s="135">
        <v>46210</v>
      </c>
      <c r="L723" s="3">
        <v>2160</v>
      </c>
      <c r="M723" s="3">
        <v>27594</v>
      </c>
      <c r="N723" s="3" t="s">
        <v>5335</v>
      </c>
      <c r="R723" s="3">
        <v>11</v>
      </c>
      <c r="S723" s="3" t="s">
        <v>417</v>
      </c>
      <c r="T723" s="3" t="s">
        <v>5082</v>
      </c>
      <c r="U723" s="3" t="s">
        <v>280</v>
      </c>
      <c r="V723" s="3">
        <v>334</v>
      </c>
      <c r="W723" s="3">
        <v>0</v>
      </c>
      <c r="X723" s="3">
        <v>26</v>
      </c>
      <c r="Y723" s="3">
        <v>0</v>
      </c>
      <c r="Z723" s="3">
        <v>0</v>
      </c>
      <c r="AA723" s="3">
        <v>26</v>
      </c>
      <c r="AB723" s="3">
        <v>2384</v>
      </c>
      <c r="AC723" s="192">
        <v>0</v>
      </c>
      <c r="AF723" s="193">
        <v>3.472222222222222E-3</v>
      </c>
      <c r="AG723" s="193">
        <v>0.30416666666666664</v>
      </c>
      <c r="AH723" s="193">
        <v>0.64583333333333337</v>
      </c>
    </row>
    <row r="724" spans="1:34" x14ac:dyDescent="0.25">
      <c r="A724" s="3" t="s">
        <v>426</v>
      </c>
      <c r="B724" s="3">
        <v>133109</v>
      </c>
      <c r="C724" s="3">
        <v>941707</v>
      </c>
      <c r="D724" s="3" t="s">
        <v>3526</v>
      </c>
      <c r="E724" s="3">
        <v>6</v>
      </c>
      <c r="F724" s="3">
        <v>14</v>
      </c>
      <c r="G724" s="3">
        <v>6</v>
      </c>
      <c r="H724" s="55" t="s">
        <v>289</v>
      </c>
      <c r="I724" s="3" t="s">
        <v>279</v>
      </c>
      <c r="J724" s="135">
        <v>46210</v>
      </c>
      <c r="L724" s="3">
        <v>2160</v>
      </c>
      <c r="M724" s="3">
        <v>27594</v>
      </c>
      <c r="N724" s="3" t="s">
        <v>5335</v>
      </c>
      <c r="R724" s="3">
        <v>11</v>
      </c>
      <c r="S724" s="3" t="s">
        <v>417</v>
      </c>
      <c r="T724" s="3" t="s">
        <v>5082</v>
      </c>
      <c r="U724" s="3">
        <v>35</v>
      </c>
      <c r="V724" s="3">
        <v>334</v>
      </c>
      <c r="W724" s="3">
        <v>0</v>
      </c>
      <c r="X724" s="3">
        <v>50</v>
      </c>
      <c r="Y724" s="3">
        <v>0</v>
      </c>
      <c r="Z724" s="3">
        <v>0</v>
      </c>
      <c r="AA724" s="3">
        <v>50</v>
      </c>
      <c r="AB724" s="3">
        <v>2434</v>
      </c>
      <c r="AC724" s="192">
        <v>0</v>
      </c>
      <c r="AF724" s="193">
        <v>6.2500000000000003E-3</v>
      </c>
      <c r="AG724" s="193">
        <v>0.31041666666666667</v>
      </c>
      <c r="AH724" s="193">
        <v>0.65208333333333335</v>
      </c>
    </row>
    <row r="725" spans="1:34" x14ac:dyDescent="0.25">
      <c r="A725" s="3" t="s">
        <v>426</v>
      </c>
      <c r="B725" s="3">
        <v>133109</v>
      </c>
      <c r="C725" s="3">
        <v>941707</v>
      </c>
      <c r="D725" s="3" t="s">
        <v>3526</v>
      </c>
      <c r="E725" s="3">
        <v>6</v>
      </c>
      <c r="F725" s="3">
        <v>15</v>
      </c>
      <c r="G725" s="3">
        <v>7</v>
      </c>
      <c r="H725" s="55" t="s">
        <v>289</v>
      </c>
      <c r="I725" s="3" t="s">
        <v>279</v>
      </c>
      <c r="J725" s="135">
        <v>46210</v>
      </c>
      <c r="L725" s="3">
        <v>2160</v>
      </c>
      <c r="M725" s="3">
        <v>27594</v>
      </c>
      <c r="N725" s="3" t="s">
        <v>5335</v>
      </c>
      <c r="R725" s="3">
        <v>11</v>
      </c>
      <c r="S725" s="3" t="s">
        <v>417</v>
      </c>
      <c r="T725" s="3" t="s">
        <v>5082</v>
      </c>
      <c r="U725" s="3">
        <v>36</v>
      </c>
      <c r="V725" s="3">
        <v>334</v>
      </c>
      <c r="W725" s="3">
        <v>0</v>
      </c>
      <c r="X725" s="3">
        <v>54</v>
      </c>
      <c r="Y725" s="3">
        <v>0</v>
      </c>
      <c r="Z725" s="3">
        <v>0</v>
      </c>
      <c r="AA725" s="3">
        <v>54</v>
      </c>
      <c r="AB725" s="3">
        <v>2488</v>
      </c>
      <c r="AC725" s="192">
        <v>0</v>
      </c>
      <c r="AF725" s="193">
        <v>6.9444444444444441E-3</v>
      </c>
      <c r="AG725" s="193">
        <v>0.31736111111111109</v>
      </c>
      <c r="AH725" s="193">
        <v>0.65902777777777777</v>
      </c>
    </row>
    <row r="726" spans="1:34" x14ac:dyDescent="0.25">
      <c r="A726" s="3" t="s">
        <v>426</v>
      </c>
      <c r="B726" s="3">
        <v>133109</v>
      </c>
      <c r="C726" s="3">
        <v>941707</v>
      </c>
      <c r="D726" s="3" t="s">
        <v>3526</v>
      </c>
      <c r="E726" s="3">
        <v>6</v>
      </c>
      <c r="F726" s="3">
        <v>16</v>
      </c>
      <c r="G726" s="3">
        <v>8</v>
      </c>
      <c r="H726" s="55" t="s">
        <v>289</v>
      </c>
      <c r="I726" s="3" t="s">
        <v>279</v>
      </c>
      <c r="J726" s="135">
        <v>46210</v>
      </c>
      <c r="L726" s="3">
        <v>2160</v>
      </c>
      <c r="M726" s="3">
        <v>27594</v>
      </c>
      <c r="N726" s="3" t="s">
        <v>5335</v>
      </c>
      <c r="R726" s="3">
        <v>11</v>
      </c>
      <c r="S726" s="3" t="s">
        <v>417</v>
      </c>
      <c r="T726" s="3" t="s">
        <v>5082</v>
      </c>
      <c r="U726" s="3" t="s">
        <v>284</v>
      </c>
      <c r="V726" s="3">
        <v>334</v>
      </c>
      <c r="W726" s="3">
        <v>0</v>
      </c>
      <c r="X726" s="3">
        <v>54</v>
      </c>
      <c r="Y726" s="3">
        <v>0</v>
      </c>
      <c r="Z726" s="3">
        <v>0</v>
      </c>
      <c r="AA726" s="3">
        <v>54</v>
      </c>
      <c r="AB726" s="3">
        <v>2542</v>
      </c>
      <c r="AC726" s="192">
        <v>0</v>
      </c>
      <c r="AF726" s="193">
        <v>6.9444444444444441E-3</v>
      </c>
      <c r="AG726" s="193">
        <v>0.32361111111111113</v>
      </c>
      <c r="AH726" s="193">
        <v>0.66597222222222219</v>
      </c>
    </row>
    <row r="727" spans="1:34" x14ac:dyDescent="0.25">
      <c r="A727" s="3" t="s">
        <v>426</v>
      </c>
      <c r="B727" s="3">
        <v>133107</v>
      </c>
      <c r="C727" s="3">
        <v>941707</v>
      </c>
      <c r="D727" s="3" t="s">
        <v>3526</v>
      </c>
      <c r="E727" s="3">
        <v>6</v>
      </c>
      <c r="F727" s="3">
        <v>17</v>
      </c>
      <c r="G727" s="3">
        <v>3</v>
      </c>
      <c r="H727" s="55" t="s">
        <v>289</v>
      </c>
      <c r="I727" s="3" t="s">
        <v>279</v>
      </c>
      <c r="J727" s="135">
        <v>46210</v>
      </c>
      <c r="L727" s="3">
        <v>2160</v>
      </c>
      <c r="M727" s="3">
        <v>27594</v>
      </c>
      <c r="N727" s="3" t="s">
        <v>5335</v>
      </c>
      <c r="R727" s="3">
        <v>17</v>
      </c>
      <c r="S727" s="3" t="s">
        <v>2924</v>
      </c>
      <c r="T727" s="3" t="s">
        <v>5336</v>
      </c>
      <c r="U727" s="3" t="s">
        <v>280</v>
      </c>
      <c r="V727" s="3">
        <v>354</v>
      </c>
      <c r="W727" s="3">
        <v>0</v>
      </c>
      <c r="X727" s="3">
        <v>20</v>
      </c>
      <c r="Y727" s="3">
        <v>0</v>
      </c>
      <c r="Z727" s="3">
        <v>0</v>
      </c>
      <c r="AA727" s="3">
        <v>20</v>
      </c>
      <c r="AB727" s="3">
        <v>2562</v>
      </c>
      <c r="AC727" s="192">
        <v>0</v>
      </c>
      <c r="AF727" s="193">
        <v>2.0833333333333333E-3</v>
      </c>
      <c r="AG727" s="193">
        <v>0.3263888888888889</v>
      </c>
      <c r="AH727" s="193">
        <v>0.66805555555555551</v>
      </c>
    </row>
    <row r="728" spans="1:34" x14ac:dyDescent="0.25">
      <c r="A728" s="3" t="s">
        <v>426</v>
      </c>
      <c r="B728" s="3">
        <v>132608</v>
      </c>
      <c r="C728" s="3">
        <v>941707</v>
      </c>
      <c r="D728" s="3" t="s">
        <v>3526</v>
      </c>
      <c r="E728" s="3">
        <v>6</v>
      </c>
      <c r="F728" s="3">
        <v>18</v>
      </c>
      <c r="G728" s="3">
        <v>4</v>
      </c>
      <c r="H728" s="55" t="s">
        <v>289</v>
      </c>
      <c r="I728" s="3" t="s">
        <v>279</v>
      </c>
      <c r="J728" s="135">
        <v>46210</v>
      </c>
      <c r="L728" s="3">
        <v>2150</v>
      </c>
      <c r="M728" s="3">
        <v>19420</v>
      </c>
      <c r="N728" s="3" t="s">
        <v>5338</v>
      </c>
      <c r="R728" s="3">
        <v>11</v>
      </c>
      <c r="S728" s="3" t="s">
        <v>424</v>
      </c>
      <c r="T728" s="3" t="s">
        <v>5339</v>
      </c>
      <c r="U728" s="3">
        <v>35</v>
      </c>
      <c r="V728" s="3">
        <v>239</v>
      </c>
      <c r="W728" s="3">
        <v>0</v>
      </c>
      <c r="X728" s="3">
        <v>48</v>
      </c>
      <c r="Y728" s="3">
        <v>0</v>
      </c>
      <c r="Z728" s="3">
        <v>0</v>
      </c>
      <c r="AA728" s="3">
        <v>48</v>
      </c>
      <c r="AB728" s="3">
        <v>2610</v>
      </c>
      <c r="AC728" s="192">
        <v>0</v>
      </c>
      <c r="AF728" s="193">
        <v>8.3333333333333332E-3</v>
      </c>
      <c r="AG728" s="193">
        <v>0.3347222222222222</v>
      </c>
      <c r="AH728" s="193">
        <v>0.67638888888888893</v>
      </c>
    </row>
    <row r="729" spans="1:34" x14ac:dyDescent="0.25">
      <c r="A729" s="3" t="s">
        <v>426</v>
      </c>
      <c r="B729" s="3">
        <v>132608</v>
      </c>
      <c r="C729" s="3">
        <v>941707</v>
      </c>
      <c r="D729" s="3" t="s">
        <v>3526</v>
      </c>
      <c r="E729" s="3">
        <v>6</v>
      </c>
      <c r="F729" s="3">
        <v>19</v>
      </c>
      <c r="G729" s="3">
        <v>5</v>
      </c>
      <c r="H729" s="55" t="s">
        <v>289</v>
      </c>
      <c r="I729" s="3" t="s">
        <v>279</v>
      </c>
      <c r="J729" s="135">
        <v>46210</v>
      </c>
      <c r="L729" s="3">
        <v>2150</v>
      </c>
      <c r="M729" s="3">
        <v>19420</v>
      </c>
      <c r="N729" s="3" t="s">
        <v>5338</v>
      </c>
      <c r="R729" s="3">
        <v>11</v>
      </c>
      <c r="S729" s="3" t="s">
        <v>424</v>
      </c>
      <c r="T729" s="3" t="s">
        <v>5339</v>
      </c>
      <c r="U729" s="3">
        <v>36</v>
      </c>
      <c r="V729" s="3">
        <v>239</v>
      </c>
      <c r="W729" s="3">
        <v>0</v>
      </c>
      <c r="X729" s="3">
        <v>86</v>
      </c>
      <c r="Y729" s="3">
        <v>0</v>
      </c>
      <c r="Z729" s="3">
        <v>0</v>
      </c>
      <c r="AA729" s="3">
        <v>86</v>
      </c>
      <c r="AB729" s="3">
        <v>2696</v>
      </c>
      <c r="AC729" s="192">
        <v>0</v>
      </c>
      <c r="AF729" s="193">
        <v>1.5277777777777777E-2</v>
      </c>
      <c r="AG729" s="193">
        <v>0.34930555555555554</v>
      </c>
      <c r="AH729" s="193">
        <v>0.69166666666666665</v>
      </c>
    </row>
    <row r="730" spans="1:34" x14ac:dyDescent="0.25">
      <c r="A730" s="3" t="s">
        <v>426</v>
      </c>
      <c r="B730" s="3">
        <v>132608</v>
      </c>
      <c r="C730" s="3">
        <v>941707</v>
      </c>
      <c r="D730" s="3" t="s">
        <v>3526</v>
      </c>
      <c r="E730" s="3">
        <v>6</v>
      </c>
      <c r="F730" s="3">
        <v>20</v>
      </c>
      <c r="G730" s="3">
        <v>6</v>
      </c>
      <c r="H730" s="55" t="s">
        <v>289</v>
      </c>
      <c r="I730" s="3" t="s">
        <v>279</v>
      </c>
      <c r="J730" s="135">
        <v>46210</v>
      </c>
      <c r="L730" s="3">
        <v>2150</v>
      </c>
      <c r="M730" s="3">
        <v>19420</v>
      </c>
      <c r="N730" s="3" t="s">
        <v>5338</v>
      </c>
      <c r="R730" s="3">
        <v>11</v>
      </c>
      <c r="S730" s="3" t="s">
        <v>424</v>
      </c>
      <c r="T730" s="3" t="s">
        <v>5339</v>
      </c>
      <c r="U730" s="3">
        <v>37</v>
      </c>
      <c r="V730" s="3">
        <v>239</v>
      </c>
      <c r="W730" s="3">
        <v>0</v>
      </c>
      <c r="X730" s="3">
        <v>74</v>
      </c>
      <c r="Y730" s="3">
        <v>0</v>
      </c>
      <c r="Z730" s="3">
        <v>0</v>
      </c>
      <c r="AA730" s="3">
        <v>74</v>
      </c>
      <c r="AB730" s="3">
        <v>2770</v>
      </c>
      <c r="AC730" s="192">
        <v>0</v>
      </c>
      <c r="AF730" s="193">
        <v>1.3194444444444444E-2</v>
      </c>
      <c r="AG730" s="193">
        <v>0.36249999999999999</v>
      </c>
      <c r="AH730" s="193">
        <v>0.70486111111111116</v>
      </c>
    </row>
    <row r="731" spans="1:34" x14ac:dyDescent="0.25">
      <c r="A731" s="3" t="s">
        <v>426</v>
      </c>
      <c r="B731" s="3">
        <v>132608</v>
      </c>
      <c r="C731" s="3">
        <v>941707</v>
      </c>
      <c r="D731" s="3" t="s">
        <v>3526</v>
      </c>
      <c r="E731" s="3">
        <v>6</v>
      </c>
      <c r="F731" s="3">
        <v>21</v>
      </c>
      <c r="G731" s="3">
        <v>7</v>
      </c>
      <c r="H731" s="55" t="s">
        <v>289</v>
      </c>
      <c r="I731" s="3" t="s">
        <v>279</v>
      </c>
      <c r="J731" s="135">
        <v>46210</v>
      </c>
      <c r="L731" s="3">
        <v>2150</v>
      </c>
      <c r="M731" s="3">
        <v>19420</v>
      </c>
      <c r="N731" s="3" t="s">
        <v>5338</v>
      </c>
      <c r="R731" s="3">
        <v>11</v>
      </c>
      <c r="S731" s="3" t="s">
        <v>424</v>
      </c>
      <c r="T731" s="3" t="s">
        <v>5339</v>
      </c>
      <c r="U731" s="3">
        <v>38</v>
      </c>
      <c r="V731" s="3">
        <v>239</v>
      </c>
      <c r="W731" s="3">
        <v>0</v>
      </c>
      <c r="X731" s="3">
        <v>42</v>
      </c>
      <c r="Y731" s="3">
        <v>0</v>
      </c>
      <c r="Z731" s="3">
        <v>0</v>
      </c>
      <c r="AA731" s="3">
        <v>42</v>
      </c>
      <c r="AB731" s="3">
        <v>2812</v>
      </c>
      <c r="AC731" s="192">
        <v>0</v>
      </c>
      <c r="AF731" s="193">
        <v>7.6388888888888886E-3</v>
      </c>
      <c r="AG731" s="193">
        <v>0.36944444444444446</v>
      </c>
      <c r="AH731" s="193">
        <v>0.71250000000000002</v>
      </c>
    </row>
    <row r="732" spans="1:34" x14ac:dyDescent="0.25">
      <c r="A732" s="3" t="s">
        <v>426</v>
      </c>
      <c r="B732" s="3">
        <v>132609</v>
      </c>
      <c r="C732" s="3">
        <v>941707</v>
      </c>
      <c r="D732" s="3" t="s">
        <v>3526</v>
      </c>
      <c r="E732" s="3">
        <v>6</v>
      </c>
      <c r="F732" s="3">
        <v>22</v>
      </c>
      <c r="G732" s="3">
        <v>4</v>
      </c>
      <c r="H732" s="55" t="s">
        <v>289</v>
      </c>
      <c r="I732" s="3" t="s">
        <v>279</v>
      </c>
      <c r="J732" s="135">
        <v>46210</v>
      </c>
      <c r="L732" s="3">
        <v>2150</v>
      </c>
      <c r="M732" s="3">
        <v>19420</v>
      </c>
      <c r="N732" s="3" t="s">
        <v>5338</v>
      </c>
      <c r="R732" s="3">
        <v>11</v>
      </c>
      <c r="S732" s="3" t="s">
        <v>423</v>
      </c>
      <c r="T732" s="3" t="s">
        <v>5243</v>
      </c>
      <c r="U732" s="3">
        <v>35</v>
      </c>
      <c r="V732" s="3">
        <v>239</v>
      </c>
      <c r="W732" s="3">
        <v>0</v>
      </c>
      <c r="X732" s="3">
        <v>100</v>
      </c>
      <c r="Y732" s="3">
        <v>0</v>
      </c>
      <c r="Z732" s="3">
        <v>0</v>
      </c>
      <c r="AA732" s="3">
        <v>100</v>
      </c>
      <c r="AB732" s="3">
        <v>2912</v>
      </c>
      <c r="AC732" s="192">
        <v>0</v>
      </c>
      <c r="AF732" s="193">
        <v>1.7361111111111112E-2</v>
      </c>
      <c r="AG732" s="193">
        <v>0.38750000000000001</v>
      </c>
      <c r="AH732" s="193">
        <v>0.72986111111111107</v>
      </c>
    </row>
    <row r="733" spans="1:34" x14ac:dyDescent="0.25">
      <c r="A733" s="3" t="s">
        <v>426</v>
      </c>
      <c r="B733" s="3">
        <v>132609</v>
      </c>
      <c r="C733" s="3">
        <v>941707</v>
      </c>
      <c r="D733" s="3" t="s">
        <v>3526</v>
      </c>
      <c r="E733" s="3">
        <v>6</v>
      </c>
      <c r="F733" s="3">
        <v>23</v>
      </c>
      <c r="G733" s="3">
        <v>5</v>
      </c>
      <c r="H733" s="55" t="s">
        <v>289</v>
      </c>
      <c r="I733" s="3" t="s">
        <v>279</v>
      </c>
      <c r="J733" s="135">
        <v>46210</v>
      </c>
      <c r="L733" s="3">
        <v>2150</v>
      </c>
      <c r="M733" s="3">
        <v>19420</v>
      </c>
      <c r="N733" s="3" t="s">
        <v>5338</v>
      </c>
      <c r="R733" s="3">
        <v>11</v>
      </c>
      <c r="S733" s="3" t="s">
        <v>423</v>
      </c>
      <c r="T733" s="3" t="s">
        <v>5243</v>
      </c>
      <c r="U733" s="3">
        <v>36</v>
      </c>
      <c r="V733" s="3">
        <v>239</v>
      </c>
      <c r="W733" s="3">
        <v>0</v>
      </c>
      <c r="X733" s="3">
        <v>70</v>
      </c>
      <c r="Y733" s="3">
        <v>0</v>
      </c>
      <c r="Z733" s="3">
        <v>0</v>
      </c>
      <c r="AA733" s="3">
        <v>70</v>
      </c>
      <c r="AB733" s="3">
        <v>2982</v>
      </c>
      <c r="AC733" s="192">
        <v>0</v>
      </c>
      <c r="AF733" s="193">
        <v>1.2500000000000001E-2</v>
      </c>
      <c r="AG733" s="193">
        <v>0.39930555555555558</v>
      </c>
      <c r="AH733" s="193">
        <v>0.74236111111111114</v>
      </c>
    </row>
    <row r="734" spans="1:34" x14ac:dyDescent="0.25">
      <c r="A734" s="3" t="s">
        <v>426</v>
      </c>
      <c r="B734" s="3">
        <v>132609</v>
      </c>
      <c r="C734" s="3">
        <v>941707</v>
      </c>
      <c r="D734" s="3" t="s">
        <v>3526</v>
      </c>
      <c r="E734" s="3">
        <v>6</v>
      </c>
      <c r="F734" s="3">
        <v>24</v>
      </c>
      <c r="G734" s="3">
        <v>6</v>
      </c>
      <c r="H734" s="55" t="s">
        <v>289</v>
      </c>
      <c r="I734" s="3" t="s">
        <v>279</v>
      </c>
      <c r="J734" s="135">
        <v>46210</v>
      </c>
      <c r="L734" s="3">
        <v>2150</v>
      </c>
      <c r="M734" s="3">
        <v>19420</v>
      </c>
      <c r="N734" s="3" t="s">
        <v>5338</v>
      </c>
      <c r="R734" s="3">
        <v>11</v>
      </c>
      <c r="S734" s="3" t="s">
        <v>423</v>
      </c>
      <c r="T734" s="3" t="s">
        <v>5243</v>
      </c>
      <c r="U734" s="3">
        <v>37</v>
      </c>
      <c r="V734" s="3">
        <v>239</v>
      </c>
      <c r="W734" s="3">
        <v>0</v>
      </c>
      <c r="X734" s="3">
        <v>30</v>
      </c>
      <c r="Y734" s="3">
        <v>0</v>
      </c>
      <c r="Z734" s="3">
        <v>0</v>
      </c>
      <c r="AA734" s="3">
        <v>30</v>
      </c>
      <c r="AB734" s="3">
        <v>3012</v>
      </c>
      <c r="AC734" s="192">
        <v>0</v>
      </c>
      <c r="AF734" s="193">
        <v>5.5555555555555558E-3</v>
      </c>
      <c r="AG734" s="193">
        <v>0.40486111111111112</v>
      </c>
      <c r="AH734" s="193">
        <v>0.74791666666666667</v>
      </c>
    </row>
    <row r="735" spans="1:34" x14ac:dyDescent="0.25">
      <c r="A735" s="3" t="s">
        <v>426</v>
      </c>
      <c r="B735" s="3">
        <v>125363</v>
      </c>
      <c r="C735" s="3">
        <v>941707</v>
      </c>
      <c r="D735" s="3" t="s">
        <v>3526</v>
      </c>
      <c r="E735" s="3">
        <v>6</v>
      </c>
      <c r="F735" s="3">
        <v>25</v>
      </c>
      <c r="G735" s="3">
        <v>9</v>
      </c>
      <c r="H735" s="55" t="s">
        <v>289</v>
      </c>
      <c r="I735" s="3" t="s">
        <v>279</v>
      </c>
      <c r="J735" s="3" t="s">
        <v>5174</v>
      </c>
      <c r="L735" s="3">
        <v>2160</v>
      </c>
      <c r="M735" s="3">
        <v>19290</v>
      </c>
      <c r="N735" s="3" t="s">
        <v>5340</v>
      </c>
      <c r="R735" s="3">
        <v>10</v>
      </c>
      <c r="S735" s="3" t="s">
        <v>2030</v>
      </c>
      <c r="T735" s="3" t="s">
        <v>5341</v>
      </c>
      <c r="U735" s="3" t="s">
        <v>298</v>
      </c>
      <c r="V735" s="3">
        <v>180</v>
      </c>
      <c r="W735" s="3">
        <v>0</v>
      </c>
      <c r="X735" s="3">
        <v>40</v>
      </c>
      <c r="Y735" s="3">
        <v>0</v>
      </c>
      <c r="Z735" s="3">
        <v>0</v>
      </c>
      <c r="AA735" s="3">
        <v>40</v>
      </c>
      <c r="AB735" s="3">
        <v>3052</v>
      </c>
      <c r="AC735" s="192">
        <v>0</v>
      </c>
      <c r="AF735" s="193">
        <v>9.0277777777777769E-3</v>
      </c>
      <c r="AG735" s="193">
        <v>0.41388888888888886</v>
      </c>
      <c r="AH735" s="193">
        <v>0.75694444444444442</v>
      </c>
    </row>
    <row r="736" spans="1:34" x14ac:dyDescent="0.25">
      <c r="A736" s="3" t="s">
        <v>426</v>
      </c>
      <c r="B736" s="3">
        <v>125363</v>
      </c>
      <c r="C736" s="3">
        <v>941707</v>
      </c>
      <c r="D736" s="3" t="s">
        <v>3526</v>
      </c>
      <c r="E736" s="3">
        <v>6</v>
      </c>
      <c r="F736" s="3">
        <v>26</v>
      </c>
      <c r="G736" s="3">
        <v>10</v>
      </c>
      <c r="H736" s="55" t="s">
        <v>289</v>
      </c>
      <c r="I736" s="3" t="s">
        <v>279</v>
      </c>
      <c r="J736" s="3" t="s">
        <v>5174</v>
      </c>
      <c r="L736" s="3">
        <v>2160</v>
      </c>
      <c r="M736" s="3">
        <v>19290</v>
      </c>
      <c r="N736" s="3" t="s">
        <v>5340</v>
      </c>
      <c r="R736" s="3">
        <v>10</v>
      </c>
      <c r="S736" s="3" t="s">
        <v>2030</v>
      </c>
      <c r="T736" s="3" t="s">
        <v>5341</v>
      </c>
      <c r="U736" s="3">
        <v>35</v>
      </c>
      <c r="V736" s="3">
        <v>180</v>
      </c>
      <c r="W736" s="3">
        <v>0</v>
      </c>
      <c r="X736" s="3">
        <v>102</v>
      </c>
      <c r="Y736" s="3">
        <v>0</v>
      </c>
      <c r="Z736" s="3">
        <v>0</v>
      </c>
      <c r="AA736" s="3">
        <v>102</v>
      </c>
      <c r="AB736" s="3">
        <v>3154</v>
      </c>
      <c r="AC736" s="192">
        <v>8.3333333333333332E-3</v>
      </c>
      <c r="AD736" s="3" t="s">
        <v>292</v>
      </c>
      <c r="AF736" s="193">
        <v>2.361111111111111E-2</v>
      </c>
      <c r="AG736" s="193">
        <v>0.4375</v>
      </c>
      <c r="AH736" s="193">
        <v>0.78888888888888886</v>
      </c>
    </row>
    <row r="737" spans="1:34" x14ac:dyDescent="0.25">
      <c r="A737" s="3" t="s">
        <v>426</v>
      </c>
      <c r="B737" s="3">
        <v>125363</v>
      </c>
      <c r="C737" s="3">
        <v>941707</v>
      </c>
      <c r="D737" s="3" t="s">
        <v>3526</v>
      </c>
      <c r="E737" s="3">
        <v>6</v>
      </c>
      <c r="F737" s="3">
        <v>27</v>
      </c>
      <c r="G737" s="3">
        <v>11</v>
      </c>
      <c r="H737" s="55" t="s">
        <v>289</v>
      </c>
      <c r="I737" s="3" t="s">
        <v>279</v>
      </c>
      <c r="J737" s="3" t="s">
        <v>5174</v>
      </c>
      <c r="L737" s="3">
        <v>2160</v>
      </c>
      <c r="M737" s="3">
        <v>19290</v>
      </c>
      <c r="N737" s="3" t="s">
        <v>5340</v>
      </c>
      <c r="R737" s="3">
        <v>10</v>
      </c>
      <c r="S737" s="3" t="s">
        <v>2030</v>
      </c>
      <c r="T737" s="3" t="s">
        <v>5341</v>
      </c>
      <c r="U737" s="3">
        <v>36</v>
      </c>
      <c r="V737" s="3">
        <v>180</v>
      </c>
      <c r="W737" s="3">
        <v>0</v>
      </c>
      <c r="X737" s="3">
        <v>134</v>
      </c>
      <c r="Y737" s="3">
        <v>0</v>
      </c>
      <c r="Z737" s="3">
        <v>0</v>
      </c>
      <c r="AA737" s="3">
        <v>134</v>
      </c>
      <c r="AB737" s="3">
        <v>3288</v>
      </c>
      <c r="AC737" s="192">
        <v>4.1666666666666664E-2</v>
      </c>
      <c r="AD737" s="3" t="s">
        <v>294</v>
      </c>
      <c r="AE737" s="3" t="s">
        <v>295</v>
      </c>
      <c r="AF737" s="193">
        <v>3.125E-2</v>
      </c>
      <c r="AG737" s="193">
        <v>0.46875</v>
      </c>
      <c r="AH737" s="193">
        <v>0.8618055555555556</v>
      </c>
    </row>
    <row r="738" spans="1:34" x14ac:dyDescent="0.25">
      <c r="A738" s="3" t="s">
        <v>426</v>
      </c>
      <c r="B738" s="3">
        <v>125363</v>
      </c>
      <c r="C738" s="3">
        <v>941707</v>
      </c>
      <c r="D738" s="3" t="s">
        <v>3526</v>
      </c>
      <c r="E738" s="3">
        <v>6</v>
      </c>
      <c r="F738" s="3">
        <v>28</v>
      </c>
      <c r="G738" s="3">
        <v>12</v>
      </c>
      <c r="H738" s="55" t="s">
        <v>289</v>
      </c>
      <c r="I738" s="3" t="s">
        <v>279</v>
      </c>
      <c r="J738" s="3" t="s">
        <v>5174</v>
      </c>
      <c r="L738" s="3">
        <v>2160</v>
      </c>
      <c r="M738" s="3">
        <v>19290</v>
      </c>
      <c r="N738" s="3" t="s">
        <v>5340</v>
      </c>
      <c r="R738" s="3">
        <v>10</v>
      </c>
      <c r="S738" s="3" t="s">
        <v>2030</v>
      </c>
      <c r="T738" s="3" t="s">
        <v>5341</v>
      </c>
      <c r="U738" s="3">
        <v>37</v>
      </c>
      <c r="V738" s="3">
        <v>180</v>
      </c>
      <c r="W738" s="3">
        <v>0</v>
      </c>
      <c r="X738" s="3">
        <v>192</v>
      </c>
      <c r="Y738" s="3">
        <v>0</v>
      </c>
      <c r="Z738" s="3">
        <v>0</v>
      </c>
      <c r="AA738" s="3">
        <v>192</v>
      </c>
      <c r="AB738" s="3">
        <v>3480</v>
      </c>
      <c r="AC738" s="192">
        <v>0</v>
      </c>
      <c r="AF738" s="193">
        <v>4.4444444444444446E-2</v>
      </c>
      <c r="AG738" s="193">
        <v>0.5131944444444444</v>
      </c>
      <c r="AH738" s="193">
        <v>0.90625</v>
      </c>
    </row>
    <row r="739" spans="1:34" x14ac:dyDescent="0.25">
      <c r="A739" s="3" t="s">
        <v>426</v>
      </c>
      <c r="B739" s="3">
        <v>125363</v>
      </c>
      <c r="C739" s="3">
        <v>941707</v>
      </c>
      <c r="D739" s="3" t="s">
        <v>3526</v>
      </c>
      <c r="E739" s="3">
        <v>6</v>
      </c>
      <c r="F739" s="3">
        <v>29</v>
      </c>
      <c r="G739" s="3">
        <v>13</v>
      </c>
      <c r="H739" s="55" t="s">
        <v>289</v>
      </c>
      <c r="I739" s="3" t="s">
        <v>279</v>
      </c>
      <c r="J739" s="3" t="s">
        <v>5174</v>
      </c>
      <c r="L739" s="3">
        <v>2160</v>
      </c>
      <c r="M739" s="3">
        <v>19290</v>
      </c>
      <c r="N739" s="3" t="s">
        <v>5340</v>
      </c>
      <c r="R739" s="3">
        <v>10</v>
      </c>
      <c r="S739" s="3" t="s">
        <v>2030</v>
      </c>
      <c r="T739" s="3" t="s">
        <v>5341</v>
      </c>
      <c r="U739" s="3">
        <v>38</v>
      </c>
      <c r="V739" s="3">
        <v>180</v>
      </c>
      <c r="W739" s="3">
        <v>0</v>
      </c>
      <c r="X739" s="3">
        <v>120</v>
      </c>
      <c r="Y739" s="3">
        <v>0</v>
      </c>
      <c r="Z739" s="3">
        <v>0</v>
      </c>
      <c r="AA739" s="3">
        <v>120</v>
      </c>
      <c r="AB739" s="3">
        <v>3600</v>
      </c>
      <c r="AC739" s="192">
        <v>0</v>
      </c>
      <c r="AF739" s="193">
        <v>2.7777777777777776E-2</v>
      </c>
      <c r="AG739" s="193">
        <v>0.54097222222222219</v>
      </c>
      <c r="AH739" s="193">
        <v>0.93402777777777779</v>
      </c>
    </row>
    <row r="740" spans="1:34" x14ac:dyDescent="0.25">
      <c r="A740" s="3" t="s">
        <v>426</v>
      </c>
      <c r="B740" s="3">
        <v>125363</v>
      </c>
      <c r="C740" s="3">
        <v>941707</v>
      </c>
      <c r="D740" s="3" t="s">
        <v>3526</v>
      </c>
      <c r="E740" s="3">
        <v>6</v>
      </c>
      <c r="F740" s="3">
        <v>30</v>
      </c>
      <c r="G740" s="3">
        <v>14</v>
      </c>
      <c r="H740" s="55" t="s">
        <v>289</v>
      </c>
      <c r="I740" s="3" t="s">
        <v>279</v>
      </c>
      <c r="J740" s="3" t="s">
        <v>5174</v>
      </c>
      <c r="L740" s="3">
        <v>2160</v>
      </c>
      <c r="M740" s="3">
        <v>19290</v>
      </c>
      <c r="N740" s="3" t="s">
        <v>5340</v>
      </c>
      <c r="R740" s="3">
        <v>10</v>
      </c>
      <c r="S740" s="3" t="s">
        <v>2030</v>
      </c>
      <c r="T740" s="3" t="s">
        <v>5341</v>
      </c>
      <c r="U740" s="3" t="s">
        <v>280</v>
      </c>
      <c r="V740" s="3">
        <v>180</v>
      </c>
      <c r="W740" s="3">
        <v>0</v>
      </c>
      <c r="X740" s="3">
        <v>106</v>
      </c>
      <c r="Y740" s="3">
        <v>0</v>
      </c>
      <c r="Z740" s="3">
        <v>0</v>
      </c>
      <c r="AA740" s="3">
        <v>106</v>
      </c>
      <c r="AB740" s="3">
        <v>3706</v>
      </c>
      <c r="AC740" s="192">
        <v>0</v>
      </c>
      <c r="AF740" s="193">
        <v>2.4305555555555556E-2</v>
      </c>
      <c r="AG740" s="193">
        <v>0.56527777777777777</v>
      </c>
      <c r="AH740" s="193">
        <v>0.95833333333333337</v>
      </c>
    </row>
    <row r="741" spans="1:34" x14ac:dyDescent="0.25">
      <c r="A741" s="3" t="s">
        <v>426</v>
      </c>
      <c r="B741" s="3">
        <v>125364</v>
      </c>
      <c r="C741" s="3">
        <v>941707</v>
      </c>
      <c r="D741" s="3" t="s">
        <v>3526</v>
      </c>
      <c r="E741" s="3">
        <v>6</v>
      </c>
      <c r="F741" s="3">
        <v>31</v>
      </c>
      <c r="G741" s="3">
        <v>12</v>
      </c>
      <c r="H741" s="55" t="s">
        <v>289</v>
      </c>
      <c r="I741" s="3" t="s">
        <v>279</v>
      </c>
      <c r="J741" s="3" t="s">
        <v>5174</v>
      </c>
      <c r="L741" s="3">
        <v>2160</v>
      </c>
      <c r="M741" s="3">
        <v>19290</v>
      </c>
      <c r="N741" s="3" t="s">
        <v>5340</v>
      </c>
      <c r="R741" s="3">
        <v>10</v>
      </c>
      <c r="S741" s="3" t="s">
        <v>2031</v>
      </c>
      <c r="T741" s="3" t="s">
        <v>5468</v>
      </c>
      <c r="U741" s="3" t="s">
        <v>280</v>
      </c>
      <c r="V741" s="3">
        <v>180</v>
      </c>
      <c r="W741" s="3">
        <v>0</v>
      </c>
      <c r="X741" s="3">
        <v>32</v>
      </c>
      <c r="Y741" s="3">
        <v>0</v>
      </c>
      <c r="Z741" s="3">
        <v>0</v>
      </c>
      <c r="AA741" s="3">
        <v>32</v>
      </c>
      <c r="AB741" s="3">
        <v>3738</v>
      </c>
      <c r="AC741" s="192">
        <v>0</v>
      </c>
      <c r="AF741" s="193">
        <v>7.6388888888888886E-3</v>
      </c>
      <c r="AG741" s="193">
        <v>0.57291666666666663</v>
      </c>
      <c r="AH741" s="193">
        <v>0.96597222222222223</v>
      </c>
    </row>
    <row r="742" spans="1:34" x14ac:dyDescent="0.25">
      <c r="A742" s="3" t="s">
        <v>426</v>
      </c>
      <c r="B742" s="3">
        <v>125364</v>
      </c>
      <c r="C742" s="3">
        <v>941707</v>
      </c>
      <c r="D742" s="3" t="s">
        <v>3526</v>
      </c>
      <c r="E742" s="3">
        <v>6</v>
      </c>
      <c r="F742" s="3">
        <v>32</v>
      </c>
      <c r="G742" s="3">
        <v>8</v>
      </c>
      <c r="H742" s="55" t="s">
        <v>289</v>
      </c>
      <c r="I742" s="3" t="s">
        <v>279</v>
      </c>
      <c r="J742" s="3" t="s">
        <v>5174</v>
      </c>
      <c r="L742" s="3">
        <v>2160</v>
      </c>
      <c r="M742" s="3">
        <v>19290</v>
      </c>
      <c r="N742" s="3" t="s">
        <v>5340</v>
      </c>
      <c r="R742" s="3">
        <v>10</v>
      </c>
      <c r="S742" s="3" t="s">
        <v>2031</v>
      </c>
      <c r="T742" s="3" t="s">
        <v>5468</v>
      </c>
      <c r="U742" s="3">
        <v>35</v>
      </c>
      <c r="V742" s="3">
        <v>180</v>
      </c>
      <c r="W742" s="3">
        <v>0</v>
      </c>
      <c r="X742" s="3">
        <v>40</v>
      </c>
      <c r="Y742" s="3">
        <v>0</v>
      </c>
      <c r="Z742" s="3">
        <v>0</v>
      </c>
      <c r="AA742" s="3">
        <v>40</v>
      </c>
      <c r="AB742" s="3">
        <v>3778</v>
      </c>
      <c r="AC742" s="192">
        <v>0</v>
      </c>
      <c r="AF742" s="193">
        <v>9.0277777777777769E-3</v>
      </c>
      <c r="AG742" s="193">
        <v>0.58194444444444449</v>
      </c>
      <c r="AH742" s="193">
        <v>0.97499999999999998</v>
      </c>
    </row>
    <row r="743" spans="1:34" x14ac:dyDescent="0.25">
      <c r="A743" s="3" t="s">
        <v>426</v>
      </c>
      <c r="B743" s="3">
        <v>125364</v>
      </c>
      <c r="C743" s="3">
        <v>941707</v>
      </c>
      <c r="D743" s="3" t="s">
        <v>3526</v>
      </c>
      <c r="E743" s="3">
        <v>6</v>
      </c>
      <c r="F743" s="3">
        <v>33</v>
      </c>
      <c r="G743" s="3">
        <v>9</v>
      </c>
      <c r="H743" s="55" t="s">
        <v>289</v>
      </c>
      <c r="I743" s="3" t="s">
        <v>279</v>
      </c>
      <c r="J743" s="3" t="s">
        <v>5174</v>
      </c>
      <c r="L743" s="3">
        <v>2160</v>
      </c>
      <c r="M743" s="3">
        <v>19290</v>
      </c>
      <c r="N743" s="3" t="s">
        <v>5340</v>
      </c>
      <c r="R743" s="3">
        <v>10</v>
      </c>
      <c r="S743" s="3" t="s">
        <v>2031</v>
      </c>
      <c r="T743" s="3" t="s">
        <v>5468</v>
      </c>
      <c r="U743" s="3">
        <v>36</v>
      </c>
      <c r="V743" s="3">
        <v>180</v>
      </c>
      <c r="W743" s="3">
        <v>0</v>
      </c>
      <c r="X743" s="3">
        <v>56</v>
      </c>
      <c r="Y743" s="3">
        <v>0</v>
      </c>
      <c r="Z743" s="3">
        <v>0</v>
      </c>
      <c r="AA743" s="3">
        <v>56</v>
      </c>
      <c r="AB743" s="3">
        <v>3834</v>
      </c>
      <c r="AC743" s="192">
        <v>8.3333333333333332E-3</v>
      </c>
      <c r="AD743" s="3" t="s">
        <v>404</v>
      </c>
      <c r="AF743" s="193">
        <v>1.3194444444444444E-2</v>
      </c>
      <c r="AG743" s="193">
        <v>0.59513888888888888</v>
      </c>
      <c r="AH743" s="193">
        <v>0.99652777777777779</v>
      </c>
    </row>
    <row r="744" spans="1:34" x14ac:dyDescent="0.25">
      <c r="A744" s="3" t="s">
        <v>5469</v>
      </c>
      <c r="B744" s="3">
        <v>146803</v>
      </c>
      <c r="C744" s="3">
        <v>943007</v>
      </c>
      <c r="D744" s="3" t="s">
        <v>5288</v>
      </c>
      <c r="E744" s="3">
        <v>1</v>
      </c>
      <c r="F744" s="3">
        <v>1</v>
      </c>
      <c r="G744" s="3">
        <v>3</v>
      </c>
      <c r="H744" s="55" t="s">
        <v>289</v>
      </c>
      <c r="I744" s="3" t="s">
        <v>5358</v>
      </c>
      <c r="J744" s="3" t="s">
        <v>5096</v>
      </c>
      <c r="L744" s="3">
        <v>2112</v>
      </c>
      <c r="M744" s="3">
        <v>27299</v>
      </c>
      <c r="N744" s="3" t="s">
        <v>5470</v>
      </c>
      <c r="R744" s="3">
        <v>15</v>
      </c>
      <c r="S744" s="3" t="s">
        <v>5471</v>
      </c>
      <c r="T744" s="3" t="s">
        <v>5472</v>
      </c>
      <c r="U744" s="3" t="s">
        <v>298</v>
      </c>
      <c r="V744" s="3">
        <v>568</v>
      </c>
      <c r="W744" s="3">
        <v>0</v>
      </c>
      <c r="X744" s="3">
        <v>56</v>
      </c>
      <c r="Y744" s="3">
        <v>0</v>
      </c>
      <c r="Z744" s="3">
        <v>0</v>
      </c>
      <c r="AA744" s="3">
        <v>56</v>
      </c>
      <c r="AB744" s="3">
        <v>56</v>
      </c>
      <c r="AC744" s="192">
        <v>0</v>
      </c>
      <c r="AF744" s="193">
        <v>4.1666666666666666E-3</v>
      </c>
      <c r="AG744" s="193">
        <v>4.1666666666666666E-3</v>
      </c>
      <c r="AH744" s="193">
        <v>0.28125</v>
      </c>
    </row>
    <row r="745" spans="1:34" x14ac:dyDescent="0.25">
      <c r="A745" s="3" t="s">
        <v>5469</v>
      </c>
      <c r="B745" s="3">
        <v>146803</v>
      </c>
      <c r="C745" s="3">
        <v>943007</v>
      </c>
      <c r="D745" s="3" t="s">
        <v>5288</v>
      </c>
      <c r="E745" s="3">
        <v>1</v>
      </c>
      <c r="F745" s="3">
        <v>2</v>
      </c>
      <c r="G745" s="3">
        <v>4</v>
      </c>
      <c r="H745" s="55" t="s">
        <v>289</v>
      </c>
      <c r="I745" s="3" t="s">
        <v>5358</v>
      </c>
      <c r="J745" s="3" t="s">
        <v>5096</v>
      </c>
      <c r="L745" s="3">
        <v>2112</v>
      </c>
      <c r="M745" s="3">
        <v>27299</v>
      </c>
      <c r="N745" s="3" t="s">
        <v>5470</v>
      </c>
      <c r="R745" s="3">
        <v>15</v>
      </c>
      <c r="S745" s="3" t="s">
        <v>5471</v>
      </c>
      <c r="T745" s="3" t="s">
        <v>5472</v>
      </c>
      <c r="U745" s="3">
        <v>35</v>
      </c>
      <c r="V745" s="3">
        <v>568</v>
      </c>
      <c r="W745" s="3">
        <v>0</v>
      </c>
      <c r="X745" s="3">
        <v>186</v>
      </c>
      <c r="Y745" s="3">
        <v>0</v>
      </c>
      <c r="Z745" s="3">
        <v>0</v>
      </c>
      <c r="AA745" s="3">
        <v>186</v>
      </c>
      <c r="AB745" s="3">
        <v>242</v>
      </c>
      <c r="AC745" s="192">
        <v>0</v>
      </c>
      <c r="AF745" s="193">
        <v>1.3888888888888888E-2</v>
      </c>
      <c r="AG745" s="193">
        <v>1.8055555555555554E-2</v>
      </c>
      <c r="AH745" s="193">
        <v>0.2951388888888889</v>
      </c>
    </row>
    <row r="746" spans="1:34" x14ac:dyDescent="0.25">
      <c r="A746" s="3" t="s">
        <v>5469</v>
      </c>
      <c r="B746" s="3">
        <v>146803</v>
      </c>
      <c r="C746" s="3">
        <v>943007</v>
      </c>
      <c r="D746" s="3" t="s">
        <v>5288</v>
      </c>
      <c r="E746" s="3">
        <v>1</v>
      </c>
      <c r="F746" s="3">
        <v>3</v>
      </c>
      <c r="G746" s="3">
        <v>5</v>
      </c>
      <c r="H746" s="55" t="s">
        <v>289</v>
      </c>
      <c r="I746" s="3" t="s">
        <v>5358</v>
      </c>
      <c r="J746" s="3" t="s">
        <v>5096</v>
      </c>
      <c r="L746" s="3">
        <v>2112</v>
      </c>
      <c r="M746" s="3">
        <v>27299</v>
      </c>
      <c r="N746" s="3" t="s">
        <v>5470</v>
      </c>
      <c r="R746" s="3">
        <v>15</v>
      </c>
      <c r="S746" s="3" t="s">
        <v>5471</v>
      </c>
      <c r="T746" s="3" t="s">
        <v>5472</v>
      </c>
      <c r="U746" s="3">
        <v>36</v>
      </c>
      <c r="V746" s="3">
        <v>568</v>
      </c>
      <c r="W746" s="3">
        <v>0</v>
      </c>
      <c r="X746" s="3">
        <v>438</v>
      </c>
      <c r="Y746" s="3">
        <v>0</v>
      </c>
      <c r="Z746" s="3">
        <v>0</v>
      </c>
      <c r="AA746" s="3">
        <v>438</v>
      </c>
      <c r="AB746" s="3">
        <v>680</v>
      </c>
      <c r="AC746" s="192">
        <v>0</v>
      </c>
      <c r="AF746" s="193">
        <v>3.1944444444444442E-2</v>
      </c>
      <c r="AG746" s="193">
        <v>0.05</v>
      </c>
      <c r="AH746" s="193">
        <v>0.32708333333333334</v>
      </c>
    </row>
    <row r="747" spans="1:34" x14ac:dyDescent="0.25">
      <c r="A747" s="3" t="s">
        <v>5469</v>
      </c>
      <c r="B747" s="3">
        <v>146803</v>
      </c>
      <c r="C747" s="3">
        <v>943007</v>
      </c>
      <c r="D747" s="3" t="s">
        <v>5288</v>
      </c>
      <c r="E747" s="3">
        <v>1</v>
      </c>
      <c r="F747" s="3">
        <v>4</v>
      </c>
      <c r="G747" s="3">
        <v>6</v>
      </c>
      <c r="H747" s="55" t="s">
        <v>289</v>
      </c>
      <c r="I747" s="3" t="s">
        <v>5358</v>
      </c>
      <c r="J747" s="3" t="s">
        <v>5096</v>
      </c>
      <c r="L747" s="3">
        <v>2112</v>
      </c>
      <c r="M747" s="3">
        <v>27299</v>
      </c>
      <c r="N747" s="3" t="s">
        <v>5470</v>
      </c>
      <c r="R747" s="3">
        <v>15</v>
      </c>
      <c r="S747" s="3" t="s">
        <v>5471</v>
      </c>
      <c r="T747" s="3" t="s">
        <v>5472</v>
      </c>
      <c r="U747" s="3">
        <v>37</v>
      </c>
      <c r="V747" s="3">
        <v>568</v>
      </c>
      <c r="W747" s="3">
        <v>0</v>
      </c>
      <c r="X747" s="3">
        <v>480</v>
      </c>
      <c r="Y747" s="3">
        <v>0</v>
      </c>
      <c r="Z747" s="3">
        <v>0</v>
      </c>
      <c r="AA747" s="3">
        <v>480</v>
      </c>
      <c r="AB747" s="3">
        <v>1160</v>
      </c>
      <c r="AC747" s="192">
        <v>8.3333333333333332E-3</v>
      </c>
      <c r="AD747" s="3" t="s">
        <v>292</v>
      </c>
      <c r="AF747" s="193">
        <v>3.5416666666666666E-2</v>
      </c>
      <c r="AG747" s="193">
        <v>8.5416666666666669E-2</v>
      </c>
      <c r="AH747" s="193">
        <v>0.37083333333333335</v>
      </c>
    </row>
    <row r="748" spans="1:34" x14ac:dyDescent="0.25">
      <c r="A748" s="3" t="s">
        <v>5469</v>
      </c>
      <c r="B748" s="3">
        <v>146803</v>
      </c>
      <c r="C748" s="3">
        <v>943007</v>
      </c>
      <c r="D748" s="3" t="s">
        <v>5288</v>
      </c>
      <c r="E748" s="3">
        <v>1</v>
      </c>
      <c r="F748" s="3">
        <v>5</v>
      </c>
      <c r="G748" s="3">
        <v>7</v>
      </c>
      <c r="H748" s="55" t="s">
        <v>289</v>
      </c>
      <c r="I748" s="3" t="s">
        <v>5358</v>
      </c>
      <c r="J748" s="3" t="s">
        <v>5096</v>
      </c>
      <c r="L748" s="3">
        <v>2112</v>
      </c>
      <c r="M748" s="3">
        <v>27299</v>
      </c>
      <c r="N748" s="3" t="s">
        <v>5470</v>
      </c>
      <c r="R748" s="3">
        <v>15</v>
      </c>
      <c r="S748" s="3" t="s">
        <v>5471</v>
      </c>
      <c r="T748" s="3" t="s">
        <v>5472</v>
      </c>
      <c r="U748" s="3">
        <v>38</v>
      </c>
      <c r="V748" s="3">
        <v>568</v>
      </c>
      <c r="W748" s="3">
        <v>0</v>
      </c>
      <c r="X748" s="3">
        <v>464</v>
      </c>
      <c r="Y748" s="3">
        <v>0</v>
      </c>
      <c r="Z748" s="3">
        <v>0</v>
      </c>
      <c r="AA748" s="3">
        <v>464</v>
      </c>
      <c r="AB748" s="3">
        <v>1624</v>
      </c>
      <c r="AC748" s="192">
        <v>0</v>
      </c>
      <c r="AF748" s="193">
        <v>3.4027777777777775E-2</v>
      </c>
      <c r="AG748" s="193">
        <v>0.11944444444444445</v>
      </c>
      <c r="AH748" s="193">
        <v>0.40486111111111112</v>
      </c>
    </row>
    <row r="749" spans="1:34" x14ac:dyDescent="0.25">
      <c r="A749" s="3" t="s">
        <v>5469</v>
      </c>
      <c r="B749" s="3">
        <v>146803</v>
      </c>
      <c r="C749" s="3">
        <v>943007</v>
      </c>
      <c r="D749" s="3" t="s">
        <v>5288</v>
      </c>
      <c r="E749" s="3">
        <v>1</v>
      </c>
      <c r="F749" s="3">
        <v>6</v>
      </c>
      <c r="G749" s="3">
        <v>8</v>
      </c>
      <c r="H749" s="55" t="s">
        <v>289</v>
      </c>
      <c r="I749" s="3" t="s">
        <v>5358</v>
      </c>
      <c r="J749" s="3" t="s">
        <v>5096</v>
      </c>
      <c r="L749" s="3">
        <v>2112</v>
      </c>
      <c r="M749" s="3">
        <v>27299</v>
      </c>
      <c r="N749" s="3" t="s">
        <v>5470</v>
      </c>
      <c r="R749" s="3">
        <v>15</v>
      </c>
      <c r="S749" s="3" t="s">
        <v>5471</v>
      </c>
      <c r="T749" s="3" t="s">
        <v>5472</v>
      </c>
      <c r="U749" s="3" t="s">
        <v>280</v>
      </c>
      <c r="V749" s="3">
        <v>568</v>
      </c>
      <c r="W749" s="3">
        <v>0</v>
      </c>
      <c r="X749" s="3">
        <v>330</v>
      </c>
      <c r="Y749" s="3">
        <v>0</v>
      </c>
      <c r="Z749" s="3">
        <v>0</v>
      </c>
      <c r="AA749" s="3">
        <v>330</v>
      </c>
      <c r="AB749" s="3">
        <v>1954</v>
      </c>
      <c r="AC749" s="192">
        <v>0</v>
      </c>
      <c r="AF749" s="193">
        <v>2.4305555555555556E-2</v>
      </c>
      <c r="AG749" s="193">
        <v>0.14305555555555555</v>
      </c>
      <c r="AH749" s="193">
        <v>0.42916666666666664</v>
      </c>
    </row>
    <row r="750" spans="1:34" x14ac:dyDescent="0.25">
      <c r="A750" s="3" t="s">
        <v>5469</v>
      </c>
      <c r="B750" s="3">
        <v>146804</v>
      </c>
      <c r="C750" s="3">
        <v>943007</v>
      </c>
      <c r="D750" s="3" t="s">
        <v>5288</v>
      </c>
      <c r="E750" s="3">
        <v>1</v>
      </c>
      <c r="F750" s="3">
        <v>7</v>
      </c>
      <c r="G750" s="3">
        <v>3</v>
      </c>
      <c r="H750" s="55" t="s">
        <v>289</v>
      </c>
      <c r="I750" s="3" t="s">
        <v>5358</v>
      </c>
      <c r="J750" s="3" t="s">
        <v>5096</v>
      </c>
      <c r="L750" s="3">
        <v>2112</v>
      </c>
      <c r="M750" s="3">
        <v>27299</v>
      </c>
      <c r="N750" s="3" t="s">
        <v>5470</v>
      </c>
      <c r="R750" s="3">
        <v>15</v>
      </c>
      <c r="S750" s="3" t="s">
        <v>5473</v>
      </c>
      <c r="T750" s="3" t="s">
        <v>5466</v>
      </c>
      <c r="U750" s="3" t="s">
        <v>298</v>
      </c>
      <c r="V750" s="3">
        <v>568</v>
      </c>
      <c r="W750" s="3">
        <v>0</v>
      </c>
      <c r="X750" s="3">
        <v>46</v>
      </c>
      <c r="Y750" s="3">
        <v>0</v>
      </c>
      <c r="Z750" s="3">
        <v>0</v>
      </c>
      <c r="AA750" s="3">
        <v>46</v>
      </c>
      <c r="AB750" s="3">
        <v>2000</v>
      </c>
      <c r="AC750" s="192">
        <v>0</v>
      </c>
      <c r="AF750" s="193">
        <v>3.472222222222222E-3</v>
      </c>
      <c r="AG750" s="193">
        <v>0.14652777777777778</v>
      </c>
      <c r="AH750" s="193">
        <v>0.43263888888888891</v>
      </c>
    </row>
    <row r="751" spans="1:34" x14ac:dyDescent="0.25">
      <c r="A751" s="3" t="s">
        <v>5469</v>
      </c>
      <c r="B751" s="3">
        <v>146804</v>
      </c>
      <c r="C751" s="3">
        <v>943007</v>
      </c>
      <c r="D751" s="3" t="s">
        <v>5288</v>
      </c>
      <c r="E751" s="3">
        <v>1</v>
      </c>
      <c r="F751" s="3">
        <v>8</v>
      </c>
      <c r="G751" s="3">
        <v>4</v>
      </c>
      <c r="H751" s="55" t="s">
        <v>289</v>
      </c>
      <c r="I751" s="3" t="s">
        <v>5358</v>
      </c>
      <c r="J751" s="3" t="s">
        <v>5096</v>
      </c>
      <c r="L751" s="3">
        <v>2112</v>
      </c>
      <c r="M751" s="3">
        <v>27299</v>
      </c>
      <c r="N751" s="3" t="s">
        <v>5470</v>
      </c>
      <c r="R751" s="3">
        <v>15</v>
      </c>
      <c r="S751" s="3" t="s">
        <v>5473</v>
      </c>
      <c r="T751" s="3" t="s">
        <v>5466</v>
      </c>
      <c r="U751" s="3">
        <v>35</v>
      </c>
      <c r="V751" s="3">
        <v>568</v>
      </c>
      <c r="W751" s="3">
        <v>0</v>
      </c>
      <c r="X751" s="3">
        <v>134</v>
      </c>
      <c r="Y751" s="3">
        <v>0</v>
      </c>
      <c r="Z751" s="3">
        <v>0</v>
      </c>
      <c r="AA751" s="3">
        <v>134</v>
      </c>
      <c r="AB751" s="3">
        <v>2134</v>
      </c>
      <c r="AC751" s="192">
        <v>0</v>
      </c>
      <c r="AF751" s="193">
        <v>9.7222222222222224E-3</v>
      </c>
      <c r="AG751" s="193">
        <v>0.15625</v>
      </c>
      <c r="AH751" s="193">
        <v>0.44236111111111109</v>
      </c>
    </row>
    <row r="752" spans="1:34" x14ac:dyDescent="0.25">
      <c r="A752" s="3" t="s">
        <v>5469</v>
      </c>
      <c r="B752" s="3">
        <v>146804</v>
      </c>
      <c r="C752" s="3">
        <v>943007</v>
      </c>
      <c r="D752" s="3" t="s">
        <v>5288</v>
      </c>
      <c r="E752" s="3">
        <v>1</v>
      </c>
      <c r="F752" s="3">
        <v>9</v>
      </c>
      <c r="G752" s="3">
        <v>5</v>
      </c>
      <c r="H752" s="55" t="s">
        <v>289</v>
      </c>
      <c r="I752" s="3" t="s">
        <v>5358</v>
      </c>
      <c r="J752" s="3" t="s">
        <v>5096</v>
      </c>
      <c r="L752" s="3">
        <v>2112</v>
      </c>
      <c r="M752" s="3">
        <v>27299</v>
      </c>
      <c r="N752" s="3" t="s">
        <v>5470</v>
      </c>
      <c r="R752" s="3">
        <v>15</v>
      </c>
      <c r="S752" s="3" t="s">
        <v>5473</v>
      </c>
      <c r="T752" s="3" t="s">
        <v>5466</v>
      </c>
      <c r="U752" s="3">
        <v>36</v>
      </c>
      <c r="V752" s="3">
        <v>568</v>
      </c>
      <c r="W752" s="3">
        <v>0</v>
      </c>
      <c r="X752" s="3">
        <v>310</v>
      </c>
      <c r="Y752" s="3">
        <v>0</v>
      </c>
      <c r="Z752" s="3">
        <v>0</v>
      </c>
      <c r="AA752" s="3">
        <v>310</v>
      </c>
      <c r="AB752" s="3">
        <v>2444</v>
      </c>
      <c r="AC752" s="192">
        <v>4.1666666666666664E-2</v>
      </c>
      <c r="AD752" s="3" t="s">
        <v>294</v>
      </c>
      <c r="AE752" s="3" t="s">
        <v>295</v>
      </c>
      <c r="AF752" s="193">
        <v>2.2916666666666665E-2</v>
      </c>
      <c r="AG752" s="193">
        <v>0.17916666666666667</v>
      </c>
      <c r="AH752" s="193">
        <v>0.50694444444444442</v>
      </c>
    </row>
    <row r="753" spans="1:34" x14ac:dyDescent="0.25">
      <c r="A753" s="3" t="s">
        <v>5469</v>
      </c>
      <c r="B753" s="3">
        <v>146804</v>
      </c>
      <c r="C753" s="3">
        <v>943007</v>
      </c>
      <c r="D753" s="3" t="s">
        <v>5288</v>
      </c>
      <c r="E753" s="3">
        <v>1</v>
      </c>
      <c r="F753" s="3">
        <v>10</v>
      </c>
      <c r="G753" s="3">
        <v>6</v>
      </c>
      <c r="H753" s="55" t="s">
        <v>289</v>
      </c>
      <c r="I753" s="3" t="s">
        <v>5358</v>
      </c>
      <c r="J753" s="3" t="s">
        <v>5096</v>
      </c>
      <c r="L753" s="3">
        <v>2112</v>
      </c>
      <c r="M753" s="3">
        <v>27299</v>
      </c>
      <c r="N753" s="3" t="s">
        <v>5470</v>
      </c>
      <c r="R753" s="3">
        <v>15</v>
      </c>
      <c r="S753" s="3" t="s">
        <v>5473</v>
      </c>
      <c r="T753" s="3" t="s">
        <v>5466</v>
      </c>
      <c r="U753" s="3">
        <v>37</v>
      </c>
      <c r="V753" s="3">
        <v>568</v>
      </c>
      <c r="W753" s="3">
        <v>0</v>
      </c>
      <c r="X753" s="3">
        <v>356</v>
      </c>
      <c r="Y753" s="3">
        <v>0</v>
      </c>
      <c r="Z753" s="3">
        <v>0</v>
      </c>
      <c r="AA753" s="3">
        <v>356</v>
      </c>
      <c r="AB753" s="3">
        <v>2800</v>
      </c>
      <c r="AC753" s="192">
        <v>0</v>
      </c>
      <c r="AF753" s="193">
        <v>2.6388888888888889E-2</v>
      </c>
      <c r="AG753" s="193">
        <v>0.20555555555555555</v>
      </c>
      <c r="AH753" s="193">
        <v>0.53333333333333333</v>
      </c>
    </row>
    <row r="754" spans="1:34" x14ac:dyDescent="0.25">
      <c r="A754" s="3" t="s">
        <v>5469</v>
      </c>
      <c r="B754" s="3">
        <v>146804</v>
      </c>
      <c r="C754" s="3">
        <v>943007</v>
      </c>
      <c r="D754" s="3" t="s">
        <v>5288</v>
      </c>
      <c r="E754" s="3">
        <v>1</v>
      </c>
      <c r="F754" s="3">
        <v>11</v>
      </c>
      <c r="G754" s="3">
        <v>7</v>
      </c>
      <c r="H754" s="55" t="s">
        <v>289</v>
      </c>
      <c r="I754" s="3" t="s">
        <v>5358</v>
      </c>
      <c r="J754" s="3" t="s">
        <v>5096</v>
      </c>
      <c r="L754" s="3">
        <v>2112</v>
      </c>
      <c r="M754" s="3">
        <v>27299</v>
      </c>
      <c r="N754" s="3" t="s">
        <v>5470</v>
      </c>
      <c r="R754" s="3">
        <v>15</v>
      </c>
      <c r="S754" s="3" t="s">
        <v>5473</v>
      </c>
      <c r="T754" s="3" t="s">
        <v>5466</v>
      </c>
      <c r="U754" s="3">
        <v>38</v>
      </c>
      <c r="V754" s="3">
        <v>568</v>
      </c>
      <c r="W754" s="3">
        <v>0</v>
      </c>
      <c r="X754" s="3">
        <v>348</v>
      </c>
      <c r="Y754" s="3">
        <v>0</v>
      </c>
      <c r="Z754" s="3">
        <v>0</v>
      </c>
      <c r="AA754" s="3">
        <v>348</v>
      </c>
      <c r="AB754" s="3">
        <v>3148</v>
      </c>
      <c r="AC754" s="192">
        <v>0</v>
      </c>
      <c r="AF754" s="193">
        <v>2.5694444444444443E-2</v>
      </c>
      <c r="AG754" s="193">
        <v>0.23125000000000001</v>
      </c>
      <c r="AH754" s="193">
        <v>0.55902777777777779</v>
      </c>
    </row>
    <row r="755" spans="1:34" x14ac:dyDescent="0.25">
      <c r="A755" s="3" t="s">
        <v>5469</v>
      </c>
      <c r="B755" s="3">
        <v>146804</v>
      </c>
      <c r="C755" s="3">
        <v>943007</v>
      </c>
      <c r="D755" s="3" t="s">
        <v>5288</v>
      </c>
      <c r="E755" s="3">
        <v>1</v>
      </c>
      <c r="F755" s="3">
        <v>12</v>
      </c>
      <c r="G755" s="3">
        <v>8</v>
      </c>
      <c r="H755" s="55" t="s">
        <v>289</v>
      </c>
      <c r="I755" s="3" t="s">
        <v>5358</v>
      </c>
      <c r="J755" s="3" t="s">
        <v>5096</v>
      </c>
      <c r="L755" s="3">
        <v>2112</v>
      </c>
      <c r="M755" s="3">
        <v>27299</v>
      </c>
      <c r="N755" s="3" t="s">
        <v>5470</v>
      </c>
      <c r="R755" s="3">
        <v>15</v>
      </c>
      <c r="S755" s="3" t="s">
        <v>5473</v>
      </c>
      <c r="T755" s="3" t="s">
        <v>5466</v>
      </c>
      <c r="U755" s="3" t="s">
        <v>280</v>
      </c>
      <c r="V755" s="3">
        <v>568</v>
      </c>
      <c r="W755" s="3">
        <v>0</v>
      </c>
      <c r="X755" s="3">
        <v>238</v>
      </c>
      <c r="Y755" s="3">
        <v>0</v>
      </c>
      <c r="Z755" s="3">
        <v>0</v>
      </c>
      <c r="AA755" s="3">
        <v>238</v>
      </c>
      <c r="AB755" s="3">
        <v>3386</v>
      </c>
      <c r="AC755" s="192">
        <v>8.3333333333333332E-3</v>
      </c>
      <c r="AD755" s="3" t="s">
        <v>404</v>
      </c>
      <c r="AF755" s="193">
        <v>1.7361111111111112E-2</v>
      </c>
      <c r="AG755" s="193">
        <v>0.24861111111111112</v>
      </c>
      <c r="AH755" s="193">
        <v>0.58472222222222225</v>
      </c>
    </row>
    <row r="756" spans="1:34" x14ac:dyDescent="0.25">
      <c r="A756" s="3" t="s">
        <v>5469</v>
      </c>
      <c r="B756" s="3">
        <v>146805</v>
      </c>
      <c r="C756" s="3">
        <v>943007</v>
      </c>
      <c r="D756" s="3" t="s">
        <v>5288</v>
      </c>
      <c r="E756" s="3">
        <v>1</v>
      </c>
      <c r="F756" s="3">
        <v>13</v>
      </c>
      <c r="G756" s="3">
        <v>3</v>
      </c>
      <c r="H756" s="55" t="s">
        <v>289</v>
      </c>
      <c r="I756" s="3" t="s">
        <v>5358</v>
      </c>
      <c r="J756" s="3" t="s">
        <v>5096</v>
      </c>
      <c r="L756" s="3">
        <v>2112</v>
      </c>
      <c r="M756" s="3">
        <v>27299</v>
      </c>
      <c r="N756" s="3" t="s">
        <v>5470</v>
      </c>
      <c r="R756" s="3">
        <v>15</v>
      </c>
      <c r="S756" s="3" t="s">
        <v>5474</v>
      </c>
      <c r="T756" s="3" t="s">
        <v>5135</v>
      </c>
      <c r="U756" s="3" t="s">
        <v>298</v>
      </c>
      <c r="V756" s="3">
        <v>568</v>
      </c>
      <c r="W756" s="3">
        <v>0</v>
      </c>
      <c r="X756" s="3">
        <v>60</v>
      </c>
      <c r="Y756" s="3">
        <v>0</v>
      </c>
      <c r="Z756" s="3">
        <v>0</v>
      </c>
      <c r="AA756" s="3">
        <v>60</v>
      </c>
      <c r="AB756" s="3">
        <v>3446</v>
      </c>
      <c r="AC756" s="192">
        <v>0</v>
      </c>
      <c r="AF756" s="193">
        <v>4.1666666666666666E-3</v>
      </c>
      <c r="AG756" s="193">
        <v>0.25277777777777777</v>
      </c>
      <c r="AH756" s="193">
        <v>0.58888888888888891</v>
      </c>
    </row>
    <row r="757" spans="1:34" x14ac:dyDescent="0.25">
      <c r="A757" s="3" t="s">
        <v>5469</v>
      </c>
      <c r="B757" s="3">
        <v>146805</v>
      </c>
      <c r="C757" s="3">
        <v>943007</v>
      </c>
      <c r="D757" s="3" t="s">
        <v>5288</v>
      </c>
      <c r="E757" s="3">
        <v>1</v>
      </c>
      <c r="F757" s="3">
        <v>14</v>
      </c>
      <c r="G757" s="3">
        <v>4</v>
      </c>
      <c r="H757" s="55" t="s">
        <v>289</v>
      </c>
      <c r="I757" s="3" t="s">
        <v>5358</v>
      </c>
      <c r="J757" s="3" t="s">
        <v>5096</v>
      </c>
      <c r="L757" s="3">
        <v>2112</v>
      </c>
      <c r="M757" s="3">
        <v>27299</v>
      </c>
      <c r="N757" s="3" t="s">
        <v>5470</v>
      </c>
      <c r="R757" s="3">
        <v>15</v>
      </c>
      <c r="S757" s="3" t="s">
        <v>5474</v>
      </c>
      <c r="T757" s="3" t="s">
        <v>5135</v>
      </c>
      <c r="U757" s="3">
        <v>35</v>
      </c>
      <c r="V757" s="3">
        <v>568</v>
      </c>
      <c r="W757" s="3">
        <v>0</v>
      </c>
      <c r="X757" s="3">
        <v>136</v>
      </c>
      <c r="Y757" s="3">
        <v>0</v>
      </c>
      <c r="Z757" s="3">
        <v>0</v>
      </c>
      <c r="AA757" s="3">
        <v>136</v>
      </c>
      <c r="AB757" s="3">
        <v>3582</v>
      </c>
      <c r="AC757" s="192">
        <v>0</v>
      </c>
      <c r="AF757" s="193">
        <v>9.7222222222222224E-3</v>
      </c>
      <c r="AG757" s="193">
        <v>0.26250000000000001</v>
      </c>
      <c r="AH757" s="193">
        <v>0.59861111111111109</v>
      </c>
    </row>
    <row r="758" spans="1:34" x14ac:dyDescent="0.25">
      <c r="A758" s="3" t="s">
        <v>5469</v>
      </c>
      <c r="B758" s="3">
        <v>146805</v>
      </c>
      <c r="C758" s="3">
        <v>943007</v>
      </c>
      <c r="D758" s="3" t="s">
        <v>5288</v>
      </c>
      <c r="E758" s="3">
        <v>1</v>
      </c>
      <c r="F758" s="3">
        <v>15</v>
      </c>
      <c r="G758" s="3">
        <v>5</v>
      </c>
      <c r="H758" s="55" t="s">
        <v>289</v>
      </c>
      <c r="I758" s="3" t="s">
        <v>5358</v>
      </c>
      <c r="J758" s="3" t="s">
        <v>5096</v>
      </c>
      <c r="L758" s="3">
        <v>2112</v>
      </c>
      <c r="M758" s="3">
        <v>27299</v>
      </c>
      <c r="N758" s="3" t="s">
        <v>5470</v>
      </c>
      <c r="R758" s="3">
        <v>15</v>
      </c>
      <c r="S758" s="3" t="s">
        <v>5474</v>
      </c>
      <c r="T758" s="3" t="s">
        <v>5135</v>
      </c>
      <c r="U758" s="3">
        <v>36</v>
      </c>
      <c r="V758" s="3">
        <v>568</v>
      </c>
      <c r="W758" s="3">
        <v>0</v>
      </c>
      <c r="X758" s="3">
        <v>358</v>
      </c>
      <c r="Y758" s="3">
        <v>0</v>
      </c>
      <c r="Z758" s="3">
        <v>0</v>
      </c>
      <c r="AA758" s="3">
        <v>358</v>
      </c>
      <c r="AB758" s="3">
        <v>3940</v>
      </c>
      <c r="AC758" s="192">
        <v>0</v>
      </c>
      <c r="AF758" s="193">
        <v>2.6388888888888889E-2</v>
      </c>
      <c r="AG758" s="193">
        <v>0.28888888888888886</v>
      </c>
      <c r="AH758" s="193">
        <v>0.625</v>
      </c>
    </row>
    <row r="759" spans="1:34" x14ac:dyDescent="0.25">
      <c r="A759" s="3" t="s">
        <v>5469</v>
      </c>
      <c r="B759" s="3">
        <v>146805</v>
      </c>
      <c r="C759" s="3">
        <v>943007</v>
      </c>
      <c r="D759" s="3" t="s">
        <v>5288</v>
      </c>
      <c r="E759" s="3">
        <v>1</v>
      </c>
      <c r="F759" s="3">
        <v>16</v>
      </c>
      <c r="G759" s="3">
        <v>6</v>
      </c>
      <c r="H759" s="55" t="s">
        <v>289</v>
      </c>
      <c r="I759" s="3" t="s">
        <v>5358</v>
      </c>
      <c r="J759" s="3" t="s">
        <v>5096</v>
      </c>
      <c r="L759" s="3">
        <v>2112</v>
      </c>
      <c r="M759" s="3">
        <v>27299</v>
      </c>
      <c r="N759" s="3" t="s">
        <v>5470</v>
      </c>
      <c r="R759" s="3">
        <v>15</v>
      </c>
      <c r="S759" s="3" t="s">
        <v>5474</v>
      </c>
      <c r="T759" s="3" t="s">
        <v>5135</v>
      </c>
      <c r="U759" s="3">
        <v>37</v>
      </c>
      <c r="V759" s="3">
        <v>568</v>
      </c>
      <c r="W759" s="3">
        <v>0</v>
      </c>
      <c r="X759" s="3">
        <v>388</v>
      </c>
      <c r="Y759" s="3">
        <v>0</v>
      </c>
      <c r="Z759" s="3">
        <v>0</v>
      </c>
      <c r="AA759" s="3">
        <v>388</v>
      </c>
      <c r="AB759" s="3">
        <v>4328</v>
      </c>
      <c r="AC759" s="192">
        <v>0</v>
      </c>
      <c r="AF759" s="193">
        <v>2.8472222222222222E-2</v>
      </c>
      <c r="AG759" s="193">
        <v>0.31736111111111109</v>
      </c>
      <c r="AH759" s="193">
        <v>0.66041666666666665</v>
      </c>
    </row>
    <row r="760" spans="1:34" x14ac:dyDescent="0.25">
      <c r="A760" s="3" t="s">
        <v>5469</v>
      </c>
      <c r="B760" s="3">
        <v>146805</v>
      </c>
      <c r="C760" s="3">
        <v>943007</v>
      </c>
      <c r="D760" s="3" t="s">
        <v>5288</v>
      </c>
      <c r="E760" s="3">
        <v>1</v>
      </c>
      <c r="F760" s="3">
        <v>17</v>
      </c>
      <c r="G760" s="3">
        <v>7</v>
      </c>
      <c r="H760" s="55" t="s">
        <v>289</v>
      </c>
      <c r="I760" s="3" t="s">
        <v>5358</v>
      </c>
      <c r="J760" s="3" t="s">
        <v>5096</v>
      </c>
      <c r="L760" s="3">
        <v>2112</v>
      </c>
      <c r="M760" s="3">
        <v>27299</v>
      </c>
      <c r="N760" s="3" t="s">
        <v>5470</v>
      </c>
      <c r="R760" s="3">
        <v>15</v>
      </c>
      <c r="S760" s="3" t="s">
        <v>5474</v>
      </c>
      <c r="T760" s="3" t="s">
        <v>5135</v>
      </c>
      <c r="U760" s="3">
        <v>38</v>
      </c>
      <c r="V760" s="3">
        <v>568</v>
      </c>
      <c r="W760" s="3">
        <v>0</v>
      </c>
      <c r="X760" s="3">
        <v>348</v>
      </c>
      <c r="Y760" s="3">
        <v>0</v>
      </c>
      <c r="Z760" s="3">
        <v>0</v>
      </c>
      <c r="AA760" s="3">
        <v>348</v>
      </c>
      <c r="AB760" s="3">
        <v>4676</v>
      </c>
      <c r="AC760" s="192">
        <v>0</v>
      </c>
      <c r="AF760" s="193">
        <v>2.5694444444444443E-2</v>
      </c>
      <c r="AG760" s="193">
        <v>0.34305555555555556</v>
      </c>
      <c r="AH760" s="193">
        <v>0.68611111111111112</v>
      </c>
    </row>
    <row r="761" spans="1:34" x14ac:dyDescent="0.25">
      <c r="A761" s="3" t="s">
        <v>5469</v>
      </c>
      <c r="B761" s="3">
        <v>146805</v>
      </c>
      <c r="C761" s="3">
        <v>943007</v>
      </c>
      <c r="D761" s="3" t="s">
        <v>5288</v>
      </c>
      <c r="E761" s="3">
        <v>1</v>
      </c>
      <c r="F761" s="3">
        <v>18</v>
      </c>
      <c r="G761" s="3">
        <v>8</v>
      </c>
      <c r="H761" s="55" t="s">
        <v>289</v>
      </c>
      <c r="I761" s="3" t="s">
        <v>5358</v>
      </c>
      <c r="J761" s="3" t="s">
        <v>5096</v>
      </c>
      <c r="L761" s="3">
        <v>2112</v>
      </c>
      <c r="M761" s="3">
        <v>27299</v>
      </c>
      <c r="N761" s="3" t="s">
        <v>5470</v>
      </c>
      <c r="R761" s="3">
        <v>15</v>
      </c>
      <c r="S761" s="3" t="s">
        <v>5474</v>
      </c>
      <c r="T761" s="3" t="s">
        <v>5135</v>
      </c>
      <c r="U761" s="3" t="s">
        <v>280</v>
      </c>
      <c r="V761" s="3">
        <v>568</v>
      </c>
      <c r="W761" s="3">
        <v>0</v>
      </c>
      <c r="X761" s="3">
        <v>226</v>
      </c>
      <c r="Y761" s="3">
        <v>0</v>
      </c>
      <c r="Z761" s="3">
        <v>0</v>
      </c>
      <c r="AA761" s="3">
        <v>226</v>
      </c>
      <c r="AB761" s="3">
        <v>4902</v>
      </c>
      <c r="AC761" s="192">
        <v>0</v>
      </c>
      <c r="AF761" s="193">
        <v>1.6666666666666666E-2</v>
      </c>
      <c r="AG761" s="193">
        <v>0.35972222222222222</v>
      </c>
      <c r="AH761" s="193">
        <v>0.70277777777777772</v>
      </c>
    </row>
    <row r="762" spans="1:34" x14ac:dyDescent="0.25">
      <c r="A762" s="3" t="s">
        <v>5469</v>
      </c>
      <c r="B762" s="3">
        <v>146806</v>
      </c>
      <c r="C762" s="3">
        <v>943007</v>
      </c>
      <c r="D762" s="3" t="s">
        <v>5288</v>
      </c>
      <c r="E762" s="3">
        <v>1</v>
      </c>
      <c r="F762" s="3">
        <v>19</v>
      </c>
      <c r="G762" s="3">
        <v>3</v>
      </c>
      <c r="H762" s="55" t="s">
        <v>289</v>
      </c>
      <c r="I762" s="3" t="s">
        <v>5358</v>
      </c>
      <c r="J762" s="3" t="s">
        <v>5096</v>
      </c>
      <c r="L762" s="3">
        <v>2112</v>
      </c>
      <c r="M762" s="3">
        <v>27299</v>
      </c>
      <c r="N762" s="3" t="s">
        <v>5470</v>
      </c>
      <c r="R762" s="3">
        <v>15</v>
      </c>
      <c r="S762" s="3" t="s">
        <v>5475</v>
      </c>
      <c r="T762" s="3" t="s">
        <v>5476</v>
      </c>
      <c r="U762" s="3" t="s">
        <v>298</v>
      </c>
      <c r="V762" s="3">
        <v>568</v>
      </c>
      <c r="W762" s="3">
        <v>0</v>
      </c>
      <c r="X762" s="3">
        <v>52</v>
      </c>
      <c r="Y762" s="3">
        <v>0</v>
      </c>
      <c r="Z762" s="3">
        <v>0</v>
      </c>
      <c r="AA762" s="3">
        <v>52</v>
      </c>
      <c r="AB762" s="3">
        <v>4954</v>
      </c>
      <c r="AC762" s="192">
        <v>0</v>
      </c>
      <c r="AF762" s="193">
        <v>3.472222222222222E-3</v>
      </c>
      <c r="AG762" s="193">
        <v>0.36319444444444443</v>
      </c>
      <c r="AH762" s="193">
        <v>0.70625000000000004</v>
      </c>
    </row>
    <row r="763" spans="1:34" x14ac:dyDescent="0.25">
      <c r="A763" s="3" t="s">
        <v>5469</v>
      </c>
      <c r="B763" s="3">
        <v>146806</v>
      </c>
      <c r="C763" s="3">
        <v>943007</v>
      </c>
      <c r="D763" s="3" t="s">
        <v>5288</v>
      </c>
      <c r="E763" s="3">
        <v>1</v>
      </c>
      <c r="F763" s="3">
        <v>20</v>
      </c>
      <c r="G763" s="3">
        <v>4</v>
      </c>
      <c r="H763" s="55" t="s">
        <v>289</v>
      </c>
      <c r="I763" s="3" t="s">
        <v>5358</v>
      </c>
      <c r="J763" s="3" t="s">
        <v>5096</v>
      </c>
      <c r="L763" s="3">
        <v>2112</v>
      </c>
      <c r="M763" s="3">
        <v>27299</v>
      </c>
      <c r="N763" s="3" t="s">
        <v>5470</v>
      </c>
      <c r="R763" s="3">
        <v>15</v>
      </c>
      <c r="S763" s="3" t="s">
        <v>5475</v>
      </c>
      <c r="T763" s="3" t="s">
        <v>5476</v>
      </c>
      <c r="U763" s="3">
        <v>35</v>
      </c>
      <c r="V763" s="3">
        <v>568</v>
      </c>
      <c r="W763" s="3">
        <v>0</v>
      </c>
      <c r="X763" s="3">
        <v>104</v>
      </c>
      <c r="Y763" s="3">
        <v>0</v>
      </c>
      <c r="Z763" s="3">
        <v>0</v>
      </c>
      <c r="AA763" s="3">
        <v>104</v>
      </c>
      <c r="AB763" s="3">
        <v>5058</v>
      </c>
      <c r="AC763" s="192">
        <v>0</v>
      </c>
      <c r="AF763" s="193">
        <v>7.6388888888888886E-3</v>
      </c>
      <c r="AG763" s="193">
        <v>0.37083333333333335</v>
      </c>
      <c r="AH763" s="193">
        <v>0.71388888888888891</v>
      </c>
    </row>
    <row r="764" spans="1:34" x14ac:dyDescent="0.25">
      <c r="A764" s="3" t="s">
        <v>5469</v>
      </c>
      <c r="B764" s="3">
        <v>146806</v>
      </c>
      <c r="C764" s="3">
        <v>943007</v>
      </c>
      <c r="D764" s="3" t="s">
        <v>5288</v>
      </c>
      <c r="E764" s="3">
        <v>1</v>
      </c>
      <c r="F764" s="3">
        <v>21</v>
      </c>
      <c r="G764" s="3">
        <v>5</v>
      </c>
      <c r="H764" s="55" t="s">
        <v>289</v>
      </c>
      <c r="I764" s="3" t="s">
        <v>5358</v>
      </c>
      <c r="J764" s="3" t="s">
        <v>5096</v>
      </c>
      <c r="L764" s="3">
        <v>2112</v>
      </c>
      <c r="M764" s="3">
        <v>27299</v>
      </c>
      <c r="N764" s="3" t="s">
        <v>5470</v>
      </c>
      <c r="R764" s="3">
        <v>15</v>
      </c>
      <c r="S764" s="3" t="s">
        <v>5475</v>
      </c>
      <c r="T764" s="3" t="s">
        <v>5476</v>
      </c>
      <c r="U764" s="3">
        <v>36</v>
      </c>
      <c r="V764" s="3">
        <v>568</v>
      </c>
      <c r="W764" s="3">
        <v>0</v>
      </c>
      <c r="X764" s="3">
        <v>210</v>
      </c>
      <c r="Y764" s="3">
        <v>0</v>
      </c>
      <c r="Z764" s="3">
        <v>0</v>
      </c>
      <c r="AA764" s="3">
        <v>210</v>
      </c>
      <c r="AB764" s="3">
        <v>5268</v>
      </c>
      <c r="AC764" s="192">
        <v>0</v>
      </c>
      <c r="AF764" s="193">
        <v>1.5277777777777777E-2</v>
      </c>
      <c r="AG764" s="193">
        <v>0.38611111111111113</v>
      </c>
      <c r="AH764" s="193">
        <v>0.72916666666666663</v>
      </c>
    </row>
    <row r="765" spans="1:34" x14ac:dyDescent="0.25">
      <c r="A765" s="3" t="s">
        <v>5469</v>
      </c>
      <c r="B765" s="3">
        <v>146806</v>
      </c>
      <c r="C765" s="3">
        <v>943007</v>
      </c>
      <c r="D765" s="3" t="s">
        <v>5288</v>
      </c>
      <c r="E765" s="3">
        <v>1</v>
      </c>
      <c r="F765" s="3">
        <v>22</v>
      </c>
      <c r="G765" s="3">
        <v>6</v>
      </c>
      <c r="H765" s="55" t="s">
        <v>289</v>
      </c>
      <c r="I765" s="3" t="s">
        <v>5358</v>
      </c>
      <c r="J765" s="3" t="s">
        <v>5096</v>
      </c>
      <c r="L765" s="3">
        <v>2112</v>
      </c>
      <c r="M765" s="3">
        <v>27299</v>
      </c>
      <c r="N765" s="3" t="s">
        <v>5470</v>
      </c>
      <c r="R765" s="3">
        <v>15</v>
      </c>
      <c r="S765" s="3" t="s">
        <v>5475</v>
      </c>
      <c r="T765" s="3" t="s">
        <v>5476</v>
      </c>
      <c r="U765" s="3">
        <v>37</v>
      </c>
      <c r="V765" s="3">
        <v>568</v>
      </c>
      <c r="W765" s="3">
        <v>0</v>
      </c>
      <c r="X765" s="3">
        <v>240</v>
      </c>
      <c r="Y765" s="3">
        <v>0</v>
      </c>
      <c r="Z765" s="3">
        <v>0</v>
      </c>
      <c r="AA765" s="3">
        <v>240</v>
      </c>
      <c r="AB765" s="3">
        <v>5508</v>
      </c>
      <c r="AC765" s="192">
        <v>0</v>
      </c>
      <c r="AF765" s="193">
        <v>1.7361111111111112E-2</v>
      </c>
      <c r="AG765" s="193">
        <v>0.40416666666666667</v>
      </c>
      <c r="AH765" s="193">
        <v>0.74652777777777779</v>
      </c>
    </row>
    <row r="766" spans="1:34" x14ac:dyDescent="0.25">
      <c r="A766" s="3" t="s">
        <v>5469</v>
      </c>
      <c r="B766" s="3">
        <v>146806</v>
      </c>
      <c r="C766" s="3">
        <v>943007</v>
      </c>
      <c r="D766" s="3" t="s">
        <v>5288</v>
      </c>
      <c r="E766" s="3">
        <v>1</v>
      </c>
      <c r="F766" s="3">
        <v>23</v>
      </c>
      <c r="G766" s="3">
        <v>7</v>
      </c>
      <c r="H766" s="55" t="s">
        <v>289</v>
      </c>
      <c r="I766" s="3" t="s">
        <v>5358</v>
      </c>
      <c r="J766" s="3" t="s">
        <v>5096</v>
      </c>
      <c r="L766" s="3">
        <v>2112</v>
      </c>
      <c r="M766" s="3">
        <v>27299</v>
      </c>
      <c r="N766" s="3" t="s">
        <v>5470</v>
      </c>
      <c r="R766" s="3">
        <v>15</v>
      </c>
      <c r="S766" s="3" t="s">
        <v>5475</v>
      </c>
      <c r="T766" s="3" t="s">
        <v>5476</v>
      </c>
      <c r="U766" s="3">
        <v>38</v>
      </c>
      <c r="V766" s="3">
        <v>568</v>
      </c>
      <c r="W766" s="3">
        <v>0</v>
      </c>
      <c r="X766" s="3">
        <v>236</v>
      </c>
      <c r="Y766" s="3">
        <v>0</v>
      </c>
      <c r="Z766" s="3">
        <v>0</v>
      </c>
      <c r="AA766" s="3">
        <v>236</v>
      </c>
      <c r="AB766" s="3">
        <v>5744</v>
      </c>
      <c r="AC766" s="192">
        <v>0</v>
      </c>
      <c r="AF766" s="193">
        <v>1.7361111111111112E-2</v>
      </c>
      <c r="AG766" s="193">
        <v>0.42152777777777778</v>
      </c>
      <c r="AH766" s="193">
        <v>0.76388888888888884</v>
      </c>
    </row>
    <row r="767" spans="1:34" x14ac:dyDescent="0.25">
      <c r="A767" s="3" t="s">
        <v>5469</v>
      </c>
      <c r="B767" s="3">
        <v>146806</v>
      </c>
      <c r="C767" s="3">
        <v>943007</v>
      </c>
      <c r="D767" s="3" t="s">
        <v>5288</v>
      </c>
      <c r="E767" s="3">
        <v>1</v>
      </c>
      <c r="F767" s="3">
        <v>24</v>
      </c>
      <c r="G767" s="3">
        <v>8</v>
      </c>
      <c r="H767" s="55" t="s">
        <v>289</v>
      </c>
      <c r="I767" s="3" t="s">
        <v>5358</v>
      </c>
      <c r="J767" s="3" t="s">
        <v>5096</v>
      </c>
      <c r="L767" s="3">
        <v>2112</v>
      </c>
      <c r="M767" s="3">
        <v>27299</v>
      </c>
      <c r="N767" s="3" t="s">
        <v>5470</v>
      </c>
      <c r="R767" s="3">
        <v>15</v>
      </c>
      <c r="S767" s="3" t="s">
        <v>5475</v>
      </c>
      <c r="T767" s="3" t="s">
        <v>5476</v>
      </c>
      <c r="U767" s="3" t="s">
        <v>280</v>
      </c>
      <c r="V767" s="3">
        <v>568</v>
      </c>
      <c r="W767" s="3">
        <v>0</v>
      </c>
      <c r="X767" s="3">
        <v>170</v>
      </c>
      <c r="Y767" s="3">
        <v>0</v>
      </c>
      <c r="Z767" s="3">
        <v>0</v>
      </c>
      <c r="AA767" s="3">
        <v>170</v>
      </c>
      <c r="AB767" s="3">
        <v>5914</v>
      </c>
      <c r="AC767" s="192">
        <v>8.3333333333333332E-3</v>
      </c>
      <c r="AD767" s="3" t="s">
        <v>292</v>
      </c>
      <c r="AF767" s="193">
        <v>1.2500000000000001E-2</v>
      </c>
      <c r="AG767" s="193">
        <v>0.43402777777777779</v>
      </c>
      <c r="AH767" s="193">
        <v>0.78472222222222221</v>
      </c>
    </row>
    <row r="768" spans="1:34" x14ac:dyDescent="0.25">
      <c r="A768" s="3" t="s">
        <v>5469</v>
      </c>
      <c r="B768" s="3">
        <v>146807</v>
      </c>
      <c r="C768" s="3">
        <v>943007</v>
      </c>
      <c r="D768" s="3" t="s">
        <v>5288</v>
      </c>
      <c r="E768" s="3">
        <v>1</v>
      </c>
      <c r="F768" s="3">
        <v>25</v>
      </c>
      <c r="G768" s="3">
        <v>3</v>
      </c>
      <c r="H768" s="55" t="s">
        <v>289</v>
      </c>
      <c r="I768" s="3" t="s">
        <v>5358</v>
      </c>
      <c r="J768" s="3" t="s">
        <v>5096</v>
      </c>
      <c r="L768" s="3">
        <v>2112</v>
      </c>
      <c r="M768" s="3">
        <v>27299</v>
      </c>
      <c r="N768" s="3" t="s">
        <v>5470</v>
      </c>
      <c r="R768" s="3">
        <v>15</v>
      </c>
      <c r="S768" s="3" t="s">
        <v>5477</v>
      </c>
      <c r="T768" s="3" t="s">
        <v>5478</v>
      </c>
      <c r="U768" s="3" t="s">
        <v>298</v>
      </c>
      <c r="V768" s="3">
        <v>568</v>
      </c>
      <c r="W768" s="3">
        <v>0</v>
      </c>
      <c r="X768" s="3">
        <v>52</v>
      </c>
      <c r="Y768" s="3">
        <v>0</v>
      </c>
      <c r="Z768" s="3">
        <v>0</v>
      </c>
      <c r="AA768" s="3">
        <v>52</v>
      </c>
      <c r="AB768" s="3">
        <v>5966</v>
      </c>
      <c r="AC768" s="192">
        <v>0</v>
      </c>
      <c r="AF768" s="193">
        <v>3.472222222222222E-3</v>
      </c>
      <c r="AG768" s="193">
        <v>0.4375</v>
      </c>
      <c r="AH768" s="193">
        <v>0.78819444444444442</v>
      </c>
    </row>
    <row r="769" spans="1:34" x14ac:dyDescent="0.25">
      <c r="A769" s="3" t="s">
        <v>5469</v>
      </c>
      <c r="B769" s="3">
        <v>146807</v>
      </c>
      <c r="C769" s="3">
        <v>943007</v>
      </c>
      <c r="D769" s="3" t="s">
        <v>5288</v>
      </c>
      <c r="E769" s="3">
        <v>1</v>
      </c>
      <c r="F769" s="3">
        <v>26</v>
      </c>
      <c r="G769" s="3">
        <v>4</v>
      </c>
      <c r="H769" s="55" t="s">
        <v>289</v>
      </c>
      <c r="I769" s="3" t="s">
        <v>5358</v>
      </c>
      <c r="J769" s="3" t="s">
        <v>5096</v>
      </c>
      <c r="L769" s="3">
        <v>2112</v>
      </c>
      <c r="M769" s="3">
        <v>27299</v>
      </c>
      <c r="N769" s="3" t="s">
        <v>5470</v>
      </c>
      <c r="R769" s="3">
        <v>15</v>
      </c>
      <c r="S769" s="3" t="s">
        <v>5477</v>
      </c>
      <c r="T769" s="3" t="s">
        <v>5478</v>
      </c>
      <c r="U769" s="3">
        <v>35</v>
      </c>
      <c r="V769" s="3">
        <v>568</v>
      </c>
      <c r="W769" s="3">
        <v>0</v>
      </c>
      <c r="X769" s="3">
        <v>120</v>
      </c>
      <c r="Y769" s="3">
        <v>0</v>
      </c>
      <c r="Z769" s="3">
        <v>0</v>
      </c>
      <c r="AA769" s="3">
        <v>120</v>
      </c>
      <c r="AB769" s="3">
        <v>6086</v>
      </c>
      <c r="AC769" s="192">
        <v>0</v>
      </c>
      <c r="AF769" s="193">
        <v>9.0277777777777769E-3</v>
      </c>
      <c r="AG769" s="193">
        <v>0.4465277777777778</v>
      </c>
      <c r="AH769" s="193">
        <v>0.79722222222222228</v>
      </c>
    </row>
    <row r="770" spans="1:34" x14ac:dyDescent="0.25">
      <c r="A770" s="3" t="s">
        <v>5469</v>
      </c>
      <c r="B770" s="3">
        <v>146807</v>
      </c>
      <c r="C770" s="3">
        <v>943007</v>
      </c>
      <c r="D770" s="3" t="s">
        <v>5288</v>
      </c>
      <c r="E770" s="3">
        <v>1</v>
      </c>
      <c r="F770" s="3">
        <v>27</v>
      </c>
      <c r="G770" s="3">
        <v>5</v>
      </c>
      <c r="H770" s="55" t="s">
        <v>289</v>
      </c>
      <c r="I770" s="3" t="s">
        <v>5358</v>
      </c>
      <c r="J770" s="3" t="s">
        <v>5096</v>
      </c>
      <c r="L770" s="3">
        <v>2112</v>
      </c>
      <c r="M770" s="3">
        <v>27299</v>
      </c>
      <c r="N770" s="3" t="s">
        <v>5470</v>
      </c>
      <c r="R770" s="3">
        <v>15</v>
      </c>
      <c r="S770" s="3" t="s">
        <v>5477</v>
      </c>
      <c r="T770" s="3" t="s">
        <v>5478</v>
      </c>
      <c r="U770" s="3">
        <v>36</v>
      </c>
      <c r="V770" s="3">
        <v>568</v>
      </c>
      <c r="W770" s="3">
        <v>0</v>
      </c>
      <c r="X770" s="3">
        <v>256</v>
      </c>
      <c r="Y770" s="3">
        <v>0</v>
      </c>
      <c r="Z770" s="3">
        <v>0</v>
      </c>
      <c r="AA770" s="3">
        <v>256</v>
      </c>
      <c r="AB770" s="3">
        <v>6342</v>
      </c>
      <c r="AC770" s="192">
        <v>4.1666666666666664E-2</v>
      </c>
      <c r="AD770" s="3" t="s">
        <v>294</v>
      </c>
      <c r="AE770" s="3" t="s">
        <v>295</v>
      </c>
      <c r="AF770" s="193">
        <v>1.8749999999999999E-2</v>
      </c>
      <c r="AG770" s="193">
        <v>0.46527777777777779</v>
      </c>
      <c r="AH770" s="193">
        <v>0.85763888888888884</v>
      </c>
    </row>
    <row r="771" spans="1:34" x14ac:dyDescent="0.25">
      <c r="A771" s="3" t="s">
        <v>5469</v>
      </c>
      <c r="B771" s="3">
        <v>146807</v>
      </c>
      <c r="C771" s="3">
        <v>943007</v>
      </c>
      <c r="D771" s="3" t="s">
        <v>5288</v>
      </c>
      <c r="E771" s="3">
        <v>1</v>
      </c>
      <c r="F771" s="3">
        <v>28</v>
      </c>
      <c r="G771" s="3">
        <v>6</v>
      </c>
      <c r="H771" s="55" t="s">
        <v>289</v>
      </c>
      <c r="I771" s="3" t="s">
        <v>5358</v>
      </c>
      <c r="J771" s="3" t="s">
        <v>5096</v>
      </c>
      <c r="L771" s="3">
        <v>2112</v>
      </c>
      <c r="M771" s="3">
        <v>27299</v>
      </c>
      <c r="N771" s="3" t="s">
        <v>5470</v>
      </c>
      <c r="R771" s="3">
        <v>15</v>
      </c>
      <c r="S771" s="3" t="s">
        <v>5477</v>
      </c>
      <c r="T771" s="3" t="s">
        <v>5478</v>
      </c>
      <c r="U771" s="3">
        <v>37</v>
      </c>
      <c r="V771" s="3">
        <v>568</v>
      </c>
      <c r="W771" s="3">
        <v>0</v>
      </c>
      <c r="X771" s="3">
        <v>274</v>
      </c>
      <c r="Y771" s="3">
        <v>0</v>
      </c>
      <c r="Z771" s="3">
        <v>0</v>
      </c>
      <c r="AA771" s="3">
        <v>274</v>
      </c>
      <c r="AB771" s="3">
        <v>6616</v>
      </c>
      <c r="AC771" s="192">
        <v>0</v>
      </c>
      <c r="AF771" s="193">
        <v>2.013888888888889E-2</v>
      </c>
      <c r="AG771" s="193">
        <v>0.48541666666666666</v>
      </c>
      <c r="AH771" s="193">
        <v>0.87777777777777777</v>
      </c>
    </row>
    <row r="772" spans="1:34" x14ac:dyDescent="0.25">
      <c r="A772" s="3" t="s">
        <v>5469</v>
      </c>
      <c r="B772" s="3">
        <v>146807</v>
      </c>
      <c r="C772" s="3">
        <v>943007</v>
      </c>
      <c r="D772" s="3" t="s">
        <v>5288</v>
      </c>
      <c r="E772" s="3">
        <v>1</v>
      </c>
      <c r="F772" s="3">
        <v>29</v>
      </c>
      <c r="G772" s="3">
        <v>7</v>
      </c>
      <c r="H772" s="55" t="s">
        <v>289</v>
      </c>
      <c r="I772" s="3" t="s">
        <v>5358</v>
      </c>
      <c r="J772" s="3" t="s">
        <v>5096</v>
      </c>
      <c r="L772" s="3">
        <v>2112</v>
      </c>
      <c r="M772" s="3">
        <v>27299</v>
      </c>
      <c r="N772" s="3" t="s">
        <v>5470</v>
      </c>
      <c r="R772" s="3">
        <v>15</v>
      </c>
      <c r="S772" s="3" t="s">
        <v>5477</v>
      </c>
      <c r="T772" s="3" t="s">
        <v>5478</v>
      </c>
      <c r="U772" s="3">
        <v>38</v>
      </c>
      <c r="V772" s="3">
        <v>568</v>
      </c>
      <c r="W772" s="3">
        <v>0</v>
      </c>
      <c r="X772" s="3">
        <v>270</v>
      </c>
      <c r="Y772" s="3">
        <v>0</v>
      </c>
      <c r="Z772" s="3">
        <v>0</v>
      </c>
      <c r="AA772" s="3">
        <v>270</v>
      </c>
      <c r="AB772" s="3">
        <v>6886</v>
      </c>
      <c r="AC772" s="192">
        <v>0</v>
      </c>
      <c r="AF772" s="193">
        <v>2.013888888888889E-2</v>
      </c>
      <c r="AG772" s="193">
        <v>0.50486111111111109</v>
      </c>
      <c r="AH772" s="193">
        <v>0.8979166666666667</v>
      </c>
    </row>
    <row r="773" spans="1:34" x14ac:dyDescent="0.25">
      <c r="A773" s="3" t="s">
        <v>5469</v>
      </c>
      <c r="B773" s="3">
        <v>146807</v>
      </c>
      <c r="C773" s="3">
        <v>943007</v>
      </c>
      <c r="D773" s="3" t="s">
        <v>5288</v>
      </c>
      <c r="E773" s="3">
        <v>1</v>
      </c>
      <c r="F773" s="3">
        <v>30</v>
      </c>
      <c r="G773" s="3">
        <v>8</v>
      </c>
      <c r="H773" s="55" t="s">
        <v>289</v>
      </c>
      <c r="I773" s="3" t="s">
        <v>5358</v>
      </c>
      <c r="J773" s="3" t="s">
        <v>5096</v>
      </c>
      <c r="L773" s="3">
        <v>2112</v>
      </c>
      <c r="M773" s="3">
        <v>27299</v>
      </c>
      <c r="N773" s="3" t="s">
        <v>5470</v>
      </c>
      <c r="R773" s="3">
        <v>15</v>
      </c>
      <c r="S773" s="3" t="s">
        <v>5477</v>
      </c>
      <c r="T773" s="3" t="s">
        <v>5478</v>
      </c>
      <c r="U773" s="3" t="s">
        <v>280</v>
      </c>
      <c r="V773" s="3">
        <v>568</v>
      </c>
      <c r="W773" s="3">
        <v>0</v>
      </c>
      <c r="X773" s="3">
        <v>192</v>
      </c>
      <c r="Y773" s="3">
        <v>0</v>
      </c>
      <c r="Z773" s="3">
        <v>0</v>
      </c>
      <c r="AA773" s="3">
        <v>192</v>
      </c>
      <c r="AB773" s="3">
        <v>7078</v>
      </c>
      <c r="AC773" s="192">
        <v>0</v>
      </c>
      <c r="AF773" s="193">
        <v>1.3888888888888888E-2</v>
      </c>
      <c r="AG773" s="193">
        <v>0.51944444444444449</v>
      </c>
      <c r="AH773" s="193">
        <v>0.91180555555555554</v>
      </c>
    </row>
    <row r="774" spans="1:34" x14ac:dyDescent="0.25">
      <c r="A774" s="3" t="s">
        <v>431</v>
      </c>
      <c r="B774" s="3">
        <v>125522</v>
      </c>
      <c r="C774" s="3">
        <v>941407</v>
      </c>
      <c r="D774" s="3" t="s">
        <v>3526</v>
      </c>
      <c r="E774" s="3">
        <v>5</v>
      </c>
      <c r="F774" s="3">
        <v>1</v>
      </c>
      <c r="G774" s="3">
        <v>8</v>
      </c>
      <c r="H774" s="55" t="s">
        <v>289</v>
      </c>
      <c r="I774" s="3" t="s">
        <v>279</v>
      </c>
      <c r="J774" s="135">
        <v>46029</v>
      </c>
      <c r="K774" s="135">
        <v>46302</v>
      </c>
      <c r="L774" s="3">
        <v>2160</v>
      </c>
      <c r="M774" s="3">
        <v>83802</v>
      </c>
      <c r="N774" s="3" t="s">
        <v>5255</v>
      </c>
      <c r="R774" s="3">
        <v>9</v>
      </c>
      <c r="S774" s="3" t="s">
        <v>5075</v>
      </c>
      <c r="T774" s="3" t="s">
        <v>5204</v>
      </c>
      <c r="U774" s="3" t="s">
        <v>280</v>
      </c>
      <c r="V774" s="3">
        <v>381</v>
      </c>
      <c r="W774" s="3">
        <v>0</v>
      </c>
      <c r="X774" s="3">
        <v>50</v>
      </c>
      <c r="Y774" s="3">
        <v>26</v>
      </c>
      <c r="Z774" s="3">
        <v>0</v>
      </c>
      <c r="AA774" s="3">
        <v>24</v>
      </c>
      <c r="AB774" s="3">
        <v>24</v>
      </c>
      <c r="AC774" s="192">
        <v>0</v>
      </c>
      <c r="AF774" s="193">
        <v>2.7777777777777779E-3</v>
      </c>
      <c r="AG774" s="193">
        <v>2.7777777777777779E-3</v>
      </c>
      <c r="AH774" s="193">
        <v>0.27986111111111112</v>
      </c>
    </row>
    <row r="775" spans="1:34" x14ac:dyDescent="0.25">
      <c r="A775" s="3" t="s">
        <v>431</v>
      </c>
      <c r="B775" s="3">
        <v>125522</v>
      </c>
      <c r="C775" s="3">
        <v>941407</v>
      </c>
      <c r="D775" s="3" t="s">
        <v>3526</v>
      </c>
      <c r="E775" s="3">
        <v>5</v>
      </c>
      <c r="F775" s="3">
        <v>2</v>
      </c>
      <c r="G775" s="3">
        <v>6</v>
      </c>
      <c r="H775" s="55" t="s">
        <v>289</v>
      </c>
      <c r="I775" s="3" t="s">
        <v>279</v>
      </c>
      <c r="J775" s="135">
        <v>46029</v>
      </c>
      <c r="K775" s="135">
        <v>46302</v>
      </c>
      <c r="L775" s="3">
        <v>2160</v>
      </c>
      <c r="M775" s="3">
        <v>83802</v>
      </c>
      <c r="N775" s="3" t="s">
        <v>5255</v>
      </c>
      <c r="R775" s="3">
        <v>9</v>
      </c>
      <c r="S775" s="3" t="s">
        <v>5075</v>
      </c>
      <c r="T775" s="3" t="s">
        <v>5204</v>
      </c>
      <c r="U775" s="3">
        <v>37</v>
      </c>
      <c r="V775" s="3">
        <v>381</v>
      </c>
      <c r="W775" s="3">
        <v>0</v>
      </c>
      <c r="X775" s="3">
        <v>150</v>
      </c>
      <c r="Y775" s="3">
        <v>112</v>
      </c>
      <c r="Z775" s="3">
        <v>0</v>
      </c>
      <c r="AA775" s="3">
        <v>38</v>
      </c>
      <c r="AB775" s="3">
        <v>62</v>
      </c>
      <c r="AC775" s="192">
        <v>0</v>
      </c>
      <c r="AF775" s="193">
        <v>4.1666666666666666E-3</v>
      </c>
      <c r="AG775" s="193">
        <v>6.9444444444444441E-3</v>
      </c>
      <c r="AH775" s="193">
        <v>0.28402777777777777</v>
      </c>
    </row>
    <row r="776" spans="1:34" x14ac:dyDescent="0.25">
      <c r="A776" s="3" t="s">
        <v>431</v>
      </c>
      <c r="B776" s="3">
        <v>125522</v>
      </c>
      <c r="C776" s="3">
        <v>941407</v>
      </c>
      <c r="D776" s="3" t="s">
        <v>3526</v>
      </c>
      <c r="E776" s="3">
        <v>5</v>
      </c>
      <c r="F776" s="3">
        <v>3</v>
      </c>
      <c r="G776" s="3">
        <v>7</v>
      </c>
      <c r="H776" s="55" t="s">
        <v>289</v>
      </c>
      <c r="I776" s="3" t="s">
        <v>279</v>
      </c>
      <c r="J776" s="135">
        <v>46029</v>
      </c>
      <c r="K776" s="135">
        <v>46302</v>
      </c>
      <c r="L776" s="3">
        <v>2160</v>
      </c>
      <c r="M776" s="3">
        <v>83802</v>
      </c>
      <c r="N776" s="3" t="s">
        <v>5255</v>
      </c>
      <c r="R776" s="3">
        <v>9</v>
      </c>
      <c r="S776" s="3" t="s">
        <v>5075</v>
      </c>
      <c r="T776" s="3" t="s">
        <v>5204</v>
      </c>
      <c r="U776" s="3">
        <v>38</v>
      </c>
      <c r="V776" s="3">
        <v>381</v>
      </c>
      <c r="W776" s="3">
        <v>0</v>
      </c>
      <c r="X776" s="3">
        <v>100</v>
      </c>
      <c r="Y776" s="3">
        <v>16</v>
      </c>
      <c r="Z776" s="3">
        <v>0</v>
      </c>
      <c r="AA776" s="3">
        <v>84</v>
      </c>
      <c r="AB776" s="3">
        <v>146</v>
      </c>
      <c r="AC776" s="192">
        <v>0</v>
      </c>
      <c r="AF776" s="193">
        <v>9.0277777777777769E-3</v>
      </c>
      <c r="AG776" s="193">
        <v>1.5972222222222221E-2</v>
      </c>
      <c r="AH776" s="193">
        <v>0.29305555555555557</v>
      </c>
    </row>
    <row r="777" spans="1:34" x14ac:dyDescent="0.25">
      <c r="A777" s="3" t="s">
        <v>431</v>
      </c>
      <c r="B777" s="3">
        <v>125517</v>
      </c>
      <c r="C777" s="3">
        <v>941407</v>
      </c>
      <c r="D777" s="3" t="s">
        <v>3526</v>
      </c>
      <c r="E777" s="3">
        <v>5</v>
      </c>
      <c r="F777" s="3">
        <v>4</v>
      </c>
      <c r="G777" s="3">
        <v>11</v>
      </c>
      <c r="H777" s="55" t="s">
        <v>289</v>
      </c>
      <c r="I777" s="3" t="s">
        <v>279</v>
      </c>
      <c r="J777" s="135">
        <v>46029</v>
      </c>
      <c r="K777" s="3" t="s">
        <v>5291</v>
      </c>
      <c r="L777" s="3">
        <v>2150</v>
      </c>
      <c r="M777" s="3">
        <v>23514</v>
      </c>
      <c r="N777" s="3" t="s">
        <v>5256</v>
      </c>
      <c r="O777" s="3" t="s">
        <v>4754</v>
      </c>
      <c r="R777" s="3">
        <v>11</v>
      </c>
      <c r="S777" s="3" t="s">
        <v>5257</v>
      </c>
      <c r="T777" s="3" t="s">
        <v>5258</v>
      </c>
      <c r="U777" s="3" t="s">
        <v>398</v>
      </c>
      <c r="V777" s="3">
        <v>265</v>
      </c>
      <c r="W777" s="3">
        <v>0</v>
      </c>
      <c r="X777" s="3">
        <v>378</v>
      </c>
      <c r="Y777" s="3">
        <v>314</v>
      </c>
      <c r="Z777" s="3">
        <v>0</v>
      </c>
      <c r="AA777" s="3">
        <v>64</v>
      </c>
      <c r="AB777" s="3">
        <v>210</v>
      </c>
      <c r="AC777" s="192">
        <v>0</v>
      </c>
      <c r="AF777" s="193">
        <v>9.7222222222222224E-3</v>
      </c>
      <c r="AG777" s="193">
        <v>2.5694444444444443E-2</v>
      </c>
      <c r="AH777" s="193">
        <v>0.30277777777777776</v>
      </c>
    </row>
    <row r="778" spans="1:34" x14ac:dyDescent="0.25">
      <c r="A778" s="3" t="s">
        <v>431</v>
      </c>
      <c r="B778" s="3">
        <v>125517</v>
      </c>
      <c r="C778" s="3">
        <v>941407</v>
      </c>
      <c r="D778" s="3" t="s">
        <v>3526</v>
      </c>
      <c r="E778" s="3">
        <v>5</v>
      </c>
      <c r="F778" s="3">
        <v>5</v>
      </c>
      <c r="G778" s="3">
        <v>7</v>
      </c>
      <c r="H778" s="55" t="s">
        <v>289</v>
      </c>
      <c r="I778" s="3" t="s">
        <v>279</v>
      </c>
      <c r="J778" s="135">
        <v>46029</v>
      </c>
      <c r="K778" s="3" t="s">
        <v>5096</v>
      </c>
      <c r="L778" s="3">
        <v>2150</v>
      </c>
      <c r="M778" s="3">
        <v>23514</v>
      </c>
      <c r="N778" s="3" t="s">
        <v>5256</v>
      </c>
      <c r="O778" s="3" t="s">
        <v>4754</v>
      </c>
      <c r="R778" s="3">
        <v>11</v>
      </c>
      <c r="S778" s="3" t="s">
        <v>5257</v>
      </c>
      <c r="T778" s="3" t="s">
        <v>5258</v>
      </c>
      <c r="U778" s="3">
        <v>28</v>
      </c>
      <c r="V778" s="3">
        <v>265</v>
      </c>
      <c r="W778" s="3">
        <v>0</v>
      </c>
      <c r="X778" s="3">
        <v>684</v>
      </c>
      <c r="Y778" s="3">
        <v>636</v>
      </c>
      <c r="Z778" s="3">
        <v>0</v>
      </c>
      <c r="AA778" s="3">
        <v>48</v>
      </c>
      <c r="AB778" s="3">
        <v>258</v>
      </c>
      <c r="AC778" s="192">
        <v>0</v>
      </c>
      <c r="AF778" s="193">
        <v>7.6388888888888886E-3</v>
      </c>
      <c r="AG778" s="193">
        <v>3.3333333333333333E-2</v>
      </c>
      <c r="AH778" s="193">
        <v>0.31041666666666667</v>
      </c>
    </row>
    <row r="779" spans="1:34" x14ac:dyDescent="0.25">
      <c r="A779" s="3" t="s">
        <v>431</v>
      </c>
      <c r="B779" s="3">
        <v>133173</v>
      </c>
      <c r="C779" s="3">
        <v>941707</v>
      </c>
      <c r="D779" s="3" t="s">
        <v>3526</v>
      </c>
      <c r="E779" s="3">
        <v>6</v>
      </c>
      <c r="F779" s="3">
        <v>6</v>
      </c>
      <c r="G779" s="3">
        <v>9</v>
      </c>
      <c r="H779" s="55" t="s">
        <v>289</v>
      </c>
      <c r="I779" s="3" t="s">
        <v>279</v>
      </c>
      <c r="J779" s="135">
        <v>46180</v>
      </c>
      <c r="K779" s="3" t="s">
        <v>5291</v>
      </c>
      <c r="L779" s="3">
        <v>2150</v>
      </c>
      <c r="M779" s="3">
        <v>23464</v>
      </c>
      <c r="N779" s="3" t="s">
        <v>5342</v>
      </c>
      <c r="R779" s="3">
        <v>14</v>
      </c>
      <c r="S779" s="3" t="s">
        <v>2335</v>
      </c>
      <c r="T779" s="3" t="s">
        <v>5343</v>
      </c>
      <c r="U779" s="3">
        <v>30</v>
      </c>
      <c r="V779" s="3">
        <v>206</v>
      </c>
      <c r="W779" s="3">
        <v>0</v>
      </c>
      <c r="X779" s="3">
        <v>548</v>
      </c>
      <c r="Y779" s="3">
        <v>456</v>
      </c>
      <c r="Z779" s="3">
        <v>0</v>
      </c>
      <c r="AA779" s="3">
        <v>92</v>
      </c>
      <c r="AB779" s="3">
        <v>350</v>
      </c>
      <c r="AC779" s="192">
        <v>0</v>
      </c>
      <c r="AF779" s="193">
        <v>1.8749999999999999E-2</v>
      </c>
      <c r="AG779" s="193">
        <v>5.2083333333333336E-2</v>
      </c>
      <c r="AH779" s="193">
        <v>0.32916666666666666</v>
      </c>
    </row>
    <row r="780" spans="1:34" x14ac:dyDescent="0.25">
      <c r="A780" s="3" t="s">
        <v>431</v>
      </c>
      <c r="B780" s="3">
        <v>133173</v>
      </c>
      <c r="C780" s="3">
        <v>941707</v>
      </c>
      <c r="D780" s="3" t="s">
        <v>3526</v>
      </c>
      <c r="E780" s="3">
        <v>6</v>
      </c>
      <c r="F780" s="3">
        <v>7</v>
      </c>
      <c r="G780" s="3">
        <v>4</v>
      </c>
      <c r="H780" s="55" t="s">
        <v>289</v>
      </c>
      <c r="I780" s="3" t="s">
        <v>279</v>
      </c>
      <c r="J780" s="135">
        <v>46180</v>
      </c>
      <c r="L780" s="3">
        <v>2150</v>
      </c>
      <c r="M780" s="3">
        <v>23464</v>
      </c>
      <c r="N780" s="3" t="s">
        <v>5342</v>
      </c>
      <c r="R780" s="3">
        <v>14</v>
      </c>
      <c r="S780" s="3" t="s">
        <v>2335</v>
      </c>
      <c r="T780" s="3" t="s">
        <v>5343</v>
      </c>
      <c r="U780" s="3" t="s">
        <v>290</v>
      </c>
      <c r="V780" s="3">
        <v>206</v>
      </c>
      <c r="W780" s="3">
        <v>0</v>
      </c>
      <c r="X780" s="3">
        <v>110</v>
      </c>
      <c r="Y780" s="3">
        <v>0</v>
      </c>
      <c r="Z780" s="3">
        <v>0</v>
      </c>
      <c r="AA780" s="3">
        <v>110</v>
      </c>
      <c r="AB780" s="3">
        <v>460</v>
      </c>
      <c r="AC780" s="192">
        <v>0</v>
      </c>
      <c r="AF780" s="193">
        <v>2.2222222222222223E-2</v>
      </c>
      <c r="AG780" s="193">
        <v>7.4305555555555555E-2</v>
      </c>
      <c r="AH780" s="193">
        <v>0.35138888888888886</v>
      </c>
    </row>
    <row r="781" spans="1:34" x14ac:dyDescent="0.25">
      <c r="A781" s="3" t="s">
        <v>431</v>
      </c>
      <c r="B781" s="3">
        <v>133173</v>
      </c>
      <c r="C781" s="3">
        <v>941707</v>
      </c>
      <c r="D781" s="3" t="s">
        <v>3526</v>
      </c>
      <c r="E781" s="3">
        <v>6</v>
      </c>
      <c r="F781" s="3">
        <v>8</v>
      </c>
      <c r="G781" s="3">
        <v>5</v>
      </c>
      <c r="H781" s="55" t="s">
        <v>289</v>
      </c>
      <c r="I781" s="3" t="s">
        <v>279</v>
      </c>
      <c r="J781" s="135">
        <v>46180</v>
      </c>
      <c r="L781" s="3">
        <v>2150</v>
      </c>
      <c r="M781" s="3">
        <v>23464</v>
      </c>
      <c r="N781" s="3" t="s">
        <v>5342</v>
      </c>
      <c r="R781" s="3">
        <v>14</v>
      </c>
      <c r="S781" s="3" t="s">
        <v>2335</v>
      </c>
      <c r="T781" s="3" t="s">
        <v>5343</v>
      </c>
      <c r="U781" s="3">
        <v>25</v>
      </c>
      <c r="V781" s="3">
        <v>206</v>
      </c>
      <c r="W781" s="3">
        <v>0</v>
      </c>
      <c r="X781" s="3">
        <v>226</v>
      </c>
      <c r="Y781" s="3">
        <v>0</v>
      </c>
      <c r="Z781" s="3">
        <v>0</v>
      </c>
      <c r="AA781" s="3">
        <v>226</v>
      </c>
      <c r="AB781" s="3">
        <v>686</v>
      </c>
      <c r="AC781" s="192">
        <v>8.3333333333333332E-3</v>
      </c>
      <c r="AD781" s="3" t="s">
        <v>292</v>
      </c>
      <c r="AF781" s="193">
        <v>4.583333333333333E-2</v>
      </c>
      <c r="AG781" s="193">
        <v>0.12013888888888889</v>
      </c>
      <c r="AH781" s="193">
        <v>0.40555555555555556</v>
      </c>
    </row>
    <row r="782" spans="1:34" x14ac:dyDescent="0.25">
      <c r="A782" s="3" t="s">
        <v>431</v>
      </c>
      <c r="B782" s="3">
        <v>133173</v>
      </c>
      <c r="C782" s="3">
        <v>941707</v>
      </c>
      <c r="D782" s="3" t="s">
        <v>3526</v>
      </c>
      <c r="E782" s="3">
        <v>6</v>
      </c>
      <c r="F782" s="3">
        <v>9</v>
      </c>
      <c r="G782" s="3">
        <v>6</v>
      </c>
      <c r="H782" s="55" t="s">
        <v>289</v>
      </c>
      <c r="I782" s="3" t="s">
        <v>279</v>
      </c>
      <c r="J782" s="135">
        <v>46180</v>
      </c>
      <c r="L782" s="3">
        <v>2150</v>
      </c>
      <c r="M782" s="3">
        <v>23464</v>
      </c>
      <c r="N782" s="3" t="s">
        <v>5342</v>
      </c>
      <c r="R782" s="3">
        <v>14</v>
      </c>
      <c r="S782" s="3" t="s">
        <v>2335</v>
      </c>
      <c r="T782" s="3" t="s">
        <v>5343</v>
      </c>
      <c r="U782" s="3" t="s">
        <v>397</v>
      </c>
      <c r="V782" s="3">
        <v>206</v>
      </c>
      <c r="W782" s="3">
        <v>0</v>
      </c>
      <c r="X782" s="3">
        <v>478</v>
      </c>
      <c r="Y782" s="3">
        <v>0</v>
      </c>
      <c r="Z782" s="3">
        <v>0</v>
      </c>
      <c r="AA782" s="3">
        <v>478</v>
      </c>
      <c r="AB782" s="3">
        <v>1164</v>
      </c>
      <c r="AC782" s="192">
        <v>4.1666666666666664E-2</v>
      </c>
      <c r="AD782" s="3" t="s">
        <v>294</v>
      </c>
      <c r="AE782" s="3" t="s">
        <v>295</v>
      </c>
      <c r="AF782" s="193">
        <v>9.6527777777777782E-2</v>
      </c>
      <c r="AG782" s="193">
        <v>0.21666666666666667</v>
      </c>
      <c r="AH782" s="193">
        <v>0.54374999999999996</v>
      </c>
    </row>
    <row r="783" spans="1:34" x14ac:dyDescent="0.25">
      <c r="A783" s="3" t="s">
        <v>431</v>
      </c>
      <c r="B783" s="3">
        <v>133173</v>
      </c>
      <c r="C783" s="3">
        <v>941707</v>
      </c>
      <c r="D783" s="3" t="s">
        <v>3526</v>
      </c>
      <c r="E783" s="3">
        <v>6</v>
      </c>
      <c r="F783" s="3">
        <v>10</v>
      </c>
      <c r="G783" s="3">
        <v>10</v>
      </c>
      <c r="H783" s="55" t="s">
        <v>289</v>
      </c>
      <c r="I783" s="3" t="s">
        <v>279</v>
      </c>
      <c r="J783" s="135">
        <v>46180</v>
      </c>
      <c r="L783" s="3">
        <v>2150</v>
      </c>
      <c r="M783" s="3">
        <v>23464</v>
      </c>
      <c r="N783" s="3" t="s">
        <v>5342</v>
      </c>
      <c r="R783" s="3">
        <v>14</v>
      </c>
      <c r="S783" s="3" t="s">
        <v>2335</v>
      </c>
      <c r="T783" s="3" t="s">
        <v>5343</v>
      </c>
      <c r="U783" s="3">
        <v>31</v>
      </c>
      <c r="V783" s="3">
        <v>206</v>
      </c>
      <c r="W783" s="3">
        <v>0</v>
      </c>
      <c r="X783" s="3">
        <v>574</v>
      </c>
      <c r="Y783" s="3">
        <v>0</v>
      </c>
      <c r="Z783" s="3">
        <v>0</v>
      </c>
      <c r="AA783" s="3">
        <v>574</v>
      </c>
      <c r="AB783" s="3">
        <v>1738</v>
      </c>
      <c r="AC783" s="192">
        <v>8.3333333333333332E-3</v>
      </c>
      <c r="AD783" s="3" t="s">
        <v>404</v>
      </c>
      <c r="AF783" s="193">
        <v>0.11597222222222223</v>
      </c>
      <c r="AG783" s="193">
        <v>0.33263888888888887</v>
      </c>
      <c r="AH783" s="193">
        <v>0.67500000000000004</v>
      </c>
    </row>
    <row r="784" spans="1:34" x14ac:dyDescent="0.25">
      <c r="A784" s="3" t="s">
        <v>431</v>
      </c>
      <c r="B784" s="3">
        <v>133173</v>
      </c>
      <c r="C784" s="3">
        <v>941707</v>
      </c>
      <c r="D784" s="3" t="s">
        <v>3526</v>
      </c>
      <c r="E784" s="3">
        <v>6</v>
      </c>
      <c r="F784" s="3">
        <v>11</v>
      </c>
      <c r="G784" s="3">
        <v>11</v>
      </c>
      <c r="H784" s="55" t="s">
        <v>289</v>
      </c>
      <c r="I784" s="3" t="s">
        <v>279</v>
      </c>
      <c r="J784" s="135">
        <v>46180</v>
      </c>
      <c r="L784" s="3">
        <v>2150</v>
      </c>
      <c r="M784" s="3">
        <v>23464</v>
      </c>
      <c r="N784" s="3" t="s">
        <v>5342</v>
      </c>
      <c r="R784" s="3">
        <v>14</v>
      </c>
      <c r="S784" s="3" t="s">
        <v>2335</v>
      </c>
      <c r="T784" s="3" t="s">
        <v>5343</v>
      </c>
      <c r="U784" s="3" t="s">
        <v>398</v>
      </c>
      <c r="V784" s="3">
        <v>206</v>
      </c>
      <c r="W784" s="3">
        <v>0</v>
      </c>
      <c r="X784" s="3">
        <v>596</v>
      </c>
      <c r="Y784" s="3">
        <v>0</v>
      </c>
      <c r="Z784" s="3">
        <v>0</v>
      </c>
      <c r="AA784" s="3">
        <v>596</v>
      </c>
      <c r="AB784" s="3">
        <v>2334</v>
      </c>
      <c r="AC784" s="192">
        <v>8.3333333333333332E-3</v>
      </c>
      <c r="AD784" s="3" t="s">
        <v>292</v>
      </c>
      <c r="AF784" s="193">
        <v>0.12083333333333333</v>
      </c>
      <c r="AG784" s="193">
        <v>0.45347222222222222</v>
      </c>
      <c r="AH784" s="193">
        <v>0.8041666666666667</v>
      </c>
    </row>
    <row r="785" spans="1:34" x14ac:dyDescent="0.25">
      <c r="A785" s="3" t="s">
        <v>431</v>
      </c>
      <c r="B785" s="3">
        <v>133173</v>
      </c>
      <c r="C785" s="3">
        <v>941707</v>
      </c>
      <c r="D785" s="3" t="s">
        <v>3526</v>
      </c>
      <c r="E785" s="3">
        <v>6</v>
      </c>
      <c r="F785" s="3">
        <v>12</v>
      </c>
      <c r="G785" s="3">
        <v>12</v>
      </c>
      <c r="H785" s="55" t="s">
        <v>289</v>
      </c>
      <c r="I785" s="3" t="s">
        <v>279</v>
      </c>
      <c r="J785" s="135">
        <v>46180</v>
      </c>
      <c r="L785" s="3">
        <v>2150</v>
      </c>
      <c r="M785" s="3">
        <v>23464</v>
      </c>
      <c r="N785" s="3" t="s">
        <v>5342</v>
      </c>
      <c r="R785" s="3">
        <v>14</v>
      </c>
      <c r="S785" s="3" t="s">
        <v>2335</v>
      </c>
      <c r="T785" s="3" t="s">
        <v>5343</v>
      </c>
      <c r="U785" s="3">
        <v>34</v>
      </c>
      <c r="V785" s="3">
        <v>206</v>
      </c>
      <c r="W785" s="3">
        <v>0</v>
      </c>
      <c r="X785" s="3">
        <v>546</v>
      </c>
      <c r="Y785" s="3">
        <v>0</v>
      </c>
      <c r="Z785" s="3">
        <v>0</v>
      </c>
      <c r="AA785" s="3">
        <v>546</v>
      </c>
      <c r="AB785" s="3">
        <v>2880</v>
      </c>
      <c r="AC785" s="192">
        <v>4.1666666666666664E-2</v>
      </c>
      <c r="AD785" s="3" t="s">
        <v>294</v>
      </c>
      <c r="AE785" s="3" t="s">
        <v>295</v>
      </c>
      <c r="AF785" s="193">
        <v>0.11041666666666666</v>
      </c>
      <c r="AG785" s="193">
        <v>0.56388888888888888</v>
      </c>
      <c r="AH785" s="193">
        <v>0.95625000000000004</v>
      </c>
    </row>
    <row r="786" spans="1:34" x14ac:dyDescent="0.25">
      <c r="A786" s="3" t="s">
        <v>431</v>
      </c>
      <c r="B786" s="3">
        <v>133174</v>
      </c>
      <c r="C786" s="3">
        <v>941707</v>
      </c>
      <c r="D786" s="3" t="s">
        <v>3526</v>
      </c>
      <c r="E786" s="3">
        <v>6</v>
      </c>
      <c r="F786" s="3">
        <v>13</v>
      </c>
      <c r="G786" s="3">
        <v>10</v>
      </c>
      <c r="H786" s="55" t="s">
        <v>289</v>
      </c>
      <c r="I786" s="3" t="s">
        <v>279</v>
      </c>
      <c r="J786" s="135">
        <v>46180</v>
      </c>
      <c r="L786" s="3">
        <v>2150</v>
      </c>
      <c r="M786" s="3">
        <v>23464</v>
      </c>
      <c r="N786" s="3" t="s">
        <v>5342</v>
      </c>
      <c r="R786" s="3">
        <v>14</v>
      </c>
      <c r="S786" s="3" t="s">
        <v>2336</v>
      </c>
      <c r="T786" s="3" t="s">
        <v>5479</v>
      </c>
      <c r="U786" s="3">
        <v>34</v>
      </c>
      <c r="V786" s="3">
        <v>206</v>
      </c>
      <c r="W786" s="3">
        <v>0</v>
      </c>
      <c r="X786" s="3">
        <v>122</v>
      </c>
      <c r="Y786" s="3">
        <v>0</v>
      </c>
      <c r="Z786" s="3">
        <v>0</v>
      </c>
      <c r="AA786" s="3">
        <v>122</v>
      </c>
      <c r="AB786" s="3">
        <v>3002</v>
      </c>
      <c r="AC786" s="192">
        <v>8.3333333333333332E-3</v>
      </c>
      <c r="AD786" s="3" t="s">
        <v>404</v>
      </c>
      <c r="AF786" s="193">
        <v>2.5000000000000001E-2</v>
      </c>
      <c r="AG786" s="193">
        <v>0.58888888888888891</v>
      </c>
      <c r="AH786" s="193">
        <v>0.98958333333333337</v>
      </c>
    </row>
    <row r="787" spans="1:34" x14ac:dyDescent="0.25">
      <c r="A787" s="3" t="s">
        <v>5481</v>
      </c>
      <c r="B787" s="3">
        <v>144108</v>
      </c>
      <c r="C787" s="3">
        <v>943007</v>
      </c>
      <c r="D787" s="3" t="s">
        <v>5288</v>
      </c>
      <c r="E787" s="3">
        <v>1</v>
      </c>
      <c r="F787" s="3">
        <v>1</v>
      </c>
      <c r="G787" s="3">
        <v>1</v>
      </c>
      <c r="H787" s="55" t="s">
        <v>289</v>
      </c>
      <c r="I787" s="3" t="s">
        <v>5358</v>
      </c>
      <c r="J787" s="3" t="s">
        <v>5108</v>
      </c>
      <c r="L787" s="3">
        <v>2122</v>
      </c>
      <c r="M787" s="3">
        <v>74043</v>
      </c>
      <c r="N787" s="3" t="s">
        <v>5482</v>
      </c>
      <c r="R787" s="3">
        <v>13</v>
      </c>
      <c r="S787" s="3" t="s">
        <v>5483</v>
      </c>
      <c r="T787" s="3" t="s">
        <v>5484</v>
      </c>
      <c r="U787" s="3">
        <v>35</v>
      </c>
      <c r="V787" s="3">
        <v>230</v>
      </c>
      <c r="W787" s="3">
        <v>0</v>
      </c>
      <c r="X787" s="3">
        <v>190</v>
      </c>
      <c r="Y787" s="3">
        <v>0</v>
      </c>
      <c r="Z787" s="3">
        <v>0</v>
      </c>
      <c r="AA787" s="3">
        <v>190</v>
      </c>
      <c r="AB787" s="3">
        <v>190</v>
      </c>
      <c r="AC787" s="192">
        <v>0</v>
      </c>
      <c r="AF787" s="193">
        <v>3.4722222222222224E-2</v>
      </c>
      <c r="AG787" s="193">
        <v>3.4722222222222224E-2</v>
      </c>
      <c r="AH787" s="193">
        <v>0.31180555555555556</v>
      </c>
    </row>
    <row r="788" spans="1:34" x14ac:dyDescent="0.25">
      <c r="A788" s="3" t="s">
        <v>5481</v>
      </c>
      <c r="B788" s="3">
        <v>144108</v>
      </c>
      <c r="C788" s="3">
        <v>943007</v>
      </c>
      <c r="D788" s="3" t="s">
        <v>5288</v>
      </c>
      <c r="E788" s="3">
        <v>1</v>
      </c>
      <c r="F788" s="3">
        <v>2</v>
      </c>
      <c r="G788" s="3">
        <v>2</v>
      </c>
      <c r="H788" s="55" t="s">
        <v>289</v>
      </c>
      <c r="I788" s="3" t="s">
        <v>5358</v>
      </c>
      <c r="J788" s="3" t="s">
        <v>5108</v>
      </c>
      <c r="L788" s="3">
        <v>2122</v>
      </c>
      <c r="M788" s="3">
        <v>74043</v>
      </c>
      <c r="N788" s="3" t="s">
        <v>5482</v>
      </c>
      <c r="R788" s="3">
        <v>13</v>
      </c>
      <c r="S788" s="3" t="s">
        <v>5483</v>
      </c>
      <c r="T788" s="3" t="s">
        <v>5484</v>
      </c>
      <c r="U788" s="3">
        <v>36</v>
      </c>
      <c r="V788" s="3">
        <v>230</v>
      </c>
      <c r="W788" s="3">
        <v>0</v>
      </c>
      <c r="X788" s="3">
        <v>520</v>
      </c>
      <c r="Y788" s="3">
        <v>0</v>
      </c>
      <c r="Z788" s="3">
        <v>0</v>
      </c>
      <c r="AA788" s="3">
        <v>520</v>
      </c>
      <c r="AB788" s="3">
        <v>710</v>
      </c>
      <c r="AC788" s="192">
        <v>8.3333333333333332E-3</v>
      </c>
      <c r="AD788" s="3" t="s">
        <v>292</v>
      </c>
      <c r="AF788" s="193">
        <v>9.4444444444444442E-2</v>
      </c>
      <c r="AG788" s="193">
        <v>0.12847222222222221</v>
      </c>
      <c r="AH788" s="193">
        <v>0.41458333333333336</v>
      </c>
    </row>
    <row r="789" spans="1:34" x14ac:dyDescent="0.25">
      <c r="A789" s="3" t="s">
        <v>5481</v>
      </c>
      <c r="B789" s="3">
        <v>144108</v>
      </c>
      <c r="C789" s="3">
        <v>943007</v>
      </c>
      <c r="D789" s="3" t="s">
        <v>5288</v>
      </c>
      <c r="E789" s="3">
        <v>1</v>
      </c>
      <c r="F789" s="3">
        <v>3</v>
      </c>
      <c r="G789" s="3">
        <v>3</v>
      </c>
      <c r="H789" s="55" t="s">
        <v>289</v>
      </c>
      <c r="I789" s="3" t="s">
        <v>5358</v>
      </c>
      <c r="J789" s="3" t="s">
        <v>5108</v>
      </c>
      <c r="L789" s="3">
        <v>2122</v>
      </c>
      <c r="M789" s="3">
        <v>74043</v>
      </c>
      <c r="N789" s="3" t="s">
        <v>5482</v>
      </c>
      <c r="R789" s="3">
        <v>13</v>
      </c>
      <c r="S789" s="3" t="s">
        <v>5483</v>
      </c>
      <c r="T789" s="3" t="s">
        <v>5484</v>
      </c>
      <c r="U789" s="3">
        <v>37</v>
      </c>
      <c r="V789" s="3">
        <v>230</v>
      </c>
      <c r="W789" s="3">
        <v>0</v>
      </c>
      <c r="X789" s="3">
        <v>670</v>
      </c>
      <c r="Y789" s="3">
        <v>0</v>
      </c>
      <c r="Z789" s="3">
        <v>0</v>
      </c>
      <c r="AA789" s="3">
        <v>670</v>
      </c>
      <c r="AB789" s="3">
        <v>1380</v>
      </c>
      <c r="AC789" s="192">
        <v>0.05</v>
      </c>
      <c r="AD789" s="3" t="s">
        <v>294</v>
      </c>
      <c r="AE789" s="3" t="s">
        <v>5292</v>
      </c>
      <c r="AF789" s="193">
        <v>0.12152777777777778</v>
      </c>
      <c r="AG789" s="193">
        <v>0.25</v>
      </c>
      <c r="AH789" s="193">
        <v>0.58611111111111114</v>
      </c>
    </row>
    <row r="790" spans="1:34" x14ac:dyDescent="0.25">
      <c r="A790" s="3" t="s">
        <v>5481</v>
      </c>
      <c r="B790" s="3">
        <v>144108</v>
      </c>
      <c r="C790" s="3">
        <v>943007</v>
      </c>
      <c r="D790" s="3" t="s">
        <v>5288</v>
      </c>
      <c r="E790" s="3">
        <v>1</v>
      </c>
      <c r="F790" s="3">
        <v>4</v>
      </c>
      <c r="G790" s="3">
        <v>4</v>
      </c>
      <c r="H790" s="55" t="s">
        <v>289</v>
      </c>
      <c r="I790" s="3" t="s">
        <v>5358</v>
      </c>
      <c r="J790" s="3" t="s">
        <v>5108</v>
      </c>
      <c r="L790" s="3">
        <v>2122</v>
      </c>
      <c r="M790" s="3">
        <v>74043</v>
      </c>
      <c r="N790" s="3" t="s">
        <v>5482</v>
      </c>
      <c r="R790" s="3">
        <v>13</v>
      </c>
      <c r="S790" s="3" t="s">
        <v>5483</v>
      </c>
      <c r="T790" s="3" t="s">
        <v>5484</v>
      </c>
      <c r="U790" s="3">
        <v>38</v>
      </c>
      <c r="V790" s="3">
        <v>230</v>
      </c>
      <c r="W790" s="3">
        <v>0</v>
      </c>
      <c r="X790" s="3">
        <v>820</v>
      </c>
      <c r="Y790" s="3">
        <v>0</v>
      </c>
      <c r="Z790" s="3">
        <v>0</v>
      </c>
      <c r="AA790" s="3">
        <v>820</v>
      </c>
      <c r="AB790" s="3">
        <v>2200</v>
      </c>
      <c r="AC790" s="192">
        <v>0</v>
      </c>
      <c r="AF790" s="193">
        <v>0.14861111111111111</v>
      </c>
      <c r="AG790" s="193">
        <v>0.39861111111111114</v>
      </c>
      <c r="AH790" s="193">
        <v>0.7416666666666667</v>
      </c>
    </row>
    <row r="791" spans="1:34" x14ac:dyDescent="0.25">
      <c r="A791" s="3" t="s">
        <v>5481</v>
      </c>
      <c r="B791" s="3">
        <v>144108</v>
      </c>
      <c r="C791" s="3">
        <v>943007</v>
      </c>
      <c r="D791" s="3" t="s">
        <v>5288</v>
      </c>
      <c r="E791" s="3">
        <v>1</v>
      </c>
      <c r="F791" s="3">
        <v>5</v>
      </c>
      <c r="G791" s="3">
        <v>5</v>
      </c>
      <c r="H791" s="55" t="s">
        <v>289</v>
      </c>
      <c r="I791" s="3" t="s">
        <v>5358</v>
      </c>
      <c r="J791" s="3" t="s">
        <v>5108</v>
      </c>
      <c r="L791" s="3">
        <v>2122</v>
      </c>
      <c r="M791" s="3">
        <v>74043</v>
      </c>
      <c r="N791" s="3" t="s">
        <v>5482</v>
      </c>
      <c r="R791" s="3">
        <v>13</v>
      </c>
      <c r="S791" s="3" t="s">
        <v>5483</v>
      </c>
      <c r="T791" s="3" t="s">
        <v>5484</v>
      </c>
      <c r="U791" s="3" t="s">
        <v>280</v>
      </c>
      <c r="V791" s="3">
        <v>230</v>
      </c>
      <c r="W791" s="3">
        <v>0</v>
      </c>
      <c r="X791" s="3">
        <v>610</v>
      </c>
      <c r="Y791" s="3">
        <v>0</v>
      </c>
      <c r="Z791" s="3">
        <v>0</v>
      </c>
      <c r="AA791" s="3">
        <v>610</v>
      </c>
      <c r="AB791" s="3">
        <v>2810</v>
      </c>
      <c r="AC791" s="192">
        <v>0.05</v>
      </c>
      <c r="AD791" s="3" t="s">
        <v>285</v>
      </c>
      <c r="AE791" s="3" t="s">
        <v>286</v>
      </c>
      <c r="AF791" s="193">
        <v>0.11041666666666666</v>
      </c>
      <c r="AG791" s="193">
        <v>0.50902777777777775</v>
      </c>
      <c r="AH791" s="193">
        <v>0.90208333333333335</v>
      </c>
    </row>
    <row r="792" spans="1:34" x14ac:dyDescent="0.25">
      <c r="A792" s="3" t="s">
        <v>5481</v>
      </c>
      <c r="B792" s="3">
        <v>144108</v>
      </c>
      <c r="C792" s="3">
        <v>943007</v>
      </c>
      <c r="D792" s="3" t="s">
        <v>5288</v>
      </c>
      <c r="E792" s="3">
        <v>1</v>
      </c>
      <c r="F792" s="3">
        <v>6</v>
      </c>
      <c r="G792" s="3">
        <v>6</v>
      </c>
      <c r="H792" s="55" t="s">
        <v>289</v>
      </c>
      <c r="I792" s="3" t="s">
        <v>5358</v>
      </c>
      <c r="J792" s="3" t="s">
        <v>5108</v>
      </c>
      <c r="L792" s="3">
        <v>2122</v>
      </c>
      <c r="M792" s="3">
        <v>74043</v>
      </c>
      <c r="N792" s="3" t="s">
        <v>5482</v>
      </c>
      <c r="R792" s="3">
        <v>13</v>
      </c>
      <c r="S792" s="3" t="s">
        <v>5483</v>
      </c>
      <c r="T792" s="3" t="s">
        <v>5484</v>
      </c>
      <c r="U792" s="3">
        <v>41</v>
      </c>
      <c r="V792" s="3">
        <v>230</v>
      </c>
      <c r="W792" s="3">
        <v>0</v>
      </c>
      <c r="X792" s="3">
        <v>250</v>
      </c>
      <c r="Y792" s="3">
        <v>0</v>
      </c>
      <c r="Z792" s="3">
        <v>0</v>
      </c>
      <c r="AA792" s="3">
        <v>250</v>
      </c>
      <c r="AB792" s="3">
        <v>3060</v>
      </c>
      <c r="AC792" s="192">
        <v>0</v>
      </c>
      <c r="AF792" s="193">
        <v>4.5138888888888888E-2</v>
      </c>
      <c r="AG792" s="193">
        <v>0.5541666666666667</v>
      </c>
      <c r="AH792" s="193">
        <v>0.94722222222222219</v>
      </c>
    </row>
    <row r="793" spans="1:34" x14ac:dyDescent="0.25">
      <c r="A793" s="3" t="s">
        <v>435</v>
      </c>
      <c r="B793" s="3">
        <v>128782</v>
      </c>
      <c r="C793" s="3">
        <v>941407</v>
      </c>
      <c r="D793" s="3" t="s">
        <v>3526</v>
      </c>
      <c r="E793" s="3">
        <v>5</v>
      </c>
      <c r="F793" s="3">
        <v>1</v>
      </c>
      <c r="G793" s="3">
        <v>7</v>
      </c>
      <c r="H793" s="55" t="s">
        <v>289</v>
      </c>
      <c r="I793" s="3" t="s">
        <v>279</v>
      </c>
      <c r="J793" s="135">
        <v>46060</v>
      </c>
      <c r="K793" s="135">
        <v>46302</v>
      </c>
      <c r="L793" s="3">
        <v>2101</v>
      </c>
      <c r="M793" s="3">
        <v>27625</v>
      </c>
      <c r="N793" s="3" t="s">
        <v>5259</v>
      </c>
      <c r="R793" s="3">
        <v>16</v>
      </c>
      <c r="S793" s="3" t="s">
        <v>5260</v>
      </c>
      <c r="T793" s="3" t="s">
        <v>5162</v>
      </c>
      <c r="U793" s="3" t="s">
        <v>290</v>
      </c>
      <c r="V793" s="3">
        <v>280</v>
      </c>
      <c r="W793" s="3">
        <v>0</v>
      </c>
      <c r="X793" s="3">
        <v>480</v>
      </c>
      <c r="Y793" s="3">
        <v>390</v>
      </c>
      <c r="Z793" s="3">
        <v>0</v>
      </c>
      <c r="AA793" s="3">
        <v>90</v>
      </c>
      <c r="AB793" s="3">
        <v>90</v>
      </c>
      <c r="AC793" s="192">
        <v>0</v>
      </c>
      <c r="AF793" s="193">
        <v>1.3194444444444444E-2</v>
      </c>
      <c r="AG793" s="193">
        <v>1.3194444444444444E-2</v>
      </c>
      <c r="AH793" s="193">
        <v>0.2902777777777778</v>
      </c>
    </row>
    <row r="794" spans="1:34" x14ac:dyDescent="0.25">
      <c r="A794" s="3" t="s">
        <v>435</v>
      </c>
      <c r="B794" s="3">
        <v>132940</v>
      </c>
      <c r="C794" s="3">
        <v>941707</v>
      </c>
      <c r="D794" s="3" t="s">
        <v>3526</v>
      </c>
      <c r="E794" s="3">
        <v>6</v>
      </c>
      <c r="F794" s="3">
        <v>2</v>
      </c>
      <c r="G794" s="3">
        <v>3</v>
      </c>
      <c r="H794" s="55" t="s">
        <v>289</v>
      </c>
      <c r="I794" s="3" t="s">
        <v>279</v>
      </c>
      <c r="J794" s="135">
        <v>46210</v>
      </c>
      <c r="L794" s="3">
        <v>2101</v>
      </c>
      <c r="M794" s="3">
        <v>12676</v>
      </c>
      <c r="N794" s="3" t="s">
        <v>5088</v>
      </c>
      <c r="R794" s="3">
        <v>14</v>
      </c>
      <c r="S794" s="3" t="s">
        <v>5261</v>
      </c>
      <c r="T794" s="3" t="s">
        <v>5101</v>
      </c>
      <c r="U794" s="3" t="s">
        <v>354</v>
      </c>
      <c r="V794" s="3">
        <v>338</v>
      </c>
      <c r="W794" s="3">
        <v>0</v>
      </c>
      <c r="X794" s="3">
        <v>34</v>
      </c>
      <c r="Y794" s="3">
        <v>0</v>
      </c>
      <c r="Z794" s="3">
        <v>0</v>
      </c>
      <c r="AA794" s="3">
        <v>34</v>
      </c>
      <c r="AB794" s="3">
        <v>124</v>
      </c>
      <c r="AC794" s="192">
        <v>0</v>
      </c>
      <c r="AF794" s="193">
        <v>4.1666666666666666E-3</v>
      </c>
      <c r="AG794" s="193">
        <v>1.7361111111111112E-2</v>
      </c>
      <c r="AH794" s="193">
        <v>0.29444444444444445</v>
      </c>
    </row>
    <row r="795" spans="1:34" x14ac:dyDescent="0.25">
      <c r="A795" s="3" t="s">
        <v>435</v>
      </c>
      <c r="B795" s="3">
        <v>132651</v>
      </c>
      <c r="C795" s="3">
        <v>941707</v>
      </c>
      <c r="D795" s="3" t="s">
        <v>3526</v>
      </c>
      <c r="E795" s="3">
        <v>6</v>
      </c>
      <c r="F795" s="3">
        <v>3</v>
      </c>
      <c r="G795" s="3">
        <v>4</v>
      </c>
      <c r="H795" s="55" t="s">
        <v>289</v>
      </c>
      <c r="I795" s="3" t="s">
        <v>279</v>
      </c>
      <c r="J795" s="135">
        <v>46210</v>
      </c>
      <c r="K795" s="3" t="s">
        <v>5096</v>
      </c>
      <c r="L795" s="3">
        <v>2101</v>
      </c>
      <c r="M795" s="3">
        <v>12256</v>
      </c>
      <c r="N795" s="3" t="s">
        <v>5262</v>
      </c>
      <c r="R795" s="3">
        <v>14</v>
      </c>
      <c r="S795" s="3" t="s">
        <v>3580</v>
      </c>
      <c r="T795" s="3" t="s">
        <v>5087</v>
      </c>
      <c r="U795" s="3" t="s">
        <v>355</v>
      </c>
      <c r="V795" s="3">
        <v>337</v>
      </c>
      <c r="W795" s="3">
        <v>0</v>
      </c>
      <c r="X795" s="3">
        <v>330</v>
      </c>
      <c r="Y795" s="3">
        <v>294</v>
      </c>
      <c r="Z795" s="3">
        <v>0</v>
      </c>
      <c r="AA795" s="3">
        <v>36</v>
      </c>
      <c r="AB795" s="3">
        <v>160</v>
      </c>
      <c r="AC795" s="192">
        <v>0</v>
      </c>
      <c r="AF795" s="193">
        <v>4.1666666666666666E-3</v>
      </c>
      <c r="AG795" s="193">
        <v>2.2222222222222223E-2</v>
      </c>
      <c r="AH795" s="193">
        <v>0.2986111111111111</v>
      </c>
    </row>
    <row r="796" spans="1:34" x14ac:dyDescent="0.25">
      <c r="A796" s="3" t="s">
        <v>435</v>
      </c>
      <c r="B796" s="3">
        <v>132651</v>
      </c>
      <c r="C796" s="3">
        <v>941707</v>
      </c>
      <c r="D796" s="3" t="s">
        <v>3526</v>
      </c>
      <c r="E796" s="3">
        <v>6</v>
      </c>
      <c r="F796" s="3">
        <v>4</v>
      </c>
      <c r="G796" s="3">
        <v>6</v>
      </c>
      <c r="H796" s="55" t="s">
        <v>289</v>
      </c>
      <c r="I796" s="3" t="s">
        <v>279</v>
      </c>
      <c r="J796" s="135">
        <v>46210</v>
      </c>
      <c r="K796" s="3" t="s">
        <v>5096</v>
      </c>
      <c r="L796" s="3">
        <v>2101</v>
      </c>
      <c r="M796" s="3">
        <v>12256</v>
      </c>
      <c r="N796" s="3" t="s">
        <v>5262</v>
      </c>
      <c r="R796" s="3">
        <v>14</v>
      </c>
      <c r="S796" s="3" t="s">
        <v>3580</v>
      </c>
      <c r="T796" s="3" t="s">
        <v>5087</v>
      </c>
      <c r="U796" s="3" t="s">
        <v>290</v>
      </c>
      <c r="V796" s="3">
        <v>337</v>
      </c>
      <c r="W796" s="3">
        <v>0</v>
      </c>
      <c r="X796" s="3">
        <v>306</v>
      </c>
      <c r="Y796" s="3">
        <v>288</v>
      </c>
      <c r="Z796" s="3">
        <v>0</v>
      </c>
      <c r="AA796" s="3">
        <v>18</v>
      </c>
      <c r="AB796" s="3">
        <v>178</v>
      </c>
      <c r="AC796" s="192">
        <v>0</v>
      </c>
      <c r="AF796" s="193">
        <v>2.0833333333333333E-3</v>
      </c>
      <c r="AG796" s="193">
        <v>2.4305555555555556E-2</v>
      </c>
      <c r="AH796" s="193">
        <v>0.30069444444444443</v>
      </c>
    </row>
    <row r="797" spans="1:34" x14ac:dyDescent="0.25">
      <c r="A797" s="3" t="s">
        <v>435</v>
      </c>
      <c r="B797" s="3">
        <v>133177</v>
      </c>
      <c r="C797" s="3">
        <v>941707</v>
      </c>
      <c r="D797" s="3" t="s">
        <v>3526</v>
      </c>
      <c r="E797" s="3">
        <v>6</v>
      </c>
      <c r="F797" s="3">
        <v>5</v>
      </c>
      <c r="G797" s="3">
        <v>10</v>
      </c>
      <c r="H797" s="55" t="s">
        <v>289</v>
      </c>
      <c r="I797" s="3" t="s">
        <v>279</v>
      </c>
      <c r="J797" s="135">
        <v>46180</v>
      </c>
      <c r="K797" s="3" t="s">
        <v>5291</v>
      </c>
      <c r="L797" s="3">
        <v>2150</v>
      </c>
      <c r="M797" s="3">
        <v>23501</v>
      </c>
      <c r="N797" s="3" t="s">
        <v>5253</v>
      </c>
      <c r="R797" s="3">
        <v>11</v>
      </c>
      <c r="S797" s="3" t="s">
        <v>5344</v>
      </c>
      <c r="T797" s="3" t="s">
        <v>5345</v>
      </c>
      <c r="U797" s="3" t="s">
        <v>398</v>
      </c>
      <c r="V797" s="3">
        <v>215</v>
      </c>
      <c r="W797" s="3">
        <v>0</v>
      </c>
      <c r="X797" s="3">
        <v>432</v>
      </c>
      <c r="Y797" s="3">
        <v>416</v>
      </c>
      <c r="Z797" s="3">
        <v>0</v>
      </c>
      <c r="AA797" s="3">
        <v>16</v>
      </c>
      <c r="AB797" s="3">
        <v>194</v>
      </c>
      <c r="AC797" s="192">
        <v>0</v>
      </c>
      <c r="AF797" s="193">
        <v>2.7777777777777779E-3</v>
      </c>
      <c r="AG797" s="193">
        <v>2.7083333333333334E-2</v>
      </c>
      <c r="AH797" s="193">
        <v>0.3034722222222222</v>
      </c>
    </row>
    <row r="798" spans="1:34" x14ac:dyDescent="0.25">
      <c r="A798" s="3" t="s">
        <v>435</v>
      </c>
      <c r="B798" s="3">
        <v>125516</v>
      </c>
      <c r="C798" s="3">
        <v>942207</v>
      </c>
      <c r="D798" s="3" t="s">
        <v>3526</v>
      </c>
      <c r="E798" s="3">
        <v>7</v>
      </c>
      <c r="F798" s="3">
        <v>6</v>
      </c>
      <c r="G798" s="3">
        <v>11</v>
      </c>
      <c r="H798" s="55" t="s">
        <v>289</v>
      </c>
      <c r="I798" s="3" t="s">
        <v>279</v>
      </c>
      <c r="J798" s="135">
        <v>46029</v>
      </c>
      <c r="K798" s="3" t="s">
        <v>5363</v>
      </c>
      <c r="L798" s="3">
        <v>2150</v>
      </c>
      <c r="M798" s="3">
        <v>23501</v>
      </c>
      <c r="N798" s="3" t="s">
        <v>5253</v>
      </c>
      <c r="R798" s="3">
        <v>11</v>
      </c>
      <c r="S798" s="3" t="s">
        <v>5485</v>
      </c>
      <c r="T798" s="3" t="s">
        <v>5254</v>
      </c>
      <c r="U798" s="3" t="s">
        <v>398</v>
      </c>
      <c r="V798" s="3">
        <v>215</v>
      </c>
      <c r="W798" s="3">
        <v>0</v>
      </c>
      <c r="X798" s="3">
        <v>304</v>
      </c>
      <c r="Y798" s="3">
        <v>32</v>
      </c>
      <c r="Z798" s="3">
        <v>0</v>
      </c>
      <c r="AA798" s="3">
        <v>272</v>
      </c>
      <c r="AB798" s="3">
        <v>466</v>
      </c>
      <c r="AC798" s="192">
        <v>8.3333333333333332E-3</v>
      </c>
      <c r="AD798" s="3" t="s">
        <v>292</v>
      </c>
      <c r="AF798" s="193">
        <v>5.2777777777777778E-2</v>
      </c>
      <c r="AG798" s="193">
        <v>7.9861111111111105E-2</v>
      </c>
      <c r="AH798" s="193">
        <v>0.36458333333333331</v>
      </c>
    </row>
    <row r="799" spans="1:34" x14ac:dyDescent="0.25">
      <c r="A799" s="3" t="s">
        <v>435</v>
      </c>
      <c r="B799" s="3">
        <v>125516</v>
      </c>
      <c r="C799" s="3">
        <v>942207</v>
      </c>
      <c r="D799" s="3" t="s">
        <v>3526</v>
      </c>
      <c r="E799" s="3">
        <v>7</v>
      </c>
      <c r="F799" s="3">
        <v>7</v>
      </c>
      <c r="G799" s="3">
        <v>6</v>
      </c>
      <c r="H799" s="55" t="s">
        <v>289</v>
      </c>
      <c r="I799" s="3" t="s">
        <v>279</v>
      </c>
      <c r="J799" s="135">
        <v>46029</v>
      </c>
      <c r="K799" s="3" t="s">
        <v>5291</v>
      </c>
      <c r="L799" s="3">
        <v>2150</v>
      </c>
      <c r="M799" s="3">
        <v>23501</v>
      </c>
      <c r="N799" s="3" t="s">
        <v>5253</v>
      </c>
      <c r="R799" s="3">
        <v>11</v>
      </c>
      <c r="S799" s="3" t="s">
        <v>5485</v>
      </c>
      <c r="T799" s="3" t="s">
        <v>5254</v>
      </c>
      <c r="U799" s="3" t="s">
        <v>397</v>
      </c>
      <c r="V799" s="3">
        <v>215</v>
      </c>
      <c r="W799" s="3">
        <v>0</v>
      </c>
      <c r="X799" s="3">
        <v>430</v>
      </c>
      <c r="Y799" s="3">
        <v>396</v>
      </c>
      <c r="Z799" s="3">
        <v>0</v>
      </c>
      <c r="AA799" s="3">
        <v>34</v>
      </c>
      <c r="AB799" s="3">
        <v>500</v>
      </c>
      <c r="AC799" s="192">
        <v>0</v>
      </c>
      <c r="AF799" s="193">
        <v>6.2500000000000003E-3</v>
      </c>
      <c r="AG799" s="193">
        <v>8.6805555555555552E-2</v>
      </c>
      <c r="AH799" s="193">
        <v>0.37083333333333335</v>
      </c>
    </row>
    <row r="800" spans="1:34" x14ac:dyDescent="0.25">
      <c r="A800" s="3" t="s">
        <v>435</v>
      </c>
      <c r="B800" s="3">
        <v>125516</v>
      </c>
      <c r="C800" s="3">
        <v>942207</v>
      </c>
      <c r="D800" s="3" t="s">
        <v>3526</v>
      </c>
      <c r="E800" s="3">
        <v>7</v>
      </c>
      <c r="F800" s="3">
        <v>8</v>
      </c>
      <c r="G800" s="3">
        <v>7</v>
      </c>
      <c r="H800" s="55" t="s">
        <v>289</v>
      </c>
      <c r="I800" s="3" t="s">
        <v>279</v>
      </c>
      <c r="J800" s="135">
        <v>46029</v>
      </c>
      <c r="L800" s="3">
        <v>2150</v>
      </c>
      <c r="M800" s="3">
        <v>23501</v>
      </c>
      <c r="N800" s="3" t="s">
        <v>5253</v>
      </c>
      <c r="R800" s="3">
        <v>11</v>
      </c>
      <c r="S800" s="3" t="s">
        <v>5485</v>
      </c>
      <c r="T800" s="3" t="s">
        <v>5254</v>
      </c>
      <c r="U800" s="3">
        <v>28</v>
      </c>
      <c r="V800" s="3">
        <v>215</v>
      </c>
      <c r="W800" s="3">
        <v>0</v>
      </c>
      <c r="X800" s="3">
        <v>414</v>
      </c>
      <c r="Y800" s="3">
        <v>0</v>
      </c>
      <c r="Z800" s="3">
        <v>0</v>
      </c>
      <c r="AA800" s="3">
        <v>414</v>
      </c>
      <c r="AB800" s="3">
        <v>914</v>
      </c>
      <c r="AC800" s="192">
        <v>0</v>
      </c>
      <c r="AF800" s="193">
        <v>8.0555555555555561E-2</v>
      </c>
      <c r="AG800" s="193">
        <v>0.16666666666666666</v>
      </c>
      <c r="AH800" s="193">
        <v>0.4513888888888889</v>
      </c>
    </row>
    <row r="801" spans="1:34" x14ac:dyDescent="0.25">
      <c r="A801" s="3" t="s">
        <v>435</v>
      </c>
      <c r="B801" s="3">
        <v>125516</v>
      </c>
      <c r="C801" s="3">
        <v>942207</v>
      </c>
      <c r="D801" s="3" t="s">
        <v>3526</v>
      </c>
      <c r="E801" s="3">
        <v>7</v>
      </c>
      <c r="F801" s="3">
        <v>9</v>
      </c>
      <c r="G801" s="3">
        <v>8</v>
      </c>
      <c r="H801" s="55" t="s">
        <v>289</v>
      </c>
      <c r="I801" s="3" t="s">
        <v>279</v>
      </c>
      <c r="J801" s="135">
        <v>46029</v>
      </c>
      <c r="L801" s="3">
        <v>2150</v>
      </c>
      <c r="M801" s="3">
        <v>23501</v>
      </c>
      <c r="N801" s="3" t="s">
        <v>5253</v>
      </c>
      <c r="R801" s="3">
        <v>11</v>
      </c>
      <c r="S801" s="3" t="s">
        <v>5485</v>
      </c>
      <c r="T801" s="3" t="s">
        <v>5254</v>
      </c>
      <c r="U801" s="3">
        <v>29</v>
      </c>
      <c r="V801" s="3">
        <v>215</v>
      </c>
      <c r="W801" s="3">
        <v>0</v>
      </c>
      <c r="X801" s="3">
        <v>450</v>
      </c>
      <c r="Y801" s="3">
        <v>0</v>
      </c>
      <c r="Z801" s="3">
        <v>0</v>
      </c>
      <c r="AA801" s="3">
        <v>450</v>
      </c>
      <c r="AB801" s="3">
        <v>1364</v>
      </c>
      <c r="AC801" s="192">
        <v>0.05</v>
      </c>
      <c r="AD801" s="3" t="s">
        <v>294</v>
      </c>
      <c r="AE801" s="3" t="s">
        <v>5292</v>
      </c>
      <c r="AF801" s="193">
        <v>8.7499999999999994E-2</v>
      </c>
      <c r="AG801" s="193">
        <v>0.25416666666666665</v>
      </c>
      <c r="AH801" s="193">
        <v>0.58888888888888891</v>
      </c>
    </row>
    <row r="802" spans="1:34" x14ac:dyDescent="0.25">
      <c r="A802" s="3" t="s">
        <v>435</v>
      </c>
      <c r="B802" s="3">
        <v>125516</v>
      </c>
      <c r="C802" s="3">
        <v>942207</v>
      </c>
      <c r="D802" s="3" t="s">
        <v>3526</v>
      </c>
      <c r="E802" s="3">
        <v>7</v>
      </c>
      <c r="F802" s="3">
        <v>10</v>
      </c>
      <c r="G802" s="3">
        <v>9</v>
      </c>
      <c r="H802" s="55" t="s">
        <v>289</v>
      </c>
      <c r="I802" s="3" t="s">
        <v>279</v>
      </c>
      <c r="J802" s="135">
        <v>46029</v>
      </c>
      <c r="L802" s="3">
        <v>2150</v>
      </c>
      <c r="M802" s="3">
        <v>23501</v>
      </c>
      <c r="N802" s="3" t="s">
        <v>5253</v>
      </c>
      <c r="R802" s="3">
        <v>11</v>
      </c>
      <c r="S802" s="3" t="s">
        <v>5485</v>
      </c>
      <c r="T802" s="3" t="s">
        <v>5254</v>
      </c>
      <c r="U802" s="3">
        <v>30</v>
      </c>
      <c r="V802" s="3">
        <v>215</v>
      </c>
      <c r="W802" s="3">
        <v>0</v>
      </c>
      <c r="X802" s="3">
        <v>446</v>
      </c>
      <c r="Y802" s="3">
        <v>0</v>
      </c>
      <c r="Z802" s="3">
        <v>0</v>
      </c>
      <c r="AA802" s="3">
        <v>446</v>
      </c>
      <c r="AB802" s="3">
        <v>1810</v>
      </c>
      <c r="AC802" s="192">
        <v>0</v>
      </c>
      <c r="AF802" s="193">
        <v>8.611111111111111E-2</v>
      </c>
      <c r="AG802" s="193">
        <v>0.34027777777777779</v>
      </c>
      <c r="AH802" s="193">
        <v>0.68194444444444446</v>
      </c>
    </row>
    <row r="803" spans="1:34" x14ac:dyDescent="0.25">
      <c r="A803" s="3" t="s">
        <v>435</v>
      </c>
      <c r="B803" s="3">
        <v>125516</v>
      </c>
      <c r="C803" s="3">
        <v>942207</v>
      </c>
      <c r="D803" s="3" t="s">
        <v>3526</v>
      </c>
      <c r="E803" s="3">
        <v>7</v>
      </c>
      <c r="F803" s="3">
        <v>11</v>
      </c>
      <c r="G803" s="3">
        <v>10</v>
      </c>
      <c r="H803" s="55" t="s">
        <v>289</v>
      </c>
      <c r="I803" s="3" t="s">
        <v>279</v>
      </c>
      <c r="J803" s="135">
        <v>46029</v>
      </c>
      <c r="L803" s="3">
        <v>2150</v>
      </c>
      <c r="M803" s="3">
        <v>23501</v>
      </c>
      <c r="N803" s="3" t="s">
        <v>5253</v>
      </c>
      <c r="R803" s="3">
        <v>11</v>
      </c>
      <c r="S803" s="3" t="s">
        <v>5485</v>
      </c>
      <c r="T803" s="3" t="s">
        <v>5254</v>
      </c>
      <c r="U803" s="3">
        <v>31</v>
      </c>
      <c r="V803" s="3">
        <v>215</v>
      </c>
      <c r="W803" s="3">
        <v>0</v>
      </c>
      <c r="X803" s="3">
        <v>428</v>
      </c>
      <c r="Y803" s="3">
        <v>0</v>
      </c>
      <c r="Z803" s="3">
        <v>0</v>
      </c>
      <c r="AA803" s="3">
        <v>428</v>
      </c>
      <c r="AB803" s="3">
        <v>2238</v>
      </c>
      <c r="AC803" s="192">
        <v>0</v>
      </c>
      <c r="AF803" s="193">
        <v>8.2638888888888887E-2</v>
      </c>
      <c r="AG803" s="193">
        <v>0.4236111111111111</v>
      </c>
      <c r="AH803" s="193">
        <v>0.76458333333333328</v>
      </c>
    </row>
    <row r="804" spans="1:34" x14ac:dyDescent="0.25">
      <c r="A804" s="3" t="s">
        <v>435</v>
      </c>
      <c r="B804" s="3">
        <v>125516</v>
      </c>
      <c r="C804" s="3">
        <v>942207</v>
      </c>
      <c r="D804" s="3" t="s">
        <v>3526</v>
      </c>
      <c r="E804" s="3">
        <v>7</v>
      </c>
      <c r="F804" s="3">
        <v>12</v>
      </c>
      <c r="G804" s="3">
        <v>12</v>
      </c>
      <c r="H804" s="55" t="s">
        <v>289</v>
      </c>
      <c r="I804" s="3" t="s">
        <v>279</v>
      </c>
      <c r="J804" s="135">
        <v>46029</v>
      </c>
      <c r="L804" s="3">
        <v>2150</v>
      </c>
      <c r="M804" s="3">
        <v>23501</v>
      </c>
      <c r="N804" s="3" t="s">
        <v>5253</v>
      </c>
      <c r="R804" s="3">
        <v>11</v>
      </c>
      <c r="S804" s="3" t="s">
        <v>5485</v>
      </c>
      <c r="T804" s="3" t="s">
        <v>5254</v>
      </c>
      <c r="U804" s="3">
        <v>34</v>
      </c>
      <c r="V804" s="3">
        <v>215</v>
      </c>
      <c r="W804" s="3">
        <v>0</v>
      </c>
      <c r="X804" s="3">
        <v>66</v>
      </c>
      <c r="Y804" s="3">
        <v>0</v>
      </c>
      <c r="Z804" s="3">
        <v>0</v>
      </c>
      <c r="AA804" s="3">
        <v>66</v>
      </c>
      <c r="AB804" s="3">
        <v>2304</v>
      </c>
      <c r="AC804" s="192">
        <v>8.3333333333333332E-3</v>
      </c>
      <c r="AD804" s="3" t="s">
        <v>292</v>
      </c>
      <c r="AF804" s="193">
        <v>1.2500000000000001E-2</v>
      </c>
      <c r="AG804" s="193">
        <v>0.43611111111111112</v>
      </c>
      <c r="AH804" s="193">
        <v>0.78541666666666665</v>
      </c>
    </row>
    <row r="805" spans="1:34" x14ac:dyDescent="0.25">
      <c r="A805" s="3" t="s">
        <v>435</v>
      </c>
      <c r="B805" s="3">
        <v>141407</v>
      </c>
      <c r="C805" s="3">
        <v>942207</v>
      </c>
      <c r="D805" s="3" t="s">
        <v>3526</v>
      </c>
      <c r="E805" s="3">
        <v>7</v>
      </c>
      <c r="F805" s="3">
        <v>13</v>
      </c>
      <c r="G805" s="3">
        <v>10</v>
      </c>
      <c r="H805" s="55" t="s">
        <v>5099</v>
      </c>
      <c r="I805" s="3" t="s">
        <v>279</v>
      </c>
      <c r="J805" s="135">
        <v>46302</v>
      </c>
      <c r="L805" s="3">
        <v>2160</v>
      </c>
      <c r="M805" s="3">
        <v>25479</v>
      </c>
      <c r="N805" s="3" t="s">
        <v>5163</v>
      </c>
      <c r="R805" s="3">
        <v>12</v>
      </c>
      <c r="S805" s="3" t="s">
        <v>5486</v>
      </c>
      <c r="T805" s="3" t="s">
        <v>5424</v>
      </c>
      <c r="U805" s="3" t="s">
        <v>290</v>
      </c>
      <c r="V805" s="3">
        <v>377</v>
      </c>
      <c r="W805" s="3">
        <v>0</v>
      </c>
      <c r="X805" s="3">
        <v>60</v>
      </c>
      <c r="Y805" s="3">
        <v>0</v>
      </c>
      <c r="Z805" s="3">
        <v>0</v>
      </c>
      <c r="AA805" s="3">
        <v>60</v>
      </c>
      <c r="AB805" s="3">
        <v>2364</v>
      </c>
      <c r="AC805" s="192">
        <v>0</v>
      </c>
      <c r="AF805" s="193">
        <v>6.9444444444444441E-3</v>
      </c>
      <c r="AG805" s="193">
        <v>0.44305555555555554</v>
      </c>
      <c r="AH805" s="193">
        <v>0.79236111111111107</v>
      </c>
    </row>
    <row r="806" spans="1:34" x14ac:dyDescent="0.25">
      <c r="A806" s="3" t="s">
        <v>435</v>
      </c>
      <c r="B806" s="3">
        <v>141407</v>
      </c>
      <c r="C806" s="3">
        <v>942207</v>
      </c>
      <c r="D806" s="3" t="s">
        <v>3526</v>
      </c>
      <c r="E806" s="3">
        <v>7</v>
      </c>
      <c r="F806" s="3">
        <v>14</v>
      </c>
      <c r="G806" s="3">
        <v>11</v>
      </c>
      <c r="H806" s="55" t="s">
        <v>5099</v>
      </c>
      <c r="I806" s="3" t="s">
        <v>279</v>
      </c>
      <c r="J806" s="135">
        <v>46302</v>
      </c>
      <c r="L806" s="3">
        <v>2160</v>
      </c>
      <c r="M806" s="3">
        <v>25479</v>
      </c>
      <c r="N806" s="3" t="s">
        <v>5163</v>
      </c>
      <c r="R806" s="3">
        <v>12</v>
      </c>
      <c r="S806" s="3" t="s">
        <v>5486</v>
      </c>
      <c r="T806" s="3" t="s">
        <v>5424</v>
      </c>
      <c r="U806" s="3" t="s">
        <v>313</v>
      </c>
      <c r="V806" s="3">
        <v>377</v>
      </c>
      <c r="W806" s="3">
        <v>0</v>
      </c>
      <c r="X806" s="3">
        <v>272</v>
      </c>
      <c r="Y806" s="3">
        <v>0</v>
      </c>
      <c r="Z806" s="3">
        <v>0</v>
      </c>
      <c r="AA806" s="3">
        <v>272</v>
      </c>
      <c r="AB806" s="3">
        <v>2636</v>
      </c>
      <c r="AC806" s="192">
        <v>4.1666666666666664E-2</v>
      </c>
      <c r="AD806" s="3" t="s">
        <v>294</v>
      </c>
      <c r="AE806" s="3" t="s">
        <v>295</v>
      </c>
      <c r="AF806" s="193">
        <v>2.9861111111111113E-2</v>
      </c>
      <c r="AG806" s="193">
        <v>0.47291666666666665</v>
      </c>
      <c r="AH806" s="193">
        <v>0.86388888888888893</v>
      </c>
    </row>
    <row r="807" spans="1:34" x14ac:dyDescent="0.25">
      <c r="A807" s="3" t="s">
        <v>435</v>
      </c>
      <c r="B807" s="3">
        <v>141407</v>
      </c>
      <c r="C807" s="3">
        <v>942207</v>
      </c>
      <c r="D807" s="3" t="s">
        <v>3526</v>
      </c>
      <c r="E807" s="3">
        <v>7</v>
      </c>
      <c r="F807" s="3">
        <v>15</v>
      </c>
      <c r="G807" s="3">
        <v>12</v>
      </c>
      <c r="H807" s="55" t="s">
        <v>5099</v>
      </c>
      <c r="I807" s="3" t="s">
        <v>279</v>
      </c>
      <c r="J807" s="135">
        <v>46302</v>
      </c>
      <c r="L807" s="3">
        <v>2160</v>
      </c>
      <c r="M807" s="3">
        <v>25479</v>
      </c>
      <c r="N807" s="3" t="s">
        <v>5163</v>
      </c>
      <c r="R807" s="3">
        <v>12</v>
      </c>
      <c r="S807" s="3" t="s">
        <v>5486</v>
      </c>
      <c r="T807" s="3" t="s">
        <v>5424</v>
      </c>
      <c r="U807" s="3" t="s">
        <v>5156</v>
      </c>
      <c r="V807" s="3">
        <v>377</v>
      </c>
      <c r="W807" s="3">
        <v>0</v>
      </c>
      <c r="X807" s="3">
        <v>300</v>
      </c>
      <c r="Y807" s="3">
        <v>0</v>
      </c>
      <c r="Z807" s="3">
        <v>0</v>
      </c>
      <c r="AA807" s="3">
        <v>300</v>
      </c>
      <c r="AB807" s="3">
        <v>2936</v>
      </c>
      <c r="AC807" s="192">
        <v>0</v>
      </c>
      <c r="AF807" s="193">
        <v>3.3333333333333333E-2</v>
      </c>
      <c r="AG807" s="193">
        <v>0.50624999999999998</v>
      </c>
      <c r="AH807" s="193">
        <v>0.89722222222222225</v>
      </c>
    </row>
    <row r="808" spans="1:34" x14ac:dyDescent="0.25">
      <c r="A808" s="3" t="s">
        <v>435</v>
      </c>
      <c r="B808" s="3">
        <v>141407</v>
      </c>
      <c r="C808" s="3">
        <v>942207</v>
      </c>
      <c r="D808" s="3" t="s">
        <v>3526</v>
      </c>
      <c r="E808" s="3">
        <v>7</v>
      </c>
      <c r="F808" s="3">
        <v>16</v>
      </c>
      <c r="G808" s="3">
        <v>13</v>
      </c>
      <c r="H808" s="55" t="s">
        <v>5099</v>
      </c>
      <c r="I808" s="3" t="s">
        <v>279</v>
      </c>
      <c r="J808" s="135">
        <v>46302</v>
      </c>
      <c r="L808" s="3">
        <v>2160</v>
      </c>
      <c r="M808" s="3">
        <v>25479</v>
      </c>
      <c r="N808" s="3" t="s">
        <v>5163</v>
      </c>
      <c r="R808" s="3">
        <v>12</v>
      </c>
      <c r="S808" s="3" t="s">
        <v>5486</v>
      </c>
      <c r="T808" s="3" t="s">
        <v>5424</v>
      </c>
      <c r="U808" s="3" t="s">
        <v>311</v>
      </c>
      <c r="V808" s="3">
        <v>377</v>
      </c>
      <c r="W808" s="3">
        <v>0</v>
      </c>
      <c r="X808" s="3">
        <v>450</v>
      </c>
      <c r="Y808" s="3">
        <v>0</v>
      </c>
      <c r="Z808" s="3">
        <v>0</v>
      </c>
      <c r="AA808" s="3">
        <v>450</v>
      </c>
      <c r="AB808" s="3">
        <v>3386</v>
      </c>
      <c r="AC808" s="192">
        <v>0</v>
      </c>
      <c r="AF808" s="193">
        <v>0.05</v>
      </c>
      <c r="AG808" s="193">
        <v>0.55555555555555558</v>
      </c>
      <c r="AH808" s="193">
        <v>0.94722222222222219</v>
      </c>
    </row>
    <row r="809" spans="1:34" x14ac:dyDescent="0.25">
      <c r="A809" s="3" t="s">
        <v>439</v>
      </c>
      <c r="B809" s="3">
        <v>133206</v>
      </c>
      <c r="C809" s="3">
        <v>941707</v>
      </c>
      <c r="D809" s="3" t="s">
        <v>3526</v>
      </c>
      <c r="E809" s="3">
        <v>6</v>
      </c>
      <c r="F809" s="3">
        <v>1</v>
      </c>
      <c r="G809" s="3">
        <v>11</v>
      </c>
      <c r="H809" s="55" t="s">
        <v>289</v>
      </c>
      <c r="I809" s="3" t="s">
        <v>279</v>
      </c>
      <c r="J809" s="135">
        <v>46210</v>
      </c>
      <c r="K809" s="3" t="s">
        <v>5096</v>
      </c>
      <c r="L809" s="3">
        <v>2113</v>
      </c>
      <c r="M809" s="3">
        <v>18060</v>
      </c>
      <c r="N809" s="3" t="s">
        <v>425</v>
      </c>
      <c r="R809" s="3">
        <v>14</v>
      </c>
      <c r="S809" s="3" t="s">
        <v>1917</v>
      </c>
      <c r="T809" s="3" t="s">
        <v>5085</v>
      </c>
      <c r="U809" s="3">
        <v>36</v>
      </c>
      <c r="V809" s="3">
        <v>346</v>
      </c>
      <c r="W809" s="3">
        <v>0</v>
      </c>
      <c r="X809" s="3">
        <v>1012</v>
      </c>
      <c r="Y809" s="3">
        <v>980</v>
      </c>
      <c r="Z809" s="3">
        <v>0</v>
      </c>
      <c r="AA809" s="3">
        <v>32</v>
      </c>
      <c r="AB809" s="3">
        <v>32</v>
      </c>
      <c r="AC809" s="192">
        <v>0</v>
      </c>
      <c r="AF809" s="193">
        <v>4.1666666666666666E-3</v>
      </c>
      <c r="AG809" s="193">
        <v>4.1666666666666666E-3</v>
      </c>
      <c r="AH809" s="193">
        <v>0.28125</v>
      </c>
    </row>
    <row r="810" spans="1:34" x14ac:dyDescent="0.25">
      <c r="A810" s="3" t="s">
        <v>439</v>
      </c>
      <c r="B810" s="3">
        <v>132638</v>
      </c>
      <c r="C810" s="3">
        <v>941707</v>
      </c>
      <c r="D810" s="3" t="s">
        <v>3526</v>
      </c>
      <c r="E810" s="3">
        <v>6</v>
      </c>
      <c r="F810" s="3">
        <v>2</v>
      </c>
      <c r="G810" s="3">
        <v>9</v>
      </c>
      <c r="H810" s="55" t="s">
        <v>289</v>
      </c>
      <c r="I810" s="3" t="s">
        <v>279</v>
      </c>
      <c r="J810" s="135">
        <v>46210</v>
      </c>
      <c r="L810" s="3">
        <v>2114</v>
      </c>
      <c r="M810" s="3">
        <v>19462</v>
      </c>
      <c r="N810" s="3" t="s">
        <v>5346</v>
      </c>
      <c r="R810" s="3">
        <v>10</v>
      </c>
      <c r="S810" s="3" t="s">
        <v>3720</v>
      </c>
      <c r="T810" s="3" t="s">
        <v>5347</v>
      </c>
      <c r="U810" s="3" t="s">
        <v>280</v>
      </c>
      <c r="V810" s="3">
        <v>224</v>
      </c>
      <c r="W810" s="3">
        <v>0</v>
      </c>
      <c r="X810" s="3">
        <v>30</v>
      </c>
      <c r="Y810" s="3">
        <v>0</v>
      </c>
      <c r="Z810" s="3">
        <v>0</v>
      </c>
      <c r="AA810" s="3">
        <v>30</v>
      </c>
      <c r="AB810" s="3">
        <v>62</v>
      </c>
      <c r="AC810" s="192">
        <v>0</v>
      </c>
      <c r="AF810" s="193">
        <v>5.5555555555555558E-3</v>
      </c>
      <c r="AG810" s="193">
        <v>9.7222222222222224E-3</v>
      </c>
      <c r="AH810" s="193">
        <v>0.28680555555555554</v>
      </c>
    </row>
    <row r="811" spans="1:34" x14ac:dyDescent="0.25">
      <c r="A811" s="3" t="s">
        <v>439</v>
      </c>
      <c r="B811" s="3">
        <v>132638</v>
      </c>
      <c r="C811" s="3">
        <v>941707</v>
      </c>
      <c r="D811" s="3" t="s">
        <v>3526</v>
      </c>
      <c r="E811" s="3">
        <v>6</v>
      </c>
      <c r="F811" s="3">
        <v>3</v>
      </c>
      <c r="G811" s="3">
        <v>4</v>
      </c>
      <c r="H811" s="55" t="s">
        <v>289</v>
      </c>
      <c r="I811" s="3" t="s">
        <v>279</v>
      </c>
      <c r="J811" s="135">
        <v>46210</v>
      </c>
      <c r="L811" s="3">
        <v>2114</v>
      </c>
      <c r="M811" s="3">
        <v>19462</v>
      </c>
      <c r="N811" s="3" t="s">
        <v>5346</v>
      </c>
      <c r="R811" s="3">
        <v>10</v>
      </c>
      <c r="S811" s="3" t="s">
        <v>3720</v>
      </c>
      <c r="T811" s="3" t="s">
        <v>5347</v>
      </c>
      <c r="U811" s="3" t="s">
        <v>298</v>
      </c>
      <c r="V811" s="3">
        <v>224</v>
      </c>
      <c r="W811" s="3">
        <v>0</v>
      </c>
      <c r="X811" s="3">
        <v>20</v>
      </c>
      <c r="Y811" s="3">
        <v>0</v>
      </c>
      <c r="Z811" s="3">
        <v>0</v>
      </c>
      <c r="AA811" s="3">
        <v>20</v>
      </c>
      <c r="AB811" s="3">
        <v>82</v>
      </c>
      <c r="AC811" s="192">
        <v>0</v>
      </c>
      <c r="AF811" s="193">
        <v>3.472222222222222E-3</v>
      </c>
      <c r="AG811" s="193">
        <v>1.3194444444444444E-2</v>
      </c>
      <c r="AH811" s="193">
        <v>0.2902777777777778</v>
      </c>
    </row>
    <row r="812" spans="1:34" x14ac:dyDescent="0.25">
      <c r="A812" s="3" t="s">
        <v>439</v>
      </c>
      <c r="B812" s="3">
        <v>132638</v>
      </c>
      <c r="C812" s="3">
        <v>941707</v>
      </c>
      <c r="D812" s="3" t="s">
        <v>3526</v>
      </c>
      <c r="E812" s="3">
        <v>6</v>
      </c>
      <c r="F812" s="3">
        <v>4</v>
      </c>
      <c r="G812" s="3">
        <v>7</v>
      </c>
      <c r="H812" s="55" t="s">
        <v>289</v>
      </c>
      <c r="I812" s="3" t="s">
        <v>279</v>
      </c>
      <c r="J812" s="135">
        <v>46210</v>
      </c>
      <c r="K812" s="3" t="s">
        <v>5291</v>
      </c>
      <c r="L812" s="3">
        <v>2114</v>
      </c>
      <c r="M812" s="3">
        <v>19462</v>
      </c>
      <c r="N812" s="3" t="s">
        <v>5346</v>
      </c>
      <c r="R812" s="3">
        <v>10</v>
      </c>
      <c r="S812" s="3" t="s">
        <v>3720</v>
      </c>
      <c r="T812" s="3" t="s">
        <v>5347</v>
      </c>
      <c r="U812" s="3">
        <v>37</v>
      </c>
      <c r="V812" s="3">
        <v>224</v>
      </c>
      <c r="W812" s="3">
        <v>0</v>
      </c>
      <c r="X812" s="3">
        <v>82</v>
      </c>
      <c r="Y812" s="3">
        <v>40</v>
      </c>
      <c r="Z812" s="3">
        <v>0</v>
      </c>
      <c r="AA812" s="3">
        <v>42</v>
      </c>
      <c r="AB812" s="3">
        <v>124</v>
      </c>
      <c r="AC812" s="192">
        <v>0</v>
      </c>
      <c r="AF812" s="193">
        <v>7.6388888888888886E-3</v>
      </c>
      <c r="AG812" s="193">
        <v>2.0833333333333332E-2</v>
      </c>
      <c r="AH812" s="193">
        <v>0.29791666666666666</v>
      </c>
    </row>
    <row r="813" spans="1:34" x14ac:dyDescent="0.25">
      <c r="A813" s="3" t="s">
        <v>439</v>
      </c>
      <c r="B813" s="3">
        <v>133171</v>
      </c>
      <c r="C813" s="3">
        <v>941707</v>
      </c>
      <c r="D813" s="3" t="s">
        <v>3526</v>
      </c>
      <c r="E813" s="3">
        <v>6</v>
      </c>
      <c r="F813" s="3">
        <v>5</v>
      </c>
      <c r="G813" s="3">
        <v>8</v>
      </c>
      <c r="H813" s="55" t="s">
        <v>289</v>
      </c>
      <c r="I813" s="3" t="s">
        <v>279</v>
      </c>
      <c r="J813" s="135">
        <v>46210</v>
      </c>
      <c r="L813" s="3">
        <v>2114</v>
      </c>
      <c r="M813" s="3">
        <v>19462</v>
      </c>
      <c r="N813" s="3" t="s">
        <v>5346</v>
      </c>
      <c r="R813" s="3">
        <v>10</v>
      </c>
      <c r="S813" s="3" t="s">
        <v>3721</v>
      </c>
      <c r="T813" s="3" t="s">
        <v>5220</v>
      </c>
      <c r="U813" s="3">
        <v>38</v>
      </c>
      <c r="V813" s="3">
        <v>224</v>
      </c>
      <c r="W813" s="3">
        <v>0</v>
      </c>
      <c r="X813" s="3">
        <v>48</v>
      </c>
      <c r="Y813" s="3">
        <v>0</v>
      </c>
      <c r="Z813" s="3">
        <v>0</v>
      </c>
      <c r="AA813" s="3">
        <v>48</v>
      </c>
      <c r="AB813" s="3">
        <v>172</v>
      </c>
      <c r="AC813" s="192">
        <v>0</v>
      </c>
      <c r="AF813" s="193">
        <v>9.0277777777777769E-3</v>
      </c>
      <c r="AG813" s="193">
        <v>2.9861111111111113E-2</v>
      </c>
      <c r="AH813" s="193">
        <v>0.30694444444444446</v>
      </c>
    </row>
    <row r="814" spans="1:34" x14ac:dyDescent="0.25">
      <c r="A814" s="3" t="s">
        <v>439</v>
      </c>
      <c r="B814" s="3">
        <v>133171</v>
      </c>
      <c r="C814" s="3">
        <v>941707</v>
      </c>
      <c r="D814" s="3" t="s">
        <v>3526</v>
      </c>
      <c r="E814" s="3">
        <v>6</v>
      </c>
      <c r="F814" s="3">
        <v>6</v>
      </c>
      <c r="G814" s="3">
        <v>4</v>
      </c>
      <c r="H814" s="55" t="s">
        <v>289</v>
      </c>
      <c r="I814" s="3" t="s">
        <v>279</v>
      </c>
      <c r="J814" s="135">
        <v>46210</v>
      </c>
      <c r="L814" s="3">
        <v>2114</v>
      </c>
      <c r="M814" s="3">
        <v>19462</v>
      </c>
      <c r="N814" s="3" t="s">
        <v>5346</v>
      </c>
      <c r="R814" s="3">
        <v>10</v>
      </c>
      <c r="S814" s="3" t="s">
        <v>3721</v>
      </c>
      <c r="T814" s="3" t="s">
        <v>5220</v>
      </c>
      <c r="U814" s="3" t="s">
        <v>298</v>
      </c>
      <c r="V814" s="3">
        <v>224</v>
      </c>
      <c r="W814" s="3">
        <v>0</v>
      </c>
      <c r="X814" s="3">
        <v>30</v>
      </c>
      <c r="Y814" s="3">
        <v>0</v>
      </c>
      <c r="Z814" s="3">
        <v>0</v>
      </c>
      <c r="AA814" s="3">
        <v>30</v>
      </c>
      <c r="AB814" s="3">
        <v>202</v>
      </c>
      <c r="AC814" s="192">
        <v>0</v>
      </c>
      <c r="AF814" s="193">
        <v>5.5555555555555558E-3</v>
      </c>
      <c r="AG814" s="193">
        <v>3.5416666666666666E-2</v>
      </c>
      <c r="AH814" s="193">
        <v>0.3125</v>
      </c>
    </row>
    <row r="815" spans="1:34" x14ac:dyDescent="0.25">
      <c r="A815" s="3" t="s">
        <v>439</v>
      </c>
      <c r="B815" s="3">
        <v>133171</v>
      </c>
      <c r="C815" s="3">
        <v>941707</v>
      </c>
      <c r="D815" s="3" t="s">
        <v>3526</v>
      </c>
      <c r="E815" s="3">
        <v>6</v>
      </c>
      <c r="F815" s="3">
        <v>7</v>
      </c>
      <c r="G815" s="3">
        <v>5</v>
      </c>
      <c r="H815" s="55" t="s">
        <v>289</v>
      </c>
      <c r="I815" s="3" t="s">
        <v>279</v>
      </c>
      <c r="J815" s="135">
        <v>46210</v>
      </c>
      <c r="L815" s="3">
        <v>2114</v>
      </c>
      <c r="M815" s="3">
        <v>19462</v>
      </c>
      <c r="N815" s="3" t="s">
        <v>5346</v>
      </c>
      <c r="R815" s="3">
        <v>10</v>
      </c>
      <c r="S815" s="3" t="s">
        <v>3721</v>
      </c>
      <c r="T815" s="3" t="s">
        <v>5220</v>
      </c>
      <c r="U815" s="3">
        <v>35</v>
      </c>
      <c r="V815" s="3">
        <v>224</v>
      </c>
      <c r="W815" s="3">
        <v>0</v>
      </c>
      <c r="X815" s="3">
        <v>40</v>
      </c>
      <c r="Y815" s="3">
        <v>0</v>
      </c>
      <c r="Z815" s="3">
        <v>0</v>
      </c>
      <c r="AA815" s="3">
        <v>40</v>
      </c>
      <c r="AB815" s="3">
        <v>242</v>
      </c>
      <c r="AC815" s="192">
        <v>0</v>
      </c>
      <c r="AF815" s="193">
        <v>7.6388888888888886E-3</v>
      </c>
      <c r="AG815" s="193">
        <v>4.3055555555555555E-2</v>
      </c>
      <c r="AH815" s="193">
        <v>0.32013888888888886</v>
      </c>
    </row>
    <row r="816" spans="1:34" x14ac:dyDescent="0.25">
      <c r="A816" s="3" t="s">
        <v>439</v>
      </c>
      <c r="B816" s="3">
        <v>133171</v>
      </c>
      <c r="C816" s="3">
        <v>941707</v>
      </c>
      <c r="D816" s="3" t="s">
        <v>3526</v>
      </c>
      <c r="E816" s="3">
        <v>6</v>
      </c>
      <c r="F816" s="3">
        <v>8</v>
      </c>
      <c r="G816" s="3">
        <v>6</v>
      </c>
      <c r="H816" s="55" t="s">
        <v>289</v>
      </c>
      <c r="I816" s="3" t="s">
        <v>279</v>
      </c>
      <c r="J816" s="135">
        <v>46210</v>
      </c>
      <c r="L816" s="3">
        <v>2114</v>
      </c>
      <c r="M816" s="3">
        <v>19462</v>
      </c>
      <c r="N816" s="3" t="s">
        <v>5346</v>
      </c>
      <c r="R816" s="3">
        <v>10</v>
      </c>
      <c r="S816" s="3" t="s">
        <v>3721</v>
      </c>
      <c r="T816" s="3" t="s">
        <v>5220</v>
      </c>
      <c r="U816" s="3">
        <v>36</v>
      </c>
      <c r="V816" s="3">
        <v>224</v>
      </c>
      <c r="W816" s="3">
        <v>0</v>
      </c>
      <c r="X816" s="3">
        <v>72</v>
      </c>
      <c r="Y816" s="3">
        <v>0</v>
      </c>
      <c r="Z816" s="3">
        <v>0</v>
      </c>
      <c r="AA816" s="3">
        <v>72</v>
      </c>
      <c r="AB816" s="3">
        <v>314</v>
      </c>
      <c r="AC816" s="192">
        <v>0</v>
      </c>
      <c r="AF816" s="193">
        <v>1.3194444444444444E-2</v>
      </c>
      <c r="AG816" s="193">
        <v>5.6250000000000001E-2</v>
      </c>
      <c r="AH816" s="193">
        <v>0.33333333333333331</v>
      </c>
    </row>
    <row r="817" spans="1:34" x14ac:dyDescent="0.25">
      <c r="A817" s="3" t="s">
        <v>439</v>
      </c>
      <c r="B817" s="3">
        <v>133171</v>
      </c>
      <c r="C817" s="3">
        <v>941707</v>
      </c>
      <c r="D817" s="3" t="s">
        <v>3526</v>
      </c>
      <c r="E817" s="3">
        <v>6</v>
      </c>
      <c r="F817" s="3">
        <v>9</v>
      </c>
      <c r="G817" s="3">
        <v>7</v>
      </c>
      <c r="H817" s="55" t="s">
        <v>289</v>
      </c>
      <c r="I817" s="3" t="s">
        <v>279</v>
      </c>
      <c r="J817" s="135">
        <v>46210</v>
      </c>
      <c r="L817" s="3">
        <v>2114</v>
      </c>
      <c r="M817" s="3">
        <v>19462</v>
      </c>
      <c r="N817" s="3" t="s">
        <v>5346</v>
      </c>
      <c r="R817" s="3">
        <v>10</v>
      </c>
      <c r="S817" s="3" t="s">
        <v>3721</v>
      </c>
      <c r="T817" s="3" t="s">
        <v>5220</v>
      </c>
      <c r="U817" s="3">
        <v>37</v>
      </c>
      <c r="V817" s="3">
        <v>224</v>
      </c>
      <c r="W817" s="3">
        <v>0</v>
      </c>
      <c r="X817" s="3">
        <v>94</v>
      </c>
      <c r="Y817" s="3">
        <v>0</v>
      </c>
      <c r="Z817" s="3">
        <v>0</v>
      </c>
      <c r="AA817" s="3">
        <v>94</v>
      </c>
      <c r="AB817" s="3">
        <v>408</v>
      </c>
      <c r="AC817" s="192">
        <v>0</v>
      </c>
      <c r="AF817" s="193">
        <v>1.7361111111111112E-2</v>
      </c>
      <c r="AG817" s="193">
        <v>7.3611111111111113E-2</v>
      </c>
      <c r="AH817" s="193">
        <v>0.35069444444444442</v>
      </c>
    </row>
    <row r="818" spans="1:34" x14ac:dyDescent="0.25">
      <c r="A818" s="3" t="s">
        <v>439</v>
      </c>
      <c r="B818" s="3">
        <v>133171</v>
      </c>
      <c r="C818" s="3">
        <v>941707</v>
      </c>
      <c r="D818" s="3" t="s">
        <v>3526</v>
      </c>
      <c r="E818" s="3">
        <v>6</v>
      </c>
      <c r="F818" s="3">
        <v>10</v>
      </c>
      <c r="G818" s="3">
        <v>9</v>
      </c>
      <c r="H818" s="55" t="s">
        <v>289</v>
      </c>
      <c r="I818" s="3" t="s">
        <v>279</v>
      </c>
      <c r="J818" s="135">
        <v>46210</v>
      </c>
      <c r="L818" s="3">
        <v>2114</v>
      </c>
      <c r="M818" s="3">
        <v>19462</v>
      </c>
      <c r="N818" s="3" t="s">
        <v>5346</v>
      </c>
      <c r="R818" s="3">
        <v>10</v>
      </c>
      <c r="S818" s="3" t="s">
        <v>3721</v>
      </c>
      <c r="T818" s="3" t="s">
        <v>5220</v>
      </c>
      <c r="U818" s="3" t="s">
        <v>280</v>
      </c>
      <c r="V818" s="3">
        <v>224</v>
      </c>
      <c r="W818" s="3">
        <v>0</v>
      </c>
      <c r="X818" s="3">
        <v>64</v>
      </c>
      <c r="Y818" s="3">
        <v>0</v>
      </c>
      <c r="Z818" s="3">
        <v>0</v>
      </c>
      <c r="AA818" s="3">
        <v>64</v>
      </c>
      <c r="AB818" s="3">
        <v>472</v>
      </c>
      <c r="AC818" s="192">
        <v>8.3333333333333332E-3</v>
      </c>
      <c r="AD818" s="3" t="s">
        <v>292</v>
      </c>
      <c r="AF818" s="193">
        <v>1.1805555555555555E-2</v>
      </c>
      <c r="AG818" s="193">
        <v>8.5416666666666669E-2</v>
      </c>
      <c r="AH818" s="193">
        <v>0.37083333333333335</v>
      </c>
    </row>
    <row r="819" spans="1:34" x14ac:dyDescent="0.25">
      <c r="A819" s="3" t="s">
        <v>439</v>
      </c>
      <c r="B819" s="3">
        <v>133170</v>
      </c>
      <c r="C819" s="3">
        <v>941707</v>
      </c>
      <c r="D819" s="3" t="s">
        <v>3526</v>
      </c>
      <c r="E819" s="3">
        <v>6</v>
      </c>
      <c r="F819" s="3">
        <v>11</v>
      </c>
      <c r="G819" s="3">
        <v>9</v>
      </c>
      <c r="H819" s="55" t="s">
        <v>289</v>
      </c>
      <c r="I819" s="3" t="s">
        <v>279</v>
      </c>
      <c r="J819" s="135">
        <v>46210</v>
      </c>
      <c r="L819" s="3">
        <v>2114</v>
      </c>
      <c r="M819" s="3">
        <v>19462</v>
      </c>
      <c r="N819" s="3" t="s">
        <v>5346</v>
      </c>
      <c r="R819" s="3">
        <v>9</v>
      </c>
      <c r="S819" s="3" t="s">
        <v>3717</v>
      </c>
      <c r="T819" s="3" t="s">
        <v>5348</v>
      </c>
      <c r="U819" s="3" t="s">
        <v>280</v>
      </c>
      <c r="V819" s="3">
        <v>232</v>
      </c>
      <c r="W819" s="3">
        <v>0</v>
      </c>
      <c r="X819" s="3">
        <v>68</v>
      </c>
      <c r="Y819" s="3">
        <v>0</v>
      </c>
      <c r="Z819" s="3">
        <v>0</v>
      </c>
      <c r="AA819" s="3">
        <v>68</v>
      </c>
      <c r="AB819" s="3">
        <v>540</v>
      </c>
      <c r="AC819" s="192">
        <v>0</v>
      </c>
      <c r="AF819" s="193">
        <v>1.2500000000000001E-2</v>
      </c>
      <c r="AG819" s="193">
        <v>9.7916666666666666E-2</v>
      </c>
      <c r="AH819" s="193">
        <v>0.38333333333333336</v>
      </c>
    </row>
    <row r="820" spans="1:34" x14ac:dyDescent="0.25">
      <c r="A820" s="3" t="s">
        <v>439</v>
      </c>
      <c r="B820" s="3">
        <v>133170</v>
      </c>
      <c r="C820" s="3">
        <v>941707</v>
      </c>
      <c r="D820" s="3" t="s">
        <v>3526</v>
      </c>
      <c r="E820" s="3">
        <v>6</v>
      </c>
      <c r="F820" s="3">
        <v>12</v>
      </c>
      <c r="G820" s="3">
        <v>4</v>
      </c>
      <c r="H820" s="55" t="s">
        <v>289</v>
      </c>
      <c r="I820" s="3" t="s">
        <v>279</v>
      </c>
      <c r="J820" s="135">
        <v>46210</v>
      </c>
      <c r="L820" s="3">
        <v>2114</v>
      </c>
      <c r="M820" s="3">
        <v>19462</v>
      </c>
      <c r="N820" s="3" t="s">
        <v>5346</v>
      </c>
      <c r="R820" s="3">
        <v>9</v>
      </c>
      <c r="S820" s="3" t="s">
        <v>3717</v>
      </c>
      <c r="T820" s="3" t="s">
        <v>5348</v>
      </c>
      <c r="U820" s="3" t="s">
        <v>298</v>
      </c>
      <c r="V820" s="3">
        <v>232</v>
      </c>
      <c r="W820" s="3">
        <v>0</v>
      </c>
      <c r="X820" s="3">
        <v>30</v>
      </c>
      <c r="Y820" s="3">
        <v>0</v>
      </c>
      <c r="Z820" s="3">
        <v>0</v>
      </c>
      <c r="AA820" s="3">
        <v>30</v>
      </c>
      <c r="AB820" s="3">
        <v>570</v>
      </c>
      <c r="AC820" s="192">
        <v>0</v>
      </c>
      <c r="AF820" s="193">
        <v>5.5555555555555558E-3</v>
      </c>
      <c r="AG820" s="193">
        <v>0.10347222222222222</v>
      </c>
      <c r="AH820" s="193">
        <v>0.3888888888888889</v>
      </c>
    </row>
    <row r="821" spans="1:34" x14ac:dyDescent="0.25">
      <c r="A821" s="3" t="s">
        <v>439</v>
      </c>
      <c r="B821" s="3">
        <v>133170</v>
      </c>
      <c r="C821" s="3">
        <v>941707</v>
      </c>
      <c r="D821" s="3" t="s">
        <v>3526</v>
      </c>
      <c r="E821" s="3">
        <v>6</v>
      </c>
      <c r="F821" s="3">
        <v>13</v>
      </c>
      <c r="G821" s="3">
        <v>5</v>
      </c>
      <c r="H821" s="55" t="s">
        <v>289</v>
      </c>
      <c r="I821" s="3" t="s">
        <v>279</v>
      </c>
      <c r="J821" s="135">
        <v>46210</v>
      </c>
      <c r="L821" s="3">
        <v>2114</v>
      </c>
      <c r="M821" s="3">
        <v>19462</v>
      </c>
      <c r="N821" s="3" t="s">
        <v>5346</v>
      </c>
      <c r="R821" s="3">
        <v>9</v>
      </c>
      <c r="S821" s="3" t="s">
        <v>3717</v>
      </c>
      <c r="T821" s="3" t="s">
        <v>5348</v>
      </c>
      <c r="U821" s="3">
        <v>35</v>
      </c>
      <c r="V821" s="3">
        <v>232</v>
      </c>
      <c r="W821" s="3">
        <v>0</v>
      </c>
      <c r="X821" s="3">
        <v>70</v>
      </c>
      <c r="Y821" s="3">
        <v>0</v>
      </c>
      <c r="Z821" s="3">
        <v>0</v>
      </c>
      <c r="AA821" s="3">
        <v>70</v>
      </c>
      <c r="AB821" s="3">
        <v>640</v>
      </c>
      <c r="AC821" s="192">
        <v>0</v>
      </c>
      <c r="AF821" s="193">
        <v>1.2500000000000001E-2</v>
      </c>
      <c r="AG821" s="193">
        <v>0.11597222222222223</v>
      </c>
      <c r="AH821" s="193">
        <v>0.40138888888888891</v>
      </c>
    </row>
    <row r="822" spans="1:34" x14ac:dyDescent="0.25">
      <c r="A822" s="3" t="s">
        <v>439</v>
      </c>
      <c r="B822" s="3">
        <v>133170</v>
      </c>
      <c r="C822" s="3">
        <v>941707</v>
      </c>
      <c r="D822" s="3" t="s">
        <v>3526</v>
      </c>
      <c r="E822" s="3">
        <v>6</v>
      </c>
      <c r="F822" s="3">
        <v>14</v>
      </c>
      <c r="G822" s="3">
        <v>6</v>
      </c>
      <c r="H822" s="55" t="s">
        <v>289</v>
      </c>
      <c r="I822" s="3" t="s">
        <v>279</v>
      </c>
      <c r="J822" s="135">
        <v>46210</v>
      </c>
      <c r="L822" s="3">
        <v>2114</v>
      </c>
      <c r="M822" s="3">
        <v>19462</v>
      </c>
      <c r="N822" s="3" t="s">
        <v>5346</v>
      </c>
      <c r="R822" s="3">
        <v>9</v>
      </c>
      <c r="S822" s="3" t="s">
        <v>3717</v>
      </c>
      <c r="T822" s="3" t="s">
        <v>5348</v>
      </c>
      <c r="U822" s="3">
        <v>36</v>
      </c>
      <c r="V822" s="3">
        <v>232</v>
      </c>
      <c r="W822" s="3">
        <v>0</v>
      </c>
      <c r="X822" s="3">
        <v>100</v>
      </c>
      <c r="Y822" s="3">
        <v>0</v>
      </c>
      <c r="Z822" s="3">
        <v>0</v>
      </c>
      <c r="AA822" s="3">
        <v>100</v>
      </c>
      <c r="AB822" s="3">
        <v>740</v>
      </c>
      <c r="AC822" s="192">
        <v>0</v>
      </c>
      <c r="AF822" s="193">
        <v>1.8055555555555554E-2</v>
      </c>
      <c r="AG822" s="193">
        <v>0.13402777777777777</v>
      </c>
      <c r="AH822" s="193">
        <v>0.41944444444444445</v>
      </c>
    </row>
    <row r="823" spans="1:34" x14ac:dyDescent="0.25">
      <c r="A823" s="3" t="s">
        <v>439</v>
      </c>
      <c r="B823" s="3">
        <v>133170</v>
      </c>
      <c r="C823" s="3">
        <v>941707</v>
      </c>
      <c r="D823" s="3" t="s">
        <v>3526</v>
      </c>
      <c r="E823" s="3">
        <v>6</v>
      </c>
      <c r="F823" s="3">
        <v>15</v>
      </c>
      <c r="G823" s="3">
        <v>7</v>
      </c>
      <c r="H823" s="55" t="s">
        <v>289</v>
      </c>
      <c r="I823" s="3" t="s">
        <v>279</v>
      </c>
      <c r="J823" s="135">
        <v>46210</v>
      </c>
      <c r="L823" s="3">
        <v>2114</v>
      </c>
      <c r="M823" s="3">
        <v>19462</v>
      </c>
      <c r="N823" s="3" t="s">
        <v>5346</v>
      </c>
      <c r="R823" s="3">
        <v>9</v>
      </c>
      <c r="S823" s="3" t="s">
        <v>3717</v>
      </c>
      <c r="T823" s="3" t="s">
        <v>5348</v>
      </c>
      <c r="U823" s="3">
        <v>37</v>
      </c>
      <c r="V823" s="3">
        <v>232</v>
      </c>
      <c r="W823" s="3">
        <v>0</v>
      </c>
      <c r="X823" s="3">
        <v>110</v>
      </c>
      <c r="Y823" s="3">
        <v>0</v>
      </c>
      <c r="Z823" s="3">
        <v>0</v>
      </c>
      <c r="AA823" s="3">
        <v>110</v>
      </c>
      <c r="AB823" s="3">
        <v>850</v>
      </c>
      <c r="AC823" s="192">
        <v>0</v>
      </c>
      <c r="AF823" s="193">
        <v>1.9444444444444445E-2</v>
      </c>
      <c r="AG823" s="193">
        <v>0.15347222222222223</v>
      </c>
      <c r="AH823" s="193">
        <v>0.43888888888888888</v>
      </c>
    </row>
    <row r="824" spans="1:34" x14ac:dyDescent="0.25">
      <c r="A824" s="3" t="s">
        <v>439</v>
      </c>
      <c r="B824" s="3">
        <v>133170</v>
      </c>
      <c r="C824" s="3">
        <v>941707</v>
      </c>
      <c r="D824" s="3" t="s">
        <v>3526</v>
      </c>
      <c r="E824" s="3">
        <v>6</v>
      </c>
      <c r="F824" s="3">
        <v>16</v>
      </c>
      <c r="G824" s="3">
        <v>8</v>
      </c>
      <c r="H824" s="55" t="s">
        <v>289</v>
      </c>
      <c r="I824" s="3" t="s">
        <v>279</v>
      </c>
      <c r="J824" s="135">
        <v>46210</v>
      </c>
      <c r="L824" s="3">
        <v>2114</v>
      </c>
      <c r="M824" s="3">
        <v>19462</v>
      </c>
      <c r="N824" s="3" t="s">
        <v>5346</v>
      </c>
      <c r="R824" s="3">
        <v>9</v>
      </c>
      <c r="S824" s="3" t="s">
        <v>3717</v>
      </c>
      <c r="T824" s="3" t="s">
        <v>5348</v>
      </c>
      <c r="U824" s="3">
        <v>38</v>
      </c>
      <c r="V824" s="3">
        <v>232</v>
      </c>
      <c r="W824" s="3">
        <v>0</v>
      </c>
      <c r="X824" s="3">
        <v>66</v>
      </c>
      <c r="Y824" s="3">
        <v>0</v>
      </c>
      <c r="Z824" s="3">
        <v>0</v>
      </c>
      <c r="AA824" s="3">
        <v>66</v>
      </c>
      <c r="AB824" s="3">
        <v>916</v>
      </c>
      <c r="AC824" s="192">
        <v>0</v>
      </c>
      <c r="AF824" s="193">
        <v>1.1805555555555555E-2</v>
      </c>
      <c r="AG824" s="193">
        <v>0.16527777777777777</v>
      </c>
      <c r="AH824" s="193">
        <v>0.45069444444444445</v>
      </c>
    </row>
    <row r="825" spans="1:34" x14ac:dyDescent="0.25">
      <c r="A825" s="3" t="s">
        <v>439</v>
      </c>
      <c r="B825" s="3">
        <v>141174</v>
      </c>
      <c r="C825" s="3">
        <v>942207</v>
      </c>
      <c r="D825" s="3" t="s">
        <v>3526</v>
      </c>
      <c r="E825" s="3">
        <v>7</v>
      </c>
      <c r="F825" s="3">
        <v>17</v>
      </c>
      <c r="G825" s="3">
        <v>4</v>
      </c>
      <c r="H825" s="55" t="s">
        <v>289</v>
      </c>
      <c r="I825" s="3" t="s">
        <v>5358</v>
      </c>
      <c r="J825" s="135">
        <v>46302</v>
      </c>
      <c r="L825" s="3">
        <v>2101</v>
      </c>
      <c r="M825" s="3">
        <v>25431</v>
      </c>
      <c r="N825" s="3" t="s">
        <v>5487</v>
      </c>
      <c r="R825" s="3">
        <v>11</v>
      </c>
      <c r="S825" s="3" t="s">
        <v>5488</v>
      </c>
      <c r="T825" s="3" t="s">
        <v>5418</v>
      </c>
      <c r="U825" s="3" t="s">
        <v>354</v>
      </c>
      <c r="V825" s="3">
        <v>390</v>
      </c>
      <c r="W825" s="3">
        <v>0</v>
      </c>
      <c r="X825" s="3">
        <v>89</v>
      </c>
      <c r="Y825" s="3">
        <v>0</v>
      </c>
      <c r="Z825" s="3">
        <v>0</v>
      </c>
      <c r="AA825" s="3">
        <v>89</v>
      </c>
      <c r="AB825" s="3">
        <v>1005</v>
      </c>
      <c r="AC825" s="192">
        <v>4.1666666666666664E-2</v>
      </c>
      <c r="AD825" s="3" t="s">
        <v>294</v>
      </c>
      <c r="AE825" s="3" t="s">
        <v>295</v>
      </c>
      <c r="AF825" s="193">
        <v>9.7222222222222224E-3</v>
      </c>
      <c r="AG825" s="193">
        <v>0.17499999999999999</v>
      </c>
      <c r="AH825" s="193">
        <v>0.50208333333333333</v>
      </c>
    </row>
    <row r="826" spans="1:34" x14ac:dyDescent="0.25">
      <c r="A826" s="3" t="s">
        <v>439</v>
      </c>
      <c r="B826" s="3">
        <v>141174</v>
      </c>
      <c r="C826" s="3">
        <v>942207</v>
      </c>
      <c r="D826" s="3" t="s">
        <v>3526</v>
      </c>
      <c r="E826" s="3">
        <v>7</v>
      </c>
      <c r="F826" s="3">
        <v>18</v>
      </c>
      <c r="G826" s="3">
        <v>5</v>
      </c>
      <c r="H826" s="55" t="s">
        <v>289</v>
      </c>
      <c r="I826" s="3" t="s">
        <v>5358</v>
      </c>
      <c r="J826" s="135">
        <v>46302</v>
      </c>
      <c r="L826" s="3">
        <v>2101</v>
      </c>
      <c r="M826" s="3">
        <v>25431</v>
      </c>
      <c r="N826" s="3" t="s">
        <v>5487</v>
      </c>
      <c r="R826" s="3">
        <v>11</v>
      </c>
      <c r="S826" s="3" t="s">
        <v>5488</v>
      </c>
      <c r="T826" s="3" t="s">
        <v>5418</v>
      </c>
      <c r="U826" s="3">
        <v>19</v>
      </c>
      <c r="V826" s="3">
        <v>390</v>
      </c>
      <c r="W826" s="3">
        <v>0</v>
      </c>
      <c r="X826" s="3">
        <v>101</v>
      </c>
      <c r="Y826" s="3">
        <v>0</v>
      </c>
      <c r="Z826" s="3">
        <v>0</v>
      </c>
      <c r="AA826" s="3">
        <v>101</v>
      </c>
      <c r="AB826" s="3">
        <v>1106</v>
      </c>
      <c r="AC826" s="192">
        <v>0</v>
      </c>
      <c r="AF826" s="193">
        <v>1.1111111111111112E-2</v>
      </c>
      <c r="AG826" s="193">
        <v>0.18541666666666667</v>
      </c>
      <c r="AH826" s="193">
        <v>0.5131944444444444</v>
      </c>
    </row>
    <row r="827" spans="1:34" x14ac:dyDescent="0.25">
      <c r="A827" s="3" t="s">
        <v>439</v>
      </c>
      <c r="B827" s="3">
        <v>141174</v>
      </c>
      <c r="C827" s="3">
        <v>942207</v>
      </c>
      <c r="D827" s="3" t="s">
        <v>3526</v>
      </c>
      <c r="E827" s="3">
        <v>7</v>
      </c>
      <c r="F827" s="3">
        <v>19</v>
      </c>
      <c r="G827" s="3">
        <v>6</v>
      </c>
      <c r="H827" s="55" t="s">
        <v>289</v>
      </c>
      <c r="I827" s="3" t="s">
        <v>5358</v>
      </c>
      <c r="J827" s="135">
        <v>46302</v>
      </c>
      <c r="L827" s="3">
        <v>2101</v>
      </c>
      <c r="M827" s="3">
        <v>25431</v>
      </c>
      <c r="N827" s="3" t="s">
        <v>5487</v>
      </c>
      <c r="R827" s="3">
        <v>11</v>
      </c>
      <c r="S827" s="3" t="s">
        <v>5488</v>
      </c>
      <c r="T827" s="3" t="s">
        <v>5418</v>
      </c>
      <c r="U827" s="3" t="s">
        <v>355</v>
      </c>
      <c r="V827" s="3">
        <v>390</v>
      </c>
      <c r="W827" s="3">
        <v>0</v>
      </c>
      <c r="X827" s="3">
        <v>160</v>
      </c>
      <c r="Y827" s="3">
        <v>0</v>
      </c>
      <c r="Z827" s="3">
        <v>0</v>
      </c>
      <c r="AA827" s="3">
        <v>160</v>
      </c>
      <c r="AB827" s="3">
        <v>1266</v>
      </c>
      <c r="AC827" s="192">
        <v>0</v>
      </c>
      <c r="AF827" s="193">
        <v>1.7361111111111112E-2</v>
      </c>
      <c r="AG827" s="193">
        <v>0.20277777777777778</v>
      </c>
      <c r="AH827" s="193">
        <v>0.53055555555555556</v>
      </c>
    </row>
    <row r="828" spans="1:34" x14ac:dyDescent="0.25">
      <c r="A828" s="3" t="s">
        <v>439</v>
      </c>
      <c r="B828" s="3">
        <v>141174</v>
      </c>
      <c r="C828" s="3">
        <v>942207</v>
      </c>
      <c r="D828" s="3" t="s">
        <v>3526</v>
      </c>
      <c r="E828" s="3">
        <v>7</v>
      </c>
      <c r="F828" s="3">
        <v>20</v>
      </c>
      <c r="G828" s="3">
        <v>7</v>
      </c>
      <c r="H828" s="55" t="s">
        <v>289</v>
      </c>
      <c r="I828" s="3" t="s">
        <v>5358</v>
      </c>
      <c r="J828" s="135">
        <v>46302</v>
      </c>
      <c r="L828" s="3">
        <v>2101</v>
      </c>
      <c r="M828" s="3">
        <v>25431</v>
      </c>
      <c r="N828" s="3" t="s">
        <v>5487</v>
      </c>
      <c r="R828" s="3">
        <v>11</v>
      </c>
      <c r="S828" s="3" t="s">
        <v>5488</v>
      </c>
      <c r="T828" s="3" t="s">
        <v>5418</v>
      </c>
      <c r="U828" s="3">
        <v>22</v>
      </c>
      <c r="V828" s="3">
        <v>390</v>
      </c>
      <c r="W828" s="3">
        <v>0</v>
      </c>
      <c r="X828" s="3">
        <v>155</v>
      </c>
      <c r="Y828" s="3">
        <v>0</v>
      </c>
      <c r="Z828" s="3">
        <v>0</v>
      </c>
      <c r="AA828" s="3">
        <v>155</v>
      </c>
      <c r="AB828" s="3">
        <v>1421</v>
      </c>
      <c r="AC828" s="192">
        <v>0</v>
      </c>
      <c r="AF828" s="193">
        <v>1.6666666666666666E-2</v>
      </c>
      <c r="AG828" s="193">
        <v>0.21944444444444444</v>
      </c>
      <c r="AH828" s="193">
        <v>0.54722222222222228</v>
      </c>
    </row>
    <row r="829" spans="1:34" x14ac:dyDescent="0.25">
      <c r="A829" s="3" t="s">
        <v>439</v>
      </c>
      <c r="B829" s="3">
        <v>141174</v>
      </c>
      <c r="C829" s="3">
        <v>942207</v>
      </c>
      <c r="D829" s="3" t="s">
        <v>3526</v>
      </c>
      <c r="E829" s="3">
        <v>7</v>
      </c>
      <c r="F829" s="3">
        <v>21</v>
      </c>
      <c r="G829" s="3">
        <v>8</v>
      </c>
      <c r="H829" s="55" t="s">
        <v>289</v>
      </c>
      <c r="I829" s="3" t="s">
        <v>5358</v>
      </c>
      <c r="J829" s="135">
        <v>46302</v>
      </c>
      <c r="L829" s="3">
        <v>2101</v>
      </c>
      <c r="M829" s="3">
        <v>25431</v>
      </c>
      <c r="N829" s="3" t="s">
        <v>5487</v>
      </c>
      <c r="R829" s="3">
        <v>11</v>
      </c>
      <c r="S829" s="3" t="s">
        <v>5488</v>
      </c>
      <c r="T829" s="3" t="s">
        <v>5418</v>
      </c>
      <c r="U829" s="3" t="s">
        <v>290</v>
      </c>
      <c r="V829" s="3">
        <v>390</v>
      </c>
      <c r="W829" s="3">
        <v>0</v>
      </c>
      <c r="X829" s="3">
        <v>137</v>
      </c>
      <c r="Y829" s="3">
        <v>0</v>
      </c>
      <c r="Z829" s="3">
        <v>0</v>
      </c>
      <c r="AA829" s="3">
        <v>137</v>
      </c>
      <c r="AB829" s="3">
        <v>1558</v>
      </c>
      <c r="AC829" s="192">
        <v>0</v>
      </c>
      <c r="AF829" s="193">
        <v>1.4583333333333334E-2</v>
      </c>
      <c r="AG829" s="193">
        <v>0.23402777777777778</v>
      </c>
      <c r="AH829" s="193">
        <v>0.56180555555555556</v>
      </c>
    </row>
    <row r="830" spans="1:34" x14ac:dyDescent="0.25">
      <c r="A830" s="3" t="s">
        <v>439</v>
      </c>
      <c r="B830" s="3">
        <v>141177</v>
      </c>
      <c r="C830" s="3">
        <v>942207</v>
      </c>
      <c r="D830" s="3" t="s">
        <v>3526</v>
      </c>
      <c r="E830" s="3">
        <v>7</v>
      </c>
      <c r="F830" s="3">
        <v>22</v>
      </c>
      <c r="G830" s="3">
        <v>4</v>
      </c>
      <c r="H830" s="55" t="s">
        <v>289</v>
      </c>
      <c r="I830" s="3" t="s">
        <v>5358</v>
      </c>
      <c r="J830" s="135">
        <v>46302</v>
      </c>
      <c r="L830" s="3">
        <v>2101</v>
      </c>
      <c r="M830" s="3">
        <v>25431</v>
      </c>
      <c r="N830" s="3" t="s">
        <v>5487</v>
      </c>
      <c r="R830" s="3">
        <v>11</v>
      </c>
      <c r="S830" s="3" t="s">
        <v>5489</v>
      </c>
      <c r="T830" s="3" t="s">
        <v>5480</v>
      </c>
      <c r="U830" s="3" t="s">
        <v>354</v>
      </c>
      <c r="V830" s="3">
        <v>390</v>
      </c>
      <c r="W830" s="3">
        <v>0</v>
      </c>
      <c r="X830" s="3">
        <v>291</v>
      </c>
      <c r="Y830" s="3">
        <v>0</v>
      </c>
      <c r="Z830" s="3">
        <v>0</v>
      </c>
      <c r="AA830" s="3">
        <v>291</v>
      </c>
      <c r="AB830" s="3">
        <v>1849</v>
      </c>
      <c r="AC830" s="192">
        <v>8.3333333333333332E-3</v>
      </c>
      <c r="AD830" s="3" t="s">
        <v>404</v>
      </c>
      <c r="AF830" s="193">
        <v>3.125E-2</v>
      </c>
      <c r="AG830" s="193">
        <v>0.26527777777777778</v>
      </c>
      <c r="AH830" s="193">
        <v>0.60138888888888886</v>
      </c>
    </row>
    <row r="831" spans="1:34" x14ac:dyDescent="0.25">
      <c r="A831" s="3" t="s">
        <v>439</v>
      </c>
      <c r="B831" s="3">
        <v>141177</v>
      </c>
      <c r="C831" s="3">
        <v>942207</v>
      </c>
      <c r="D831" s="3" t="s">
        <v>3526</v>
      </c>
      <c r="E831" s="3">
        <v>7</v>
      </c>
      <c r="F831" s="3">
        <v>23</v>
      </c>
      <c r="G831" s="3">
        <v>5</v>
      </c>
      <c r="H831" s="55" t="s">
        <v>289</v>
      </c>
      <c r="I831" s="3" t="s">
        <v>5358</v>
      </c>
      <c r="J831" s="135">
        <v>46302</v>
      </c>
      <c r="L831" s="3">
        <v>2101</v>
      </c>
      <c r="M831" s="3">
        <v>25431</v>
      </c>
      <c r="N831" s="3" t="s">
        <v>5487</v>
      </c>
      <c r="R831" s="3">
        <v>11</v>
      </c>
      <c r="S831" s="3" t="s">
        <v>5489</v>
      </c>
      <c r="T831" s="3" t="s">
        <v>5480</v>
      </c>
      <c r="U831" s="3">
        <v>19</v>
      </c>
      <c r="V831" s="3">
        <v>390</v>
      </c>
      <c r="W831" s="3">
        <v>0</v>
      </c>
      <c r="X831" s="3">
        <v>531</v>
      </c>
      <c r="Y831" s="3">
        <v>0</v>
      </c>
      <c r="Z831" s="3">
        <v>0</v>
      </c>
      <c r="AA831" s="3">
        <v>531</v>
      </c>
      <c r="AB831" s="3">
        <v>2380</v>
      </c>
      <c r="AC831" s="192">
        <v>0</v>
      </c>
      <c r="AF831" s="193">
        <v>5.6944444444444443E-2</v>
      </c>
      <c r="AG831" s="193">
        <v>0.3215277777777778</v>
      </c>
      <c r="AH831" s="193">
        <v>0.66527777777777775</v>
      </c>
    </row>
    <row r="832" spans="1:34" x14ac:dyDescent="0.25">
      <c r="A832" s="3" t="s">
        <v>439</v>
      </c>
      <c r="B832" s="3">
        <v>141177</v>
      </c>
      <c r="C832" s="3">
        <v>942207</v>
      </c>
      <c r="D832" s="3" t="s">
        <v>3526</v>
      </c>
      <c r="E832" s="3">
        <v>7</v>
      </c>
      <c r="F832" s="3">
        <v>24</v>
      </c>
      <c r="G832" s="3">
        <v>6</v>
      </c>
      <c r="H832" s="55" t="s">
        <v>289</v>
      </c>
      <c r="I832" s="3" t="s">
        <v>5358</v>
      </c>
      <c r="J832" s="135">
        <v>46302</v>
      </c>
      <c r="L832" s="3">
        <v>2101</v>
      </c>
      <c r="M832" s="3">
        <v>25431</v>
      </c>
      <c r="N832" s="3" t="s">
        <v>5487</v>
      </c>
      <c r="R832" s="3">
        <v>11</v>
      </c>
      <c r="S832" s="3" t="s">
        <v>5489</v>
      </c>
      <c r="T832" s="3" t="s">
        <v>5480</v>
      </c>
      <c r="U832" s="3" t="s">
        <v>355</v>
      </c>
      <c r="V832" s="3">
        <v>390</v>
      </c>
      <c r="W832" s="3">
        <v>0</v>
      </c>
      <c r="X832" s="3">
        <v>787</v>
      </c>
      <c r="Y832" s="3">
        <v>0</v>
      </c>
      <c r="Z832" s="3">
        <v>0</v>
      </c>
      <c r="AA832" s="3">
        <v>787</v>
      </c>
      <c r="AB832" s="3">
        <v>3167</v>
      </c>
      <c r="AC832" s="192">
        <v>0</v>
      </c>
      <c r="AF832" s="193">
        <v>8.4027777777777785E-2</v>
      </c>
      <c r="AG832" s="193">
        <v>0.40625</v>
      </c>
      <c r="AH832" s="193">
        <v>0.74930555555555556</v>
      </c>
    </row>
    <row r="833" spans="1:34" x14ac:dyDescent="0.25">
      <c r="A833" s="3" t="s">
        <v>439</v>
      </c>
      <c r="B833" s="3">
        <v>141177</v>
      </c>
      <c r="C833" s="3">
        <v>942207</v>
      </c>
      <c r="D833" s="3" t="s">
        <v>3526</v>
      </c>
      <c r="E833" s="3">
        <v>7</v>
      </c>
      <c r="F833" s="3">
        <v>25</v>
      </c>
      <c r="G833" s="3">
        <v>7</v>
      </c>
      <c r="H833" s="55" t="s">
        <v>289</v>
      </c>
      <c r="I833" s="3" t="s">
        <v>5358</v>
      </c>
      <c r="J833" s="135">
        <v>46302</v>
      </c>
      <c r="L833" s="3">
        <v>2101</v>
      </c>
      <c r="M833" s="3">
        <v>25431</v>
      </c>
      <c r="N833" s="3" t="s">
        <v>5487</v>
      </c>
      <c r="R833" s="3">
        <v>11</v>
      </c>
      <c r="S833" s="3" t="s">
        <v>5489</v>
      </c>
      <c r="T833" s="3" t="s">
        <v>5480</v>
      </c>
      <c r="U833" s="3">
        <v>22</v>
      </c>
      <c r="V833" s="3">
        <v>390</v>
      </c>
      <c r="W833" s="3">
        <v>0</v>
      </c>
      <c r="X833" s="3">
        <v>786</v>
      </c>
      <c r="Y833" s="3">
        <v>0</v>
      </c>
      <c r="Z833" s="3">
        <v>0</v>
      </c>
      <c r="AA833" s="3">
        <v>786</v>
      </c>
      <c r="AB833" s="3">
        <v>3953</v>
      </c>
      <c r="AC833" s="192">
        <v>0.05</v>
      </c>
      <c r="AD833" s="3" t="s">
        <v>285</v>
      </c>
      <c r="AE833" s="3" t="s">
        <v>286</v>
      </c>
      <c r="AF833" s="193">
        <v>8.4027777777777785E-2</v>
      </c>
      <c r="AG833" s="193">
        <v>0.48958333333333331</v>
      </c>
      <c r="AH833" s="193">
        <v>0.8833333333333333</v>
      </c>
    </row>
    <row r="834" spans="1:34" x14ac:dyDescent="0.25">
      <c r="A834" s="3" t="s">
        <v>439</v>
      </c>
      <c r="B834" s="3">
        <v>141177</v>
      </c>
      <c r="C834" s="3">
        <v>942207</v>
      </c>
      <c r="D834" s="3" t="s">
        <v>3526</v>
      </c>
      <c r="E834" s="3">
        <v>7</v>
      </c>
      <c r="F834" s="3">
        <v>26</v>
      </c>
      <c r="G834" s="3">
        <v>8</v>
      </c>
      <c r="H834" s="55" t="s">
        <v>289</v>
      </c>
      <c r="I834" s="3" t="s">
        <v>5358</v>
      </c>
      <c r="J834" s="135">
        <v>46302</v>
      </c>
      <c r="L834" s="3">
        <v>2101</v>
      </c>
      <c r="M834" s="3">
        <v>25431</v>
      </c>
      <c r="N834" s="3" t="s">
        <v>5487</v>
      </c>
      <c r="R834" s="3">
        <v>11</v>
      </c>
      <c r="S834" s="3" t="s">
        <v>5489</v>
      </c>
      <c r="T834" s="3" t="s">
        <v>5480</v>
      </c>
      <c r="U834" s="3" t="s">
        <v>290</v>
      </c>
      <c r="V834" s="3">
        <v>390</v>
      </c>
      <c r="W834" s="3">
        <v>0</v>
      </c>
      <c r="X834" s="3">
        <v>767</v>
      </c>
      <c r="Y834" s="3">
        <v>0</v>
      </c>
      <c r="Z834" s="3">
        <v>0</v>
      </c>
      <c r="AA834" s="3">
        <v>767</v>
      </c>
      <c r="AB834" s="3">
        <v>4720</v>
      </c>
      <c r="AC834" s="192">
        <v>0</v>
      </c>
      <c r="AF834" s="193">
        <v>8.1944444444444445E-2</v>
      </c>
      <c r="AG834" s="193">
        <v>0.57152777777777775</v>
      </c>
      <c r="AH834" s="193">
        <v>0.96527777777777779</v>
      </c>
    </row>
    <row r="835" spans="1:34" x14ac:dyDescent="0.25">
      <c r="A835" s="3" t="s">
        <v>439</v>
      </c>
      <c r="B835" s="3">
        <v>141179</v>
      </c>
      <c r="C835" s="3">
        <v>942207</v>
      </c>
      <c r="D835" s="3" t="s">
        <v>3526</v>
      </c>
      <c r="E835" s="3">
        <v>7</v>
      </c>
      <c r="F835" s="3">
        <v>27</v>
      </c>
      <c r="G835" s="3">
        <v>4</v>
      </c>
      <c r="H835" s="55" t="s">
        <v>289</v>
      </c>
      <c r="I835" s="3" t="s">
        <v>5358</v>
      </c>
      <c r="J835" s="135">
        <v>46302</v>
      </c>
      <c r="L835" s="3">
        <v>2101</v>
      </c>
      <c r="M835" s="3">
        <v>25431</v>
      </c>
      <c r="N835" s="3" t="s">
        <v>5487</v>
      </c>
      <c r="R835" s="3">
        <v>11</v>
      </c>
      <c r="S835" s="3" t="s">
        <v>5490</v>
      </c>
      <c r="T835" s="3" t="s">
        <v>5491</v>
      </c>
      <c r="U835" s="3" t="s">
        <v>354</v>
      </c>
      <c r="V835" s="3">
        <v>390</v>
      </c>
      <c r="W835" s="3">
        <v>0</v>
      </c>
      <c r="X835" s="3">
        <v>50</v>
      </c>
      <c r="Y835" s="3">
        <v>0</v>
      </c>
      <c r="Z835" s="3">
        <v>0</v>
      </c>
      <c r="AA835" s="3">
        <v>50</v>
      </c>
      <c r="AB835" s="3">
        <v>4770</v>
      </c>
      <c r="AC835" s="192">
        <v>0</v>
      </c>
      <c r="AF835" s="193">
        <v>5.5555555555555558E-3</v>
      </c>
      <c r="AG835" s="193">
        <v>0.57708333333333328</v>
      </c>
      <c r="AH835" s="193">
        <v>0.97083333333333333</v>
      </c>
    </row>
    <row r="836" spans="1:34" x14ac:dyDescent="0.25">
      <c r="A836" s="3" t="s">
        <v>439</v>
      </c>
      <c r="B836" s="3">
        <v>141179</v>
      </c>
      <c r="C836" s="3">
        <v>942207</v>
      </c>
      <c r="D836" s="3" t="s">
        <v>3526</v>
      </c>
      <c r="E836" s="3">
        <v>7</v>
      </c>
      <c r="F836" s="3">
        <v>28</v>
      </c>
      <c r="G836" s="3">
        <v>5</v>
      </c>
      <c r="H836" s="55" t="s">
        <v>289</v>
      </c>
      <c r="I836" s="3" t="s">
        <v>5358</v>
      </c>
      <c r="J836" s="135">
        <v>46302</v>
      </c>
      <c r="L836" s="3">
        <v>2101</v>
      </c>
      <c r="M836" s="3">
        <v>25431</v>
      </c>
      <c r="N836" s="3" t="s">
        <v>5487</v>
      </c>
      <c r="R836" s="3">
        <v>11</v>
      </c>
      <c r="S836" s="3" t="s">
        <v>5490</v>
      </c>
      <c r="T836" s="3" t="s">
        <v>5491</v>
      </c>
      <c r="U836" s="3">
        <v>19</v>
      </c>
      <c r="V836" s="3">
        <v>390</v>
      </c>
      <c r="W836" s="3">
        <v>0</v>
      </c>
      <c r="X836" s="3">
        <v>52</v>
      </c>
      <c r="Y836" s="3">
        <v>0</v>
      </c>
      <c r="Z836" s="3">
        <v>0</v>
      </c>
      <c r="AA836" s="3">
        <v>52</v>
      </c>
      <c r="AB836" s="3">
        <v>4822</v>
      </c>
      <c r="AC836" s="192">
        <v>0</v>
      </c>
      <c r="AF836" s="193">
        <v>5.5555555555555558E-3</v>
      </c>
      <c r="AG836" s="193">
        <v>0.58263888888888893</v>
      </c>
      <c r="AH836" s="193">
        <v>0.97638888888888886</v>
      </c>
    </row>
    <row r="837" spans="1:34" x14ac:dyDescent="0.25">
      <c r="A837" s="3" t="s">
        <v>439</v>
      </c>
      <c r="B837" s="3">
        <v>141179</v>
      </c>
      <c r="C837" s="3">
        <v>942207</v>
      </c>
      <c r="D837" s="3" t="s">
        <v>3526</v>
      </c>
      <c r="E837" s="3">
        <v>7</v>
      </c>
      <c r="F837" s="3">
        <v>29</v>
      </c>
      <c r="G837" s="3">
        <v>6</v>
      </c>
      <c r="H837" s="55" t="s">
        <v>289</v>
      </c>
      <c r="I837" s="3" t="s">
        <v>5358</v>
      </c>
      <c r="J837" s="135">
        <v>46302</v>
      </c>
      <c r="L837" s="3">
        <v>2101</v>
      </c>
      <c r="M837" s="3">
        <v>25431</v>
      </c>
      <c r="N837" s="3" t="s">
        <v>5487</v>
      </c>
      <c r="R837" s="3">
        <v>11</v>
      </c>
      <c r="S837" s="3" t="s">
        <v>5490</v>
      </c>
      <c r="T837" s="3" t="s">
        <v>5491</v>
      </c>
      <c r="U837" s="3" t="s">
        <v>355</v>
      </c>
      <c r="V837" s="3">
        <v>390</v>
      </c>
      <c r="W837" s="3">
        <v>0</v>
      </c>
      <c r="X837" s="3">
        <v>79</v>
      </c>
      <c r="Y837" s="3">
        <v>0</v>
      </c>
      <c r="Z837" s="3">
        <v>0</v>
      </c>
      <c r="AA837" s="3">
        <v>79</v>
      </c>
      <c r="AB837" s="3">
        <v>4901</v>
      </c>
      <c r="AC837" s="192">
        <v>8.3333333333333332E-3</v>
      </c>
      <c r="AD837" s="3" t="s">
        <v>404</v>
      </c>
      <c r="AF837" s="193">
        <v>8.3333333333333332E-3</v>
      </c>
      <c r="AG837" s="193">
        <v>0.59097222222222223</v>
      </c>
      <c r="AH837" s="193">
        <v>0.99305555555555558</v>
      </c>
    </row>
    <row r="838" spans="1:34" x14ac:dyDescent="0.25">
      <c r="A838" s="3" t="s">
        <v>443</v>
      </c>
      <c r="B838" s="3">
        <v>132985</v>
      </c>
      <c r="C838" s="3">
        <v>941707</v>
      </c>
      <c r="D838" s="3" t="s">
        <v>3526</v>
      </c>
      <c r="E838" s="3">
        <v>6</v>
      </c>
      <c r="F838" s="3">
        <v>1</v>
      </c>
      <c r="G838" s="3">
        <v>5</v>
      </c>
      <c r="H838" s="55" t="s">
        <v>289</v>
      </c>
      <c r="I838" s="3" t="s">
        <v>279</v>
      </c>
      <c r="J838" s="135">
        <v>46180</v>
      </c>
      <c r="K838" s="3" t="s">
        <v>5096</v>
      </c>
      <c r="L838" s="3">
        <v>2101</v>
      </c>
      <c r="M838" s="3">
        <v>27011</v>
      </c>
      <c r="N838" s="3" t="s">
        <v>5263</v>
      </c>
      <c r="R838" s="3">
        <v>11</v>
      </c>
      <c r="S838" s="3" t="s">
        <v>433</v>
      </c>
      <c r="T838" s="3" t="s">
        <v>5264</v>
      </c>
      <c r="U838" s="3">
        <v>19</v>
      </c>
      <c r="V838" s="3">
        <v>383</v>
      </c>
      <c r="W838" s="3">
        <v>0</v>
      </c>
      <c r="X838" s="3">
        <v>1158</v>
      </c>
      <c r="Y838" s="3">
        <v>1092</v>
      </c>
      <c r="Z838" s="3">
        <v>0</v>
      </c>
      <c r="AA838" s="3">
        <v>66</v>
      </c>
      <c r="AB838" s="3">
        <v>66</v>
      </c>
      <c r="AC838" s="192">
        <v>0</v>
      </c>
      <c r="AF838" s="193">
        <v>6.9444444444444441E-3</v>
      </c>
      <c r="AG838" s="193">
        <v>6.9444444444444441E-3</v>
      </c>
      <c r="AH838" s="193">
        <v>0.28402777777777777</v>
      </c>
    </row>
    <row r="839" spans="1:34" x14ac:dyDescent="0.25">
      <c r="A839" s="3" t="s">
        <v>443</v>
      </c>
      <c r="B839" s="3">
        <v>136019</v>
      </c>
      <c r="C839" s="3">
        <v>942207</v>
      </c>
      <c r="D839" s="3" t="s">
        <v>3526</v>
      </c>
      <c r="E839" s="3">
        <v>7</v>
      </c>
      <c r="F839" s="3">
        <v>2</v>
      </c>
      <c r="G839" s="3">
        <v>7</v>
      </c>
      <c r="H839" s="55" t="s">
        <v>289</v>
      </c>
      <c r="I839" s="3" t="s">
        <v>279</v>
      </c>
      <c r="J839" s="135">
        <v>46210</v>
      </c>
      <c r="K839" s="3" t="s">
        <v>5291</v>
      </c>
      <c r="L839" s="3">
        <v>2101</v>
      </c>
      <c r="M839" s="3">
        <v>12295</v>
      </c>
      <c r="N839" s="3" t="s">
        <v>5349</v>
      </c>
      <c r="R839" s="3">
        <v>17</v>
      </c>
      <c r="S839" s="3" t="s">
        <v>1300</v>
      </c>
      <c r="T839" s="3" t="s">
        <v>5350</v>
      </c>
      <c r="U839" s="3">
        <v>25</v>
      </c>
      <c r="V839" s="3">
        <v>376</v>
      </c>
      <c r="W839" s="3">
        <v>0</v>
      </c>
      <c r="X839" s="3">
        <v>526</v>
      </c>
      <c r="Y839" s="3">
        <v>490</v>
      </c>
      <c r="Z839" s="3">
        <v>0</v>
      </c>
      <c r="AA839" s="3">
        <v>36</v>
      </c>
      <c r="AB839" s="3">
        <v>102</v>
      </c>
      <c r="AC839" s="192">
        <v>0</v>
      </c>
      <c r="AF839" s="193">
        <v>4.1666666666666666E-3</v>
      </c>
      <c r="AG839" s="193">
        <v>1.1111111111111112E-2</v>
      </c>
      <c r="AH839" s="193">
        <v>0.28819444444444442</v>
      </c>
    </row>
    <row r="840" spans="1:34" x14ac:dyDescent="0.25">
      <c r="A840" s="3" t="s">
        <v>443</v>
      </c>
      <c r="B840" s="3">
        <v>136018</v>
      </c>
      <c r="C840" s="3">
        <v>942207</v>
      </c>
      <c r="D840" s="3" t="s">
        <v>3526</v>
      </c>
      <c r="E840" s="3">
        <v>7</v>
      </c>
      <c r="F840" s="3">
        <v>3</v>
      </c>
      <c r="G840" s="3">
        <v>5</v>
      </c>
      <c r="H840" s="55" t="s">
        <v>289</v>
      </c>
      <c r="I840" s="3" t="s">
        <v>279</v>
      </c>
      <c r="J840" s="135">
        <v>46210</v>
      </c>
      <c r="K840" s="3" t="s">
        <v>5291</v>
      </c>
      <c r="L840" s="3">
        <v>2101</v>
      </c>
      <c r="M840" s="3">
        <v>12295</v>
      </c>
      <c r="N840" s="3" t="s">
        <v>5349</v>
      </c>
      <c r="R840" s="3">
        <v>18</v>
      </c>
      <c r="S840" s="3" t="s">
        <v>436</v>
      </c>
      <c r="T840" s="3" t="s">
        <v>5351</v>
      </c>
      <c r="U840" s="3" t="s">
        <v>290</v>
      </c>
      <c r="V840" s="3">
        <v>376</v>
      </c>
      <c r="W840" s="3">
        <v>0</v>
      </c>
      <c r="X840" s="3">
        <v>222</v>
      </c>
      <c r="Y840" s="3">
        <v>36</v>
      </c>
      <c r="Z840" s="3">
        <v>0</v>
      </c>
      <c r="AA840" s="3">
        <v>186</v>
      </c>
      <c r="AB840" s="3">
        <v>288</v>
      </c>
      <c r="AC840" s="192">
        <v>0</v>
      </c>
      <c r="AF840" s="193">
        <v>2.0833333333333332E-2</v>
      </c>
      <c r="AG840" s="193">
        <v>3.1944444444444442E-2</v>
      </c>
      <c r="AH840" s="193">
        <v>0.30902777777777779</v>
      </c>
    </row>
    <row r="841" spans="1:34" x14ac:dyDescent="0.25">
      <c r="A841" s="3" t="s">
        <v>443</v>
      </c>
      <c r="B841" s="3">
        <v>136018</v>
      </c>
      <c r="C841" s="3">
        <v>942207</v>
      </c>
      <c r="D841" s="3" t="s">
        <v>3526</v>
      </c>
      <c r="E841" s="3">
        <v>7</v>
      </c>
      <c r="F841" s="3">
        <v>4</v>
      </c>
      <c r="G841" s="3">
        <v>4</v>
      </c>
      <c r="H841" s="55" t="s">
        <v>289</v>
      </c>
      <c r="I841" s="3" t="s">
        <v>279</v>
      </c>
      <c r="J841" s="135">
        <v>46210</v>
      </c>
      <c r="K841" s="3" t="s">
        <v>5291</v>
      </c>
      <c r="L841" s="3">
        <v>2101</v>
      </c>
      <c r="M841" s="3">
        <v>12295</v>
      </c>
      <c r="N841" s="3" t="s">
        <v>5349</v>
      </c>
      <c r="R841" s="3">
        <v>18</v>
      </c>
      <c r="S841" s="3" t="s">
        <v>436</v>
      </c>
      <c r="T841" s="3" t="s">
        <v>5351</v>
      </c>
      <c r="U841" s="3">
        <v>22</v>
      </c>
      <c r="V841" s="3">
        <v>376</v>
      </c>
      <c r="W841" s="3">
        <v>0</v>
      </c>
      <c r="X841" s="3">
        <v>204</v>
      </c>
      <c r="Y841" s="3">
        <v>192</v>
      </c>
      <c r="Z841" s="3">
        <v>0</v>
      </c>
      <c r="AA841" s="3">
        <v>12</v>
      </c>
      <c r="AB841" s="3">
        <v>300</v>
      </c>
      <c r="AC841" s="192">
        <v>0</v>
      </c>
      <c r="AF841" s="193">
        <v>1.3888888888888889E-3</v>
      </c>
      <c r="AG841" s="193">
        <v>3.3333333333333333E-2</v>
      </c>
      <c r="AH841" s="193">
        <v>0.31041666666666667</v>
      </c>
    </row>
    <row r="842" spans="1:34" x14ac:dyDescent="0.25">
      <c r="A842" s="3" t="s">
        <v>443</v>
      </c>
      <c r="B842" s="3">
        <v>136018</v>
      </c>
      <c r="C842" s="3">
        <v>942207</v>
      </c>
      <c r="D842" s="3" t="s">
        <v>3526</v>
      </c>
      <c r="E842" s="3">
        <v>7</v>
      </c>
      <c r="F842" s="3">
        <v>5</v>
      </c>
      <c r="G842" s="3">
        <v>6</v>
      </c>
      <c r="H842" s="55" t="s">
        <v>289</v>
      </c>
      <c r="I842" s="3" t="s">
        <v>279</v>
      </c>
      <c r="J842" s="135">
        <v>46210</v>
      </c>
      <c r="L842" s="3">
        <v>2101</v>
      </c>
      <c r="M842" s="3">
        <v>12295</v>
      </c>
      <c r="N842" s="3" t="s">
        <v>5349</v>
      </c>
      <c r="R842" s="3">
        <v>18</v>
      </c>
      <c r="S842" s="3" t="s">
        <v>436</v>
      </c>
      <c r="T842" s="3" t="s">
        <v>5351</v>
      </c>
      <c r="U842" s="3">
        <v>25</v>
      </c>
      <c r="V842" s="3">
        <v>376</v>
      </c>
      <c r="W842" s="3">
        <v>0</v>
      </c>
      <c r="X842" s="3">
        <v>246</v>
      </c>
      <c r="Y842" s="3">
        <v>0</v>
      </c>
      <c r="Z842" s="3">
        <v>0</v>
      </c>
      <c r="AA842" s="3">
        <v>246</v>
      </c>
      <c r="AB842" s="3">
        <v>546</v>
      </c>
      <c r="AC842" s="192">
        <v>0</v>
      </c>
      <c r="AF842" s="193">
        <v>2.7083333333333334E-2</v>
      </c>
      <c r="AG842" s="193">
        <v>6.0416666666666667E-2</v>
      </c>
      <c r="AH842" s="193">
        <v>0.33750000000000002</v>
      </c>
    </row>
    <row r="843" spans="1:34" x14ac:dyDescent="0.25">
      <c r="A843" s="3" t="s">
        <v>443</v>
      </c>
      <c r="B843" s="3">
        <v>136044</v>
      </c>
      <c r="C843" s="3">
        <v>942207</v>
      </c>
      <c r="D843" s="3" t="s">
        <v>3526</v>
      </c>
      <c r="E843" s="3">
        <v>7</v>
      </c>
      <c r="F843" s="3">
        <v>6</v>
      </c>
      <c r="G843" s="3">
        <v>3</v>
      </c>
      <c r="H843" s="55" t="s">
        <v>289</v>
      </c>
      <c r="I843" s="3" t="s">
        <v>279</v>
      </c>
      <c r="J843" s="135">
        <v>46210</v>
      </c>
      <c r="L843" s="3">
        <v>2103</v>
      </c>
      <c r="M843" s="3">
        <v>27492</v>
      </c>
      <c r="N843" s="3" t="s">
        <v>5281</v>
      </c>
      <c r="R843" s="3">
        <v>14</v>
      </c>
      <c r="S843" s="3" t="s">
        <v>2873</v>
      </c>
      <c r="T843" s="3" t="s">
        <v>5410</v>
      </c>
      <c r="U843" s="3" t="s">
        <v>354</v>
      </c>
      <c r="V843" s="3">
        <v>215</v>
      </c>
      <c r="W843" s="3">
        <v>0</v>
      </c>
      <c r="X843" s="3">
        <v>48</v>
      </c>
      <c r="Y843" s="3">
        <v>0</v>
      </c>
      <c r="Z843" s="3">
        <v>0</v>
      </c>
      <c r="AA843" s="3">
        <v>48</v>
      </c>
      <c r="AB843" s="3">
        <v>594</v>
      </c>
      <c r="AC843" s="192">
        <v>0</v>
      </c>
      <c r="AF843" s="193">
        <v>9.0277777777777769E-3</v>
      </c>
      <c r="AG843" s="193">
        <v>6.9444444444444448E-2</v>
      </c>
      <c r="AH843" s="193">
        <v>0.34652777777777777</v>
      </c>
    </row>
    <row r="844" spans="1:34" x14ac:dyDescent="0.25">
      <c r="A844" s="3" t="s">
        <v>443</v>
      </c>
      <c r="B844" s="3">
        <v>136044</v>
      </c>
      <c r="C844" s="3">
        <v>942207</v>
      </c>
      <c r="D844" s="3" t="s">
        <v>3526</v>
      </c>
      <c r="E844" s="3">
        <v>7</v>
      </c>
      <c r="F844" s="3">
        <v>7</v>
      </c>
      <c r="G844" s="3">
        <v>4</v>
      </c>
      <c r="H844" s="55" t="s">
        <v>289</v>
      </c>
      <c r="I844" s="3" t="s">
        <v>279</v>
      </c>
      <c r="J844" s="135">
        <v>46210</v>
      </c>
      <c r="L844" s="3">
        <v>2103</v>
      </c>
      <c r="M844" s="3">
        <v>27492</v>
      </c>
      <c r="N844" s="3" t="s">
        <v>5281</v>
      </c>
      <c r="R844" s="3">
        <v>14</v>
      </c>
      <c r="S844" s="3" t="s">
        <v>2873</v>
      </c>
      <c r="T844" s="3" t="s">
        <v>5410</v>
      </c>
      <c r="U844" s="3">
        <v>19</v>
      </c>
      <c r="V844" s="3">
        <v>215</v>
      </c>
      <c r="W844" s="3">
        <v>0</v>
      </c>
      <c r="X844" s="3">
        <v>46</v>
      </c>
      <c r="Y844" s="3">
        <v>0</v>
      </c>
      <c r="Z844" s="3">
        <v>0</v>
      </c>
      <c r="AA844" s="3">
        <v>46</v>
      </c>
      <c r="AB844" s="3">
        <v>640</v>
      </c>
      <c r="AC844" s="192">
        <v>8.3333333333333332E-3</v>
      </c>
      <c r="AD844" s="3" t="s">
        <v>292</v>
      </c>
      <c r="AF844" s="193">
        <v>9.0277777777777769E-3</v>
      </c>
      <c r="AG844" s="193">
        <v>7.8472222222222221E-2</v>
      </c>
      <c r="AH844" s="193">
        <v>0.36388888888888887</v>
      </c>
    </row>
    <row r="845" spans="1:34" x14ac:dyDescent="0.25">
      <c r="A845" s="3" t="s">
        <v>443</v>
      </c>
      <c r="B845" s="3">
        <v>136044</v>
      </c>
      <c r="C845" s="3">
        <v>942207</v>
      </c>
      <c r="D845" s="3" t="s">
        <v>3526</v>
      </c>
      <c r="E845" s="3">
        <v>7</v>
      </c>
      <c r="F845" s="3">
        <v>8</v>
      </c>
      <c r="G845" s="3">
        <v>5</v>
      </c>
      <c r="H845" s="55" t="s">
        <v>289</v>
      </c>
      <c r="I845" s="3" t="s">
        <v>279</v>
      </c>
      <c r="J845" s="135">
        <v>46210</v>
      </c>
      <c r="L845" s="3">
        <v>2103</v>
      </c>
      <c r="M845" s="3">
        <v>27492</v>
      </c>
      <c r="N845" s="3" t="s">
        <v>5281</v>
      </c>
      <c r="R845" s="3">
        <v>14</v>
      </c>
      <c r="S845" s="3" t="s">
        <v>2873</v>
      </c>
      <c r="T845" s="3" t="s">
        <v>5410</v>
      </c>
      <c r="U845" s="3" t="s">
        <v>355</v>
      </c>
      <c r="V845" s="3">
        <v>215</v>
      </c>
      <c r="W845" s="3">
        <v>0</v>
      </c>
      <c r="X845" s="3">
        <v>70</v>
      </c>
      <c r="Y845" s="3">
        <v>0</v>
      </c>
      <c r="Z845" s="3">
        <v>0</v>
      </c>
      <c r="AA845" s="3">
        <v>70</v>
      </c>
      <c r="AB845" s="3">
        <v>710</v>
      </c>
      <c r="AC845" s="192">
        <v>0</v>
      </c>
      <c r="AF845" s="193">
        <v>1.3888888888888888E-2</v>
      </c>
      <c r="AG845" s="193">
        <v>9.2361111111111116E-2</v>
      </c>
      <c r="AH845" s="193">
        <v>0.37777777777777777</v>
      </c>
    </row>
    <row r="846" spans="1:34" x14ac:dyDescent="0.25">
      <c r="A846" s="3" t="s">
        <v>443</v>
      </c>
      <c r="B846" s="3">
        <v>136044</v>
      </c>
      <c r="C846" s="3">
        <v>942207</v>
      </c>
      <c r="D846" s="3" t="s">
        <v>3526</v>
      </c>
      <c r="E846" s="3">
        <v>7</v>
      </c>
      <c r="F846" s="3">
        <v>9</v>
      </c>
      <c r="G846" s="3">
        <v>6</v>
      </c>
      <c r="H846" s="55" t="s">
        <v>289</v>
      </c>
      <c r="I846" s="3" t="s">
        <v>279</v>
      </c>
      <c r="J846" s="135">
        <v>46210</v>
      </c>
      <c r="L846" s="3">
        <v>2103</v>
      </c>
      <c r="M846" s="3">
        <v>27492</v>
      </c>
      <c r="N846" s="3" t="s">
        <v>5281</v>
      </c>
      <c r="R846" s="3">
        <v>14</v>
      </c>
      <c r="S846" s="3" t="s">
        <v>2873</v>
      </c>
      <c r="T846" s="3" t="s">
        <v>5410</v>
      </c>
      <c r="U846" s="3">
        <v>22</v>
      </c>
      <c r="V846" s="3">
        <v>215</v>
      </c>
      <c r="W846" s="3">
        <v>0</v>
      </c>
      <c r="X846" s="3">
        <v>76</v>
      </c>
      <c r="Y846" s="3">
        <v>0</v>
      </c>
      <c r="Z846" s="3">
        <v>0</v>
      </c>
      <c r="AA846" s="3">
        <v>76</v>
      </c>
      <c r="AB846" s="3">
        <v>786</v>
      </c>
      <c r="AC846" s="192">
        <v>0</v>
      </c>
      <c r="AF846" s="193">
        <v>1.4583333333333334E-2</v>
      </c>
      <c r="AG846" s="193">
        <v>0.10694444444444444</v>
      </c>
      <c r="AH846" s="193">
        <v>0.3923611111111111</v>
      </c>
    </row>
    <row r="847" spans="1:34" x14ac:dyDescent="0.25">
      <c r="A847" s="3" t="s">
        <v>443</v>
      </c>
      <c r="B847" s="3">
        <v>136044</v>
      </c>
      <c r="C847" s="3">
        <v>942207</v>
      </c>
      <c r="D847" s="3" t="s">
        <v>3526</v>
      </c>
      <c r="E847" s="3">
        <v>7</v>
      </c>
      <c r="F847" s="3">
        <v>10</v>
      </c>
      <c r="G847" s="3">
        <v>7</v>
      </c>
      <c r="H847" s="55" t="s">
        <v>289</v>
      </c>
      <c r="I847" s="3" t="s">
        <v>279</v>
      </c>
      <c r="J847" s="135">
        <v>46210</v>
      </c>
      <c r="L847" s="3">
        <v>2103</v>
      </c>
      <c r="M847" s="3">
        <v>27492</v>
      </c>
      <c r="N847" s="3" t="s">
        <v>5281</v>
      </c>
      <c r="R847" s="3">
        <v>14</v>
      </c>
      <c r="S847" s="3" t="s">
        <v>2873</v>
      </c>
      <c r="T847" s="3" t="s">
        <v>5410</v>
      </c>
      <c r="U847" s="3" t="s">
        <v>290</v>
      </c>
      <c r="V847" s="3">
        <v>215</v>
      </c>
      <c r="W847" s="3">
        <v>0</v>
      </c>
      <c r="X847" s="3">
        <v>72</v>
      </c>
      <c r="Y847" s="3">
        <v>0</v>
      </c>
      <c r="Z847" s="3">
        <v>0</v>
      </c>
      <c r="AA847" s="3">
        <v>72</v>
      </c>
      <c r="AB847" s="3">
        <v>858</v>
      </c>
      <c r="AC847" s="192">
        <v>0</v>
      </c>
      <c r="AF847" s="193">
        <v>1.3888888888888888E-2</v>
      </c>
      <c r="AG847" s="193">
        <v>0.12083333333333333</v>
      </c>
      <c r="AH847" s="193">
        <v>0.40625</v>
      </c>
    </row>
    <row r="848" spans="1:34" x14ac:dyDescent="0.25">
      <c r="A848" s="3" t="s">
        <v>443</v>
      </c>
      <c r="B848" s="3">
        <v>135795</v>
      </c>
      <c r="C848" s="3">
        <v>942207</v>
      </c>
      <c r="D848" s="3" t="s">
        <v>3526</v>
      </c>
      <c r="E848" s="3">
        <v>7</v>
      </c>
      <c r="F848" s="3">
        <v>11</v>
      </c>
      <c r="G848" s="3">
        <v>3</v>
      </c>
      <c r="H848" s="55" t="s">
        <v>289</v>
      </c>
      <c r="I848" s="3" t="s">
        <v>279</v>
      </c>
      <c r="J848" s="135">
        <v>46210</v>
      </c>
      <c r="L848" s="3">
        <v>2103</v>
      </c>
      <c r="M848" s="3">
        <v>27492</v>
      </c>
      <c r="N848" s="3" t="s">
        <v>5281</v>
      </c>
      <c r="R848" s="3">
        <v>14</v>
      </c>
      <c r="S848" s="3" t="s">
        <v>2872</v>
      </c>
      <c r="T848" s="3" t="s">
        <v>5283</v>
      </c>
      <c r="U848" s="3" t="s">
        <v>290</v>
      </c>
      <c r="V848" s="3">
        <v>215</v>
      </c>
      <c r="W848" s="3">
        <v>0</v>
      </c>
      <c r="X848" s="3">
        <v>172</v>
      </c>
      <c r="Y848" s="3">
        <v>0</v>
      </c>
      <c r="Z848" s="3">
        <v>0</v>
      </c>
      <c r="AA848" s="3">
        <v>172</v>
      </c>
      <c r="AB848" s="3">
        <v>1030</v>
      </c>
      <c r="AC848" s="192">
        <v>0</v>
      </c>
      <c r="AF848" s="193">
        <v>3.3333333333333333E-2</v>
      </c>
      <c r="AG848" s="193">
        <v>0.15416666666666667</v>
      </c>
      <c r="AH848" s="193">
        <v>0.43958333333333333</v>
      </c>
    </row>
    <row r="849" spans="1:34" x14ac:dyDescent="0.25">
      <c r="A849" s="3" t="s">
        <v>443</v>
      </c>
      <c r="B849" s="3">
        <v>135798</v>
      </c>
      <c r="C849" s="3">
        <v>942207</v>
      </c>
      <c r="D849" s="3" t="s">
        <v>3526</v>
      </c>
      <c r="E849" s="3">
        <v>7</v>
      </c>
      <c r="F849" s="3">
        <v>12</v>
      </c>
      <c r="G849" s="3">
        <v>3</v>
      </c>
      <c r="H849" s="55" t="s">
        <v>289</v>
      </c>
      <c r="I849" s="3" t="s">
        <v>279</v>
      </c>
      <c r="J849" s="135">
        <v>46210</v>
      </c>
      <c r="L849" s="3">
        <v>2160</v>
      </c>
      <c r="M849" s="3">
        <v>27529</v>
      </c>
      <c r="N849" s="3" t="s">
        <v>5493</v>
      </c>
      <c r="R849" s="3">
        <v>14</v>
      </c>
      <c r="S849" s="3" t="s">
        <v>2907</v>
      </c>
      <c r="T849" s="3" t="s">
        <v>5492</v>
      </c>
      <c r="U849" s="3">
        <v>29</v>
      </c>
      <c r="V849" s="3">
        <v>353</v>
      </c>
      <c r="W849" s="3">
        <v>0</v>
      </c>
      <c r="X849" s="3">
        <v>20</v>
      </c>
      <c r="Y849" s="3">
        <v>0</v>
      </c>
      <c r="Z849" s="3">
        <v>0</v>
      </c>
      <c r="AA849" s="3">
        <v>20</v>
      </c>
      <c r="AB849" s="3">
        <v>1050</v>
      </c>
      <c r="AC849" s="192">
        <v>0</v>
      </c>
      <c r="AF849" s="193">
        <v>2.0833333333333333E-3</v>
      </c>
      <c r="AG849" s="193">
        <v>0.15625</v>
      </c>
      <c r="AH849" s="193">
        <v>0.44166666666666665</v>
      </c>
    </row>
    <row r="850" spans="1:34" x14ac:dyDescent="0.25">
      <c r="A850" s="3" t="s">
        <v>443</v>
      </c>
      <c r="B850" s="3">
        <v>135798</v>
      </c>
      <c r="C850" s="3">
        <v>942207</v>
      </c>
      <c r="D850" s="3" t="s">
        <v>3526</v>
      </c>
      <c r="E850" s="3">
        <v>7</v>
      </c>
      <c r="F850" s="3">
        <v>13</v>
      </c>
      <c r="G850" s="3">
        <v>4</v>
      </c>
      <c r="H850" s="55" t="s">
        <v>289</v>
      </c>
      <c r="I850" s="3" t="s">
        <v>279</v>
      </c>
      <c r="J850" s="135">
        <v>46210</v>
      </c>
      <c r="L850" s="3">
        <v>2160</v>
      </c>
      <c r="M850" s="3">
        <v>27529</v>
      </c>
      <c r="N850" s="3" t="s">
        <v>5493</v>
      </c>
      <c r="R850" s="3">
        <v>14</v>
      </c>
      <c r="S850" s="3" t="s">
        <v>2907</v>
      </c>
      <c r="T850" s="3" t="s">
        <v>5492</v>
      </c>
      <c r="U850" s="3" t="s">
        <v>398</v>
      </c>
      <c r="V850" s="3">
        <v>353</v>
      </c>
      <c r="W850" s="3">
        <v>0</v>
      </c>
      <c r="X850" s="3">
        <v>90</v>
      </c>
      <c r="Y850" s="3">
        <v>0</v>
      </c>
      <c r="Z850" s="3">
        <v>0</v>
      </c>
      <c r="AA850" s="3">
        <v>90</v>
      </c>
      <c r="AB850" s="3">
        <v>1140</v>
      </c>
      <c r="AC850" s="192">
        <v>0</v>
      </c>
      <c r="AF850" s="193">
        <v>1.0416666666666666E-2</v>
      </c>
      <c r="AG850" s="193">
        <v>0.1673611111111111</v>
      </c>
      <c r="AH850" s="193">
        <v>0.45208333333333334</v>
      </c>
    </row>
    <row r="851" spans="1:34" x14ac:dyDescent="0.25">
      <c r="A851" s="3" t="s">
        <v>443</v>
      </c>
      <c r="B851" s="3">
        <v>136378</v>
      </c>
      <c r="C851" s="3">
        <v>942207</v>
      </c>
      <c r="D851" s="3" t="s">
        <v>3526</v>
      </c>
      <c r="E851" s="3">
        <v>7</v>
      </c>
      <c r="F851" s="3">
        <v>14</v>
      </c>
      <c r="G851" s="3">
        <v>1</v>
      </c>
      <c r="H851" s="55" t="s">
        <v>289</v>
      </c>
      <c r="I851" s="3" t="s">
        <v>279</v>
      </c>
      <c r="J851" s="135">
        <v>46210</v>
      </c>
      <c r="L851" s="3">
        <v>2160</v>
      </c>
      <c r="M851" s="3">
        <v>27529</v>
      </c>
      <c r="N851" s="3" t="s">
        <v>5493</v>
      </c>
      <c r="R851" s="3">
        <v>13</v>
      </c>
      <c r="S851" s="3" t="s">
        <v>2904</v>
      </c>
      <c r="T851" s="3" t="s">
        <v>5494</v>
      </c>
      <c r="U851" s="3" t="s">
        <v>398</v>
      </c>
      <c r="V851" s="3">
        <v>357</v>
      </c>
      <c r="W851" s="3">
        <v>0</v>
      </c>
      <c r="X851" s="3">
        <v>22</v>
      </c>
      <c r="Y851" s="3">
        <v>0</v>
      </c>
      <c r="Z851" s="3">
        <v>0</v>
      </c>
      <c r="AA851" s="3">
        <v>22</v>
      </c>
      <c r="AB851" s="3">
        <v>1162</v>
      </c>
      <c r="AC851" s="192">
        <v>0</v>
      </c>
      <c r="AF851" s="193">
        <v>2.7777777777777779E-3</v>
      </c>
      <c r="AG851" s="193">
        <v>0.16944444444444445</v>
      </c>
      <c r="AH851" s="193">
        <v>0.4548611111111111</v>
      </c>
    </row>
    <row r="852" spans="1:34" x14ac:dyDescent="0.25">
      <c r="A852" s="3" t="s">
        <v>443</v>
      </c>
      <c r="B852" s="3">
        <v>136045</v>
      </c>
      <c r="C852" s="3">
        <v>942207</v>
      </c>
      <c r="D852" s="3" t="s">
        <v>3526</v>
      </c>
      <c r="E852" s="3">
        <v>7</v>
      </c>
      <c r="F852" s="3">
        <v>15</v>
      </c>
      <c r="G852" s="3">
        <v>3</v>
      </c>
      <c r="H852" s="55" t="s">
        <v>289</v>
      </c>
      <c r="I852" s="3" t="s">
        <v>279</v>
      </c>
      <c r="J852" s="135">
        <v>46210</v>
      </c>
      <c r="L852" s="3">
        <v>2160</v>
      </c>
      <c r="M852" s="3">
        <v>27529</v>
      </c>
      <c r="N852" s="3" t="s">
        <v>5493</v>
      </c>
      <c r="R852" s="3">
        <v>15</v>
      </c>
      <c r="S852" s="3" t="s">
        <v>2903</v>
      </c>
      <c r="T852" s="3" t="s">
        <v>5495</v>
      </c>
      <c r="U852" s="3">
        <v>25</v>
      </c>
      <c r="V852" s="3">
        <v>353</v>
      </c>
      <c r="W852" s="3">
        <v>0</v>
      </c>
      <c r="X852" s="3">
        <v>158</v>
      </c>
      <c r="Y852" s="3">
        <v>0</v>
      </c>
      <c r="Z852" s="3">
        <v>0</v>
      </c>
      <c r="AA852" s="3">
        <v>158</v>
      </c>
      <c r="AB852" s="3">
        <v>1320</v>
      </c>
      <c r="AC852" s="192">
        <v>4.1666666666666664E-2</v>
      </c>
      <c r="AD852" s="3" t="s">
        <v>294</v>
      </c>
      <c r="AE852" s="3" t="s">
        <v>295</v>
      </c>
      <c r="AF852" s="193">
        <v>1.8749999999999999E-2</v>
      </c>
      <c r="AG852" s="193">
        <v>0.18819444444444444</v>
      </c>
      <c r="AH852" s="193">
        <v>0.51527777777777772</v>
      </c>
    </row>
    <row r="853" spans="1:34" x14ac:dyDescent="0.25">
      <c r="A853" s="3" t="s">
        <v>443</v>
      </c>
      <c r="B853" s="3">
        <v>136045</v>
      </c>
      <c r="C853" s="3">
        <v>942207</v>
      </c>
      <c r="D853" s="3" t="s">
        <v>3526</v>
      </c>
      <c r="E853" s="3">
        <v>7</v>
      </c>
      <c r="F853" s="3">
        <v>16</v>
      </c>
      <c r="G853" s="3">
        <v>4</v>
      </c>
      <c r="H853" s="55" t="s">
        <v>289</v>
      </c>
      <c r="I853" s="3" t="s">
        <v>279</v>
      </c>
      <c r="J853" s="135">
        <v>46210</v>
      </c>
      <c r="L853" s="3">
        <v>2160</v>
      </c>
      <c r="M853" s="3">
        <v>27529</v>
      </c>
      <c r="N853" s="3" t="s">
        <v>5493</v>
      </c>
      <c r="R853" s="3">
        <v>15</v>
      </c>
      <c r="S853" s="3" t="s">
        <v>2903</v>
      </c>
      <c r="T853" s="3" t="s">
        <v>5495</v>
      </c>
      <c r="U853" s="3" t="s">
        <v>397</v>
      </c>
      <c r="V853" s="3">
        <v>353</v>
      </c>
      <c r="W853" s="3">
        <v>0</v>
      </c>
      <c r="X853" s="3">
        <v>268</v>
      </c>
      <c r="Y853" s="3">
        <v>0</v>
      </c>
      <c r="Z853" s="3">
        <v>0</v>
      </c>
      <c r="AA853" s="3">
        <v>268</v>
      </c>
      <c r="AB853" s="3">
        <v>1588</v>
      </c>
      <c r="AC853" s="192">
        <v>0</v>
      </c>
      <c r="AF853" s="193">
        <v>3.1944444444444442E-2</v>
      </c>
      <c r="AG853" s="193">
        <v>0.22013888888888888</v>
      </c>
      <c r="AH853" s="193">
        <v>0.54722222222222228</v>
      </c>
    </row>
    <row r="854" spans="1:34" x14ac:dyDescent="0.25">
      <c r="A854" s="3" t="s">
        <v>443</v>
      </c>
      <c r="B854" s="3">
        <v>136045</v>
      </c>
      <c r="C854" s="3">
        <v>942207</v>
      </c>
      <c r="D854" s="3" t="s">
        <v>3526</v>
      </c>
      <c r="E854" s="3">
        <v>7</v>
      </c>
      <c r="F854" s="3">
        <v>17</v>
      </c>
      <c r="G854" s="3">
        <v>5</v>
      </c>
      <c r="H854" s="55" t="s">
        <v>289</v>
      </c>
      <c r="I854" s="3" t="s">
        <v>279</v>
      </c>
      <c r="J854" s="135">
        <v>46210</v>
      </c>
      <c r="L854" s="3">
        <v>2160</v>
      </c>
      <c r="M854" s="3">
        <v>27529</v>
      </c>
      <c r="N854" s="3" t="s">
        <v>5493</v>
      </c>
      <c r="R854" s="3">
        <v>15</v>
      </c>
      <c r="S854" s="3" t="s">
        <v>2903</v>
      </c>
      <c r="T854" s="3" t="s">
        <v>5495</v>
      </c>
      <c r="U854" s="3">
        <v>28</v>
      </c>
      <c r="V854" s="3">
        <v>353</v>
      </c>
      <c r="W854" s="3">
        <v>0</v>
      </c>
      <c r="X854" s="3">
        <v>302</v>
      </c>
      <c r="Y854" s="3">
        <v>0</v>
      </c>
      <c r="Z854" s="3">
        <v>0</v>
      </c>
      <c r="AA854" s="3">
        <v>302</v>
      </c>
      <c r="AB854" s="3">
        <v>1890</v>
      </c>
      <c r="AC854" s="192">
        <v>8.3333333333333332E-3</v>
      </c>
      <c r="AD854" s="3" t="s">
        <v>404</v>
      </c>
      <c r="AF854" s="193">
        <v>3.5416666666666666E-2</v>
      </c>
      <c r="AG854" s="193">
        <v>0.25555555555555554</v>
      </c>
      <c r="AH854" s="193">
        <v>0.59097222222222223</v>
      </c>
    </row>
    <row r="855" spans="1:34" x14ac:dyDescent="0.25">
      <c r="A855" s="3" t="s">
        <v>443</v>
      </c>
      <c r="B855" s="3">
        <v>136045</v>
      </c>
      <c r="C855" s="3">
        <v>942207</v>
      </c>
      <c r="D855" s="3" t="s">
        <v>3526</v>
      </c>
      <c r="E855" s="3">
        <v>7</v>
      </c>
      <c r="F855" s="3">
        <v>18</v>
      </c>
      <c r="G855" s="3">
        <v>6</v>
      </c>
      <c r="H855" s="55" t="s">
        <v>289</v>
      </c>
      <c r="I855" s="3" t="s">
        <v>279</v>
      </c>
      <c r="J855" s="135">
        <v>46210</v>
      </c>
      <c r="L855" s="3">
        <v>2160</v>
      </c>
      <c r="M855" s="3">
        <v>27529</v>
      </c>
      <c r="N855" s="3" t="s">
        <v>5493</v>
      </c>
      <c r="R855" s="3">
        <v>15</v>
      </c>
      <c r="S855" s="3" t="s">
        <v>2903</v>
      </c>
      <c r="T855" s="3" t="s">
        <v>5495</v>
      </c>
      <c r="U855" s="3">
        <v>29</v>
      </c>
      <c r="V855" s="3">
        <v>353</v>
      </c>
      <c r="W855" s="3">
        <v>0</v>
      </c>
      <c r="X855" s="3">
        <v>314</v>
      </c>
      <c r="Y855" s="3">
        <v>0</v>
      </c>
      <c r="Z855" s="3">
        <v>0</v>
      </c>
      <c r="AA855" s="3">
        <v>314</v>
      </c>
      <c r="AB855" s="3">
        <v>2204</v>
      </c>
      <c r="AC855" s="192">
        <v>0</v>
      </c>
      <c r="AF855" s="193">
        <v>3.6805555555555557E-2</v>
      </c>
      <c r="AG855" s="193">
        <v>0.29305555555555557</v>
      </c>
      <c r="AH855" s="193">
        <v>0.62777777777777777</v>
      </c>
    </row>
    <row r="856" spans="1:34" x14ac:dyDescent="0.25">
      <c r="A856" s="3" t="s">
        <v>443</v>
      </c>
      <c r="B856" s="3">
        <v>136045</v>
      </c>
      <c r="C856" s="3">
        <v>942207</v>
      </c>
      <c r="D856" s="3" t="s">
        <v>3526</v>
      </c>
      <c r="E856" s="3">
        <v>7</v>
      </c>
      <c r="F856" s="3">
        <v>19</v>
      </c>
      <c r="G856" s="3">
        <v>7</v>
      </c>
      <c r="H856" s="55" t="s">
        <v>289</v>
      </c>
      <c r="I856" s="3" t="s">
        <v>279</v>
      </c>
      <c r="J856" s="135">
        <v>46210</v>
      </c>
      <c r="L856" s="3">
        <v>2160</v>
      </c>
      <c r="M856" s="3">
        <v>27529</v>
      </c>
      <c r="N856" s="3" t="s">
        <v>5493</v>
      </c>
      <c r="R856" s="3">
        <v>15</v>
      </c>
      <c r="S856" s="3" t="s">
        <v>2903</v>
      </c>
      <c r="T856" s="3" t="s">
        <v>5495</v>
      </c>
      <c r="U856" s="3">
        <v>30</v>
      </c>
      <c r="V856" s="3">
        <v>353</v>
      </c>
      <c r="W856" s="3">
        <v>0</v>
      </c>
      <c r="X856" s="3">
        <v>304</v>
      </c>
      <c r="Y856" s="3">
        <v>0</v>
      </c>
      <c r="Z856" s="3">
        <v>0</v>
      </c>
      <c r="AA856" s="3">
        <v>304</v>
      </c>
      <c r="AB856" s="3">
        <v>2508</v>
      </c>
      <c r="AC856" s="192">
        <v>0</v>
      </c>
      <c r="AF856" s="193">
        <v>3.6111111111111108E-2</v>
      </c>
      <c r="AG856" s="193">
        <v>0.32847222222222222</v>
      </c>
      <c r="AH856" s="193">
        <v>0.67083333333333328</v>
      </c>
    </row>
    <row r="857" spans="1:34" x14ac:dyDescent="0.25">
      <c r="A857" s="3" t="s">
        <v>443</v>
      </c>
      <c r="B857" s="3">
        <v>136045</v>
      </c>
      <c r="C857" s="3">
        <v>942207</v>
      </c>
      <c r="D857" s="3" t="s">
        <v>3526</v>
      </c>
      <c r="E857" s="3">
        <v>7</v>
      </c>
      <c r="F857" s="3">
        <v>20</v>
      </c>
      <c r="G857" s="3">
        <v>8</v>
      </c>
      <c r="H857" s="55" t="s">
        <v>289</v>
      </c>
      <c r="I857" s="3" t="s">
        <v>279</v>
      </c>
      <c r="J857" s="135">
        <v>46210</v>
      </c>
      <c r="L857" s="3">
        <v>2160</v>
      </c>
      <c r="M857" s="3">
        <v>27529</v>
      </c>
      <c r="N857" s="3" t="s">
        <v>5493</v>
      </c>
      <c r="R857" s="3">
        <v>15</v>
      </c>
      <c r="S857" s="3" t="s">
        <v>2903</v>
      </c>
      <c r="T857" s="3" t="s">
        <v>5495</v>
      </c>
      <c r="U857" s="3">
        <v>31</v>
      </c>
      <c r="V857" s="3">
        <v>353</v>
      </c>
      <c r="W857" s="3">
        <v>0</v>
      </c>
      <c r="X857" s="3">
        <v>308</v>
      </c>
      <c r="Y857" s="3">
        <v>0</v>
      </c>
      <c r="Z857" s="3">
        <v>0</v>
      </c>
      <c r="AA857" s="3">
        <v>308</v>
      </c>
      <c r="AB857" s="3">
        <v>2816</v>
      </c>
      <c r="AC857" s="192">
        <v>0</v>
      </c>
      <c r="AF857" s="193">
        <v>3.6111111111111108E-2</v>
      </c>
      <c r="AG857" s="193">
        <v>0.36527777777777776</v>
      </c>
      <c r="AH857" s="193">
        <v>0.70694444444444449</v>
      </c>
    </row>
    <row r="858" spans="1:34" x14ac:dyDescent="0.25">
      <c r="A858" s="3" t="s">
        <v>443</v>
      </c>
      <c r="B858" s="3">
        <v>136045</v>
      </c>
      <c r="C858" s="3">
        <v>942207</v>
      </c>
      <c r="D858" s="3" t="s">
        <v>3526</v>
      </c>
      <c r="E858" s="3">
        <v>7</v>
      </c>
      <c r="F858" s="3">
        <v>21</v>
      </c>
      <c r="G858" s="3">
        <v>9</v>
      </c>
      <c r="H858" s="55" t="s">
        <v>289</v>
      </c>
      <c r="I858" s="3" t="s">
        <v>279</v>
      </c>
      <c r="J858" s="135">
        <v>46210</v>
      </c>
      <c r="L858" s="3">
        <v>2160</v>
      </c>
      <c r="M858" s="3">
        <v>27529</v>
      </c>
      <c r="N858" s="3" t="s">
        <v>5493</v>
      </c>
      <c r="R858" s="3">
        <v>15</v>
      </c>
      <c r="S858" s="3" t="s">
        <v>2903</v>
      </c>
      <c r="T858" s="3" t="s">
        <v>5495</v>
      </c>
      <c r="U858" s="3" t="s">
        <v>398</v>
      </c>
      <c r="V858" s="3">
        <v>353</v>
      </c>
      <c r="W858" s="3">
        <v>0</v>
      </c>
      <c r="X858" s="3">
        <v>156</v>
      </c>
      <c r="Y858" s="3">
        <v>0</v>
      </c>
      <c r="Z858" s="3">
        <v>0</v>
      </c>
      <c r="AA858" s="3">
        <v>156</v>
      </c>
      <c r="AB858" s="3">
        <v>2972</v>
      </c>
      <c r="AC858" s="192">
        <v>0</v>
      </c>
      <c r="AF858" s="193">
        <v>1.8749999999999999E-2</v>
      </c>
      <c r="AG858" s="193">
        <v>0.38333333333333336</v>
      </c>
      <c r="AH858" s="193">
        <v>0.72569444444444442</v>
      </c>
    </row>
    <row r="859" spans="1:34" x14ac:dyDescent="0.25">
      <c r="A859" s="3" t="s">
        <v>443</v>
      </c>
      <c r="B859" s="3">
        <v>135797</v>
      </c>
      <c r="C859" s="3">
        <v>942207</v>
      </c>
      <c r="D859" s="3" t="s">
        <v>3526</v>
      </c>
      <c r="E859" s="3">
        <v>7</v>
      </c>
      <c r="F859" s="3">
        <v>22</v>
      </c>
      <c r="G859" s="3">
        <v>3</v>
      </c>
      <c r="H859" s="55" t="s">
        <v>289</v>
      </c>
      <c r="I859" s="3" t="s">
        <v>279</v>
      </c>
      <c r="J859" s="135">
        <v>46210</v>
      </c>
      <c r="L859" s="3">
        <v>2160</v>
      </c>
      <c r="M859" s="3">
        <v>27529</v>
      </c>
      <c r="N859" s="3" t="s">
        <v>5493</v>
      </c>
      <c r="R859" s="3">
        <v>13</v>
      </c>
      <c r="S859" s="3" t="s">
        <v>2906</v>
      </c>
      <c r="T859" s="3" t="s">
        <v>297</v>
      </c>
      <c r="U859" s="3" t="s">
        <v>397</v>
      </c>
      <c r="V859" s="3">
        <v>357</v>
      </c>
      <c r="W859" s="3">
        <v>0</v>
      </c>
      <c r="X859" s="3">
        <v>96</v>
      </c>
      <c r="Y859" s="3">
        <v>0</v>
      </c>
      <c r="Z859" s="3">
        <v>0</v>
      </c>
      <c r="AA859" s="3">
        <v>96</v>
      </c>
      <c r="AB859" s="3">
        <v>3068</v>
      </c>
      <c r="AC859" s="192">
        <v>0</v>
      </c>
      <c r="AF859" s="193">
        <v>1.1111111111111112E-2</v>
      </c>
      <c r="AG859" s="193">
        <v>0.39444444444444443</v>
      </c>
      <c r="AH859" s="193">
        <v>0.7368055555555556</v>
      </c>
    </row>
    <row r="860" spans="1:34" x14ac:dyDescent="0.25">
      <c r="A860" s="3" t="s">
        <v>443</v>
      </c>
      <c r="B860" s="3">
        <v>135797</v>
      </c>
      <c r="C860" s="3">
        <v>942207</v>
      </c>
      <c r="D860" s="3" t="s">
        <v>3526</v>
      </c>
      <c r="E860" s="3">
        <v>7</v>
      </c>
      <c r="F860" s="3">
        <v>23</v>
      </c>
      <c r="G860" s="3">
        <v>4</v>
      </c>
      <c r="H860" s="55" t="s">
        <v>289</v>
      </c>
      <c r="I860" s="3" t="s">
        <v>279</v>
      </c>
      <c r="J860" s="135">
        <v>46210</v>
      </c>
      <c r="L860" s="3">
        <v>2160</v>
      </c>
      <c r="M860" s="3">
        <v>27529</v>
      </c>
      <c r="N860" s="3" t="s">
        <v>5493</v>
      </c>
      <c r="R860" s="3">
        <v>13</v>
      </c>
      <c r="S860" s="3" t="s">
        <v>2906</v>
      </c>
      <c r="T860" s="3" t="s">
        <v>297</v>
      </c>
      <c r="U860" s="3">
        <v>28</v>
      </c>
      <c r="V860" s="3">
        <v>357</v>
      </c>
      <c r="W860" s="3">
        <v>0</v>
      </c>
      <c r="X860" s="3">
        <v>148</v>
      </c>
      <c r="Y860" s="3">
        <v>0</v>
      </c>
      <c r="Z860" s="3">
        <v>0</v>
      </c>
      <c r="AA860" s="3">
        <v>148</v>
      </c>
      <c r="AB860" s="3">
        <v>3216</v>
      </c>
      <c r="AC860" s="192">
        <v>0</v>
      </c>
      <c r="AF860" s="193">
        <v>1.7361111111111112E-2</v>
      </c>
      <c r="AG860" s="193">
        <v>0.41180555555555554</v>
      </c>
      <c r="AH860" s="193">
        <v>0.75416666666666665</v>
      </c>
    </row>
    <row r="861" spans="1:34" x14ac:dyDescent="0.25">
      <c r="A861" s="3" t="s">
        <v>443</v>
      </c>
      <c r="B861" s="3">
        <v>135797</v>
      </c>
      <c r="C861" s="3">
        <v>942207</v>
      </c>
      <c r="D861" s="3" t="s">
        <v>3526</v>
      </c>
      <c r="E861" s="3">
        <v>7</v>
      </c>
      <c r="F861" s="3">
        <v>24</v>
      </c>
      <c r="G861" s="3">
        <v>5</v>
      </c>
      <c r="H861" s="55" t="s">
        <v>289</v>
      </c>
      <c r="I861" s="3" t="s">
        <v>279</v>
      </c>
      <c r="J861" s="135">
        <v>46210</v>
      </c>
      <c r="L861" s="3">
        <v>2160</v>
      </c>
      <c r="M861" s="3">
        <v>27529</v>
      </c>
      <c r="N861" s="3" t="s">
        <v>5493</v>
      </c>
      <c r="R861" s="3">
        <v>13</v>
      </c>
      <c r="S861" s="3" t="s">
        <v>2906</v>
      </c>
      <c r="T861" s="3" t="s">
        <v>297</v>
      </c>
      <c r="U861" s="3">
        <v>29</v>
      </c>
      <c r="V861" s="3">
        <v>357</v>
      </c>
      <c r="W861" s="3">
        <v>0</v>
      </c>
      <c r="X861" s="3">
        <v>154</v>
      </c>
      <c r="Y861" s="3">
        <v>0</v>
      </c>
      <c r="Z861" s="3">
        <v>0</v>
      </c>
      <c r="AA861" s="3">
        <v>154</v>
      </c>
      <c r="AB861" s="3">
        <v>3370</v>
      </c>
      <c r="AC861" s="192">
        <v>8.3333333333333332E-3</v>
      </c>
      <c r="AD861" s="3" t="s">
        <v>292</v>
      </c>
      <c r="AF861" s="193">
        <v>1.8055555555555554E-2</v>
      </c>
      <c r="AG861" s="193">
        <v>0.42986111111111114</v>
      </c>
      <c r="AH861" s="193">
        <v>0.78055555555555556</v>
      </c>
    </row>
    <row r="862" spans="1:34" x14ac:dyDescent="0.25">
      <c r="A862" s="3" t="s">
        <v>443</v>
      </c>
      <c r="B862" s="3">
        <v>135797</v>
      </c>
      <c r="C862" s="3">
        <v>942207</v>
      </c>
      <c r="D862" s="3" t="s">
        <v>3526</v>
      </c>
      <c r="E862" s="3">
        <v>7</v>
      </c>
      <c r="F862" s="3">
        <v>25</v>
      </c>
      <c r="G862" s="3">
        <v>6</v>
      </c>
      <c r="H862" s="55" t="s">
        <v>289</v>
      </c>
      <c r="I862" s="3" t="s">
        <v>279</v>
      </c>
      <c r="J862" s="135">
        <v>46210</v>
      </c>
      <c r="L862" s="3">
        <v>2160</v>
      </c>
      <c r="M862" s="3">
        <v>27529</v>
      </c>
      <c r="N862" s="3" t="s">
        <v>5493</v>
      </c>
      <c r="R862" s="3">
        <v>13</v>
      </c>
      <c r="S862" s="3" t="s">
        <v>2906</v>
      </c>
      <c r="T862" s="3" t="s">
        <v>297</v>
      </c>
      <c r="U862" s="3">
        <v>30</v>
      </c>
      <c r="V862" s="3">
        <v>357</v>
      </c>
      <c r="W862" s="3">
        <v>0</v>
      </c>
      <c r="X862" s="3">
        <v>156</v>
      </c>
      <c r="Y862" s="3">
        <v>0</v>
      </c>
      <c r="Z862" s="3">
        <v>0</v>
      </c>
      <c r="AA862" s="3">
        <v>156</v>
      </c>
      <c r="AB862" s="3">
        <v>3526</v>
      </c>
      <c r="AC862" s="192">
        <v>0</v>
      </c>
      <c r="AF862" s="193">
        <v>1.8055555555555554E-2</v>
      </c>
      <c r="AG862" s="193">
        <v>0.44791666666666669</v>
      </c>
      <c r="AH862" s="193">
        <v>0.79861111111111116</v>
      </c>
    </row>
    <row r="863" spans="1:34" x14ac:dyDescent="0.25">
      <c r="A863" s="3" t="s">
        <v>443</v>
      </c>
      <c r="B863" s="3">
        <v>135797</v>
      </c>
      <c r="C863" s="3">
        <v>942207</v>
      </c>
      <c r="D863" s="3" t="s">
        <v>3526</v>
      </c>
      <c r="E863" s="3">
        <v>7</v>
      </c>
      <c r="F863" s="3">
        <v>26</v>
      </c>
      <c r="G863" s="3">
        <v>7</v>
      </c>
      <c r="H863" s="55" t="s">
        <v>289</v>
      </c>
      <c r="I863" s="3" t="s">
        <v>279</v>
      </c>
      <c r="J863" s="135">
        <v>46210</v>
      </c>
      <c r="L863" s="3">
        <v>2160</v>
      </c>
      <c r="M863" s="3">
        <v>27529</v>
      </c>
      <c r="N863" s="3" t="s">
        <v>5493</v>
      </c>
      <c r="R863" s="3">
        <v>13</v>
      </c>
      <c r="S863" s="3" t="s">
        <v>2906</v>
      </c>
      <c r="T863" s="3" t="s">
        <v>297</v>
      </c>
      <c r="U863" s="3">
        <v>31</v>
      </c>
      <c r="V863" s="3">
        <v>357</v>
      </c>
      <c r="W863" s="3">
        <v>0</v>
      </c>
      <c r="X863" s="3">
        <v>112</v>
      </c>
      <c r="Y863" s="3">
        <v>0</v>
      </c>
      <c r="Z863" s="3">
        <v>0</v>
      </c>
      <c r="AA863" s="3">
        <v>112</v>
      </c>
      <c r="AB863" s="3">
        <v>3638</v>
      </c>
      <c r="AC863" s="192">
        <v>0</v>
      </c>
      <c r="AF863" s="193">
        <v>1.3194444444444444E-2</v>
      </c>
      <c r="AG863" s="193">
        <v>0.46111111111111114</v>
      </c>
      <c r="AH863" s="193">
        <v>0.81180555555555556</v>
      </c>
    </row>
    <row r="864" spans="1:34" x14ac:dyDescent="0.25">
      <c r="A864" s="3" t="s">
        <v>443</v>
      </c>
      <c r="B864" s="3">
        <v>135797</v>
      </c>
      <c r="C864" s="3">
        <v>942207</v>
      </c>
      <c r="D864" s="3" t="s">
        <v>3526</v>
      </c>
      <c r="E864" s="3">
        <v>7</v>
      </c>
      <c r="F864" s="3">
        <v>27</v>
      </c>
      <c r="G864" s="3">
        <v>8</v>
      </c>
      <c r="H864" s="55" t="s">
        <v>289</v>
      </c>
      <c r="I864" s="3" t="s">
        <v>279</v>
      </c>
      <c r="J864" s="135">
        <v>46210</v>
      </c>
      <c r="L864" s="3">
        <v>2160</v>
      </c>
      <c r="M864" s="3">
        <v>27529</v>
      </c>
      <c r="N864" s="3" t="s">
        <v>5493</v>
      </c>
      <c r="R864" s="3">
        <v>13</v>
      </c>
      <c r="S864" s="3" t="s">
        <v>2906</v>
      </c>
      <c r="T864" s="3" t="s">
        <v>297</v>
      </c>
      <c r="U864" s="3" t="s">
        <v>398</v>
      </c>
      <c r="V864" s="3">
        <v>357</v>
      </c>
      <c r="W864" s="3">
        <v>0</v>
      </c>
      <c r="X864" s="3">
        <v>124</v>
      </c>
      <c r="Y864" s="3">
        <v>0</v>
      </c>
      <c r="Z864" s="3">
        <v>0</v>
      </c>
      <c r="AA864" s="3">
        <v>124</v>
      </c>
      <c r="AB864" s="3">
        <v>3762</v>
      </c>
      <c r="AC864" s="192">
        <v>4.1666666666666664E-2</v>
      </c>
      <c r="AD864" s="3" t="s">
        <v>294</v>
      </c>
      <c r="AE864" s="3" t="s">
        <v>295</v>
      </c>
      <c r="AF864" s="193">
        <v>1.4583333333333334E-2</v>
      </c>
      <c r="AG864" s="193">
        <v>0.47569444444444442</v>
      </c>
      <c r="AH864" s="193">
        <v>0.86805555555555558</v>
      </c>
    </row>
    <row r="865" spans="1:34" x14ac:dyDescent="0.25">
      <c r="A865" s="3" t="s">
        <v>443</v>
      </c>
      <c r="B865" s="3">
        <v>135785</v>
      </c>
      <c r="C865" s="3">
        <v>942207</v>
      </c>
      <c r="D865" s="3" t="s">
        <v>3526</v>
      </c>
      <c r="E865" s="3">
        <v>7</v>
      </c>
      <c r="F865" s="3">
        <v>28</v>
      </c>
      <c r="G865" s="3">
        <v>3</v>
      </c>
      <c r="H865" s="55" t="s">
        <v>289</v>
      </c>
      <c r="I865" s="3" t="s">
        <v>5358</v>
      </c>
      <c r="J865" s="135">
        <v>46210</v>
      </c>
      <c r="L865" s="3">
        <v>2103</v>
      </c>
      <c r="M865" s="3">
        <v>23473</v>
      </c>
      <c r="N865" s="3" t="s">
        <v>5496</v>
      </c>
      <c r="R865" s="3">
        <v>17</v>
      </c>
      <c r="S865" s="3" t="s">
        <v>3750</v>
      </c>
      <c r="T865" s="3" t="s">
        <v>5084</v>
      </c>
      <c r="U865" s="3">
        <v>25</v>
      </c>
      <c r="V865" s="3">
        <v>237</v>
      </c>
      <c r="W865" s="3">
        <v>0</v>
      </c>
      <c r="X865" s="3">
        <v>50</v>
      </c>
      <c r="Y865" s="3">
        <v>0</v>
      </c>
      <c r="Z865" s="3">
        <v>0</v>
      </c>
      <c r="AA865" s="3">
        <v>50</v>
      </c>
      <c r="AB865" s="3">
        <v>3812</v>
      </c>
      <c r="AC865" s="192">
        <v>0</v>
      </c>
      <c r="AF865" s="193">
        <v>9.0277777777777769E-3</v>
      </c>
      <c r="AG865" s="193">
        <v>0.48402777777777778</v>
      </c>
      <c r="AH865" s="193">
        <v>0.87708333333333333</v>
      </c>
    </row>
    <row r="866" spans="1:34" x14ac:dyDescent="0.25">
      <c r="A866" s="3" t="s">
        <v>443</v>
      </c>
      <c r="B866" s="3">
        <v>135786</v>
      </c>
      <c r="C866" s="3">
        <v>942207</v>
      </c>
      <c r="D866" s="3" t="s">
        <v>3526</v>
      </c>
      <c r="E866" s="3">
        <v>7</v>
      </c>
      <c r="F866" s="3">
        <v>29</v>
      </c>
      <c r="G866" s="3">
        <v>8</v>
      </c>
      <c r="H866" s="55" t="s">
        <v>289</v>
      </c>
      <c r="I866" s="3" t="s">
        <v>5358</v>
      </c>
      <c r="J866" s="135">
        <v>46210</v>
      </c>
      <c r="L866" s="3">
        <v>2103</v>
      </c>
      <c r="M866" s="3">
        <v>23473</v>
      </c>
      <c r="N866" s="3" t="s">
        <v>5496</v>
      </c>
      <c r="R866" s="3">
        <v>17</v>
      </c>
      <c r="S866" s="3" t="s">
        <v>3751</v>
      </c>
      <c r="T866" s="3" t="s">
        <v>5326</v>
      </c>
      <c r="U866" s="3">
        <v>25</v>
      </c>
      <c r="V866" s="3">
        <v>237</v>
      </c>
      <c r="W866" s="3">
        <v>0</v>
      </c>
      <c r="X866" s="3">
        <v>200</v>
      </c>
      <c r="Y866" s="3">
        <v>0</v>
      </c>
      <c r="Z866" s="3">
        <v>0</v>
      </c>
      <c r="AA866" s="3">
        <v>200</v>
      </c>
      <c r="AB866" s="3">
        <v>4012</v>
      </c>
      <c r="AC866" s="192">
        <v>0</v>
      </c>
      <c r="AF866" s="193">
        <v>3.5416666666666666E-2</v>
      </c>
      <c r="AG866" s="193">
        <v>0.51944444444444449</v>
      </c>
      <c r="AH866" s="193">
        <v>0.91249999999999998</v>
      </c>
    </row>
    <row r="867" spans="1:34" x14ac:dyDescent="0.25">
      <c r="A867" s="3" t="s">
        <v>443</v>
      </c>
      <c r="B867" s="3">
        <v>135786</v>
      </c>
      <c r="C867" s="3">
        <v>942207</v>
      </c>
      <c r="D867" s="3" t="s">
        <v>3526</v>
      </c>
      <c r="E867" s="3">
        <v>7</v>
      </c>
      <c r="F867" s="3">
        <v>30</v>
      </c>
      <c r="G867" s="3">
        <v>3</v>
      </c>
      <c r="H867" s="55" t="s">
        <v>289</v>
      </c>
      <c r="I867" s="3" t="s">
        <v>5358</v>
      </c>
      <c r="J867" s="135">
        <v>46210</v>
      </c>
      <c r="L867" s="3">
        <v>2103</v>
      </c>
      <c r="M867" s="3">
        <v>23473</v>
      </c>
      <c r="N867" s="3" t="s">
        <v>5496</v>
      </c>
      <c r="R867" s="3">
        <v>17</v>
      </c>
      <c r="S867" s="3" t="s">
        <v>3751</v>
      </c>
      <c r="T867" s="3" t="s">
        <v>5326</v>
      </c>
      <c r="U867" s="3" t="s">
        <v>354</v>
      </c>
      <c r="V867" s="3">
        <v>237</v>
      </c>
      <c r="W867" s="3">
        <v>0</v>
      </c>
      <c r="X867" s="3">
        <v>22</v>
      </c>
      <c r="Y867" s="3">
        <v>0</v>
      </c>
      <c r="Z867" s="3">
        <v>0</v>
      </c>
      <c r="AA867" s="3">
        <v>22</v>
      </c>
      <c r="AB867" s="3">
        <v>4034</v>
      </c>
      <c r="AC867" s="192">
        <v>0</v>
      </c>
      <c r="AF867" s="193">
        <v>4.1666666666666666E-3</v>
      </c>
      <c r="AG867" s="193">
        <v>0.52361111111111114</v>
      </c>
      <c r="AH867" s="193">
        <v>0.91666666666666663</v>
      </c>
    </row>
    <row r="868" spans="1:34" x14ac:dyDescent="0.25">
      <c r="A868" s="3" t="s">
        <v>443</v>
      </c>
      <c r="B868" s="3">
        <v>135786</v>
      </c>
      <c r="C868" s="3">
        <v>942207</v>
      </c>
      <c r="D868" s="3" t="s">
        <v>3526</v>
      </c>
      <c r="E868" s="3">
        <v>7</v>
      </c>
      <c r="F868" s="3">
        <v>31</v>
      </c>
      <c r="G868" s="3">
        <v>4</v>
      </c>
      <c r="H868" s="55" t="s">
        <v>289</v>
      </c>
      <c r="I868" s="3" t="s">
        <v>5358</v>
      </c>
      <c r="J868" s="135">
        <v>46210</v>
      </c>
      <c r="L868" s="3">
        <v>2103</v>
      </c>
      <c r="M868" s="3">
        <v>23473</v>
      </c>
      <c r="N868" s="3" t="s">
        <v>5496</v>
      </c>
      <c r="R868" s="3">
        <v>17</v>
      </c>
      <c r="S868" s="3" t="s">
        <v>3751</v>
      </c>
      <c r="T868" s="3" t="s">
        <v>5326</v>
      </c>
      <c r="U868" s="3">
        <v>19</v>
      </c>
      <c r="V868" s="3">
        <v>237</v>
      </c>
      <c r="W868" s="3">
        <v>0</v>
      </c>
      <c r="X868" s="3">
        <v>222</v>
      </c>
      <c r="Y868" s="3">
        <v>0</v>
      </c>
      <c r="Z868" s="3">
        <v>0</v>
      </c>
      <c r="AA868" s="3">
        <v>222</v>
      </c>
      <c r="AB868" s="3">
        <v>4256</v>
      </c>
      <c r="AC868" s="192">
        <v>0</v>
      </c>
      <c r="AF868" s="193">
        <v>3.888888888888889E-2</v>
      </c>
      <c r="AG868" s="193">
        <v>0.5625</v>
      </c>
      <c r="AH868" s="193">
        <v>0.9555555555555556</v>
      </c>
    </row>
    <row r="869" spans="1:34" x14ac:dyDescent="0.25">
      <c r="A869" s="3" t="s">
        <v>450</v>
      </c>
      <c r="B869" s="3">
        <v>133207</v>
      </c>
      <c r="C869" s="3">
        <v>941707</v>
      </c>
      <c r="D869" s="3" t="s">
        <v>3526</v>
      </c>
      <c r="E869" s="3">
        <v>6</v>
      </c>
      <c r="F869" s="3">
        <v>1</v>
      </c>
      <c r="G869" s="3">
        <v>16</v>
      </c>
      <c r="H869" s="55" t="s">
        <v>289</v>
      </c>
      <c r="I869" s="3" t="s">
        <v>279</v>
      </c>
      <c r="J869" s="135">
        <v>46210</v>
      </c>
      <c r="K869" s="3" t="s">
        <v>5096</v>
      </c>
      <c r="L869" s="3">
        <v>2103</v>
      </c>
      <c r="M869" s="3">
        <v>18501</v>
      </c>
      <c r="N869" s="3" t="s">
        <v>5265</v>
      </c>
      <c r="R869" s="3">
        <v>11</v>
      </c>
      <c r="S869" s="3" t="s">
        <v>5268</v>
      </c>
      <c r="T869" s="3" t="s">
        <v>5269</v>
      </c>
      <c r="U869" s="3" t="s">
        <v>290</v>
      </c>
      <c r="V869" s="3">
        <v>223</v>
      </c>
      <c r="W869" s="3">
        <v>0</v>
      </c>
      <c r="X869" s="3">
        <v>262</v>
      </c>
      <c r="Y869" s="3">
        <v>232</v>
      </c>
      <c r="Z869" s="3">
        <v>0</v>
      </c>
      <c r="AA869" s="3">
        <v>30</v>
      </c>
      <c r="AB869" s="3">
        <v>30</v>
      </c>
      <c r="AC869" s="192">
        <v>0</v>
      </c>
      <c r="AF869" s="193">
        <v>5.5555555555555558E-3</v>
      </c>
      <c r="AG869" s="193">
        <v>5.5555555555555558E-3</v>
      </c>
      <c r="AH869" s="193">
        <v>0.28263888888888888</v>
      </c>
    </row>
    <row r="870" spans="1:34" x14ac:dyDescent="0.25">
      <c r="A870" s="3" t="s">
        <v>450</v>
      </c>
      <c r="B870" s="3">
        <v>133210</v>
      </c>
      <c r="C870" s="3">
        <v>941707</v>
      </c>
      <c r="D870" s="3" t="s">
        <v>3526</v>
      </c>
      <c r="E870" s="3">
        <v>6</v>
      </c>
      <c r="F870" s="3">
        <v>2</v>
      </c>
      <c r="G870" s="3">
        <v>18</v>
      </c>
      <c r="H870" s="55" t="s">
        <v>289</v>
      </c>
      <c r="I870" s="3" t="s">
        <v>279</v>
      </c>
      <c r="J870" s="135">
        <v>46210</v>
      </c>
      <c r="L870" s="3">
        <v>2103</v>
      </c>
      <c r="M870" s="3">
        <v>18501</v>
      </c>
      <c r="N870" s="3" t="s">
        <v>5265</v>
      </c>
      <c r="R870" s="3">
        <v>12</v>
      </c>
      <c r="S870" s="3" t="s">
        <v>5352</v>
      </c>
      <c r="T870" s="3" t="s">
        <v>5353</v>
      </c>
      <c r="U870" s="3" t="s">
        <v>397</v>
      </c>
      <c r="V870" s="3">
        <v>192</v>
      </c>
      <c r="W870" s="3">
        <v>0</v>
      </c>
      <c r="X870" s="3">
        <v>42</v>
      </c>
      <c r="Y870" s="3">
        <v>0</v>
      </c>
      <c r="Z870" s="3">
        <v>0</v>
      </c>
      <c r="AA870" s="3">
        <v>42</v>
      </c>
      <c r="AB870" s="3">
        <v>72</v>
      </c>
      <c r="AC870" s="192">
        <v>0</v>
      </c>
      <c r="AF870" s="193">
        <v>9.0277777777777769E-3</v>
      </c>
      <c r="AG870" s="193">
        <v>1.4583333333333334E-2</v>
      </c>
      <c r="AH870" s="193">
        <v>0.29166666666666669</v>
      </c>
    </row>
    <row r="871" spans="1:34" x14ac:dyDescent="0.25">
      <c r="A871" s="3" t="s">
        <v>450</v>
      </c>
      <c r="B871" s="3">
        <v>133210</v>
      </c>
      <c r="C871" s="3">
        <v>941707</v>
      </c>
      <c r="D871" s="3" t="s">
        <v>3526</v>
      </c>
      <c r="E871" s="3">
        <v>6</v>
      </c>
      <c r="F871" s="3">
        <v>3</v>
      </c>
      <c r="G871" s="3">
        <v>15</v>
      </c>
      <c r="H871" s="55" t="s">
        <v>289</v>
      </c>
      <c r="I871" s="3" t="s">
        <v>279</v>
      </c>
      <c r="J871" s="135">
        <v>46210</v>
      </c>
      <c r="K871" s="3" t="s">
        <v>5363</v>
      </c>
      <c r="L871" s="3">
        <v>2103</v>
      </c>
      <c r="M871" s="3">
        <v>18501</v>
      </c>
      <c r="N871" s="3" t="s">
        <v>5265</v>
      </c>
      <c r="R871" s="3">
        <v>12</v>
      </c>
      <c r="S871" s="3" t="s">
        <v>5352</v>
      </c>
      <c r="T871" s="3" t="s">
        <v>5353</v>
      </c>
      <c r="U871" s="3">
        <v>22</v>
      </c>
      <c r="V871" s="3">
        <v>192</v>
      </c>
      <c r="W871" s="3">
        <v>0</v>
      </c>
      <c r="X871" s="3">
        <v>74</v>
      </c>
      <c r="Y871" s="3">
        <v>30</v>
      </c>
      <c r="Z871" s="3">
        <v>0</v>
      </c>
      <c r="AA871" s="3">
        <v>44</v>
      </c>
      <c r="AB871" s="3">
        <v>116</v>
      </c>
      <c r="AC871" s="192">
        <v>0</v>
      </c>
      <c r="AF871" s="193">
        <v>9.7222222222222224E-3</v>
      </c>
      <c r="AG871" s="193">
        <v>2.4305555555555556E-2</v>
      </c>
      <c r="AH871" s="193">
        <v>0.30138888888888887</v>
      </c>
    </row>
    <row r="872" spans="1:34" x14ac:dyDescent="0.25">
      <c r="A872" s="3" t="s">
        <v>450</v>
      </c>
      <c r="B872" s="3">
        <v>133210</v>
      </c>
      <c r="C872" s="3">
        <v>941707</v>
      </c>
      <c r="D872" s="3" t="s">
        <v>3526</v>
      </c>
      <c r="E872" s="3">
        <v>6</v>
      </c>
      <c r="F872" s="3">
        <v>4</v>
      </c>
      <c r="G872" s="3">
        <v>16</v>
      </c>
      <c r="H872" s="55" t="s">
        <v>289</v>
      </c>
      <c r="I872" s="3" t="s">
        <v>279</v>
      </c>
      <c r="J872" s="135">
        <v>46210</v>
      </c>
      <c r="L872" s="3">
        <v>2103</v>
      </c>
      <c r="M872" s="3">
        <v>18501</v>
      </c>
      <c r="N872" s="3" t="s">
        <v>5265</v>
      </c>
      <c r="R872" s="3">
        <v>12</v>
      </c>
      <c r="S872" s="3" t="s">
        <v>5352</v>
      </c>
      <c r="T872" s="3" t="s">
        <v>5353</v>
      </c>
      <c r="U872" s="3" t="s">
        <v>290</v>
      </c>
      <c r="V872" s="3">
        <v>192</v>
      </c>
      <c r="W872" s="3">
        <v>0</v>
      </c>
      <c r="X872" s="3">
        <v>76</v>
      </c>
      <c r="Y872" s="3">
        <v>0</v>
      </c>
      <c r="Z872" s="3">
        <v>0</v>
      </c>
      <c r="AA872" s="3">
        <v>76</v>
      </c>
      <c r="AB872" s="3">
        <v>192</v>
      </c>
      <c r="AC872" s="192">
        <v>0</v>
      </c>
      <c r="AF872" s="193">
        <v>1.6666666666666666E-2</v>
      </c>
      <c r="AG872" s="193">
        <v>4.0972222222222222E-2</v>
      </c>
      <c r="AH872" s="193">
        <v>0.31805555555555554</v>
      </c>
    </row>
    <row r="873" spans="1:34" x14ac:dyDescent="0.25">
      <c r="A873" s="3" t="s">
        <v>450</v>
      </c>
      <c r="B873" s="3">
        <v>133210</v>
      </c>
      <c r="C873" s="3">
        <v>941707</v>
      </c>
      <c r="D873" s="3" t="s">
        <v>3526</v>
      </c>
      <c r="E873" s="3">
        <v>6</v>
      </c>
      <c r="F873" s="3">
        <v>5</v>
      </c>
      <c r="G873" s="3">
        <v>17</v>
      </c>
      <c r="H873" s="55" t="s">
        <v>289</v>
      </c>
      <c r="I873" s="3" t="s">
        <v>279</v>
      </c>
      <c r="J873" s="135">
        <v>46210</v>
      </c>
      <c r="L873" s="3">
        <v>2103</v>
      </c>
      <c r="M873" s="3">
        <v>18501</v>
      </c>
      <c r="N873" s="3" t="s">
        <v>5265</v>
      </c>
      <c r="R873" s="3">
        <v>12</v>
      </c>
      <c r="S873" s="3" t="s">
        <v>5352</v>
      </c>
      <c r="T873" s="3" t="s">
        <v>5353</v>
      </c>
      <c r="U873" s="3">
        <v>25</v>
      </c>
      <c r="V873" s="3">
        <v>192</v>
      </c>
      <c r="W873" s="3">
        <v>0</v>
      </c>
      <c r="X873" s="3">
        <v>36</v>
      </c>
      <c r="Y873" s="3">
        <v>0</v>
      </c>
      <c r="Z873" s="3">
        <v>0</v>
      </c>
      <c r="AA873" s="3">
        <v>36</v>
      </c>
      <c r="AB873" s="3">
        <v>228</v>
      </c>
      <c r="AC873" s="192">
        <v>0</v>
      </c>
      <c r="AF873" s="193">
        <v>7.6388888888888886E-3</v>
      </c>
      <c r="AG873" s="193">
        <v>4.8611111111111112E-2</v>
      </c>
      <c r="AH873" s="193">
        <v>0.32569444444444445</v>
      </c>
    </row>
    <row r="874" spans="1:34" x14ac:dyDescent="0.25">
      <c r="A874" s="3" t="s">
        <v>450</v>
      </c>
      <c r="B874" s="3">
        <v>132694</v>
      </c>
      <c r="C874" s="3">
        <v>941707</v>
      </c>
      <c r="D874" s="3" t="s">
        <v>3526</v>
      </c>
      <c r="E874" s="3">
        <v>6</v>
      </c>
      <c r="F874" s="3">
        <v>6</v>
      </c>
      <c r="G874" s="3">
        <v>3</v>
      </c>
      <c r="H874" s="55" t="s">
        <v>289</v>
      </c>
      <c r="I874" s="3" t="s">
        <v>279</v>
      </c>
      <c r="J874" s="135">
        <v>46210</v>
      </c>
      <c r="L874" s="3">
        <v>2103</v>
      </c>
      <c r="M874" s="3">
        <v>23555</v>
      </c>
      <c r="N874" s="3" t="s">
        <v>5277</v>
      </c>
      <c r="R874" s="3">
        <v>16</v>
      </c>
      <c r="S874" s="3" t="s">
        <v>5354</v>
      </c>
      <c r="T874" s="3" t="s">
        <v>5129</v>
      </c>
      <c r="U874" s="3">
        <v>19</v>
      </c>
      <c r="V874" s="3">
        <v>241</v>
      </c>
      <c r="W874" s="3">
        <v>0</v>
      </c>
      <c r="X874" s="3">
        <v>38</v>
      </c>
      <c r="Y874" s="3">
        <v>0</v>
      </c>
      <c r="Z874" s="3">
        <v>0</v>
      </c>
      <c r="AA874" s="3">
        <v>38</v>
      </c>
      <c r="AB874" s="3">
        <v>266</v>
      </c>
      <c r="AC874" s="192">
        <v>0</v>
      </c>
      <c r="AF874" s="193">
        <v>6.2500000000000003E-3</v>
      </c>
      <c r="AG874" s="193">
        <v>5.486111111111111E-2</v>
      </c>
      <c r="AH874" s="193">
        <v>0.33194444444444443</v>
      </c>
    </row>
    <row r="875" spans="1:34" x14ac:dyDescent="0.25">
      <c r="A875" s="3" t="s">
        <v>450</v>
      </c>
      <c r="B875" s="3">
        <v>132694</v>
      </c>
      <c r="C875" s="3">
        <v>941707</v>
      </c>
      <c r="D875" s="3" t="s">
        <v>3526</v>
      </c>
      <c r="E875" s="3">
        <v>6</v>
      </c>
      <c r="F875" s="3">
        <v>7</v>
      </c>
      <c r="G875" s="3">
        <v>4</v>
      </c>
      <c r="H875" s="55" t="s">
        <v>289</v>
      </c>
      <c r="I875" s="3" t="s">
        <v>279</v>
      </c>
      <c r="J875" s="135">
        <v>46210</v>
      </c>
      <c r="L875" s="3">
        <v>2103</v>
      </c>
      <c r="M875" s="3">
        <v>23555</v>
      </c>
      <c r="N875" s="3" t="s">
        <v>5277</v>
      </c>
      <c r="R875" s="3">
        <v>16</v>
      </c>
      <c r="S875" s="3" t="s">
        <v>5354</v>
      </c>
      <c r="T875" s="3" t="s">
        <v>5129</v>
      </c>
      <c r="U875" s="3" t="s">
        <v>355</v>
      </c>
      <c r="V875" s="3">
        <v>241</v>
      </c>
      <c r="W875" s="3">
        <v>0</v>
      </c>
      <c r="X875" s="3">
        <v>40</v>
      </c>
      <c r="Y875" s="3">
        <v>0</v>
      </c>
      <c r="Z875" s="3">
        <v>0</v>
      </c>
      <c r="AA875" s="3">
        <v>40</v>
      </c>
      <c r="AB875" s="3">
        <v>306</v>
      </c>
      <c r="AC875" s="192">
        <v>0</v>
      </c>
      <c r="AF875" s="193">
        <v>6.9444444444444441E-3</v>
      </c>
      <c r="AG875" s="193">
        <v>6.1805555555555558E-2</v>
      </c>
      <c r="AH875" s="193">
        <v>0.33888888888888891</v>
      </c>
    </row>
    <row r="876" spans="1:34" x14ac:dyDescent="0.25">
      <c r="A876" s="3" t="s">
        <v>450</v>
      </c>
      <c r="B876" s="3">
        <v>132694</v>
      </c>
      <c r="C876" s="3">
        <v>941707</v>
      </c>
      <c r="D876" s="3" t="s">
        <v>3526</v>
      </c>
      <c r="E876" s="3">
        <v>6</v>
      </c>
      <c r="F876" s="3">
        <v>8</v>
      </c>
      <c r="G876" s="3">
        <v>5</v>
      </c>
      <c r="H876" s="55" t="s">
        <v>289</v>
      </c>
      <c r="I876" s="3" t="s">
        <v>279</v>
      </c>
      <c r="J876" s="135">
        <v>46210</v>
      </c>
      <c r="L876" s="3">
        <v>2103</v>
      </c>
      <c r="M876" s="3">
        <v>23555</v>
      </c>
      <c r="N876" s="3" t="s">
        <v>5277</v>
      </c>
      <c r="R876" s="3">
        <v>16</v>
      </c>
      <c r="S876" s="3" t="s">
        <v>5354</v>
      </c>
      <c r="T876" s="3" t="s">
        <v>5129</v>
      </c>
      <c r="U876" s="3">
        <v>22</v>
      </c>
      <c r="V876" s="3">
        <v>241</v>
      </c>
      <c r="W876" s="3">
        <v>0</v>
      </c>
      <c r="X876" s="3">
        <v>46</v>
      </c>
      <c r="Y876" s="3">
        <v>0</v>
      </c>
      <c r="Z876" s="3">
        <v>0</v>
      </c>
      <c r="AA876" s="3">
        <v>46</v>
      </c>
      <c r="AB876" s="3">
        <v>352</v>
      </c>
      <c r="AC876" s="192">
        <v>0</v>
      </c>
      <c r="AF876" s="193">
        <v>7.6388888888888886E-3</v>
      </c>
      <c r="AG876" s="193">
        <v>7.013888888888889E-2</v>
      </c>
      <c r="AH876" s="193">
        <v>0.34652777777777777</v>
      </c>
    </row>
    <row r="877" spans="1:34" x14ac:dyDescent="0.25">
      <c r="A877" s="3" t="s">
        <v>450</v>
      </c>
      <c r="B877" s="3">
        <v>132694</v>
      </c>
      <c r="C877" s="3">
        <v>941707</v>
      </c>
      <c r="D877" s="3" t="s">
        <v>3526</v>
      </c>
      <c r="E877" s="3">
        <v>6</v>
      </c>
      <c r="F877" s="3">
        <v>9</v>
      </c>
      <c r="G877" s="3">
        <v>6</v>
      </c>
      <c r="H877" s="55" t="s">
        <v>289</v>
      </c>
      <c r="I877" s="3" t="s">
        <v>279</v>
      </c>
      <c r="J877" s="135">
        <v>46210</v>
      </c>
      <c r="L877" s="3">
        <v>2103</v>
      </c>
      <c r="M877" s="3">
        <v>23555</v>
      </c>
      <c r="N877" s="3" t="s">
        <v>5277</v>
      </c>
      <c r="R877" s="3">
        <v>16</v>
      </c>
      <c r="S877" s="3" t="s">
        <v>5354</v>
      </c>
      <c r="T877" s="3" t="s">
        <v>5129</v>
      </c>
      <c r="U877" s="3" t="s">
        <v>290</v>
      </c>
      <c r="V877" s="3">
        <v>241</v>
      </c>
      <c r="W877" s="3">
        <v>0</v>
      </c>
      <c r="X877" s="3">
        <v>42</v>
      </c>
      <c r="Y877" s="3">
        <v>0</v>
      </c>
      <c r="Z877" s="3">
        <v>0</v>
      </c>
      <c r="AA877" s="3">
        <v>42</v>
      </c>
      <c r="AB877" s="3">
        <v>394</v>
      </c>
      <c r="AC877" s="192">
        <v>0</v>
      </c>
      <c r="AF877" s="193">
        <v>6.9444444444444441E-3</v>
      </c>
      <c r="AG877" s="193">
        <v>7.7083333333333337E-2</v>
      </c>
      <c r="AH877" s="193">
        <v>0.35347222222222224</v>
      </c>
    </row>
    <row r="878" spans="1:34" x14ac:dyDescent="0.25">
      <c r="A878" s="3" t="s">
        <v>450</v>
      </c>
      <c r="B878" s="3">
        <v>132694</v>
      </c>
      <c r="C878" s="3">
        <v>941707</v>
      </c>
      <c r="D878" s="3" t="s">
        <v>3526</v>
      </c>
      <c r="E878" s="3">
        <v>6</v>
      </c>
      <c r="F878" s="3">
        <v>10</v>
      </c>
      <c r="G878" s="3">
        <v>7</v>
      </c>
      <c r="H878" s="55" t="s">
        <v>289</v>
      </c>
      <c r="I878" s="3" t="s">
        <v>279</v>
      </c>
      <c r="J878" s="135">
        <v>46210</v>
      </c>
      <c r="L878" s="3">
        <v>2103</v>
      </c>
      <c r="M878" s="3">
        <v>23555</v>
      </c>
      <c r="N878" s="3" t="s">
        <v>5277</v>
      </c>
      <c r="R878" s="3">
        <v>16</v>
      </c>
      <c r="S878" s="3" t="s">
        <v>5354</v>
      </c>
      <c r="T878" s="3" t="s">
        <v>5129</v>
      </c>
      <c r="U878" s="3">
        <v>25</v>
      </c>
      <c r="V878" s="3">
        <v>241</v>
      </c>
      <c r="W878" s="3">
        <v>0</v>
      </c>
      <c r="X878" s="3">
        <v>34</v>
      </c>
      <c r="Y878" s="3">
        <v>0</v>
      </c>
      <c r="Z878" s="3">
        <v>0</v>
      </c>
      <c r="AA878" s="3">
        <v>34</v>
      </c>
      <c r="AB878" s="3">
        <v>428</v>
      </c>
      <c r="AC878" s="192">
        <v>8.3333333333333332E-3</v>
      </c>
      <c r="AD878" s="3" t="s">
        <v>292</v>
      </c>
      <c r="AF878" s="193">
        <v>5.5555555555555558E-3</v>
      </c>
      <c r="AG878" s="193">
        <v>8.3333333333333329E-2</v>
      </c>
      <c r="AH878" s="193">
        <v>0.36736111111111114</v>
      </c>
    </row>
    <row r="879" spans="1:34" x14ac:dyDescent="0.25">
      <c r="A879" s="3" t="s">
        <v>450</v>
      </c>
      <c r="B879" s="3">
        <v>135729</v>
      </c>
      <c r="C879" s="3">
        <v>942207</v>
      </c>
      <c r="D879" s="3" t="s">
        <v>3526</v>
      </c>
      <c r="E879" s="3">
        <v>7</v>
      </c>
      <c r="F879" s="3">
        <v>11</v>
      </c>
      <c r="G879" s="3">
        <v>3</v>
      </c>
      <c r="H879" s="55" t="s">
        <v>289</v>
      </c>
      <c r="I879" s="3" t="s">
        <v>279</v>
      </c>
      <c r="J879" s="135">
        <v>46241</v>
      </c>
      <c r="L879" s="3">
        <v>2104</v>
      </c>
      <c r="M879" s="3">
        <v>12728</v>
      </c>
      <c r="N879" s="3" t="s">
        <v>5497</v>
      </c>
      <c r="R879" s="3">
        <v>9</v>
      </c>
      <c r="S879" s="3" t="s">
        <v>453</v>
      </c>
      <c r="T879" s="3" t="s">
        <v>5086</v>
      </c>
      <c r="U879" s="3" t="s">
        <v>284</v>
      </c>
      <c r="V879" s="3">
        <v>260</v>
      </c>
      <c r="W879" s="3">
        <v>0</v>
      </c>
      <c r="X879" s="3">
        <v>104</v>
      </c>
      <c r="Y879" s="3">
        <v>0</v>
      </c>
      <c r="Z879" s="3">
        <v>0</v>
      </c>
      <c r="AA879" s="3">
        <v>104</v>
      </c>
      <c r="AB879" s="3">
        <v>532</v>
      </c>
      <c r="AC879" s="192">
        <v>0</v>
      </c>
      <c r="AF879" s="193">
        <v>1.6666666666666666E-2</v>
      </c>
      <c r="AG879" s="193">
        <v>0.1</v>
      </c>
      <c r="AH879" s="193">
        <v>0.3840277777777778</v>
      </c>
    </row>
    <row r="880" spans="1:34" x14ac:dyDescent="0.25">
      <c r="A880" s="3" t="s">
        <v>450</v>
      </c>
      <c r="B880" s="3">
        <v>135729</v>
      </c>
      <c r="C880" s="3">
        <v>942207</v>
      </c>
      <c r="D880" s="3" t="s">
        <v>3526</v>
      </c>
      <c r="E880" s="3">
        <v>7</v>
      </c>
      <c r="F880" s="3">
        <v>12</v>
      </c>
      <c r="G880" s="3">
        <v>4</v>
      </c>
      <c r="H880" s="55" t="s">
        <v>289</v>
      </c>
      <c r="I880" s="3" t="s">
        <v>279</v>
      </c>
      <c r="J880" s="135">
        <v>46241</v>
      </c>
      <c r="L880" s="3">
        <v>2104</v>
      </c>
      <c r="M880" s="3">
        <v>12728</v>
      </c>
      <c r="N880" s="3" t="s">
        <v>5497</v>
      </c>
      <c r="R880" s="3">
        <v>9</v>
      </c>
      <c r="S880" s="3" t="s">
        <v>453</v>
      </c>
      <c r="T880" s="3" t="s">
        <v>5086</v>
      </c>
      <c r="U880" s="3">
        <v>39</v>
      </c>
      <c r="V880" s="3">
        <v>260</v>
      </c>
      <c r="W880" s="3">
        <v>0</v>
      </c>
      <c r="X880" s="3">
        <v>152</v>
      </c>
      <c r="Y880" s="3">
        <v>0</v>
      </c>
      <c r="Z880" s="3">
        <v>0</v>
      </c>
      <c r="AA880" s="3">
        <v>152</v>
      </c>
      <c r="AB880" s="3">
        <v>684</v>
      </c>
      <c r="AC880" s="192">
        <v>0</v>
      </c>
      <c r="AF880" s="193">
        <v>2.4305555555555556E-2</v>
      </c>
      <c r="AG880" s="193">
        <v>0.12430555555555556</v>
      </c>
      <c r="AH880" s="193">
        <v>0.40833333333333333</v>
      </c>
    </row>
    <row r="881" spans="1:34" x14ac:dyDescent="0.25">
      <c r="A881" s="3" t="s">
        <v>450</v>
      </c>
      <c r="B881" s="3">
        <v>135729</v>
      </c>
      <c r="C881" s="3">
        <v>942207</v>
      </c>
      <c r="D881" s="3" t="s">
        <v>3526</v>
      </c>
      <c r="E881" s="3">
        <v>7</v>
      </c>
      <c r="F881" s="3">
        <v>13</v>
      </c>
      <c r="G881" s="3">
        <v>5</v>
      </c>
      <c r="H881" s="55" t="s">
        <v>289</v>
      </c>
      <c r="I881" s="3" t="s">
        <v>279</v>
      </c>
      <c r="J881" s="135">
        <v>46241</v>
      </c>
      <c r="L881" s="3">
        <v>2104</v>
      </c>
      <c r="M881" s="3">
        <v>12728</v>
      </c>
      <c r="N881" s="3" t="s">
        <v>5497</v>
      </c>
      <c r="R881" s="3">
        <v>9</v>
      </c>
      <c r="S881" s="3" t="s">
        <v>453</v>
      </c>
      <c r="T881" s="3" t="s">
        <v>5086</v>
      </c>
      <c r="U881" s="3">
        <v>40</v>
      </c>
      <c r="V881" s="3">
        <v>260</v>
      </c>
      <c r="W881" s="3">
        <v>0</v>
      </c>
      <c r="X881" s="3">
        <v>160</v>
      </c>
      <c r="Y881" s="3">
        <v>0</v>
      </c>
      <c r="Z881" s="3">
        <v>0</v>
      </c>
      <c r="AA881" s="3">
        <v>160</v>
      </c>
      <c r="AB881" s="3">
        <v>844</v>
      </c>
      <c r="AC881" s="192">
        <v>0</v>
      </c>
      <c r="AF881" s="193">
        <v>2.5694444444444443E-2</v>
      </c>
      <c r="AG881" s="193">
        <v>0.15</v>
      </c>
      <c r="AH881" s="193">
        <v>0.43402777777777779</v>
      </c>
    </row>
    <row r="882" spans="1:34" x14ac:dyDescent="0.25">
      <c r="A882" s="3" t="s">
        <v>450</v>
      </c>
      <c r="B882" s="3">
        <v>135730</v>
      </c>
      <c r="C882" s="3">
        <v>942207</v>
      </c>
      <c r="D882" s="3" t="s">
        <v>3526</v>
      </c>
      <c r="E882" s="3">
        <v>7</v>
      </c>
      <c r="F882" s="3">
        <v>14</v>
      </c>
      <c r="G882" s="3">
        <v>3</v>
      </c>
      <c r="H882" s="55" t="s">
        <v>289</v>
      </c>
      <c r="I882" s="3" t="s">
        <v>279</v>
      </c>
      <c r="J882" s="135">
        <v>46241</v>
      </c>
      <c r="L882" s="3">
        <v>2104</v>
      </c>
      <c r="M882" s="3">
        <v>12728</v>
      </c>
      <c r="N882" s="3" t="s">
        <v>5497</v>
      </c>
      <c r="R882" s="3">
        <v>9</v>
      </c>
      <c r="S882" s="3" t="s">
        <v>455</v>
      </c>
      <c r="T882" s="3" t="s">
        <v>5103</v>
      </c>
      <c r="U882" s="3" t="s">
        <v>284</v>
      </c>
      <c r="V882" s="3">
        <v>260</v>
      </c>
      <c r="W882" s="3">
        <v>0</v>
      </c>
      <c r="X882" s="3">
        <v>94</v>
      </c>
      <c r="Y882" s="3">
        <v>0</v>
      </c>
      <c r="Z882" s="3">
        <v>0</v>
      </c>
      <c r="AA882" s="3">
        <v>94</v>
      </c>
      <c r="AB882" s="3">
        <v>938</v>
      </c>
      <c r="AC882" s="192">
        <v>0</v>
      </c>
      <c r="AF882" s="193">
        <v>1.5277777777777777E-2</v>
      </c>
      <c r="AG882" s="193">
        <v>0.16458333333333333</v>
      </c>
      <c r="AH882" s="193">
        <v>0.44930555555555557</v>
      </c>
    </row>
    <row r="883" spans="1:34" x14ac:dyDescent="0.25">
      <c r="A883" s="3" t="s">
        <v>450</v>
      </c>
      <c r="B883" s="3">
        <v>135730</v>
      </c>
      <c r="C883" s="3">
        <v>942207</v>
      </c>
      <c r="D883" s="3" t="s">
        <v>3526</v>
      </c>
      <c r="E883" s="3">
        <v>7</v>
      </c>
      <c r="F883" s="3">
        <v>15</v>
      </c>
      <c r="G883" s="3">
        <v>4</v>
      </c>
      <c r="H883" s="55" t="s">
        <v>289</v>
      </c>
      <c r="I883" s="3" t="s">
        <v>279</v>
      </c>
      <c r="J883" s="135">
        <v>46241</v>
      </c>
      <c r="L883" s="3">
        <v>2104</v>
      </c>
      <c r="M883" s="3">
        <v>12728</v>
      </c>
      <c r="N883" s="3" t="s">
        <v>5497</v>
      </c>
      <c r="R883" s="3">
        <v>9</v>
      </c>
      <c r="S883" s="3" t="s">
        <v>455</v>
      </c>
      <c r="T883" s="3" t="s">
        <v>5103</v>
      </c>
      <c r="U883" s="3">
        <v>39</v>
      </c>
      <c r="V883" s="3">
        <v>260</v>
      </c>
      <c r="W883" s="3">
        <v>0</v>
      </c>
      <c r="X883" s="3">
        <v>202</v>
      </c>
      <c r="Y883" s="3">
        <v>0</v>
      </c>
      <c r="Z883" s="3">
        <v>0</v>
      </c>
      <c r="AA883" s="3">
        <v>202</v>
      </c>
      <c r="AB883" s="3">
        <v>1140</v>
      </c>
      <c r="AC883" s="192">
        <v>4.1666666666666664E-2</v>
      </c>
      <c r="AD883" s="3" t="s">
        <v>294</v>
      </c>
      <c r="AE883" s="3" t="s">
        <v>295</v>
      </c>
      <c r="AF883" s="193">
        <v>3.2638888888888891E-2</v>
      </c>
      <c r="AG883" s="193">
        <v>0.19722222222222222</v>
      </c>
      <c r="AH883" s="193">
        <v>0.52361111111111114</v>
      </c>
    </row>
    <row r="884" spans="1:34" x14ac:dyDescent="0.25">
      <c r="A884" s="3" t="s">
        <v>450</v>
      </c>
      <c r="B884" s="3">
        <v>135730</v>
      </c>
      <c r="C884" s="3">
        <v>942207</v>
      </c>
      <c r="D884" s="3" t="s">
        <v>3526</v>
      </c>
      <c r="E884" s="3">
        <v>7</v>
      </c>
      <c r="F884" s="3">
        <v>16</v>
      </c>
      <c r="G884" s="3">
        <v>5</v>
      </c>
      <c r="H884" s="55" t="s">
        <v>289</v>
      </c>
      <c r="I884" s="3" t="s">
        <v>279</v>
      </c>
      <c r="J884" s="135">
        <v>46241</v>
      </c>
      <c r="L884" s="3">
        <v>2104</v>
      </c>
      <c r="M884" s="3">
        <v>12728</v>
      </c>
      <c r="N884" s="3" t="s">
        <v>5497</v>
      </c>
      <c r="R884" s="3">
        <v>9</v>
      </c>
      <c r="S884" s="3" t="s">
        <v>455</v>
      </c>
      <c r="T884" s="3" t="s">
        <v>5103</v>
      </c>
      <c r="U884" s="3">
        <v>40</v>
      </c>
      <c r="V884" s="3">
        <v>260</v>
      </c>
      <c r="W884" s="3">
        <v>0</v>
      </c>
      <c r="X884" s="3">
        <v>230</v>
      </c>
      <c r="Y884" s="3">
        <v>0</v>
      </c>
      <c r="Z884" s="3">
        <v>0</v>
      </c>
      <c r="AA884" s="3">
        <v>230</v>
      </c>
      <c r="AB884" s="3">
        <v>1370</v>
      </c>
      <c r="AC884" s="192">
        <v>0</v>
      </c>
      <c r="AF884" s="193">
        <v>3.6805555555555557E-2</v>
      </c>
      <c r="AG884" s="193">
        <v>0.23402777777777778</v>
      </c>
      <c r="AH884" s="193">
        <v>0.56041666666666667</v>
      </c>
    </row>
    <row r="885" spans="1:34" x14ac:dyDescent="0.25">
      <c r="A885" s="3" t="s">
        <v>450</v>
      </c>
      <c r="B885" s="3">
        <v>135730</v>
      </c>
      <c r="C885" s="3">
        <v>942207</v>
      </c>
      <c r="D885" s="3" t="s">
        <v>3526</v>
      </c>
      <c r="E885" s="3">
        <v>7</v>
      </c>
      <c r="F885" s="3">
        <v>17</v>
      </c>
      <c r="G885" s="3">
        <v>6</v>
      </c>
      <c r="H885" s="55" t="s">
        <v>289</v>
      </c>
      <c r="I885" s="3" t="s">
        <v>279</v>
      </c>
      <c r="J885" s="135">
        <v>46241</v>
      </c>
      <c r="L885" s="3">
        <v>2104</v>
      </c>
      <c r="M885" s="3">
        <v>12728</v>
      </c>
      <c r="N885" s="3" t="s">
        <v>5497</v>
      </c>
      <c r="R885" s="3">
        <v>9</v>
      </c>
      <c r="S885" s="3" t="s">
        <v>455</v>
      </c>
      <c r="T885" s="3" t="s">
        <v>5103</v>
      </c>
      <c r="U885" s="3">
        <v>41</v>
      </c>
      <c r="V885" s="3">
        <v>260</v>
      </c>
      <c r="W885" s="3">
        <v>0</v>
      </c>
      <c r="X885" s="3">
        <v>160</v>
      </c>
      <c r="Y885" s="3">
        <v>0</v>
      </c>
      <c r="Z885" s="3">
        <v>0</v>
      </c>
      <c r="AA885" s="3">
        <v>160</v>
      </c>
      <c r="AB885" s="3">
        <v>1530</v>
      </c>
      <c r="AC885" s="192">
        <v>8.3333333333333332E-3</v>
      </c>
      <c r="AD885" s="3" t="s">
        <v>404</v>
      </c>
      <c r="AF885" s="193">
        <v>2.5694444444444443E-2</v>
      </c>
      <c r="AG885" s="193">
        <v>0.25972222222222224</v>
      </c>
      <c r="AH885" s="193">
        <v>0.59444444444444444</v>
      </c>
    </row>
    <row r="886" spans="1:34" x14ac:dyDescent="0.25">
      <c r="A886" s="3" t="s">
        <v>450</v>
      </c>
      <c r="B886" s="3">
        <v>135730</v>
      </c>
      <c r="C886" s="3">
        <v>942207</v>
      </c>
      <c r="D886" s="3" t="s">
        <v>3526</v>
      </c>
      <c r="E886" s="3">
        <v>7</v>
      </c>
      <c r="F886" s="3">
        <v>18</v>
      </c>
      <c r="G886" s="3">
        <v>7</v>
      </c>
      <c r="H886" s="55" t="s">
        <v>289</v>
      </c>
      <c r="I886" s="3" t="s">
        <v>279</v>
      </c>
      <c r="J886" s="135">
        <v>46241</v>
      </c>
      <c r="L886" s="3">
        <v>2104</v>
      </c>
      <c r="M886" s="3">
        <v>12728</v>
      </c>
      <c r="N886" s="3" t="s">
        <v>5497</v>
      </c>
      <c r="R886" s="3">
        <v>9</v>
      </c>
      <c r="S886" s="3" t="s">
        <v>455</v>
      </c>
      <c r="T886" s="3" t="s">
        <v>5103</v>
      </c>
      <c r="U886" s="3">
        <v>42</v>
      </c>
      <c r="V886" s="3">
        <v>260</v>
      </c>
      <c r="W886" s="3">
        <v>0</v>
      </c>
      <c r="X886" s="3">
        <v>56</v>
      </c>
      <c r="Y886" s="3">
        <v>0</v>
      </c>
      <c r="Z886" s="3">
        <v>0</v>
      </c>
      <c r="AA886" s="3">
        <v>56</v>
      </c>
      <c r="AB886" s="3">
        <v>1586</v>
      </c>
      <c r="AC886" s="192">
        <v>0</v>
      </c>
      <c r="AF886" s="193">
        <v>9.0277777777777769E-3</v>
      </c>
      <c r="AG886" s="193">
        <v>0.26874999999999999</v>
      </c>
      <c r="AH886" s="193">
        <v>0.60347222222222219</v>
      </c>
    </row>
    <row r="887" spans="1:34" x14ac:dyDescent="0.25">
      <c r="A887" s="3" t="s">
        <v>450</v>
      </c>
      <c r="B887" s="3">
        <v>135730</v>
      </c>
      <c r="C887" s="3">
        <v>942207</v>
      </c>
      <c r="D887" s="3" t="s">
        <v>3526</v>
      </c>
      <c r="E887" s="3">
        <v>7</v>
      </c>
      <c r="F887" s="3">
        <v>19</v>
      </c>
      <c r="G887" s="3">
        <v>8</v>
      </c>
      <c r="H887" s="55" t="s">
        <v>289</v>
      </c>
      <c r="I887" s="3" t="s">
        <v>279</v>
      </c>
      <c r="J887" s="135">
        <v>46241</v>
      </c>
      <c r="L887" s="3">
        <v>2104</v>
      </c>
      <c r="M887" s="3">
        <v>12728</v>
      </c>
      <c r="N887" s="3" t="s">
        <v>5497</v>
      </c>
      <c r="R887" s="3">
        <v>9</v>
      </c>
      <c r="S887" s="3" t="s">
        <v>455</v>
      </c>
      <c r="T887" s="3" t="s">
        <v>5103</v>
      </c>
      <c r="U887" s="3" t="s">
        <v>281</v>
      </c>
      <c r="V887" s="3">
        <v>260</v>
      </c>
      <c r="W887" s="3">
        <v>0</v>
      </c>
      <c r="X887" s="3">
        <v>30</v>
      </c>
      <c r="Y887" s="3">
        <v>0</v>
      </c>
      <c r="Z887" s="3">
        <v>0</v>
      </c>
      <c r="AA887" s="3">
        <v>30</v>
      </c>
      <c r="AB887" s="3">
        <v>1616</v>
      </c>
      <c r="AC887" s="192">
        <v>0</v>
      </c>
      <c r="AF887" s="193">
        <v>4.8611111111111112E-3</v>
      </c>
      <c r="AG887" s="193">
        <v>0.27361111111111114</v>
      </c>
      <c r="AH887" s="193">
        <v>0.60833333333333328</v>
      </c>
    </row>
    <row r="888" spans="1:34" x14ac:dyDescent="0.25">
      <c r="A888" s="3" t="s">
        <v>450</v>
      </c>
      <c r="B888" s="3">
        <v>120155</v>
      </c>
      <c r="C888" s="3">
        <v>942207</v>
      </c>
      <c r="D888" s="3" t="s">
        <v>3526</v>
      </c>
      <c r="E888" s="3">
        <v>7</v>
      </c>
      <c r="F888" s="3">
        <v>20</v>
      </c>
      <c r="G888" s="3">
        <v>7</v>
      </c>
      <c r="H888" s="55" t="s">
        <v>289</v>
      </c>
      <c r="I888" s="3" t="s">
        <v>5358</v>
      </c>
      <c r="J888" s="3" t="s">
        <v>5110</v>
      </c>
      <c r="L888" s="3">
        <v>2104</v>
      </c>
      <c r="M888" s="3">
        <v>12728</v>
      </c>
      <c r="N888" s="3" t="s">
        <v>5497</v>
      </c>
      <c r="R888" s="3">
        <v>9</v>
      </c>
      <c r="S888" s="3" t="s">
        <v>1789</v>
      </c>
      <c r="T888" s="3" t="s">
        <v>5130</v>
      </c>
      <c r="U888" s="3">
        <v>42</v>
      </c>
      <c r="V888" s="3">
        <v>260</v>
      </c>
      <c r="W888" s="3">
        <v>0</v>
      </c>
      <c r="X888" s="3">
        <v>542</v>
      </c>
      <c r="Y888" s="3">
        <v>0</v>
      </c>
      <c r="Z888" s="3">
        <v>0</v>
      </c>
      <c r="AA888" s="3">
        <v>542</v>
      </c>
      <c r="AB888" s="3">
        <v>2158</v>
      </c>
      <c r="AC888" s="192">
        <v>0</v>
      </c>
      <c r="AF888" s="193">
        <v>8.6805555555555552E-2</v>
      </c>
      <c r="AG888" s="193">
        <v>0.36041666666666666</v>
      </c>
      <c r="AH888" s="193">
        <v>0.70208333333333328</v>
      </c>
    </row>
    <row r="889" spans="1:34" x14ac:dyDescent="0.25">
      <c r="A889" s="3" t="s">
        <v>450</v>
      </c>
      <c r="B889" s="3">
        <v>120156</v>
      </c>
      <c r="C889" s="3">
        <v>942207</v>
      </c>
      <c r="D889" s="3" t="s">
        <v>3526</v>
      </c>
      <c r="E889" s="3">
        <v>7</v>
      </c>
      <c r="F889" s="3">
        <v>21</v>
      </c>
      <c r="G889" s="3">
        <v>7</v>
      </c>
      <c r="H889" s="55" t="s">
        <v>289</v>
      </c>
      <c r="I889" s="3" t="s">
        <v>5358</v>
      </c>
      <c r="J889" s="3" t="s">
        <v>5110</v>
      </c>
      <c r="L889" s="3">
        <v>2104</v>
      </c>
      <c r="M889" s="3">
        <v>12728</v>
      </c>
      <c r="N889" s="3" t="s">
        <v>5497</v>
      </c>
      <c r="R889" s="3">
        <v>9</v>
      </c>
      <c r="S889" s="3" t="s">
        <v>1789</v>
      </c>
      <c r="T889" s="3" t="s">
        <v>5130</v>
      </c>
      <c r="U889" s="3">
        <v>42</v>
      </c>
      <c r="V889" s="3">
        <v>260</v>
      </c>
      <c r="W889" s="3">
        <v>0</v>
      </c>
      <c r="X889" s="3">
        <v>124</v>
      </c>
      <c r="Y889" s="3">
        <v>0</v>
      </c>
      <c r="Z889" s="3">
        <v>0</v>
      </c>
      <c r="AA889" s="3">
        <v>124</v>
      </c>
      <c r="AB889" s="3">
        <v>2282</v>
      </c>
      <c r="AC889" s="192">
        <v>0</v>
      </c>
      <c r="AF889" s="193">
        <v>2.013888888888889E-2</v>
      </c>
      <c r="AG889" s="193">
        <v>0.38055555555555554</v>
      </c>
      <c r="AH889" s="193">
        <v>0.72222222222222221</v>
      </c>
    </row>
    <row r="890" spans="1:34" x14ac:dyDescent="0.25">
      <c r="A890" s="3" t="s">
        <v>450</v>
      </c>
      <c r="B890" s="3">
        <v>120156</v>
      </c>
      <c r="C890" s="3">
        <v>942207</v>
      </c>
      <c r="D890" s="3" t="s">
        <v>3526</v>
      </c>
      <c r="E890" s="3">
        <v>7</v>
      </c>
      <c r="F890" s="3">
        <v>22</v>
      </c>
      <c r="G890" s="3">
        <v>3</v>
      </c>
      <c r="H890" s="55" t="s">
        <v>289</v>
      </c>
      <c r="I890" s="3" t="s">
        <v>5358</v>
      </c>
      <c r="J890" s="3" t="s">
        <v>5110</v>
      </c>
      <c r="L890" s="3">
        <v>2104</v>
      </c>
      <c r="M890" s="3">
        <v>12728</v>
      </c>
      <c r="N890" s="3" t="s">
        <v>5497</v>
      </c>
      <c r="R890" s="3">
        <v>9</v>
      </c>
      <c r="S890" s="3" t="s">
        <v>1789</v>
      </c>
      <c r="T890" s="3" t="s">
        <v>5130</v>
      </c>
      <c r="U890" s="3" t="s">
        <v>284</v>
      </c>
      <c r="V890" s="3">
        <v>260</v>
      </c>
      <c r="W890" s="3">
        <v>0</v>
      </c>
      <c r="X890" s="3">
        <v>76</v>
      </c>
      <c r="Y890" s="3">
        <v>0</v>
      </c>
      <c r="Z890" s="3">
        <v>0</v>
      </c>
      <c r="AA890" s="3">
        <v>76</v>
      </c>
      <c r="AB890" s="3">
        <v>2358</v>
      </c>
      <c r="AC890" s="192">
        <v>0</v>
      </c>
      <c r="AF890" s="193">
        <v>1.2500000000000001E-2</v>
      </c>
      <c r="AG890" s="193">
        <v>0.3923611111111111</v>
      </c>
      <c r="AH890" s="193">
        <v>0.73472222222222228</v>
      </c>
    </row>
    <row r="891" spans="1:34" x14ac:dyDescent="0.25">
      <c r="A891" s="3" t="s">
        <v>450</v>
      </c>
      <c r="B891" s="3">
        <v>120155</v>
      </c>
      <c r="C891" s="3">
        <v>942207</v>
      </c>
      <c r="D891" s="3" t="s">
        <v>3526</v>
      </c>
      <c r="E891" s="3">
        <v>7</v>
      </c>
      <c r="F891" s="3">
        <v>23</v>
      </c>
      <c r="G891" s="3">
        <v>3</v>
      </c>
      <c r="H891" s="55" t="s">
        <v>289</v>
      </c>
      <c r="I891" s="3" t="s">
        <v>5358</v>
      </c>
      <c r="J891" s="3" t="s">
        <v>5110</v>
      </c>
      <c r="L891" s="3">
        <v>2104</v>
      </c>
      <c r="M891" s="3">
        <v>12728</v>
      </c>
      <c r="N891" s="3" t="s">
        <v>5497</v>
      </c>
      <c r="R891" s="3">
        <v>9</v>
      </c>
      <c r="S891" s="3" t="s">
        <v>1789</v>
      </c>
      <c r="T891" s="3" t="s">
        <v>5130</v>
      </c>
      <c r="U891" s="3" t="s">
        <v>284</v>
      </c>
      <c r="V891" s="3">
        <v>260</v>
      </c>
      <c r="W891" s="3">
        <v>0</v>
      </c>
      <c r="X891" s="3">
        <v>330</v>
      </c>
      <c r="Y891" s="3">
        <v>0</v>
      </c>
      <c r="Z891" s="3">
        <v>0</v>
      </c>
      <c r="AA891" s="3">
        <v>330</v>
      </c>
      <c r="AB891" s="3">
        <v>2688</v>
      </c>
      <c r="AC891" s="192">
        <v>8.3333333333333332E-3</v>
      </c>
      <c r="AD891" s="3" t="s">
        <v>292</v>
      </c>
      <c r="AF891" s="193">
        <v>5.2777777777777778E-2</v>
      </c>
      <c r="AG891" s="193">
        <v>0.44513888888888886</v>
      </c>
      <c r="AH891" s="193">
        <v>0.79583333333333328</v>
      </c>
    </row>
    <row r="892" spans="1:34" x14ac:dyDescent="0.25">
      <c r="A892" s="3" t="s">
        <v>450</v>
      </c>
      <c r="B892" s="3">
        <v>120155</v>
      </c>
      <c r="C892" s="3">
        <v>942207</v>
      </c>
      <c r="D892" s="3" t="s">
        <v>3526</v>
      </c>
      <c r="E892" s="3">
        <v>7</v>
      </c>
      <c r="F892" s="3">
        <v>24</v>
      </c>
      <c r="G892" s="3">
        <v>4</v>
      </c>
      <c r="H892" s="55" t="s">
        <v>289</v>
      </c>
      <c r="I892" s="3" t="s">
        <v>5358</v>
      </c>
      <c r="J892" s="3" t="s">
        <v>5110</v>
      </c>
      <c r="L892" s="3">
        <v>2104</v>
      </c>
      <c r="M892" s="3">
        <v>12728</v>
      </c>
      <c r="N892" s="3" t="s">
        <v>5497</v>
      </c>
      <c r="R892" s="3">
        <v>9</v>
      </c>
      <c r="S892" s="3" t="s">
        <v>1789</v>
      </c>
      <c r="T892" s="3" t="s">
        <v>5130</v>
      </c>
      <c r="U892" s="3">
        <v>39</v>
      </c>
      <c r="V892" s="3">
        <v>260</v>
      </c>
      <c r="W892" s="3">
        <v>0</v>
      </c>
      <c r="X892" s="3">
        <v>470</v>
      </c>
      <c r="Y892" s="3">
        <v>0</v>
      </c>
      <c r="Z892" s="3">
        <v>0</v>
      </c>
      <c r="AA892" s="3">
        <v>470</v>
      </c>
      <c r="AB892" s="3">
        <v>3158</v>
      </c>
      <c r="AC892" s="192">
        <v>4.1666666666666664E-2</v>
      </c>
      <c r="AD892" s="3" t="s">
        <v>294</v>
      </c>
      <c r="AE892" s="3" t="s">
        <v>295</v>
      </c>
      <c r="AF892" s="193">
        <v>7.4999999999999997E-2</v>
      </c>
      <c r="AG892" s="193">
        <v>0.52083333333333337</v>
      </c>
      <c r="AH892" s="193">
        <v>0.91249999999999998</v>
      </c>
    </row>
    <row r="893" spans="1:34" x14ac:dyDescent="0.25">
      <c r="A893" s="3" t="s">
        <v>450</v>
      </c>
      <c r="B893" s="3">
        <v>120156</v>
      </c>
      <c r="C893" s="3">
        <v>942207</v>
      </c>
      <c r="D893" s="3" t="s">
        <v>3526</v>
      </c>
      <c r="E893" s="3">
        <v>7</v>
      </c>
      <c r="F893" s="3">
        <v>25</v>
      </c>
      <c r="G893" s="3">
        <v>4</v>
      </c>
      <c r="H893" s="55" t="s">
        <v>289</v>
      </c>
      <c r="I893" s="3" t="s">
        <v>5358</v>
      </c>
      <c r="J893" s="3" t="s">
        <v>5110</v>
      </c>
      <c r="L893" s="3">
        <v>2104</v>
      </c>
      <c r="M893" s="3">
        <v>12728</v>
      </c>
      <c r="N893" s="3" t="s">
        <v>5497</v>
      </c>
      <c r="R893" s="3">
        <v>9</v>
      </c>
      <c r="S893" s="3" t="s">
        <v>1789</v>
      </c>
      <c r="T893" s="3" t="s">
        <v>5130</v>
      </c>
      <c r="U893" s="3">
        <v>39</v>
      </c>
      <c r="V893" s="3">
        <v>260</v>
      </c>
      <c r="W893" s="3">
        <v>0</v>
      </c>
      <c r="X893" s="3">
        <v>106</v>
      </c>
      <c r="Y893" s="3">
        <v>0</v>
      </c>
      <c r="Z893" s="3">
        <v>0</v>
      </c>
      <c r="AA893" s="3">
        <v>106</v>
      </c>
      <c r="AB893" s="3">
        <v>3264</v>
      </c>
      <c r="AC893" s="192">
        <v>0</v>
      </c>
      <c r="AF893" s="193">
        <v>1.6666666666666666E-2</v>
      </c>
      <c r="AG893" s="193">
        <v>0.53749999999999998</v>
      </c>
      <c r="AH893" s="193">
        <v>0.9291666666666667</v>
      </c>
    </row>
    <row r="894" spans="1:34" x14ac:dyDescent="0.25">
      <c r="A894" s="3" t="s">
        <v>450</v>
      </c>
      <c r="B894" s="3">
        <v>120156</v>
      </c>
      <c r="C894" s="3">
        <v>942207</v>
      </c>
      <c r="D894" s="3" t="s">
        <v>3526</v>
      </c>
      <c r="E894" s="3">
        <v>7</v>
      </c>
      <c r="F894" s="3">
        <v>26</v>
      </c>
      <c r="G894" s="3">
        <v>5</v>
      </c>
      <c r="H894" s="55" t="s">
        <v>289</v>
      </c>
      <c r="I894" s="3" t="s">
        <v>5358</v>
      </c>
      <c r="J894" s="3" t="s">
        <v>5110</v>
      </c>
      <c r="L894" s="3">
        <v>2104</v>
      </c>
      <c r="M894" s="3">
        <v>12728</v>
      </c>
      <c r="N894" s="3" t="s">
        <v>5497</v>
      </c>
      <c r="R894" s="3">
        <v>9</v>
      </c>
      <c r="S894" s="3" t="s">
        <v>1789</v>
      </c>
      <c r="T894" s="3" t="s">
        <v>5130</v>
      </c>
      <c r="U894" s="3">
        <v>40</v>
      </c>
      <c r="V894" s="3">
        <v>260</v>
      </c>
      <c r="W894" s="3">
        <v>0</v>
      </c>
      <c r="X894" s="3">
        <v>150</v>
      </c>
      <c r="Y894" s="3">
        <v>0</v>
      </c>
      <c r="Z894" s="3">
        <v>0</v>
      </c>
      <c r="AA894" s="3">
        <v>150</v>
      </c>
      <c r="AB894" s="3">
        <v>3414</v>
      </c>
      <c r="AC894" s="192">
        <v>0</v>
      </c>
      <c r="AF894" s="193">
        <v>2.4305555555555556E-2</v>
      </c>
      <c r="AG894" s="193">
        <v>0.56180555555555556</v>
      </c>
      <c r="AH894" s="193">
        <v>0.95347222222222228</v>
      </c>
    </row>
    <row r="895" spans="1:34" x14ac:dyDescent="0.25">
      <c r="A895" s="3" t="s">
        <v>454</v>
      </c>
      <c r="B895" s="3">
        <v>120344</v>
      </c>
      <c r="C895" s="3">
        <v>940807</v>
      </c>
      <c r="D895" s="3" t="s">
        <v>3526</v>
      </c>
      <c r="E895" s="3">
        <v>4</v>
      </c>
      <c r="F895" s="3">
        <v>1</v>
      </c>
      <c r="G895" s="3">
        <v>15</v>
      </c>
      <c r="H895" s="55" t="s">
        <v>289</v>
      </c>
      <c r="I895" s="3" t="s">
        <v>279</v>
      </c>
      <c r="J895" s="3" t="s">
        <v>5110</v>
      </c>
      <c r="K895" s="135">
        <v>46241</v>
      </c>
      <c r="L895" s="3">
        <v>2103</v>
      </c>
      <c r="M895" s="3">
        <v>19441</v>
      </c>
      <c r="N895" s="3" t="s">
        <v>5272</v>
      </c>
      <c r="R895" s="3">
        <v>14</v>
      </c>
      <c r="S895" s="3" t="s">
        <v>5273</v>
      </c>
      <c r="T895" s="3" t="s">
        <v>5274</v>
      </c>
      <c r="U895" s="3">
        <v>21</v>
      </c>
      <c r="V895" s="3">
        <v>259</v>
      </c>
      <c r="W895" s="3">
        <v>0</v>
      </c>
      <c r="X895" s="3">
        <v>410</v>
      </c>
      <c r="Y895" s="3">
        <v>396</v>
      </c>
      <c r="Z895" s="3">
        <v>0</v>
      </c>
      <c r="AA895" s="3">
        <v>14</v>
      </c>
      <c r="AB895" s="3">
        <v>14</v>
      </c>
      <c r="AC895" s="192">
        <v>0</v>
      </c>
      <c r="AF895" s="193">
        <v>2.0833333333333333E-3</v>
      </c>
      <c r="AG895" s="193">
        <v>2.0833333333333333E-3</v>
      </c>
      <c r="AH895" s="193">
        <v>0.27916666666666667</v>
      </c>
    </row>
    <row r="896" spans="1:34" x14ac:dyDescent="0.25">
      <c r="A896" s="3" t="s">
        <v>454</v>
      </c>
      <c r="B896" s="3">
        <v>125367</v>
      </c>
      <c r="C896" s="3">
        <v>941407</v>
      </c>
      <c r="D896" s="3" t="s">
        <v>3526</v>
      </c>
      <c r="E896" s="3">
        <v>5</v>
      </c>
      <c r="F896" s="3">
        <v>2</v>
      </c>
      <c r="G896" s="3">
        <v>17</v>
      </c>
      <c r="H896" s="55" t="s">
        <v>289</v>
      </c>
      <c r="I896" s="3" t="s">
        <v>279</v>
      </c>
      <c r="J896" s="135">
        <v>46029</v>
      </c>
      <c r="K896" s="135">
        <v>46302</v>
      </c>
      <c r="L896" s="3">
        <v>2103</v>
      </c>
      <c r="M896" s="3">
        <v>19441</v>
      </c>
      <c r="N896" s="3" t="s">
        <v>5272</v>
      </c>
      <c r="R896" s="3">
        <v>13</v>
      </c>
      <c r="S896" s="3" t="s">
        <v>5275</v>
      </c>
      <c r="T896" s="3" t="s">
        <v>5276</v>
      </c>
      <c r="U896" s="3" t="s">
        <v>290</v>
      </c>
      <c r="V896" s="3">
        <v>259</v>
      </c>
      <c r="W896" s="3">
        <v>0</v>
      </c>
      <c r="X896" s="3">
        <v>776</v>
      </c>
      <c r="Y896" s="3">
        <v>746</v>
      </c>
      <c r="Z896" s="3">
        <v>0</v>
      </c>
      <c r="AA896" s="3">
        <v>30</v>
      </c>
      <c r="AB896" s="3">
        <v>44</v>
      </c>
      <c r="AC896" s="192">
        <v>0</v>
      </c>
      <c r="AF896" s="193">
        <v>4.8611111111111112E-3</v>
      </c>
      <c r="AG896" s="193">
        <v>6.9444444444444441E-3</v>
      </c>
      <c r="AH896" s="193">
        <v>0.28402777777777777</v>
      </c>
    </row>
    <row r="897" spans="1:34" x14ac:dyDescent="0.25">
      <c r="A897" s="3" t="s">
        <v>454</v>
      </c>
      <c r="B897" s="3">
        <v>129367</v>
      </c>
      <c r="C897" s="3">
        <v>941407</v>
      </c>
      <c r="D897" s="3" t="s">
        <v>3526</v>
      </c>
      <c r="E897" s="3">
        <v>5</v>
      </c>
      <c r="F897" s="3">
        <v>3</v>
      </c>
      <c r="G897" s="3">
        <v>8</v>
      </c>
      <c r="H897" s="55" t="s">
        <v>289</v>
      </c>
      <c r="I897" s="3" t="s">
        <v>279</v>
      </c>
      <c r="J897" s="135">
        <v>46088</v>
      </c>
      <c r="K897" s="135">
        <v>46333</v>
      </c>
      <c r="L897" s="3">
        <v>2101</v>
      </c>
      <c r="M897" s="3">
        <v>27247</v>
      </c>
      <c r="N897" s="3" t="s">
        <v>3498</v>
      </c>
      <c r="R897" s="3">
        <v>18</v>
      </c>
      <c r="S897" s="3" t="s">
        <v>2747</v>
      </c>
      <c r="T897" s="3" t="s">
        <v>4714</v>
      </c>
      <c r="U897" s="3" t="s">
        <v>290</v>
      </c>
      <c r="V897" s="3">
        <v>357</v>
      </c>
      <c r="W897" s="3">
        <v>0</v>
      </c>
      <c r="X897" s="3">
        <v>586</v>
      </c>
      <c r="Y897" s="3">
        <v>538</v>
      </c>
      <c r="Z897" s="3">
        <v>0</v>
      </c>
      <c r="AA897" s="3">
        <v>48</v>
      </c>
      <c r="AB897" s="3">
        <v>92</v>
      </c>
      <c r="AC897" s="192">
        <v>0</v>
      </c>
      <c r="AF897" s="193">
        <v>5.5555555555555558E-3</v>
      </c>
      <c r="AG897" s="193">
        <v>1.2500000000000001E-2</v>
      </c>
      <c r="AH897" s="193">
        <v>0.28958333333333336</v>
      </c>
    </row>
    <row r="898" spans="1:34" x14ac:dyDescent="0.25">
      <c r="A898" s="3" t="s">
        <v>454</v>
      </c>
      <c r="B898" s="3">
        <v>132131</v>
      </c>
      <c r="C898" s="3">
        <v>941707</v>
      </c>
      <c r="D898" s="3" t="s">
        <v>3526</v>
      </c>
      <c r="E898" s="3">
        <v>6</v>
      </c>
      <c r="F898" s="3">
        <v>4</v>
      </c>
      <c r="G898" s="3">
        <v>3</v>
      </c>
      <c r="H898" s="55" t="s">
        <v>289</v>
      </c>
      <c r="I898" s="3" t="s">
        <v>279</v>
      </c>
      <c r="J898" s="135">
        <v>46180</v>
      </c>
      <c r="L898" s="3">
        <v>2101</v>
      </c>
      <c r="M898" s="3">
        <v>12674</v>
      </c>
      <c r="N898" s="3" t="s">
        <v>5278</v>
      </c>
      <c r="O898" s="3" t="s">
        <v>4754</v>
      </c>
      <c r="R898" s="3">
        <v>10</v>
      </c>
      <c r="S898" s="3" t="s">
        <v>5498</v>
      </c>
      <c r="T898" s="3" t="s">
        <v>5499</v>
      </c>
      <c r="U898" s="3" t="s">
        <v>354</v>
      </c>
      <c r="V898" s="3">
        <v>438</v>
      </c>
      <c r="W898" s="3">
        <v>0</v>
      </c>
      <c r="X898" s="3">
        <v>179</v>
      </c>
      <c r="Y898" s="3">
        <v>0</v>
      </c>
      <c r="Z898" s="3">
        <v>0</v>
      </c>
      <c r="AA898" s="3">
        <v>179</v>
      </c>
      <c r="AB898" s="3">
        <v>271</v>
      </c>
      <c r="AC898" s="192">
        <v>0</v>
      </c>
      <c r="AF898" s="193">
        <v>1.7361111111111112E-2</v>
      </c>
      <c r="AG898" s="193">
        <v>2.9861111111111113E-2</v>
      </c>
      <c r="AH898" s="193">
        <v>0.30694444444444446</v>
      </c>
    </row>
    <row r="899" spans="1:34" x14ac:dyDescent="0.25">
      <c r="A899" s="3" t="s">
        <v>454</v>
      </c>
      <c r="B899" s="3">
        <v>132131</v>
      </c>
      <c r="C899" s="3">
        <v>941707</v>
      </c>
      <c r="D899" s="3" t="s">
        <v>3526</v>
      </c>
      <c r="E899" s="3">
        <v>6</v>
      </c>
      <c r="F899" s="3">
        <v>5</v>
      </c>
      <c r="G899" s="3">
        <v>4</v>
      </c>
      <c r="H899" s="55" t="s">
        <v>289</v>
      </c>
      <c r="I899" s="3" t="s">
        <v>279</v>
      </c>
      <c r="J899" s="135">
        <v>46180</v>
      </c>
      <c r="L899" s="3">
        <v>2101</v>
      </c>
      <c r="M899" s="3">
        <v>12674</v>
      </c>
      <c r="N899" s="3" t="s">
        <v>5278</v>
      </c>
      <c r="O899" s="3" t="s">
        <v>4754</v>
      </c>
      <c r="R899" s="3">
        <v>10</v>
      </c>
      <c r="S899" s="3" t="s">
        <v>5498</v>
      </c>
      <c r="T899" s="3" t="s">
        <v>5499</v>
      </c>
      <c r="U899" s="3">
        <v>19</v>
      </c>
      <c r="V899" s="3">
        <v>438</v>
      </c>
      <c r="W899" s="3">
        <v>0</v>
      </c>
      <c r="X899" s="3">
        <v>366</v>
      </c>
      <c r="Y899" s="3">
        <v>0</v>
      </c>
      <c r="Z899" s="3">
        <v>0</v>
      </c>
      <c r="AA899" s="3">
        <v>366</v>
      </c>
      <c r="AB899" s="3">
        <v>637</v>
      </c>
      <c r="AC899" s="192">
        <v>0</v>
      </c>
      <c r="AF899" s="193">
        <v>3.4722222222222224E-2</v>
      </c>
      <c r="AG899" s="193">
        <v>6.458333333333334E-2</v>
      </c>
      <c r="AH899" s="193">
        <v>0.34166666666666667</v>
      </c>
    </row>
    <row r="900" spans="1:34" x14ac:dyDescent="0.25">
      <c r="A900" s="3" t="s">
        <v>454</v>
      </c>
      <c r="B900" s="3">
        <v>132131</v>
      </c>
      <c r="C900" s="3">
        <v>941707</v>
      </c>
      <c r="D900" s="3" t="s">
        <v>3526</v>
      </c>
      <c r="E900" s="3">
        <v>6</v>
      </c>
      <c r="F900" s="3">
        <v>6</v>
      </c>
      <c r="G900" s="3">
        <v>6</v>
      </c>
      <c r="H900" s="55" t="s">
        <v>289</v>
      </c>
      <c r="I900" s="3" t="s">
        <v>279</v>
      </c>
      <c r="J900" s="135">
        <v>46180</v>
      </c>
      <c r="K900" s="3" t="s">
        <v>5363</v>
      </c>
      <c r="L900" s="3">
        <v>2101</v>
      </c>
      <c r="M900" s="3">
        <v>12674</v>
      </c>
      <c r="N900" s="3" t="s">
        <v>5278</v>
      </c>
      <c r="O900" s="3" t="s">
        <v>4754</v>
      </c>
      <c r="R900" s="3">
        <v>10</v>
      </c>
      <c r="S900" s="3" t="s">
        <v>5498</v>
      </c>
      <c r="T900" s="3" t="s">
        <v>5499</v>
      </c>
      <c r="U900" s="3">
        <v>22</v>
      </c>
      <c r="V900" s="3">
        <v>438</v>
      </c>
      <c r="W900" s="3">
        <v>0</v>
      </c>
      <c r="X900" s="3">
        <v>589</v>
      </c>
      <c r="Y900" s="3">
        <v>462</v>
      </c>
      <c r="Z900" s="3">
        <v>0</v>
      </c>
      <c r="AA900" s="3">
        <v>127</v>
      </c>
      <c r="AB900" s="3">
        <v>764</v>
      </c>
      <c r="AC900" s="192">
        <v>0</v>
      </c>
      <c r="AF900" s="193">
        <v>1.1805555555555555E-2</v>
      </c>
      <c r="AG900" s="193">
        <v>7.6388888888888895E-2</v>
      </c>
      <c r="AH900" s="193">
        <v>0.35347222222222224</v>
      </c>
    </row>
    <row r="901" spans="1:34" x14ac:dyDescent="0.25">
      <c r="A901" s="3" t="s">
        <v>454</v>
      </c>
      <c r="B901" s="3">
        <v>132131</v>
      </c>
      <c r="C901" s="3">
        <v>941707</v>
      </c>
      <c r="D901" s="3" t="s">
        <v>3526</v>
      </c>
      <c r="E901" s="3">
        <v>6</v>
      </c>
      <c r="F901" s="3">
        <v>7</v>
      </c>
      <c r="G901" s="3">
        <v>8</v>
      </c>
      <c r="H901" s="55" t="s">
        <v>289</v>
      </c>
      <c r="I901" s="3" t="s">
        <v>279</v>
      </c>
      <c r="J901" s="135">
        <v>46180</v>
      </c>
      <c r="L901" s="3">
        <v>2101</v>
      </c>
      <c r="M901" s="3">
        <v>12674</v>
      </c>
      <c r="N901" s="3" t="s">
        <v>5278</v>
      </c>
      <c r="O901" s="3" t="s">
        <v>4754</v>
      </c>
      <c r="R901" s="3">
        <v>10</v>
      </c>
      <c r="S901" s="3" t="s">
        <v>5498</v>
      </c>
      <c r="T901" s="3" t="s">
        <v>5499</v>
      </c>
      <c r="U901" s="3">
        <v>25</v>
      </c>
      <c r="V901" s="3">
        <v>438</v>
      </c>
      <c r="W901" s="3">
        <v>0</v>
      </c>
      <c r="X901" s="3">
        <v>330</v>
      </c>
      <c r="Y901" s="3">
        <v>0</v>
      </c>
      <c r="Z901" s="3">
        <v>0</v>
      </c>
      <c r="AA901" s="3">
        <v>330</v>
      </c>
      <c r="AB901" s="3">
        <v>1094</v>
      </c>
      <c r="AC901" s="192">
        <v>8.3333333333333332E-3</v>
      </c>
      <c r="AD901" s="3" t="s">
        <v>292</v>
      </c>
      <c r="AF901" s="193">
        <v>3.125E-2</v>
      </c>
      <c r="AG901" s="193">
        <v>0.10833333333333334</v>
      </c>
      <c r="AH901" s="193">
        <v>0.39305555555555555</v>
      </c>
    </row>
    <row r="902" spans="1:34" x14ac:dyDescent="0.25">
      <c r="A902" s="3" t="s">
        <v>454</v>
      </c>
      <c r="B902" s="3">
        <v>136041</v>
      </c>
      <c r="C902" s="3">
        <v>942207</v>
      </c>
      <c r="D902" s="3" t="s">
        <v>3526</v>
      </c>
      <c r="E902" s="3">
        <v>7</v>
      </c>
      <c r="F902" s="3">
        <v>8</v>
      </c>
      <c r="G902" s="3">
        <v>4</v>
      </c>
      <c r="H902" s="55" t="s">
        <v>289</v>
      </c>
      <c r="I902" s="3" t="s">
        <v>279</v>
      </c>
      <c r="J902" s="135">
        <v>46210</v>
      </c>
      <c r="L902" s="3">
        <v>2160</v>
      </c>
      <c r="M902" s="3">
        <v>27470</v>
      </c>
      <c r="N902" s="3" t="s">
        <v>444</v>
      </c>
      <c r="R902" s="3">
        <v>17</v>
      </c>
      <c r="S902" s="3" t="s">
        <v>445</v>
      </c>
      <c r="T902" s="3" t="s">
        <v>5500</v>
      </c>
      <c r="U902" s="3">
        <v>25</v>
      </c>
      <c r="V902" s="3">
        <v>228</v>
      </c>
      <c r="W902" s="3">
        <v>0</v>
      </c>
      <c r="X902" s="3">
        <v>124</v>
      </c>
      <c r="Y902" s="3">
        <v>0</v>
      </c>
      <c r="Z902" s="3">
        <v>0</v>
      </c>
      <c r="AA902" s="3">
        <v>124</v>
      </c>
      <c r="AB902" s="3">
        <v>1218</v>
      </c>
      <c r="AC902" s="192">
        <v>0</v>
      </c>
      <c r="AF902" s="193">
        <v>2.2916666666666665E-2</v>
      </c>
      <c r="AG902" s="193">
        <v>0.13055555555555556</v>
      </c>
      <c r="AH902" s="193">
        <v>0.41597222222222224</v>
      </c>
    </row>
    <row r="903" spans="1:34" x14ac:dyDescent="0.25">
      <c r="A903" s="3" t="s">
        <v>454</v>
      </c>
      <c r="B903" s="3">
        <v>136041</v>
      </c>
      <c r="C903" s="3">
        <v>942207</v>
      </c>
      <c r="D903" s="3" t="s">
        <v>3526</v>
      </c>
      <c r="E903" s="3">
        <v>7</v>
      </c>
      <c r="F903" s="3">
        <v>9</v>
      </c>
      <c r="G903" s="3">
        <v>5</v>
      </c>
      <c r="H903" s="55" t="s">
        <v>289</v>
      </c>
      <c r="I903" s="3" t="s">
        <v>279</v>
      </c>
      <c r="J903" s="135">
        <v>46210</v>
      </c>
      <c r="L903" s="3">
        <v>2160</v>
      </c>
      <c r="M903" s="3">
        <v>27470</v>
      </c>
      <c r="N903" s="3" t="s">
        <v>444</v>
      </c>
      <c r="R903" s="3">
        <v>17</v>
      </c>
      <c r="S903" s="3" t="s">
        <v>445</v>
      </c>
      <c r="T903" s="3" t="s">
        <v>5500</v>
      </c>
      <c r="U903" s="3" t="s">
        <v>397</v>
      </c>
      <c r="V903" s="3">
        <v>228</v>
      </c>
      <c r="W903" s="3">
        <v>0</v>
      </c>
      <c r="X903" s="3">
        <v>256</v>
      </c>
      <c r="Y903" s="3">
        <v>0</v>
      </c>
      <c r="Z903" s="3">
        <v>0</v>
      </c>
      <c r="AA903" s="3">
        <v>256</v>
      </c>
      <c r="AB903" s="3">
        <v>1474</v>
      </c>
      <c r="AC903" s="192">
        <v>4.1666666666666664E-2</v>
      </c>
      <c r="AD903" s="3" t="s">
        <v>294</v>
      </c>
      <c r="AE903" s="3" t="s">
        <v>295</v>
      </c>
      <c r="AF903" s="193">
        <v>4.6527777777777779E-2</v>
      </c>
      <c r="AG903" s="193">
        <v>0.17777777777777778</v>
      </c>
      <c r="AH903" s="193">
        <v>0.50416666666666665</v>
      </c>
    </row>
    <row r="904" spans="1:34" x14ac:dyDescent="0.25">
      <c r="A904" s="3" t="s">
        <v>454</v>
      </c>
      <c r="B904" s="3">
        <v>136041</v>
      </c>
      <c r="C904" s="3">
        <v>942207</v>
      </c>
      <c r="D904" s="3" t="s">
        <v>3526</v>
      </c>
      <c r="E904" s="3">
        <v>7</v>
      </c>
      <c r="F904" s="3">
        <v>10</v>
      </c>
      <c r="G904" s="3">
        <v>6</v>
      </c>
      <c r="H904" s="55" t="s">
        <v>289</v>
      </c>
      <c r="I904" s="3" t="s">
        <v>279</v>
      </c>
      <c r="J904" s="135">
        <v>46210</v>
      </c>
      <c r="L904" s="3">
        <v>2160</v>
      </c>
      <c r="M904" s="3">
        <v>27470</v>
      </c>
      <c r="N904" s="3" t="s">
        <v>444</v>
      </c>
      <c r="R904" s="3">
        <v>17</v>
      </c>
      <c r="S904" s="3" t="s">
        <v>445</v>
      </c>
      <c r="T904" s="3" t="s">
        <v>5500</v>
      </c>
      <c r="U904" s="3">
        <v>28</v>
      </c>
      <c r="V904" s="3">
        <v>228</v>
      </c>
      <c r="W904" s="3">
        <v>0</v>
      </c>
      <c r="X904" s="3">
        <v>300</v>
      </c>
      <c r="Y904" s="3">
        <v>0</v>
      </c>
      <c r="Z904" s="3">
        <v>0</v>
      </c>
      <c r="AA904" s="3">
        <v>300</v>
      </c>
      <c r="AB904" s="3">
        <v>1774</v>
      </c>
      <c r="AC904" s="192">
        <v>0</v>
      </c>
      <c r="AF904" s="193">
        <v>5.486111111111111E-2</v>
      </c>
      <c r="AG904" s="193">
        <v>0.23194444444444445</v>
      </c>
      <c r="AH904" s="193">
        <v>0.55902777777777779</v>
      </c>
    </row>
    <row r="905" spans="1:34" x14ac:dyDescent="0.25">
      <c r="A905" s="3" t="s">
        <v>454</v>
      </c>
      <c r="B905" s="3">
        <v>136041</v>
      </c>
      <c r="C905" s="3">
        <v>942207</v>
      </c>
      <c r="D905" s="3" t="s">
        <v>3526</v>
      </c>
      <c r="E905" s="3">
        <v>7</v>
      </c>
      <c r="F905" s="3">
        <v>11</v>
      </c>
      <c r="G905" s="3">
        <v>7</v>
      </c>
      <c r="H905" s="55" t="s">
        <v>289</v>
      </c>
      <c r="I905" s="3" t="s">
        <v>279</v>
      </c>
      <c r="J905" s="135">
        <v>46210</v>
      </c>
      <c r="L905" s="3">
        <v>2160</v>
      </c>
      <c r="M905" s="3">
        <v>27470</v>
      </c>
      <c r="N905" s="3" t="s">
        <v>444</v>
      </c>
      <c r="R905" s="3">
        <v>17</v>
      </c>
      <c r="S905" s="3" t="s">
        <v>445</v>
      </c>
      <c r="T905" s="3" t="s">
        <v>5500</v>
      </c>
      <c r="U905" s="3">
        <v>29</v>
      </c>
      <c r="V905" s="3">
        <v>228</v>
      </c>
      <c r="W905" s="3">
        <v>0</v>
      </c>
      <c r="X905" s="3">
        <v>322</v>
      </c>
      <c r="Y905" s="3">
        <v>0</v>
      </c>
      <c r="Z905" s="3">
        <v>0</v>
      </c>
      <c r="AA905" s="3">
        <v>322</v>
      </c>
      <c r="AB905" s="3">
        <v>2096</v>
      </c>
      <c r="AC905" s="192">
        <v>8.3333333333333332E-3</v>
      </c>
      <c r="AD905" s="3" t="s">
        <v>404</v>
      </c>
      <c r="AF905" s="193">
        <v>5.9027777777777776E-2</v>
      </c>
      <c r="AG905" s="193">
        <v>0.29097222222222224</v>
      </c>
      <c r="AH905" s="193">
        <v>0.62638888888888888</v>
      </c>
    </row>
    <row r="906" spans="1:34" x14ac:dyDescent="0.25">
      <c r="A906" s="3" t="s">
        <v>454</v>
      </c>
      <c r="B906" s="3">
        <v>136041</v>
      </c>
      <c r="C906" s="3">
        <v>942207</v>
      </c>
      <c r="D906" s="3" t="s">
        <v>3526</v>
      </c>
      <c r="E906" s="3">
        <v>7</v>
      </c>
      <c r="F906" s="3">
        <v>12</v>
      </c>
      <c r="G906" s="3">
        <v>8</v>
      </c>
      <c r="H906" s="55" t="s">
        <v>289</v>
      </c>
      <c r="I906" s="3" t="s">
        <v>279</v>
      </c>
      <c r="J906" s="135">
        <v>46210</v>
      </c>
      <c r="L906" s="3">
        <v>2160</v>
      </c>
      <c r="M906" s="3">
        <v>27470</v>
      </c>
      <c r="N906" s="3" t="s">
        <v>444</v>
      </c>
      <c r="R906" s="3">
        <v>17</v>
      </c>
      <c r="S906" s="3" t="s">
        <v>445</v>
      </c>
      <c r="T906" s="3" t="s">
        <v>5500</v>
      </c>
      <c r="U906" s="3">
        <v>30</v>
      </c>
      <c r="V906" s="3">
        <v>228</v>
      </c>
      <c r="W906" s="3">
        <v>0</v>
      </c>
      <c r="X906" s="3">
        <v>292</v>
      </c>
      <c r="Y906" s="3">
        <v>0</v>
      </c>
      <c r="Z906" s="3">
        <v>0</v>
      </c>
      <c r="AA906" s="3">
        <v>292</v>
      </c>
      <c r="AB906" s="3">
        <v>2388</v>
      </c>
      <c r="AC906" s="192">
        <v>0</v>
      </c>
      <c r="AF906" s="193">
        <v>5.347222222222222E-2</v>
      </c>
      <c r="AG906" s="193">
        <v>0.34444444444444444</v>
      </c>
      <c r="AH906" s="193">
        <v>0.68680555555555556</v>
      </c>
    </row>
    <row r="907" spans="1:34" x14ac:dyDescent="0.25">
      <c r="A907" s="3" t="s">
        <v>454</v>
      </c>
      <c r="B907" s="3">
        <v>136041</v>
      </c>
      <c r="C907" s="3">
        <v>942207</v>
      </c>
      <c r="D907" s="3" t="s">
        <v>3526</v>
      </c>
      <c r="E907" s="3">
        <v>7</v>
      </c>
      <c r="F907" s="3">
        <v>13</v>
      </c>
      <c r="G907" s="3">
        <v>9</v>
      </c>
      <c r="H907" s="55" t="s">
        <v>289</v>
      </c>
      <c r="I907" s="3" t="s">
        <v>279</v>
      </c>
      <c r="J907" s="135">
        <v>46210</v>
      </c>
      <c r="L907" s="3">
        <v>2160</v>
      </c>
      <c r="M907" s="3">
        <v>27470</v>
      </c>
      <c r="N907" s="3" t="s">
        <v>444</v>
      </c>
      <c r="R907" s="3">
        <v>17</v>
      </c>
      <c r="S907" s="3" t="s">
        <v>445</v>
      </c>
      <c r="T907" s="3" t="s">
        <v>5500</v>
      </c>
      <c r="U907" s="3">
        <v>31</v>
      </c>
      <c r="V907" s="3">
        <v>228</v>
      </c>
      <c r="W907" s="3">
        <v>0</v>
      </c>
      <c r="X907" s="3">
        <v>288</v>
      </c>
      <c r="Y907" s="3">
        <v>0</v>
      </c>
      <c r="Z907" s="3">
        <v>0</v>
      </c>
      <c r="AA907" s="3">
        <v>288</v>
      </c>
      <c r="AB907" s="3">
        <v>2676</v>
      </c>
      <c r="AC907" s="192">
        <v>0</v>
      </c>
      <c r="AF907" s="193">
        <v>5.2777777777777778E-2</v>
      </c>
      <c r="AG907" s="193">
        <v>0.3972222222222222</v>
      </c>
      <c r="AH907" s="193">
        <v>0.73958333333333337</v>
      </c>
    </row>
    <row r="908" spans="1:34" x14ac:dyDescent="0.25">
      <c r="A908" s="3" t="s">
        <v>454</v>
      </c>
      <c r="B908" s="3">
        <v>136041</v>
      </c>
      <c r="C908" s="3">
        <v>942207</v>
      </c>
      <c r="D908" s="3" t="s">
        <v>3526</v>
      </c>
      <c r="E908" s="3">
        <v>7</v>
      </c>
      <c r="F908" s="3">
        <v>14</v>
      </c>
      <c r="G908" s="3">
        <v>10</v>
      </c>
      <c r="H908" s="55" t="s">
        <v>289</v>
      </c>
      <c r="I908" s="3" t="s">
        <v>279</v>
      </c>
      <c r="J908" s="135">
        <v>46210</v>
      </c>
      <c r="L908" s="3">
        <v>2160</v>
      </c>
      <c r="M908" s="3">
        <v>27470</v>
      </c>
      <c r="N908" s="3" t="s">
        <v>444</v>
      </c>
      <c r="R908" s="3">
        <v>17</v>
      </c>
      <c r="S908" s="3" t="s">
        <v>445</v>
      </c>
      <c r="T908" s="3" t="s">
        <v>5500</v>
      </c>
      <c r="U908" s="3" t="s">
        <v>398</v>
      </c>
      <c r="V908" s="3">
        <v>228</v>
      </c>
      <c r="W908" s="3">
        <v>0</v>
      </c>
      <c r="X908" s="3">
        <v>284</v>
      </c>
      <c r="Y908" s="3">
        <v>0</v>
      </c>
      <c r="Z908" s="3">
        <v>0</v>
      </c>
      <c r="AA908" s="3">
        <v>284</v>
      </c>
      <c r="AB908" s="3">
        <v>2960</v>
      </c>
      <c r="AC908" s="192">
        <v>8.3333333333333332E-3</v>
      </c>
      <c r="AD908" s="3" t="s">
        <v>292</v>
      </c>
      <c r="AF908" s="193">
        <v>5.2083333333333336E-2</v>
      </c>
      <c r="AG908" s="193">
        <v>0.44930555555555557</v>
      </c>
      <c r="AH908" s="193">
        <v>0.8</v>
      </c>
    </row>
    <row r="909" spans="1:34" x14ac:dyDescent="0.25">
      <c r="A909" s="3" t="s">
        <v>454</v>
      </c>
      <c r="B909" s="3">
        <v>136043</v>
      </c>
      <c r="C909" s="3">
        <v>942207</v>
      </c>
      <c r="D909" s="3" t="s">
        <v>3526</v>
      </c>
      <c r="E909" s="3">
        <v>7</v>
      </c>
      <c r="F909" s="3">
        <v>15</v>
      </c>
      <c r="G909" s="3">
        <v>10</v>
      </c>
      <c r="H909" s="55" t="s">
        <v>289</v>
      </c>
      <c r="I909" s="3" t="s">
        <v>279</v>
      </c>
      <c r="J909" s="135">
        <v>46210</v>
      </c>
      <c r="L909" s="3">
        <v>2160</v>
      </c>
      <c r="M909" s="3">
        <v>27470</v>
      </c>
      <c r="N909" s="3" t="s">
        <v>444</v>
      </c>
      <c r="R909" s="3">
        <v>12</v>
      </c>
      <c r="S909" s="3" t="s">
        <v>449</v>
      </c>
      <c r="T909" s="3" t="s">
        <v>5083</v>
      </c>
      <c r="U909" s="3" t="s">
        <v>398</v>
      </c>
      <c r="V909" s="3">
        <v>215</v>
      </c>
      <c r="W909" s="3">
        <v>0</v>
      </c>
      <c r="X909" s="3">
        <v>540</v>
      </c>
      <c r="Y909" s="3">
        <v>0</v>
      </c>
      <c r="Z909" s="3">
        <v>0</v>
      </c>
      <c r="AA909" s="3">
        <v>540</v>
      </c>
      <c r="AB909" s="3">
        <v>3500</v>
      </c>
      <c r="AC909" s="192">
        <v>4.1666666666666664E-2</v>
      </c>
      <c r="AD909" s="3" t="s">
        <v>294</v>
      </c>
      <c r="AE909" s="3" t="s">
        <v>295</v>
      </c>
      <c r="AF909" s="193">
        <v>0.10486111111111111</v>
      </c>
      <c r="AG909" s="193">
        <v>0.55347222222222225</v>
      </c>
      <c r="AH909" s="193">
        <v>0.94652777777777775</v>
      </c>
    </row>
    <row r="910" spans="1:34" x14ac:dyDescent="0.25">
      <c r="A910" s="3" t="s">
        <v>454</v>
      </c>
      <c r="B910" s="3">
        <v>136043</v>
      </c>
      <c r="C910" s="3">
        <v>942207</v>
      </c>
      <c r="D910" s="3" t="s">
        <v>3526</v>
      </c>
      <c r="E910" s="3">
        <v>7</v>
      </c>
      <c r="F910" s="3">
        <v>16</v>
      </c>
      <c r="G910" s="3">
        <v>4</v>
      </c>
      <c r="H910" s="55" t="s">
        <v>289</v>
      </c>
      <c r="I910" s="3" t="s">
        <v>279</v>
      </c>
      <c r="J910" s="135">
        <v>46210</v>
      </c>
      <c r="L910" s="3">
        <v>2160</v>
      </c>
      <c r="M910" s="3">
        <v>27470</v>
      </c>
      <c r="N910" s="3" t="s">
        <v>444</v>
      </c>
      <c r="R910" s="3">
        <v>12</v>
      </c>
      <c r="S910" s="3" t="s">
        <v>449</v>
      </c>
      <c r="T910" s="3" t="s">
        <v>5083</v>
      </c>
      <c r="U910" s="3">
        <v>25</v>
      </c>
      <c r="V910" s="3">
        <v>215</v>
      </c>
      <c r="W910" s="3">
        <v>0</v>
      </c>
      <c r="X910" s="3">
        <v>216</v>
      </c>
      <c r="Y910" s="3">
        <v>0</v>
      </c>
      <c r="Z910" s="3">
        <v>0</v>
      </c>
      <c r="AA910" s="3">
        <v>216</v>
      </c>
      <c r="AB910" s="3">
        <v>3716</v>
      </c>
      <c r="AC910" s="192">
        <v>8.3333333333333332E-3</v>
      </c>
      <c r="AD910" s="3" t="s">
        <v>404</v>
      </c>
      <c r="AF910" s="193">
        <v>4.1666666666666664E-2</v>
      </c>
      <c r="AG910" s="193">
        <v>0.59583333333333333</v>
      </c>
      <c r="AH910" s="193">
        <v>0.99652777777777779</v>
      </c>
    </row>
    <row r="911" spans="1:34" x14ac:dyDescent="0.25">
      <c r="A911" s="3" t="s">
        <v>5279</v>
      </c>
      <c r="B911" s="3">
        <v>120333</v>
      </c>
      <c r="C911" s="3">
        <v>940807</v>
      </c>
      <c r="D911" s="3" t="s">
        <v>3526</v>
      </c>
      <c r="E911" s="3">
        <v>4</v>
      </c>
      <c r="F911" s="3">
        <v>1</v>
      </c>
      <c r="G911" s="3">
        <v>6</v>
      </c>
      <c r="H911" s="55" t="s">
        <v>289</v>
      </c>
      <c r="I911" s="3" t="s">
        <v>279</v>
      </c>
      <c r="J911" s="3" t="s">
        <v>5110</v>
      </c>
      <c r="K911" s="135">
        <v>46241</v>
      </c>
      <c r="L911" s="3">
        <v>2104</v>
      </c>
      <c r="M911" s="3">
        <v>12703</v>
      </c>
      <c r="N911" s="3" t="s">
        <v>4758</v>
      </c>
      <c r="R911" s="3">
        <v>14</v>
      </c>
      <c r="S911" s="3" t="s">
        <v>5280</v>
      </c>
      <c r="T911" s="3" t="s">
        <v>5086</v>
      </c>
      <c r="U911" s="3">
        <v>41</v>
      </c>
      <c r="V911" s="3">
        <v>213</v>
      </c>
      <c r="W911" s="3">
        <v>0</v>
      </c>
      <c r="X911" s="3">
        <v>552</v>
      </c>
      <c r="Y911" s="3">
        <v>522</v>
      </c>
      <c r="Z911" s="3">
        <v>0</v>
      </c>
      <c r="AA911" s="3">
        <v>30</v>
      </c>
      <c r="AB911" s="3">
        <v>30</v>
      </c>
      <c r="AC911" s="192">
        <v>0</v>
      </c>
      <c r="AF911" s="193">
        <v>5.5555555555555558E-3</v>
      </c>
      <c r="AG911" s="193">
        <v>5.5555555555555558E-3</v>
      </c>
      <c r="AH911" s="193">
        <v>0.28263888888888888</v>
      </c>
    </row>
    <row r="912" spans="1:34" x14ac:dyDescent="0.25">
      <c r="A912" s="3" t="s">
        <v>5279</v>
      </c>
      <c r="B912" s="3">
        <v>128769</v>
      </c>
      <c r="C912" s="3">
        <v>941407</v>
      </c>
      <c r="D912" s="3" t="s">
        <v>3526</v>
      </c>
      <c r="E912" s="3">
        <v>5</v>
      </c>
      <c r="F912" s="3">
        <v>2</v>
      </c>
      <c r="G912" s="3">
        <v>5</v>
      </c>
      <c r="H912" s="55" t="s">
        <v>289</v>
      </c>
      <c r="I912" s="3" t="s">
        <v>279</v>
      </c>
      <c r="J912" s="135">
        <v>46060</v>
      </c>
      <c r="K912" s="135">
        <v>46302</v>
      </c>
      <c r="L912" s="3">
        <v>2103</v>
      </c>
      <c r="M912" s="3">
        <v>27492</v>
      </c>
      <c r="N912" s="3" t="s">
        <v>5281</v>
      </c>
      <c r="R912" s="3">
        <v>16</v>
      </c>
      <c r="S912" s="3" t="s">
        <v>2870</v>
      </c>
      <c r="T912" s="3" t="s">
        <v>5282</v>
      </c>
      <c r="U912" s="3" t="s">
        <v>355</v>
      </c>
      <c r="V912" s="3">
        <v>215</v>
      </c>
      <c r="W912" s="3">
        <v>0</v>
      </c>
      <c r="X912" s="3">
        <v>120</v>
      </c>
      <c r="Y912" s="3">
        <v>60</v>
      </c>
      <c r="Z912" s="3">
        <v>0</v>
      </c>
      <c r="AA912" s="3">
        <v>60</v>
      </c>
      <c r="AB912" s="3">
        <v>90</v>
      </c>
      <c r="AC912" s="192">
        <v>0</v>
      </c>
      <c r="AF912" s="193">
        <v>1.1805555555555555E-2</v>
      </c>
      <c r="AG912" s="193">
        <v>1.7361111111111112E-2</v>
      </c>
      <c r="AH912" s="193">
        <v>0.29444444444444445</v>
      </c>
    </row>
    <row r="913" spans="1:34" x14ac:dyDescent="0.25">
      <c r="A913" s="3" t="s">
        <v>5279</v>
      </c>
      <c r="B913" s="3">
        <v>128165</v>
      </c>
      <c r="C913" s="3">
        <v>941407</v>
      </c>
      <c r="D913" s="3" t="s">
        <v>3526</v>
      </c>
      <c r="E913" s="3">
        <v>5</v>
      </c>
      <c r="F913" s="3">
        <v>3</v>
      </c>
      <c r="G913" s="3">
        <v>7</v>
      </c>
      <c r="H913" s="55" t="s">
        <v>289</v>
      </c>
      <c r="I913" s="3" t="s">
        <v>279</v>
      </c>
      <c r="J913" s="135">
        <v>46060</v>
      </c>
      <c r="K913" s="3" t="s">
        <v>5108</v>
      </c>
      <c r="L913" s="3">
        <v>2103</v>
      </c>
      <c r="M913" s="3">
        <v>27492</v>
      </c>
      <c r="N913" s="3" t="s">
        <v>5281</v>
      </c>
      <c r="R913" s="3">
        <v>14</v>
      </c>
      <c r="S913" s="3" t="s">
        <v>2872</v>
      </c>
      <c r="T913" s="3" t="s">
        <v>5283</v>
      </c>
      <c r="U913" s="3" t="s">
        <v>290</v>
      </c>
      <c r="V913" s="3">
        <v>215</v>
      </c>
      <c r="W913" s="3">
        <v>0</v>
      </c>
      <c r="X913" s="3">
        <v>440</v>
      </c>
      <c r="Y913" s="3">
        <v>390</v>
      </c>
      <c r="Z913" s="3">
        <v>0</v>
      </c>
      <c r="AA913" s="3">
        <v>50</v>
      </c>
      <c r="AB913" s="3">
        <v>140</v>
      </c>
      <c r="AC913" s="192">
        <v>0</v>
      </c>
      <c r="AF913" s="193">
        <v>9.7222222222222224E-3</v>
      </c>
      <c r="AG913" s="193">
        <v>2.7083333333333334E-2</v>
      </c>
      <c r="AH913" s="193">
        <v>0.30416666666666664</v>
      </c>
    </row>
    <row r="914" spans="1:34" x14ac:dyDescent="0.25">
      <c r="A914" s="3" t="s">
        <v>5279</v>
      </c>
      <c r="B914" s="3">
        <v>120181</v>
      </c>
      <c r="C914" s="3">
        <v>941707</v>
      </c>
      <c r="D914" s="3" t="s">
        <v>3526</v>
      </c>
      <c r="E914" s="3">
        <v>6</v>
      </c>
      <c r="F914" s="3">
        <v>4</v>
      </c>
      <c r="G914" s="3">
        <v>1</v>
      </c>
      <c r="H914" s="55" t="s">
        <v>289</v>
      </c>
      <c r="I914" s="3" t="s">
        <v>279</v>
      </c>
      <c r="J914" s="3" t="s">
        <v>5110</v>
      </c>
      <c r="K914" s="3" t="s">
        <v>5291</v>
      </c>
      <c r="L914" s="3">
        <v>2108</v>
      </c>
      <c r="M914" s="3">
        <v>19438</v>
      </c>
      <c r="N914" s="3" t="s">
        <v>5284</v>
      </c>
      <c r="O914" s="3" t="s">
        <v>4754</v>
      </c>
      <c r="R914" s="3">
        <v>20</v>
      </c>
      <c r="S914" s="3" t="s">
        <v>5355</v>
      </c>
      <c r="T914" s="3" t="s">
        <v>5243</v>
      </c>
      <c r="U914" s="3" t="s">
        <v>298</v>
      </c>
      <c r="V914" s="3">
        <v>236</v>
      </c>
      <c r="W914" s="3">
        <v>0</v>
      </c>
      <c r="X914" s="3">
        <v>260</v>
      </c>
      <c r="Y914" s="3">
        <v>250</v>
      </c>
      <c r="Z914" s="3">
        <v>0</v>
      </c>
      <c r="AA914" s="3">
        <v>10</v>
      </c>
      <c r="AB914" s="3">
        <v>150</v>
      </c>
      <c r="AC914" s="192">
        <v>0</v>
      </c>
      <c r="AF914" s="193">
        <v>2.0833333333333333E-3</v>
      </c>
      <c r="AG914" s="193">
        <v>2.9166666666666667E-2</v>
      </c>
      <c r="AH914" s="193">
        <v>0.30625000000000002</v>
      </c>
    </row>
    <row r="915" spans="1:34" x14ac:dyDescent="0.25">
      <c r="A915" s="3" t="s">
        <v>5279</v>
      </c>
      <c r="B915" s="3">
        <v>120181</v>
      </c>
      <c r="C915" s="3">
        <v>941707</v>
      </c>
      <c r="D915" s="3" t="s">
        <v>3526</v>
      </c>
      <c r="E915" s="3">
        <v>6</v>
      </c>
      <c r="F915" s="3">
        <v>5</v>
      </c>
      <c r="G915" s="3">
        <v>6</v>
      </c>
      <c r="H915" s="55" t="s">
        <v>289</v>
      </c>
      <c r="I915" s="3" t="s">
        <v>279</v>
      </c>
      <c r="J915" s="3" t="s">
        <v>5110</v>
      </c>
      <c r="K915" s="3" t="s">
        <v>5291</v>
      </c>
      <c r="L915" s="3">
        <v>2108</v>
      </c>
      <c r="M915" s="3">
        <v>19438</v>
      </c>
      <c r="N915" s="3" t="s">
        <v>5284</v>
      </c>
      <c r="O915" s="3" t="s">
        <v>4754</v>
      </c>
      <c r="R915" s="3">
        <v>20</v>
      </c>
      <c r="S915" s="3" t="s">
        <v>5355</v>
      </c>
      <c r="T915" s="3" t="s">
        <v>5243</v>
      </c>
      <c r="U915" s="3" t="s">
        <v>280</v>
      </c>
      <c r="V915" s="3">
        <v>236</v>
      </c>
      <c r="W915" s="3">
        <v>0</v>
      </c>
      <c r="X915" s="3">
        <v>302</v>
      </c>
      <c r="Y915" s="3">
        <v>294</v>
      </c>
      <c r="Z915" s="3">
        <v>0</v>
      </c>
      <c r="AA915" s="3">
        <v>8</v>
      </c>
      <c r="AB915" s="3">
        <v>158</v>
      </c>
      <c r="AC915" s="192">
        <v>0</v>
      </c>
      <c r="AF915" s="193">
        <v>1.3888888888888889E-3</v>
      </c>
      <c r="AG915" s="193">
        <v>3.0555555555555555E-2</v>
      </c>
      <c r="AH915" s="193">
        <v>0.30763888888888891</v>
      </c>
    </row>
    <row r="916" spans="1:34" x14ac:dyDescent="0.25">
      <c r="A916" s="3" t="s">
        <v>5279</v>
      </c>
      <c r="B916" s="3">
        <v>120186</v>
      </c>
      <c r="C916" s="3">
        <v>941707</v>
      </c>
      <c r="D916" s="3" t="s">
        <v>3526</v>
      </c>
      <c r="E916" s="3">
        <v>6</v>
      </c>
      <c r="F916" s="3">
        <v>6</v>
      </c>
      <c r="G916" s="3">
        <v>1</v>
      </c>
      <c r="H916" s="55" t="s">
        <v>289</v>
      </c>
      <c r="I916" s="3" t="s">
        <v>279</v>
      </c>
      <c r="J916" s="3" t="s">
        <v>5110</v>
      </c>
      <c r="L916" s="3">
        <v>2108</v>
      </c>
      <c r="M916" s="3">
        <v>19438</v>
      </c>
      <c r="N916" s="3" t="s">
        <v>5284</v>
      </c>
      <c r="O916" s="3" t="s">
        <v>4754</v>
      </c>
      <c r="R916" s="3">
        <v>20</v>
      </c>
      <c r="S916" s="3" t="s">
        <v>5501</v>
      </c>
      <c r="T916" s="3" t="s">
        <v>5502</v>
      </c>
      <c r="U916" s="3" t="s">
        <v>298</v>
      </c>
      <c r="V916" s="3">
        <v>236</v>
      </c>
      <c r="W916" s="3">
        <v>0</v>
      </c>
      <c r="X916" s="3">
        <v>194</v>
      </c>
      <c r="Y916" s="3">
        <v>0</v>
      </c>
      <c r="Z916" s="3">
        <v>0</v>
      </c>
      <c r="AA916" s="3">
        <v>194</v>
      </c>
      <c r="AB916" s="3">
        <v>352</v>
      </c>
      <c r="AC916" s="192">
        <v>0</v>
      </c>
      <c r="AF916" s="193">
        <v>3.4027777777777775E-2</v>
      </c>
      <c r="AG916" s="193">
        <v>6.458333333333334E-2</v>
      </c>
      <c r="AH916" s="193">
        <v>0.34166666666666667</v>
      </c>
    </row>
    <row r="917" spans="1:34" x14ac:dyDescent="0.25">
      <c r="A917" s="3" t="s">
        <v>5279</v>
      </c>
      <c r="B917" s="3">
        <v>120186</v>
      </c>
      <c r="C917" s="3">
        <v>941707</v>
      </c>
      <c r="D917" s="3" t="s">
        <v>3526</v>
      </c>
      <c r="E917" s="3">
        <v>6</v>
      </c>
      <c r="F917" s="3">
        <v>7</v>
      </c>
      <c r="G917" s="3">
        <v>2</v>
      </c>
      <c r="H917" s="55" t="s">
        <v>289</v>
      </c>
      <c r="I917" s="3" t="s">
        <v>279</v>
      </c>
      <c r="J917" s="3" t="s">
        <v>5110</v>
      </c>
      <c r="K917" s="3" t="s">
        <v>5363</v>
      </c>
      <c r="L917" s="3">
        <v>2108</v>
      </c>
      <c r="M917" s="3">
        <v>19438</v>
      </c>
      <c r="N917" s="3" t="s">
        <v>5284</v>
      </c>
      <c r="O917" s="3" t="s">
        <v>4754</v>
      </c>
      <c r="R917" s="3">
        <v>20</v>
      </c>
      <c r="S917" s="3" t="s">
        <v>5501</v>
      </c>
      <c r="T917" s="3" t="s">
        <v>5502</v>
      </c>
      <c r="U917" s="3">
        <v>35</v>
      </c>
      <c r="V917" s="3">
        <v>236</v>
      </c>
      <c r="W917" s="3">
        <v>0</v>
      </c>
      <c r="X917" s="3">
        <v>368</v>
      </c>
      <c r="Y917" s="3">
        <v>220</v>
      </c>
      <c r="Z917" s="3">
        <v>0</v>
      </c>
      <c r="AA917" s="3">
        <v>148</v>
      </c>
      <c r="AB917" s="3">
        <v>500</v>
      </c>
      <c r="AC917" s="192">
        <v>8.3333333333333332E-3</v>
      </c>
      <c r="AD917" s="3" t="s">
        <v>292</v>
      </c>
      <c r="AF917" s="193">
        <v>2.6388888888888889E-2</v>
      </c>
      <c r="AG917" s="193">
        <v>9.0972222222222218E-2</v>
      </c>
      <c r="AH917" s="193">
        <v>0.37638888888888888</v>
      </c>
    </row>
    <row r="918" spans="1:34" x14ac:dyDescent="0.25">
      <c r="A918" s="3" t="s">
        <v>5279</v>
      </c>
      <c r="B918" s="3">
        <v>120186</v>
      </c>
      <c r="C918" s="3">
        <v>941707</v>
      </c>
      <c r="D918" s="3" t="s">
        <v>3526</v>
      </c>
      <c r="E918" s="3">
        <v>6</v>
      </c>
      <c r="F918" s="3">
        <v>8</v>
      </c>
      <c r="G918" s="3">
        <v>3</v>
      </c>
      <c r="H918" s="55" t="s">
        <v>289</v>
      </c>
      <c r="I918" s="3" t="s">
        <v>279</v>
      </c>
      <c r="J918" s="3" t="s">
        <v>5110</v>
      </c>
      <c r="L918" s="3">
        <v>2108</v>
      </c>
      <c r="M918" s="3">
        <v>19438</v>
      </c>
      <c r="N918" s="3" t="s">
        <v>5284</v>
      </c>
      <c r="O918" s="3" t="s">
        <v>4754</v>
      </c>
      <c r="R918" s="3">
        <v>20</v>
      </c>
      <c r="S918" s="3" t="s">
        <v>5501</v>
      </c>
      <c r="T918" s="3" t="s">
        <v>5502</v>
      </c>
      <c r="U918" s="3">
        <v>36</v>
      </c>
      <c r="V918" s="3">
        <v>236</v>
      </c>
      <c r="W918" s="3">
        <v>0</v>
      </c>
      <c r="X918" s="3">
        <v>416</v>
      </c>
      <c r="Y918" s="3">
        <v>0</v>
      </c>
      <c r="Z918" s="3">
        <v>0</v>
      </c>
      <c r="AA918" s="3">
        <v>416</v>
      </c>
      <c r="AB918" s="3">
        <v>916</v>
      </c>
      <c r="AC918" s="192">
        <v>0</v>
      </c>
      <c r="AF918" s="193">
        <v>7.3611111111111113E-2</v>
      </c>
      <c r="AG918" s="193">
        <v>0.16388888888888889</v>
      </c>
      <c r="AH918" s="193">
        <v>0.45</v>
      </c>
    </row>
    <row r="919" spans="1:34" x14ac:dyDescent="0.25">
      <c r="A919" s="3" t="s">
        <v>5279</v>
      </c>
      <c r="B919" s="3">
        <v>120186</v>
      </c>
      <c r="C919" s="3">
        <v>941707</v>
      </c>
      <c r="D919" s="3" t="s">
        <v>3526</v>
      </c>
      <c r="E919" s="3">
        <v>6</v>
      </c>
      <c r="F919" s="3">
        <v>9</v>
      </c>
      <c r="G919" s="3">
        <v>4</v>
      </c>
      <c r="H919" s="55" t="s">
        <v>289</v>
      </c>
      <c r="I919" s="3" t="s">
        <v>279</v>
      </c>
      <c r="J919" s="3" t="s">
        <v>5110</v>
      </c>
      <c r="L919" s="3">
        <v>2108</v>
      </c>
      <c r="M919" s="3">
        <v>19438</v>
      </c>
      <c r="N919" s="3" t="s">
        <v>5284</v>
      </c>
      <c r="O919" s="3" t="s">
        <v>4754</v>
      </c>
      <c r="R919" s="3">
        <v>20</v>
      </c>
      <c r="S919" s="3" t="s">
        <v>5501</v>
      </c>
      <c r="T919" s="3" t="s">
        <v>5502</v>
      </c>
      <c r="U919" s="3">
        <v>37</v>
      </c>
      <c r="V919" s="3">
        <v>236</v>
      </c>
      <c r="W919" s="3">
        <v>0</v>
      </c>
      <c r="X919" s="3">
        <v>446</v>
      </c>
      <c r="Y919" s="3">
        <v>0</v>
      </c>
      <c r="Z919" s="3">
        <v>0</v>
      </c>
      <c r="AA919" s="3">
        <v>446</v>
      </c>
      <c r="AB919" s="3">
        <v>1362</v>
      </c>
      <c r="AC919" s="192">
        <v>0.05</v>
      </c>
      <c r="AD919" s="3" t="s">
        <v>294</v>
      </c>
      <c r="AE919" s="3" t="s">
        <v>5292</v>
      </c>
      <c r="AF919" s="193">
        <v>7.8472222222222221E-2</v>
      </c>
      <c r="AG919" s="193">
        <v>0.24305555555555555</v>
      </c>
      <c r="AH919" s="193">
        <v>0.57847222222222228</v>
      </c>
    </row>
    <row r="920" spans="1:34" x14ac:dyDescent="0.25">
      <c r="A920" s="3" t="s">
        <v>5279</v>
      </c>
      <c r="B920" s="3">
        <v>120186</v>
      </c>
      <c r="C920" s="3">
        <v>941707</v>
      </c>
      <c r="D920" s="3" t="s">
        <v>3526</v>
      </c>
      <c r="E920" s="3">
        <v>6</v>
      </c>
      <c r="F920" s="3">
        <v>10</v>
      </c>
      <c r="G920" s="3">
        <v>5</v>
      </c>
      <c r="H920" s="55" t="s">
        <v>289</v>
      </c>
      <c r="I920" s="3" t="s">
        <v>279</v>
      </c>
      <c r="J920" s="3" t="s">
        <v>5110</v>
      </c>
      <c r="L920" s="3">
        <v>2108</v>
      </c>
      <c r="M920" s="3">
        <v>19438</v>
      </c>
      <c r="N920" s="3" t="s">
        <v>5284</v>
      </c>
      <c r="O920" s="3" t="s">
        <v>4754</v>
      </c>
      <c r="R920" s="3">
        <v>20</v>
      </c>
      <c r="S920" s="3" t="s">
        <v>5501</v>
      </c>
      <c r="T920" s="3" t="s">
        <v>5502</v>
      </c>
      <c r="U920" s="3">
        <v>38</v>
      </c>
      <c r="V920" s="3">
        <v>236</v>
      </c>
      <c r="W920" s="3">
        <v>0</v>
      </c>
      <c r="X920" s="3">
        <v>290</v>
      </c>
      <c r="Y920" s="3">
        <v>0</v>
      </c>
      <c r="Z920" s="3">
        <v>0</v>
      </c>
      <c r="AA920" s="3">
        <v>290</v>
      </c>
      <c r="AB920" s="3">
        <v>1652</v>
      </c>
      <c r="AC920" s="192">
        <v>0</v>
      </c>
      <c r="AF920" s="193">
        <v>5.1388888888888887E-2</v>
      </c>
      <c r="AG920" s="193">
        <v>0.29444444444444445</v>
      </c>
      <c r="AH920" s="193">
        <v>0.62986111111111109</v>
      </c>
    </row>
    <row r="921" spans="1:34" x14ac:dyDescent="0.25">
      <c r="A921" s="3" t="s">
        <v>5279</v>
      </c>
      <c r="B921" s="3">
        <v>120186</v>
      </c>
      <c r="C921" s="3">
        <v>941707</v>
      </c>
      <c r="D921" s="3" t="s">
        <v>3526</v>
      </c>
      <c r="E921" s="3">
        <v>6</v>
      </c>
      <c r="F921" s="3">
        <v>11</v>
      </c>
      <c r="G921" s="3">
        <v>6</v>
      </c>
      <c r="H921" s="55" t="s">
        <v>289</v>
      </c>
      <c r="I921" s="3" t="s">
        <v>279</v>
      </c>
      <c r="J921" s="3" t="s">
        <v>5110</v>
      </c>
      <c r="L921" s="3">
        <v>2108</v>
      </c>
      <c r="M921" s="3">
        <v>19438</v>
      </c>
      <c r="N921" s="3" t="s">
        <v>5284</v>
      </c>
      <c r="O921" s="3" t="s">
        <v>4754</v>
      </c>
      <c r="R921" s="3">
        <v>20</v>
      </c>
      <c r="S921" s="3" t="s">
        <v>5501</v>
      </c>
      <c r="T921" s="3" t="s">
        <v>5502</v>
      </c>
      <c r="U921" s="3" t="s">
        <v>280</v>
      </c>
      <c r="V921" s="3">
        <v>236</v>
      </c>
      <c r="W921" s="3">
        <v>0</v>
      </c>
      <c r="X921" s="3">
        <v>232</v>
      </c>
      <c r="Y921" s="3">
        <v>0</v>
      </c>
      <c r="Z921" s="3">
        <v>0</v>
      </c>
      <c r="AA921" s="3">
        <v>232</v>
      </c>
      <c r="AB921" s="3">
        <v>1884</v>
      </c>
      <c r="AC921" s="192">
        <v>0</v>
      </c>
      <c r="AF921" s="193">
        <v>4.0972222222222222E-2</v>
      </c>
      <c r="AG921" s="193">
        <v>0.33541666666666664</v>
      </c>
      <c r="AH921" s="193">
        <v>0.67777777777777781</v>
      </c>
    </row>
    <row r="922" spans="1:34" x14ac:dyDescent="0.25">
      <c r="A922" s="3" t="s">
        <v>5279</v>
      </c>
      <c r="B922" s="3">
        <v>120184</v>
      </c>
      <c r="C922" s="3">
        <v>941707</v>
      </c>
      <c r="D922" s="3" t="s">
        <v>3526</v>
      </c>
      <c r="E922" s="3">
        <v>6</v>
      </c>
      <c r="F922" s="3">
        <v>12</v>
      </c>
      <c r="G922" s="3">
        <v>1</v>
      </c>
      <c r="H922" s="55" t="s">
        <v>289</v>
      </c>
      <c r="I922" s="3" t="s">
        <v>279</v>
      </c>
      <c r="J922" s="3" t="s">
        <v>5110</v>
      </c>
      <c r="L922" s="3">
        <v>2108</v>
      </c>
      <c r="M922" s="3">
        <v>19438</v>
      </c>
      <c r="N922" s="3" t="s">
        <v>5284</v>
      </c>
      <c r="O922" s="3" t="s">
        <v>4754</v>
      </c>
      <c r="R922" s="3">
        <v>21</v>
      </c>
      <c r="S922" s="3" t="s">
        <v>5285</v>
      </c>
      <c r="T922" s="3" t="s">
        <v>5286</v>
      </c>
      <c r="U922" s="3" t="s">
        <v>298</v>
      </c>
      <c r="V922" s="3">
        <v>236</v>
      </c>
      <c r="W922" s="3">
        <v>0</v>
      </c>
      <c r="X922" s="3">
        <v>56</v>
      </c>
      <c r="Y922" s="3">
        <v>0</v>
      </c>
      <c r="Z922" s="3">
        <v>0</v>
      </c>
      <c r="AA922" s="3">
        <v>56</v>
      </c>
      <c r="AB922" s="3">
        <v>1940</v>
      </c>
      <c r="AC922" s="192">
        <v>0</v>
      </c>
      <c r="AF922" s="193">
        <v>9.7222222222222224E-3</v>
      </c>
      <c r="AG922" s="193">
        <v>0.34513888888888888</v>
      </c>
      <c r="AH922" s="193">
        <v>0.6875</v>
      </c>
    </row>
    <row r="923" spans="1:34" x14ac:dyDescent="0.25">
      <c r="A923" s="3" t="s">
        <v>5279</v>
      </c>
      <c r="B923" s="3">
        <v>120184</v>
      </c>
      <c r="C923" s="3">
        <v>941707</v>
      </c>
      <c r="D923" s="3" t="s">
        <v>3526</v>
      </c>
      <c r="E923" s="3">
        <v>6</v>
      </c>
      <c r="F923" s="3">
        <v>13</v>
      </c>
      <c r="G923" s="3">
        <v>2</v>
      </c>
      <c r="H923" s="55" t="s">
        <v>289</v>
      </c>
      <c r="I923" s="3" t="s">
        <v>279</v>
      </c>
      <c r="J923" s="3" t="s">
        <v>5110</v>
      </c>
      <c r="L923" s="3">
        <v>2108</v>
      </c>
      <c r="M923" s="3">
        <v>19438</v>
      </c>
      <c r="N923" s="3" t="s">
        <v>5284</v>
      </c>
      <c r="O923" s="3" t="s">
        <v>4754</v>
      </c>
      <c r="R923" s="3">
        <v>21</v>
      </c>
      <c r="S923" s="3" t="s">
        <v>5285</v>
      </c>
      <c r="T923" s="3" t="s">
        <v>5286</v>
      </c>
      <c r="U923" s="3">
        <v>35</v>
      </c>
      <c r="V923" s="3">
        <v>236</v>
      </c>
      <c r="W923" s="3">
        <v>0</v>
      </c>
      <c r="X923" s="3">
        <v>76</v>
      </c>
      <c r="Y923" s="3">
        <v>0</v>
      </c>
      <c r="Z923" s="3">
        <v>0</v>
      </c>
      <c r="AA923" s="3">
        <v>76</v>
      </c>
      <c r="AB923" s="3">
        <v>2016</v>
      </c>
      <c r="AC923" s="192">
        <v>0</v>
      </c>
      <c r="AF923" s="193">
        <v>1.3194444444444444E-2</v>
      </c>
      <c r="AG923" s="193">
        <v>0.35833333333333334</v>
      </c>
      <c r="AH923" s="193">
        <v>0.7006944444444444</v>
      </c>
    </row>
    <row r="924" spans="1:34" x14ac:dyDescent="0.25">
      <c r="A924" s="3" t="s">
        <v>5279</v>
      </c>
      <c r="B924" s="3">
        <v>120184</v>
      </c>
      <c r="C924" s="3">
        <v>941707</v>
      </c>
      <c r="D924" s="3" t="s">
        <v>3526</v>
      </c>
      <c r="E924" s="3">
        <v>6</v>
      </c>
      <c r="F924" s="3">
        <v>14</v>
      </c>
      <c r="G924" s="3">
        <v>3</v>
      </c>
      <c r="H924" s="55" t="s">
        <v>289</v>
      </c>
      <c r="I924" s="3" t="s">
        <v>279</v>
      </c>
      <c r="J924" s="3" t="s">
        <v>5110</v>
      </c>
      <c r="L924" s="3">
        <v>2108</v>
      </c>
      <c r="M924" s="3">
        <v>19438</v>
      </c>
      <c r="N924" s="3" t="s">
        <v>5284</v>
      </c>
      <c r="O924" s="3" t="s">
        <v>4754</v>
      </c>
      <c r="R924" s="3">
        <v>21</v>
      </c>
      <c r="S924" s="3" t="s">
        <v>5285</v>
      </c>
      <c r="T924" s="3" t="s">
        <v>5286</v>
      </c>
      <c r="U924" s="3">
        <v>36</v>
      </c>
      <c r="V924" s="3">
        <v>236</v>
      </c>
      <c r="W924" s="3">
        <v>0</v>
      </c>
      <c r="X924" s="3">
        <v>94</v>
      </c>
      <c r="Y924" s="3">
        <v>0</v>
      </c>
      <c r="Z924" s="3">
        <v>0</v>
      </c>
      <c r="AA924" s="3">
        <v>94</v>
      </c>
      <c r="AB924" s="3">
        <v>2110</v>
      </c>
      <c r="AC924" s="192">
        <v>0</v>
      </c>
      <c r="AF924" s="193">
        <v>1.6666666666666666E-2</v>
      </c>
      <c r="AG924" s="193">
        <v>0.375</v>
      </c>
      <c r="AH924" s="193">
        <v>0.71736111111111112</v>
      </c>
    </row>
    <row r="925" spans="1:34" x14ac:dyDescent="0.25">
      <c r="A925" s="3" t="s">
        <v>5279</v>
      </c>
      <c r="B925" s="3">
        <v>120184</v>
      </c>
      <c r="C925" s="3">
        <v>941707</v>
      </c>
      <c r="D925" s="3" t="s">
        <v>3526</v>
      </c>
      <c r="E925" s="3">
        <v>6</v>
      </c>
      <c r="F925" s="3">
        <v>15</v>
      </c>
      <c r="G925" s="3">
        <v>4</v>
      </c>
      <c r="H925" s="55" t="s">
        <v>289</v>
      </c>
      <c r="I925" s="3" t="s">
        <v>279</v>
      </c>
      <c r="J925" s="3" t="s">
        <v>5110</v>
      </c>
      <c r="L925" s="3">
        <v>2108</v>
      </c>
      <c r="M925" s="3">
        <v>19438</v>
      </c>
      <c r="N925" s="3" t="s">
        <v>5284</v>
      </c>
      <c r="O925" s="3" t="s">
        <v>4754</v>
      </c>
      <c r="R925" s="3">
        <v>21</v>
      </c>
      <c r="S925" s="3" t="s">
        <v>5285</v>
      </c>
      <c r="T925" s="3" t="s">
        <v>5286</v>
      </c>
      <c r="U925" s="3">
        <v>37</v>
      </c>
      <c r="V925" s="3">
        <v>236</v>
      </c>
      <c r="W925" s="3">
        <v>0</v>
      </c>
      <c r="X925" s="3">
        <v>98</v>
      </c>
      <c r="Y925" s="3">
        <v>0</v>
      </c>
      <c r="Z925" s="3">
        <v>0</v>
      </c>
      <c r="AA925" s="3">
        <v>98</v>
      </c>
      <c r="AB925" s="3">
        <v>2208</v>
      </c>
      <c r="AC925" s="192">
        <v>0</v>
      </c>
      <c r="AF925" s="193">
        <v>1.7361111111111112E-2</v>
      </c>
      <c r="AG925" s="193">
        <v>0.3923611111111111</v>
      </c>
      <c r="AH925" s="193">
        <v>0.73472222222222228</v>
      </c>
    </row>
    <row r="926" spans="1:34" x14ac:dyDescent="0.25">
      <c r="A926" s="3" t="s">
        <v>5279</v>
      </c>
      <c r="B926" s="3">
        <v>120184</v>
      </c>
      <c r="C926" s="3">
        <v>941707</v>
      </c>
      <c r="D926" s="3" t="s">
        <v>3526</v>
      </c>
      <c r="E926" s="3">
        <v>6</v>
      </c>
      <c r="F926" s="3">
        <v>16</v>
      </c>
      <c r="G926" s="3">
        <v>5</v>
      </c>
      <c r="H926" s="55" t="s">
        <v>289</v>
      </c>
      <c r="I926" s="3" t="s">
        <v>279</v>
      </c>
      <c r="J926" s="3" t="s">
        <v>5110</v>
      </c>
      <c r="L926" s="3">
        <v>2108</v>
      </c>
      <c r="M926" s="3">
        <v>19438</v>
      </c>
      <c r="N926" s="3" t="s">
        <v>5284</v>
      </c>
      <c r="O926" s="3" t="s">
        <v>4754</v>
      </c>
      <c r="R926" s="3">
        <v>21</v>
      </c>
      <c r="S926" s="3" t="s">
        <v>5285</v>
      </c>
      <c r="T926" s="3" t="s">
        <v>5286</v>
      </c>
      <c r="U926" s="3">
        <v>38</v>
      </c>
      <c r="V926" s="3">
        <v>236</v>
      </c>
      <c r="W926" s="3">
        <v>0</v>
      </c>
      <c r="X926" s="3">
        <v>78</v>
      </c>
      <c r="Y926" s="3">
        <v>0</v>
      </c>
      <c r="Z926" s="3">
        <v>0</v>
      </c>
      <c r="AA926" s="3">
        <v>78</v>
      </c>
      <c r="AB926" s="3">
        <v>2286</v>
      </c>
      <c r="AC926" s="192">
        <v>0</v>
      </c>
      <c r="AF926" s="193">
        <v>1.3888888888888888E-2</v>
      </c>
      <c r="AG926" s="193">
        <v>0.40625</v>
      </c>
      <c r="AH926" s="193">
        <v>0.74861111111111112</v>
      </c>
    </row>
    <row r="927" spans="1:34" x14ac:dyDescent="0.25">
      <c r="A927" s="3" t="s">
        <v>5279</v>
      </c>
      <c r="B927" s="3">
        <v>120184</v>
      </c>
      <c r="C927" s="3">
        <v>941707</v>
      </c>
      <c r="D927" s="3" t="s">
        <v>3526</v>
      </c>
      <c r="E927" s="3">
        <v>6</v>
      </c>
      <c r="F927" s="3">
        <v>17</v>
      </c>
      <c r="G927" s="3">
        <v>6</v>
      </c>
      <c r="H927" s="55" t="s">
        <v>289</v>
      </c>
      <c r="I927" s="3" t="s">
        <v>279</v>
      </c>
      <c r="J927" s="3" t="s">
        <v>5110</v>
      </c>
      <c r="L927" s="3">
        <v>2108</v>
      </c>
      <c r="M927" s="3">
        <v>19438</v>
      </c>
      <c r="N927" s="3" t="s">
        <v>5284</v>
      </c>
      <c r="O927" s="3" t="s">
        <v>4754</v>
      </c>
      <c r="R927" s="3">
        <v>21</v>
      </c>
      <c r="S927" s="3" t="s">
        <v>5285</v>
      </c>
      <c r="T927" s="3" t="s">
        <v>5286</v>
      </c>
      <c r="U927" s="3" t="s">
        <v>280</v>
      </c>
      <c r="V927" s="3">
        <v>236</v>
      </c>
      <c r="W927" s="3">
        <v>0</v>
      </c>
      <c r="X927" s="3">
        <v>56</v>
      </c>
      <c r="Y927" s="3">
        <v>0</v>
      </c>
      <c r="Z927" s="3">
        <v>0</v>
      </c>
      <c r="AA927" s="3">
        <v>56</v>
      </c>
      <c r="AB927" s="3">
        <v>2342</v>
      </c>
      <c r="AC927" s="192">
        <v>0</v>
      </c>
      <c r="AF927" s="193">
        <v>9.7222222222222224E-3</v>
      </c>
      <c r="AG927" s="193">
        <v>0.41597222222222224</v>
      </c>
      <c r="AH927" s="193">
        <v>0.7583333333333333</v>
      </c>
    </row>
    <row r="928" spans="1:34" x14ac:dyDescent="0.25">
      <c r="A928" s="3" t="s">
        <v>5279</v>
      </c>
      <c r="B928" s="3">
        <v>120185</v>
      </c>
      <c r="C928" s="3">
        <v>941707</v>
      </c>
      <c r="D928" s="3" t="s">
        <v>3526</v>
      </c>
      <c r="E928" s="3">
        <v>6</v>
      </c>
      <c r="F928" s="3">
        <v>18</v>
      </c>
      <c r="G928" s="3">
        <v>1</v>
      </c>
      <c r="H928" s="55" t="s">
        <v>289</v>
      </c>
      <c r="I928" s="3" t="s">
        <v>279</v>
      </c>
      <c r="J928" s="3" t="s">
        <v>5110</v>
      </c>
      <c r="L928" s="3">
        <v>2108</v>
      </c>
      <c r="M928" s="3">
        <v>19438</v>
      </c>
      <c r="N928" s="3" t="s">
        <v>5284</v>
      </c>
      <c r="O928" s="3" t="s">
        <v>4754</v>
      </c>
      <c r="R928" s="3">
        <v>21</v>
      </c>
      <c r="S928" s="3" t="s">
        <v>5356</v>
      </c>
      <c r="T928" s="3" t="s">
        <v>5357</v>
      </c>
      <c r="U928" s="3" t="s">
        <v>298</v>
      </c>
      <c r="V928" s="3">
        <v>236</v>
      </c>
      <c r="W928" s="3">
        <v>0</v>
      </c>
      <c r="X928" s="3">
        <v>62</v>
      </c>
      <c r="Y928" s="3">
        <v>0</v>
      </c>
      <c r="Z928" s="3">
        <v>0</v>
      </c>
      <c r="AA928" s="3">
        <v>62</v>
      </c>
      <c r="AB928" s="3">
        <v>2404</v>
      </c>
      <c r="AC928" s="192">
        <v>0</v>
      </c>
      <c r="AF928" s="193">
        <v>1.1111111111111112E-2</v>
      </c>
      <c r="AG928" s="193">
        <v>0.42708333333333331</v>
      </c>
      <c r="AH928" s="193">
        <v>0.76944444444444449</v>
      </c>
    </row>
    <row r="929" spans="1:34" x14ac:dyDescent="0.25">
      <c r="A929" s="3" t="s">
        <v>5279</v>
      </c>
      <c r="B929" s="3">
        <v>120185</v>
      </c>
      <c r="C929" s="3">
        <v>941707</v>
      </c>
      <c r="D929" s="3" t="s">
        <v>3526</v>
      </c>
      <c r="E929" s="3">
        <v>6</v>
      </c>
      <c r="F929" s="3">
        <v>19</v>
      </c>
      <c r="G929" s="3">
        <v>2</v>
      </c>
      <c r="H929" s="55" t="s">
        <v>289</v>
      </c>
      <c r="I929" s="3" t="s">
        <v>279</v>
      </c>
      <c r="J929" s="3" t="s">
        <v>5110</v>
      </c>
      <c r="L929" s="3">
        <v>2108</v>
      </c>
      <c r="M929" s="3">
        <v>19438</v>
      </c>
      <c r="N929" s="3" t="s">
        <v>5284</v>
      </c>
      <c r="O929" s="3" t="s">
        <v>4754</v>
      </c>
      <c r="R929" s="3">
        <v>21</v>
      </c>
      <c r="S929" s="3" t="s">
        <v>5356</v>
      </c>
      <c r="T929" s="3" t="s">
        <v>5357</v>
      </c>
      <c r="U929" s="3">
        <v>35</v>
      </c>
      <c r="V929" s="3">
        <v>236</v>
      </c>
      <c r="W929" s="3">
        <v>0</v>
      </c>
      <c r="X929" s="3">
        <v>88</v>
      </c>
      <c r="Y929" s="3">
        <v>0</v>
      </c>
      <c r="Z929" s="3">
        <v>0</v>
      </c>
      <c r="AA929" s="3">
        <v>88</v>
      </c>
      <c r="AB929" s="3">
        <v>2492</v>
      </c>
      <c r="AC929" s="192">
        <v>8.3333333333333332E-3</v>
      </c>
      <c r="AD929" s="3" t="s">
        <v>292</v>
      </c>
      <c r="AF929" s="193">
        <v>1.5277777777777777E-2</v>
      </c>
      <c r="AG929" s="193">
        <v>0.44236111111111109</v>
      </c>
      <c r="AH929" s="193">
        <v>0.79305555555555551</v>
      </c>
    </row>
    <row r="930" spans="1:34" x14ac:dyDescent="0.25">
      <c r="A930" s="3" t="s">
        <v>5279</v>
      </c>
      <c r="B930" s="3">
        <v>120185</v>
      </c>
      <c r="C930" s="3">
        <v>941707</v>
      </c>
      <c r="D930" s="3" t="s">
        <v>3526</v>
      </c>
      <c r="E930" s="3">
        <v>6</v>
      </c>
      <c r="F930" s="3">
        <v>20</v>
      </c>
      <c r="G930" s="3">
        <v>3</v>
      </c>
      <c r="H930" s="55" t="s">
        <v>289</v>
      </c>
      <c r="I930" s="3" t="s">
        <v>279</v>
      </c>
      <c r="J930" s="3" t="s">
        <v>5110</v>
      </c>
      <c r="L930" s="3">
        <v>2108</v>
      </c>
      <c r="M930" s="3">
        <v>19438</v>
      </c>
      <c r="N930" s="3" t="s">
        <v>5284</v>
      </c>
      <c r="O930" s="3" t="s">
        <v>4754</v>
      </c>
      <c r="R930" s="3">
        <v>21</v>
      </c>
      <c r="S930" s="3" t="s">
        <v>5356</v>
      </c>
      <c r="T930" s="3" t="s">
        <v>5357</v>
      </c>
      <c r="U930" s="3">
        <v>36</v>
      </c>
      <c r="V930" s="3">
        <v>236</v>
      </c>
      <c r="W930" s="3">
        <v>0</v>
      </c>
      <c r="X930" s="3">
        <v>108</v>
      </c>
      <c r="Y930" s="3">
        <v>0</v>
      </c>
      <c r="Z930" s="3">
        <v>0</v>
      </c>
      <c r="AA930" s="3">
        <v>108</v>
      </c>
      <c r="AB930" s="3">
        <v>2600</v>
      </c>
      <c r="AC930" s="192">
        <v>0</v>
      </c>
      <c r="AF930" s="193">
        <v>1.8749999999999999E-2</v>
      </c>
      <c r="AG930" s="193">
        <v>0.46180555555555558</v>
      </c>
      <c r="AH930" s="193">
        <v>0.81180555555555556</v>
      </c>
    </row>
    <row r="931" spans="1:34" x14ac:dyDescent="0.25">
      <c r="A931" s="3" t="s">
        <v>5279</v>
      </c>
      <c r="B931" s="3">
        <v>120185</v>
      </c>
      <c r="C931" s="3">
        <v>941707</v>
      </c>
      <c r="D931" s="3" t="s">
        <v>3526</v>
      </c>
      <c r="E931" s="3">
        <v>6</v>
      </c>
      <c r="F931" s="3">
        <v>21</v>
      </c>
      <c r="G931" s="3">
        <v>4</v>
      </c>
      <c r="H931" s="55" t="s">
        <v>289</v>
      </c>
      <c r="I931" s="3" t="s">
        <v>279</v>
      </c>
      <c r="J931" s="3" t="s">
        <v>5110</v>
      </c>
      <c r="L931" s="3">
        <v>2108</v>
      </c>
      <c r="M931" s="3">
        <v>19438</v>
      </c>
      <c r="N931" s="3" t="s">
        <v>5284</v>
      </c>
      <c r="O931" s="3" t="s">
        <v>4754</v>
      </c>
      <c r="R931" s="3">
        <v>21</v>
      </c>
      <c r="S931" s="3" t="s">
        <v>5356</v>
      </c>
      <c r="T931" s="3" t="s">
        <v>5357</v>
      </c>
      <c r="U931" s="3">
        <v>37</v>
      </c>
      <c r="V931" s="3">
        <v>236</v>
      </c>
      <c r="W931" s="3">
        <v>0</v>
      </c>
      <c r="X931" s="3">
        <v>106</v>
      </c>
      <c r="Y931" s="3">
        <v>0</v>
      </c>
      <c r="Z931" s="3">
        <v>0</v>
      </c>
      <c r="AA931" s="3">
        <v>106</v>
      </c>
      <c r="AB931" s="3">
        <v>2706</v>
      </c>
      <c r="AC931" s="192">
        <v>4.1666666666666664E-2</v>
      </c>
      <c r="AD931" s="3" t="s">
        <v>294</v>
      </c>
      <c r="AE931" s="3" t="s">
        <v>295</v>
      </c>
      <c r="AF931" s="193">
        <v>1.8749999999999999E-2</v>
      </c>
      <c r="AG931" s="193">
        <v>0.48055555555555557</v>
      </c>
      <c r="AH931" s="193">
        <v>0.87222222222222223</v>
      </c>
    </row>
    <row r="932" spans="1:34" x14ac:dyDescent="0.25">
      <c r="A932" s="3" t="s">
        <v>5279</v>
      </c>
      <c r="B932" s="3">
        <v>120185</v>
      </c>
      <c r="C932" s="3">
        <v>941707</v>
      </c>
      <c r="D932" s="3" t="s">
        <v>3526</v>
      </c>
      <c r="E932" s="3">
        <v>6</v>
      </c>
      <c r="F932" s="3">
        <v>22</v>
      </c>
      <c r="G932" s="3">
        <v>5</v>
      </c>
      <c r="H932" s="55" t="s">
        <v>289</v>
      </c>
      <c r="I932" s="3" t="s">
        <v>279</v>
      </c>
      <c r="J932" s="3" t="s">
        <v>5110</v>
      </c>
      <c r="L932" s="3">
        <v>2108</v>
      </c>
      <c r="M932" s="3">
        <v>19438</v>
      </c>
      <c r="N932" s="3" t="s">
        <v>5284</v>
      </c>
      <c r="O932" s="3" t="s">
        <v>4754</v>
      </c>
      <c r="R932" s="3">
        <v>21</v>
      </c>
      <c r="S932" s="3" t="s">
        <v>5356</v>
      </c>
      <c r="T932" s="3" t="s">
        <v>5357</v>
      </c>
      <c r="U932" s="3">
        <v>38</v>
      </c>
      <c r="V932" s="3">
        <v>236</v>
      </c>
      <c r="W932" s="3">
        <v>0</v>
      </c>
      <c r="X932" s="3">
        <v>78</v>
      </c>
      <c r="Y932" s="3">
        <v>0</v>
      </c>
      <c r="Z932" s="3">
        <v>0</v>
      </c>
      <c r="AA932" s="3">
        <v>78</v>
      </c>
      <c r="AB932" s="3">
        <v>2784</v>
      </c>
      <c r="AC932" s="192">
        <v>0</v>
      </c>
      <c r="AF932" s="193">
        <v>1.3888888888888888E-2</v>
      </c>
      <c r="AG932" s="193">
        <v>0.49375000000000002</v>
      </c>
      <c r="AH932" s="193">
        <v>0.88611111111111107</v>
      </c>
    </row>
    <row r="933" spans="1:34" x14ac:dyDescent="0.25">
      <c r="A933" s="3" t="s">
        <v>5279</v>
      </c>
      <c r="B933" s="3">
        <v>120185</v>
      </c>
      <c r="C933" s="3">
        <v>941707</v>
      </c>
      <c r="D933" s="3" t="s">
        <v>3526</v>
      </c>
      <c r="E933" s="3">
        <v>6</v>
      </c>
      <c r="F933" s="3">
        <v>23</v>
      </c>
      <c r="G933" s="3">
        <v>6</v>
      </c>
      <c r="H933" s="55" t="s">
        <v>289</v>
      </c>
      <c r="I933" s="3" t="s">
        <v>279</v>
      </c>
      <c r="J933" s="3" t="s">
        <v>5110</v>
      </c>
      <c r="L933" s="3">
        <v>2108</v>
      </c>
      <c r="M933" s="3">
        <v>19438</v>
      </c>
      <c r="N933" s="3" t="s">
        <v>5284</v>
      </c>
      <c r="O933" s="3" t="s">
        <v>4754</v>
      </c>
      <c r="R933" s="3">
        <v>21</v>
      </c>
      <c r="S933" s="3" t="s">
        <v>5356</v>
      </c>
      <c r="T933" s="3" t="s">
        <v>5357</v>
      </c>
      <c r="U933" s="3" t="s">
        <v>280</v>
      </c>
      <c r="V933" s="3">
        <v>236</v>
      </c>
      <c r="W933" s="3">
        <v>0</v>
      </c>
      <c r="X933" s="3">
        <v>54</v>
      </c>
      <c r="Y933" s="3">
        <v>0</v>
      </c>
      <c r="Z933" s="3">
        <v>0</v>
      </c>
      <c r="AA933" s="3">
        <v>54</v>
      </c>
      <c r="AB933" s="3">
        <v>2838</v>
      </c>
      <c r="AC933" s="192">
        <v>0</v>
      </c>
      <c r="AF933" s="193">
        <v>9.7222222222222224E-3</v>
      </c>
      <c r="AG933" s="193">
        <v>0.50347222222222221</v>
      </c>
      <c r="AH933" s="193">
        <v>0.89583333333333337</v>
      </c>
    </row>
    <row r="934" spans="1:34" x14ac:dyDescent="0.25">
      <c r="A934" s="3" t="s">
        <v>5279</v>
      </c>
      <c r="B934" s="3">
        <v>128118</v>
      </c>
      <c r="C934" s="3">
        <v>942207</v>
      </c>
      <c r="D934" s="3" t="s">
        <v>3526</v>
      </c>
      <c r="E934" s="3">
        <v>7</v>
      </c>
      <c r="F934" s="3">
        <v>24</v>
      </c>
      <c r="G934" s="3">
        <v>6</v>
      </c>
      <c r="H934" s="55" t="s">
        <v>289</v>
      </c>
      <c r="I934" s="3" t="s">
        <v>5358</v>
      </c>
      <c r="J934" s="135">
        <v>46060</v>
      </c>
      <c r="L934" s="3">
        <v>2108</v>
      </c>
      <c r="M934" s="3">
        <v>19438</v>
      </c>
      <c r="N934" s="3" t="s">
        <v>5284</v>
      </c>
      <c r="R934" s="3">
        <v>21</v>
      </c>
      <c r="S934" s="3" t="s">
        <v>5356</v>
      </c>
      <c r="T934" s="3" t="s">
        <v>5357</v>
      </c>
      <c r="U934" s="3" t="s">
        <v>280</v>
      </c>
      <c r="V934" s="3">
        <v>236</v>
      </c>
      <c r="W934" s="3">
        <v>0</v>
      </c>
      <c r="X934" s="3">
        <v>36</v>
      </c>
      <c r="Y934" s="3">
        <v>0</v>
      </c>
      <c r="Z934" s="3">
        <v>0</v>
      </c>
      <c r="AA934" s="3">
        <v>36</v>
      </c>
      <c r="AB934" s="3">
        <v>2874</v>
      </c>
      <c r="AC934" s="192">
        <v>0</v>
      </c>
      <c r="AF934" s="193">
        <v>6.2500000000000003E-3</v>
      </c>
      <c r="AG934" s="193">
        <v>0.50972222222222219</v>
      </c>
      <c r="AH934" s="193">
        <v>0.90208333333333335</v>
      </c>
    </row>
    <row r="935" spans="1:34" x14ac:dyDescent="0.25">
      <c r="A935" s="3" t="s">
        <v>5279</v>
      </c>
      <c r="B935" s="3">
        <v>128118</v>
      </c>
      <c r="C935" s="3">
        <v>942207</v>
      </c>
      <c r="D935" s="3" t="s">
        <v>3526</v>
      </c>
      <c r="E935" s="3">
        <v>7</v>
      </c>
      <c r="F935" s="3">
        <v>25</v>
      </c>
      <c r="G935" s="3">
        <v>5</v>
      </c>
      <c r="H935" s="55" t="s">
        <v>289</v>
      </c>
      <c r="I935" s="3" t="s">
        <v>5358</v>
      </c>
      <c r="J935" s="135">
        <v>46060</v>
      </c>
      <c r="L935" s="3">
        <v>2108</v>
      </c>
      <c r="M935" s="3">
        <v>19438</v>
      </c>
      <c r="N935" s="3" t="s">
        <v>5284</v>
      </c>
      <c r="R935" s="3">
        <v>21</v>
      </c>
      <c r="S935" s="3" t="s">
        <v>5356</v>
      </c>
      <c r="T935" s="3" t="s">
        <v>5357</v>
      </c>
      <c r="U935" s="3">
        <v>38</v>
      </c>
      <c r="V935" s="3">
        <v>236</v>
      </c>
      <c r="W935" s="3">
        <v>0</v>
      </c>
      <c r="X935" s="3">
        <v>36</v>
      </c>
      <c r="Y935" s="3">
        <v>0</v>
      </c>
      <c r="Z935" s="3">
        <v>0</v>
      </c>
      <c r="AA935" s="3">
        <v>36</v>
      </c>
      <c r="AB935" s="3">
        <v>2910</v>
      </c>
      <c r="AC935" s="192">
        <v>0</v>
      </c>
      <c r="AF935" s="193">
        <v>6.2500000000000003E-3</v>
      </c>
      <c r="AG935" s="193">
        <v>0.51597222222222228</v>
      </c>
      <c r="AH935" s="193">
        <v>0.90833333333333333</v>
      </c>
    </row>
    <row r="936" spans="1:34" x14ac:dyDescent="0.25">
      <c r="A936" s="3" t="s">
        <v>5279</v>
      </c>
      <c r="B936" s="3">
        <v>128118</v>
      </c>
      <c r="C936" s="3">
        <v>942207</v>
      </c>
      <c r="D936" s="3" t="s">
        <v>3526</v>
      </c>
      <c r="E936" s="3">
        <v>7</v>
      </c>
      <c r="F936" s="3">
        <v>26</v>
      </c>
      <c r="G936" s="3">
        <v>4</v>
      </c>
      <c r="H936" s="55" t="s">
        <v>289</v>
      </c>
      <c r="I936" s="3" t="s">
        <v>5358</v>
      </c>
      <c r="J936" s="135">
        <v>46060</v>
      </c>
      <c r="L936" s="3">
        <v>2108</v>
      </c>
      <c r="M936" s="3">
        <v>19438</v>
      </c>
      <c r="N936" s="3" t="s">
        <v>5284</v>
      </c>
      <c r="R936" s="3">
        <v>21</v>
      </c>
      <c r="S936" s="3" t="s">
        <v>5356</v>
      </c>
      <c r="T936" s="3" t="s">
        <v>5357</v>
      </c>
      <c r="U936" s="3">
        <v>37</v>
      </c>
      <c r="V936" s="3">
        <v>236</v>
      </c>
      <c r="W936" s="3">
        <v>0</v>
      </c>
      <c r="X936" s="3">
        <v>66</v>
      </c>
      <c r="Y936" s="3">
        <v>0</v>
      </c>
      <c r="Z936" s="3">
        <v>0</v>
      </c>
      <c r="AA936" s="3">
        <v>66</v>
      </c>
      <c r="AB936" s="3">
        <v>2976</v>
      </c>
      <c r="AC936" s="192">
        <v>0</v>
      </c>
      <c r="AF936" s="193">
        <v>1.1805555555555555E-2</v>
      </c>
      <c r="AG936" s="193">
        <v>0.52777777777777779</v>
      </c>
      <c r="AH936" s="193">
        <v>0.92013888888888884</v>
      </c>
    </row>
    <row r="937" spans="1:34" x14ac:dyDescent="0.25">
      <c r="A937" s="3" t="s">
        <v>5279</v>
      </c>
      <c r="B937" s="3">
        <v>128118</v>
      </c>
      <c r="C937" s="3">
        <v>942207</v>
      </c>
      <c r="D937" s="3" t="s">
        <v>3526</v>
      </c>
      <c r="E937" s="3">
        <v>7</v>
      </c>
      <c r="F937" s="3">
        <v>27</v>
      </c>
      <c r="G937" s="3">
        <v>3</v>
      </c>
      <c r="H937" s="55" t="s">
        <v>289</v>
      </c>
      <c r="I937" s="3" t="s">
        <v>5358</v>
      </c>
      <c r="J937" s="135">
        <v>46060</v>
      </c>
      <c r="L937" s="3">
        <v>2108</v>
      </c>
      <c r="M937" s="3">
        <v>19438</v>
      </c>
      <c r="N937" s="3" t="s">
        <v>5284</v>
      </c>
      <c r="R937" s="3">
        <v>21</v>
      </c>
      <c r="S937" s="3" t="s">
        <v>5356</v>
      </c>
      <c r="T937" s="3" t="s">
        <v>5357</v>
      </c>
      <c r="U937" s="3">
        <v>36</v>
      </c>
      <c r="V937" s="3">
        <v>236</v>
      </c>
      <c r="W937" s="3">
        <v>0</v>
      </c>
      <c r="X937" s="3">
        <v>64</v>
      </c>
      <c r="Y937" s="3">
        <v>0</v>
      </c>
      <c r="Z937" s="3">
        <v>0</v>
      </c>
      <c r="AA937" s="3">
        <v>64</v>
      </c>
      <c r="AB937" s="3">
        <v>3040</v>
      </c>
      <c r="AC937" s="192">
        <v>0</v>
      </c>
      <c r="AF937" s="193">
        <v>1.1111111111111112E-2</v>
      </c>
      <c r="AG937" s="193">
        <v>0.53888888888888886</v>
      </c>
      <c r="AH937" s="193">
        <v>0.93125000000000002</v>
      </c>
    </row>
    <row r="938" spans="1:34" x14ac:dyDescent="0.25">
      <c r="A938" s="3" t="s">
        <v>5279</v>
      </c>
      <c r="B938" s="3">
        <v>128118</v>
      </c>
      <c r="C938" s="3">
        <v>942207</v>
      </c>
      <c r="D938" s="3" t="s">
        <v>3526</v>
      </c>
      <c r="E938" s="3">
        <v>7</v>
      </c>
      <c r="F938" s="3">
        <v>28</v>
      </c>
      <c r="G938" s="3">
        <v>2</v>
      </c>
      <c r="H938" s="55" t="s">
        <v>289</v>
      </c>
      <c r="I938" s="3" t="s">
        <v>5358</v>
      </c>
      <c r="J938" s="135">
        <v>46060</v>
      </c>
      <c r="L938" s="3">
        <v>2108</v>
      </c>
      <c r="M938" s="3">
        <v>19438</v>
      </c>
      <c r="N938" s="3" t="s">
        <v>5284</v>
      </c>
      <c r="R938" s="3">
        <v>21</v>
      </c>
      <c r="S938" s="3" t="s">
        <v>5356</v>
      </c>
      <c r="T938" s="3" t="s">
        <v>5357</v>
      </c>
      <c r="U938" s="3">
        <v>35</v>
      </c>
      <c r="V938" s="3">
        <v>236</v>
      </c>
      <c r="W938" s="3">
        <v>0</v>
      </c>
      <c r="X938" s="3">
        <v>64</v>
      </c>
      <c r="Y938" s="3">
        <v>0</v>
      </c>
      <c r="Z938" s="3">
        <v>0</v>
      </c>
      <c r="AA938" s="3">
        <v>64</v>
      </c>
      <c r="AB938" s="3">
        <v>3104</v>
      </c>
      <c r="AC938" s="192">
        <v>0</v>
      </c>
      <c r="AF938" s="193">
        <v>1.1111111111111112E-2</v>
      </c>
      <c r="AG938" s="193">
        <v>0.55069444444444449</v>
      </c>
      <c r="AH938" s="193">
        <v>0.94236111111111109</v>
      </c>
    </row>
    <row r="939" spans="1:34" x14ac:dyDescent="0.25">
      <c r="A939" s="3" t="s">
        <v>5279</v>
      </c>
      <c r="B939" s="3">
        <v>128118</v>
      </c>
      <c r="C939" s="3">
        <v>942207</v>
      </c>
      <c r="D939" s="3" t="s">
        <v>3526</v>
      </c>
      <c r="E939" s="3">
        <v>7</v>
      </c>
      <c r="F939" s="3">
        <v>29</v>
      </c>
      <c r="G939" s="3">
        <v>1</v>
      </c>
      <c r="H939" s="55" t="s">
        <v>289</v>
      </c>
      <c r="I939" s="3" t="s">
        <v>5358</v>
      </c>
      <c r="J939" s="135">
        <v>46060</v>
      </c>
      <c r="L939" s="3">
        <v>2108</v>
      </c>
      <c r="M939" s="3">
        <v>19438</v>
      </c>
      <c r="N939" s="3" t="s">
        <v>5284</v>
      </c>
      <c r="R939" s="3">
        <v>21</v>
      </c>
      <c r="S939" s="3" t="s">
        <v>5356</v>
      </c>
      <c r="T939" s="3" t="s">
        <v>5357</v>
      </c>
      <c r="U939" s="3" t="s">
        <v>298</v>
      </c>
      <c r="V939" s="3">
        <v>236</v>
      </c>
      <c r="W939" s="3">
        <v>0</v>
      </c>
      <c r="X939" s="3">
        <v>34</v>
      </c>
      <c r="Y939" s="3">
        <v>0</v>
      </c>
      <c r="Z939" s="3">
        <v>0</v>
      </c>
      <c r="AA939" s="3">
        <v>34</v>
      </c>
      <c r="AB939" s="3">
        <v>3138</v>
      </c>
      <c r="AC939" s="192">
        <v>0</v>
      </c>
      <c r="AF939" s="193">
        <v>6.2500000000000003E-3</v>
      </c>
      <c r="AG939" s="193">
        <v>0.55625000000000002</v>
      </c>
      <c r="AH939" s="193">
        <v>0.94861111111111107</v>
      </c>
    </row>
    <row r="940" spans="1:34" x14ac:dyDescent="0.25">
      <c r="A940" s="3" t="s">
        <v>5279</v>
      </c>
      <c r="B940" s="3">
        <v>128117</v>
      </c>
      <c r="C940" s="3">
        <v>942207</v>
      </c>
      <c r="D940" s="3" t="s">
        <v>3526</v>
      </c>
      <c r="E940" s="3">
        <v>7</v>
      </c>
      <c r="F940" s="3">
        <v>30</v>
      </c>
      <c r="G940" s="3">
        <v>1</v>
      </c>
      <c r="H940" s="55" t="s">
        <v>289</v>
      </c>
      <c r="I940" s="3" t="s">
        <v>5358</v>
      </c>
      <c r="J940" s="135">
        <v>46060</v>
      </c>
      <c r="L940" s="3">
        <v>2108</v>
      </c>
      <c r="M940" s="3">
        <v>19438</v>
      </c>
      <c r="N940" s="3" t="s">
        <v>5284</v>
      </c>
      <c r="R940" s="3">
        <v>21</v>
      </c>
      <c r="S940" s="3" t="s">
        <v>5285</v>
      </c>
      <c r="T940" s="3" t="s">
        <v>5286</v>
      </c>
      <c r="U940" s="3" t="s">
        <v>298</v>
      </c>
      <c r="V940" s="3">
        <v>236</v>
      </c>
      <c r="W940" s="3">
        <v>0</v>
      </c>
      <c r="X940" s="3">
        <v>90</v>
      </c>
      <c r="Y940" s="3">
        <v>0</v>
      </c>
      <c r="Z940" s="3">
        <v>0</v>
      </c>
      <c r="AA940" s="3">
        <v>90</v>
      </c>
      <c r="AB940" s="3">
        <v>3228</v>
      </c>
      <c r="AC940" s="192">
        <v>0</v>
      </c>
      <c r="AF940" s="193">
        <v>1.5972222222222221E-2</v>
      </c>
      <c r="AG940" s="193">
        <v>0.57222222222222219</v>
      </c>
      <c r="AH940" s="193">
        <v>0.96458333333333335</v>
      </c>
    </row>
    <row r="941" spans="1:34" x14ac:dyDescent="0.25">
      <c r="A941" s="3" t="s">
        <v>5279</v>
      </c>
      <c r="B941" s="3">
        <v>128117</v>
      </c>
      <c r="C941" s="3">
        <v>942207</v>
      </c>
      <c r="D941" s="3" t="s">
        <v>3526</v>
      </c>
      <c r="E941" s="3">
        <v>7</v>
      </c>
      <c r="F941" s="3">
        <v>31</v>
      </c>
      <c r="G941" s="3">
        <v>2</v>
      </c>
      <c r="H941" s="55" t="s">
        <v>289</v>
      </c>
      <c r="I941" s="3" t="s">
        <v>5358</v>
      </c>
      <c r="J941" s="135">
        <v>46060</v>
      </c>
      <c r="L941" s="3">
        <v>2108</v>
      </c>
      <c r="M941" s="3">
        <v>19438</v>
      </c>
      <c r="N941" s="3" t="s">
        <v>5284</v>
      </c>
      <c r="R941" s="3">
        <v>21</v>
      </c>
      <c r="S941" s="3" t="s">
        <v>5285</v>
      </c>
      <c r="T941" s="3" t="s">
        <v>5286</v>
      </c>
      <c r="U941" s="3">
        <v>35</v>
      </c>
      <c r="V941" s="3">
        <v>236</v>
      </c>
      <c r="W941" s="3">
        <v>0</v>
      </c>
      <c r="X941" s="3">
        <v>126</v>
      </c>
      <c r="Y941" s="3">
        <v>0</v>
      </c>
      <c r="Z941" s="3">
        <v>0</v>
      </c>
      <c r="AA941" s="3">
        <v>126</v>
      </c>
      <c r="AB941" s="3">
        <v>3354</v>
      </c>
      <c r="AC941" s="192">
        <v>8.3333333333333332E-3</v>
      </c>
      <c r="AD941" s="3" t="s">
        <v>404</v>
      </c>
      <c r="AF941" s="193">
        <v>2.2222222222222223E-2</v>
      </c>
      <c r="AG941" s="193">
        <v>0.59444444444444444</v>
      </c>
      <c r="AH941" s="193">
        <v>0.99513888888888891</v>
      </c>
    </row>
    <row r="942" spans="1:34" x14ac:dyDescent="0.25">
      <c r="A942" s="3" t="s">
        <v>5503</v>
      </c>
      <c r="B942" s="3">
        <v>147942</v>
      </c>
      <c r="C942" s="3">
        <v>370807</v>
      </c>
      <c r="D942" s="3" t="s">
        <v>3526</v>
      </c>
      <c r="E942" s="3">
        <v>4</v>
      </c>
      <c r="F942" s="3">
        <v>1</v>
      </c>
      <c r="G942" s="3">
        <v>3</v>
      </c>
      <c r="H942" s="55" t="s">
        <v>289</v>
      </c>
      <c r="I942" s="3" t="s">
        <v>279</v>
      </c>
      <c r="J942" s="3" t="s">
        <v>5096</v>
      </c>
      <c r="L942" s="3">
        <v>2160</v>
      </c>
      <c r="M942" s="3">
        <v>27403</v>
      </c>
      <c r="N942" s="3" t="s">
        <v>5504</v>
      </c>
      <c r="R942" s="3">
        <v>14</v>
      </c>
      <c r="S942" s="3" t="s">
        <v>4876</v>
      </c>
      <c r="T942" s="3" t="s">
        <v>5505</v>
      </c>
      <c r="U942" s="3">
        <v>30</v>
      </c>
      <c r="V942" s="3">
        <v>322</v>
      </c>
      <c r="W942" s="3">
        <v>0</v>
      </c>
      <c r="X942" s="3">
        <v>20</v>
      </c>
      <c r="Y942" s="3">
        <v>0</v>
      </c>
      <c r="Z942" s="3">
        <v>0</v>
      </c>
      <c r="AA942" s="3">
        <v>20</v>
      </c>
      <c r="AB942" s="3">
        <v>20</v>
      </c>
      <c r="AC942" s="192">
        <v>0</v>
      </c>
      <c r="AF942" s="193">
        <v>2.7777777777777779E-3</v>
      </c>
      <c r="AG942" s="193">
        <v>2.7777777777777779E-3</v>
      </c>
      <c r="AH942" s="193">
        <v>0.27986111111111112</v>
      </c>
    </row>
    <row r="943" spans="1:34" x14ac:dyDescent="0.25">
      <c r="A943" s="3" t="s">
        <v>5506</v>
      </c>
      <c r="B943" s="3">
        <v>146863</v>
      </c>
      <c r="C943" s="3">
        <v>943007</v>
      </c>
      <c r="D943" s="3" t="s">
        <v>5288</v>
      </c>
      <c r="E943" s="3">
        <v>1</v>
      </c>
      <c r="F943" s="3">
        <v>1</v>
      </c>
      <c r="G943" s="3">
        <v>4</v>
      </c>
      <c r="H943" s="55" t="s">
        <v>289</v>
      </c>
      <c r="I943" s="3" t="s">
        <v>5358</v>
      </c>
      <c r="J943" s="3" t="s">
        <v>5096</v>
      </c>
      <c r="L943" s="3">
        <v>2160</v>
      </c>
      <c r="M943" s="3">
        <v>27570</v>
      </c>
      <c r="N943" s="3" t="s">
        <v>3517</v>
      </c>
      <c r="R943" s="3">
        <v>13</v>
      </c>
      <c r="S943" s="3" t="s">
        <v>3519</v>
      </c>
      <c r="T943" s="3" t="s">
        <v>3520</v>
      </c>
      <c r="U943" s="3" t="s">
        <v>298</v>
      </c>
      <c r="V943" s="3">
        <v>383</v>
      </c>
      <c r="W943" s="3">
        <v>0</v>
      </c>
      <c r="X943" s="3">
        <v>316</v>
      </c>
      <c r="Y943" s="3">
        <v>0</v>
      </c>
      <c r="Z943" s="3">
        <v>0</v>
      </c>
      <c r="AA943" s="3">
        <v>316</v>
      </c>
      <c r="AB943" s="3">
        <v>316</v>
      </c>
      <c r="AC943" s="192">
        <v>0</v>
      </c>
      <c r="AF943" s="193">
        <v>3.4722222222222224E-2</v>
      </c>
      <c r="AG943" s="193">
        <v>3.4722222222222224E-2</v>
      </c>
      <c r="AH943" s="193">
        <v>0.31180555555555556</v>
      </c>
    </row>
    <row r="944" spans="1:34" x14ac:dyDescent="0.25">
      <c r="A944" s="3" t="s">
        <v>5506</v>
      </c>
      <c r="B944" s="3">
        <v>146863</v>
      </c>
      <c r="C944" s="3">
        <v>943007</v>
      </c>
      <c r="D944" s="3" t="s">
        <v>5288</v>
      </c>
      <c r="E944" s="3">
        <v>1</v>
      </c>
      <c r="F944" s="3">
        <v>2</v>
      </c>
      <c r="G944" s="3">
        <v>5</v>
      </c>
      <c r="H944" s="55" t="s">
        <v>289</v>
      </c>
      <c r="I944" s="3" t="s">
        <v>5358</v>
      </c>
      <c r="J944" s="3" t="s">
        <v>5096</v>
      </c>
      <c r="L944" s="3">
        <v>2160</v>
      </c>
      <c r="M944" s="3">
        <v>27570</v>
      </c>
      <c r="N944" s="3" t="s">
        <v>3517</v>
      </c>
      <c r="R944" s="3">
        <v>13</v>
      </c>
      <c r="S944" s="3" t="s">
        <v>3519</v>
      </c>
      <c r="T944" s="3" t="s">
        <v>3520</v>
      </c>
      <c r="U944" s="3">
        <v>35</v>
      </c>
      <c r="V944" s="3">
        <v>383</v>
      </c>
      <c r="W944" s="3">
        <v>0</v>
      </c>
      <c r="X944" s="3">
        <v>1612</v>
      </c>
      <c r="Y944" s="3">
        <v>0</v>
      </c>
      <c r="Z944" s="3">
        <v>0</v>
      </c>
      <c r="AA944" s="3">
        <v>1612</v>
      </c>
      <c r="AB944" s="3">
        <v>1928</v>
      </c>
      <c r="AC944" s="192">
        <v>0.05</v>
      </c>
      <c r="AD944" s="3" t="s">
        <v>285</v>
      </c>
      <c r="AE944" s="3" t="s">
        <v>286</v>
      </c>
      <c r="AF944" s="193">
        <v>0.17569444444444443</v>
      </c>
      <c r="AG944" s="193">
        <v>0.20972222222222223</v>
      </c>
      <c r="AH944" s="193">
        <v>0.53749999999999998</v>
      </c>
    </row>
    <row r="945" spans="1:34" x14ac:dyDescent="0.25">
      <c r="A945" s="3" t="s">
        <v>5506</v>
      </c>
      <c r="B945" s="3">
        <v>146863</v>
      </c>
      <c r="C945" s="3">
        <v>943007</v>
      </c>
      <c r="D945" s="3" t="s">
        <v>5288</v>
      </c>
      <c r="E945" s="3">
        <v>1</v>
      </c>
      <c r="F945" s="3">
        <v>3</v>
      </c>
      <c r="G945" s="3">
        <v>6</v>
      </c>
      <c r="H945" s="55" t="s">
        <v>289</v>
      </c>
      <c r="I945" s="3" t="s">
        <v>5358</v>
      </c>
      <c r="J945" s="3" t="s">
        <v>5096</v>
      </c>
      <c r="L945" s="3">
        <v>2160</v>
      </c>
      <c r="M945" s="3">
        <v>27570</v>
      </c>
      <c r="N945" s="3" t="s">
        <v>3517</v>
      </c>
      <c r="R945" s="3">
        <v>13</v>
      </c>
      <c r="S945" s="3" t="s">
        <v>3519</v>
      </c>
      <c r="T945" s="3" t="s">
        <v>3520</v>
      </c>
      <c r="U945" s="3">
        <v>36</v>
      </c>
      <c r="V945" s="3">
        <v>383</v>
      </c>
      <c r="W945" s="3">
        <v>0</v>
      </c>
      <c r="X945" s="3">
        <v>2060</v>
      </c>
      <c r="Y945" s="3">
        <v>0</v>
      </c>
      <c r="Z945" s="3">
        <v>0</v>
      </c>
      <c r="AA945" s="3">
        <v>2060</v>
      </c>
      <c r="AB945" s="3">
        <v>3988</v>
      </c>
      <c r="AC945" s="192">
        <v>1.6666666666666666E-2</v>
      </c>
      <c r="AD945" s="3" t="s">
        <v>5093</v>
      </c>
      <c r="AE945" s="3" t="s">
        <v>5300</v>
      </c>
      <c r="AF945" s="193">
        <v>0.22430555555555556</v>
      </c>
      <c r="AG945" s="193">
        <v>0.43402777777777779</v>
      </c>
      <c r="AH945" s="193">
        <v>0.78541666666666665</v>
      </c>
    </row>
    <row r="946" spans="1:34" x14ac:dyDescent="0.25">
      <c r="A946" s="3" t="s">
        <v>5507</v>
      </c>
      <c r="B946" s="3">
        <v>147700</v>
      </c>
      <c r="C946" s="3">
        <v>943007</v>
      </c>
      <c r="D946" s="3" t="s">
        <v>5288</v>
      </c>
      <c r="E946" s="3">
        <v>1</v>
      </c>
      <c r="F946" s="3">
        <v>1</v>
      </c>
      <c r="G946" s="3">
        <v>3</v>
      </c>
      <c r="H946" s="55" t="s">
        <v>289</v>
      </c>
      <c r="I946" s="3" t="s">
        <v>5358</v>
      </c>
      <c r="J946" s="3" t="s">
        <v>5096</v>
      </c>
      <c r="L946" s="3">
        <v>2150</v>
      </c>
      <c r="M946" s="3">
        <v>23514</v>
      </c>
      <c r="N946" s="3" t="s">
        <v>5256</v>
      </c>
      <c r="R946" s="3">
        <v>11</v>
      </c>
      <c r="S946" s="3" t="s">
        <v>5508</v>
      </c>
      <c r="T946" s="3" t="s">
        <v>5121</v>
      </c>
      <c r="U946" s="3">
        <v>25</v>
      </c>
      <c r="V946" s="3">
        <v>265</v>
      </c>
      <c r="W946" s="3">
        <v>0</v>
      </c>
      <c r="X946" s="3">
        <v>30</v>
      </c>
      <c r="Y946" s="3">
        <v>0</v>
      </c>
      <c r="Z946" s="3">
        <v>0</v>
      </c>
      <c r="AA946" s="3">
        <v>30</v>
      </c>
      <c r="AB946" s="3">
        <v>30</v>
      </c>
      <c r="AC946" s="192">
        <v>0</v>
      </c>
      <c r="AF946" s="193">
        <v>4.8611111111111112E-3</v>
      </c>
      <c r="AG946" s="193">
        <v>4.8611111111111112E-3</v>
      </c>
      <c r="AH946" s="193">
        <v>0.28194444444444444</v>
      </c>
    </row>
    <row r="947" spans="1:34" x14ac:dyDescent="0.25">
      <c r="A947" s="3" t="s">
        <v>5507</v>
      </c>
      <c r="B947" s="3">
        <v>147700</v>
      </c>
      <c r="C947" s="3">
        <v>943007</v>
      </c>
      <c r="D947" s="3" t="s">
        <v>5288</v>
      </c>
      <c r="E947" s="3">
        <v>1</v>
      </c>
      <c r="F947" s="3">
        <v>2</v>
      </c>
      <c r="G947" s="3">
        <v>4</v>
      </c>
      <c r="H947" s="55" t="s">
        <v>289</v>
      </c>
      <c r="I947" s="3" t="s">
        <v>5358</v>
      </c>
      <c r="J947" s="3" t="s">
        <v>5096</v>
      </c>
      <c r="L947" s="3">
        <v>2150</v>
      </c>
      <c r="M947" s="3">
        <v>23514</v>
      </c>
      <c r="N947" s="3" t="s">
        <v>5256</v>
      </c>
      <c r="R947" s="3">
        <v>11</v>
      </c>
      <c r="S947" s="3" t="s">
        <v>5508</v>
      </c>
      <c r="T947" s="3" t="s">
        <v>5121</v>
      </c>
      <c r="U947" s="3" t="s">
        <v>397</v>
      </c>
      <c r="V947" s="3">
        <v>265</v>
      </c>
      <c r="W947" s="3">
        <v>0</v>
      </c>
      <c r="X947" s="3">
        <v>44</v>
      </c>
      <c r="Y947" s="3">
        <v>0</v>
      </c>
      <c r="Z947" s="3">
        <v>0</v>
      </c>
      <c r="AA947" s="3">
        <v>44</v>
      </c>
      <c r="AB947" s="3">
        <v>74</v>
      </c>
      <c r="AC947" s="192">
        <v>0</v>
      </c>
      <c r="AF947" s="193">
        <v>6.9444444444444441E-3</v>
      </c>
      <c r="AG947" s="193">
        <v>1.1805555555555555E-2</v>
      </c>
      <c r="AH947" s="193">
        <v>0.28888888888888886</v>
      </c>
    </row>
    <row r="948" spans="1:34" x14ac:dyDescent="0.25">
      <c r="A948" s="3" t="s">
        <v>5507</v>
      </c>
      <c r="B948" s="3">
        <v>147700</v>
      </c>
      <c r="C948" s="3">
        <v>943007</v>
      </c>
      <c r="D948" s="3" t="s">
        <v>5288</v>
      </c>
      <c r="E948" s="3">
        <v>1</v>
      </c>
      <c r="F948" s="3">
        <v>3</v>
      </c>
      <c r="G948" s="3">
        <v>5</v>
      </c>
      <c r="H948" s="55" t="s">
        <v>289</v>
      </c>
      <c r="I948" s="3" t="s">
        <v>5358</v>
      </c>
      <c r="J948" s="3" t="s">
        <v>5096</v>
      </c>
      <c r="L948" s="3">
        <v>2150</v>
      </c>
      <c r="M948" s="3">
        <v>23514</v>
      </c>
      <c r="N948" s="3" t="s">
        <v>5256</v>
      </c>
      <c r="R948" s="3">
        <v>11</v>
      </c>
      <c r="S948" s="3" t="s">
        <v>5508</v>
      </c>
      <c r="T948" s="3" t="s">
        <v>5121</v>
      </c>
      <c r="U948" s="3">
        <v>28</v>
      </c>
      <c r="V948" s="3">
        <v>265</v>
      </c>
      <c r="W948" s="3">
        <v>0</v>
      </c>
      <c r="X948" s="3">
        <v>52</v>
      </c>
      <c r="Y948" s="3">
        <v>0</v>
      </c>
      <c r="Z948" s="3">
        <v>0</v>
      </c>
      <c r="AA948" s="3">
        <v>52</v>
      </c>
      <c r="AB948" s="3">
        <v>126</v>
      </c>
      <c r="AC948" s="192">
        <v>0</v>
      </c>
      <c r="AF948" s="193">
        <v>8.3333333333333332E-3</v>
      </c>
      <c r="AG948" s="193">
        <v>2.013888888888889E-2</v>
      </c>
      <c r="AH948" s="193">
        <v>0.29722222222222222</v>
      </c>
    </row>
    <row r="949" spans="1:34" x14ac:dyDescent="0.25">
      <c r="A949" s="3" t="s">
        <v>5507</v>
      </c>
      <c r="B949" s="3">
        <v>147700</v>
      </c>
      <c r="C949" s="3">
        <v>943007</v>
      </c>
      <c r="D949" s="3" t="s">
        <v>5288</v>
      </c>
      <c r="E949" s="3">
        <v>1</v>
      </c>
      <c r="F949" s="3">
        <v>4</v>
      </c>
      <c r="G949" s="3">
        <v>6</v>
      </c>
      <c r="H949" s="55" t="s">
        <v>289</v>
      </c>
      <c r="I949" s="3" t="s">
        <v>5358</v>
      </c>
      <c r="J949" s="3" t="s">
        <v>5096</v>
      </c>
      <c r="L949" s="3">
        <v>2150</v>
      </c>
      <c r="M949" s="3">
        <v>23514</v>
      </c>
      <c r="N949" s="3" t="s">
        <v>5256</v>
      </c>
      <c r="R949" s="3">
        <v>11</v>
      </c>
      <c r="S949" s="3" t="s">
        <v>5508</v>
      </c>
      <c r="T949" s="3" t="s">
        <v>5121</v>
      </c>
      <c r="U949" s="3">
        <v>29</v>
      </c>
      <c r="V949" s="3">
        <v>265</v>
      </c>
      <c r="W949" s="3">
        <v>0</v>
      </c>
      <c r="X949" s="3">
        <v>52</v>
      </c>
      <c r="Y949" s="3">
        <v>0</v>
      </c>
      <c r="Z949" s="3">
        <v>0</v>
      </c>
      <c r="AA949" s="3">
        <v>52</v>
      </c>
      <c r="AB949" s="3">
        <v>178</v>
      </c>
      <c r="AC949" s="192">
        <v>0</v>
      </c>
      <c r="AF949" s="193">
        <v>8.3333333333333332E-3</v>
      </c>
      <c r="AG949" s="193">
        <v>2.7777777777777776E-2</v>
      </c>
      <c r="AH949" s="193">
        <v>0.30555555555555558</v>
      </c>
    </row>
    <row r="950" spans="1:34" x14ac:dyDescent="0.25">
      <c r="A950" s="3" t="s">
        <v>5507</v>
      </c>
      <c r="B950" s="3">
        <v>147700</v>
      </c>
      <c r="C950" s="3">
        <v>943007</v>
      </c>
      <c r="D950" s="3" t="s">
        <v>5288</v>
      </c>
      <c r="E950" s="3">
        <v>1</v>
      </c>
      <c r="F950" s="3">
        <v>5</v>
      </c>
      <c r="G950" s="3">
        <v>7</v>
      </c>
      <c r="H950" s="55" t="s">
        <v>289</v>
      </c>
      <c r="I950" s="3" t="s">
        <v>5358</v>
      </c>
      <c r="J950" s="3" t="s">
        <v>5096</v>
      </c>
      <c r="L950" s="3">
        <v>2150</v>
      </c>
      <c r="M950" s="3">
        <v>23514</v>
      </c>
      <c r="N950" s="3" t="s">
        <v>5256</v>
      </c>
      <c r="R950" s="3">
        <v>11</v>
      </c>
      <c r="S950" s="3" t="s">
        <v>5508</v>
      </c>
      <c r="T950" s="3" t="s">
        <v>5121</v>
      </c>
      <c r="U950" s="3">
        <v>30</v>
      </c>
      <c r="V950" s="3">
        <v>265</v>
      </c>
      <c r="W950" s="3">
        <v>0</v>
      </c>
      <c r="X950" s="3">
        <v>52</v>
      </c>
      <c r="Y950" s="3">
        <v>0</v>
      </c>
      <c r="Z950" s="3">
        <v>0</v>
      </c>
      <c r="AA950" s="3">
        <v>52</v>
      </c>
      <c r="AB950" s="3">
        <v>230</v>
      </c>
      <c r="AC950" s="192">
        <v>0</v>
      </c>
      <c r="AF950" s="193">
        <v>8.3333333333333332E-3</v>
      </c>
      <c r="AG950" s="193">
        <v>3.6111111111111108E-2</v>
      </c>
      <c r="AH950" s="193">
        <v>0.31388888888888888</v>
      </c>
    </row>
    <row r="951" spans="1:34" x14ac:dyDescent="0.25">
      <c r="A951" s="3" t="s">
        <v>5507</v>
      </c>
      <c r="B951" s="3">
        <v>147700</v>
      </c>
      <c r="C951" s="3">
        <v>943007</v>
      </c>
      <c r="D951" s="3" t="s">
        <v>5288</v>
      </c>
      <c r="E951" s="3">
        <v>1</v>
      </c>
      <c r="F951" s="3">
        <v>6</v>
      </c>
      <c r="G951" s="3">
        <v>8</v>
      </c>
      <c r="H951" s="55" t="s">
        <v>289</v>
      </c>
      <c r="I951" s="3" t="s">
        <v>5358</v>
      </c>
      <c r="J951" s="3" t="s">
        <v>5096</v>
      </c>
      <c r="L951" s="3">
        <v>2150</v>
      </c>
      <c r="M951" s="3">
        <v>23514</v>
      </c>
      <c r="N951" s="3" t="s">
        <v>5256</v>
      </c>
      <c r="R951" s="3">
        <v>11</v>
      </c>
      <c r="S951" s="3" t="s">
        <v>5508</v>
      </c>
      <c r="T951" s="3" t="s">
        <v>5121</v>
      </c>
      <c r="U951" s="3">
        <v>31</v>
      </c>
      <c r="V951" s="3">
        <v>265</v>
      </c>
      <c r="W951" s="3">
        <v>0</v>
      </c>
      <c r="X951" s="3">
        <v>52</v>
      </c>
      <c r="Y951" s="3">
        <v>0</v>
      </c>
      <c r="Z951" s="3">
        <v>0</v>
      </c>
      <c r="AA951" s="3">
        <v>52</v>
      </c>
      <c r="AB951" s="3">
        <v>282</v>
      </c>
      <c r="AC951" s="192">
        <v>0</v>
      </c>
      <c r="AF951" s="193">
        <v>8.3333333333333332E-3</v>
      </c>
      <c r="AG951" s="193">
        <v>4.4444444444444446E-2</v>
      </c>
      <c r="AH951" s="193">
        <v>0.32222222222222224</v>
      </c>
    </row>
    <row r="952" spans="1:34" x14ac:dyDescent="0.25">
      <c r="A952" s="3" t="s">
        <v>5507</v>
      </c>
      <c r="B952" s="3">
        <v>147700</v>
      </c>
      <c r="C952" s="3">
        <v>943007</v>
      </c>
      <c r="D952" s="3" t="s">
        <v>5288</v>
      </c>
      <c r="E952" s="3">
        <v>1</v>
      </c>
      <c r="F952" s="3">
        <v>7</v>
      </c>
      <c r="G952" s="3">
        <v>9</v>
      </c>
      <c r="H952" s="55" t="s">
        <v>289</v>
      </c>
      <c r="I952" s="3" t="s">
        <v>5358</v>
      </c>
      <c r="J952" s="3" t="s">
        <v>5096</v>
      </c>
      <c r="L952" s="3">
        <v>2150</v>
      </c>
      <c r="M952" s="3">
        <v>23514</v>
      </c>
      <c r="N952" s="3" t="s">
        <v>5256</v>
      </c>
      <c r="R952" s="3">
        <v>11</v>
      </c>
      <c r="S952" s="3" t="s">
        <v>5508</v>
      </c>
      <c r="T952" s="3" t="s">
        <v>5121</v>
      </c>
      <c r="U952" s="3" t="s">
        <v>398</v>
      </c>
      <c r="V952" s="3">
        <v>265</v>
      </c>
      <c r="W952" s="3">
        <v>0</v>
      </c>
      <c r="X952" s="3">
        <v>38</v>
      </c>
      <c r="Y952" s="3">
        <v>0</v>
      </c>
      <c r="Z952" s="3">
        <v>0</v>
      </c>
      <c r="AA952" s="3">
        <v>38</v>
      </c>
      <c r="AB952" s="3">
        <v>320</v>
      </c>
      <c r="AC952" s="192">
        <v>0</v>
      </c>
      <c r="AF952" s="193">
        <v>6.2500000000000003E-3</v>
      </c>
      <c r="AG952" s="193">
        <v>0.05</v>
      </c>
      <c r="AH952" s="193">
        <v>0.32847222222222222</v>
      </c>
    </row>
    <row r="953" spans="1:34" x14ac:dyDescent="0.25">
      <c r="A953" s="3" t="s">
        <v>5507</v>
      </c>
      <c r="B953" s="3">
        <v>147700</v>
      </c>
      <c r="C953" s="3">
        <v>943007</v>
      </c>
      <c r="D953" s="3" t="s">
        <v>5288</v>
      </c>
      <c r="E953" s="3">
        <v>1</v>
      </c>
      <c r="F953" s="3">
        <v>8</v>
      </c>
      <c r="G953" s="3">
        <v>10</v>
      </c>
      <c r="H953" s="55" t="s">
        <v>289</v>
      </c>
      <c r="I953" s="3" t="s">
        <v>5358</v>
      </c>
      <c r="J953" s="3" t="s">
        <v>5096</v>
      </c>
      <c r="L953" s="3">
        <v>2150</v>
      </c>
      <c r="M953" s="3">
        <v>23514</v>
      </c>
      <c r="N953" s="3" t="s">
        <v>5256</v>
      </c>
      <c r="R953" s="3">
        <v>11</v>
      </c>
      <c r="S953" s="3" t="s">
        <v>5508</v>
      </c>
      <c r="T953" s="3" t="s">
        <v>5121</v>
      </c>
      <c r="U953" s="3">
        <v>34</v>
      </c>
      <c r="V953" s="3">
        <v>265</v>
      </c>
      <c r="W953" s="3">
        <v>0</v>
      </c>
      <c r="X953" s="3">
        <v>20</v>
      </c>
      <c r="Y953" s="3">
        <v>0</v>
      </c>
      <c r="Z953" s="3">
        <v>0</v>
      </c>
      <c r="AA953" s="3">
        <v>20</v>
      </c>
      <c r="AB953" s="3">
        <v>340</v>
      </c>
      <c r="AC953" s="192">
        <v>0</v>
      </c>
      <c r="AF953" s="193">
        <v>3.472222222222222E-3</v>
      </c>
      <c r="AG953" s="193">
        <v>5.347222222222222E-2</v>
      </c>
      <c r="AH953" s="193">
        <v>0.33194444444444443</v>
      </c>
    </row>
    <row r="954" spans="1:34" x14ac:dyDescent="0.25">
      <c r="A954" s="3" t="s">
        <v>5509</v>
      </c>
      <c r="B954" s="3">
        <v>146597</v>
      </c>
      <c r="C954" s="3">
        <v>943007</v>
      </c>
      <c r="D954" s="3" t="s">
        <v>5288</v>
      </c>
      <c r="E954" s="3">
        <v>1</v>
      </c>
      <c r="F954" s="3">
        <v>1</v>
      </c>
      <c r="G954" s="3">
        <v>3</v>
      </c>
      <c r="H954" s="55" t="s">
        <v>289</v>
      </c>
      <c r="I954" s="3" t="s">
        <v>5358</v>
      </c>
      <c r="J954" s="3" t="s">
        <v>5096</v>
      </c>
      <c r="L954" s="3">
        <v>2160</v>
      </c>
      <c r="M954" s="3">
        <v>12565</v>
      </c>
      <c r="N954" s="3" t="s">
        <v>5332</v>
      </c>
      <c r="O954" s="3" t="s">
        <v>5387</v>
      </c>
      <c r="R954" s="3">
        <v>13</v>
      </c>
      <c r="S954" s="3" t="s">
        <v>5510</v>
      </c>
      <c r="T954" s="3" t="s">
        <v>5511</v>
      </c>
      <c r="U954" s="3" t="s">
        <v>284</v>
      </c>
      <c r="V954" s="3">
        <v>342</v>
      </c>
      <c r="W954" s="3">
        <v>0</v>
      </c>
      <c r="X954" s="3">
        <v>356</v>
      </c>
      <c r="Y954" s="3">
        <v>0</v>
      </c>
      <c r="Z954" s="3">
        <v>0</v>
      </c>
      <c r="AA954" s="3">
        <v>356</v>
      </c>
      <c r="AB954" s="3">
        <v>356</v>
      </c>
      <c r="AC954" s="192">
        <v>0</v>
      </c>
      <c r="AF954" s="193">
        <v>4.3055555555555555E-2</v>
      </c>
      <c r="AG954" s="193">
        <v>4.3055555555555555E-2</v>
      </c>
      <c r="AH954" s="193">
        <v>0.32013888888888886</v>
      </c>
    </row>
    <row r="955" spans="1:34" x14ac:dyDescent="0.25">
      <c r="A955" s="3" t="s">
        <v>5509</v>
      </c>
      <c r="B955" s="3">
        <v>146597</v>
      </c>
      <c r="C955" s="3">
        <v>943007</v>
      </c>
      <c r="D955" s="3" t="s">
        <v>5288</v>
      </c>
      <c r="E955" s="3">
        <v>1</v>
      </c>
      <c r="F955" s="3">
        <v>2</v>
      </c>
      <c r="G955" s="3">
        <v>4</v>
      </c>
      <c r="H955" s="55" t="s">
        <v>289</v>
      </c>
      <c r="I955" s="3" t="s">
        <v>5358</v>
      </c>
      <c r="J955" s="3" t="s">
        <v>5096</v>
      </c>
      <c r="L955" s="3">
        <v>2160</v>
      </c>
      <c r="M955" s="3">
        <v>12565</v>
      </c>
      <c r="N955" s="3" t="s">
        <v>5332</v>
      </c>
      <c r="O955" s="3" t="s">
        <v>5387</v>
      </c>
      <c r="R955" s="3">
        <v>13</v>
      </c>
      <c r="S955" s="3" t="s">
        <v>5510</v>
      </c>
      <c r="T955" s="3" t="s">
        <v>5511</v>
      </c>
      <c r="U955" s="3" t="s">
        <v>280</v>
      </c>
      <c r="V955" s="3">
        <v>342</v>
      </c>
      <c r="W955" s="3">
        <v>0</v>
      </c>
      <c r="X955" s="3">
        <v>940</v>
      </c>
      <c r="Y955" s="3">
        <v>0</v>
      </c>
      <c r="Z955" s="3">
        <v>0</v>
      </c>
      <c r="AA955" s="3">
        <v>940</v>
      </c>
      <c r="AB955" s="3">
        <v>1296</v>
      </c>
      <c r="AC955" s="192">
        <v>8.3333333333333332E-3</v>
      </c>
      <c r="AD955" s="3" t="s">
        <v>292</v>
      </c>
      <c r="AF955" s="193">
        <v>0.11458333333333333</v>
      </c>
      <c r="AG955" s="193">
        <v>0.15763888888888888</v>
      </c>
      <c r="AH955" s="193">
        <v>0.44305555555555554</v>
      </c>
    </row>
    <row r="956" spans="1:34" x14ac:dyDescent="0.25">
      <c r="A956" s="3" t="s">
        <v>5509</v>
      </c>
      <c r="B956" s="3">
        <v>146597</v>
      </c>
      <c r="C956" s="3">
        <v>943007</v>
      </c>
      <c r="D956" s="3" t="s">
        <v>5288</v>
      </c>
      <c r="E956" s="3">
        <v>1</v>
      </c>
      <c r="F956" s="3">
        <v>3</v>
      </c>
      <c r="G956" s="3">
        <v>5</v>
      </c>
      <c r="H956" s="55" t="s">
        <v>289</v>
      </c>
      <c r="I956" s="3" t="s">
        <v>5358</v>
      </c>
      <c r="J956" s="3" t="s">
        <v>5096</v>
      </c>
      <c r="L956" s="3">
        <v>2160</v>
      </c>
      <c r="M956" s="3">
        <v>12565</v>
      </c>
      <c r="N956" s="3" t="s">
        <v>5332</v>
      </c>
      <c r="O956" s="3" t="s">
        <v>5387</v>
      </c>
      <c r="R956" s="3">
        <v>13</v>
      </c>
      <c r="S956" s="3" t="s">
        <v>5510</v>
      </c>
      <c r="T956" s="3" t="s">
        <v>5511</v>
      </c>
      <c r="U956" s="3" t="s">
        <v>5109</v>
      </c>
      <c r="V956" s="3">
        <v>342</v>
      </c>
      <c r="W956" s="3">
        <v>0</v>
      </c>
      <c r="X956" s="3">
        <v>1142</v>
      </c>
      <c r="Y956" s="3">
        <v>0</v>
      </c>
      <c r="Z956" s="3">
        <v>0</v>
      </c>
      <c r="AA956" s="3">
        <v>1142</v>
      </c>
      <c r="AB956" s="3">
        <v>2438</v>
      </c>
      <c r="AC956" s="192">
        <v>0.05</v>
      </c>
      <c r="AD956" s="3" t="s">
        <v>294</v>
      </c>
      <c r="AE956" s="3" t="s">
        <v>5292</v>
      </c>
      <c r="AF956" s="193">
        <v>0.1388888888888889</v>
      </c>
      <c r="AG956" s="193">
        <v>0.29722222222222222</v>
      </c>
      <c r="AH956" s="193">
        <v>0.63194444444444442</v>
      </c>
    </row>
    <row r="957" spans="1:34" x14ac:dyDescent="0.25">
      <c r="A957" s="3" t="s">
        <v>5509</v>
      </c>
      <c r="B957" s="3">
        <v>146597</v>
      </c>
      <c r="C957" s="3">
        <v>943007</v>
      </c>
      <c r="D957" s="3" t="s">
        <v>5288</v>
      </c>
      <c r="E957" s="3">
        <v>1</v>
      </c>
      <c r="F957" s="3">
        <v>4</v>
      </c>
      <c r="G957" s="3">
        <v>6</v>
      </c>
      <c r="H957" s="55" t="s">
        <v>289</v>
      </c>
      <c r="I957" s="3" t="s">
        <v>5358</v>
      </c>
      <c r="J957" s="3" t="s">
        <v>5096</v>
      </c>
      <c r="L957" s="3">
        <v>2160</v>
      </c>
      <c r="M957" s="3">
        <v>12565</v>
      </c>
      <c r="N957" s="3" t="s">
        <v>5332</v>
      </c>
      <c r="O957" s="3" t="s">
        <v>5387</v>
      </c>
      <c r="R957" s="3">
        <v>13</v>
      </c>
      <c r="S957" s="3" t="s">
        <v>5510</v>
      </c>
      <c r="T957" s="3" t="s">
        <v>5511</v>
      </c>
      <c r="U957" s="3" t="s">
        <v>281</v>
      </c>
      <c r="V957" s="3">
        <v>342</v>
      </c>
      <c r="W957" s="3">
        <v>0</v>
      </c>
      <c r="X957" s="3">
        <v>548</v>
      </c>
      <c r="Y957" s="3">
        <v>0</v>
      </c>
      <c r="Z957" s="3">
        <v>0</v>
      </c>
      <c r="AA957" s="3">
        <v>548</v>
      </c>
      <c r="AB957" s="3">
        <v>2986</v>
      </c>
      <c r="AC957" s="192">
        <v>0</v>
      </c>
      <c r="AF957" s="193">
        <v>6.6666666666666666E-2</v>
      </c>
      <c r="AG957" s="193">
        <v>0.36388888888888887</v>
      </c>
      <c r="AH957" s="193">
        <v>0.7055555555555556</v>
      </c>
    </row>
    <row r="958" spans="1:34" x14ac:dyDescent="0.25">
      <c r="A958" s="3" t="s">
        <v>5509</v>
      </c>
      <c r="B958" s="3">
        <v>146598</v>
      </c>
      <c r="C958" s="3">
        <v>943007</v>
      </c>
      <c r="D958" s="3" t="s">
        <v>5288</v>
      </c>
      <c r="E958" s="3">
        <v>1</v>
      </c>
      <c r="F958" s="3">
        <v>5</v>
      </c>
      <c r="G958" s="3">
        <v>3</v>
      </c>
      <c r="H958" s="55" t="s">
        <v>289</v>
      </c>
      <c r="I958" s="3" t="s">
        <v>5358</v>
      </c>
      <c r="J958" s="3" t="s">
        <v>5096</v>
      </c>
      <c r="L958" s="3">
        <v>2160</v>
      </c>
      <c r="M958" s="3">
        <v>12565</v>
      </c>
      <c r="N958" s="3" t="s">
        <v>5332</v>
      </c>
      <c r="O958" s="3" t="s">
        <v>5387</v>
      </c>
      <c r="R958" s="3">
        <v>12</v>
      </c>
      <c r="S958" s="3" t="s">
        <v>5512</v>
      </c>
      <c r="T958" s="3" t="s">
        <v>5513</v>
      </c>
      <c r="U958" s="3" t="s">
        <v>284</v>
      </c>
      <c r="V958" s="3">
        <v>342</v>
      </c>
      <c r="W958" s="3">
        <v>0</v>
      </c>
      <c r="X958" s="3">
        <v>68</v>
      </c>
      <c r="Y958" s="3">
        <v>0</v>
      </c>
      <c r="Z958" s="3">
        <v>0</v>
      </c>
      <c r="AA958" s="3">
        <v>68</v>
      </c>
      <c r="AB958" s="3">
        <v>3054</v>
      </c>
      <c r="AC958" s="192">
        <v>0</v>
      </c>
      <c r="AF958" s="193">
        <v>8.3333333333333332E-3</v>
      </c>
      <c r="AG958" s="193">
        <v>0.37222222222222223</v>
      </c>
      <c r="AH958" s="193">
        <v>0.71388888888888891</v>
      </c>
    </row>
    <row r="959" spans="1:34" x14ac:dyDescent="0.25">
      <c r="A959" s="3" t="s">
        <v>5509</v>
      </c>
      <c r="B959" s="3">
        <v>146598</v>
      </c>
      <c r="C959" s="3">
        <v>943007</v>
      </c>
      <c r="D959" s="3" t="s">
        <v>5288</v>
      </c>
      <c r="E959" s="3">
        <v>1</v>
      </c>
      <c r="F959" s="3">
        <v>6</v>
      </c>
      <c r="G959" s="3">
        <v>4</v>
      </c>
      <c r="H959" s="55" t="s">
        <v>289</v>
      </c>
      <c r="I959" s="3" t="s">
        <v>5358</v>
      </c>
      <c r="J959" s="3" t="s">
        <v>5096</v>
      </c>
      <c r="L959" s="3">
        <v>2160</v>
      </c>
      <c r="M959" s="3">
        <v>12565</v>
      </c>
      <c r="N959" s="3" t="s">
        <v>5332</v>
      </c>
      <c r="O959" s="3" t="s">
        <v>5387</v>
      </c>
      <c r="R959" s="3">
        <v>12</v>
      </c>
      <c r="S959" s="3" t="s">
        <v>5512</v>
      </c>
      <c r="T959" s="3" t="s">
        <v>5513</v>
      </c>
      <c r="U959" s="3" t="s">
        <v>280</v>
      </c>
      <c r="V959" s="3">
        <v>342</v>
      </c>
      <c r="W959" s="3">
        <v>0</v>
      </c>
      <c r="X959" s="3">
        <v>170</v>
      </c>
      <c r="Y959" s="3">
        <v>0</v>
      </c>
      <c r="Z959" s="3">
        <v>0</v>
      </c>
      <c r="AA959" s="3">
        <v>170</v>
      </c>
      <c r="AB959" s="3">
        <v>3224</v>
      </c>
      <c r="AC959" s="192">
        <v>0</v>
      </c>
      <c r="AF959" s="193">
        <v>2.0833333333333332E-2</v>
      </c>
      <c r="AG959" s="193">
        <v>0.39305555555555555</v>
      </c>
      <c r="AH959" s="193">
        <v>0.73472222222222228</v>
      </c>
    </row>
    <row r="960" spans="1:34" x14ac:dyDescent="0.25">
      <c r="A960" s="3" t="s">
        <v>5509</v>
      </c>
      <c r="B960" s="3">
        <v>146598</v>
      </c>
      <c r="C960" s="3">
        <v>943007</v>
      </c>
      <c r="D960" s="3" t="s">
        <v>5288</v>
      </c>
      <c r="E960" s="3">
        <v>1</v>
      </c>
      <c r="F960" s="3">
        <v>7</v>
      </c>
      <c r="G960" s="3">
        <v>5</v>
      </c>
      <c r="H960" s="55" t="s">
        <v>289</v>
      </c>
      <c r="I960" s="3" t="s">
        <v>5358</v>
      </c>
      <c r="J960" s="3" t="s">
        <v>5096</v>
      </c>
      <c r="L960" s="3">
        <v>2160</v>
      </c>
      <c r="M960" s="3">
        <v>12565</v>
      </c>
      <c r="N960" s="3" t="s">
        <v>5332</v>
      </c>
      <c r="O960" s="3" t="s">
        <v>5387</v>
      </c>
      <c r="R960" s="3">
        <v>12</v>
      </c>
      <c r="S960" s="3" t="s">
        <v>5512</v>
      </c>
      <c r="T960" s="3" t="s">
        <v>5513</v>
      </c>
      <c r="U960" s="3" t="s">
        <v>5109</v>
      </c>
      <c r="V960" s="3">
        <v>342</v>
      </c>
      <c r="W960" s="3">
        <v>0</v>
      </c>
      <c r="X960" s="3">
        <v>214</v>
      </c>
      <c r="Y960" s="3">
        <v>0</v>
      </c>
      <c r="Z960" s="3">
        <v>0</v>
      </c>
      <c r="AA960" s="3">
        <v>214</v>
      </c>
      <c r="AB960" s="3">
        <v>3438</v>
      </c>
      <c r="AC960" s="192">
        <v>0</v>
      </c>
      <c r="AF960" s="193">
        <v>2.6388888888888889E-2</v>
      </c>
      <c r="AG960" s="193">
        <v>0.41875000000000001</v>
      </c>
      <c r="AH960" s="193">
        <v>0.76111111111111107</v>
      </c>
    </row>
    <row r="961" spans="1:34" x14ac:dyDescent="0.25">
      <c r="A961" s="3" t="s">
        <v>5509</v>
      </c>
      <c r="B961" s="3">
        <v>146598</v>
      </c>
      <c r="C961" s="3">
        <v>943007</v>
      </c>
      <c r="D961" s="3" t="s">
        <v>5288</v>
      </c>
      <c r="E961" s="3">
        <v>1</v>
      </c>
      <c r="F961" s="3">
        <v>8</v>
      </c>
      <c r="G961" s="3">
        <v>6</v>
      </c>
      <c r="H961" s="55" t="s">
        <v>289</v>
      </c>
      <c r="I961" s="3" t="s">
        <v>5358</v>
      </c>
      <c r="J961" s="3" t="s">
        <v>5096</v>
      </c>
      <c r="L961" s="3">
        <v>2160</v>
      </c>
      <c r="M961" s="3">
        <v>12565</v>
      </c>
      <c r="N961" s="3" t="s">
        <v>5332</v>
      </c>
      <c r="O961" s="3" t="s">
        <v>5387</v>
      </c>
      <c r="R961" s="3">
        <v>12</v>
      </c>
      <c r="S961" s="3" t="s">
        <v>5512</v>
      </c>
      <c r="T961" s="3" t="s">
        <v>5513</v>
      </c>
      <c r="U961" s="3" t="s">
        <v>281</v>
      </c>
      <c r="V961" s="3">
        <v>342</v>
      </c>
      <c r="W961" s="3">
        <v>0</v>
      </c>
      <c r="X961" s="3">
        <v>100</v>
      </c>
      <c r="Y961" s="3">
        <v>0</v>
      </c>
      <c r="Z961" s="3">
        <v>0</v>
      </c>
      <c r="AA961" s="3">
        <v>100</v>
      </c>
      <c r="AB961" s="3">
        <v>3538</v>
      </c>
      <c r="AC961" s="192">
        <v>8.3333333333333332E-3</v>
      </c>
      <c r="AD961" s="3" t="s">
        <v>292</v>
      </c>
      <c r="AF961" s="193">
        <v>1.2500000000000001E-2</v>
      </c>
      <c r="AG961" s="193">
        <v>0.43125000000000002</v>
      </c>
      <c r="AH961" s="193">
        <v>0.78194444444444444</v>
      </c>
    </row>
    <row r="962" spans="1:34" x14ac:dyDescent="0.25">
      <c r="A962" s="3" t="s">
        <v>5509</v>
      </c>
      <c r="B962" s="3">
        <v>146599</v>
      </c>
      <c r="C962" s="3">
        <v>943007</v>
      </c>
      <c r="D962" s="3" t="s">
        <v>5288</v>
      </c>
      <c r="E962" s="3">
        <v>1</v>
      </c>
      <c r="F962" s="3">
        <v>9</v>
      </c>
      <c r="G962" s="3">
        <v>3</v>
      </c>
      <c r="H962" s="55" t="s">
        <v>289</v>
      </c>
      <c r="I962" s="3" t="s">
        <v>5358</v>
      </c>
      <c r="J962" s="3" t="s">
        <v>5096</v>
      </c>
      <c r="L962" s="3">
        <v>2160</v>
      </c>
      <c r="M962" s="3">
        <v>12565</v>
      </c>
      <c r="N962" s="3" t="s">
        <v>5332</v>
      </c>
      <c r="O962" s="3" t="s">
        <v>5387</v>
      </c>
      <c r="R962" s="3">
        <v>13</v>
      </c>
      <c r="S962" s="3" t="s">
        <v>5514</v>
      </c>
      <c r="T962" s="3" t="s">
        <v>5323</v>
      </c>
      <c r="U962" s="3" t="s">
        <v>284</v>
      </c>
      <c r="V962" s="3">
        <v>342</v>
      </c>
      <c r="W962" s="3">
        <v>0</v>
      </c>
      <c r="X962" s="3">
        <v>36</v>
      </c>
      <c r="Y962" s="3">
        <v>0</v>
      </c>
      <c r="Z962" s="3">
        <v>0</v>
      </c>
      <c r="AA962" s="3">
        <v>36</v>
      </c>
      <c r="AB962" s="3">
        <v>3574</v>
      </c>
      <c r="AC962" s="192">
        <v>0</v>
      </c>
      <c r="AF962" s="193">
        <v>4.1666666666666666E-3</v>
      </c>
      <c r="AG962" s="193">
        <v>0.43541666666666667</v>
      </c>
      <c r="AH962" s="193">
        <v>0.78611111111111109</v>
      </c>
    </row>
    <row r="963" spans="1:34" x14ac:dyDescent="0.25">
      <c r="A963" s="3" t="s">
        <v>5509</v>
      </c>
      <c r="B963" s="3">
        <v>146599</v>
      </c>
      <c r="C963" s="3">
        <v>943007</v>
      </c>
      <c r="D963" s="3" t="s">
        <v>5288</v>
      </c>
      <c r="E963" s="3">
        <v>1</v>
      </c>
      <c r="F963" s="3">
        <v>10</v>
      </c>
      <c r="G963" s="3">
        <v>4</v>
      </c>
      <c r="H963" s="55" t="s">
        <v>289</v>
      </c>
      <c r="I963" s="3" t="s">
        <v>5358</v>
      </c>
      <c r="J963" s="3" t="s">
        <v>5096</v>
      </c>
      <c r="L963" s="3">
        <v>2160</v>
      </c>
      <c r="M963" s="3">
        <v>12565</v>
      </c>
      <c r="N963" s="3" t="s">
        <v>5332</v>
      </c>
      <c r="O963" s="3" t="s">
        <v>5387</v>
      </c>
      <c r="R963" s="3">
        <v>13</v>
      </c>
      <c r="S963" s="3" t="s">
        <v>5514</v>
      </c>
      <c r="T963" s="3" t="s">
        <v>5323</v>
      </c>
      <c r="U963" s="3" t="s">
        <v>280</v>
      </c>
      <c r="V963" s="3">
        <v>342</v>
      </c>
      <c r="W963" s="3">
        <v>0</v>
      </c>
      <c r="X963" s="3">
        <v>54</v>
      </c>
      <c r="Y963" s="3">
        <v>0</v>
      </c>
      <c r="Z963" s="3">
        <v>0</v>
      </c>
      <c r="AA963" s="3">
        <v>54</v>
      </c>
      <c r="AB963" s="3">
        <v>3628</v>
      </c>
      <c r="AC963" s="192">
        <v>0</v>
      </c>
      <c r="AF963" s="193">
        <v>6.2500000000000003E-3</v>
      </c>
      <c r="AG963" s="193">
        <v>0.44166666666666665</v>
      </c>
      <c r="AH963" s="193">
        <v>0.79236111111111107</v>
      </c>
    </row>
    <row r="964" spans="1:34" x14ac:dyDescent="0.25">
      <c r="A964" s="3" t="s">
        <v>5509</v>
      </c>
      <c r="B964" s="3">
        <v>146599</v>
      </c>
      <c r="C964" s="3">
        <v>943007</v>
      </c>
      <c r="D964" s="3" t="s">
        <v>5288</v>
      </c>
      <c r="E964" s="3">
        <v>1</v>
      </c>
      <c r="F964" s="3">
        <v>11</v>
      </c>
      <c r="G964" s="3">
        <v>5</v>
      </c>
      <c r="H964" s="55" t="s">
        <v>289</v>
      </c>
      <c r="I964" s="3" t="s">
        <v>5358</v>
      </c>
      <c r="J964" s="3" t="s">
        <v>5096</v>
      </c>
      <c r="L964" s="3">
        <v>2160</v>
      </c>
      <c r="M964" s="3">
        <v>12565</v>
      </c>
      <c r="N964" s="3" t="s">
        <v>5332</v>
      </c>
      <c r="O964" s="3" t="s">
        <v>5387</v>
      </c>
      <c r="R964" s="3">
        <v>13</v>
      </c>
      <c r="S964" s="3" t="s">
        <v>5514</v>
      </c>
      <c r="T964" s="3" t="s">
        <v>5323</v>
      </c>
      <c r="U964" s="3" t="s">
        <v>5109</v>
      </c>
      <c r="V964" s="3">
        <v>342</v>
      </c>
      <c r="W964" s="3">
        <v>0</v>
      </c>
      <c r="X964" s="3">
        <v>66</v>
      </c>
      <c r="Y964" s="3">
        <v>0</v>
      </c>
      <c r="Z964" s="3">
        <v>0</v>
      </c>
      <c r="AA964" s="3">
        <v>66</v>
      </c>
      <c r="AB964" s="3">
        <v>3694</v>
      </c>
      <c r="AC964" s="192">
        <v>0</v>
      </c>
      <c r="AF964" s="193">
        <v>8.3333333333333332E-3</v>
      </c>
      <c r="AG964" s="193">
        <v>0.45</v>
      </c>
      <c r="AH964" s="193">
        <v>0.80069444444444449</v>
      </c>
    </row>
    <row r="965" spans="1:34" x14ac:dyDescent="0.25">
      <c r="A965" s="3" t="s">
        <v>5509</v>
      </c>
      <c r="B965" s="3">
        <v>146599</v>
      </c>
      <c r="C965" s="3">
        <v>943007</v>
      </c>
      <c r="D965" s="3" t="s">
        <v>5288</v>
      </c>
      <c r="E965" s="3">
        <v>1</v>
      </c>
      <c r="F965" s="3">
        <v>12</v>
      </c>
      <c r="G965" s="3">
        <v>6</v>
      </c>
      <c r="H965" s="55" t="s">
        <v>289</v>
      </c>
      <c r="I965" s="3" t="s">
        <v>5358</v>
      </c>
      <c r="J965" s="3" t="s">
        <v>5096</v>
      </c>
      <c r="L965" s="3">
        <v>2160</v>
      </c>
      <c r="M965" s="3">
        <v>12565</v>
      </c>
      <c r="N965" s="3" t="s">
        <v>5332</v>
      </c>
      <c r="O965" s="3" t="s">
        <v>5387</v>
      </c>
      <c r="R965" s="3">
        <v>13</v>
      </c>
      <c r="S965" s="3" t="s">
        <v>5514</v>
      </c>
      <c r="T965" s="3" t="s">
        <v>5323</v>
      </c>
      <c r="U965" s="3" t="s">
        <v>281</v>
      </c>
      <c r="V965" s="3">
        <v>342</v>
      </c>
      <c r="W965" s="3">
        <v>0</v>
      </c>
      <c r="X965" s="3">
        <v>38</v>
      </c>
      <c r="Y965" s="3">
        <v>0</v>
      </c>
      <c r="Z965" s="3">
        <v>0</v>
      </c>
      <c r="AA965" s="3">
        <v>38</v>
      </c>
      <c r="AB965" s="3">
        <v>3732</v>
      </c>
      <c r="AC965" s="192">
        <v>0</v>
      </c>
      <c r="AF965" s="193">
        <v>4.8611111111111112E-3</v>
      </c>
      <c r="AG965" s="193">
        <v>0.4548611111111111</v>
      </c>
      <c r="AH965" s="193">
        <v>0.80555555555555558</v>
      </c>
    </row>
    <row r="966" spans="1:34" x14ac:dyDescent="0.25">
      <c r="A966" s="3" t="s">
        <v>5509</v>
      </c>
      <c r="B966" s="3">
        <v>146600</v>
      </c>
      <c r="C966" s="3">
        <v>943007</v>
      </c>
      <c r="D966" s="3" t="s">
        <v>5288</v>
      </c>
      <c r="E966" s="3">
        <v>1</v>
      </c>
      <c r="F966" s="3">
        <v>13</v>
      </c>
      <c r="G966" s="3">
        <v>3</v>
      </c>
      <c r="H966" s="55" t="s">
        <v>289</v>
      </c>
      <c r="I966" s="3" t="s">
        <v>5358</v>
      </c>
      <c r="J966" s="3" t="s">
        <v>5096</v>
      </c>
      <c r="L966" s="3">
        <v>2160</v>
      </c>
      <c r="M966" s="3">
        <v>12565</v>
      </c>
      <c r="N966" s="3" t="s">
        <v>5332</v>
      </c>
      <c r="O966" s="3" t="s">
        <v>5387</v>
      </c>
      <c r="R966" s="3">
        <v>12</v>
      </c>
      <c r="S966" s="3" t="s">
        <v>5515</v>
      </c>
      <c r="T966" s="3" t="s">
        <v>460</v>
      </c>
      <c r="U966" s="3" t="s">
        <v>284</v>
      </c>
      <c r="V966" s="3">
        <v>342</v>
      </c>
      <c r="W966" s="3">
        <v>0</v>
      </c>
      <c r="X966" s="3">
        <v>566</v>
      </c>
      <c r="Y966" s="3">
        <v>0</v>
      </c>
      <c r="Z966" s="3">
        <v>0</v>
      </c>
      <c r="AA966" s="3">
        <v>566</v>
      </c>
      <c r="AB966" s="3">
        <v>4298</v>
      </c>
      <c r="AC966" s="192">
        <v>4.1666666666666664E-2</v>
      </c>
      <c r="AD966" s="3" t="s">
        <v>294</v>
      </c>
      <c r="AE966" s="3" t="s">
        <v>295</v>
      </c>
      <c r="AF966" s="193">
        <v>6.8750000000000006E-2</v>
      </c>
      <c r="AG966" s="193">
        <v>0.52361111111111114</v>
      </c>
      <c r="AH966" s="193">
        <v>0.91597222222222219</v>
      </c>
    </row>
  </sheetData>
  <autoFilter ref="A1:AH1" xr:uid="{8749AC2D-DC59-4DC8-8CC3-979D8A384C26}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E2CD9-254C-414C-92AF-E53E9C49F838}">
  <sheetPr codeName="Planilha3"/>
  <dimension ref="A1:E5034"/>
  <sheetViews>
    <sheetView tabSelected="1" zoomScale="130" zoomScaleNormal="130" workbookViewId="0">
      <selection activeCell="E1" activeCellId="2" sqref="B1:B1048576 C1:C1048576 E1:E1048576"/>
    </sheetView>
  </sheetViews>
  <sheetFormatPr defaultRowHeight="15" x14ac:dyDescent="0.25"/>
  <cols>
    <col min="1" max="1" width="16.28515625" bestFit="1" customWidth="1"/>
    <col min="2" max="2" width="10.28515625" bestFit="1" customWidth="1"/>
    <col min="3" max="3" width="20.5703125" bestFit="1" customWidth="1"/>
    <col min="4" max="4" width="34.85546875" bestFit="1" customWidth="1"/>
    <col min="5" max="5" width="7.7109375" bestFit="1" customWidth="1"/>
    <col min="8" max="8" width="12.85546875" bestFit="1" customWidth="1"/>
  </cols>
  <sheetData>
    <row r="1" spans="1:5" x14ac:dyDescent="0.25">
      <c r="A1" t="s">
        <v>463</v>
      </c>
      <c r="B1" t="s">
        <v>464</v>
      </c>
      <c r="C1" t="s">
        <v>465</v>
      </c>
      <c r="D1" t="s">
        <v>466</v>
      </c>
      <c r="E1" t="s">
        <v>467</v>
      </c>
    </row>
    <row r="2" spans="1:5" x14ac:dyDescent="0.25">
      <c r="A2" s="173" t="s">
        <v>468</v>
      </c>
      <c r="B2">
        <v>5320</v>
      </c>
      <c r="C2" s="173" t="s">
        <v>3527</v>
      </c>
      <c r="D2" s="173" t="s">
        <v>470</v>
      </c>
      <c r="E2">
        <v>1</v>
      </c>
    </row>
    <row r="3" spans="1:5" x14ac:dyDescent="0.25">
      <c r="A3" s="173" t="s">
        <v>468</v>
      </c>
      <c r="B3">
        <v>5320</v>
      </c>
      <c r="C3" s="173" t="s">
        <v>3528</v>
      </c>
      <c r="D3" s="173" t="s">
        <v>470</v>
      </c>
      <c r="E3">
        <v>1</v>
      </c>
    </row>
    <row r="4" spans="1:5" x14ac:dyDescent="0.25">
      <c r="A4" s="173" t="s">
        <v>468</v>
      </c>
      <c r="B4">
        <v>5320</v>
      </c>
      <c r="C4" s="173" t="s">
        <v>3529</v>
      </c>
      <c r="D4" s="173" t="s">
        <v>470</v>
      </c>
      <c r="E4">
        <v>1</v>
      </c>
    </row>
    <row r="5" spans="1:5" x14ac:dyDescent="0.25">
      <c r="A5" s="173" t="s">
        <v>468</v>
      </c>
      <c r="B5">
        <v>5766</v>
      </c>
      <c r="C5" s="173" t="s">
        <v>469</v>
      </c>
      <c r="D5" s="173" t="s">
        <v>470</v>
      </c>
      <c r="E5">
        <v>1</v>
      </c>
    </row>
    <row r="6" spans="1:5" x14ac:dyDescent="0.25">
      <c r="A6" s="173" t="s">
        <v>468</v>
      </c>
      <c r="B6">
        <v>5766</v>
      </c>
      <c r="C6" s="173" t="s">
        <v>471</v>
      </c>
      <c r="D6" s="173" t="s">
        <v>470</v>
      </c>
      <c r="E6">
        <v>1</v>
      </c>
    </row>
    <row r="7" spans="1:5" x14ac:dyDescent="0.25">
      <c r="A7" s="173" t="s">
        <v>468</v>
      </c>
      <c r="B7">
        <v>5766</v>
      </c>
      <c r="C7" s="173" t="s">
        <v>472</v>
      </c>
      <c r="D7" s="173" t="s">
        <v>470</v>
      </c>
      <c r="E7">
        <v>1</v>
      </c>
    </row>
    <row r="8" spans="1:5" x14ac:dyDescent="0.25">
      <c r="A8" s="173" t="s">
        <v>468</v>
      </c>
      <c r="B8">
        <v>5766</v>
      </c>
      <c r="C8" s="173" t="s">
        <v>473</v>
      </c>
      <c r="D8" s="173" t="s">
        <v>470</v>
      </c>
      <c r="E8">
        <v>1</v>
      </c>
    </row>
    <row r="9" spans="1:5" x14ac:dyDescent="0.25">
      <c r="A9" s="173" t="s">
        <v>468</v>
      </c>
      <c r="B9">
        <v>5766</v>
      </c>
      <c r="C9" s="173" t="s">
        <v>474</v>
      </c>
      <c r="D9" s="173" t="s">
        <v>470</v>
      </c>
      <c r="E9">
        <v>1</v>
      </c>
    </row>
    <row r="10" spans="1:5" x14ac:dyDescent="0.25">
      <c r="A10" s="173" t="s">
        <v>468</v>
      </c>
      <c r="B10">
        <v>5766</v>
      </c>
      <c r="C10" s="173" t="s">
        <v>475</v>
      </c>
      <c r="D10" s="173" t="s">
        <v>470</v>
      </c>
      <c r="E10">
        <v>1</v>
      </c>
    </row>
    <row r="11" spans="1:5" x14ac:dyDescent="0.25">
      <c r="A11" s="173" t="s">
        <v>468</v>
      </c>
      <c r="B11">
        <v>5766</v>
      </c>
      <c r="C11" s="173" t="s">
        <v>476</v>
      </c>
      <c r="D11" s="173" t="s">
        <v>470</v>
      </c>
      <c r="E11">
        <v>1</v>
      </c>
    </row>
    <row r="12" spans="1:5" x14ac:dyDescent="0.25">
      <c r="A12" s="173" t="s">
        <v>468</v>
      </c>
      <c r="B12">
        <v>6466</v>
      </c>
      <c r="C12" s="173" t="s">
        <v>469</v>
      </c>
      <c r="D12" s="173" t="s">
        <v>470</v>
      </c>
      <c r="E12">
        <v>1</v>
      </c>
    </row>
    <row r="13" spans="1:5" x14ac:dyDescent="0.25">
      <c r="A13" s="173" t="s">
        <v>468</v>
      </c>
      <c r="B13">
        <v>6466</v>
      </c>
      <c r="C13" s="173" t="s">
        <v>1071</v>
      </c>
      <c r="D13" s="173" t="s">
        <v>470</v>
      </c>
      <c r="E13">
        <v>1</v>
      </c>
    </row>
    <row r="14" spans="1:5" x14ac:dyDescent="0.25">
      <c r="A14" s="173" t="s">
        <v>468</v>
      </c>
      <c r="B14">
        <v>6466</v>
      </c>
      <c r="C14" s="173" t="s">
        <v>3528</v>
      </c>
      <c r="D14" s="173" t="s">
        <v>470</v>
      </c>
      <c r="E14">
        <v>1</v>
      </c>
    </row>
    <row r="15" spans="1:5" x14ac:dyDescent="0.25">
      <c r="A15" s="173" t="s">
        <v>468</v>
      </c>
      <c r="B15">
        <v>6466</v>
      </c>
      <c r="C15" s="173" t="s">
        <v>3530</v>
      </c>
      <c r="D15" s="173" t="s">
        <v>470</v>
      </c>
      <c r="E15">
        <v>1</v>
      </c>
    </row>
    <row r="16" spans="1:5" x14ac:dyDescent="0.25">
      <c r="A16" s="173" t="s">
        <v>468</v>
      </c>
      <c r="B16">
        <v>6466</v>
      </c>
      <c r="C16" s="173" t="s">
        <v>3531</v>
      </c>
      <c r="D16" s="173" t="s">
        <v>470</v>
      </c>
      <c r="E16">
        <v>1</v>
      </c>
    </row>
    <row r="17" spans="1:5" x14ac:dyDescent="0.25">
      <c r="A17" s="173" t="s">
        <v>468</v>
      </c>
      <c r="B17">
        <v>6466</v>
      </c>
      <c r="C17" s="173" t="s">
        <v>3532</v>
      </c>
      <c r="D17" s="173" t="s">
        <v>470</v>
      </c>
      <c r="E17">
        <v>1</v>
      </c>
    </row>
    <row r="18" spans="1:5" x14ac:dyDescent="0.25">
      <c r="A18" s="173" t="s">
        <v>468</v>
      </c>
      <c r="B18">
        <v>6466</v>
      </c>
      <c r="C18" s="173" t="s">
        <v>3533</v>
      </c>
      <c r="D18" s="173" t="s">
        <v>470</v>
      </c>
      <c r="E18">
        <v>1</v>
      </c>
    </row>
    <row r="19" spans="1:5" hidden="1" x14ac:dyDescent="0.25">
      <c r="A19" s="173" t="s">
        <v>514</v>
      </c>
      <c r="B19">
        <v>10738</v>
      </c>
      <c r="C19" s="173" t="s">
        <v>515</v>
      </c>
      <c r="D19" s="173" t="s">
        <v>470</v>
      </c>
      <c r="E19">
        <v>2</v>
      </c>
    </row>
    <row r="20" spans="1:5" hidden="1" x14ac:dyDescent="0.25">
      <c r="A20" s="173" t="s">
        <v>514</v>
      </c>
      <c r="B20">
        <v>10738</v>
      </c>
      <c r="C20" s="173" t="s">
        <v>516</v>
      </c>
      <c r="D20" s="173" t="s">
        <v>470</v>
      </c>
      <c r="E20">
        <v>1</v>
      </c>
    </row>
    <row r="21" spans="1:5" hidden="1" x14ac:dyDescent="0.25">
      <c r="A21" s="173" t="s">
        <v>514</v>
      </c>
      <c r="B21">
        <v>10738</v>
      </c>
      <c r="C21" s="173" t="s">
        <v>516</v>
      </c>
      <c r="D21" s="173" t="s">
        <v>517</v>
      </c>
      <c r="E21">
        <v>2</v>
      </c>
    </row>
    <row r="22" spans="1:5" hidden="1" x14ac:dyDescent="0.25">
      <c r="A22" s="173" t="s">
        <v>514</v>
      </c>
      <c r="B22">
        <v>10738</v>
      </c>
      <c r="C22" s="173" t="s">
        <v>518</v>
      </c>
      <c r="D22" s="173" t="s">
        <v>470</v>
      </c>
      <c r="E22">
        <v>1</v>
      </c>
    </row>
    <row r="23" spans="1:5" hidden="1" x14ac:dyDescent="0.25">
      <c r="A23" s="173" t="s">
        <v>514</v>
      </c>
      <c r="B23">
        <v>10738</v>
      </c>
      <c r="C23" s="173" t="s">
        <v>484</v>
      </c>
      <c r="D23" s="173" t="s">
        <v>517</v>
      </c>
      <c r="E23">
        <v>3</v>
      </c>
    </row>
    <row r="24" spans="1:5" hidden="1" x14ac:dyDescent="0.25">
      <c r="A24" s="173" t="s">
        <v>514</v>
      </c>
      <c r="B24">
        <v>10738</v>
      </c>
      <c r="C24" s="173" t="s">
        <v>519</v>
      </c>
      <c r="D24" s="173" t="s">
        <v>470</v>
      </c>
      <c r="E24">
        <v>4</v>
      </c>
    </row>
    <row r="25" spans="1:5" hidden="1" x14ac:dyDescent="0.25">
      <c r="A25" s="173" t="s">
        <v>514</v>
      </c>
      <c r="B25">
        <v>10738</v>
      </c>
      <c r="C25" s="173" t="s">
        <v>520</v>
      </c>
      <c r="D25" s="173" t="s">
        <v>517</v>
      </c>
      <c r="E25">
        <v>2</v>
      </c>
    </row>
    <row r="26" spans="1:5" hidden="1" x14ac:dyDescent="0.25">
      <c r="A26" s="173" t="s">
        <v>514</v>
      </c>
      <c r="B26">
        <v>10738</v>
      </c>
      <c r="C26" s="173" t="s">
        <v>521</v>
      </c>
      <c r="D26" s="173" t="s">
        <v>470</v>
      </c>
      <c r="E26">
        <v>3</v>
      </c>
    </row>
    <row r="27" spans="1:5" hidden="1" x14ac:dyDescent="0.25">
      <c r="A27" s="173" t="s">
        <v>514</v>
      </c>
      <c r="B27">
        <v>10738</v>
      </c>
      <c r="C27" s="173" t="s">
        <v>522</v>
      </c>
      <c r="D27" s="173" t="s">
        <v>517</v>
      </c>
      <c r="E27">
        <v>2</v>
      </c>
    </row>
    <row r="28" spans="1:5" hidden="1" x14ac:dyDescent="0.25">
      <c r="A28" s="173" t="s">
        <v>514</v>
      </c>
      <c r="B28">
        <v>10738</v>
      </c>
      <c r="C28" s="173" t="s">
        <v>523</v>
      </c>
      <c r="D28" s="173" t="s">
        <v>470</v>
      </c>
      <c r="E28">
        <v>2</v>
      </c>
    </row>
    <row r="29" spans="1:5" hidden="1" x14ac:dyDescent="0.25">
      <c r="A29" s="173" t="s">
        <v>514</v>
      </c>
      <c r="B29">
        <v>10738</v>
      </c>
      <c r="C29" s="173" t="s">
        <v>524</v>
      </c>
      <c r="D29" s="173" t="s">
        <v>517</v>
      </c>
      <c r="E29">
        <v>3</v>
      </c>
    </row>
    <row r="30" spans="1:5" hidden="1" x14ac:dyDescent="0.25">
      <c r="A30" s="173" t="s">
        <v>514</v>
      </c>
      <c r="B30">
        <v>10738</v>
      </c>
      <c r="C30" s="173" t="s">
        <v>486</v>
      </c>
      <c r="D30" s="173" t="s">
        <v>470</v>
      </c>
      <c r="E30">
        <v>4</v>
      </c>
    </row>
    <row r="31" spans="1:5" hidden="1" x14ac:dyDescent="0.25">
      <c r="A31" s="173" t="s">
        <v>514</v>
      </c>
      <c r="B31">
        <v>10738</v>
      </c>
      <c r="C31" s="173" t="s">
        <v>525</v>
      </c>
      <c r="D31" s="173" t="s">
        <v>470</v>
      </c>
      <c r="E31">
        <v>2</v>
      </c>
    </row>
    <row r="32" spans="1:5" hidden="1" x14ac:dyDescent="0.25">
      <c r="A32" s="173" t="s">
        <v>514</v>
      </c>
      <c r="B32">
        <v>10738</v>
      </c>
      <c r="C32" s="173" t="s">
        <v>526</v>
      </c>
      <c r="D32" s="173" t="s">
        <v>470</v>
      </c>
      <c r="E32">
        <v>4</v>
      </c>
    </row>
    <row r="33" spans="1:5" hidden="1" x14ac:dyDescent="0.25">
      <c r="A33" s="173" t="s">
        <v>514</v>
      </c>
      <c r="B33">
        <v>10738</v>
      </c>
      <c r="C33" s="173" t="s">
        <v>527</v>
      </c>
      <c r="D33" s="173" t="s">
        <v>470</v>
      </c>
      <c r="E33">
        <v>4</v>
      </c>
    </row>
    <row r="34" spans="1:5" hidden="1" x14ac:dyDescent="0.25">
      <c r="A34" s="173" t="s">
        <v>514</v>
      </c>
      <c r="B34">
        <v>10738</v>
      </c>
      <c r="C34" s="173" t="s">
        <v>491</v>
      </c>
      <c r="D34" s="173" t="s">
        <v>470</v>
      </c>
      <c r="E34">
        <v>4</v>
      </c>
    </row>
    <row r="35" spans="1:5" hidden="1" x14ac:dyDescent="0.25">
      <c r="A35" s="173" t="s">
        <v>514</v>
      </c>
      <c r="B35">
        <v>10738</v>
      </c>
      <c r="C35" s="173" t="s">
        <v>492</v>
      </c>
      <c r="D35" s="173" t="s">
        <v>470</v>
      </c>
      <c r="E35">
        <v>4</v>
      </c>
    </row>
    <row r="36" spans="1:5" hidden="1" x14ac:dyDescent="0.25">
      <c r="A36" s="173" t="s">
        <v>514</v>
      </c>
      <c r="B36">
        <v>10738</v>
      </c>
      <c r="C36" s="173" t="s">
        <v>528</v>
      </c>
      <c r="D36" s="173" t="s">
        <v>470</v>
      </c>
      <c r="E36">
        <v>4</v>
      </c>
    </row>
    <row r="37" spans="1:5" hidden="1" x14ac:dyDescent="0.25">
      <c r="A37" s="173" t="s">
        <v>514</v>
      </c>
      <c r="B37">
        <v>10738</v>
      </c>
      <c r="C37" s="173" t="s">
        <v>529</v>
      </c>
      <c r="D37" s="173" t="s">
        <v>470</v>
      </c>
      <c r="E37">
        <v>2</v>
      </c>
    </row>
    <row r="38" spans="1:5" hidden="1" x14ac:dyDescent="0.25">
      <c r="A38" s="173" t="s">
        <v>514</v>
      </c>
      <c r="B38">
        <v>10738</v>
      </c>
      <c r="C38" s="173" t="s">
        <v>530</v>
      </c>
      <c r="D38" s="173" t="s">
        <v>470</v>
      </c>
      <c r="E38">
        <v>4</v>
      </c>
    </row>
    <row r="39" spans="1:5" hidden="1" x14ac:dyDescent="0.25">
      <c r="A39" s="173" t="s">
        <v>514</v>
      </c>
      <c r="B39">
        <v>10738</v>
      </c>
      <c r="C39" s="173" t="s">
        <v>495</v>
      </c>
      <c r="D39" s="173" t="s">
        <v>470</v>
      </c>
      <c r="E39">
        <v>2</v>
      </c>
    </row>
    <row r="40" spans="1:5" hidden="1" x14ac:dyDescent="0.25">
      <c r="A40" s="173" t="s">
        <v>514</v>
      </c>
      <c r="B40">
        <v>10738</v>
      </c>
      <c r="C40" s="173" t="s">
        <v>497</v>
      </c>
      <c r="D40" s="173" t="s">
        <v>470</v>
      </c>
      <c r="E40">
        <v>3</v>
      </c>
    </row>
    <row r="41" spans="1:5" hidden="1" x14ac:dyDescent="0.25">
      <c r="A41" s="173" t="s">
        <v>514</v>
      </c>
      <c r="B41">
        <v>10738</v>
      </c>
      <c r="C41" s="173" t="s">
        <v>531</v>
      </c>
      <c r="D41" s="173" t="s">
        <v>470</v>
      </c>
      <c r="E41">
        <v>4</v>
      </c>
    </row>
    <row r="42" spans="1:5" hidden="1" x14ac:dyDescent="0.25">
      <c r="A42" s="173" t="s">
        <v>514</v>
      </c>
      <c r="B42">
        <v>10738</v>
      </c>
      <c r="C42" s="173" t="s">
        <v>532</v>
      </c>
      <c r="D42" s="173" t="s">
        <v>470</v>
      </c>
      <c r="E42">
        <v>2</v>
      </c>
    </row>
    <row r="43" spans="1:5" hidden="1" x14ac:dyDescent="0.25">
      <c r="A43" s="173" t="s">
        <v>514</v>
      </c>
      <c r="B43">
        <v>10738</v>
      </c>
      <c r="C43" s="173" t="s">
        <v>533</v>
      </c>
      <c r="D43" s="173" t="s">
        <v>517</v>
      </c>
      <c r="E43">
        <v>2</v>
      </c>
    </row>
    <row r="44" spans="1:5" hidden="1" x14ac:dyDescent="0.25">
      <c r="A44" s="173" t="s">
        <v>514</v>
      </c>
      <c r="B44">
        <v>10738</v>
      </c>
      <c r="C44" s="173" t="s">
        <v>534</v>
      </c>
      <c r="D44" s="173" t="s">
        <v>470</v>
      </c>
      <c r="E44">
        <v>2</v>
      </c>
    </row>
    <row r="45" spans="1:5" hidden="1" x14ac:dyDescent="0.25">
      <c r="A45" s="173" t="s">
        <v>514</v>
      </c>
      <c r="B45">
        <v>10738</v>
      </c>
      <c r="C45" s="173" t="s">
        <v>535</v>
      </c>
      <c r="D45" s="173" t="s">
        <v>517</v>
      </c>
      <c r="E45">
        <v>2</v>
      </c>
    </row>
    <row r="46" spans="1:5" hidden="1" x14ac:dyDescent="0.25">
      <c r="A46" s="173" t="s">
        <v>514</v>
      </c>
      <c r="B46">
        <v>10738</v>
      </c>
      <c r="C46" s="173" t="s">
        <v>536</v>
      </c>
      <c r="D46" s="173" t="s">
        <v>470</v>
      </c>
      <c r="E46">
        <v>1</v>
      </c>
    </row>
    <row r="47" spans="1:5" hidden="1" x14ac:dyDescent="0.25">
      <c r="A47" s="173" t="s">
        <v>514</v>
      </c>
      <c r="B47">
        <v>10738</v>
      </c>
      <c r="C47" s="173" t="s">
        <v>537</v>
      </c>
      <c r="D47" s="173" t="s">
        <v>470</v>
      </c>
      <c r="E47">
        <v>2</v>
      </c>
    </row>
    <row r="48" spans="1:5" hidden="1" x14ac:dyDescent="0.25">
      <c r="A48" s="173" t="s">
        <v>514</v>
      </c>
      <c r="B48">
        <v>10738</v>
      </c>
      <c r="C48" s="173" t="s">
        <v>538</v>
      </c>
      <c r="D48" s="173" t="s">
        <v>517</v>
      </c>
      <c r="E48">
        <v>2</v>
      </c>
    </row>
    <row r="49" spans="1:5" hidden="1" x14ac:dyDescent="0.25">
      <c r="A49" s="173" t="s">
        <v>514</v>
      </c>
      <c r="B49">
        <v>10738</v>
      </c>
      <c r="C49" s="173" t="s">
        <v>539</v>
      </c>
      <c r="D49" s="173" t="s">
        <v>517</v>
      </c>
      <c r="E49">
        <v>2</v>
      </c>
    </row>
    <row r="50" spans="1:5" hidden="1" x14ac:dyDescent="0.25">
      <c r="A50" s="173" t="s">
        <v>514</v>
      </c>
      <c r="B50">
        <v>10738</v>
      </c>
      <c r="C50" s="173" t="s">
        <v>501</v>
      </c>
      <c r="D50" s="173" t="s">
        <v>470</v>
      </c>
      <c r="E50">
        <v>4</v>
      </c>
    </row>
    <row r="51" spans="1:5" hidden="1" x14ac:dyDescent="0.25">
      <c r="A51" s="173" t="s">
        <v>514</v>
      </c>
      <c r="B51">
        <v>10738</v>
      </c>
      <c r="C51" s="173" t="s">
        <v>540</v>
      </c>
      <c r="D51" s="173" t="s">
        <v>517</v>
      </c>
      <c r="E51">
        <v>2</v>
      </c>
    </row>
    <row r="52" spans="1:5" hidden="1" x14ac:dyDescent="0.25">
      <c r="A52" s="173" t="s">
        <v>514</v>
      </c>
      <c r="B52">
        <v>10738</v>
      </c>
      <c r="C52" s="173" t="s">
        <v>541</v>
      </c>
      <c r="D52" s="173" t="s">
        <v>517</v>
      </c>
      <c r="E52">
        <v>2</v>
      </c>
    </row>
    <row r="53" spans="1:5" hidden="1" x14ac:dyDescent="0.25">
      <c r="A53" s="173" t="s">
        <v>514</v>
      </c>
      <c r="B53">
        <v>10738</v>
      </c>
      <c r="C53" s="173" t="s">
        <v>503</v>
      </c>
      <c r="D53" s="173" t="s">
        <v>517</v>
      </c>
      <c r="E53">
        <v>2</v>
      </c>
    </row>
    <row r="54" spans="1:5" hidden="1" x14ac:dyDescent="0.25">
      <c r="A54" s="173" t="s">
        <v>514</v>
      </c>
      <c r="B54">
        <v>10738</v>
      </c>
      <c r="C54" s="173" t="s">
        <v>542</v>
      </c>
      <c r="D54" s="173" t="s">
        <v>470</v>
      </c>
      <c r="E54">
        <v>4</v>
      </c>
    </row>
    <row r="55" spans="1:5" hidden="1" x14ac:dyDescent="0.25">
      <c r="A55" s="173" t="s">
        <v>514</v>
      </c>
      <c r="B55">
        <v>10738</v>
      </c>
      <c r="C55" s="173" t="s">
        <v>504</v>
      </c>
      <c r="D55" s="173" t="s">
        <v>517</v>
      </c>
      <c r="E55">
        <v>2</v>
      </c>
    </row>
    <row r="56" spans="1:5" hidden="1" x14ac:dyDescent="0.25">
      <c r="A56" s="173" t="s">
        <v>514</v>
      </c>
      <c r="B56">
        <v>10738</v>
      </c>
      <c r="C56" s="173" t="s">
        <v>543</v>
      </c>
      <c r="D56" s="173" t="s">
        <v>517</v>
      </c>
      <c r="E56">
        <v>3</v>
      </c>
    </row>
    <row r="57" spans="1:5" hidden="1" x14ac:dyDescent="0.25">
      <c r="A57" s="173" t="s">
        <v>514</v>
      </c>
      <c r="B57">
        <v>10738</v>
      </c>
      <c r="C57" s="173" t="s">
        <v>544</v>
      </c>
      <c r="D57" s="173" t="s">
        <v>517</v>
      </c>
      <c r="E57">
        <v>2</v>
      </c>
    </row>
    <row r="58" spans="1:5" hidden="1" x14ac:dyDescent="0.25">
      <c r="A58" s="173" t="s">
        <v>514</v>
      </c>
      <c r="B58">
        <v>10738</v>
      </c>
      <c r="C58" s="173" t="s">
        <v>545</v>
      </c>
      <c r="D58" s="173" t="s">
        <v>470</v>
      </c>
      <c r="E58">
        <v>4</v>
      </c>
    </row>
    <row r="59" spans="1:5" hidden="1" x14ac:dyDescent="0.25">
      <c r="A59" s="173" t="s">
        <v>514</v>
      </c>
      <c r="B59">
        <v>10738</v>
      </c>
      <c r="C59" s="173" t="s">
        <v>546</v>
      </c>
      <c r="D59" s="173" t="s">
        <v>517</v>
      </c>
      <c r="E59">
        <v>3</v>
      </c>
    </row>
    <row r="60" spans="1:5" hidden="1" x14ac:dyDescent="0.25">
      <c r="A60" s="173" t="s">
        <v>514</v>
      </c>
      <c r="B60">
        <v>10738</v>
      </c>
      <c r="C60" s="173" t="s">
        <v>547</v>
      </c>
      <c r="D60" s="173" t="s">
        <v>517</v>
      </c>
      <c r="E60">
        <v>3</v>
      </c>
    </row>
    <row r="61" spans="1:5" hidden="1" x14ac:dyDescent="0.25">
      <c r="A61" s="173" t="s">
        <v>514</v>
      </c>
      <c r="B61">
        <v>10738</v>
      </c>
      <c r="C61" s="173" t="s">
        <v>548</v>
      </c>
      <c r="D61" s="173" t="s">
        <v>470</v>
      </c>
      <c r="E61">
        <v>1</v>
      </c>
    </row>
    <row r="62" spans="1:5" hidden="1" x14ac:dyDescent="0.25">
      <c r="A62" s="173" t="s">
        <v>514</v>
      </c>
      <c r="B62">
        <v>10738</v>
      </c>
      <c r="C62" s="173" t="s">
        <v>549</v>
      </c>
      <c r="D62" s="173" t="s">
        <v>470</v>
      </c>
      <c r="E62">
        <v>4</v>
      </c>
    </row>
    <row r="63" spans="1:5" hidden="1" x14ac:dyDescent="0.25">
      <c r="A63" s="173" t="s">
        <v>514</v>
      </c>
      <c r="B63">
        <v>10738</v>
      </c>
      <c r="C63" s="173" t="s">
        <v>550</v>
      </c>
      <c r="D63" s="173" t="s">
        <v>470</v>
      </c>
      <c r="E63">
        <v>2</v>
      </c>
    </row>
    <row r="64" spans="1:5" hidden="1" x14ac:dyDescent="0.25">
      <c r="A64" s="173" t="s">
        <v>514</v>
      </c>
      <c r="B64">
        <v>10738</v>
      </c>
      <c r="C64" s="173" t="s">
        <v>506</v>
      </c>
      <c r="D64" s="173" t="s">
        <v>470</v>
      </c>
      <c r="E64">
        <v>4</v>
      </c>
    </row>
    <row r="65" spans="1:5" hidden="1" x14ac:dyDescent="0.25">
      <c r="A65" s="173" t="s">
        <v>514</v>
      </c>
      <c r="B65">
        <v>10738</v>
      </c>
      <c r="C65" s="173" t="s">
        <v>551</v>
      </c>
      <c r="D65" s="173" t="s">
        <v>470</v>
      </c>
      <c r="E65">
        <v>2</v>
      </c>
    </row>
    <row r="66" spans="1:5" hidden="1" x14ac:dyDescent="0.25">
      <c r="A66" s="173" t="s">
        <v>514</v>
      </c>
      <c r="B66">
        <v>10738</v>
      </c>
      <c r="C66" s="173" t="s">
        <v>552</v>
      </c>
      <c r="D66" s="173" t="s">
        <v>470</v>
      </c>
      <c r="E66">
        <v>2</v>
      </c>
    </row>
    <row r="67" spans="1:5" hidden="1" x14ac:dyDescent="0.25">
      <c r="A67" s="173" t="s">
        <v>514</v>
      </c>
      <c r="B67">
        <v>10738</v>
      </c>
      <c r="C67" s="173" t="s">
        <v>553</v>
      </c>
      <c r="D67" s="173" t="s">
        <v>470</v>
      </c>
      <c r="E67">
        <v>1</v>
      </c>
    </row>
    <row r="68" spans="1:5" hidden="1" x14ac:dyDescent="0.25">
      <c r="A68" s="173" t="s">
        <v>514</v>
      </c>
      <c r="B68">
        <v>10738</v>
      </c>
      <c r="C68" s="173" t="s">
        <v>554</v>
      </c>
      <c r="D68" s="173" t="s">
        <v>470</v>
      </c>
      <c r="E68">
        <v>3</v>
      </c>
    </row>
    <row r="69" spans="1:5" hidden="1" x14ac:dyDescent="0.25">
      <c r="A69" s="173" t="s">
        <v>514</v>
      </c>
      <c r="B69">
        <v>10738</v>
      </c>
      <c r="C69" s="173" t="s">
        <v>555</v>
      </c>
      <c r="D69" s="173" t="s">
        <v>470</v>
      </c>
      <c r="E69">
        <v>3</v>
      </c>
    </row>
    <row r="70" spans="1:5" hidden="1" x14ac:dyDescent="0.25">
      <c r="A70" s="173" t="s">
        <v>514</v>
      </c>
      <c r="B70">
        <v>10738</v>
      </c>
      <c r="C70" s="173" t="s">
        <v>556</v>
      </c>
      <c r="D70" s="173" t="s">
        <v>470</v>
      </c>
      <c r="E70">
        <v>3</v>
      </c>
    </row>
    <row r="71" spans="1:5" hidden="1" x14ac:dyDescent="0.25">
      <c r="A71" s="173" t="s">
        <v>514</v>
      </c>
      <c r="B71">
        <v>10738</v>
      </c>
      <c r="C71" s="173" t="s">
        <v>557</v>
      </c>
      <c r="D71" s="173" t="s">
        <v>470</v>
      </c>
      <c r="E71">
        <v>3</v>
      </c>
    </row>
    <row r="72" spans="1:5" hidden="1" x14ac:dyDescent="0.25">
      <c r="A72" s="173" t="s">
        <v>514</v>
      </c>
      <c r="B72">
        <v>10738</v>
      </c>
      <c r="C72" s="173" t="s">
        <v>558</v>
      </c>
      <c r="D72" s="173" t="s">
        <v>470</v>
      </c>
      <c r="E72">
        <v>2</v>
      </c>
    </row>
    <row r="73" spans="1:5" hidden="1" x14ac:dyDescent="0.25">
      <c r="A73" s="173" t="s">
        <v>514</v>
      </c>
      <c r="B73">
        <v>10738</v>
      </c>
      <c r="C73" s="173" t="s">
        <v>559</v>
      </c>
      <c r="D73" s="173" t="s">
        <v>470</v>
      </c>
      <c r="E73">
        <v>2</v>
      </c>
    </row>
    <row r="74" spans="1:5" hidden="1" x14ac:dyDescent="0.25">
      <c r="A74" s="173" t="s">
        <v>514</v>
      </c>
      <c r="B74">
        <v>10738</v>
      </c>
      <c r="C74" s="173" t="s">
        <v>513</v>
      </c>
      <c r="D74" s="173" t="s">
        <v>470</v>
      </c>
      <c r="E74">
        <v>2</v>
      </c>
    </row>
    <row r="75" spans="1:5" hidden="1" x14ac:dyDescent="0.25">
      <c r="A75" s="173" t="s">
        <v>514</v>
      </c>
      <c r="B75">
        <v>10738</v>
      </c>
      <c r="C75" s="173" t="s">
        <v>560</v>
      </c>
      <c r="D75" s="173" t="s">
        <v>517</v>
      </c>
      <c r="E75">
        <v>2</v>
      </c>
    </row>
    <row r="76" spans="1:5" hidden="1" x14ac:dyDescent="0.25">
      <c r="A76" s="173" t="s">
        <v>514</v>
      </c>
      <c r="B76">
        <v>10738</v>
      </c>
      <c r="C76" s="173" t="s">
        <v>560</v>
      </c>
      <c r="D76" s="173" t="s">
        <v>470</v>
      </c>
      <c r="E76">
        <v>1</v>
      </c>
    </row>
    <row r="77" spans="1:5" hidden="1" x14ac:dyDescent="0.25">
      <c r="A77" s="173" t="s">
        <v>514</v>
      </c>
      <c r="B77">
        <v>10738</v>
      </c>
      <c r="C77" s="173" t="s">
        <v>561</v>
      </c>
      <c r="D77" s="173" t="s">
        <v>470</v>
      </c>
      <c r="E77">
        <v>1</v>
      </c>
    </row>
    <row r="78" spans="1:5" hidden="1" x14ac:dyDescent="0.25">
      <c r="A78" s="173" t="s">
        <v>514</v>
      </c>
      <c r="B78">
        <v>10738</v>
      </c>
      <c r="C78" s="173" t="s">
        <v>561</v>
      </c>
      <c r="D78" s="173" t="s">
        <v>517</v>
      </c>
      <c r="E78">
        <v>2</v>
      </c>
    </row>
    <row r="79" spans="1:5" hidden="1" x14ac:dyDescent="0.25">
      <c r="A79" s="173" t="s">
        <v>514</v>
      </c>
      <c r="B79">
        <v>10738</v>
      </c>
      <c r="C79" s="173" t="s">
        <v>562</v>
      </c>
      <c r="D79" s="173" t="s">
        <v>470</v>
      </c>
      <c r="E79">
        <v>2</v>
      </c>
    </row>
    <row r="80" spans="1:5" hidden="1" x14ac:dyDescent="0.25">
      <c r="A80" s="173" t="s">
        <v>514</v>
      </c>
      <c r="B80">
        <v>10738</v>
      </c>
      <c r="C80" s="173" t="s">
        <v>563</v>
      </c>
      <c r="D80" s="173" t="s">
        <v>470</v>
      </c>
      <c r="E80">
        <v>2</v>
      </c>
    </row>
    <row r="81" spans="1:5" hidden="1" x14ac:dyDescent="0.25">
      <c r="A81" s="173" t="s">
        <v>514</v>
      </c>
      <c r="B81">
        <v>10738</v>
      </c>
      <c r="C81" s="173" t="s">
        <v>564</v>
      </c>
      <c r="D81" s="173" t="s">
        <v>470</v>
      </c>
      <c r="E81">
        <v>4</v>
      </c>
    </row>
    <row r="82" spans="1:5" hidden="1" x14ac:dyDescent="0.25">
      <c r="A82" s="173" t="s">
        <v>514</v>
      </c>
      <c r="B82">
        <v>10738</v>
      </c>
      <c r="C82" s="173" t="s">
        <v>565</v>
      </c>
      <c r="D82" s="173" t="s">
        <v>470</v>
      </c>
      <c r="E82">
        <v>4</v>
      </c>
    </row>
    <row r="83" spans="1:5" hidden="1" x14ac:dyDescent="0.25">
      <c r="A83" s="173" t="s">
        <v>514</v>
      </c>
      <c r="B83">
        <v>10738</v>
      </c>
      <c r="C83" s="173" t="s">
        <v>566</v>
      </c>
      <c r="D83" s="173" t="s">
        <v>470</v>
      </c>
      <c r="E83">
        <v>3</v>
      </c>
    </row>
    <row r="84" spans="1:5" hidden="1" x14ac:dyDescent="0.25">
      <c r="A84" s="173" t="s">
        <v>514</v>
      </c>
      <c r="B84">
        <v>10738</v>
      </c>
      <c r="C84" s="173" t="s">
        <v>567</v>
      </c>
      <c r="D84" s="173" t="s">
        <v>470</v>
      </c>
      <c r="E84">
        <v>3</v>
      </c>
    </row>
    <row r="85" spans="1:5" hidden="1" x14ac:dyDescent="0.25">
      <c r="A85" s="173" t="s">
        <v>514</v>
      </c>
      <c r="B85">
        <v>10738</v>
      </c>
      <c r="C85" s="173" t="s">
        <v>568</v>
      </c>
      <c r="D85" s="173" t="s">
        <v>470</v>
      </c>
      <c r="E85">
        <v>3</v>
      </c>
    </row>
    <row r="86" spans="1:5" hidden="1" x14ac:dyDescent="0.25">
      <c r="A86" s="173" t="s">
        <v>514</v>
      </c>
      <c r="B86">
        <v>10738</v>
      </c>
      <c r="C86" s="173" t="s">
        <v>569</v>
      </c>
      <c r="D86" s="173" t="s">
        <v>470</v>
      </c>
      <c r="E86">
        <v>2</v>
      </c>
    </row>
    <row r="87" spans="1:5" hidden="1" x14ac:dyDescent="0.25">
      <c r="A87" s="173" t="s">
        <v>514</v>
      </c>
      <c r="B87">
        <v>10738</v>
      </c>
      <c r="C87" s="173" t="s">
        <v>569</v>
      </c>
      <c r="D87" s="173" t="s">
        <v>470</v>
      </c>
      <c r="E87">
        <v>5</v>
      </c>
    </row>
    <row r="88" spans="1:5" hidden="1" x14ac:dyDescent="0.25">
      <c r="A88" s="173" t="s">
        <v>514</v>
      </c>
      <c r="B88">
        <v>10738</v>
      </c>
      <c r="C88" s="173" t="s">
        <v>570</v>
      </c>
      <c r="D88" s="173" t="s">
        <v>470</v>
      </c>
      <c r="E88">
        <v>2</v>
      </c>
    </row>
    <row r="89" spans="1:5" hidden="1" x14ac:dyDescent="0.25">
      <c r="A89" s="173" t="s">
        <v>514</v>
      </c>
      <c r="B89">
        <v>10738</v>
      </c>
      <c r="C89" s="173" t="s">
        <v>570</v>
      </c>
      <c r="D89" s="173" t="s">
        <v>470</v>
      </c>
      <c r="E89">
        <v>6</v>
      </c>
    </row>
    <row r="90" spans="1:5" hidden="1" x14ac:dyDescent="0.25">
      <c r="A90" s="173" t="s">
        <v>514</v>
      </c>
      <c r="B90">
        <v>10738</v>
      </c>
      <c r="C90" s="173" t="s">
        <v>571</v>
      </c>
      <c r="D90" s="173" t="s">
        <v>470</v>
      </c>
      <c r="E90">
        <v>4</v>
      </c>
    </row>
    <row r="91" spans="1:5" hidden="1" x14ac:dyDescent="0.25">
      <c r="A91" s="173" t="s">
        <v>514</v>
      </c>
      <c r="B91">
        <v>10738</v>
      </c>
      <c r="C91" s="173" t="s">
        <v>572</v>
      </c>
      <c r="D91" s="173" t="s">
        <v>470</v>
      </c>
      <c r="E91">
        <v>4</v>
      </c>
    </row>
    <row r="92" spans="1:5" hidden="1" x14ac:dyDescent="0.25">
      <c r="A92" s="173" t="s">
        <v>514</v>
      </c>
      <c r="B92">
        <v>10738</v>
      </c>
      <c r="C92" s="173" t="s">
        <v>573</v>
      </c>
      <c r="D92" s="173" t="s">
        <v>470</v>
      </c>
      <c r="E92">
        <v>4</v>
      </c>
    </row>
    <row r="93" spans="1:5" hidden="1" x14ac:dyDescent="0.25">
      <c r="A93" s="173" t="s">
        <v>514</v>
      </c>
      <c r="B93">
        <v>10738</v>
      </c>
      <c r="C93" s="173" t="s">
        <v>574</v>
      </c>
      <c r="D93" s="173" t="s">
        <v>470</v>
      </c>
      <c r="E93">
        <v>5</v>
      </c>
    </row>
    <row r="94" spans="1:5" hidden="1" x14ac:dyDescent="0.25">
      <c r="A94" s="173" t="s">
        <v>514</v>
      </c>
      <c r="B94">
        <v>10738</v>
      </c>
      <c r="C94" s="173" t="s">
        <v>575</v>
      </c>
      <c r="D94" s="173" t="s">
        <v>470</v>
      </c>
      <c r="E94">
        <v>4</v>
      </c>
    </row>
    <row r="95" spans="1:5" hidden="1" x14ac:dyDescent="0.25">
      <c r="A95" s="173" t="s">
        <v>514</v>
      </c>
      <c r="B95">
        <v>10738</v>
      </c>
      <c r="C95" s="173" t="s">
        <v>576</v>
      </c>
      <c r="D95" s="173" t="s">
        <v>470</v>
      </c>
      <c r="E95">
        <v>5</v>
      </c>
    </row>
    <row r="96" spans="1:5" hidden="1" x14ac:dyDescent="0.25">
      <c r="A96" s="173" t="s">
        <v>514</v>
      </c>
      <c r="B96">
        <v>10738</v>
      </c>
      <c r="C96" s="173" t="s">
        <v>577</v>
      </c>
      <c r="D96" s="173" t="s">
        <v>470</v>
      </c>
      <c r="E96">
        <v>5</v>
      </c>
    </row>
    <row r="97" spans="1:5" hidden="1" x14ac:dyDescent="0.25">
      <c r="A97" s="173" t="s">
        <v>514</v>
      </c>
      <c r="B97">
        <v>10738</v>
      </c>
      <c r="C97" s="173" t="s">
        <v>578</v>
      </c>
      <c r="D97" s="173" t="s">
        <v>470</v>
      </c>
      <c r="E97">
        <v>6</v>
      </c>
    </row>
    <row r="98" spans="1:5" hidden="1" x14ac:dyDescent="0.25">
      <c r="A98" s="173" t="s">
        <v>514</v>
      </c>
      <c r="B98">
        <v>10738</v>
      </c>
      <c r="C98" s="173" t="s">
        <v>579</v>
      </c>
      <c r="D98" s="173" t="s">
        <v>470</v>
      </c>
      <c r="E98">
        <v>6</v>
      </c>
    </row>
    <row r="99" spans="1:5" hidden="1" x14ac:dyDescent="0.25">
      <c r="A99" s="173" t="s">
        <v>514</v>
      </c>
      <c r="B99">
        <v>10738</v>
      </c>
      <c r="C99" s="173" t="s">
        <v>580</v>
      </c>
      <c r="D99" s="173" t="s">
        <v>470</v>
      </c>
      <c r="E99">
        <v>2</v>
      </c>
    </row>
    <row r="100" spans="1:5" hidden="1" x14ac:dyDescent="0.25">
      <c r="A100" s="173" t="s">
        <v>514</v>
      </c>
      <c r="B100">
        <v>10738</v>
      </c>
      <c r="C100" s="173" t="s">
        <v>580</v>
      </c>
      <c r="D100" s="173" t="s">
        <v>470</v>
      </c>
      <c r="E100">
        <v>7</v>
      </c>
    </row>
    <row r="101" spans="1:5" hidden="1" x14ac:dyDescent="0.25">
      <c r="A101" s="173" t="s">
        <v>514</v>
      </c>
      <c r="B101">
        <v>10738</v>
      </c>
      <c r="C101" s="173" t="s">
        <v>581</v>
      </c>
      <c r="D101" s="173" t="s">
        <v>470</v>
      </c>
      <c r="E101">
        <v>2</v>
      </c>
    </row>
    <row r="102" spans="1:5" hidden="1" x14ac:dyDescent="0.25">
      <c r="A102" s="173" t="s">
        <v>514</v>
      </c>
      <c r="B102">
        <v>10738</v>
      </c>
      <c r="C102" s="173" t="s">
        <v>581</v>
      </c>
      <c r="D102" s="173" t="s">
        <v>470</v>
      </c>
      <c r="E102">
        <v>7</v>
      </c>
    </row>
    <row r="103" spans="1:5" hidden="1" x14ac:dyDescent="0.25">
      <c r="A103" s="173" t="s">
        <v>514</v>
      </c>
      <c r="B103">
        <v>10738</v>
      </c>
      <c r="C103" s="173" t="s">
        <v>582</v>
      </c>
      <c r="D103" s="173" t="s">
        <v>470</v>
      </c>
      <c r="E103">
        <v>9</v>
      </c>
    </row>
    <row r="104" spans="1:5" hidden="1" x14ac:dyDescent="0.25">
      <c r="A104" s="173" t="s">
        <v>514</v>
      </c>
      <c r="B104">
        <v>10738</v>
      </c>
      <c r="C104" s="173" t="s">
        <v>583</v>
      </c>
      <c r="D104" s="173" t="s">
        <v>470</v>
      </c>
      <c r="E104">
        <v>9</v>
      </c>
    </row>
    <row r="105" spans="1:5" hidden="1" x14ac:dyDescent="0.25">
      <c r="A105" s="173" t="s">
        <v>514</v>
      </c>
      <c r="B105">
        <v>10738</v>
      </c>
      <c r="C105" s="173" t="s">
        <v>584</v>
      </c>
      <c r="D105" s="173" t="s">
        <v>470</v>
      </c>
      <c r="E105">
        <v>9</v>
      </c>
    </row>
    <row r="106" spans="1:5" hidden="1" x14ac:dyDescent="0.25">
      <c r="A106" s="173" t="s">
        <v>514</v>
      </c>
      <c r="B106">
        <v>10738</v>
      </c>
      <c r="C106" s="173" t="s">
        <v>585</v>
      </c>
      <c r="D106" s="173" t="s">
        <v>470</v>
      </c>
      <c r="E106">
        <v>6</v>
      </c>
    </row>
    <row r="107" spans="1:5" hidden="1" x14ac:dyDescent="0.25">
      <c r="A107" s="173" t="s">
        <v>514</v>
      </c>
      <c r="B107">
        <v>10738</v>
      </c>
      <c r="C107" s="173" t="s">
        <v>586</v>
      </c>
      <c r="D107" s="173" t="s">
        <v>470</v>
      </c>
      <c r="E107">
        <v>6</v>
      </c>
    </row>
    <row r="108" spans="1:5" hidden="1" x14ac:dyDescent="0.25">
      <c r="A108" s="173" t="s">
        <v>514</v>
      </c>
      <c r="B108">
        <v>10738</v>
      </c>
      <c r="C108" s="173" t="s">
        <v>587</v>
      </c>
      <c r="D108" s="173" t="s">
        <v>470</v>
      </c>
      <c r="E108">
        <v>6</v>
      </c>
    </row>
    <row r="109" spans="1:5" hidden="1" x14ac:dyDescent="0.25">
      <c r="A109" s="173" t="s">
        <v>514</v>
      </c>
      <c r="B109">
        <v>10738</v>
      </c>
      <c r="C109" s="173" t="s">
        <v>588</v>
      </c>
      <c r="D109" s="173" t="s">
        <v>470</v>
      </c>
      <c r="E109">
        <v>7</v>
      </c>
    </row>
    <row r="110" spans="1:5" hidden="1" x14ac:dyDescent="0.25">
      <c r="A110" s="173" t="s">
        <v>514</v>
      </c>
      <c r="B110">
        <v>10738</v>
      </c>
      <c r="C110" s="173" t="s">
        <v>589</v>
      </c>
      <c r="D110" s="173" t="s">
        <v>470</v>
      </c>
      <c r="E110">
        <v>7</v>
      </c>
    </row>
    <row r="111" spans="1:5" hidden="1" x14ac:dyDescent="0.25">
      <c r="A111" s="173" t="s">
        <v>514</v>
      </c>
      <c r="B111">
        <v>10738</v>
      </c>
      <c r="C111" s="173" t="s">
        <v>590</v>
      </c>
      <c r="D111" s="173" t="s">
        <v>470</v>
      </c>
      <c r="E111">
        <v>4</v>
      </c>
    </row>
    <row r="112" spans="1:5" hidden="1" x14ac:dyDescent="0.25">
      <c r="A112" s="173" t="s">
        <v>514</v>
      </c>
      <c r="B112">
        <v>10738</v>
      </c>
      <c r="C112" s="173" t="s">
        <v>591</v>
      </c>
      <c r="D112" s="173" t="s">
        <v>470</v>
      </c>
      <c r="E112">
        <v>5</v>
      </c>
    </row>
    <row r="113" spans="1:5" hidden="1" x14ac:dyDescent="0.25">
      <c r="A113" s="173" t="s">
        <v>514</v>
      </c>
      <c r="B113">
        <v>10738</v>
      </c>
      <c r="C113" s="173" t="s">
        <v>592</v>
      </c>
      <c r="D113" s="173" t="s">
        <v>470</v>
      </c>
      <c r="E113">
        <v>4</v>
      </c>
    </row>
    <row r="114" spans="1:5" hidden="1" x14ac:dyDescent="0.25">
      <c r="A114" s="173" t="s">
        <v>514</v>
      </c>
      <c r="B114">
        <v>10738</v>
      </c>
      <c r="C114" s="173" t="s">
        <v>592</v>
      </c>
      <c r="D114" s="173" t="s">
        <v>470</v>
      </c>
      <c r="E114">
        <v>2</v>
      </c>
    </row>
    <row r="115" spans="1:5" hidden="1" x14ac:dyDescent="0.25">
      <c r="A115" s="173" t="s">
        <v>514</v>
      </c>
      <c r="B115">
        <v>10738</v>
      </c>
      <c r="C115" s="173" t="s">
        <v>593</v>
      </c>
      <c r="D115" s="173" t="s">
        <v>470</v>
      </c>
      <c r="E115">
        <v>5</v>
      </c>
    </row>
    <row r="116" spans="1:5" hidden="1" x14ac:dyDescent="0.25">
      <c r="A116" s="173" t="s">
        <v>514</v>
      </c>
      <c r="B116">
        <v>10738</v>
      </c>
      <c r="C116" s="173" t="s">
        <v>594</v>
      </c>
      <c r="D116" s="173" t="s">
        <v>470</v>
      </c>
      <c r="E116">
        <v>5</v>
      </c>
    </row>
    <row r="117" spans="1:5" hidden="1" x14ac:dyDescent="0.25">
      <c r="A117" s="173" t="s">
        <v>514</v>
      </c>
      <c r="B117">
        <v>10738</v>
      </c>
      <c r="C117" s="173" t="s">
        <v>595</v>
      </c>
      <c r="D117" s="173" t="s">
        <v>470</v>
      </c>
      <c r="E117">
        <v>5</v>
      </c>
    </row>
    <row r="118" spans="1:5" hidden="1" x14ac:dyDescent="0.25">
      <c r="A118" s="173" t="s">
        <v>514</v>
      </c>
      <c r="B118">
        <v>10738</v>
      </c>
      <c r="C118" s="173" t="s">
        <v>596</v>
      </c>
      <c r="D118" s="173" t="s">
        <v>470</v>
      </c>
      <c r="E118">
        <v>4</v>
      </c>
    </row>
    <row r="119" spans="1:5" hidden="1" x14ac:dyDescent="0.25">
      <c r="A119" s="173" t="s">
        <v>514</v>
      </c>
      <c r="B119">
        <v>10738</v>
      </c>
      <c r="C119" s="173" t="s">
        <v>597</v>
      </c>
      <c r="D119" s="173" t="s">
        <v>470</v>
      </c>
      <c r="E119">
        <v>6</v>
      </c>
    </row>
    <row r="120" spans="1:5" hidden="1" x14ac:dyDescent="0.25">
      <c r="A120" s="173" t="s">
        <v>514</v>
      </c>
      <c r="B120">
        <v>10738</v>
      </c>
      <c r="C120" s="173" t="s">
        <v>598</v>
      </c>
      <c r="D120" s="173" t="s">
        <v>470</v>
      </c>
      <c r="E120">
        <v>5</v>
      </c>
    </row>
    <row r="121" spans="1:5" hidden="1" x14ac:dyDescent="0.25">
      <c r="A121" s="173" t="s">
        <v>514</v>
      </c>
      <c r="B121">
        <v>10738</v>
      </c>
      <c r="C121" s="173" t="s">
        <v>599</v>
      </c>
      <c r="D121" s="173" t="s">
        <v>470</v>
      </c>
      <c r="E121">
        <v>5</v>
      </c>
    </row>
    <row r="122" spans="1:5" hidden="1" x14ac:dyDescent="0.25">
      <c r="A122" s="173" t="s">
        <v>514</v>
      </c>
      <c r="B122">
        <v>10738</v>
      </c>
      <c r="C122" s="173" t="s">
        <v>600</v>
      </c>
      <c r="D122" s="173" t="s">
        <v>470</v>
      </c>
      <c r="E122">
        <v>5</v>
      </c>
    </row>
    <row r="123" spans="1:5" hidden="1" x14ac:dyDescent="0.25">
      <c r="A123" s="173" t="s">
        <v>514</v>
      </c>
      <c r="B123">
        <v>10738</v>
      </c>
      <c r="C123" s="173" t="s">
        <v>601</v>
      </c>
      <c r="D123" s="173" t="s">
        <v>470</v>
      </c>
      <c r="E123">
        <v>3</v>
      </c>
    </row>
    <row r="124" spans="1:5" hidden="1" x14ac:dyDescent="0.25">
      <c r="A124" s="173" t="s">
        <v>514</v>
      </c>
      <c r="B124">
        <v>10738</v>
      </c>
      <c r="C124" s="173" t="s">
        <v>602</v>
      </c>
      <c r="D124" s="173" t="s">
        <v>470</v>
      </c>
      <c r="E124">
        <v>3</v>
      </c>
    </row>
    <row r="125" spans="1:5" hidden="1" x14ac:dyDescent="0.25">
      <c r="A125" s="173" t="s">
        <v>514</v>
      </c>
      <c r="B125">
        <v>10738</v>
      </c>
      <c r="C125" s="173" t="s">
        <v>603</v>
      </c>
      <c r="D125" s="173" t="s">
        <v>470</v>
      </c>
      <c r="E125">
        <v>3</v>
      </c>
    </row>
    <row r="126" spans="1:5" hidden="1" x14ac:dyDescent="0.25">
      <c r="A126" s="173" t="s">
        <v>514</v>
      </c>
      <c r="B126">
        <v>10738</v>
      </c>
      <c r="C126" s="173" t="s">
        <v>604</v>
      </c>
      <c r="D126" s="173" t="s">
        <v>470</v>
      </c>
      <c r="E126">
        <v>2</v>
      </c>
    </row>
    <row r="127" spans="1:5" hidden="1" x14ac:dyDescent="0.25">
      <c r="A127" s="173" t="s">
        <v>514</v>
      </c>
      <c r="B127">
        <v>10738</v>
      </c>
      <c r="C127" s="173" t="s">
        <v>605</v>
      </c>
      <c r="D127" s="173" t="s">
        <v>470</v>
      </c>
      <c r="E127">
        <v>2</v>
      </c>
    </row>
    <row r="128" spans="1:5" hidden="1" x14ac:dyDescent="0.25">
      <c r="A128" s="173" t="s">
        <v>514</v>
      </c>
      <c r="B128">
        <v>10738</v>
      </c>
      <c r="C128" s="173" t="s">
        <v>606</v>
      </c>
      <c r="D128" s="173" t="s">
        <v>470</v>
      </c>
      <c r="E128">
        <v>5</v>
      </c>
    </row>
    <row r="129" spans="1:5" hidden="1" x14ac:dyDescent="0.25">
      <c r="A129" s="173" t="s">
        <v>514</v>
      </c>
      <c r="B129">
        <v>10738</v>
      </c>
      <c r="C129" s="173" t="s">
        <v>607</v>
      </c>
      <c r="D129" s="173" t="s">
        <v>470</v>
      </c>
      <c r="E129">
        <v>4</v>
      </c>
    </row>
    <row r="130" spans="1:5" hidden="1" x14ac:dyDescent="0.25">
      <c r="A130" s="173" t="s">
        <v>514</v>
      </c>
      <c r="B130">
        <v>10738</v>
      </c>
      <c r="C130" s="173" t="s">
        <v>608</v>
      </c>
      <c r="D130" s="173" t="s">
        <v>470</v>
      </c>
      <c r="E130">
        <v>4</v>
      </c>
    </row>
    <row r="131" spans="1:5" hidden="1" x14ac:dyDescent="0.25">
      <c r="A131" s="173" t="s">
        <v>514</v>
      </c>
      <c r="B131">
        <v>10738</v>
      </c>
      <c r="C131" s="173" t="s">
        <v>609</v>
      </c>
      <c r="D131" s="173" t="s">
        <v>470</v>
      </c>
      <c r="E131">
        <v>4</v>
      </c>
    </row>
    <row r="132" spans="1:5" hidden="1" x14ac:dyDescent="0.25">
      <c r="A132" s="173" t="s">
        <v>514</v>
      </c>
      <c r="B132">
        <v>10738</v>
      </c>
      <c r="C132" s="173" t="s">
        <v>610</v>
      </c>
      <c r="D132" s="173" t="s">
        <v>470</v>
      </c>
      <c r="E132">
        <v>5</v>
      </c>
    </row>
    <row r="133" spans="1:5" hidden="1" x14ac:dyDescent="0.25">
      <c r="A133" s="173" t="s">
        <v>514</v>
      </c>
      <c r="B133">
        <v>10738</v>
      </c>
      <c r="C133" s="173" t="s">
        <v>611</v>
      </c>
      <c r="D133" s="173" t="s">
        <v>470</v>
      </c>
      <c r="E133">
        <v>6</v>
      </c>
    </row>
    <row r="134" spans="1:5" hidden="1" x14ac:dyDescent="0.25">
      <c r="A134" s="173" t="s">
        <v>514</v>
      </c>
      <c r="B134">
        <v>10738</v>
      </c>
      <c r="C134" s="173" t="s">
        <v>612</v>
      </c>
      <c r="D134" s="173" t="s">
        <v>470</v>
      </c>
      <c r="E134">
        <v>7</v>
      </c>
    </row>
    <row r="135" spans="1:5" hidden="1" x14ac:dyDescent="0.25">
      <c r="A135" s="173" t="s">
        <v>514</v>
      </c>
      <c r="B135">
        <v>10738</v>
      </c>
      <c r="C135" s="173" t="s">
        <v>613</v>
      </c>
      <c r="D135" s="173" t="s">
        <v>470</v>
      </c>
      <c r="E135">
        <v>6</v>
      </c>
    </row>
    <row r="136" spans="1:5" hidden="1" x14ac:dyDescent="0.25">
      <c r="A136" s="173" t="s">
        <v>514</v>
      </c>
      <c r="B136">
        <v>10808</v>
      </c>
      <c r="C136" s="173" t="s">
        <v>515</v>
      </c>
      <c r="D136" s="173" t="s">
        <v>470</v>
      </c>
      <c r="E136">
        <v>2</v>
      </c>
    </row>
    <row r="137" spans="1:5" hidden="1" x14ac:dyDescent="0.25">
      <c r="A137" s="173" t="s">
        <v>514</v>
      </c>
      <c r="B137">
        <v>10808</v>
      </c>
      <c r="C137" s="173" t="s">
        <v>614</v>
      </c>
      <c r="D137" s="173" t="s">
        <v>470</v>
      </c>
      <c r="E137">
        <v>3</v>
      </c>
    </row>
    <row r="138" spans="1:5" hidden="1" x14ac:dyDescent="0.25">
      <c r="A138" s="173" t="s">
        <v>514</v>
      </c>
      <c r="B138">
        <v>10808</v>
      </c>
      <c r="C138" s="173" t="s">
        <v>516</v>
      </c>
      <c r="D138" s="173" t="s">
        <v>470</v>
      </c>
      <c r="E138">
        <v>2</v>
      </c>
    </row>
    <row r="139" spans="1:5" hidden="1" x14ac:dyDescent="0.25">
      <c r="A139" s="173" t="s">
        <v>514</v>
      </c>
      <c r="B139">
        <v>10808</v>
      </c>
      <c r="C139" s="173" t="s">
        <v>615</v>
      </c>
      <c r="D139" s="173" t="s">
        <v>470</v>
      </c>
      <c r="E139">
        <v>2</v>
      </c>
    </row>
    <row r="140" spans="1:5" hidden="1" x14ac:dyDescent="0.25">
      <c r="A140" s="173" t="s">
        <v>514</v>
      </c>
      <c r="B140">
        <v>10808</v>
      </c>
      <c r="C140" s="173" t="s">
        <v>616</v>
      </c>
      <c r="D140" s="173" t="s">
        <v>470</v>
      </c>
      <c r="E140">
        <v>2</v>
      </c>
    </row>
    <row r="141" spans="1:5" hidden="1" x14ac:dyDescent="0.25">
      <c r="A141" s="173" t="s">
        <v>514</v>
      </c>
      <c r="B141">
        <v>10808</v>
      </c>
      <c r="C141" s="173" t="s">
        <v>518</v>
      </c>
      <c r="D141" s="173" t="s">
        <v>470</v>
      </c>
      <c r="E141">
        <v>1</v>
      </c>
    </row>
    <row r="142" spans="1:5" hidden="1" x14ac:dyDescent="0.25">
      <c r="A142" s="173" t="s">
        <v>514</v>
      </c>
      <c r="B142">
        <v>10808</v>
      </c>
      <c r="C142" s="173" t="s">
        <v>484</v>
      </c>
      <c r="D142" s="173" t="s">
        <v>517</v>
      </c>
      <c r="E142">
        <v>3</v>
      </c>
    </row>
    <row r="143" spans="1:5" hidden="1" x14ac:dyDescent="0.25">
      <c r="A143" s="173" t="s">
        <v>514</v>
      </c>
      <c r="B143">
        <v>10808</v>
      </c>
      <c r="C143" s="173" t="s">
        <v>617</v>
      </c>
      <c r="D143" s="173" t="s">
        <v>470</v>
      </c>
      <c r="E143">
        <v>2</v>
      </c>
    </row>
    <row r="144" spans="1:5" hidden="1" x14ac:dyDescent="0.25">
      <c r="A144" s="173" t="s">
        <v>514</v>
      </c>
      <c r="B144">
        <v>10808</v>
      </c>
      <c r="C144" s="173" t="s">
        <v>520</v>
      </c>
      <c r="D144" s="173" t="s">
        <v>517</v>
      </c>
      <c r="E144">
        <v>2</v>
      </c>
    </row>
    <row r="145" spans="1:5" hidden="1" x14ac:dyDescent="0.25">
      <c r="A145" s="173" t="s">
        <v>514</v>
      </c>
      <c r="B145">
        <v>10808</v>
      </c>
      <c r="C145" s="173" t="s">
        <v>522</v>
      </c>
      <c r="D145" s="173" t="s">
        <v>517</v>
      </c>
      <c r="E145">
        <v>2</v>
      </c>
    </row>
    <row r="146" spans="1:5" hidden="1" x14ac:dyDescent="0.25">
      <c r="A146" s="173" t="s">
        <v>514</v>
      </c>
      <c r="B146">
        <v>10808</v>
      </c>
      <c r="C146" s="173" t="s">
        <v>523</v>
      </c>
      <c r="D146" s="173" t="s">
        <v>470</v>
      </c>
      <c r="E146">
        <v>2</v>
      </c>
    </row>
    <row r="147" spans="1:5" hidden="1" x14ac:dyDescent="0.25">
      <c r="A147" s="173" t="s">
        <v>514</v>
      </c>
      <c r="B147">
        <v>10808</v>
      </c>
      <c r="C147" s="173" t="s">
        <v>618</v>
      </c>
      <c r="D147" s="173" t="s">
        <v>470</v>
      </c>
      <c r="E147">
        <v>2</v>
      </c>
    </row>
    <row r="148" spans="1:5" hidden="1" x14ac:dyDescent="0.25">
      <c r="A148" s="173" t="s">
        <v>514</v>
      </c>
      <c r="B148">
        <v>10808</v>
      </c>
      <c r="C148" s="173" t="s">
        <v>619</v>
      </c>
      <c r="D148" s="173" t="s">
        <v>470</v>
      </c>
      <c r="E148">
        <v>3</v>
      </c>
    </row>
    <row r="149" spans="1:5" hidden="1" x14ac:dyDescent="0.25">
      <c r="A149" s="173" t="s">
        <v>514</v>
      </c>
      <c r="B149">
        <v>10808</v>
      </c>
      <c r="C149" s="173" t="s">
        <v>524</v>
      </c>
      <c r="D149" s="173" t="s">
        <v>517</v>
      </c>
      <c r="E149">
        <v>3</v>
      </c>
    </row>
    <row r="150" spans="1:5" hidden="1" x14ac:dyDescent="0.25">
      <c r="A150" s="173" t="s">
        <v>514</v>
      </c>
      <c r="B150">
        <v>10808</v>
      </c>
      <c r="C150" s="173" t="s">
        <v>620</v>
      </c>
      <c r="D150" s="173" t="s">
        <v>470</v>
      </c>
      <c r="E150">
        <v>2</v>
      </c>
    </row>
    <row r="151" spans="1:5" hidden="1" x14ac:dyDescent="0.25">
      <c r="A151" s="173" t="s">
        <v>514</v>
      </c>
      <c r="B151">
        <v>10808</v>
      </c>
      <c r="C151" s="173" t="s">
        <v>621</v>
      </c>
      <c r="D151" s="173" t="s">
        <v>470</v>
      </c>
      <c r="E151">
        <v>2</v>
      </c>
    </row>
    <row r="152" spans="1:5" hidden="1" x14ac:dyDescent="0.25">
      <c r="A152" s="173" t="s">
        <v>514</v>
      </c>
      <c r="B152">
        <v>10808</v>
      </c>
      <c r="C152" s="173" t="s">
        <v>622</v>
      </c>
      <c r="D152" s="173" t="s">
        <v>470</v>
      </c>
      <c r="E152">
        <v>2</v>
      </c>
    </row>
    <row r="153" spans="1:5" hidden="1" x14ac:dyDescent="0.25">
      <c r="A153" s="173" t="s">
        <v>514</v>
      </c>
      <c r="B153">
        <v>10808</v>
      </c>
      <c r="C153" s="173" t="s">
        <v>623</v>
      </c>
      <c r="D153" s="173" t="s">
        <v>470</v>
      </c>
      <c r="E153">
        <v>2</v>
      </c>
    </row>
    <row r="154" spans="1:5" hidden="1" x14ac:dyDescent="0.25">
      <c r="A154" s="173" t="s">
        <v>514</v>
      </c>
      <c r="B154">
        <v>10808</v>
      </c>
      <c r="C154" s="173" t="s">
        <v>492</v>
      </c>
      <c r="D154" s="173" t="s">
        <v>470</v>
      </c>
      <c r="E154">
        <v>2</v>
      </c>
    </row>
    <row r="155" spans="1:5" hidden="1" x14ac:dyDescent="0.25">
      <c r="A155" s="173" t="s">
        <v>514</v>
      </c>
      <c r="B155">
        <v>10808</v>
      </c>
      <c r="C155" s="173" t="s">
        <v>529</v>
      </c>
      <c r="D155" s="173" t="s">
        <v>470</v>
      </c>
      <c r="E155">
        <v>2</v>
      </c>
    </row>
    <row r="156" spans="1:5" hidden="1" x14ac:dyDescent="0.25">
      <c r="A156" s="173" t="s">
        <v>514</v>
      </c>
      <c r="B156">
        <v>10808</v>
      </c>
      <c r="C156" s="173" t="s">
        <v>493</v>
      </c>
      <c r="D156" s="173" t="s">
        <v>470</v>
      </c>
      <c r="E156">
        <v>2</v>
      </c>
    </row>
    <row r="157" spans="1:5" hidden="1" x14ac:dyDescent="0.25">
      <c r="A157" s="173" t="s">
        <v>514</v>
      </c>
      <c r="B157">
        <v>10808</v>
      </c>
      <c r="C157" s="173" t="s">
        <v>624</v>
      </c>
      <c r="D157" s="173" t="s">
        <v>470</v>
      </c>
      <c r="E157">
        <v>2</v>
      </c>
    </row>
    <row r="158" spans="1:5" hidden="1" x14ac:dyDescent="0.25">
      <c r="A158" s="173" t="s">
        <v>514</v>
      </c>
      <c r="B158">
        <v>10808</v>
      </c>
      <c r="C158" s="173" t="s">
        <v>496</v>
      </c>
      <c r="D158" s="173" t="s">
        <v>470</v>
      </c>
      <c r="E158">
        <v>2</v>
      </c>
    </row>
    <row r="159" spans="1:5" hidden="1" x14ac:dyDescent="0.25">
      <c r="A159" s="173" t="s">
        <v>514</v>
      </c>
      <c r="B159">
        <v>10808</v>
      </c>
      <c r="C159" s="173" t="s">
        <v>625</v>
      </c>
      <c r="D159" s="173" t="s">
        <v>517</v>
      </c>
      <c r="E159">
        <v>2</v>
      </c>
    </row>
    <row r="160" spans="1:5" hidden="1" x14ac:dyDescent="0.25">
      <c r="A160" s="173" t="s">
        <v>514</v>
      </c>
      <c r="B160">
        <v>10808</v>
      </c>
      <c r="C160" s="173" t="s">
        <v>533</v>
      </c>
      <c r="D160" s="173" t="s">
        <v>517</v>
      </c>
      <c r="E160">
        <v>2</v>
      </c>
    </row>
    <row r="161" spans="1:5" hidden="1" x14ac:dyDescent="0.25">
      <c r="A161" s="173" t="s">
        <v>514</v>
      </c>
      <c r="B161">
        <v>10808</v>
      </c>
      <c r="C161" s="173" t="s">
        <v>534</v>
      </c>
      <c r="D161" s="173" t="s">
        <v>470</v>
      </c>
      <c r="E161">
        <v>2</v>
      </c>
    </row>
    <row r="162" spans="1:5" hidden="1" x14ac:dyDescent="0.25">
      <c r="A162" s="173" t="s">
        <v>514</v>
      </c>
      <c r="B162">
        <v>10808</v>
      </c>
      <c r="C162" s="173" t="s">
        <v>626</v>
      </c>
      <c r="D162" s="173" t="s">
        <v>470</v>
      </c>
      <c r="E162">
        <v>2</v>
      </c>
    </row>
    <row r="163" spans="1:5" hidden="1" x14ac:dyDescent="0.25">
      <c r="A163" s="173" t="s">
        <v>514</v>
      </c>
      <c r="B163">
        <v>10808</v>
      </c>
      <c r="C163" s="173" t="s">
        <v>627</v>
      </c>
      <c r="D163" s="173" t="s">
        <v>470</v>
      </c>
      <c r="E163">
        <v>2</v>
      </c>
    </row>
    <row r="164" spans="1:5" hidden="1" x14ac:dyDescent="0.25">
      <c r="A164" s="173" t="s">
        <v>514</v>
      </c>
      <c r="B164">
        <v>10808</v>
      </c>
      <c r="C164" s="173" t="s">
        <v>628</v>
      </c>
      <c r="D164" s="173" t="s">
        <v>470</v>
      </c>
      <c r="E164">
        <v>2</v>
      </c>
    </row>
    <row r="165" spans="1:5" hidden="1" x14ac:dyDescent="0.25">
      <c r="A165" s="173" t="s">
        <v>514</v>
      </c>
      <c r="B165">
        <v>10808</v>
      </c>
      <c r="C165" s="173" t="s">
        <v>535</v>
      </c>
      <c r="D165" s="173" t="s">
        <v>517</v>
      </c>
      <c r="E165">
        <v>2</v>
      </c>
    </row>
    <row r="166" spans="1:5" hidden="1" x14ac:dyDescent="0.25">
      <c r="A166" s="173" t="s">
        <v>514</v>
      </c>
      <c r="B166">
        <v>10808</v>
      </c>
      <c r="C166" s="173" t="s">
        <v>629</v>
      </c>
      <c r="D166" s="173" t="s">
        <v>470</v>
      </c>
      <c r="E166">
        <v>3</v>
      </c>
    </row>
    <row r="167" spans="1:5" hidden="1" x14ac:dyDescent="0.25">
      <c r="A167" s="173" t="s">
        <v>514</v>
      </c>
      <c r="B167">
        <v>10808</v>
      </c>
      <c r="C167" s="173" t="s">
        <v>536</v>
      </c>
      <c r="D167" s="173" t="s">
        <v>470</v>
      </c>
      <c r="E167">
        <v>1</v>
      </c>
    </row>
    <row r="168" spans="1:5" hidden="1" x14ac:dyDescent="0.25">
      <c r="A168" s="173" t="s">
        <v>514</v>
      </c>
      <c r="B168">
        <v>10808</v>
      </c>
      <c r="C168" s="173" t="s">
        <v>537</v>
      </c>
      <c r="D168" s="173" t="s">
        <v>517</v>
      </c>
      <c r="E168">
        <v>2</v>
      </c>
    </row>
    <row r="169" spans="1:5" hidden="1" x14ac:dyDescent="0.25">
      <c r="A169" s="173" t="s">
        <v>514</v>
      </c>
      <c r="B169">
        <v>10808</v>
      </c>
      <c r="C169" s="173" t="s">
        <v>538</v>
      </c>
      <c r="D169" s="173" t="s">
        <v>517</v>
      </c>
      <c r="E169">
        <v>2</v>
      </c>
    </row>
    <row r="170" spans="1:5" hidden="1" x14ac:dyDescent="0.25">
      <c r="A170" s="173" t="s">
        <v>514</v>
      </c>
      <c r="B170">
        <v>10808</v>
      </c>
      <c r="C170" s="173" t="s">
        <v>539</v>
      </c>
      <c r="D170" s="173" t="s">
        <v>470</v>
      </c>
      <c r="E170">
        <v>3</v>
      </c>
    </row>
    <row r="171" spans="1:5" hidden="1" x14ac:dyDescent="0.25">
      <c r="A171" s="173" t="s">
        <v>514</v>
      </c>
      <c r="B171">
        <v>10808</v>
      </c>
      <c r="C171" s="173" t="s">
        <v>540</v>
      </c>
      <c r="D171" s="173" t="s">
        <v>517</v>
      </c>
      <c r="E171">
        <v>2</v>
      </c>
    </row>
    <row r="172" spans="1:5" hidden="1" x14ac:dyDescent="0.25">
      <c r="A172" s="173" t="s">
        <v>514</v>
      </c>
      <c r="B172">
        <v>10808</v>
      </c>
      <c r="C172" s="173" t="s">
        <v>541</v>
      </c>
      <c r="D172" s="173" t="s">
        <v>517</v>
      </c>
      <c r="E172">
        <v>2</v>
      </c>
    </row>
    <row r="173" spans="1:5" hidden="1" x14ac:dyDescent="0.25">
      <c r="A173" s="173" t="s">
        <v>514</v>
      </c>
      <c r="B173">
        <v>10808</v>
      </c>
      <c r="C173" s="173" t="s">
        <v>503</v>
      </c>
      <c r="D173" s="173" t="s">
        <v>517</v>
      </c>
      <c r="E173">
        <v>2</v>
      </c>
    </row>
    <row r="174" spans="1:5" hidden="1" x14ac:dyDescent="0.25">
      <c r="A174" s="173" t="s">
        <v>514</v>
      </c>
      <c r="B174">
        <v>10808</v>
      </c>
      <c r="C174" s="173" t="s">
        <v>630</v>
      </c>
      <c r="D174" s="173" t="s">
        <v>470</v>
      </c>
      <c r="E174">
        <v>2</v>
      </c>
    </row>
    <row r="175" spans="1:5" hidden="1" x14ac:dyDescent="0.25">
      <c r="A175" s="173" t="s">
        <v>514</v>
      </c>
      <c r="B175">
        <v>10808</v>
      </c>
      <c r="C175" s="173" t="s">
        <v>543</v>
      </c>
      <c r="D175" s="173" t="s">
        <v>517</v>
      </c>
      <c r="E175">
        <v>3</v>
      </c>
    </row>
    <row r="176" spans="1:5" hidden="1" x14ac:dyDescent="0.25">
      <c r="A176" s="173" t="s">
        <v>514</v>
      </c>
      <c r="B176">
        <v>10808</v>
      </c>
      <c r="C176" s="173" t="s">
        <v>544</v>
      </c>
      <c r="D176" s="173" t="s">
        <v>517</v>
      </c>
      <c r="E176">
        <v>2</v>
      </c>
    </row>
    <row r="177" spans="1:5" hidden="1" x14ac:dyDescent="0.25">
      <c r="A177" s="173" t="s">
        <v>514</v>
      </c>
      <c r="B177">
        <v>10808</v>
      </c>
      <c r="C177" s="173" t="s">
        <v>631</v>
      </c>
      <c r="D177" s="173" t="s">
        <v>470</v>
      </c>
      <c r="E177">
        <v>3</v>
      </c>
    </row>
    <row r="178" spans="1:5" hidden="1" x14ac:dyDescent="0.25">
      <c r="A178" s="173" t="s">
        <v>514</v>
      </c>
      <c r="B178">
        <v>10808</v>
      </c>
      <c r="C178" s="173" t="s">
        <v>546</v>
      </c>
      <c r="D178" s="173" t="s">
        <v>517</v>
      </c>
      <c r="E178">
        <v>3</v>
      </c>
    </row>
    <row r="179" spans="1:5" hidden="1" x14ac:dyDescent="0.25">
      <c r="A179" s="173" t="s">
        <v>514</v>
      </c>
      <c r="B179">
        <v>10808</v>
      </c>
      <c r="C179" s="173" t="s">
        <v>547</v>
      </c>
      <c r="D179" s="173" t="s">
        <v>517</v>
      </c>
      <c r="E179">
        <v>3</v>
      </c>
    </row>
    <row r="180" spans="1:5" hidden="1" x14ac:dyDescent="0.25">
      <c r="A180" s="173" t="s">
        <v>514</v>
      </c>
      <c r="B180">
        <v>10808</v>
      </c>
      <c r="C180" s="173" t="s">
        <v>548</v>
      </c>
      <c r="D180" s="173" t="s">
        <v>470</v>
      </c>
      <c r="E180">
        <v>1</v>
      </c>
    </row>
    <row r="181" spans="1:5" hidden="1" x14ac:dyDescent="0.25">
      <c r="A181" s="173" t="s">
        <v>514</v>
      </c>
      <c r="B181">
        <v>10808</v>
      </c>
      <c r="C181" s="173" t="s">
        <v>549</v>
      </c>
      <c r="D181" s="173" t="s">
        <v>470</v>
      </c>
      <c r="E181">
        <v>2</v>
      </c>
    </row>
    <row r="182" spans="1:5" hidden="1" x14ac:dyDescent="0.25">
      <c r="A182" s="173" t="s">
        <v>514</v>
      </c>
      <c r="B182">
        <v>10808</v>
      </c>
      <c r="C182" s="173" t="s">
        <v>506</v>
      </c>
      <c r="D182" s="173" t="s">
        <v>470</v>
      </c>
      <c r="E182">
        <v>2</v>
      </c>
    </row>
    <row r="183" spans="1:5" hidden="1" x14ac:dyDescent="0.25">
      <c r="A183" s="173" t="s">
        <v>514</v>
      </c>
      <c r="B183">
        <v>10808</v>
      </c>
      <c r="C183" s="173" t="s">
        <v>551</v>
      </c>
      <c r="D183" s="173" t="s">
        <v>470</v>
      </c>
      <c r="E183">
        <v>2</v>
      </c>
    </row>
    <row r="184" spans="1:5" hidden="1" x14ac:dyDescent="0.25">
      <c r="A184" s="173" t="s">
        <v>514</v>
      </c>
      <c r="B184">
        <v>10808</v>
      </c>
      <c r="C184" s="173" t="s">
        <v>632</v>
      </c>
      <c r="D184" s="173" t="s">
        <v>470</v>
      </c>
      <c r="E184">
        <v>1</v>
      </c>
    </row>
    <row r="185" spans="1:5" hidden="1" x14ac:dyDescent="0.25">
      <c r="A185" s="173" t="s">
        <v>514</v>
      </c>
      <c r="B185">
        <v>10808</v>
      </c>
      <c r="C185" s="173" t="s">
        <v>556</v>
      </c>
      <c r="D185" s="173" t="s">
        <v>470</v>
      </c>
      <c r="E185">
        <v>3</v>
      </c>
    </row>
    <row r="186" spans="1:5" hidden="1" x14ac:dyDescent="0.25">
      <c r="A186" s="173" t="s">
        <v>514</v>
      </c>
      <c r="B186">
        <v>10808</v>
      </c>
      <c r="C186" s="173" t="s">
        <v>557</v>
      </c>
      <c r="D186" s="173" t="s">
        <v>470</v>
      </c>
      <c r="E186">
        <v>3</v>
      </c>
    </row>
    <row r="187" spans="1:5" hidden="1" x14ac:dyDescent="0.25">
      <c r="A187" s="173" t="s">
        <v>514</v>
      </c>
      <c r="B187">
        <v>10808</v>
      </c>
      <c r="C187" s="173" t="s">
        <v>633</v>
      </c>
      <c r="D187" s="173" t="s">
        <v>470</v>
      </c>
      <c r="E187">
        <v>3</v>
      </c>
    </row>
    <row r="188" spans="1:5" hidden="1" x14ac:dyDescent="0.25">
      <c r="A188" s="173" t="s">
        <v>514</v>
      </c>
      <c r="B188">
        <v>10808</v>
      </c>
      <c r="C188" s="173" t="s">
        <v>634</v>
      </c>
      <c r="D188" s="173" t="s">
        <v>470</v>
      </c>
      <c r="E188">
        <v>3</v>
      </c>
    </row>
    <row r="189" spans="1:5" hidden="1" x14ac:dyDescent="0.25">
      <c r="A189" s="173" t="s">
        <v>514</v>
      </c>
      <c r="B189">
        <v>10808</v>
      </c>
      <c r="C189" s="173" t="s">
        <v>558</v>
      </c>
      <c r="D189" s="173" t="s">
        <v>470</v>
      </c>
      <c r="E189">
        <v>2</v>
      </c>
    </row>
    <row r="190" spans="1:5" hidden="1" x14ac:dyDescent="0.25">
      <c r="A190" s="173" t="s">
        <v>514</v>
      </c>
      <c r="B190">
        <v>10808</v>
      </c>
      <c r="C190" s="173" t="s">
        <v>559</v>
      </c>
      <c r="D190" s="173" t="s">
        <v>470</v>
      </c>
      <c r="E190">
        <v>2</v>
      </c>
    </row>
    <row r="191" spans="1:5" hidden="1" x14ac:dyDescent="0.25">
      <c r="A191" s="173" t="s">
        <v>514</v>
      </c>
      <c r="B191">
        <v>10808</v>
      </c>
      <c r="C191" s="173" t="s">
        <v>513</v>
      </c>
      <c r="D191" s="173" t="s">
        <v>470</v>
      </c>
      <c r="E191">
        <v>2</v>
      </c>
    </row>
    <row r="192" spans="1:5" hidden="1" x14ac:dyDescent="0.25">
      <c r="A192" s="173" t="s">
        <v>514</v>
      </c>
      <c r="B192">
        <v>10808</v>
      </c>
      <c r="C192" s="173" t="s">
        <v>560</v>
      </c>
      <c r="D192" s="173" t="s">
        <v>470</v>
      </c>
      <c r="E192">
        <v>2</v>
      </c>
    </row>
    <row r="193" spans="1:5" hidden="1" x14ac:dyDescent="0.25">
      <c r="A193" s="173" t="s">
        <v>514</v>
      </c>
      <c r="B193">
        <v>10808</v>
      </c>
      <c r="C193" s="173" t="s">
        <v>561</v>
      </c>
      <c r="D193" s="173" t="s">
        <v>470</v>
      </c>
      <c r="E193">
        <v>2</v>
      </c>
    </row>
    <row r="194" spans="1:5" hidden="1" x14ac:dyDescent="0.25">
      <c r="A194" s="173" t="s">
        <v>514</v>
      </c>
      <c r="B194">
        <v>10808</v>
      </c>
      <c r="C194" s="173" t="s">
        <v>635</v>
      </c>
      <c r="D194" s="173" t="s">
        <v>470</v>
      </c>
      <c r="E194">
        <v>2</v>
      </c>
    </row>
    <row r="195" spans="1:5" hidden="1" x14ac:dyDescent="0.25">
      <c r="A195" s="173" t="s">
        <v>514</v>
      </c>
      <c r="B195">
        <v>10808</v>
      </c>
      <c r="C195" s="173" t="s">
        <v>636</v>
      </c>
      <c r="D195" s="173" t="s">
        <v>470</v>
      </c>
      <c r="E195">
        <v>3</v>
      </c>
    </row>
    <row r="196" spans="1:5" hidden="1" x14ac:dyDescent="0.25">
      <c r="A196" s="173" t="s">
        <v>514</v>
      </c>
      <c r="B196">
        <v>10808</v>
      </c>
      <c r="C196" s="173" t="s">
        <v>637</v>
      </c>
      <c r="D196" s="173" t="s">
        <v>470</v>
      </c>
      <c r="E196">
        <v>2</v>
      </c>
    </row>
    <row r="197" spans="1:5" hidden="1" x14ac:dyDescent="0.25">
      <c r="A197" s="173" t="s">
        <v>514</v>
      </c>
      <c r="B197">
        <v>10808</v>
      </c>
      <c r="C197" s="173" t="s">
        <v>638</v>
      </c>
      <c r="D197" s="173" t="s">
        <v>470</v>
      </c>
      <c r="E197">
        <v>1</v>
      </c>
    </row>
    <row r="198" spans="1:5" hidden="1" x14ac:dyDescent="0.25">
      <c r="A198" s="173" t="s">
        <v>514</v>
      </c>
      <c r="B198">
        <v>10808</v>
      </c>
      <c r="C198" s="173" t="s">
        <v>639</v>
      </c>
      <c r="D198" s="173" t="s">
        <v>470</v>
      </c>
      <c r="E198">
        <v>2</v>
      </c>
    </row>
    <row r="199" spans="1:5" hidden="1" x14ac:dyDescent="0.25">
      <c r="A199" s="173" t="s">
        <v>514</v>
      </c>
      <c r="B199">
        <v>10808</v>
      </c>
      <c r="C199" s="173" t="s">
        <v>640</v>
      </c>
      <c r="D199" s="173" t="s">
        <v>470</v>
      </c>
      <c r="E199">
        <v>1</v>
      </c>
    </row>
    <row r="200" spans="1:5" hidden="1" x14ac:dyDescent="0.25">
      <c r="A200" s="173" t="s">
        <v>514</v>
      </c>
      <c r="B200">
        <v>10808</v>
      </c>
      <c r="C200" s="173" t="s">
        <v>641</v>
      </c>
      <c r="D200" s="173" t="s">
        <v>470</v>
      </c>
      <c r="E200">
        <v>2</v>
      </c>
    </row>
    <row r="201" spans="1:5" hidden="1" x14ac:dyDescent="0.25">
      <c r="A201" s="173" t="s">
        <v>514</v>
      </c>
      <c r="B201">
        <v>10808</v>
      </c>
      <c r="C201" s="173" t="s">
        <v>642</v>
      </c>
      <c r="D201" s="173" t="s">
        <v>470</v>
      </c>
      <c r="E201">
        <v>2</v>
      </c>
    </row>
    <row r="202" spans="1:5" hidden="1" x14ac:dyDescent="0.25">
      <c r="A202" s="173" t="s">
        <v>514</v>
      </c>
      <c r="B202">
        <v>10808</v>
      </c>
      <c r="C202" s="173" t="s">
        <v>643</v>
      </c>
      <c r="D202" s="173" t="s">
        <v>470</v>
      </c>
      <c r="E202">
        <v>4</v>
      </c>
    </row>
    <row r="203" spans="1:5" hidden="1" x14ac:dyDescent="0.25">
      <c r="A203" s="173" t="s">
        <v>514</v>
      </c>
      <c r="B203">
        <v>10808</v>
      </c>
      <c r="C203" s="173" t="s">
        <v>644</v>
      </c>
      <c r="D203" s="173" t="s">
        <v>470</v>
      </c>
      <c r="E203">
        <v>4</v>
      </c>
    </row>
    <row r="204" spans="1:5" hidden="1" x14ac:dyDescent="0.25">
      <c r="A204" s="173" t="s">
        <v>514</v>
      </c>
      <c r="B204">
        <v>10808</v>
      </c>
      <c r="C204" s="173" t="s">
        <v>645</v>
      </c>
      <c r="D204" s="173" t="s">
        <v>470</v>
      </c>
      <c r="E204">
        <v>2</v>
      </c>
    </row>
    <row r="205" spans="1:5" hidden="1" x14ac:dyDescent="0.25">
      <c r="A205" s="173" t="s">
        <v>514</v>
      </c>
      <c r="B205">
        <v>10808</v>
      </c>
      <c r="C205" s="173" t="s">
        <v>646</v>
      </c>
      <c r="D205" s="173" t="s">
        <v>470</v>
      </c>
      <c r="E205">
        <v>2</v>
      </c>
    </row>
    <row r="206" spans="1:5" hidden="1" x14ac:dyDescent="0.25">
      <c r="A206" s="173" t="s">
        <v>514</v>
      </c>
      <c r="B206">
        <v>10808</v>
      </c>
      <c r="C206" s="173" t="s">
        <v>647</v>
      </c>
      <c r="D206" s="173" t="s">
        <v>470</v>
      </c>
      <c r="E206">
        <v>3</v>
      </c>
    </row>
    <row r="207" spans="1:5" hidden="1" x14ac:dyDescent="0.25">
      <c r="A207" s="173" t="s">
        <v>514</v>
      </c>
      <c r="B207">
        <v>10808</v>
      </c>
      <c r="C207" s="173" t="s">
        <v>648</v>
      </c>
      <c r="D207" s="173" t="s">
        <v>470</v>
      </c>
      <c r="E207">
        <v>3</v>
      </c>
    </row>
    <row r="208" spans="1:5" hidden="1" x14ac:dyDescent="0.25">
      <c r="A208" s="173" t="s">
        <v>514</v>
      </c>
      <c r="B208">
        <v>10808</v>
      </c>
      <c r="C208" s="173" t="s">
        <v>649</v>
      </c>
      <c r="D208" s="173" t="s">
        <v>470</v>
      </c>
      <c r="E208">
        <v>3</v>
      </c>
    </row>
    <row r="209" spans="1:5" hidden="1" x14ac:dyDescent="0.25">
      <c r="A209" s="173" t="s">
        <v>514</v>
      </c>
      <c r="B209">
        <v>10808</v>
      </c>
      <c r="C209" s="173" t="s">
        <v>650</v>
      </c>
      <c r="D209" s="173" t="s">
        <v>470</v>
      </c>
      <c r="E209">
        <v>2</v>
      </c>
    </row>
    <row r="210" spans="1:5" hidden="1" x14ac:dyDescent="0.25">
      <c r="A210" s="173" t="s">
        <v>514</v>
      </c>
      <c r="B210">
        <v>10808</v>
      </c>
      <c r="C210" s="173" t="s">
        <v>651</v>
      </c>
      <c r="D210" s="173" t="s">
        <v>470</v>
      </c>
      <c r="E210">
        <v>3</v>
      </c>
    </row>
    <row r="211" spans="1:5" hidden="1" x14ac:dyDescent="0.25">
      <c r="A211" s="173" t="s">
        <v>514</v>
      </c>
      <c r="B211">
        <v>10808</v>
      </c>
      <c r="C211" s="173" t="s">
        <v>652</v>
      </c>
      <c r="D211" s="173" t="s">
        <v>470</v>
      </c>
      <c r="E211">
        <v>2</v>
      </c>
    </row>
    <row r="212" spans="1:5" hidden="1" x14ac:dyDescent="0.25">
      <c r="A212" s="173" t="s">
        <v>514</v>
      </c>
      <c r="B212">
        <v>10808</v>
      </c>
      <c r="C212" s="173" t="s">
        <v>653</v>
      </c>
      <c r="D212" s="173" t="s">
        <v>470</v>
      </c>
      <c r="E212">
        <v>4</v>
      </c>
    </row>
    <row r="213" spans="1:5" hidden="1" x14ac:dyDescent="0.25">
      <c r="A213" s="173" t="s">
        <v>514</v>
      </c>
      <c r="B213">
        <v>10808</v>
      </c>
      <c r="C213" s="173" t="s">
        <v>654</v>
      </c>
      <c r="D213" s="173" t="s">
        <v>470</v>
      </c>
      <c r="E213">
        <v>3</v>
      </c>
    </row>
    <row r="214" spans="1:5" hidden="1" x14ac:dyDescent="0.25">
      <c r="A214" s="173" t="s">
        <v>514</v>
      </c>
      <c r="B214">
        <v>10808</v>
      </c>
      <c r="C214" s="173" t="s">
        <v>655</v>
      </c>
      <c r="D214" s="173" t="s">
        <v>470</v>
      </c>
      <c r="E214">
        <v>3</v>
      </c>
    </row>
    <row r="215" spans="1:5" hidden="1" x14ac:dyDescent="0.25">
      <c r="A215" s="173" t="s">
        <v>514</v>
      </c>
      <c r="B215">
        <v>10808</v>
      </c>
      <c r="C215" s="173" t="s">
        <v>656</v>
      </c>
      <c r="D215" s="173" t="s">
        <v>470</v>
      </c>
      <c r="E215">
        <v>3</v>
      </c>
    </row>
    <row r="216" spans="1:5" hidden="1" x14ac:dyDescent="0.25">
      <c r="A216" s="173" t="s">
        <v>514</v>
      </c>
      <c r="B216">
        <v>10808</v>
      </c>
      <c r="C216" s="173" t="s">
        <v>657</v>
      </c>
      <c r="D216" s="173" t="s">
        <v>470</v>
      </c>
      <c r="E216">
        <v>5</v>
      </c>
    </row>
    <row r="217" spans="1:5" hidden="1" x14ac:dyDescent="0.25">
      <c r="A217" s="173" t="s">
        <v>514</v>
      </c>
      <c r="B217">
        <v>10808</v>
      </c>
      <c r="C217" s="173" t="s">
        <v>658</v>
      </c>
      <c r="D217" s="173" t="s">
        <v>470</v>
      </c>
      <c r="E217">
        <v>5</v>
      </c>
    </row>
    <row r="218" spans="1:5" hidden="1" x14ac:dyDescent="0.25">
      <c r="A218" s="173" t="s">
        <v>514</v>
      </c>
      <c r="B218">
        <v>10808</v>
      </c>
      <c r="C218" s="173" t="s">
        <v>659</v>
      </c>
      <c r="D218" s="173" t="s">
        <v>470</v>
      </c>
      <c r="E218">
        <v>5</v>
      </c>
    </row>
    <row r="219" spans="1:5" hidden="1" x14ac:dyDescent="0.25">
      <c r="A219" s="173" t="s">
        <v>514</v>
      </c>
      <c r="B219">
        <v>10808</v>
      </c>
      <c r="C219" s="173" t="s">
        <v>660</v>
      </c>
      <c r="D219" s="173" t="s">
        <v>470</v>
      </c>
      <c r="E219">
        <v>4</v>
      </c>
    </row>
    <row r="220" spans="1:5" hidden="1" x14ac:dyDescent="0.25">
      <c r="A220" s="173" t="s">
        <v>514</v>
      </c>
      <c r="B220">
        <v>10808</v>
      </c>
      <c r="C220" s="173" t="s">
        <v>661</v>
      </c>
      <c r="D220" s="173" t="s">
        <v>470</v>
      </c>
      <c r="E220">
        <v>4</v>
      </c>
    </row>
    <row r="221" spans="1:5" hidden="1" x14ac:dyDescent="0.25">
      <c r="A221" s="173" t="s">
        <v>514</v>
      </c>
      <c r="B221">
        <v>10808</v>
      </c>
      <c r="C221" s="173" t="s">
        <v>662</v>
      </c>
      <c r="D221" s="173" t="s">
        <v>470</v>
      </c>
      <c r="E221">
        <v>4</v>
      </c>
    </row>
    <row r="222" spans="1:5" hidden="1" x14ac:dyDescent="0.25">
      <c r="A222" s="173" t="s">
        <v>514</v>
      </c>
      <c r="B222">
        <v>10808</v>
      </c>
      <c r="C222" s="173" t="s">
        <v>663</v>
      </c>
      <c r="D222" s="173" t="s">
        <v>470</v>
      </c>
      <c r="E222">
        <v>4</v>
      </c>
    </row>
    <row r="223" spans="1:5" hidden="1" x14ac:dyDescent="0.25">
      <c r="A223" s="173" t="s">
        <v>514</v>
      </c>
      <c r="B223">
        <v>10808</v>
      </c>
      <c r="C223" s="173" t="s">
        <v>664</v>
      </c>
      <c r="D223" s="173" t="s">
        <v>470</v>
      </c>
      <c r="E223">
        <v>4</v>
      </c>
    </row>
    <row r="224" spans="1:5" hidden="1" x14ac:dyDescent="0.25">
      <c r="A224" s="173" t="s">
        <v>514</v>
      </c>
      <c r="B224">
        <v>10808</v>
      </c>
      <c r="C224" s="173" t="s">
        <v>665</v>
      </c>
      <c r="D224" s="173" t="s">
        <v>470</v>
      </c>
      <c r="E224">
        <v>4</v>
      </c>
    </row>
    <row r="225" spans="1:5" hidden="1" x14ac:dyDescent="0.25">
      <c r="A225" s="173" t="s">
        <v>514</v>
      </c>
      <c r="B225">
        <v>10808</v>
      </c>
      <c r="C225" s="173" t="s">
        <v>666</v>
      </c>
      <c r="D225" s="173" t="s">
        <v>470</v>
      </c>
      <c r="E225">
        <v>4</v>
      </c>
    </row>
    <row r="226" spans="1:5" hidden="1" x14ac:dyDescent="0.25">
      <c r="A226" s="173" t="s">
        <v>514</v>
      </c>
      <c r="B226">
        <v>10808</v>
      </c>
      <c r="C226" s="173" t="s">
        <v>667</v>
      </c>
      <c r="D226" s="173" t="s">
        <v>470</v>
      </c>
      <c r="E226">
        <v>2</v>
      </c>
    </row>
    <row r="227" spans="1:5" hidden="1" x14ac:dyDescent="0.25">
      <c r="A227" s="173" t="s">
        <v>514</v>
      </c>
      <c r="B227">
        <v>10808</v>
      </c>
      <c r="C227" s="173" t="s">
        <v>668</v>
      </c>
      <c r="D227" s="173" t="s">
        <v>470</v>
      </c>
      <c r="E227">
        <v>3</v>
      </c>
    </row>
    <row r="228" spans="1:5" hidden="1" x14ac:dyDescent="0.25">
      <c r="A228" s="173" t="s">
        <v>514</v>
      </c>
      <c r="B228">
        <v>10808</v>
      </c>
      <c r="C228" s="173" t="s">
        <v>669</v>
      </c>
      <c r="D228" s="173" t="s">
        <v>470</v>
      </c>
      <c r="E228">
        <v>3</v>
      </c>
    </row>
    <row r="229" spans="1:5" hidden="1" x14ac:dyDescent="0.25">
      <c r="A229" s="173" t="s">
        <v>514</v>
      </c>
      <c r="B229">
        <v>10808</v>
      </c>
      <c r="C229" s="173" t="s">
        <v>670</v>
      </c>
      <c r="D229" s="173" t="s">
        <v>470</v>
      </c>
      <c r="E229">
        <v>3</v>
      </c>
    </row>
    <row r="230" spans="1:5" hidden="1" x14ac:dyDescent="0.25">
      <c r="A230" s="173" t="s">
        <v>514</v>
      </c>
      <c r="B230">
        <v>10808</v>
      </c>
      <c r="C230" s="173" t="s">
        <v>671</v>
      </c>
      <c r="D230" s="173" t="s">
        <v>470</v>
      </c>
      <c r="E230">
        <v>5</v>
      </c>
    </row>
    <row r="231" spans="1:5" hidden="1" x14ac:dyDescent="0.25">
      <c r="A231" s="173" t="s">
        <v>514</v>
      </c>
      <c r="B231">
        <v>10808</v>
      </c>
      <c r="C231" s="173" t="s">
        <v>672</v>
      </c>
      <c r="D231" s="173" t="s">
        <v>470</v>
      </c>
      <c r="E231">
        <v>6</v>
      </c>
    </row>
    <row r="232" spans="1:5" hidden="1" x14ac:dyDescent="0.25">
      <c r="A232" s="173" t="s">
        <v>514</v>
      </c>
      <c r="B232">
        <v>10808</v>
      </c>
      <c r="C232" s="173" t="s">
        <v>673</v>
      </c>
      <c r="D232" s="173" t="s">
        <v>470</v>
      </c>
      <c r="E232">
        <v>6</v>
      </c>
    </row>
    <row r="233" spans="1:5" hidden="1" x14ac:dyDescent="0.25">
      <c r="A233" s="173" t="s">
        <v>514</v>
      </c>
      <c r="B233">
        <v>10808</v>
      </c>
      <c r="C233" s="173" t="s">
        <v>674</v>
      </c>
      <c r="D233" s="173" t="s">
        <v>470</v>
      </c>
      <c r="E233">
        <v>4</v>
      </c>
    </row>
    <row r="234" spans="1:5" hidden="1" x14ac:dyDescent="0.25">
      <c r="A234" s="173" t="s">
        <v>514</v>
      </c>
      <c r="B234">
        <v>10808</v>
      </c>
      <c r="C234" s="173" t="s">
        <v>675</v>
      </c>
      <c r="D234" s="173" t="s">
        <v>470</v>
      </c>
      <c r="E234">
        <v>5</v>
      </c>
    </row>
    <row r="235" spans="1:5" hidden="1" x14ac:dyDescent="0.25">
      <c r="A235" s="173" t="s">
        <v>514</v>
      </c>
      <c r="B235">
        <v>10808</v>
      </c>
      <c r="C235" s="173" t="s">
        <v>676</v>
      </c>
      <c r="D235" s="173" t="s">
        <v>470</v>
      </c>
      <c r="E235">
        <v>4</v>
      </c>
    </row>
    <row r="236" spans="1:5" hidden="1" x14ac:dyDescent="0.25">
      <c r="A236" s="173" t="s">
        <v>514</v>
      </c>
      <c r="B236">
        <v>10808</v>
      </c>
      <c r="C236" s="173" t="s">
        <v>677</v>
      </c>
      <c r="D236" s="173" t="s">
        <v>470</v>
      </c>
      <c r="E236">
        <v>5</v>
      </c>
    </row>
    <row r="237" spans="1:5" hidden="1" x14ac:dyDescent="0.25">
      <c r="A237" s="173" t="s">
        <v>514</v>
      </c>
      <c r="B237">
        <v>10808</v>
      </c>
      <c r="C237" s="173" t="s">
        <v>678</v>
      </c>
      <c r="D237" s="173" t="s">
        <v>470</v>
      </c>
      <c r="E237">
        <v>7</v>
      </c>
    </row>
    <row r="238" spans="1:5" hidden="1" x14ac:dyDescent="0.25">
      <c r="A238" s="173" t="s">
        <v>514</v>
      </c>
      <c r="B238">
        <v>10808</v>
      </c>
      <c r="C238" s="173" t="s">
        <v>679</v>
      </c>
      <c r="D238" s="173" t="s">
        <v>470</v>
      </c>
      <c r="E238">
        <v>7</v>
      </c>
    </row>
    <row r="239" spans="1:5" hidden="1" x14ac:dyDescent="0.25">
      <c r="A239" s="173" t="s">
        <v>514</v>
      </c>
      <c r="B239">
        <v>10808</v>
      </c>
      <c r="C239" s="173" t="s">
        <v>680</v>
      </c>
      <c r="D239" s="173" t="s">
        <v>470</v>
      </c>
      <c r="E239">
        <v>7</v>
      </c>
    </row>
    <row r="240" spans="1:5" hidden="1" x14ac:dyDescent="0.25">
      <c r="A240" s="173" t="s">
        <v>514</v>
      </c>
      <c r="B240">
        <v>10808</v>
      </c>
      <c r="C240" s="173" t="s">
        <v>681</v>
      </c>
      <c r="D240" s="173" t="s">
        <v>470</v>
      </c>
      <c r="E240">
        <v>8</v>
      </c>
    </row>
    <row r="241" spans="1:5" hidden="1" x14ac:dyDescent="0.25">
      <c r="A241" s="173" t="s">
        <v>514</v>
      </c>
      <c r="B241">
        <v>10808</v>
      </c>
      <c r="C241" s="173" t="s">
        <v>682</v>
      </c>
      <c r="D241" s="173" t="s">
        <v>470</v>
      </c>
      <c r="E241">
        <v>8</v>
      </c>
    </row>
    <row r="242" spans="1:5" hidden="1" x14ac:dyDescent="0.25">
      <c r="A242" s="173" t="s">
        <v>514</v>
      </c>
      <c r="B242">
        <v>10808</v>
      </c>
      <c r="C242" s="173" t="s">
        <v>683</v>
      </c>
      <c r="D242" s="173" t="s">
        <v>470</v>
      </c>
      <c r="E242">
        <v>6</v>
      </c>
    </row>
    <row r="243" spans="1:5" hidden="1" x14ac:dyDescent="0.25">
      <c r="A243" s="173" t="s">
        <v>514</v>
      </c>
      <c r="B243">
        <v>10808</v>
      </c>
      <c r="C243" s="173" t="s">
        <v>684</v>
      </c>
      <c r="D243" s="173" t="s">
        <v>470</v>
      </c>
      <c r="E243">
        <v>6</v>
      </c>
    </row>
    <row r="244" spans="1:5" hidden="1" x14ac:dyDescent="0.25">
      <c r="A244" s="173" t="s">
        <v>514</v>
      </c>
      <c r="B244">
        <v>10808</v>
      </c>
      <c r="C244" s="173" t="s">
        <v>685</v>
      </c>
      <c r="D244" s="173" t="s">
        <v>470</v>
      </c>
      <c r="E244">
        <v>7</v>
      </c>
    </row>
    <row r="245" spans="1:5" hidden="1" x14ac:dyDescent="0.25">
      <c r="A245" s="173" t="s">
        <v>514</v>
      </c>
      <c r="B245">
        <v>10808</v>
      </c>
      <c r="C245" s="173" t="s">
        <v>686</v>
      </c>
      <c r="D245" s="173" t="s">
        <v>470</v>
      </c>
      <c r="E245">
        <v>7</v>
      </c>
    </row>
    <row r="246" spans="1:5" hidden="1" x14ac:dyDescent="0.25">
      <c r="A246" s="173" t="s">
        <v>514</v>
      </c>
      <c r="B246">
        <v>10808</v>
      </c>
      <c r="C246" s="173" t="s">
        <v>687</v>
      </c>
      <c r="D246" s="173" t="s">
        <v>470</v>
      </c>
      <c r="E246">
        <v>7</v>
      </c>
    </row>
    <row r="247" spans="1:5" hidden="1" x14ac:dyDescent="0.25">
      <c r="A247" s="173" t="s">
        <v>514</v>
      </c>
      <c r="B247">
        <v>10808</v>
      </c>
      <c r="C247" s="173" t="s">
        <v>688</v>
      </c>
      <c r="D247" s="173" t="s">
        <v>470</v>
      </c>
      <c r="E247">
        <v>5</v>
      </c>
    </row>
    <row r="248" spans="1:5" hidden="1" x14ac:dyDescent="0.25">
      <c r="A248" s="173" t="s">
        <v>514</v>
      </c>
      <c r="B248">
        <v>10808</v>
      </c>
      <c r="C248" s="173" t="s">
        <v>689</v>
      </c>
      <c r="D248" s="173" t="s">
        <v>470</v>
      </c>
      <c r="E248">
        <v>5</v>
      </c>
    </row>
    <row r="249" spans="1:5" hidden="1" x14ac:dyDescent="0.25">
      <c r="A249" s="173" t="s">
        <v>514</v>
      </c>
      <c r="B249">
        <v>10808</v>
      </c>
      <c r="C249" s="173" t="s">
        <v>690</v>
      </c>
      <c r="D249" s="173" t="s">
        <v>470</v>
      </c>
      <c r="E249">
        <v>4</v>
      </c>
    </row>
    <row r="250" spans="1:5" hidden="1" x14ac:dyDescent="0.25">
      <c r="A250" s="173" t="s">
        <v>514</v>
      </c>
      <c r="B250">
        <v>10808</v>
      </c>
      <c r="C250" s="173" t="s">
        <v>691</v>
      </c>
      <c r="D250" s="173" t="s">
        <v>470</v>
      </c>
      <c r="E250">
        <v>3</v>
      </c>
    </row>
    <row r="251" spans="1:5" hidden="1" x14ac:dyDescent="0.25">
      <c r="A251" s="173" t="s">
        <v>514</v>
      </c>
      <c r="B251">
        <v>10808</v>
      </c>
      <c r="C251" s="173" t="s">
        <v>692</v>
      </c>
      <c r="D251" s="173" t="s">
        <v>470</v>
      </c>
      <c r="E251">
        <v>5</v>
      </c>
    </row>
    <row r="252" spans="1:5" hidden="1" x14ac:dyDescent="0.25">
      <c r="A252" s="173" t="s">
        <v>514</v>
      </c>
      <c r="B252">
        <v>10808</v>
      </c>
      <c r="C252" s="173" t="s">
        <v>693</v>
      </c>
      <c r="D252" s="173" t="s">
        <v>470</v>
      </c>
      <c r="E252">
        <v>5</v>
      </c>
    </row>
    <row r="253" spans="1:5" hidden="1" x14ac:dyDescent="0.25">
      <c r="A253" s="173" t="s">
        <v>514</v>
      </c>
      <c r="B253">
        <v>10808</v>
      </c>
      <c r="C253" s="173" t="s">
        <v>694</v>
      </c>
      <c r="D253" s="173" t="s">
        <v>470</v>
      </c>
      <c r="E253">
        <v>5</v>
      </c>
    </row>
    <row r="254" spans="1:5" hidden="1" x14ac:dyDescent="0.25">
      <c r="A254" s="173" t="s">
        <v>514</v>
      </c>
      <c r="B254">
        <v>10808</v>
      </c>
      <c r="C254" s="173" t="s">
        <v>695</v>
      </c>
      <c r="D254" s="173" t="s">
        <v>470</v>
      </c>
      <c r="E254">
        <v>3</v>
      </c>
    </row>
    <row r="255" spans="1:5" hidden="1" x14ac:dyDescent="0.25">
      <c r="A255" s="173" t="s">
        <v>514</v>
      </c>
      <c r="B255">
        <v>10808</v>
      </c>
      <c r="C255" s="173" t="s">
        <v>696</v>
      </c>
      <c r="D255" s="173" t="s">
        <v>470</v>
      </c>
      <c r="E255">
        <v>3</v>
      </c>
    </row>
    <row r="256" spans="1:5" hidden="1" x14ac:dyDescent="0.25">
      <c r="A256" s="173" t="s">
        <v>514</v>
      </c>
      <c r="B256">
        <v>10808</v>
      </c>
      <c r="C256" s="173" t="s">
        <v>697</v>
      </c>
      <c r="D256" s="173" t="s">
        <v>470</v>
      </c>
      <c r="E256">
        <v>3</v>
      </c>
    </row>
    <row r="257" spans="1:5" hidden="1" x14ac:dyDescent="0.25">
      <c r="A257" s="173" t="s">
        <v>514</v>
      </c>
      <c r="B257">
        <v>10808</v>
      </c>
      <c r="C257" s="173" t="s">
        <v>698</v>
      </c>
      <c r="D257" s="173" t="s">
        <v>470</v>
      </c>
      <c r="E257">
        <v>2</v>
      </c>
    </row>
    <row r="258" spans="1:5" hidden="1" x14ac:dyDescent="0.25">
      <c r="A258" s="173" t="s">
        <v>514</v>
      </c>
      <c r="B258">
        <v>10808</v>
      </c>
      <c r="C258" s="173" t="s">
        <v>699</v>
      </c>
      <c r="D258" s="173" t="s">
        <v>470</v>
      </c>
      <c r="E258">
        <v>2</v>
      </c>
    </row>
    <row r="259" spans="1:5" hidden="1" x14ac:dyDescent="0.25">
      <c r="A259" s="173" t="s">
        <v>514</v>
      </c>
      <c r="B259">
        <v>10808</v>
      </c>
      <c r="C259" s="173" t="s">
        <v>700</v>
      </c>
      <c r="D259" s="173" t="s">
        <v>470</v>
      </c>
      <c r="E259">
        <v>5</v>
      </c>
    </row>
    <row r="260" spans="1:5" hidden="1" x14ac:dyDescent="0.25">
      <c r="A260" s="173" t="s">
        <v>514</v>
      </c>
      <c r="B260">
        <v>10808</v>
      </c>
      <c r="C260" s="173" t="s">
        <v>701</v>
      </c>
      <c r="D260" s="173" t="s">
        <v>470</v>
      </c>
      <c r="E260">
        <v>4</v>
      </c>
    </row>
    <row r="261" spans="1:5" hidden="1" x14ac:dyDescent="0.25">
      <c r="A261" s="173" t="s">
        <v>514</v>
      </c>
      <c r="B261">
        <v>10808</v>
      </c>
      <c r="C261" s="173" t="s">
        <v>702</v>
      </c>
      <c r="D261" s="173" t="s">
        <v>470</v>
      </c>
      <c r="E261">
        <v>4</v>
      </c>
    </row>
    <row r="262" spans="1:5" hidden="1" x14ac:dyDescent="0.25">
      <c r="A262" s="173" t="s">
        <v>514</v>
      </c>
      <c r="B262">
        <v>10808</v>
      </c>
      <c r="C262" s="173" t="s">
        <v>703</v>
      </c>
      <c r="D262" s="173" t="s">
        <v>470</v>
      </c>
      <c r="E262">
        <v>4</v>
      </c>
    </row>
    <row r="263" spans="1:5" hidden="1" x14ac:dyDescent="0.25">
      <c r="A263" s="173" t="s">
        <v>514</v>
      </c>
      <c r="B263">
        <v>10808</v>
      </c>
      <c r="C263" s="173" t="s">
        <v>704</v>
      </c>
      <c r="D263" s="173" t="s">
        <v>470</v>
      </c>
      <c r="E263">
        <v>5</v>
      </c>
    </row>
    <row r="264" spans="1:5" hidden="1" x14ac:dyDescent="0.25">
      <c r="A264" s="173" t="s">
        <v>514</v>
      </c>
      <c r="B264">
        <v>10808</v>
      </c>
      <c r="C264" s="173" t="s">
        <v>705</v>
      </c>
      <c r="D264" s="173" t="s">
        <v>470</v>
      </c>
      <c r="E264">
        <v>6</v>
      </c>
    </row>
    <row r="265" spans="1:5" hidden="1" x14ac:dyDescent="0.25">
      <c r="A265" s="173" t="s">
        <v>514</v>
      </c>
      <c r="B265">
        <v>10808</v>
      </c>
      <c r="C265" s="173" t="s">
        <v>706</v>
      </c>
      <c r="D265" s="173" t="s">
        <v>470</v>
      </c>
      <c r="E265">
        <v>7</v>
      </c>
    </row>
    <row r="266" spans="1:5" hidden="1" x14ac:dyDescent="0.25">
      <c r="A266" s="173" t="s">
        <v>514</v>
      </c>
      <c r="B266">
        <v>10954</v>
      </c>
      <c r="C266" s="173" t="s">
        <v>707</v>
      </c>
      <c r="D266" s="173" t="s">
        <v>517</v>
      </c>
      <c r="E266">
        <v>3</v>
      </c>
    </row>
    <row r="267" spans="1:5" hidden="1" x14ac:dyDescent="0.25">
      <c r="A267" s="173" t="s">
        <v>514</v>
      </c>
      <c r="B267">
        <v>10954</v>
      </c>
      <c r="C267" s="173" t="s">
        <v>708</v>
      </c>
      <c r="D267" s="173" t="s">
        <v>517</v>
      </c>
      <c r="E267">
        <v>1</v>
      </c>
    </row>
    <row r="268" spans="1:5" hidden="1" x14ac:dyDescent="0.25">
      <c r="A268" s="173" t="s">
        <v>514</v>
      </c>
      <c r="B268">
        <v>10954</v>
      </c>
      <c r="C268" s="173" t="s">
        <v>708</v>
      </c>
      <c r="D268" s="173" t="s">
        <v>470</v>
      </c>
      <c r="E268">
        <v>2</v>
      </c>
    </row>
    <row r="269" spans="1:5" hidden="1" x14ac:dyDescent="0.25">
      <c r="A269" s="173" t="s">
        <v>514</v>
      </c>
      <c r="B269">
        <v>10954</v>
      </c>
      <c r="C269" s="173" t="s">
        <v>709</v>
      </c>
      <c r="D269" s="173" t="s">
        <v>517</v>
      </c>
      <c r="E269">
        <v>2</v>
      </c>
    </row>
    <row r="270" spans="1:5" hidden="1" x14ac:dyDescent="0.25">
      <c r="A270" s="173" t="s">
        <v>514</v>
      </c>
      <c r="B270">
        <v>10954</v>
      </c>
      <c r="C270" s="173" t="s">
        <v>710</v>
      </c>
      <c r="D270" s="173" t="s">
        <v>517</v>
      </c>
      <c r="E270">
        <v>2</v>
      </c>
    </row>
    <row r="271" spans="1:5" hidden="1" x14ac:dyDescent="0.25">
      <c r="A271" s="173" t="s">
        <v>514</v>
      </c>
      <c r="B271">
        <v>10954</v>
      </c>
      <c r="C271" s="173" t="s">
        <v>711</v>
      </c>
      <c r="D271" s="173" t="s">
        <v>517</v>
      </c>
      <c r="E271">
        <v>2</v>
      </c>
    </row>
    <row r="272" spans="1:5" hidden="1" x14ac:dyDescent="0.25">
      <c r="A272" s="173" t="s">
        <v>514</v>
      </c>
      <c r="B272">
        <v>10954</v>
      </c>
      <c r="C272" s="173" t="s">
        <v>489</v>
      </c>
      <c r="D272" s="173" t="s">
        <v>517</v>
      </c>
      <c r="E272">
        <v>1</v>
      </c>
    </row>
    <row r="273" spans="1:5" hidden="1" x14ac:dyDescent="0.25">
      <c r="A273" s="173" t="s">
        <v>514</v>
      </c>
      <c r="B273">
        <v>10954</v>
      </c>
      <c r="C273" s="173" t="s">
        <v>489</v>
      </c>
      <c r="D273" s="173" t="s">
        <v>470</v>
      </c>
      <c r="E273">
        <v>1</v>
      </c>
    </row>
    <row r="274" spans="1:5" hidden="1" x14ac:dyDescent="0.25">
      <c r="A274" s="173" t="s">
        <v>514</v>
      </c>
      <c r="B274">
        <v>10954</v>
      </c>
      <c r="C274" s="173" t="s">
        <v>712</v>
      </c>
      <c r="D274" s="173" t="s">
        <v>470</v>
      </c>
      <c r="E274">
        <v>2</v>
      </c>
    </row>
    <row r="275" spans="1:5" hidden="1" x14ac:dyDescent="0.25">
      <c r="A275" s="173" t="s">
        <v>514</v>
      </c>
      <c r="B275">
        <v>10954</v>
      </c>
      <c r="C275" s="173" t="s">
        <v>712</v>
      </c>
      <c r="D275" s="173" t="s">
        <v>517</v>
      </c>
      <c r="E275">
        <v>1</v>
      </c>
    </row>
    <row r="276" spans="1:5" hidden="1" x14ac:dyDescent="0.25">
      <c r="A276" s="173" t="s">
        <v>514</v>
      </c>
      <c r="B276">
        <v>10954</v>
      </c>
      <c r="C276" s="173" t="s">
        <v>494</v>
      </c>
      <c r="D276" s="173" t="s">
        <v>517</v>
      </c>
      <c r="E276">
        <v>2</v>
      </c>
    </row>
    <row r="277" spans="1:5" hidden="1" x14ac:dyDescent="0.25">
      <c r="A277" s="173" t="s">
        <v>514</v>
      </c>
      <c r="B277">
        <v>10954</v>
      </c>
      <c r="C277" s="173" t="s">
        <v>713</v>
      </c>
      <c r="D277" s="173" t="s">
        <v>517</v>
      </c>
      <c r="E277">
        <v>3</v>
      </c>
    </row>
    <row r="278" spans="1:5" hidden="1" x14ac:dyDescent="0.25">
      <c r="A278" s="173" t="s">
        <v>514</v>
      </c>
      <c r="B278">
        <v>10954</v>
      </c>
      <c r="C278" s="173" t="s">
        <v>496</v>
      </c>
      <c r="D278" s="173" t="s">
        <v>517</v>
      </c>
      <c r="E278">
        <v>3</v>
      </c>
    </row>
    <row r="279" spans="1:5" hidden="1" x14ac:dyDescent="0.25">
      <c r="A279" s="173" t="s">
        <v>514</v>
      </c>
      <c r="B279">
        <v>10954</v>
      </c>
      <c r="C279" s="173" t="s">
        <v>714</v>
      </c>
      <c r="D279" s="173" t="s">
        <v>517</v>
      </c>
      <c r="E279">
        <v>2</v>
      </c>
    </row>
    <row r="280" spans="1:5" hidden="1" x14ac:dyDescent="0.25">
      <c r="A280" s="173" t="s">
        <v>514</v>
      </c>
      <c r="B280">
        <v>10954</v>
      </c>
      <c r="C280" s="173" t="s">
        <v>715</v>
      </c>
      <c r="D280" s="173" t="s">
        <v>517</v>
      </c>
      <c r="E280">
        <v>2</v>
      </c>
    </row>
    <row r="281" spans="1:5" hidden="1" x14ac:dyDescent="0.25">
      <c r="A281" s="173" t="s">
        <v>514</v>
      </c>
      <c r="B281">
        <v>10954</v>
      </c>
      <c r="C281" s="173" t="s">
        <v>716</v>
      </c>
      <c r="D281" s="173" t="s">
        <v>517</v>
      </c>
      <c r="E281">
        <v>2</v>
      </c>
    </row>
    <row r="282" spans="1:5" hidden="1" x14ac:dyDescent="0.25">
      <c r="A282" s="173" t="s">
        <v>514</v>
      </c>
      <c r="B282">
        <v>10954</v>
      </c>
      <c r="C282" s="173" t="s">
        <v>717</v>
      </c>
      <c r="D282" s="173" t="s">
        <v>517</v>
      </c>
      <c r="E282">
        <v>2</v>
      </c>
    </row>
    <row r="283" spans="1:5" hidden="1" x14ac:dyDescent="0.25">
      <c r="A283" s="173" t="s">
        <v>514</v>
      </c>
      <c r="B283">
        <v>10954</v>
      </c>
      <c r="C283" s="173" t="s">
        <v>499</v>
      </c>
      <c r="D283" s="173" t="s">
        <v>517</v>
      </c>
      <c r="E283">
        <v>3</v>
      </c>
    </row>
    <row r="284" spans="1:5" hidden="1" x14ac:dyDescent="0.25">
      <c r="A284" s="173" t="s">
        <v>514</v>
      </c>
      <c r="B284">
        <v>10954</v>
      </c>
      <c r="C284" s="173" t="s">
        <v>718</v>
      </c>
      <c r="D284" s="173" t="s">
        <v>517</v>
      </c>
      <c r="E284">
        <v>2</v>
      </c>
    </row>
    <row r="285" spans="1:5" hidden="1" x14ac:dyDescent="0.25">
      <c r="A285" s="173" t="s">
        <v>514</v>
      </c>
      <c r="B285">
        <v>10954</v>
      </c>
      <c r="C285" s="173" t="s">
        <v>719</v>
      </c>
      <c r="D285" s="173" t="s">
        <v>517</v>
      </c>
      <c r="E285">
        <v>3</v>
      </c>
    </row>
    <row r="286" spans="1:5" hidden="1" x14ac:dyDescent="0.25">
      <c r="A286" s="173" t="s">
        <v>514</v>
      </c>
      <c r="B286">
        <v>10954</v>
      </c>
      <c r="C286" s="173" t="s">
        <v>720</v>
      </c>
      <c r="D286" s="173" t="s">
        <v>517</v>
      </c>
      <c r="E286">
        <v>3</v>
      </c>
    </row>
    <row r="287" spans="1:5" hidden="1" x14ac:dyDescent="0.25">
      <c r="A287" s="173" t="s">
        <v>514</v>
      </c>
      <c r="B287">
        <v>10954</v>
      </c>
      <c r="C287" s="173" t="s">
        <v>721</v>
      </c>
      <c r="D287" s="173" t="s">
        <v>517</v>
      </c>
      <c r="E287">
        <v>3</v>
      </c>
    </row>
    <row r="288" spans="1:5" hidden="1" x14ac:dyDescent="0.25">
      <c r="A288" s="173" t="s">
        <v>514</v>
      </c>
      <c r="B288">
        <v>10954</v>
      </c>
      <c r="C288" s="173" t="s">
        <v>722</v>
      </c>
      <c r="D288" s="173" t="s">
        <v>517</v>
      </c>
      <c r="E288">
        <v>3</v>
      </c>
    </row>
    <row r="289" spans="1:5" hidden="1" x14ac:dyDescent="0.25">
      <c r="A289" s="173" t="s">
        <v>514</v>
      </c>
      <c r="B289">
        <v>10954</v>
      </c>
      <c r="C289" s="173" t="s">
        <v>723</v>
      </c>
      <c r="D289" s="173" t="s">
        <v>517</v>
      </c>
      <c r="E289">
        <v>2</v>
      </c>
    </row>
    <row r="290" spans="1:5" hidden="1" x14ac:dyDescent="0.25">
      <c r="A290" s="173" t="s">
        <v>514</v>
      </c>
      <c r="B290">
        <v>10954</v>
      </c>
      <c r="C290" s="173" t="s">
        <v>724</v>
      </c>
      <c r="D290" s="173" t="s">
        <v>517</v>
      </c>
      <c r="E290">
        <v>3</v>
      </c>
    </row>
    <row r="291" spans="1:5" hidden="1" x14ac:dyDescent="0.25">
      <c r="A291" s="173" t="s">
        <v>514</v>
      </c>
      <c r="B291">
        <v>10954</v>
      </c>
      <c r="C291" s="173" t="s">
        <v>725</v>
      </c>
      <c r="D291" s="173" t="s">
        <v>517</v>
      </c>
      <c r="E291">
        <v>2</v>
      </c>
    </row>
    <row r="292" spans="1:5" hidden="1" x14ac:dyDescent="0.25">
      <c r="A292" s="173" t="s">
        <v>514</v>
      </c>
      <c r="B292">
        <v>10954</v>
      </c>
      <c r="C292" s="173" t="s">
        <v>726</v>
      </c>
      <c r="D292" s="173" t="s">
        <v>517</v>
      </c>
      <c r="E292">
        <v>2</v>
      </c>
    </row>
    <row r="293" spans="1:5" hidden="1" x14ac:dyDescent="0.25">
      <c r="A293" s="173" t="s">
        <v>514</v>
      </c>
      <c r="B293">
        <v>10954</v>
      </c>
      <c r="C293" s="173" t="s">
        <v>727</v>
      </c>
      <c r="D293" s="173" t="s">
        <v>517</v>
      </c>
      <c r="E293">
        <v>2</v>
      </c>
    </row>
    <row r="294" spans="1:5" hidden="1" x14ac:dyDescent="0.25">
      <c r="A294" s="173" t="s">
        <v>514</v>
      </c>
      <c r="B294">
        <v>10954</v>
      </c>
      <c r="C294" s="173" t="s">
        <v>728</v>
      </c>
      <c r="D294" s="173" t="s">
        <v>517</v>
      </c>
      <c r="E294">
        <v>3</v>
      </c>
    </row>
    <row r="295" spans="1:5" hidden="1" x14ac:dyDescent="0.25">
      <c r="A295" s="173" t="s">
        <v>514</v>
      </c>
      <c r="B295">
        <v>10954</v>
      </c>
      <c r="C295" s="173" t="s">
        <v>556</v>
      </c>
      <c r="D295" s="173" t="s">
        <v>517</v>
      </c>
      <c r="E295">
        <v>1</v>
      </c>
    </row>
    <row r="296" spans="1:5" hidden="1" x14ac:dyDescent="0.25">
      <c r="A296" s="173" t="s">
        <v>514</v>
      </c>
      <c r="B296">
        <v>10954</v>
      </c>
      <c r="C296" s="173" t="s">
        <v>556</v>
      </c>
      <c r="D296" s="173" t="s">
        <v>470</v>
      </c>
      <c r="E296">
        <v>2</v>
      </c>
    </row>
    <row r="297" spans="1:5" hidden="1" x14ac:dyDescent="0.25">
      <c r="A297" s="173" t="s">
        <v>514</v>
      </c>
      <c r="B297">
        <v>10954</v>
      </c>
      <c r="C297" s="173" t="s">
        <v>729</v>
      </c>
      <c r="D297" s="173" t="s">
        <v>517</v>
      </c>
      <c r="E297">
        <v>2</v>
      </c>
    </row>
    <row r="298" spans="1:5" hidden="1" x14ac:dyDescent="0.25">
      <c r="A298" s="173" t="s">
        <v>514</v>
      </c>
      <c r="B298">
        <v>10954</v>
      </c>
      <c r="C298" s="173" t="s">
        <v>730</v>
      </c>
      <c r="D298" s="173" t="s">
        <v>517</v>
      </c>
      <c r="E298">
        <v>3</v>
      </c>
    </row>
    <row r="299" spans="1:5" hidden="1" x14ac:dyDescent="0.25">
      <c r="A299" s="173" t="s">
        <v>514</v>
      </c>
      <c r="B299">
        <v>10954</v>
      </c>
      <c r="C299" s="173" t="s">
        <v>731</v>
      </c>
      <c r="D299" s="173" t="s">
        <v>517</v>
      </c>
      <c r="E299">
        <v>3</v>
      </c>
    </row>
    <row r="300" spans="1:5" hidden="1" x14ac:dyDescent="0.25">
      <c r="A300" s="173" t="s">
        <v>514</v>
      </c>
      <c r="B300">
        <v>10954</v>
      </c>
      <c r="C300" s="173" t="s">
        <v>512</v>
      </c>
      <c r="D300" s="173" t="s">
        <v>517</v>
      </c>
      <c r="E300">
        <v>3</v>
      </c>
    </row>
    <row r="301" spans="1:5" hidden="1" x14ac:dyDescent="0.25">
      <c r="A301" s="173" t="s">
        <v>514</v>
      </c>
      <c r="B301">
        <v>10954</v>
      </c>
      <c r="C301" s="173" t="s">
        <v>732</v>
      </c>
      <c r="D301" s="173" t="s">
        <v>517</v>
      </c>
      <c r="E301">
        <v>1</v>
      </c>
    </row>
    <row r="302" spans="1:5" hidden="1" x14ac:dyDescent="0.25">
      <c r="A302" s="173" t="s">
        <v>514</v>
      </c>
      <c r="B302">
        <v>10954</v>
      </c>
      <c r="C302" s="173" t="s">
        <v>732</v>
      </c>
      <c r="D302" s="173" t="s">
        <v>470</v>
      </c>
      <c r="E302">
        <v>2</v>
      </c>
    </row>
    <row r="303" spans="1:5" hidden="1" x14ac:dyDescent="0.25">
      <c r="A303" s="173" t="s">
        <v>514</v>
      </c>
      <c r="B303">
        <v>10954</v>
      </c>
      <c r="C303" s="173" t="s">
        <v>733</v>
      </c>
      <c r="D303" s="173" t="s">
        <v>517</v>
      </c>
      <c r="E303">
        <v>2</v>
      </c>
    </row>
    <row r="304" spans="1:5" hidden="1" x14ac:dyDescent="0.25">
      <c r="A304" s="173" t="s">
        <v>514</v>
      </c>
      <c r="B304">
        <v>10954</v>
      </c>
      <c r="C304" s="173" t="s">
        <v>734</v>
      </c>
      <c r="D304" s="173" t="s">
        <v>517</v>
      </c>
      <c r="E304">
        <v>3</v>
      </c>
    </row>
    <row r="305" spans="1:5" hidden="1" x14ac:dyDescent="0.25">
      <c r="A305" s="173" t="s">
        <v>514</v>
      </c>
      <c r="B305">
        <v>10954</v>
      </c>
      <c r="C305" s="173" t="s">
        <v>735</v>
      </c>
      <c r="D305" s="173" t="s">
        <v>517</v>
      </c>
      <c r="E305">
        <v>3</v>
      </c>
    </row>
    <row r="306" spans="1:5" hidden="1" x14ac:dyDescent="0.25">
      <c r="A306" s="173" t="s">
        <v>514</v>
      </c>
      <c r="B306">
        <v>10954</v>
      </c>
      <c r="C306" s="173" t="s">
        <v>736</v>
      </c>
      <c r="D306" s="173" t="s">
        <v>517</v>
      </c>
      <c r="E306">
        <v>3</v>
      </c>
    </row>
    <row r="307" spans="1:5" hidden="1" x14ac:dyDescent="0.25">
      <c r="A307" s="173" t="s">
        <v>514</v>
      </c>
      <c r="B307">
        <v>10954</v>
      </c>
      <c r="C307" s="173" t="s">
        <v>737</v>
      </c>
      <c r="D307" s="173" t="s">
        <v>517</v>
      </c>
      <c r="E307">
        <v>2</v>
      </c>
    </row>
    <row r="308" spans="1:5" hidden="1" x14ac:dyDescent="0.25">
      <c r="A308" s="173" t="s">
        <v>514</v>
      </c>
      <c r="B308">
        <v>10954</v>
      </c>
      <c r="C308" s="173" t="s">
        <v>738</v>
      </c>
      <c r="D308" s="173" t="s">
        <v>517</v>
      </c>
      <c r="E308">
        <v>2</v>
      </c>
    </row>
    <row r="309" spans="1:5" hidden="1" x14ac:dyDescent="0.25">
      <c r="A309" s="173" t="s">
        <v>514</v>
      </c>
      <c r="B309">
        <v>10954</v>
      </c>
      <c r="C309" s="173" t="s">
        <v>739</v>
      </c>
      <c r="D309" s="173" t="s">
        <v>517</v>
      </c>
      <c r="E309">
        <v>2</v>
      </c>
    </row>
    <row r="310" spans="1:5" hidden="1" x14ac:dyDescent="0.25">
      <c r="A310" s="173" t="s">
        <v>514</v>
      </c>
      <c r="B310">
        <v>10954</v>
      </c>
      <c r="C310" s="173" t="s">
        <v>740</v>
      </c>
      <c r="D310" s="173" t="s">
        <v>517</v>
      </c>
      <c r="E310">
        <v>2</v>
      </c>
    </row>
    <row r="311" spans="1:5" hidden="1" x14ac:dyDescent="0.25">
      <c r="A311" s="173" t="s">
        <v>514</v>
      </c>
      <c r="B311">
        <v>10954</v>
      </c>
      <c r="C311" s="173" t="s">
        <v>741</v>
      </c>
      <c r="D311" s="173" t="s">
        <v>517</v>
      </c>
      <c r="E311">
        <v>2</v>
      </c>
    </row>
    <row r="312" spans="1:5" hidden="1" x14ac:dyDescent="0.25">
      <c r="A312" s="173" t="s">
        <v>514</v>
      </c>
      <c r="B312">
        <v>10954</v>
      </c>
      <c r="C312" s="173" t="s">
        <v>742</v>
      </c>
      <c r="D312" s="173" t="s">
        <v>517</v>
      </c>
      <c r="E312">
        <v>2</v>
      </c>
    </row>
    <row r="313" spans="1:5" hidden="1" x14ac:dyDescent="0.25">
      <c r="A313" s="173" t="s">
        <v>514</v>
      </c>
      <c r="B313">
        <v>10954</v>
      </c>
      <c r="C313" s="173" t="s">
        <v>743</v>
      </c>
      <c r="D313" s="173" t="s">
        <v>517</v>
      </c>
      <c r="E313">
        <v>3</v>
      </c>
    </row>
    <row r="314" spans="1:5" hidden="1" x14ac:dyDescent="0.25">
      <c r="A314" s="173" t="s">
        <v>514</v>
      </c>
      <c r="B314">
        <v>10954</v>
      </c>
      <c r="C314" s="173" t="s">
        <v>744</v>
      </c>
      <c r="D314" s="173" t="s">
        <v>517</v>
      </c>
      <c r="E314">
        <v>2</v>
      </c>
    </row>
    <row r="315" spans="1:5" hidden="1" x14ac:dyDescent="0.25">
      <c r="A315" s="173" t="s">
        <v>514</v>
      </c>
      <c r="B315">
        <v>10954</v>
      </c>
      <c r="C315" s="173" t="s">
        <v>745</v>
      </c>
      <c r="D315" s="173" t="s">
        <v>517</v>
      </c>
      <c r="E315">
        <v>2</v>
      </c>
    </row>
    <row r="316" spans="1:5" hidden="1" x14ac:dyDescent="0.25">
      <c r="A316" s="173" t="s">
        <v>514</v>
      </c>
      <c r="B316">
        <v>10954</v>
      </c>
      <c r="C316" s="173" t="s">
        <v>746</v>
      </c>
      <c r="D316" s="173" t="s">
        <v>517</v>
      </c>
      <c r="E316">
        <v>2</v>
      </c>
    </row>
    <row r="317" spans="1:5" hidden="1" x14ac:dyDescent="0.25">
      <c r="A317" s="173" t="s">
        <v>514</v>
      </c>
      <c r="B317">
        <v>10954</v>
      </c>
      <c r="C317" s="173" t="s">
        <v>747</v>
      </c>
      <c r="D317" s="173" t="s">
        <v>517</v>
      </c>
      <c r="E317">
        <v>2</v>
      </c>
    </row>
    <row r="318" spans="1:5" hidden="1" x14ac:dyDescent="0.25">
      <c r="A318" s="173" t="s">
        <v>514</v>
      </c>
      <c r="B318">
        <v>10954</v>
      </c>
      <c r="C318" s="173" t="s">
        <v>748</v>
      </c>
      <c r="D318" s="173" t="s">
        <v>517</v>
      </c>
      <c r="E318">
        <v>2</v>
      </c>
    </row>
    <row r="319" spans="1:5" hidden="1" x14ac:dyDescent="0.25">
      <c r="A319" s="173" t="s">
        <v>514</v>
      </c>
      <c r="B319">
        <v>10954</v>
      </c>
      <c r="C319" s="173" t="s">
        <v>749</v>
      </c>
      <c r="D319" s="173" t="s">
        <v>517</v>
      </c>
      <c r="E319">
        <v>2</v>
      </c>
    </row>
    <row r="320" spans="1:5" hidden="1" x14ac:dyDescent="0.25">
      <c r="A320" s="173" t="s">
        <v>514</v>
      </c>
      <c r="B320">
        <v>10954</v>
      </c>
      <c r="C320" s="173" t="s">
        <v>750</v>
      </c>
      <c r="D320" s="173" t="s">
        <v>517</v>
      </c>
      <c r="E320">
        <v>2</v>
      </c>
    </row>
    <row r="321" spans="1:5" hidden="1" x14ac:dyDescent="0.25">
      <c r="A321" s="173" t="s">
        <v>514</v>
      </c>
      <c r="B321">
        <v>10954</v>
      </c>
      <c r="C321" s="173" t="s">
        <v>751</v>
      </c>
      <c r="D321" s="173" t="s">
        <v>517</v>
      </c>
      <c r="E321">
        <v>2</v>
      </c>
    </row>
    <row r="322" spans="1:5" hidden="1" x14ac:dyDescent="0.25">
      <c r="A322" s="173" t="s">
        <v>514</v>
      </c>
      <c r="B322">
        <v>10954</v>
      </c>
      <c r="C322" s="173" t="s">
        <v>752</v>
      </c>
      <c r="D322" s="173" t="s">
        <v>517</v>
      </c>
      <c r="E322">
        <v>2</v>
      </c>
    </row>
    <row r="323" spans="1:5" hidden="1" x14ac:dyDescent="0.25">
      <c r="A323" s="173" t="s">
        <v>514</v>
      </c>
      <c r="B323">
        <v>10954</v>
      </c>
      <c r="C323" s="173" t="s">
        <v>753</v>
      </c>
      <c r="D323" s="173" t="s">
        <v>517</v>
      </c>
      <c r="E323">
        <v>2</v>
      </c>
    </row>
    <row r="324" spans="1:5" hidden="1" x14ac:dyDescent="0.25">
      <c r="A324" s="173" t="s">
        <v>514</v>
      </c>
      <c r="B324">
        <v>10954</v>
      </c>
      <c r="C324" s="173" t="s">
        <v>754</v>
      </c>
      <c r="D324" s="173" t="s">
        <v>517</v>
      </c>
      <c r="E324">
        <v>2</v>
      </c>
    </row>
    <row r="325" spans="1:5" hidden="1" x14ac:dyDescent="0.25">
      <c r="A325" s="173" t="s">
        <v>514</v>
      </c>
      <c r="B325">
        <v>10954</v>
      </c>
      <c r="C325" s="173" t="s">
        <v>755</v>
      </c>
      <c r="D325" s="173" t="s">
        <v>517</v>
      </c>
      <c r="E325">
        <v>2</v>
      </c>
    </row>
    <row r="326" spans="1:5" hidden="1" x14ac:dyDescent="0.25">
      <c r="A326" s="173" t="s">
        <v>514</v>
      </c>
      <c r="B326">
        <v>10954</v>
      </c>
      <c r="C326" s="173" t="s">
        <v>756</v>
      </c>
      <c r="D326" s="173" t="s">
        <v>517</v>
      </c>
      <c r="E326">
        <v>2</v>
      </c>
    </row>
    <row r="327" spans="1:5" hidden="1" x14ac:dyDescent="0.25">
      <c r="A327" s="173" t="s">
        <v>514</v>
      </c>
      <c r="B327">
        <v>10954</v>
      </c>
      <c r="C327" s="173" t="s">
        <v>757</v>
      </c>
      <c r="D327" s="173" t="s">
        <v>517</v>
      </c>
      <c r="E327">
        <v>2</v>
      </c>
    </row>
    <row r="328" spans="1:5" hidden="1" x14ac:dyDescent="0.25">
      <c r="A328" s="173" t="s">
        <v>514</v>
      </c>
      <c r="B328">
        <v>10954</v>
      </c>
      <c r="C328" s="173" t="s">
        <v>758</v>
      </c>
      <c r="D328" s="173" t="s">
        <v>517</v>
      </c>
      <c r="E328">
        <v>2</v>
      </c>
    </row>
    <row r="329" spans="1:5" hidden="1" x14ac:dyDescent="0.25">
      <c r="A329" s="173" t="s">
        <v>514</v>
      </c>
      <c r="B329">
        <v>10954</v>
      </c>
      <c r="C329" s="173" t="s">
        <v>759</v>
      </c>
      <c r="D329" s="173" t="s">
        <v>517</v>
      </c>
      <c r="E329">
        <v>2</v>
      </c>
    </row>
    <row r="330" spans="1:5" hidden="1" x14ac:dyDescent="0.25">
      <c r="A330" s="173" t="s">
        <v>514</v>
      </c>
      <c r="B330">
        <v>10954</v>
      </c>
      <c r="C330" s="173" t="s">
        <v>760</v>
      </c>
      <c r="D330" s="173" t="s">
        <v>517</v>
      </c>
      <c r="E330">
        <v>2</v>
      </c>
    </row>
    <row r="331" spans="1:5" hidden="1" x14ac:dyDescent="0.25">
      <c r="A331" s="173" t="s">
        <v>514</v>
      </c>
      <c r="B331">
        <v>10954</v>
      </c>
      <c r="C331" s="173" t="s">
        <v>761</v>
      </c>
      <c r="D331" s="173" t="s">
        <v>517</v>
      </c>
      <c r="E331">
        <v>2</v>
      </c>
    </row>
    <row r="332" spans="1:5" hidden="1" x14ac:dyDescent="0.25">
      <c r="A332" s="173" t="s">
        <v>514</v>
      </c>
      <c r="B332">
        <v>10954</v>
      </c>
      <c r="C332" s="173" t="s">
        <v>762</v>
      </c>
      <c r="D332" s="173" t="s">
        <v>517</v>
      </c>
      <c r="E332">
        <v>2</v>
      </c>
    </row>
    <row r="333" spans="1:5" hidden="1" x14ac:dyDescent="0.25">
      <c r="A333" s="173" t="s">
        <v>514</v>
      </c>
      <c r="B333">
        <v>10954</v>
      </c>
      <c r="C333" s="173" t="s">
        <v>763</v>
      </c>
      <c r="D333" s="173" t="s">
        <v>517</v>
      </c>
      <c r="E333">
        <v>2</v>
      </c>
    </row>
    <row r="334" spans="1:5" hidden="1" x14ac:dyDescent="0.25">
      <c r="A334" s="173" t="s">
        <v>514</v>
      </c>
      <c r="B334">
        <v>10954</v>
      </c>
      <c r="C334" s="173" t="s">
        <v>764</v>
      </c>
      <c r="D334" s="173" t="s">
        <v>517</v>
      </c>
      <c r="E334">
        <v>2</v>
      </c>
    </row>
    <row r="335" spans="1:5" hidden="1" x14ac:dyDescent="0.25">
      <c r="A335" s="173" t="s">
        <v>514</v>
      </c>
      <c r="B335">
        <v>10954</v>
      </c>
      <c r="C335" s="173" t="s">
        <v>765</v>
      </c>
      <c r="D335" s="173" t="s">
        <v>517</v>
      </c>
      <c r="E335">
        <v>2</v>
      </c>
    </row>
    <row r="336" spans="1:5" hidden="1" x14ac:dyDescent="0.25">
      <c r="A336" s="173" t="s">
        <v>514</v>
      </c>
      <c r="B336">
        <v>10954</v>
      </c>
      <c r="C336" s="173" t="s">
        <v>766</v>
      </c>
      <c r="D336" s="173" t="s">
        <v>517</v>
      </c>
      <c r="E336">
        <v>2</v>
      </c>
    </row>
    <row r="337" spans="1:5" hidden="1" x14ac:dyDescent="0.25">
      <c r="A337" s="173" t="s">
        <v>514</v>
      </c>
      <c r="B337">
        <v>10954</v>
      </c>
      <c r="C337" s="173" t="s">
        <v>767</v>
      </c>
      <c r="D337" s="173" t="s">
        <v>517</v>
      </c>
      <c r="E337">
        <v>2</v>
      </c>
    </row>
    <row r="338" spans="1:5" hidden="1" x14ac:dyDescent="0.25">
      <c r="A338" s="173" t="s">
        <v>514</v>
      </c>
      <c r="B338">
        <v>10954</v>
      </c>
      <c r="C338" s="173" t="s">
        <v>768</v>
      </c>
      <c r="D338" s="173" t="s">
        <v>517</v>
      </c>
      <c r="E338">
        <v>2</v>
      </c>
    </row>
    <row r="339" spans="1:5" hidden="1" x14ac:dyDescent="0.25">
      <c r="A339" s="173" t="s">
        <v>514</v>
      </c>
      <c r="B339">
        <v>10954</v>
      </c>
      <c r="C339" s="173" t="s">
        <v>769</v>
      </c>
      <c r="D339" s="173" t="s">
        <v>517</v>
      </c>
      <c r="E339">
        <v>2</v>
      </c>
    </row>
    <row r="340" spans="1:5" hidden="1" x14ac:dyDescent="0.25">
      <c r="A340" s="173" t="s">
        <v>514</v>
      </c>
      <c r="B340">
        <v>10954</v>
      </c>
      <c r="C340" s="173" t="s">
        <v>770</v>
      </c>
      <c r="D340" s="173" t="s">
        <v>517</v>
      </c>
      <c r="E340">
        <v>2</v>
      </c>
    </row>
    <row r="341" spans="1:5" hidden="1" x14ac:dyDescent="0.25">
      <c r="A341" s="173" t="s">
        <v>514</v>
      </c>
      <c r="B341">
        <v>10954</v>
      </c>
      <c r="C341" s="173" t="s">
        <v>771</v>
      </c>
      <c r="D341" s="173" t="s">
        <v>517</v>
      </c>
      <c r="E341">
        <v>2</v>
      </c>
    </row>
    <row r="342" spans="1:5" hidden="1" x14ac:dyDescent="0.25">
      <c r="A342" s="173" t="s">
        <v>514</v>
      </c>
      <c r="B342">
        <v>10954</v>
      </c>
      <c r="C342" s="173" t="s">
        <v>772</v>
      </c>
      <c r="D342" s="173" t="s">
        <v>517</v>
      </c>
      <c r="E342">
        <v>2</v>
      </c>
    </row>
    <row r="343" spans="1:5" hidden="1" x14ac:dyDescent="0.25">
      <c r="A343" s="173" t="s">
        <v>514</v>
      </c>
      <c r="B343">
        <v>10954</v>
      </c>
      <c r="C343" s="173" t="s">
        <v>773</v>
      </c>
      <c r="D343" s="173" t="s">
        <v>517</v>
      </c>
      <c r="E343">
        <v>2</v>
      </c>
    </row>
    <row r="344" spans="1:5" hidden="1" x14ac:dyDescent="0.25">
      <c r="A344" s="173" t="s">
        <v>514</v>
      </c>
      <c r="B344">
        <v>10954</v>
      </c>
      <c r="C344" s="173" t="s">
        <v>774</v>
      </c>
      <c r="D344" s="173" t="s">
        <v>517</v>
      </c>
      <c r="E344">
        <v>2</v>
      </c>
    </row>
    <row r="345" spans="1:5" hidden="1" x14ac:dyDescent="0.25">
      <c r="A345" s="173" t="s">
        <v>514</v>
      </c>
      <c r="B345">
        <v>10954</v>
      </c>
      <c r="C345" s="173" t="s">
        <v>775</v>
      </c>
      <c r="D345" s="173" t="s">
        <v>517</v>
      </c>
      <c r="E345">
        <v>2</v>
      </c>
    </row>
    <row r="346" spans="1:5" hidden="1" x14ac:dyDescent="0.25">
      <c r="A346" s="173" t="s">
        <v>514</v>
      </c>
      <c r="B346">
        <v>10954</v>
      </c>
      <c r="C346" s="173" t="s">
        <v>776</v>
      </c>
      <c r="D346" s="173" t="s">
        <v>517</v>
      </c>
      <c r="E346">
        <v>2</v>
      </c>
    </row>
    <row r="347" spans="1:5" hidden="1" x14ac:dyDescent="0.25">
      <c r="A347" s="173" t="s">
        <v>514</v>
      </c>
      <c r="B347">
        <v>11406</v>
      </c>
      <c r="C347" s="173" t="s">
        <v>477</v>
      </c>
      <c r="D347" s="173" t="s">
        <v>517</v>
      </c>
      <c r="E347">
        <v>1</v>
      </c>
    </row>
    <row r="348" spans="1:5" hidden="1" x14ac:dyDescent="0.25">
      <c r="A348" s="173" t="s">
        <v>514</v>
      </c>
      <c r="B348">
        <v>11406</v>
      </c>
      <c r="C348" s="173" t="s">
        <v>615</v>
      </c>
      <c r="D348" s="173" t="s">
        <v>517</v>
      </c>
      <c r="E348">
        <v>1</v>
      </c>
    </row>
    <row r="349" spans="1:5" hidden="1" x14ac:dyDescent="0.25">
      <c r="A349" s="173" t="s">
        <v>514</v>
      </c>
      <c r="B349">
        <v>11406</v>
      </c>
      <c r="C349" s="173" t="s">
        <v>488</v>
      </c>
      <c r="D349" s="173" t="s">
        <v>517</v>
      </c>
      <c r="E349">
        <v>1</v>
      </c>
    </row>
    <row r="350" spans="1:5" hidden="1" x14ac:dyDescent="0.25">
      <c r="A350" s="173" t="s">
        <v>514</v>
      </c>
      <c r="B350">
        <v>11406</v>
      </c>
      <c r="C350" s="173" t="s">
        <v>777</v>
      </c>
      <c r="D350" s="173" t="s">
        <v>517</v>
      </c>
      <c r="E350">
        <v>1</v>
      </c>
    </row>
    <row r="351" spans="1:5" hidden="1" x14ac:dyDescent="0.25">
      <c r="A351" s="173" t="s">
        <v>514</v>
      </c>
      <c r="B351">
        <v>11406</v>
      </c>
      <c r="C351" s="173" t="s">
        <v>778</v>
      </c>
      <c r="D351" s="173" t="s">
        <v>517</v>
      </c>
      <c r="E351">
        <v>1</v>
      </c>
    </row>
    <row r="352" spans="1:5" hidden="1" x14ac:dyDescent="0.25">
      <c r="A352" s="173" t="s">
        <v>514</v>
      </c>
      <c r="B352">
        <v>11406</v>
      </c>
      <c r="C352" s="173" t="s">
        <v>779</v>
      </c>
      <c r="D352" s="173" t="s">
        <v>517</v>
      </c>
      <c r="E352">
        <v>1</v>
      </c>
    </row>
    <row r="353" spans="1:5" hidden="1" x14ac:dyDescent="0.25">
      <c r="A353" s="173" t="s">
        <v>514</v>
      </c>
      <c r="B353">
        <v>11406</v>
      </c>
      <c r="C353" s="173" t="s">
        <v>780</v>
      </c>
      <c r="D353" s="173" t="s">
        <v>517</v>
      </c>
      <c r="E353">
        <v>1</v>
      </c>
    </row>
    <row r="354" spans="1:5" hidden="1" x14ac:dyDescent="0.25">
      <c r="A354" s="173" t="s">
        <v>514</v>
      </c>
      <c r="B354">
        <v>11406</v>
      </c>
      <c r="C354" s="173" t="s">
        <v>781</v>
      </c>
      <c r="D354" s="173" t="s">
        <v>517</v>
      </c>
      <c r="E354">
        <v>1</v>
      </c>
    </row>
    <row r="355" spans="1:5" hidden="1" x14ac:dyDescent="0.25">
      <c r="A355" s="173" t="s">
        <v>514</v>
      </c>
      <c r="B355">
        <v>11406</v>
      </c>
      <c r="C355" s="173" t="s">
        <v>782</v>
      </c>
      <c r="D355" s="173" t="s">
        <v>517</v>
      </c>
      <c r="E355">
        <v>1</v>
      </c>
    </row>
    <row r="356" spans="1:5" hidden="1" x14ac:dyDescent="0.25">
      <c r="A356" s="173" t="s">
        <v>514</v>
      </c>
      <c r="B356">
        <v>11406</v>
      </c>
      <c r="C356" s="173" t="s">
        <v>783</v>
      </c>
      <c r="D356" s="173" t="s">
        <v>517</v>
      </c>
      <c r="E356">
        <v>1</v>
      </c>
    </row>
    <row r="357" spans="1:5" hidden="1" x14ac:dyDescent="0.25">
      <c r="A357" s="173" t="s">
        <v>514</v>
      </c>
      <c r="B357">
        <v>11406</v>
      </c>
      <c r="C357" s="173" t="s">
        <v>784</v>
      </c>
      <c r="D357" s="173" t="s">
        <v>517</v>
      </c>
      <c r="E357">
        <v>1</v>
      </c>
    </row>
    <row r="358" spans="1:5" hidden="1" x14ac:dyDescent="0.25">
      <c r="A358" s="173" t="s">
        <v>514</v>
      </c>
      <c r="B358">
        <v>11406</v>
      </c>
      <c r="C358" s="173" t="s">
        <v>785</v>
      </c>
      <c r="D358" s="173" t="s">
        <v>517</v>
      </c>
      <c r="E358">
        <v>1</v>
      </c>
    </row>
    <row r="359" spans="1:5" hidden="1" x14ac:dyDescent="0.25">
      <c r="A359" s="173" t="s">
        <v>514</v>
      </c>
      <c r="B359">
        <v>11406</v>
      </c>
      <c r="C359" s="173" t="s">
        <v>786</v>
      </c>
      <c r="D359" s="173" t="s">
        <v>517</v>
      </c>
      <c r="E359">
        <v>1</v>
      </c>
    </row>
    <row r="360" spans="1:5" hidden="1" x14ac:dyDescent="0.25">
      <c r="A360" s="173" t="s">
        <v>514</v>
      </c>
      <c r="B360">
        <v>11406</v>
      </c>
      <c r="C360" s="173" t="s">
        <v>787</v>
      </c>
      <c r="D360" s="173" t="s">
        <v>517</v>
      </c>
      <c r="E360">
        <v>1</v>
      </c>
    </row>
    <row r="361" spans="1:5" hidden="1" x14ac:dyDescent="0.25">
      <c r="A361" s="173" t="s">
        <v>514</v>
      </c>
      <c r="B361">
        <v>11406</v>
      </c>
      <c r="C361" s="173" t="s">
        <v>788</v>
      </c>
      <c r="D361" s="173" t="s">
        <v>517</v>
      </c>
      <c r="E361">
        <v>1</v>
      </c>
    </row>
    <row r="362" spans="1:5" hidden="1" x14ac:dyDescent="0.25">
      <c r="A362" s="173" t="s">
        <v>514</v>
      </c>
      <c r="B362">
        <v>11406</v>
      </c>
      <c r="C362" s="173" t="s">
        <v>789</v>
      </c>
      <c r="D362" s="173" t="s">
        <v>517</v>
      </c>
      <c r="E362">
        <v>1</v>
      </c>
    </row>
    <row r="363" spans="1:5" hidden="1" x14ac:dyDescent="0.25">
      <c r="A363" s="173" t="s">
        <v>514</v>
      </c>
      <c r="B363">
        <v>11406</v>
      </c>
      <c r="C363" s="173" t="s">
        <v>790</v>
      </c>
      <c r="D363" s="173" t="s">
        <v>517</v>
      </c>
      <c r="E363">
        <v>1</v>
      </c>
    </row>
    <row r="364" spans="1:5" hidden="1" x14ac:dyDescent="0.25">
      <c r="A364" s="173" t="s">
        <v>514</v>
      </c>
      <c r="B364">
        <v>11406</v>
      </c>
      <c r="C364" s="173" t="s">
        <v>791</v>
      </c>
      <c r="D364" s="173" t="s">
        <v>517</v>
      </c>
      <c r="E364">
        <v>1</v>
      </c>
    </row>
    <row r="365" spans="1:5" hidden="1" x14ac:dyDescent="0.25">
      <c r="A365" s="173" t="s">
        <v>514</v>
      </c>
      <c r="B365">
        <v>11406</v>
      </c>
      <c r="C365" s="173" t="s">
        <v>792</v>
      </c>
      <c r="D365" s="173" t="s">
        <v>517</v>
      </c>
      <c r="E365">
        <v>1</v>
      </c>
    </row>
    <row r="366" spans="1:5" hidden="1" x14ac:dyDescent="0.25">
      <c r="A366" s="173" t="s">
        <v>514</v>
      </c>
      <c r="B366">
        <v>11406</v>
      </c>
      <c r="C366" s="173" t="s">
        <v>793</v>
      </c>
      <c r="D366" s="173" t="s">
        <v>517</v>
      </c>
      <c r="E366">
        <v>1</v>
      </c>
    </row>
    <row r="367" spans="1:5" hidden="1" x14ac:dyDescent="0.25">
      <c r="A367" s="173" t="s">
        <v>514</v>
      </c>
      <c r="B367">
        <v>11406</v>
      </c>
      <c r="C367" s="173" t="s">
        <v>794</v>
      </c>
      <c r="D367" s="173" t="s">
        <v>517</v>
      </c>
      <c r="E367">
        <v>1</v>
      </c>
    </row>
    <row r="368" spans="1:5" hidden="1" x14ac:dyDescent="0.25">
      <c r="A368" s="173" t="s">
        <v>514</v>
      </c>
      <c r="B368">
        <v>11406</v>
      </c>
      <c r="C368" s="173" t="s">
        <v>795</v>
      </c>
      <c r="D368" s="173" t="s">
        <v>517</v>
      </c>
      <c r="E368">
        <v>1</v>
      </c>
    </row>
    <row r="369" spans="1:5" hidden="1" x14ac:dyDescent="0.25">
      <c r="A369" s="173" t="s">
        <v>514</v>
      </c>
      <c r="B369">
        <v>11406</v>
      </c>
      <c r="C369" s="173" t="s">
        <v>796</v>
      </c>
      <c r="D369" s="173" t="s">
        <v>517</v>
      </c>
      <c r="E369">
        <v>1</v>
      </c>
    </row>
    <row r="370" spans="1:5" hidden="1" x14ac:dyDescent="0.25">
      <c r="A370" s="173" t="s">
        <v>514</v>
      </c>
      <c r="B370">
        <v>11406</v>
      </c>
      <c r="C370" s="173" t="s">
        <v>797</v>
      </c>
      <c r="D370" s="173" t="s">
        <v>517</v>
      </c>
      <c r="E370">
        <v>1</v>
      </c>
    </row>
    <row r="371" spans="1:5" hidden="1" x14ac:dyDescent="0.25">
      <c r="A371" s="173" t="s">
        <v>514</v>
      </c>
      <c r="B371">
        <v>11406</v>
      </c>
      <c r="C371" s="173" t="s">
        <v>798</v>
      </c>
      <c r="D371" s="173" t="s">
        <v>517</v>
      </c>
      <c r="E371">
        <v>1</v>
      </c>
    </row>
    <row r="372" spans="1:5" hidden="1" x14ac:dyDescent="0.25">
      <c r="A372" s="173" t="s">
        <v>514</v>
      </c>
      <c r="B372">
        <v>11406</v>
      </c>
      <c r="C372" s="173" t="s">
        <v>799</v>
      </c>
      <c r="D372" s="173" t="s">
        <v>517</v>
      </c>
      <c r="E372">
        <v>1</v>
      </c>
    </row>
    <row r="373" spans="1:5" hidden="1" x14ac:dyDescent="0.25">
      <c r="A373" s="173" t="s">
        <v>514</v>
      </c>
      <c r="B373">
        <v>11406</v>
      </c>
      <c r="C373" s="173" t="s">
        <v>800</v>
      </c>
      <c r="D373" s="173" t="s">
        <v>517</v>
      </c>
      <c r="E373">
        <v>1</v>
      </c>
    </row>
    <row r="374" spans="1:5" hidden="1" x14ac:dyDescent="0.25">
      <c r="A374" s="173" t="s">
        <v>514</v>
      </c>
      <c r="B374">
        <v>11406</v>
      </c>
      <c r="C374" s="173" t="s">
        <v>801</v>
      </c>
      <c r="D374" s="173" t="s">
        <v>517</v>
      </c>
      <c r="E374">
        <v>1</v>
      </c>
    </row>
    <row r="375" spans="1:5" hidden="1" x14ac:dyDescent="0.25">
      <c r="A375" s="173" t="s">
        <v>514</v>
      </c>
      <c r="B375">
        <v>11406</v>
      </c>
      <c r="C375" s="173" t="s">
        <v>802</v>
      </c>
      <c r="D375" s="173" t="s">
        <v>517</v>
      </c>
      <c r="E375">
        <v>1</v>
      </c>
    </row>
    <row r="376" spans="1:5" hidden="1" x14ac:dyDescent="0.25">
      <c r="A376" s="173" t="s">
        <v>514</v>
      </c>
      <c r="B376">
        <v>11406</v>
      </c>
      <c r="C376" s="173" t="s">
        <v>803</v>
      </c>
      <c r="D376" s="173" t="s">
        <v>517</v>
      </c>
      <c r="E376">
        <v>1</v>
      </c>
    </row>
    <row r="377" spans="1:5" hidden="1" x14ac:dyDescent="0.25">
      <c r="A377" s="173" t="s">
        <v>804</v>
      </c>
      <c r="B377">
        <v>11578</v>
      </c>
      <c r="C377" s="173" t="s">
        <v>805</v>
      </c>
      <c r="D377" s="173" t="s">
        <v>470</v>
      </c>
      <c r="E377">
        <v>1</v>
      </c>
    </row>
    <row r="378" spans="1:5" hidden="1" x14ac:dyDescent="0.25">
      <c r="A378" s="173" t="s">
        <v>804</v>
      </c>
      <c r="B378">
        <v>11578</v>
      </c>
      <c r="C378" s="173" t="s">
        <v>806</v>
      </c>
      <c r="D378" s="173" t="s">
        <v>470</v>
      </c>
      <c r="E378">
        <v>1</v>
      </c>
    </row>
    <row r="379" spans="1:5" hidden="1" x14ac:dyDescent="0.25">
      <c r="A379" s="173" t="s">
        <v>804</v>
      </c>
      <c r="B379">
        <v>11578</v>
      </c>
      <c r="C379" s="173" t="s">
        <v>807</v>
      </c>
      <c r="D379" s="173" t="s">
        <v>470</v>
      </c>
      <c r="E379">
        <v>1</v>
      </c>
    </row>
    <row r="380" spans="1:5" hidden="1" x14ac:dyDescent="0.25">
      <c r="A380" s="173" t="s">
        <v>804</v>
      </c>
      <c r="B380">
        <v>11578</v>
      </c>
      <c r="C380" s="173" t="s">
        <v>808</v>
      </c>
      <c r="D380" s="173" t="s">
        <v>470</v>
      </c>
      <c r="E380">
        <v>1</v>
      </c>
    </row>
    <row r="381" spans="1:5" hidden="1" x14ac:dyDescent="0.25">
      <c r="A381" s="173" t="s">
        <v>804</v>
      </c>
      <c r="B381">
        <v>11578</v>
      </c>
      <c r="C381" s="173" t="s">
        <v>809</v>
      </c>
      <c r="D381" s="173" t="s">
        <v>470</v>
      </c>
      <c r="E381">
        <v>1</v>
      </c>
    </row>
    <row r="382" spans="1:5" hidden="1" x14ac:dyDescent="0.25">
      <c r="A382" s="173" t="s">
        <v>804</v>
      </c>
      <c r="B382">
        <v>11592</v>
      </c>
      <c r="C382" s="173" t="s">
        <v>810</v>
      </c>
      <c r="D382" s="173" t="s">
        <v>470</v>
      </c>
      <c r="E382">
        <v>1</v>
      </c>
    </row>
    <row r="383" spans="1:5" hidden="1" x14ac:dyDescent="0.25">
      <c r="A383" s="173" t="s">
        <v>804</v>
      </c>
      <c r="B383">
        <v>11592</v>
      </c>
      <c r="C383" s="173" t="s">
        <v>811</v>
      </c>
      <c r="D383" s="173" t="s">
        <v>470</v>
      </c>
      <c r="E383">
        <v>1</v>
      </c>
    </row>
    <row r="384" spans="1:5" hidden="1" x14ac:dyDescent="0.25">
      <c r="A384" s="173" t="s">
        <v>804</v>
      </c>
      <c r="B384">
        <v>11592</v>
      </c>
      <c r="C384" s="173" t="s">
        <v>812</v>
      </c>
      <c r="D384" s="173" t="s">
        <v>470</v>
      </c>
      <c r="E384">
        <v>1</v>
      </c>
    </row>
    <row r="385" spans="1:5" hidden="1" x14ac:dyDescent="0.25">
      <c r="A385" s="173" t="s">
        <v>804</v>
      </c>
      <c r="B385">
        <v>11592</v>
      </c>
      <c r="C385" s="173" t="s">
        <v>813</v>
      </c>
      <c r="D385" s="173" t="s">
        <v>470</v>
      </c>
      <c r="E385">
        <v>1</v>
      </c>
    </row>
    <row r="386" spans="1:5" hidden="1" x14ac:dyDescent="0.25">
      <c r="A386" s="173" t="s">
        <v>804</v>
      </c>
      <c r="B386">
        <v>11592</v>
      </c>
      <c r="C386" s="173" t="s">
        <v>814</v>
      </c>
      <c r="D386" s="173" t="s">
        <v>470</v>
      </c>
      <c r="E386">
        <v>1</v>
      </c>
    </row>
    <row r="387" spans="1:5" hidden="1" x14ac:dyDescent="0.25">
      <c r="A387" s="173" t="s">
        <v>804</v>
      </c>
      <c r="B387">
        <v>11729</v>
      </c>
      <c r="C387" s="173" t="s">
        <v>815</v>
      </c>
      <c r="D387" s="173" t="s">
        <v>470</v>
      </c>
      <c r="E387">
        <v>2</v>
      </c>
    </row>
    <row r="388" spans="1:5" hidden="1" x14ac:dyDescent="0.25">
      <c r="A388" s="173" t="s">
        <v>804</v>
      </c>
      <c r="B388">
        <v>11729</v>
      </c>
      <c r="C388" s="173" t="s">
        <v>816</v>
      </c>
      <c r="D388" s="173" t="s">
        <v>470</v>
      </c>
      <c r="E388">
        <v>2</v>
      </c>
    </row>
    <row r="389" spans="1:5" hidden="1" x14ac:dyDescent="0.25">
      <c r="A389" s="173" t="s">
        <v>804</v>
      </c>
      <c r="B389">
        <v>11729</v>
      </c>
      <c r="C389" s="173" t="s">
        <v>817</v>
      </c>
      <c r="D389" s="173" t="s">
        <v>470</v>
      </c>
      <c r="E389">
        <v>2</v>
      </c>
    </row>
    <row r="390" spans="1:5" hidden="1" x14ac:dyDescent="0.25">
      <c r="A390" s="173" t="s">
        <v>804</v>
      </c>
      <c r="B390">
        <v>11729</v>
      </c>
      <c r="C390" s="173" t="s">
        <v>818</v>
      </c>
      <c r="D390" s="173" t="s">
        <v>470</v>
      </c>
      <c r="E390">
        <v>2</v>
      </c>
    </row>
    <row r="391" spans="1:5" hidden="1" x14ac:dyDescent="0.25">
      <c r="A391" s="173" t="s">
        <v>804</v>
      </c>
      <c r="B391">
        <v>11729</v>
      </c>
      <c r="C391" s="173" t="s">
        <v>819</v>
      </c>
      <c r="D391" s="173" t="s">
        <v>470</v>
      </c>
      <c r="E391">
        <v>4</v>
      </c>
    </row>
    <row r="392" spans="1:5" hidden="1" x14ac:dyDescent="0.25">
      <c r="A392" s="173" t="s">
        <v>804</v>
      </c>
      <c r="B392">
        <v>11729</v>
      </c>
      <c r="C392" s="173" t="s">
        <v>820</v>
      </c>
      <c r="D392" s="173" t="s">
        <v>470</v>
      </c>
      <c r="E392">
        <v>4</v>
      </c>
    </row>
    <row r="393" spans="1:5" hidden="1" x14ac:dyDescent="0.25">
      <c r="A393" s="173" t="s">
        <v>804</v>
      </c>
      <c r="B393">
        <v>11729</v>
      </c>
      <c r="C393" s="173" t="s">
        <v>3534</v>
      </c>
      <c r="D393" s="173" t="s">
        <v>470</v>
      </c>
      <c r="E393">
        <v>3</v>
      </c>
    </row>
    <row r="394" spans="1:5" hidden="1" x14ac:dyDescent="0.25">
      <c r="A394" s="173" t="s">
        <v>804</v>
      </c>
      <c r="B394">
        <v>11729</v>
      </c>
      <c r="C394" s="173" t="s">
        <v>3535</v>
      </c>
      <c r="D394" s="173" t="s">
        <v>470</v>
      </c>
      <c r="E394">
        <v>3</v>
      </c>
    </row>
    <row r="395" spans="1:5" hidden="1" x14ac:dyDescent="0.25">
      <c r="A395" s="173" t="s">
        <v>804</v>
      </c>
      <c r="B395">
        <v>11729</v>
      </c>
      <c r="C395" s="173" t="s">
        <v>821</v>
      </c>
      <c r="D395" s="173" t="s">
        <v>470</v>
      </c>
      <c r="E395">
        <v>2</v>
      </c>
    </row>
    <row r="396" spans="1:5" hidden="1" x14ac:dyDescent="0.25">
      <c r="A396" s="173" t="s">
        <v>804</v>
      </c>
      <c r="B396">
        <v>11729</v>
      </c>
      <c r="C396" s="173" t="s">
        <v>822</v>
      </c>
      <c r="D396" s="173" t="s">
        <v>470</v>
      </c>
      <c r="E396">
        <v>2</v>
      </c>
    </row>
    <row r="397" spans="1:5" hidden="1" x14ac:dyDescent="0.25">
      <c r="A397" s="173" t="s">
        <v>804</v>
      </c>
      <c r="B397">
        <v>11729</v>
      </c>
      <c r="C397" s="173" t="s">
        <v>823</v>
      </c>
      <c r="D397" s="173" t="s">
        <v>470</v>
      </c>
      <c r="E397">
        <v>2</v>
      </c>
    </row>
    <row r="398" spans="1:5" hidden="1" x14ac:dyDescent="0.25">
      <c r="A398" s="173" t="s">
        <v>804</v>
      </c>
      <c r="B398">
        <v>11729</v>
      </c>
      <c r="C398" s="173" t="s">
        <v>824</v>
      </c>
      <c r="D398" s="173" t="s">
        <v>470</v>
      </c>
      <c r="E398">
        <v>2</v>
      </c>
    </row>
    <row r="399" spans="1:5" hidden="1" x14ac:dyDescent="0.25">
      <c r="A399" s="173" t="s">
        <v>804</v>
      </c>
      <c r="B399">
        <v>11729</v>
      </c>
      <c r="C399" s="173" t="s">
        <v>825</v>
      </c>
      <c r="D399" s="173" t="s">
        <v>470</v>
      </c>
      <c r="E399">
        <v>2</v>
      </c>
    </row>
    <row r="400" spans="1:5" hidden="1" x14ac:dyDescent="0.25">
      <c r="A400" s="173" t="s">
        <v>804</v>
      </c>
      <c r="B400">
        <v>11729</v>
      </c>
      <c r="C400" s="173" t="s">
        <v>826</v>
      </c>
      <c r="D400" s="173" t="s">
        <v>470</v>
      </c>
      <c r="E400">
        <v>2</v>
      </c>
    </row>
    <row r="401" spans="1:5" hidden="1" x14ac:dyDescent="0.25">
      <c r="A401" s="173" t="s">
        <v>804</v>
      </c>
      <c r="B401">
        <v>11729</v>
      </c>
      <c r="C401" s="173" t="s">
        <v>3536</v>
      </c>
      <c r="D401" s="173" t="s">
        <v>470</v>
      </c>
      <c r="E401">
        <v>3</v>
      </c>
    </row>
    <row r="402" spans="1:5" hidden="1" x14ac:dyDescent="0.25">
      <c r="A402" s="173" t="s">
        <v>804</v>
      </c>
      <c r="B402">
        <v>11729</v>
      </c>
      <c r="C402" s="173" t="s">
        <v>3537</v>
      </c>
      <c r="D402" s="173" t="s">
        <v>470</v>
      </c>
      <c r="E402">
        <v>3</v>
      </c>
    </row>
    <row r="403" spans="1:5" hidden="1" x14ac:dyDescent="0.25">
      <c r="A403" s="173" t="s">
        <v>804</v>
      </c>
      <c r="B403">
        <v>11729</v>
      </c>
      <c r="C403" s="173" t="s">
        <v>827</v>
      </c>
      <c r="D403" s="173" t="s">
        <v>470</v>
      </c>
      <c r="E403">
        <v>2</v>
      </c>
    </row>
    <row r="404" spans="1:5" hidden="1" x14ac:dyDescent="0.25">
      <c r="A404" s="173" t="s">
        <v>804</v>
      </c>
      <c r="B404">
        <v>11729</v>
      </c>
      <c r="C404" s="173" t="s">
        <v>828</v>
      </c>
      <c r="D404" s="173" t="s">
        <v>470</v>
      </c>
      <c r="E404">
        <v>2</v>
      </c>
    </row>
    <row r="405" spans="1:5" hidden="1" x14ac:dyDescent="0.25">
      <c r="A405" s="173" t="s">
        <v>804</v>
      </c>
      <c r="B405">
        <v>11729</v>
      </c>
      <c r="C405" s="173" t="s">
        <v>3538</v>
      </c>
      <c r="D405" s="173" t="s">
        <v>470</v>
      </c>
      <c r="E405">
        <v>3</v>
      </c>
    </row>
    <row r="406" spans="1:5" hidden="1" x14ac:dyDescent="0.25">
      <c r="A406" s="173" t="s">
        <v>804</v>
      </c>
      <c r="B406">
        <v>11729</v>
      </c>
      <c r="C406" s="173" t="s">
        <v>3539</v>
      </c>
      <c r="D406" s="173" t="s">
        <v>470</v>
      </c>
      <c r="E406">
        <v>3</v>
      </c>
    </row>
    <row r="407" spans="1:5" hidden="1" x14ac:dyDescent="0.25">
      <c r="A407" s="173" t="s">
        <v>804</v>
      </c>
      <c r="B407">
        <v>11729</v>
      </c>
      <c r="C407" s="173" t="s">
        <v>3540</v>
      </c>
      <c r="D407" s="173" t="s">
        <v>470</v>
      </c>
      <c r="E407">
        <v>3</v>
      </c>
    </row>
    <row r="408" spans="1:5" hidden="1" x14ac:dyDescent="0.25">
      <c r="A408" s="173" t="s">
        <v>804</v>
      </c>
      <c r="B408">
        <v>11729</v>
      </c>
      <c r="C408" s="173" t="s">
        <v>3541</v>
      </c>
      <c r="D408" s="173" t="s">
        <v>470</v>
      </c>
      <c r="E408">
        <v>3</v>
      </c>
    </row>
    <row r="409" spans="1:5" hidden="1" x14ac:dyDescent="0.25">
      <c r="A409" s="173" t="s">
        <v>804</v>
      </c>
      <c r="B409">
        <v>11729</v>
      </c>
      <c r="C409" s="173" t="s">
        <v>3542</v>
      </c>
      <c r="D409" s="173" t="s">
        <v>470</v>
      </c>
      <c r="E409">
        <v>3</v>
      </c>
    </row>
    <row r="410" spans="1:5" hidden="1" x14ac:dyDescent="0.25">
      <c r="A410" s="173" t="s">
        <v>804</v>
      </c>
      <c r="B410">
        <v>11729</v>
      </c>
      <c r="C410" s="173" t="s">
        <v>3543</v>
      </c>
      <c r="D410" s="173" t="s">
        <v>470</v>
      </c>
      <c r="E410">
        <v>3</v>
      </c>
    </row>
    <row r="411" spans="1:5" hidden="1" x14ac:dyDescent="0.25">
      <c r="A411" s="173" t="s">
        <v>804</v>
      </c>
      <c r="B411">
        <v>11729</v>
      </c>
      <c r="C411" s="173" t="s">
        <v>3544</v>
      </c>
      <c r="D411" s="173" t="s">
        <v>470</v>
      </c>
      <c r="E411">
        <v>2</v>
      </c>
    </row>
    <row r="412" spans="1:5" hidden="1" x14ac:dyDescent="0.25">
      <c r="A412" s="173" t="s">
        <v>804</v>
      </c>
      <c r="B412">
        <v>11729</v>
      </c>
      <c r="C412" s="173" t="s">
        <v>3545</v>
      </c>
      <c r="D412" s="173" t="s">
        <v>470</v>
      </c>
      <c r="E412">
        <v>3</v>
      </c>
    </row>
    <row r="413" spans="1:5" hidden="1" x14ac:dyDescent="0.25">
      <c r="A413" s="173" t="s">
        <v>804</v>
      </c>
      <c r="B413">
        <v>11729</v>
      </c>
      <c r="C413" s="173" t="s">
        <v>829</v>
      </c>
      <c r="D413" s="173" t="s">
        <v>470</v>
      </c>
      <c r="E413">
        <v>5</v>
      </c>
    </row>
    <row r="414" spans="1:5" hidden="1" x14ac:dyDescent="0.25">
      <c r="A414" s="173" t="s">
        <v>804</v>
      </c>
      <c r="B414">
        <v>11729</v>
      </c>
      <c r="C414" s="173" t="s">
        <v>830</v>
      </c>
      <c r="D414" s="173" t="s">
        <v>470</v>
      </c>
      <c r="E414">
        <v>4</v>
      </c>
    </row>
    <row r="415" spans="1:5" hidden="1" x14ac:dyDescent="0.25">
      <c r="A415" s="173" t="s">
        <v>804</v>
      </c>
      <c r="B415">
        <v>11729</v>
      </c>
      <c r="C415" s="173" t="s">
        <v>831</v>
      </c>
      <c r="D415" s="173" t="s">
        <v>470</v>
      </c>
      <c r="E415">
        <v>4</v>
      </c>
    </row>
    <row r="416" spans="1:5" hidden="1" x14ac:dyDescent="0.25">
      <c r="A416" s="173" t="s">
        <v>804</v>
      </c>
      <c r="B416">
        <v>11729</v>
      </c>
      <c r="C416" s="173" t="s">
        <v>832</v>
      </c>
      <c r="D416" s="173" t="s">
        <v>470</v>
      </c>
      <c r="E416">
        <v>4</v>
      </c>
    </row>
    <row r="417" spans="1:5" hidden="1" x14ac:dyDescent="0.25">
      <c r="A417" s="173" t="s">
        <v>804</v>
      </c>
      <c r="B417">
        <v>11729</v>
      </c>
      <c r="C417" s="173" t="s">
        <v>833</v>
      </c>
      <c r="D417" s="173" t="s">
        <v>470</v>
      </c>
      <c r="E417">
        <v>5</v>
      </c>
    </row>
    <row r="418" spans="1:5" hidden="1" x14ac:dyDescent="0.25">
      <c r="A418" s="173" t="s">
        <v>804</v>
      </c>
      <c r="B418">
        <v>11729</v>
      </c>
      <c r="C418" s="173" t="s">
        <v>3546</v>
      </c>
      <c r="D418" s="173" t="s">
        <v>470</v>
      </c>
      <c r="E418">
        <v>4</v>
      </c>
    </row>
    <row r="419" spans="1:5" hidden="1" x14ac:dyDescent="0.25">
      <c r="A419" s="173" t="s">
        <v>804</v>
      </c>
      <c r="B419">
        <v>11729</v>
      </c>
      <c r="C419" s="173" t="s">
        <v>3547</v>
      </c>
      <c r="D419" s="173" t="s">
        <v>470</v>
      </c>
      <c r="E419">
        <v>3</v>
      </c>
    </row>
    <row r="420" spans="1:5" hidden="1" x14ac:dyDescent="0.25">
      <c r="A420" s="173" t="s">
        <v>804</v>
      </c>
      <c r="B420">
        <v>11729</v>
      </c>
      <c r="C420" s="173" t="s">
        <v>3548</v>
      </c>
      <c r="D420" s="173" t="s">
        <v>470</v>
      </c>
      <c r="E420">
        <v>5</v>
      </c>
    </row>
    <row r="421" spans="1:5" hidden="1" x14ac:dyDescent="0.25">
      <c r="A421" s="173" t="s">
        <v>804</v>
      </c>
      <c r="B421">
        <v>11729</v>
      </c>
      <c r="C421" s="173" t="s">
        <v>3549</v>
      </c>
      <c r="D421" s="173" t="s">
        <v>470</v>
      </c>
      <c r="E421">
        <v>5</v>
      </c>
    </row>
    <row r="422" spans="1:5" hidden="1" x14ac:dyDescent="0.25">
      <c r="A422" s="173" t="s">
        <v>804</v>
      </c>
      <c r="B422">
        <v>11729</v>
      </c>
      <c r="C422" s="173" t="s">
        <v>3550</v>
      </c>
      <c r="D422" s="173" t="s">
        <v>470</v>
      </c>
      <c r="E422">
        <v>5</v>
      </c>
    </row>
    <row r="423" spans="1:5" hidden="1" x14ac:dyDescent="0.25">
      <c r="A423" s="173" t="s">
        <v>804</v>
      </c>
      <c r="B423">
        <v>11729</v>
      </c>
      <c r="C423" s="173" t="s">
        <v>834</v>
      </c>
      <c r="D423" s="173" t="s">
        <v>470</v>
      </c>
      <c r="E423">
        <v>4</v>
      </c>
    </row>
    <row r="424" spans="1:5" hidden="1" x14ac:dyDescent="0.25">
      <c r="A424" s="173" t="s">
        <v>804</v>
      </c>
      <c r="B424">
        <v>11729</v>
      </c>
      <c r="C424" s="173" t="s">
        <v>3551</v>
      </c>
      <c r="D424" s="173" t="s">
        <v>470</v>
      </c>
      <c r="E424">
        <v>2</v>
      </c>
    </row>
    <row r="425" spans="1:5" hidden="1" x14ac:dyDescent="0.25">
      <c r="A425" s="173" t="s">
        <v>804</v>
      </c>
      <c r="B425">
        <v>11729</v>
      </c>
      <c r="C425" s="173" t="s">
        <v>3552</v>
      </c>
      <c r="D425" s="173" t="s">
        <v>470</v>
      </c>
      <c r="E425">
        <v>2</v>
      </c>
    </row>
    <row r="426" spans="1:5" hidden="1" x14ac:dyDescent="0.25">
      <c r="A426" s="173" t="s">
        <v>804</v>
      </c>
      <c r="B426">
        <v>11729</v>
      </c>
      <c r="C426" s="173" t="s">
        <v>3553</v>
      </c>
      <c r="D426" s="173" t="s">
        <v>470</v>
      </c>
      <c r="E426">
        <v>3</v>
      </c>
    </row>
    <row r="427" spans="1:5" hidden="1" x14ac:dyDescent="0.25">
      <c r="A427" s="173" t="s">
        <v>804</v>
      </c>
      <c r="B427">
        <v>11729</v>
      </c>
      <c r="C427" s="173" t="s">
        <v>3554</v>
      </c>
      <c r="D427" s="173" t="s">
        <v>470</v>
      </c>
      <c r="E427">
        <v>3</v>
      </c>
    </row>
    <row r="428" spans="1:5" hidden="1" x14ac:dyDescent="0.25">
      <c r="A428" s="173" t="s">
        <v>804</v>
      </c>
      <c r="B428">
        <v>11729</v>
      </c>
      <c r="C428" s="173" t="s">
        <v>3555</v>
      </c>
      <c r="D428" s="173" t="s">
        <v>470</v>
      </c>
      <c r="E428">
        <v>3</v>
      </c>
    </row>
    <row r="429" spans="1:5" hidden="1" x14ac:dyDescent="0.25">
      <c r="A429" s="173" t="s">
        <v>804</v>
      </c>
      <c r="B429">
        <v>11729</v>
      </c>
      <c r="C429" s="173" t="s">
        <v>3556</v>
      </c>
      <c r="D429" s="173" t="s">
        <v>470</v>
      </c>
      <c r="E429">
        <v>3</v>
      </c>
    </row>
    <row r="430" spans="1:5" hidden="1" x14ac:dyDescent="0.25">
      <c r="A430" s="173" t="s">
        <v>804</v>
      </c>
      <c r="B430">
        <v>11729</v>
      </c>
      <c r="C430" s="173" t="s">
        <v>3557</v>
      </c>
      <c r="D430" s="173" t="s">
        <v>470</v>
      </c>
      <c r="E430">
        <v>3</v>
      </c>
    </row>
    <row r="431" spans="1:5" hidden="1" x14ac:dyDescent="0.25">
      <c r="A431" s="173" t="s">
        <v>804</v>
      </c>
      <c r="B431">
        <v>11729</v>
      </c>
      <c r="C431" s="173" t="s">
        <v>3558</v>
      </c>
      <c r="D431" s="173" t="s">
        <v>470</v>
      </c>
      <c r="E431">
        <v>3</v>
      </c>
    </row>
    <row r="432" spans="1:5" hidden="1" x14ac:dyDescent="0.25">
      <c r="A432" s="173" t="s">
        <v>804</v>
      </c>
      <c r="B432">
        <v>11729</v>
      </c>
      <c r="C432" s="173" t="s">
        <v>3559</v>
      </c>
      <c r="D432" s="173" t="s">
        <v>470</v>
      </c>
      <c r="E432">
        <v>3</v>
      </c>
    </row>
    <row r="433" spans="1:5" hidden="1" x14ac:dyDescent="0.25">
      <c r="A433" s="173" t="s">
        <v>804</v>
      </c>
      <c r="B433">
        <v>11729</v>
      </c>
      <c r="C433" s="173" t="s">
        <v>3560</v>
      </c>
      <c r="D433" s="173" t="s">
        <v>470</v>
      </c>
      <c r="E433">
        <v>3</v>
      </c>
    </row>
    <row r="434" spans="1:5" hidden="1" x14ac:dyDescent="0.25">
      <c r="A434" s="173" t="s">
        <v>804</v>
      </c>
      <c r="B434">
        <v>11729</v>
      </c>
      <c r="C434" s="173" t="s">
        <v>3561</v>
      </c>
      <c r="D434" s="173" t="s">
        <v>470</v>
      </c>
      <c r="E434">
        <v>3</v>
      </c>
    </row>
    <row r="435" spans="1:5" hidden="1" x14ac:dyDescent="0.25">
      <c r="A435" s="173" t="s">
        <v>804</v>
      </c>
      <c r="B435">
        <v>11729</v>
      </c>
      <c r="C435" s="173" t="s">
        <v>3562</v>
      </c>
      <c r="D435" s="173" t="s">
        <v>470</v>
      </c>
      <c r="E435">
        <v>3</v>
      </c>
    </row>
    <row r="436" spans="1:5" hidden="1" x14ac:dyDescent="0.25">
      <c r="A436" s="173" t="s">
        <v>514</v>
      </c>
      <c r="B436">
        <v>11739</v>
      </c>
      <c r="C436" s="173" t="s">
        <v>615</v>
      </c>
      <c r="D436" s="173" t="s">
        <v>517</v>
      </c>
      <c r="E436">
        <v>1</v>
      </c>
    </row>
    <row r="437" spans="1:5" hidden="1" x14ac:dyDescent="0.25">
      <c r="A437" s="173" t="s">
        <v>514</v>
      </c>
      <c r="B437">
        <v>11739</v>
      </c>
      <c r="C437" s="173" t="s">
        <v>835</v>
      </c>
      <c r="D437" s="173" t="s">
        <v>517</v>
      </c>
      <c r="E437">
        <v>1</v>
      </c>
    </row>
    <row r="438" spans="1:5" hidden="1" x14ac:dyDescent="0.25">
      <c r="A438" s="173" t="s">
        <v>514</v>
      </c>
      <c r="B438">
        <v>11739</v>
      </c>
      <c r="C438" s="173" t="s">
        <v>488</v>
      </c>
      <c r="D438" s="173" t="s">
        <v>517</v>
      </c>
      <c r="E438">
        <v>1</v>
      </c>
    </row>
    <row r="439" spans="1:5" hidden="1" x14ac:dyDescent="0.25">
      <c r="A439" s="173" t="s">
        <v>514</v>
      </c>
      <c r="B439">
        <v>11739</v>
      </c>
      <c r="C439" s="173" t="s">
        <v>777</v>
      </c>
      <c r="D439" s="173" t="s">
        <v>517</v>
      </c>
      <c r="E439">
        <v>1</v>
      </c>
    </row>
    <row r="440" spans="1:5" hidden="1" x14ac:dyDescent="0.25">
      <c r="A440" s="173" t="s">
        <v>514</v>
      </c>
      <c r="B440">
        <v>11739</v>
      </c>
      <c r="C440" s="173" t="s">
        <v>836</v>
      </c>
      <c r="D440" s="173" t="s">
        <v>517</v>
      </c>
      <c r="E440">
        <v>1</v>
      </c>
    </row>
    <row r="441" spans="1:5" hidden="1" x14ac:dyDescent="0.25">
      <c r="A441" s="173" t="s">
        <v>514</v>
      </c>
      <c r="B441">
        <v>11739</v>
      </c>
      <c r="C441" s="173" t="s">
        <v>564</v>
      </c>
      <c r="D441" s="173" t="s">
        <v>517</v>
      </c>
      <c r="E441">
        <v>1</v>
      </c>
    </row>
    <row r="442" spans="1:5" hidden="1" x14ac:dyDescent="0.25">
      <c r="A442" s="173" t="s">
        <v>514</v>
      </c>
      <c r="B442">
        <v>11739</v>
      </c>
      <c r="C442" s="173" t="s">
        <v>785</v>
      </c>
      <c r="D442" s="173" t="s">
        <v>517</v>
      </c>
      <c r="E442">
        <v>1</v>
      </c>
    </row>
    <row r="443" spans="1:5" hidden="1" x14ac:dyDescent="0.25">
      <c r="A443" s="173" t="s">
        <v>514</v>
      </c>
      <c r="B443">
        <v>11739</v>
      </c>
      <c r="C443" s="173" t="s">
        <v>788</v>
      </c>
      <c r="D443" s="173" t="s">
        <v>517</v>
      </c>
      <c r="E443">
        <v>1</v>
      </c>
    </row>
    <row r="444" spans="1:5" hidden="1" x14ac:dyDescent="0.25">
      <c r="A444" s="173" t="s">
        <v>514</v>
      </c>
      <c r="B444">
        <v>11739</v>
      </c>
      <c r="C444" s="173" t="s">
        <v>792</v>
      </c>
      <c r="D444" s="173" t="s">
        <v>517</v>
      </c>
      <c r="E444">
        <v>1</v>
      </c>
    </row>
    <row r="445" spans="1:5" hidden="1" x14ac:dyDescent="0.25">
      <c r="A445" s="173" t="s">
        <v>514</v>
      </c>
      <c r="B445">
        <v>11739</v>
      </c>
      <c r="C445" s="173" t="s">
        <v>793</v>
      </c>
      <c r="D445" s="173" t="s">
        <v>517</v>
      </c>
      <c r="E445">
        <v>1</v>
      </c>
    </row>
    <row r="446" spans="1:5" hidden="1" x14ac:dyDescent="0.25">
      <c r="A446" s="173" t="s">
        <v>514</v>
      </c>
      <c r="B446">
        <v>11739</v>
      </c>
      <c r="C446" s="173" t="s">
        <v>794</v>
      </c>
      <c r="D446" s="173" t="s">
        <v>517</v>
      </c>
      <c r="E446">
        <v>1</v>
      </c>
    </row>
    <row r="447" spans="1:5" hidden="1" x14ac:dyDescent="0.25">
      <c r="A447" s="173" t="s">
        <v>514</v>
      </c>
      <c r="B447">
        <v>11739</v>
      </c>
      <c r="C447" s="173" t="s">
        <v>795</v>
      </c>
      <c r="D447" s="173" t="s">
        <v>517</v>
      </c>
      <c r="E447">
        <v>1</v>
      </c>
    </row>
    <row r="448" spans="1:5" hidden="1" x14ac:dyDescent="0.25">
      <c r="A448" s="173" t="s">
        <v>514</v>
      </c>
      <c r="B448">
        <v>11739</v>
      </c>
      <c r="C448" s="173" t="s">
        <v>796</v>
      </c>
      <c r="D448" s="173" t="s">
        <v>517</v>
      </c>
      <c r="E448">
        <v>1</v>
      </c>
    </row>
    <row r="449" spans="1:5" hidden="1" x14ac:dyDescent="0.25">
      <c r="A449" s="173" t="s">
        <v>514</v>
      </c>
      <c r="B449">
        <v>11739</v>
      </c>
      <c r="C449" s="173" t="s">
        <v>837</v>
      </c>
      <c r="D449" s="173" t="s">
        <v>517</v>
      </c>
      <c r="E449">
        <v>1</v>
      </c>
    </row>
    <row r="450" spans="1:5" hidden="1" x14ac:dyDescent="0.25">
      <c r="A450" s="173" t="s">
        <v>514</v>
      </c>
      <c r="B450">
        <v>11739</v>
      </c>
      <c r="C450" s="173" t="s">
        <v>838</v>
      </c>
      <c r="D450" s="173" t="s">
        <v>517</v>
      </c>
      <c r="E450">
        <v>1</v>
      </c>
    </row>
    <row r="451" spans="1:5" hidden="1" x14ac:dyDescent="0.25">
      <c r="A451" s="173" t="s">
        <v>514</v>
      </c>
      <c r="B451">
        <v>11739</v>
      </c>
      <c r="C451" s="173" t="s">
        <v>839</v>
      </c>
      <c r="D451" s="173" t="s">
        <v>517</v>
      </c>
      <c r="E451">
        <v>1</v>
      </c>
    </row>
    <row r="452" spans="1:5" hidden="1" x14ac:dyDescent="0.25">
      <c r="A452" s="173" t="s">
        <v>514</v>
      </c>
      <c r="B452">
        <v>11739</v>
      </c>
      <c r="C452" s="173" t="s">
        <v>840</v>
      </c>
      <c r="D452" s="173" t="s">
        <v>517</v>
      </c>
      <c r="E452">
        <v>1</v>
      </c>
    </row>
    <row r="453" spans="1:5" hidden="1" x14ac:dyDescent="0.25">
      <c r="A453" s="173" t="s">
        <v>514</v>
      </c>
      <c r="B453">
        <v>11739</v>
      </c>
      <c r="C453" s="173" t="s">
        <v>841</v>
      </c>
      <c r="D453" s="173" t="s">
        <v>517</v>
      </c>
      <c r="E453">
        <v>1</v>
      </c>
    </row>
    <row r="454" spans="1:5" hidden="1" x14ac:dyDescent="0.25">
      <c r="A454" s="173" t="s">
        <v>514</v>
      </c>
      <c r="B454">
        <v>11739</v>
      </c>
      <c r="C454" s="173" t="s">
        <v>842</v>
      </c>
      <c r="D454" s="173" t="s">
        <v>517</v>
      </c>
      <c r="E454">
        <v>1</v>
      </c>
    </row>
    <row r="455" spans="1:5" hidden="1" x14ac:dyDescent="0.25">
      <c r="A455" s="173" t="s">
        <v>514</v>
      </c>
      <c r="B455">
        <v>11739</v>
      </c>
      <c r="C455" s="173" t="s">
        <v>843</v>
      </c>
      <c r="D455" s="173" t="s">
        <v>517</v>
      </c>
      <c r="E455">
        <v>1</v>
      </c>
    </row>
    <row r="456" spans="1:5" hidden="1" x14ac:dyDescent="0.25">
      <c r="A456" s="173" t="s">
        <v>514</v>
      </c>
      <c r="B456">
        <v>11751</v>
      </c>
      <c r="C456" s="173" t="s">
        <v>786</v>
      </c>
      <c r="D456" s="173" t="s">
        <v>517</v>
      </c>
      <c r="E456">
        <v>1</v>
      </c>
    </row>
    <row r="457" spans="1:5" hidden="1" x14ac:dyDescent="0.25">
      <c r="A457" s="173" t="s">
        <v>514</v>
      </c>
      <c r="B457">
        <v>11751</v>
      </c>
      <c r="C457" s="173" t="s">
        <v>844</v>
      </c>
      <c r="D457" s="173" t="s">
        <v>517</v>
      </c>
      <c r="E457">
        <v>1</v>
      </c>
    </row>
    <row r="458" spans="1:5" hidden="1" x14ac:dyDescent="0.25">
      <c r="A458" s="173" t="s">
        <v>514</v>
      </c>
      <c r="B458">
        <v>11751</v>
      </c>
      <c r="C458" s="173" t="s">
        <v>845</v>
      </c>
      <c r="D458" s="173" t="s">
        <v>517</v>
      </c>
      <c r="E458">
        <v>1</v>
      </c>
    </row>
    <row r="459" spans="1:5" hidden="1" x14ac:dyDescent="0.25">
      <c r="A459" s="173" t="s">
        <v>514</v>
      </c>
      <c r="B459">
        <v>11751</v>
      </c>
      <c r="C459" s="173" t="s">
        <v>846</v>
      </c>
      <c r="D459" s="173" t="s">
        <v>517</v>
      </c>
      <c r="E459">
        <v>1</v>
      </c>
    </row>
    <row r="460" spans="1:5" hidden="1" x14ac:dyDescent="0.25">
      <c r="A460" s="173" t="s">
        <v>514</v>
      </c>
      <c r="B460">
        <v>11751</v>
      </c>
      <c r="C460" s="173" t="s">
        <v>847</v>
      </c>
      <c r="D460" s="173" t="s">
        <v>517</v>
      </c>
      <c r="E460">
        <v>1</v>
      </c>
    </row>
    <row r="461" spans="1:5" hidden="1" x14ac:dyDescent="0.25">
      <c r="A461" s="173" t="s">
        <v>514</v>
      </c>
      <c r="B461">
        <v>11751</v>
      </c>
      <c r="C461" s="173" t="s">
        <v>848</v>
      </c>
      <c r="D461" s="173" t="s">
        <v>517</v>
      </c>
      <c r="E461">
        <v>1</v>
      </c>
    </row>
    <row r="462" spans="1:5" hidden="1" x14ac:dyDescent="0.25">
      <c r="A462" s="173" t="s">
        <v>514</v>
      </c>
      <c r="B462">
        <v>11751</v>
      </c>
      <c r="C462" s="173" t="s">
        <v>849</v>
      </c>
      <c r="D462" s="173" t="s">
        <v>517</v>
      </c>
      <c r="E462">
        <v>1</v>
      </c>
    </row>
    <row r="463" spans="1:5" hidden="1" x14ac:dyDescent="0.25">
      <c r="A463" s="173" t="s">
        <v>514</v>
      </c>
      <c r="B463">
        <v>11751</v>
      </c>
      <c r="C463" s="173" t="s">
        <v>850</v>
      </c>
      <c r="D463" s="173" t="s">
        <v>517</v>
      </c>
      <c r="E463">
        <v>1</v>
      </c>
    </row>
    <row r="464" spans="1:5" hidden="1" x14ac:dyDescent="0.25">
      <c r="A464" s="173" t="s">
        <v>514</v>
      </c>
      <c r="B464">
        <v>11751</v>
      </c>
      <c r="C464" s="173" t="s">
        <v>851</v>
      </c>
      <c r="D464" s="173" t="s">
        <v>517</v>
      </c>
      <c r="E464">
        <v>1</v>
      </c>
    </row>
    <row r="465" spans="1:5" hidden="1" x14ac:dyDescent="0.25">
      <c r="A465" s="173" t="s">
        <v>514</v>
      </c>
      <c r="B465">
        <v>11751</v>
      </c>
      <c r="C465" s="173" t="s">
        <v>852</v>
      </c>
      <c r="D465" s="173" t="s">
        <v>517</v>
      </c>
      <c r="E465">
        <v>1</v>
      </c>
    </row>
    <row r="466" spans="1:5" hidden="1" x14ac:dyDescent="0.25">
      <c r="A466" s="173" t="s">
        <v>514</v>
      </c>
      <c r="B466">
        <v>11751</v>
      </c>
      <c r="C466" s="173" t="s">
        <v>853</v>
      </c>
      <c r="D466" s="173" t="s">
        <v>517</v>
      </c>
      <c r="E466">
        <v>1</v>
      </c>
    </row>
    <row r="467" spans="1:5" hidden="1" x14ac:dyDescent="0.25">
      <c r="A467" s="173" t="s">
        <v>514</v>
      </c>
      <c r="B467">
        <v>11751</v>
      </c>
      <c r="C467" s="173" t="s">
        <v>854</v>
      </c>
      <c r="D467" s="173" t="s">
        <v>517</v>
      </c>
      <c r="E467">
        <v>1</v>
      </c>
    </row>
    <row r="468" spans="1:5" hidden="1" x14ac:dyDescent="0.25">
      <c r="A468" s="173" t="s">
        <v>514</v>
      </c>
      <c r="B468">
        <v>11751</v>
      </c>
      <c r="C468" s="173" t="s">
        <v>855</v>
      </c>
      <c r="D468" s="173" t="s">
        <v>517</v>
      </c>
      <c r="E468">
        <v>1</v>
      </c>
    </row>
    <row r="469" spans="1:5" hidden="1" x14ac:dyDescent="0.25">
      <c r="A469" s="173" t="s">
        <v>514</v>
      </c>
      <c r="B469">
        <v>11751</v>
      </c>
      <c r="C469" s="173" t="s">
        <v>856</v>
      </c>
      <c r="D469" s="173" t="s">
        <v>517</v>
      </c>
      <c r="E469">
        <v>1</v>
      </c>
    </row>
    <row r="470" spans="1:5" hidden="1" x14ac:dyDescent="0.25">
      <c r="A470" s="173" t="s">
        <v>514</v>
      </c>
      <c r="B470">
        <v>11751</v>
      </c>
      <c r="C470" s="173" t="s">
        <v>857</v>
      </c>
      <c r="D470" s="173" t="s">
        <v>517</v>
      </c>
      <c r="E470">
        <v>1</v>
      </c>
    </row>
    <row r="471" spans="1:5" hidden="1" x14ac:dyDescent="0.25">
      <c r="A471" s="173" t="s">
        <v>514</v>
      </c>
      <c r="B471">
        <v>11751</v>
      </c>
      <c r="C471" s="173" t="s">
        <v>858</v>
      </c>
      <c r="D471" s="173" t="s">
        <v>517</v>
      </c>
      <c r="E471">
        <v>1</v>
      </c>
    </row>
    <row r="472" spans="1:5" hidden="1" x14ac:dyDescent="0.25">
      <c r="A472" s="173" t="s">
        <v>514</v>
      </c>
      <c r="B472">
        <v>11751</v>
      </c>
      <c r="C472" s="173" t="s">
        <v>859</v>
      </c>
      <c r="D472" s="173" t="s">
        <v>517</v>
      </c>
      <c r="E472">
        <v>1</v>
      </c>
    </row>
    <row r="473" spans="1:5" hidden="1" x14ac:dyDescent="0.25">
      <c r="A473" s="173" t="s">
        <v>514</v>
      </c>
      <c r="B473">
        <v>11751</v>
      </c>
      <c r="C473" s="173" t="s">
        <v>860</v>
      </c>
      <c r="D473" s="173" t="s">
        <v>517</v>
      </c>
      <c r="E473">
        <v>1</v>
      </c>
    </row>
    <row r="474" spans="1:5" hidden="1" x14ac:dyDescent="0.25">
      <c r="A474" s="173" t="s">
        <v>514</v>
      </c>
      <c r="B474">
        <v>11751</v>
      </c>
      <c r="C474" s="173" t="s">
        <v>861</v>
      </c>
      <c r="D474" s="173" t="s">
        <v>517</v>
      </c>
      <c r="E474">
        <v>1</v>
      </c>
    </row>
    <row r="475" spans="1:5" hidden="1" x14ac:dyDescent="0.25">
      <c r="A475" s="173" t="s">
        <v>514</v>
      </c>
      <c r="B475">
        <v>11751</v>
      </c>
      <c r="C475" s="173" t="s">
        <v>862</v>
      </c>
      <c r="D475" s="173" t="s">
        <v>517</v>
      </c>
      <c r="E475">
        <v>1</v>
      </c>
    </row>
    <row r="476" spans="1:5" hidden="1" x14ac:dyDescent="0.25">
      <c r="A476" s="173" t="s">
        <v>514</v>
      </c>
      <c r="B476">
        <v>11751</v>
      </c>
      <c r="C476" s="173" t="s">
        <v>863</v>
      </c>
      <c r="D476" s="173" t="s">
        <v>517</v>
      </c>
      <c r="E476">
        <v>1</v>
      </c>
    </row>
    <row r="477" spans="1:5" hidden="1" x14ac:dyDescent="0.25">
      <c r="A477" s="173" t="s">
        <v>514</v>
      </c>
      <c r="B477">
        <v>11751</v>
      </c>
      <c r="C477" s="173" t="s">
        <v>864</v>
      </c>
      <c r="D477" s="173" t="s">
        <v>517</v>
      </c>
      <c r="E477">
        <v>1</v>
      </c>
    </row>
    <row r="478" spans="1:5" hidden="1" x14ac:dyDescent="0.25">
      <c r="A478" s="173" t="s">
        <v>514</v>
      </c>
      <c r="B478">
        <v>11751</v>
      </c>
      <c r="C478" s="173" t="s">
        <v>865</v>
      </c>
      <c r="D478" s="173" t="s">
        <v>517</v>
      </c>
      <c r="E478">
        <v>1</v>
      </c>
    </row>
    <row r="479" spans="1:5" hidden="1" x14ac:dyDescent="0.25">
      <c r="A479" s="173" t="s">
        <v>514</v>
      </c>
      <c r="B479">
        <v>11751</v>
      </c>
      <c r="C479" s="173" t="s">
        <v>866</v>
      </c>
      <c r="D479" s="173" t="s">
        <v>517</v>
      </c>
      <c r="E479">
        <v>1</v>
      </c>
    </row>
    <row r="480" spans="1:5" hidden="1" x14ac:dyDescent="0.25">
      <c r="A480" s="173" t="s">
        <v>514</v>
      </c>
      <c r="B480">
        <v>11751</v>
      </c>
      <c r="C480" s="173" t="s">
        <v>867</v>
      </c>
      <c r="D480" s="173" t="s">
        <v>517</v>
      </c>
      <c r="E480">
        <v>1</v>
      </c>
    </row>
    <row r="481" spans="1:5" hidden="1" x14ac:dyDescent="0.25">
      <c r="A481" s="173" t="s">
        <v>514</v>
      </c>
      <c r="B481">
        <v>11751</v>
      </c>
      <c r="C481" s="173" t="s">
        <v>868</v>
      </c>
      <c r="D481" s="173" t="s">
        <v>517</v>
      </c>
      <c r="E481">
        <v>1</v>
      </c>
    </row>
    <row r="482" spans="1:5" hidden="1" x14ac:dyDescent="0.25">
      <c r="A482" s="173" t="s">
        <v>804</v>
      </c>
      <c r="B482">
        <v>11768</v>
      </c>
      <c r="C482" s="173" t="s">
        <v>869</v>
      </c>
      <c r="D482" s="173" t="s">
        <v>470</v>
      </c>
      <c r="E482">
        <v>2</v>
      </c>
    </row>
    <row r="483" spans="1:5" hidden="1" x14ac:dyDescent="0.25">
      <c r="A483" s="173" t="s">
        <v>804</v>
      </c>
      <c r="B483">
        <v>11768</v>
      </c>
      <c r="C483" s="173" t="s">
        <v>869</v>
      </c>
      <c r="D483" s="173" t="s">
        <v>470</v>
      </c>
      <c r="E483">
        <v>6</v>
      </c>
    </row>
    <row r="484" spans="1:5" hidden="1" x14ac:dyDescent="0.25">
      <c r="A484" s="173" t="s">
        <v>804</v>
      </c>
      <c r="B484">
        <v>11768</v>
      </c>
      <c r="C484" s="173" t="s">
        <v>870</v>
      </c>
      <c r="D484" s="173" t="s">
        <v>470</v>
      </c>
      <c r="E484">
        <v>6</v>
      </c>
    </row>
    <row r="485" spans="1:5" hidden="1" x14ac:dyDescent="0.25">
      <c r="A485" s="173" t="s">
        <v>804</v>
      </c>
      <c r="B485">
        <v>11768</v>
      </c>
      <c r="C485" s="173" t="s">
        <v>870</v>
      </c>
      <c r="D485" s="173" t="s">
        <v>470</v>
      </c>
      <c r="E485">
        <v>2</v>
      </c>
    </row>
    <row r="486" spans="1:5" hidden="1" x14ac:dyDescent="0.25">
      <c r="A486" s="173" t="s">
        <v>804</v>
      </c>
      <c r="B486">
        <v>11768</v>
      </c>
      <c r="C486" s="173" t="s">
        <v>871</v>
      </c>
      <c r="D486" s="173" t="s">
        <v>470</v>
      </c>
      <c r="E486">
        <v>2</v>
      </c>
    </row>
    <row r="487" spans="1:5" hidden="1" x14ac:dyDescent="0.25">
      <c r="A487" s="173" t="s">
        <v>804</v>
      </c>
      <c r="B487">
        <v>11768</v>
      </c>
      <c r="C487" s="173" t="s">
        <v>871</v>
      </c>
      <c r="D487" s="173" t="s">
        <v>470</v>
      </c>
      <c r="E487">
        <v>6</v>
      </c>
    </row>
    <row r="488" spans="1:5" hidden="1" x14ac:dyDescent="0.25">
      <c r="A488" s="173" t="s">
        <v>804</v>
      </c>
      <c r="B488">
        <v>11768</v>
      </c>
      <c r="C488" s="173" t="s">
        <v>872</v>
      </c>
      <c r="D488" s="173" t="s">
        <v>470</v>
      </c>
      <c r="E488">
        <v>2</v>
      </c>
    </row>
    <row r="489" spans="1:5" hidden="1" x14ac:dyDescent="0.25">
      <c r="A489" s="173" t="s">
        <v>804</v>
      </c>
      <c r="B489">
        <v>11768</v>
      </c>
      <c r="C489" s="173" t="s">
        <v>872</v>
      </c>
      <c r="D489" s="173" t="s">
        <v>470</v>
      </c>
      <c r="E489">
        <v>6</v>
      </c>
    </row>
    <row r="490" spans="1:5" hidden="1" x14ac:dyDescent="0.25">
      <c r="A490" s="173" t="s">
        <v>804</v>
      </c>
      <c r="B490">
        <v>11768</v>
      </c>
      <c r="C490" s="173" t="s">
        <v>873</v>
      </c>
      <c r="D490" s="173" t="s">
        <v>470</v>
      </c>
      <c r="E490">
        <v>6</v>
      </c>
    </row>
    <row r="491" spans="1:5" hidden="1" x14ac:dyDescent="0.25">
      <c r="A491" s="173" t="s">
        <v>804</v>
      </c>
      <c r="B491">
        <v>11768</v>
      </c>
      <c r="C491" s="173" t="s">
        <v>873</v>
      </c>
      <c r="D491" s="173" t="s">
        <v>470</v>
      </c>
      <c r="E491">
        <v>2</v>
      </c>
    </row>
    <row r="492" spans="1:5" hidden="1" x14ac:dyDescent="0.25">
      <c r="A492" s="173" t="s">
        <v>514</v>
      </c>
      <c r="B492">
        <v>11784</v>
      </c>
      <c r="C492" s="173" t="s">
        <v>875</v>
      </c>
      <c r="D492" s="173" t="s">
        <v>517</v>
      </c>
      <c r="E492">
        <v>1</v>
      </c>
    </row>
    <row r="493" spans="1:5" hidden="1" x14ac:dyDescent="0.25">
      <c r="A493" s="173" t="s">
        <v>514</v>
      </c>
      <c r="B493">
        <v>11784</v>
      </c>
      <c r="C493" s="173" t="s">
        <v>876</v>
      </c>
      <c r="D493" s="173" t="s">
        <v>517</v>
      </c>
      <c r="E493">
        <v>1</v>
      </c>
    </row>
    <row r="494" spans="1:5" hidden="1" x14ac:dyDescent="0.25">
      <c r="A494" s="173" t="s">
        <v>514</v>
      </c>
      <c r="B494">
        <v>11784</v>
      </c>
      <c r="C494" s="173" t="s">
        <v>877</v>
      </c>
      <c r="D494" s="173" t="s">
        <v>517</v>
      </c>
      <c r="E494">
        <v>1</v>
      </c>
    </row>
    <row r="495" spans="1:5" hidden="1" x14ac:dyDescent="0.25">
      <c r="A495" s="173" t="s">
        <v>514</v>
      </c>
      <c r="B495">
        <v>11784</v>
      </c>
      <c r="C495" s="173" t="s">
        <v>878</v>
      </c>
      <c r="D495" s="173" t="s">
        <v>517</v>
      </c>
      <c r="E495">
        <v>1</v>
      </c>
    </row>
    <row r="496" spans="1:5" hidden="1" x14ac:dyDescent="0.25">
      <c r="A496" s="173" t="s">
        <v>514</v>
      </c>
      <c r="B496">
        <v>11784</v>
      </c>
      <c r="C496" s="173" t="s">
        <v>879</v>
      </c>
      <c r="D496" s="173" t="s">
        <v>517</v>
      </c>
      <c r="E496">
        <v>1</v>
      </c>
    </row>
    <row r="497" spans="1:5" hidden="1" x14ac:dyDescent="0.25">
      <c r="A497" s="173" t="s">
        <v>514</v>
      </c>
      <c r="B497">
        <v>11784</v>
      </c>
      <c r="C497" s="173" t="s">
        <v>880</v>
      </c>
      <c r="D497" s="173" t="s">
        <v>517</v>
      </c>
      <c r="E497">
        <v>1</v>
      </c>
    </row>
    <row r="498" spans="1:5" hidden="1" x14ac:dyDescent="0.25">
      <c r="A498" s="173" t="s">
        <v>514</v>
      </c>
      <c r="B498">
        <v>11784</v>
      </c>
      <c r="C498" s="173" t="s">
        <v>881</v>
      </c>
      <c r="D498" s="173" t="s">
        <v>517</v>
      </c>
      <c r="E498">
        <v>1</v>
      </c>
    </row>
    <row r="499" spans="1:5" hidden="1" x14ac:dyDescent="0.25">
      <c r="A499" s="173" t="s">
        <v>514</v>
      </c>
      <c r="B499">
        <v>11784</v>
      </c>
      <c r="C499" s="173" t="s">
        <v>882</v>
      </c>
      <c r="D499" s="173" t="s">
        <v>517</v>
      </c>
      <c r="E499">
        <v>1</v>
      </c>
    </row>
    <row r="500" spans="1:5" x14ac:dyDescent="0.25">
      <c r="A500" s="173" t="s">
        <v>468</v>
      </c>
      <c r="B500">
        <v>11810</v>
      </c>
      <c r="C500" s="173" t="s">
        <v>883</v>
      </c>
      <c r="D500" s="173" t="s">
        <v>470</v>
      </c>
      <c r="E500">
        <v>3</v>
      </c>
    </row>
    <row r="501" spans="1:5" x14ac:dyDescent="0.25">
      <c r="A501" s="173" t="s">
        <v>468</v>
      </c>
      <c r="B501">
        <v>11810</v>
      </c>
      <c r="C501" s="173" t="s">
        <v>884</v>
      </c>
      <c r="D501" s="173" t="s">
        <v>470</v>
      </c>
      <c r="E501">
        <v>3</v>
      </c>
    </row>
    <row r="502" spans="1:5" x14ac:dyDescent="0.25">
      <c r="A502" s="173" t="s">
        <v>468</v>
      </c>
      <c r="B502">
        <v>11810</v>
      </c>
      <c r="C502" s="173" t="s">
        <v>885</v>
      </c>
      <c r="D502" s="173" t="s">
        <v>470</v>
      </c>
      <c r="E502">
        <v>2</v>
      </c>
    </row>
    <row r="503" spans="1:5" x14ac:dyDescent="0.25">
      <c r="A503" s="173" t="s">
        <v>468</v>
      </c>
      <c r="B503">
        <v>11810</v>
      </c>
      <c r="C503" s="173" t="s">
        <v>480</v>
      </c>
      <c r="D503" s="173" t="s">
        <v>470</v>
      </c>
      <c r="E503">
        <v>3</v>
      </c>
    </row>
    <row r="504" spans="1:5" x14ac:dyDescent="0.25">
      <c r="A504" s="173" t="s">
        <v>468</v>
      </c>
      <c r="B504">
        <v>11810</v>
      </c>
      <c r="C504" s="173" t="s">
        <v>532</v>
      </c>
      <c r="D504" s="173" t="s">
        <v>470</v>
      </c>
      <c r="E504">
        <v>3</v>
      </c>
    </row>
    <row r="505" spans="1:5" x14ac:dyDescent="0.25">
      <c r="A505" s="173" t="s">
        <v>468</v>
      </c>
      <c r="B505">
        <v>11810</v>
      </c>
      <c r="C505" s="173" t="s">
        <v>886</v>
      </c>
      <c r="D505" s="173" t="s">
        <v>470</v>
      </c>
      <c r="E505">
        <v>3</v>
      </c>
    </row>
    <row r="506" spans="1:5" x14ac:dyDescent="0.25">
      <c r="A506" s="173" t="s">
        <v>468</v>
      </c>
      <c r="B506">
        <v>11810</v>
      </c>
      <c r="C506" s="173" t="s">
        <v>887</v>
      </c>
      <c r="D506" s="173" t="s">
        <v>470</v>
      </c>
      <c r="E506">
        <v>3</v>
      </c>
    </row>
    <row r="507" spans="1:5" x14ac:dyDescent="0.25">
      <c r="A507" s="173" t="s">
        <v>468</v>
      </c>
      <c r="B507">
        <v>11810</v>
      </c>
      <c r="C507" s="173" t="s">
        <v>888</v>
      </c>
      <c r="D507" s="173" t="s">
        <v>470</v>
      </c>
      <c r="E507">
        <v>3</v>
      </c>
    </row>
    <row r="508" spans="1:5" x14ac:dyDescent="0.25">
      <c r="A508" s="173" t="s">
        <v>468</v>
      </c>
      <c r="B508">
        <v>11810</v>
      </c>
      <c r="C508" s="173" t="s">
        <v>889</v>
      </c>
      <c r="D508" s="173" t="s">
        <v>470</v>
      </c>
      <c r="E508">
        <v>2</v>
      </c>
    </row>
    <row r="509" spans="1:5" x14ac:dyDescent="0.25">
      <c r="A509" s="173" t="s">
        <v>468</v>
      </c>
      <c r="B509">
        <v>11810</v>
      </c>
      <c r="C509" s="173" t="s">
        <v>890</v>
      </c>
      <c r="D509" s="173" t="s">
        <v>470</v>
      </c>
      <c r="E509">
        <v>2</v>
      </c>
    </row>
    <row r="510" spans="1:5" x14ac:dyDescent="0.25">
      <c r="A510" s="173" t="s">
        <v>468</v>
      </c>
      <c r="B510">
        <v>11810</v>
      </c>
      <c r="C510" s="173" t="s">
        <v>891</v>
      </c>
      <c r="D510" s="173" t="s">
        <v>470</v>
      </c>
      <c r="E510">
        <v>2</v>
      </c>
    </row>
    <row r="511" spans="1:5" x14ac:dyDescent="0.25">
      <c r="A511" s="173" t="s">
        <v>468</v>
      </c>
      <c r="B511">
        <v>11810</v>
      </c>
      <c r="C511" s="173" t="s">
        <v>892</v>
      </c>
      <c r="D511" s="173" t="s">
        <v>470</v>
      </c>
      <c r="E511">
        <v>5</v>
      </c>
    </row>
    <row r="512" spans="1:5" x14ac:dyDescent="0.25">
      <c r="A512" s="173" t="s">
        <v>468</v>
      </c>
      <c r="B512">
        <v>11810</v>
      </c>
      <c r="C512" s="173" t="s">
        <v>893</v>
      </c>
      <c r="D512" s="173" t="s">
        <v>470</v>
      </c>
      <c r="E512">
        <v>5</v>
      </c>
    </row>
    <row r="513" spans="1:5" x14ac:dyDescent="0.25">
      <c r="A513" s="173" t="s">
        <v>468</v>
      </c>
      <c r="B513">
        <v>11810</v>
      </c>
      <c r="C513" s="173" t="s">
        <v>894</v>
      </c>
      <c r="D513" s="173" t="s">
        <v>470</v>
      </c>
      <c r="E513">
        <v>4</v>
      </c>
    </row>
    <row r="514" spans="1:5" x14ac:dyDescent="0.25">
      <c r="A514" s="173" t="s">
        <v>468</v>
      </c>
      <c r="B514">
        <v>11810</v>
      </c>
      <c r="C514" s="173" t="s">
        <v>895</v>
      </c>
      <c r="D514" s="173" t="s">
        <v>470</v>
      </c>
      <c r="E514">
        <v>3</v>
      </c>
    </row>
    <row r="515" spans="1:5" x14ac:dyDescent="0.25">
      <c r="A515" s="173" t="s">
        <v>468</v>
      </c>
      <c r="B515">
        <v>11810</v>
      </c>
      <c r="C515" s="173" t="s">
        <v>896</v>
      </c>
      <c r="D515" s="173" t="s">
        <v>470</v>
      </c>
      <c r="E515">
        <v>4</v>
      </c>
    </row>
    <row r="516" spans="1:5" x14ac:dyDescent="0.25">
      <c r="A516" s="173" t="s">
        <v>468</v>
      </c>
      <c r="B516">
        <v>11810</v>
      </c>
      <c r="C516" s="173" t="s">
        <v>897</v>
      </c>
      <c r="D516" s="173" t="s">
        <v>470</v>
      </c>
      <c r="E516">
        <v>4</v>
      </c>
    </row>
    <row r="517" spans="1:5" x14ac:dyDescent="0.25">
      <c r="A517" s="173" t="s">
        <v>468</v>
      </c>
      <c r="B517">
        <v>11810</v>
      </c>
      <c r="C517" s="173" t="s">
        <v>898</v>
      </c>
      <c r="D517" s="173" t="s">
        <v>470</v>
      </c>
      <c r="E517">
        <v>4</v>
      </c>
    </row>
    <row r="518" spans="1:5" x14ac:dyDescent="0.25">
      <c r="A518" s="173" t="s">
        <v>468</v>
      </c>
      <c r="B518">
        <v>11810</v>
      </c>
      <c r="C518" s="173" t="s">
        <v>899</v>
      </c>
      <c r="D518" s="173" t="s">
        <v>470</v>
      </c>
      <c r="E518">
        <v>3</v>
      </c>
    </row>
    <row r="519" spans="1:5" x14ac:dyDescent="0.25">
      <c r="A519" s="173" t="s">
        <v>468</v>
      </c>
      <c r="B519">
        <v>11810</v>
      </c>
      <c r="C519" s="173" t="s">
        <v>900</v>
      </c>
      <c r="D519" s="173" t="s">
        <v>470</v>
      </c>
      <c r="E519">
        <v>3</v>
      </c>
    </row>
    <row r="520" spans="1:5" x14ac:dyDescent="0.25">
      <c r="A520" s="173" t="s">
        <v>468</v>
      </c>
      <c r="B520">
        <v>11810</v>
      </c>
      <c r="C520" s="173" t="s">
        <v>901</v>
      </c>
      <c r="D520" s="173" t="s">
        <v>470</v>
      </c>
      <c r="E520">
        <v>4</v>
      </c>
    </row>
    <row r="521" spans="1:5" x14ac:dyDescent="0.25">
      <c r="A521" s="173" t="s">
        <v>468</v>
      </c>
      <c r="B521">
        <v>11810</v>
      </c>
      <c r="C521" s="173" t="s">
        <v>902</v>
      </c>
      <c r="D521" s="173" t="s">
        <v>470</v>
      </c>
      <c r="E521">
        <v>4</v>
      </c>
    </row>
    <row r="522" spans="1:5" x14ac:dyDescent="0.25">
      <c r="A522" s="173" t="s">
        <v>468</v>
      </c>
      <c r="B522">
        <v>11810</v>
      </c>
      <c r="C522" s="173" t="s">
        <v>903</v>
      </c>
      <c r="D522" s="173" t="s">
        <v>470</v>
      </c>
      <c r="E522">
        <v>4</v>
      </c>
    </row>
    <row r="523" spans="1:5" x14ac:dyDescent="0.25">
      <c r="A523" s="173" t="s">
        <v>468</v>
      </c>
      <c r="B523">
        <v>11810</v>
      </c>
      <c r="C523" s="173" t="s">
        <v>904</v>
      </c>
      <c r="D523" s="173" t="s">
        <v>470</v>
      </c>
      <c r="E523">
        <v>4</v>
      </c>
    </row>
    <row r="524" spans="1:5" x14ac:dyDescent="0.25">
      <c r="A524" s="173" t="s">
        <v>468</v>
      </c>
      <c r="B524">
        <v>11810</v>
      </c>
      <c r="C524" s="173" t="s">
        <v>905</v>
      </c>
      <c r="D524" s="173" t="s">
        <v>470</v>
      </c>
      <c r="E524">
        <v>4</v>
      </c>
    </row>
    <row r="525" spans="1:5" x14ac:dyDescent="0.25">
      <c r="A525" s="173" t="s">
        <v>468</v>
      </c>
      <c r="B525">
        <v>11810</v>
      </c>
      <c r="C525" s="173" t="s">
        <v>906</v>
      </c>
      <c r="D525" s="173" t="s">
        <v>470</v>
      </c>
      <c r="E525">
        <v>4</v>
      </c>
    </row>
    <row r="526" spans="1:5" x14ac:dyDescent="0.25">
      <c r="A526" s="173" t="s">
        <v>468</v>
      </c>
      <c r="B526">
        <v>11810</v>
      </c>
      <c r="C526" s="173" t="s">
        <v>907</v>
      </c>
      <c r="D526" s="173" t="s">
        <v>470</v>
      </c>
      <c r="E526">
        <v>5</v>
      </c>
    </row>
    <row r="527" spans="1:5" x14ac:dyDescent="0.25">
      <c r="A527" s="173" t="s">
        <v>468</v>
      </c>
      <c r="B527">
        <v>11810</v>
      </c>
      <c r="C527" s="173" t="s">
        <v>908</v>
      </c>
      <c r="D527" s="173" t="s">
        <v>470</v>
      </c>
      <c r="E527">
        <v>5</v>
      </c>
    </row>
    <row r="528" spans="1:5" x14ac:dyDescent="0.25">
      <c r="A528" s="173" t="s">
        <v>468</v>
      </c>
      <c r="B528">
        <v>11810</v>
      </c>
      <c r="C528" s="173" t="s">
        <v>909</v>
      </c>
      <c r="D528" s="173" t="s">
        <v>470</v>
      </c>
      <c r="E528">
        <v>4</v>
      </c>
    </row>
    <row r="529" spans="1:5" x14ac:dyDescent="0.25">
      <c r="A529" s="173" t="s">
        <v>468</v>
      </c>
      <c r="B529">
        <v>11810</v>
      </c>
      <c r="C529" s="173" t="s">
        <v>910</v>
      </c>
      <c r="D529" s="173" t="s">
        <v>470</v>
      </c>
      <c r="E529">
        <v>4</v>
      </c>
    </row>
    <row r="530" spans="1:5" x14ac:dyDescent="0.25">
      <c r="A530" s="173" t="s">
        <v>468</v>
      </c>
      <c r="B530">
        <v>11810</v>
      </c>
      <c r="C530" s="173" t="s">
        <v>911</v>
      </c>
      <c r="D530" s="173" t="s">
        <v>470</v>
      </c>
      <c r="E530">
        <v>4</v>
      </c>
    </row>
    <row r="531" spans="1:5" x14ac:dyDescent="0.25">
      <c r="A531" s="173" t="s">
        <v>468</v>
      </c>
      <c r="B531">
        <v>11810</v>
      </c>
      <c r="C531" s="173" t="s">
        <v>912</v>
      </c>
      <c r="D531" s="173" t="s">
        <v>470</v>
      </c>
      <c r="E531">
        <v>4</v>
      </c>
    </row>
    <row r="532" spans="1:5" x14ac:dyDescent="0.25">
      <c r="A532" s="173" t="s">
        <v>468</v>
      </c>
      <c r="B532">
        <v>11810</v>
      </c>
      <c r="C532" s="173" t="s">
        <v>913</v>
      </c>
      <c r="D532" s="173" t="s">
        <v>470</v>
      </c>
      <c r="E532">
        <v>3</v>
      </c>
    </row>
    <row r="533" spans="1:5" x14ac:dyDescent="0.25">
      <c r="A533" s="173" t="s">
        <v>468</v>
      </c>
      <c r="B533">
        <v>11810</v>
      </c>
      <c r="C533" s="173" t="s">
        <v>914</v>
      </c>
      <c r="D533" s="173" t="s">
        <v>470</v>
      </c>
      <c r="E533">
        <v>3</v>
      </c>
    </row>
    <row r="534" spans="1:5" x14ac:dyDescent="0.25">
      <c r="A534" s="173" t="s">
        <v>468</v>
      </c>
      <c r="B534">
        <v>11810</v>
      </c>
      <c r="C534" s="173" t="s">
        <v>915</v>
      </c>
      <c r="D534" s="173" t="s">
        <v>470</v>
      </c>
      <c r="E534">
        <v>3</v>
      </c>
    </row>
    <row r="535" spans="1:5" x14ac:dyDescent="0.25">
      <c r="A535" s="173" t="s">
        <v>468</v>
      </c>
      <c r="B535">
        <v>11810</v>
      </c>
      <c r="C535" s="173" t="s">
        <v>916</v>
      </c>
      <c r="D535" s="173" t="s">
        <v>470</v>
      </c>
      <c r="E535">
        <v>3</v>
      </c>
    </row>
    <row r="536" spans="1:5" x14ac:dyDescent="0.25">
      <c r="A536" s="173" t="s">
        <v>468</v>
      </c>
      <c r="B536">
        <v>11810</v>
      </c>
      <c r="C536" s="173" t="s">
        <v>917</v>
      </c>
      <c r="D536" s="173" t="s">
        <v>470</v>
      </c>
      <c r="E536">
        <v>3</v>
      </c>
    </row>
    <row r="537" spans="1:5" x14ac:dyDescent="0.25">
      <c r="A537" s="173" t="s">
        <v>468</v>
      </c>
      <c r="B537">
        <v>11810</v>
      </c>
      <c r="C537" s="173" t="s">
        <v>918</v>
      </c>
      <c r="D537" s="173" t="s">
        <v>470</v>
      </c>
      <c r="E537">
        <v>3</v>
      </c>
    </row>
    <row r="538" spans="1:5" x14ac:dyDescent="0.25">
      <c r="A538" s="173" t="s">
        <v>468</v>
      </c>
      <c r="B538">
        <v>11810</v>
      </c>
      <c r="C538" s="173" t="s">
        <v>919</v>
      </c>
      <c r="D538" s="173" t="s">
        <v>470</v>
      </c>
      <c r="E538">
        <v>3</v>
      </c>
    </row>
    <row r="539" spans="1:5" x14ac:dyDescent="0.25">
      <c r="A539" s="173" t="s">
        <v>468</v>
      </c>
      <c r="B539">
        <v>11810</v>
      </c>
      <c r="C539" s="173" t="s">
        <v>920</v>
      </c>
      <c r="D539" s="173" t="s">
        <v>470</v>
      </c>
      <c r="E539">
        <v>5</v>
      </c>
    </row>
    <row r="540" spans="1:5" x14ac:dyDescent="0.25">
      <c r="A540" s="173" t="s">
        <v>468</v>
      </c>
      <c r="B540">
        <v>11810</v>
      </c>
      <c r="C540" s="173" t="s">
        <v>921</v>
      </c>
      <c r="D540" s="173" t="s">
        <v>470</v>
      </c>
      <c r="E540">
        <v>4</v>
      </c>
    </row>
    <row r="541" spans="1:5" x14ac:dyDescent="0.25">
      <c r="A541" s="173" t="s">
        <v>468</v>
      </c>
      <c r="B541">
        <v>11810</v>
      </c>
      <c r="C541" s="173" t="s">
        <v>922</v>
      </c>
      <c r="D541" s="173" t="s">
        <v>470</v>
      </c>
      <c r="E541">
        <v>4</v>
      </c>
    </row>
    <row r="542" spans="1:5" x14ac:dyDescent="0.25">
      <c r="A542" s="173" t="s">
        <v>468</v>
      </c>
      <c r="B542">
        <v>11810</v>
      </c>
      <c r="C542" s="173" t="s">
        <v>923</v>
      </c>
      <c r="D542" s="173" t="s">
        <v>470</v>
      </c>
      <c r="E542">
        <v>5</v>
      </c>
    </row>
    <row r="543" spans="1:5" x14ac:dyDescent="0.25">
      <c r="A543" s="173" t="s">
        <v>468</v>
      </c>
      <c r="B543">
        <v>11810</v>
      </c>
      <c r="C543" s="173" t="s">
        <v>924</v>
      </c>
      <c r="D543" s="173" t="s">
        <v>470</v>
      </c>
      <c r="E543">
        <v>5</v>
      </c>
    </row>
    <row r="544" spans="1:5" x14ac:dyDescent="0.25">
      <c r="A544" s="173" t="s">
        <v>468</v>
      </c>
      <c r="B544">
        <v>11810</v>
      </c>
      <c r="C544" s="173" t="s">
        <v>925</v>
      </c>
      <c r="D544" s="173" t="s">
        <v>470</v>
      </c>
      <c r="E544">
        <v>4</v>
      </c>
    </row>
    <row r="545" spans="1:5" x14ac:dyDescent="0.25">
      <c r="A545" s="173" t="s">
        <v>468</v>
      </c>
      <c r="B545">
        <v>11810</v>
      </c>
      <c r="C545" s="173" t="s">
        <v>926</v>
      </c>
      <c r="D545" s="173" t="s">
        <v>470</v>
      </c>
      <c r="E545">
        <v>4</v>
      </c>
    </row>
    <row r="546" spans="1:5" x14ac:dyDescent="0.25">
      <c r="A546" s="173" t="s">
        <v>468</v>
      </c>
      <c r="B546">
        <v>11810</v>
      </c>
      <c r="C546" s="173" t="s">
        <v>927</v>
      </c>
      <c r="D546" s="173" t="s">
        <v>470</v>
      </c>
      <c r="E546">
        <v>5</v>
      </c>
    </row>
    <row r="547" spans="1:5" x14ac:dyDescent="0.25">
      <c r="A547" s="173" t="s">
        <v>468</v>
      </c>
      <c r="B547">
        <v>11810</v>
      </c>
      <c r="C547" s="173" t="s">
        <v>928</v>
      </c>
      <c r="D547" s="173" t="s">
        <v>470</v>
      </c>
      <c r="E547">
        <v>4</v>
      </c>
    </row>
    <row r="548" spans="1:5" x14ac:dyDescent="0.25">
      <c r="A548" s="173" t="s">
        <v>468</v>
      </c>
      <c r="B548">
        <v>11810</v>
      </c>
      <c r="C548" s="173" t="s">
        <v>929</v>
      </c>
      <c r="D548" s="173" t="s">
        <v>470</v>
      </c>
      <c r="E548">
        <v>5</v>
      </c>
    </row>
    <row r="549" spans="1:5" x14ac:dyDescent="0.25">
      <c r="A549" s="173" t="s">
        <v>468</v>
      </c>
      <c r="B549">
        <v>11810</v>
      </c>
      <c r="C549" s="173" t="s">
        <v>930</v>
      </c>
      <c r="D549" s="173" t="s">
        <v>470</v>
      </c>
      <c r="E549">
        <v>5</v>
      </c>
    </row>
    <row r="550" spans="1:5" x14ac:dyDescent="0.25">
      <c r="A550" s="173" t="s">
        <v>468</v>
      </c>
      <c r="B550">
        <v>11810</v>
      </c>
      <c r="C550" s="173" t="s">
        <v>931</v>
      </c>
      <c r="D550" s="173" t="s">
        <v>470</v>
      </c>
      <c r="E550">
        <v>6</v>
      </c>
    </row>
    <row r="551" spans="1:5" x14ac:dyDescent="0.25">
      <c r="A551" s="173" t="s">
        <v>468</v>
      </c>
      <c r="B551">
        <v>11810</v>
      </c>
      <c r="C551" s="173" t="s">
        <v>3563</v>
      </c>
      <c r="D551" s="173" t="s">
        <v>470</v>
      </c>
      <c r="E551">
        <v>6</v>
      </c>
    </row>
    <row r="552" spans="1:5" x14ac:dyDescent="0.25">
      <c r="A552" s="173" t="s">
        <v>468</v>
      </c>
      <c r="B552">
        <v>11810</v>
      </c>
      <c r="C552" s="173" t="s">
        <v>3564</v>
      </c>
      <c r="D552" s="173" t="s">
        <v>470</v>
      </c>
      <c r="E552">
        <v>6</v>
      </c>
    </row>
    <row r="553" spans="1:5" x14ac:dyDescent="0.25">
      <c r="A553" s="173" t="s">
        <v>468</v>
      </c>
      <c r="B553">
        <v>11810</v>
      </c>
      <c r="C553" s="173" t="s">
        <v>3565</v>
      </c>
      <c r="D553" s="173" t="s">
        <v>470</v>
      </c>
      <c r="E553">
        <v>7</v>
      </c>
    </row>
    <row r="554" spans="1:5" x14ac:dyDescent="0.25">
      <c r="A554" s="173" t="s">
        <v>468</v>
      </c>
      <c r="B554">
        <v>11810</v>
      </c>
      <c r="C554" s="173" t="s">
        <v>3566</v>
      </c>
      <c r="D554" s="173" t="s">
        <v>470</v>
      </c>
      <c r="E554">
        <v>7</v>
      </c>
    </row>
    <row r="555" spans="1:5" x14ac:dyDescent="0.25">
      <c r="A555" s="173" t="s">
        <v>468</v>
      </c>
      <c r="B555">
        <v>11810</v>
      </c>
      <c r="C555" s="173" t="s">
        <v>3567</v>
      </c>
      <c r="D555" s="173" t="s">
        <v>470</v>
      </c>
      <c r="E555">
        <v>6</v>
      </c>
    </row>
    <row r="556" spans="1:5" x14ac:dyDescent="0.25">
      <c r="A556" s="173" t="s">
        <v>468</v>
      </c>
      <c r="B556">
        <v>11818</v>
      </c>
      <c r="C556" s="173" t="s">
        <v>932</v>
      </c>
      <c r="D556" s="173" t="s">
        <v>470</v>
      </c>
      <c r="E556">
        <v>1</v>
      </c>
    </row>
    <row r="557" spans="1:5" x14ac:dyDescent="0.25">
      <c r="A557" s="173" t="s">
        <v>468</v>
      </c>
      <c r="B557">
        <v>11818</v>
      </c>
      <c r="C557" s="173" t="s">
        <v>933</v>
      </c>
      <c r="D557" s="173" t="s">
        <v>470</v>
      </c>
      <c r="E557">
        <v>2</v>
      </c>
    </row>
    <row r="558" spans="1:5" x14ac:dyDescent="0.25">
      <c r="A558" s="173" t="s">
        <v>468</v>
      </c>
      <c r="B558">
        <v>11818</v>
      </c>
      <c r="C558" s="173" t="s">
        <v>523</v>
      </c>
      <c r="D558" s="173" t="s">
        <v>470</v>
      </c>
      <c r="E558">
        <v>1</v>
      </c>
    </row>
    <row r="559" spans="1:5" x14ac:dyDescent="0.25">
      <c r="A559" s="173" t="s">
        <v>468</v>
      </c>
      <c r="B559">
        <v>11818</v>
      </c>
      <c r="C559" s="173" t="s">
        <v>934</v>
      </c>
      <c r="D559" s="173" t="s">
        <v>470</v>
      </c>
      <c r="E559">
        <v>1</v>
      </c>
    </row>
    <row r="560" spans="1:5" x14ac:dyDescent="0.25">
      <c r="A560" s="173" t="s">
        <v>468</v>
      </c>
      <c r="B560">
        <v>11818</v>
      </c>
      <c r="C560" s="173" t="s">
        <v>543</v>
      </c>
      <c r="D560" s="173" t="s">
        <v>470</v>
      </c>
      <c r="E560">
        <v>1</v>
      </c>
    </row>
    <row r="561" spans="1:5" x14ac:dyDescent="0.25">
      <c r="A561" s="173" t="s">
        <v>468</v>
      </c>
      <c r="B561">
        <v>11818</v>
      </c>
      <c r="C561" s="173" t="s">
        <v>935</v>
      </c>
      <c r="D561" s="173" t="s">
        <v>470</v>
      </c>
      <c r="E561">
        <v>1</v>
      </c>
    </row>
    <row r="562" spans="1:5" x14ac:dyDescent="0.25">
      <c r="A562" s="173" t="s">
        <v>468</v>
      </c>
      <c r="B562">
        <v>11818</v>
      </c>
      <c r="C562" s="173" t="s">
        <v>936</v>
      </c>
      <c r="D562" s="173" t="s">
        <v>470</v>
      </c>
      <c r="E562">
        <v>1</v>
      </c>
    </row>
    <row r="563" spans="1:5" x14ac:dyDescent="0.25">
      <c r="A563" s="173" t="s">
        <v>468</v>
      </c>
      <c r="B563">
        <v>11818</v>
      </c>
      <c r="C563" s="173" t="s">
        <v>937</v>
      </c>
      <c r="D563" s="173" t="s">
        <v>470</v>
      </c>
      <c r="E563">
        <v>1</v>
      </c>
    </row>
    <row r="564" spans="1:5" x14ac:dyDescent="0.25">
      <c r="A564" s="173" t="s">
        <v>468</v>
      </c>
      <c r="B564">
        <v>11818</v>
      </c>
      <c r="C564" s="173" t="s">
        <v>938</v>
      </c>
      <c r="D564" s="173" t="s">
        <v>470</v>
      </c>
      <c r="E564">
        <v>1</v>
      </c>
    </row>
    <row r="565" spans="1:5" x14ac:dyDescent="0.25">
      <c r="A565" s="173" t="s">
        <v>468</v>
      </c>
      <c r="B565">
        <v>11818</v>
      </c>
      <c r="C565" s="173" t="s">
        <v>939</v>
      </c>
      <c r="D565" s="173" t="s">
        <v>470</v>
      </c>
      <c r="E565">
        <v>1</v>
      </c>
    </row>
    <row r="566" spans="1:5" x14ac:dyDescent="0.25">
      <c r="A566" s="173" t="s">
        <v>468</v>
      </c>
      <c r="B566">
        <v>11818</v>
      </c>
      <c r="C566" s="173" t="s">
        <v>940</v>
      </c>
      <c r="D566" s="173" t="s">
        <v>470</v>
      </c>
      <c r="E566">
        <v>1</v>
      </c>
    </row>
    <row r="567" spans="1:5" x14ac:dyDescent="0.25">
      <c r="A567" s="173" t="s">
        <v>468</v>
      </c>
      <c r="B567">
        <v>11818</v>
      </c>
      <c r="C567" s="173" t="s">
        <v>941</v>
      </c>
      <c r="D567" s="173" t="s">
        <v>470</v>
      </c>
      <c r="E567">
        <v>1</v>
      </c>
    </row>
    <row r="568" spans="1:5" x14ac:dyDescent="0.25">
      <c r="A568" s="173" t="s">
        <v>468</v>
      </c>
      <c r="B568">
        <v>11818</v>
      </c>
      <c r="C568" s="173" t="s">
        <v>942</v>
      </c>
      <c r="D568" s="173" t="s">
        <v>470</v>
      </c>
      <c r="E568">
        <v>1</v>
      </c>
    </row>
    <row r="569" spans="1:5" x14ac:dyDescent="0.25">
      <c r="A569" s="173" t="s">
        <v>468</v>
      </c>
      <c r="B569">
        <v>11818</v>
      </c>
      <c r="C569" s="173" t="s">
        <v>943</v>
      </c>
      <c r="D569" s="173" t="s">
        <v>470</v>
      </c>
      <c r="E569">
        <v>1</v>
      </c>
    </row>
    <row r="570" spans="1:5" x14ac:dyDescent="0.25">
      <c r="A570" s="173" t="s">
        <v>468</v>
      </c>
      <c r="B570">
        <v>11818</v>
      </c>
      <c r="C570" s="173" t="s">
        <v>944</v>
      </c>
      <c r="D570" s="173" t="s">
        <v>470</v>
      </c>
      <c r="E570">
        <v>2</v>
      </c>
    </row>
    <row r="571" spans="1:5" x14ac:dyDescent="0.25">
      <c r="A571" s="173" t="s">
        <v>468</v>
      </c>
      <c r="B571">
        <v>11818</v>
      </c>
      <c r="C571" s="173" t="s">
        <v>945</v>
      </c>
      <c r="D571" s="173" t="s">
        <v>470</v>
      </c>
      <c r="E571">
        <v>1</v>
      </c>
    </row>
    <row r="572" spans="1:5" x14ac:dyDescent="0.25">
      <c r="A572" s="173" t="s">
        <v>468</v>
      </c>
      <c r="B572">
        <v>11818</v>
      </c>
      <c r="C572" s="173" t="s">
        <v>946</v>
      </c>
      <c r="D572" s="173" t="s">
        <v>470</v>
      </c>
      <c r="E572">
        <v>1</v>
      </c>
    </row>
    <row r="573" spans="1:5" x14ac:dyDescent="0.25">
      <c r="A573" s="173" t="s">
        <v>468</v>
      </c>
      <c r="B573">
        <v>11818</v>
      </c>
      <c r="C573" s="173" t="s">
        <v>947</v>
      </c>
      <c r="D573" s="173" t="s">
        <v>470</v>
      </c>
      <c r="E573">
        <v>1</v>
      </c>
    </row>
    <row r="574" spans="1:5" x14ac:dyDescent="0.25">
      <c r="A574" s="173" t="s">
        <v>468</v>
      </c>
      <c r="B574">
        <v>11818</v>
      </c>
      <c r="C574" s="173" t="s">
        <v>948</v>
      </c>
      <c r="D574" s="173" t="s">
        <v>470</v>
      </c>
      <c r="E574">
        <v>2</v>
      </c>
    </row>
    <row r="575" spans="1:5" x14ac:dyDescent="0.25">
      <c r="A575" s="173" t="s">
        <v>468</v>
      </c>
      <c r="B575">
        <v>11818</v>
      </c>
      <c r="C575" s="173" t="s">
        <v>949</v>
      </c>
      <c r="D575" s="173" t="s">
        <v>470</v>
      </c>
      <c r="E575">
        <v>1</v>
      </c>
    </row>
    <row r="576" spans="1:5" x14ac:dyDescent="0.25">
      <c r="A576" s="173" t="s">
        <v>468</v>
      </c>
      <c r="B576">
        <v>11818</v>
      </c>
      <c r="C576" s="173" t="s">
        <v>950</v>
      </c>
      <c r="D576" s="173" t="s">
        <v>470</v>
      </c>
      <c r="E576">
        <v>2</v>
      </c>
    </row>
    <row r="577" spans="1:5" x14ac:dyDescent="0.25">
      <c r="A577" s="173" t="s">
        <v>468</v>
      </c>
      <c r="B577">
        <v>11818</v>
      </c>
      <c r="C577" s="173" t="s">
        <v>951</v>
      </c>
      <c r="D577" s="173" t="s">
        <v>470</v>
      </c>
      <c r="E577">
        <v>2</v>
      </c>
    </row>
    <row r="578" spans="1:5" x14ac:dyDescent="0.25">
      <c r="A578" s="173" t="s">
        <v>468</v>
      </c>
      <c r="B578">
        <v>11818</v>
      </c>
      <c r="C578" s="173" t="s">
        <v>952</v>
      </c>
      <c r="D578" s="173" t="s">
        <v>470</v>
      </c>
      <c r="E578">
        <v>3</v>
      </c>
    </row>
    <row r="579" spans="1:5" x14ac:dyDescent="0.25">
      <c r="A579" s="173" t="s">
        <v>468</v>
      </c>
      <c r="B579">
        <v>11818</v>
      </c>
      <c r="C579" s="173" t="s">
        <v>953</v>
      </c>
      <c r="D579" s="173" t="s">
        <v>470</v>
      </c>
      <c r="E579">
        <v>3</v>
      </c>
    </row>
    <row r="580" spans="1:5" x14ac:dyDescent="0.25">
      <c r="A580" s="173" t="s">
        <v>468</v>
      </c>
      <c r="B580">
        <v>11818</v>
      </c>
      <c r="C580" s="173" t="s">
        <v>954</v>
      </c>
      <c r="D580" s="173" t="s">
        <v>470</v>
      </c>
      <c r="E580">
        <v>2</v>
      </c>
    </row>
    <row r="581" spans="1:5" x14ac:dyDescent="0.25">
      <c r="A581" s="173" t="s">
        <v>468</v>
      </c>
      <c r="B581">
        <v>11818</v>
      </c>
      <c r="C581" s="173" t="s">
        <v>955</v>
      </c>
      <c r="D581" s="173" t="s">
        <v>470</v>
      </c>
      <c r="E581">
        <v>1</v>
      </c>
    </row>
    <row r="582" spans="1:5" x14ac:dyDescent="0.25">
      <c r="A582" s="173" t="s">
        <v>468</v>
      </c>
      <c r="B582">
        <v>11818</v>
      </c>
      <c r="C582" s="173" t="s">
        <v>956</v>
      </c>
      <c r="D582" s="173" t="s">
        <v>470</v>
      </c>
      <c r="E582">
        <v>1</v>
      </c>
    </row>
    <row r="583" spans="1:5" x14ac:dyDescent="0.25">
      <c r="A583" s="173" t="s">
        <v>468</v>
      </c>
      <c r="B583">
        <v>11818</v>
      </c>
      <c r="C583" s="173" t="s">
        <v>957</v>
      </c>
      <c r="D583" s="173" t="s">
        <v>470</v>
      </c>
      <c r="E583">
        <v>1</v>
      </c>
    </row>
    <row r="584" spans="1:5" x14ac:dyDescent="0.25">
      <c r="A584" s="173" t="s">
        <v>468</v>
      </c>
      <c r="B584">
        <v>11818</v>
      </c>
      <c r="C584" s="173" t="s">
        <v>958</v>
      </c>
      <c r="D584" s="173" t="s">
        <v>470</v>
      </c>
      <c r="E584">
        <v>2</v>
      </c>
    </row>
    <row r="585" spans="1:5" x14ac:dyDescent="0.25">
      <c r="A585" s="173" t="s">
        <v>468</v>
      </c>
      <c r="B585">
        <v>11818</v>
      </c>
      <c r="C585" s="173" t="s">
        <v>959</v>
      </c>
      <c r="D585" s="173" t="s">
        <v>470</v>
      </c>
      <c r="E585">
        <v>3</v>
      </c>
    </row>
    <row r="586" spans="1:5" x14ac:dyDescent="0.25">
      <c r="A586" s="173" t="s">
        <v>468</v>
      </c>
      <c r="B586">
        <v>11818</v>
      </c>
      <c r="C586" s="173" t="s">
        <v>960</v>
      </c>
      <c r="D586" s="173" t="s">
        <v>470</v>
      </c>
      <c r="E586">
        <v>3</v>
      </c>
    </row>
    <row r="587" spans="1:5" x14ac:dyDescent="0.25">
      <c r="A587" s="173" t="s">
        <v>468</v>
      </c>
      <c r="B587">
        <v>11818</v>
      </c>
      <c r="C587" s="173" t="s">
        <v>961</v>
      </c>
      <c r="D587" s="173" t="s">
        <v>470</v>
      </c>
      <c r="E587">
        <v>3</v>
      </c>
    </row>
    <row r="588" spans="1:5" x14ac:dyDescent="0.25">
      <c r="A588" s="173" t="s">
        <v>468</v>
      </c>
      <c r="B588">
        <v>11818</v>
      </c>
      <c r="C588" s="173" t="s">
        <v>962</v>
      </c>
      <c r="D588" s="173" t="s">
        <v>470</v>
      </c>
      <c r="E588">
        <v>3</v>
      </c>
    </row>
    <row r="589" spans="1:5" x14ac:dyDescent="0.25">
      <c r="A589" s="173" t="s">
        <v>468</v>
      </c>
      <c r="B589">
        <v>11818</v>
      </c>
      <c r="C589" s="173" t="s">
        <v>963</v>
      </c>
      <c r="D589" s="173" t="s">
        <v>470</v>
      </c>
      <c r="E589">
        <v>2</v>
      </c>
    </row>
    <row r="590" spans="1:5" x14ac:dyDescent="0.25">
      <c r="A590" s="173" t="s">
        <v>468</v>
      </c>
      <c r="B590">
        <v>11818</v>
      </c>
      <c r="C590" s="173" t="s">
        <v>964</v>
      </c>
      <c r="D590" s="173" t="s">
        <v>470</v>
      </c>
      <c r="E590">
        <v>2</v>
      </c>
    </row>
    <row r="591" spans="1:5" x14ac:dyDescent="0.25">
      <c r="A591" s="173" t="s">
        <v>468</v>
      </c>
      <c r="B591">
        <v>11818</v>
      </c>
      <c r="C591" s="173" t="s">
        <v>965</v>
      </c>
      <c r="D591" s="173" t="s">
        <v>470</v>
      </c>
      <c r="E591">
        <v>2</v>
      </c>
    </row>
    <row r="592" spans="1:5" x14ac:dyDescent="0.25">
      <c r="A592" s="173" t="s">
        <v>468</v>
      </c>
      <c r="B592">
        <v>11818</v>
      </c>
      <c r="C592" s="173" t="s">
        <v>966</v>
      </c>
      <c r="D592" s="173" t="s">
        <v>470</v>
      </c>
      <c r="E592">
        <v>2</v>
      </c>
    </row>
    <row r="593" spans="1:5" x14ac:dyDescent="0.25">
      <c r="A593" s="173" t="s">
        <v>468</v>
      </c>
      <c r="B593">
        <v>11818</v>
      </c>
      <c r="C593" s="173" t="s">
        <v>967</v>
      </c>
      <c r="D593" s="173" t="s">
        <v>470</v>
      </c>
      <c r="E593">
        <v>3</v>
      </c>
    </row>
    <row r="594" spans="1:5" x14ac:dyDescent="0.25">
      <c r="A594" s="173" t="s">
        <v>468</v>
      </c>
      <c r="B594">
        <v>11818</v>
      </c>
      <c r="C594" s="173" t="s">
        <v>968</v>
      </c>
      <c r="D594" s="173" t="s">
        <v>470</v>
      </c>
      <c r="E594">
        <v>3</v>
      </c>
    </row>
    <row r="595" spans="1:5" x14ac:dyDescent="0.25">
      <c r="A595" s="173" t="s">
        <v>468</v>
      </c>
      <c r="B595">
        <v>11818</v>
      </c>
      <c r="C595" s="173" t="s">
        <v>969</v>
      </c>
      <c r="D595" s="173" t="s">
        <v>470</v>
      </c>
      <c r="E595">
        <v>2</v>
      </c>
    </row>
    <row r="596" spans="1:5" x14ac:dyDescent="0.25">
      <c r="A596" s="173" t="s">
        <v>468</v>
      </c>
      <c r="B596">
        <v>11818</v>
      </c>
      <c r="C596" s="173" t="s">
        <v>970</v>
      </c>
      <c r="D596" s="173" t="s">
        <v>470</v>
      </c>
      <c r="E596">
        <v>2</v>
      </c>
    </row>
    <row r="597" spans="1:5" x14ac:dyDescent="0.25">
      <c r="A597" s="173" t="s">
        <v>468</v>
      </c>
      <c r="B597">
        <v>11818</v>
      </c>
      <c r="C597" s="173" t="s">
        <v>971</v>
      </c>
      <c r="D597" s="173" t="s">
        <v>470</v>
      </c>
      <c r="E597">
        <v>3</v>
      </c>
    </row>
    <row r="598" spans="1:5" x14ac:dyDescent="0.25">
      <c r="A598" s="173" t="s">
        <v>468</v>
      </c>
      <c r="B598">
        <v>11818</v>
      </c>
      <c r="C598" s="173" t="s">
        <v>972</v>
      </c>
      <c r="D598" s="173" t="s">
        <v>470</v>
      </c>
      <c r="E598">
        <v>4</v>
      </c>
    </row>
    <row r="599" spans="1:5" x14ac:dyDescent="0.25">
      <c r="A599" s="173" t="s">
        <v>468</v>
      </c>
      <c r="B599">
        <v>11818</v>
      </c>
      <c r="C599" s="173" t="s">
        <v>973</v>
      </c>
      <c r="D599" s="173" t="s">
        <v>470</v>
      </c>
      <c r="E599">
        <v>4</v>
      </c>
    </row>
    <row r="600" spans="1:5" x14ac:dyDescent="0.25">
      <c r="A600" s="173" t="s">
        <v>468</v>
      </c>
      <c r="B600">
        <v>11818</v>
      </c>
      <c r="C600" s="173" t="s">
        <v>974</v>
      </c>
      <c r="D600" s="173" t="s">
        <v>470</v>
      </c>
      <c r="E600">
        <v>4</v>
      </c>
    </row>
    <row r="601" spans="1:5" x14ac:dyDescent="0.25">
      <c r="A601" s="173" t="s">
        <v>468</v>
      </c>
      <c r="B601">
        <v>11818</v>
      </c>
      <c r="C601" s="173" t="s">
        <v>975</v>
      </c>
      <c r="D601" s="173" t="s">
        <v>470</v>
      </c>
      <c r="E601">
        <v>4</v>
      </c>
    </row>
    <row r="602" spans="1:5" x14ac:dyDescent="0.25">
      <c r="A602" s="173" t="s">
        <v>468</v>
      </c>
      <c r="B602">
        <v>11818</v>
      </c>
      <c r="C602" s="173" t="s">
        <v>976</v>
      </c>
      <c r="D602" s="173" t="s">
        <v>470</v>
      </c>
      <c r="E602">
        <v>4</v>
      </c>
    </row>
    <row r="603" spans="1:5" x14ac:dyDescent="0.25">
      <c r="A603" s="173" t="s">
        <v>468</v>
      </c>
      <c r="B603">
        <v>11818</v>
      </c>
      <c r="C603" s="173" t="s">
        <v>977</v>
      </c>
      <c r="D603" s="173" t="s">
        <v>470</v>
      </c>
      <c r="E603">
        <v>4</v>
      </c>
    </row>
    <row r="604" spans="1:5" x14ac:dyDescent="0.25">
      <c r="A604" s="173" t="s">
        <v>468</v>
      </c>
      <c r="B604">
        <v>11818</v>
      </c>
      <c r="C604" s="173" t="s">
        <v>978</v>
      </c>
      <c r="D604" s="173" t="s">
        <v>470</v>
      </c>
      <c r="E604">
        <v>4</v>
      </c>
    </row>
    <row r="605" spans="1:5" x14ac:dyDescent="0.25">
      <c r="A605" s="173" t="s">
        <v>468</v>
      </c>
      <c r="B605">
        <v>11818</v>
      </c>
      <c r="C605" s="173" t="s">
        <v>979</v>
      </c>
      <c r="D605" s="173" t="s">
        <v>470</v>
      </c>
      <c r="E605">
        <v>4</v>
      </c>
    </row>
    <row r="606" spans="1:5" x14ac:dyDescent="0.25">
      <c r="A606" s="173" t="s">
        <v>468</v>
      </c>
      <c r="B606">
        <v>11840</v>
      </c>
      <c r="C606" s="173" t="s">
        <v>980</v>
      </c>
      <c r="D606" s="173" t="s">
        <v>470</v>
      </c>
      <c r="E606">
        <v>1</v>
      </c>
    </row>
    <row r="607" spans="1:5" x14ac:dyDescent="0.25">
      <c r="A607" s="173" t="s">
        <v>468</v>
      </c>
      <c r="B607">
        <v>11840</v>
      </c>
      <c r="C607" s="173" t="s">
        <v>981</v>
      </c>
      <c r="D607" s="173" t="s">
        <v>470</v>
      </c>
      <c r="E607">
        <v>1</v>
      </c>
    </row>
    <row r="608" spans="1:5" x14ac:dyDescent="0.25">
      <c r="A608" s="173" t="s">
        <v>468</v>
      </c>
      <c r="B608">
        <v>11840</v>
      </c>
      <c r="C608" s="173" t="s">
        <v>982</v>
      </c>
      <c r="D608" s="173" t="s">
        <v>470</v>
      </c>
      <c r="E608">
        <v>1</v>
      </c>
    </row>
    <row r="609" spans="1:5" x14ac:dyDescent="0.25">
      <c r="A609" s="173" t="s">
        <v>468</v>
      </c>
      <c r="B609">
        <v>11840</v>
      </c>
      <c r="C609" s="173" t="s">
        <v>983</v>
      </c>
      <c r="D609" s="173" t="s">
        <v>470</v>
      </c>
      <c r="E609">
        <v>2</v>
      </c>
    </row>
    <row r="610" spans="1:5" x14ac:dyDescent="0.25">
      <c r="A610" s="173" t="s">
        <v>468</v>
      </c>
      <c r="B610">
        <v>11840</v>
      </c>
      <c r="C610" s="173" t="s">
        <v>983</v>
      </c>
      <c r="D610" s="173" t="s">
        <v>470</v>
      </c>
      <c r="E610">
        <v>1</v>
      </c>
    </row>
    <row r="611" spans="1:5" x14ac:dyDescent="0.25">
      <c r="A611" s="173" t="s">
        <v>468</v>
      </c>
      <c r="B611">
        <v>11840</v>
      </c>
      <c r="C611" s="173" t="s">
        <v>984</v>
      </c>
      <c r="D611" s="173" t="s">
        <v>470</v>
      </c>
      <c r="E611">
        <v>2</v>
      </c>
    </row>
    <row r="612" spans="1:5" x14ac:dyDescent="0.25">
      <c r="A612" s="173" t="s">
        <v>468</v>
      </c>
      <c r="B612">
        <v>11840</v>
      </c>
      <c r="C612" s="173" t="s">
        <v>984</v>
      </c>
      <c r="D612" s="173" t="s">
        <v>470</v>
      </c>
      <c r="E612">
        <v>1</v>
      </c>
    </row>
    <row r="613" spans="1:5" x14ac:dyDescent="0.25">
      <c r="A613" s="173" t="s">
        <v>468</v>
      </c>
      <c r="B613">
        <v>11840</v>
      </c>
      <c r="C613" s="173" t="s">
        <v>985</v>
      </c>
      <c r="D613" s="173" t="s">
        <v>470</v>
      </c>
      <c r="E613">
        <v>2</v>
      </c>
    </row>
    <row r="614" spans="1:5" x14ac:dyDescent="0.25">
      <c r="A614" s="173" t="s">
        <v>468</v>
      </c>
      <c r="B614">
        <v>11840</v>
      </c>
      <c r="C614" s="173" t="s">
        <v>985</v>
      </c>
      <c r="D614" s="173" t="s">
        <v>470</v>
      </c>
      <c r="E614">
        <v>1</v>
      </c>
    </row>
    <row r="615" spans="1:5" x14ac:dyDescent="0.25">
      <c r="A615" s="173" t="s">
        <v>468</v>
      </c>
      <c r="B615">
        <v>11840</v>
      </c>
      <c r="C615" s="173" t="s">
        <v>986</v>
      </c>
      <c r="D615" s="173" t="s">
        <v>470</v>
      </c>
      <c r="E615">
        <v>2</v>
      </c>
    </row>
    <row r="616" spans="1:5" x14ac:dyDescent="0.25">
      <c r="A616" s="173" t="s">
        <v>468</v>
      </c>
      <c r="B616">
        <v>11840</v>
      </c>
      <c r="C616" s="173" t="s">
        <v>987</v>
      </c>
      <c r="D616" s="173" t="s">
        <v>470</v>
      </c>
      <c r="E616">
        <v>2</v>
      </c>
    </row>
    <row r="617" spans="1:5" x14ac:dyDescent="0.25">
      <c r="A617" s="173" t="s">
        <v>468</v>
      </c>
      <c r="B617">
        <v>11840</v>
      </c>
      <c r="C617" s="173" t="s">
        <v>988</v>
      </c>
      <c r="D617" s="173" t="s">
        <v>470</v>
      </c>
      <c r="E617">
        <v>1</v>
      </c>
    </row>
    <row r="618" spans="1:5" x14ac:dyDescent="0.25">
      <c r="A618" s="173" t="s">
        <v>468</v>
      </c>
      <c r="B618">
        <v>11840</v>
      </c>
      <c r="C618" s="173" t="s">
        <v>988</v>
      </c>
      <c r="D618" s="173" t="s">
        <v>470</v>
      </c>
      <c r="E618">
        <v>2</v>
      </c>
    </row>
    <row r="619" spans="1:5" x14ac:dyDescent="0.25">
      <c r="A619" s="173" t="s">
        <v>468</v>
      </c>
      <c r="B619">
        <v>11840</v>
      </c>
      <c r="C619" s="173" t="s">
        <v>989</v>
      </c>
      <c r="D619" s="173" t="s">
        <v>470</v>
      </c>
      <c r="E619">
        <v>3</v>
      </c>
    </row>
    <row r="620" spans="1:5" x14ac:dyDescent="0.25">
      <c r="A620" s="173" t="s">
        <v>468</v>
      </c>
      <c r="B620">
        <v>11840</v>
      </c>
      <c r="C620" s="173" t="s">
        <v>990</v>
      </c>
      <c r="D620" s="173" t="s">
        <v>470</v>
      </c>
      <c r="E620">
        <v>3</v>
      </c>
    </row>
    <row r="621" spans="1:5" x14ac:dyDescent="0.25">
      <c r="A621" s="173" t="s">
        <v>468</v>
      </c>
      <c r="B621">
        <v>11840</v>
      </c>
      <c r="C621" s="173" t="s">
        <v>991</v>
      </c>
      <c r="D621" s="173" t="s">
        <v>470</v>
      </c>
      <c r="E621">
        <v>3</v>
      </c>
    </row>
    <row r="622" spans="1:5" x14ac:dyDescent="0.25">
      <c r="A622" s="173" t="s">
        <v>468</v>
      </c>
      <c r="B622">
        <v>11840</v>
      </c>
      <c r="C622" s="173" t="s">
        <v>992</v>
      </c>
      <c r="D622" s="173" t="s">
        <v>470</v>
      </c>
      <c r="E622">
        <v>3</v>
      </c>
    </row>
    <row r="623" spans="1:5" x14ac:dyDescent="0.25">
      <c r="A623" s="173" t="s">
        <v>468</v>
      </c>
      <c r="B623">
        <v>11840</v>
      </c>
      <c r="C623" s="173" t="s">
        <v>993</v>
      </c>
      <c r="D623" s="173" t="s">
        <v>470</v>
      </c>
      <c r="E623">
        <v>3</v>
      </c>
    </row>
    <row r="624" spans="1:5" x14ac:dyDescent="0.25">
      <c r="A624" s="173" t="s">
        <v>468</v>
      </c>
      <c r="B624">
        <v>11840</v>
      </c>
      <c r="C624" s="173" t="s">
        <v>994</v>
      </c>
      <c r="D624" s="173" t="s">
        <v>470</v>
      </c>
      <c r="E624">
        <v>2</v>
      </c>
    </row>
    <row r="625" spans="1:5" x14ac:dyDescent="0.25">
      <c r="A625" s="173" t="s">
        <v>468</v>
      </c>
      <c r="B625">
        <v>11840</v>
      </c>
      <c r="C625" s="173" t="s">
        <v>995</v>
      </c>
      <c r="D625" s="173" t="s">
        <v>470</v>
      </c>
      <c r="E625">
        <v>3</v>
      </c>
    </row>
    <row r="626" spans="1:5" x14ac:dyDescent="0.25">
      <c r="A626" s="173" t="s">
        <v>468</v>
      </c>
      <c r="B626">
        <v>11840</v>
      </c>
      <c r="C626" s="173" t="s">
        <v>996</v>
      </c>
      <c r="D626" s="173" t="s">
        <v>470</v>
      </c>
      <c r="E626">
        <v>2</v>
      </c>
    </row>
    <row r="627" spans="1:5" x14ac:dyDescent="0.25">
      <c r="A627" s="173" t="s">
        <v>468</v>
      </c>
      <c r="B627">
        <v>11840</v>
      </c>
      <c r="C627" s="173" t="s">
        <v>997</v>
      </c>
      <c r="D627" s="173" t="s">
        <v>470</v>
      </c>
      <c r="E627">
        <v>1</v>
      </c>
    </row>
    <row r="628" spans="1:5" x14ac:dyDescent="0.25">
      <c r="A628" s="173" t="s">
        <v>468</v>
      </c>
      <c r="B628">
        <v>11840</v>
      </c>
      <c r="C628" s="173" t="s">
        <v>998</v>
      </c>
      <c r="D628" s="173" t="s">
        <v>470</v>
      </c>
      <c r="E628">
        <v>1</v>
      </c>
    </row>
    <row r="629" spans="1:5" x14ac:dyDescent="0.25">
      <c r="A629" s="173" t="s">
        <v>468</v>
      </c>
      <c r="B629">
        <v>11840</v>
      </c>
      <c r="C629" s="173" t="s">
        <v>999</v>
      </c>
      <c r="D629" s="173" t="s">
        <v>470</v>
      </c>
      <c r="E629">
        <v>2</v>
      </c>
    </row>
    <row r="630" spans="1:5" x14ac:dyDescent="0.25">
      <c r="A630" s="173" t="s">
        <v>468</v>
      </c>
      <c r="B630">
        <v>11841</v>
      </c>
      <c r="C630" s="173" t="s">
        <v>541</v>
      </c>
      <c r="D630" s="173" t="s">
        <v>470</v>
      </c>
      <c r="E630">
        <v>1</v>
      </c>
    </row>
    <row r="631" spans="1:5" x14ac:dyDescent="0.25">
      <c r="A631" s="173" t="s">
        <v>468</v>
      </c>
      <c r="B631">
        <v>11841</v>
      </c>
      <c r="C631" s="173" t="s">
        <v>1000</v>
      </c>
      <c r="D631" s="173" t="s">
        <v>470</v>
      </c>
      <c r="E631">
        <v>1</v>
      </c>
    </row>
    <row r="632" spans="1:5" x14ac:dyDescent="0.25">
      <c r="A632" s="173" t="s">
        <v>468</v>
      </c>
      <c r="B632">
        <v>11841</v>
      </c>
      <c r="C632" s="173" t="s">
        <v>1001</v>
      </c>
      <c r="D632" s="173" t="s">
        <v>470</v>
      </c>
      <c r="E632">
        <v>1</v>
      </c>
    </row>
    <row r="633" spans="1:5" x14ac:dyDescent="0.25">
      <c r="A633" s="173" t="s">
        <v>468</v>
      </c>
      <c r="B633">
        <v>11841</v>
      </c>
      <c r="C633" s="173" t="s">
        <v>1002</v>
      </c>
      <c r="D633" s="173" t="s">
        <v>470</v>
      </c>
      <c r="E633">
        <v>2</v>
      </c>
    </row>
    <row r="634" spans="1:5" x14ac:dyDescent="0.25">
      <c r="A634" s="173" t="s">
        <v>468</v>
      </c>
      <c r="B634">
        <v>11841</v>
      </c>
      <c r="C634" s="173" t="s">
        <v>1003</v>
      </c>
      <c r="D634" s="173" t="s">
        <v>470</v>
      </c>
      <c r="E634">
        <v>2</v>
      </c>
    </row>
    <row r="635" spans="1:5" x14ac:dyDescent="0.25">
      <c r="A635" s="173" t="s">
        <v>468</v>
      </c>
      <c r="B635">
        <v>11841</v>
      </c>
      <c r="C635" s="173" t="s">
        <v>1004</v>
      </c>
      <c r="D635" s="173" t="s">
        <v>470</v>
      </c>
      <c r="E635">
        <v>2</v>
      </c>
    </row>
    <row r="636" spans="1:5" x14ac:dyDescent="0.25">
      <c r="A636" s="173" t="s">
        <v>468</v>
      </c>
      <c r="B636">
        <v>11841</v>
      </c>
      <c r="C636" s="173" t="s">
        <v>1005</v>
      </c>
      <c r="D636" s="173" t="s">
        <v>470</v>
      </c>
      <c r="E636">
        <v>2</v>
      </c>
    </row>
    <row r="637" spans="1:5" x14ac:dyDescent="0.25">
      <c r="A637" s="173" t="s">
        <v>468</v>
      </c>
      <c r="B637">
        <v>11841</v>
      </c>
      <c r="C637" s="173" t="s">
        <v>1006</v>
      </c>
      <c r="D637" s="173" t="s">
        <v>470</v>
      </c>
      <c r="E637">
        <v>2</v>
      </c>
    </row>
    <row r="638" spans="1:5" x14ac:dyDescent="0.25">
      <c r="A638" s="173" t="s">
        <v>468</v>
      </c>
      <c r="B638">
        <v>11841</v>
      </c>
      <c r="C638" s="173" t="s">
        <v>1007</v>
      </c>
      <c r="D638" s="173" t="s">
        <v>470</v>
      </c>
      <c r="E638">
        <v>2</v>
      </c>
    </row>
    <row r="639" spans="1:5" x14ac:dyDescent="0.25">
      <c r="A639" s="173" t="s">
        <v>468</v>
      </c>
      <c r="B639">
        <v>11841</v>
      </c>
      <c r="C639" s="173" t="s">
        <v>1008</v>
      </c>
      <c r="D639" s="173" t="s">
        <v>470</v>
      </c>
      <c r="E639">
        <v>2</v>
      </c>
    </row>
    <row r="640" spans="1:5" x14ac:dyDescent="0.25">
      <c r="A640" s="173" t="s">
        <v>468</v>
      </c>
      <c r="B640">
        <v>11841</v>
      </c>
      <c r="C640" s="173" t="s">
        <v>1009</v>
      </c>
      <c r="D640" s="173" t="s">
        <v>470</v>
      </c>
      <c r="E640">
        <v>2</v>
      </c>
    </row>
    <row r="641" spans="1:5" x14ac:dyDescent="0.25">
      <c r="A641" s="173" t="s">
        <v>468</v>
      </c>
      <c r="B641">
        <v>11841</v>
      </c>
      <c r="C641" s="173" t="s">
        <v>1010</v>
      </c>
      <c r="D641" s="173" t="s">
        <v>470</v>
      </c>
      <c r="E641">
        <v>2</v>
      </c>
    </row>
    <row r="642" spans="1:5" x14ac:dyDescent="0.25">
      <c r="A642" s="173" t="s">
        <v>468</v>
      </c>
      <c r="B642">
        <v>11841</v>
      </c>
      <c r="C642" s="173" t="s">
        <v>1011</v>
      </c>
      <c r="D642" s="173" t="s">
        <v>470</v>
      </c>
      <c r="E642">
        <v>2</v>
      </c>
    </row>
    <row r="643" spans="1:5" x14ac:dyDescent="0.25">
      <c r="A643" s="173" t="s">
        <v>468</v>
      </c>
      <c r="B643">
        <v>11841</v>
      </c>
      <c r="C643" s="173" t="s">
        <v>1012</v>
      </c>
      <c r="D643" s="173" t="s">
        <v>470</v>
      </c>
      <c r="E643">
        <v>3</v>
      </c>
    </row>
    <row r="644" spans="1:5" x14ac:dyDescent="0.25">
      <c r="A644" s="173" t="s">
        <v>468</v>
      </c>
      <c r="B644">
        <v>11841</v>
      </c>
      <c r="C644" s="173" t="s">
        <v>1013</v>
      </c>
      <c r="D644" s="173" t="s">
        <v>470</v>
      </c>
      <c r="E644">
        <v>2</v>
      </c>
    </row>
    <row r="645" spans="1:5" x14ac:dyDescent="0.25">
      <c r="A645" s="173" t="s">
        <v>468</v>
      </c>
      <c r="B645">
        <v>11841</v>
      </c>
      <c r="C645" s="173" t="s">
        <v>1014</v>
      </c>
      <c r="D645" s="173" t="s">
        <v>470</v>
      </c>
      <c r="E645">
        <v>3</v>
      </c>
    </row>
    <row r="646" spans="1:5" x14ac:dyDescent="0.25">
      <c r="A646" s="173" t="s">
        <v>468</v>
      </c>
      <c r="B646">
        <v>11841</v>
      </c>
      <c r="C646" s="173" t="s">
        <v>1015</v>
      </c>
      <c r="D646" s="173" t="s">
        <v>470</v>
      </c>
      <c r="E646">
        <v>2</v>
      </c>
    </row>
    <row r="647" spans="1:5" x14ac:dyDescent="0.25">
      <c r="A647" s="173" t="s">
        <v>468</v>
      </c>
      <c r="B647">
        <v>11841</v>
      </c>
      <c r="C647" s="173" t="s">
        <v>1016</v>
      </c>
      <c r="D647" s="173" t="s">
        <v>470</v>
      </c>
      <c r="E647">
        <v>5</v>
      </c>
    </row>
    <row r="648" spans="1:5" x14ac:dyDescent="0.25">
      <c r="A648" s="173" t="s">
        <v>468</v>
      </c>
      <c r="B648">
        <v>11841</v>
      </c>
      <c r="C648" s="173" t="s">
        <v>1017</v>
      </c>
      <c r="D648" s="173" t="s">
        <v>470</v>
      </c>
      <c r="E648">
        <v>4</v>
      </c>
    </row>
    <row r="649" spans="1:5" x14ac:dyDescent="0.25">
      <c r="A649" s="173" t="s">
        <v>468</v>
      </c>
      <c r="B649">
        <v>11841</v>
      </c>
      <c r="C649" s="173" t="s">
        <v>1018</v>
      </c>
      <c r="D649" s="173" t="s">
        <v>470</v>
      </c>
      <c r="E649">
        <v>3</v>
      </c>
    </row>
    <row r="650" spans="1:5" x14ac:dyDescent="0.25">
      <c r="A650" s="173" t="s">
        <v>468</v>
      </c>
      <c r="B650">
        <v>11841</v>
      </c>
      <c r="C650" s="173" t="s">
        <v>1019</v>
      </c>
      <c r="D650" s="173" t="s">
        <v>470</v>
      </c>
      <c r="E650">
        <v>4</v>
      </c>
    </row>
    <row r="651" spans="1:5" x14ac:dyDescent="0.25">
      <c r="A651" s="173" t="s">
        <v>468</v>
      </c>
      <c r="B651">
        <v>11841</v>
      </c>
      <c r="C651" s="173" t="s">
        <v>1020</v>
      </c>
      <c r="D651" s="173" t="s">
        <v>470</v>
      </c>
      <c r="E651">
        <v>4</v>
      </c>
    </row>
    <row r="652" spans="1:5" x14ac:dyDescent="0.25">
      <c r="A652" s="173" t="s">
        <v>468</v>
      </c>
      <c r="B652">
        <v>11841</v>
      </c>
      <c r="C652" s="173" t="s">
        <v>1021</v>
      </c>
      <c r="D652" s="173" t="s">
        <v>470</v>
      </c>
      <c r="E652">
        <v>3</v>
      </c>
    </row>
    <row r="653" spans="1:5" x14ac:dyDescent="0.25">
      <c r="A653" s="173" t="s">
        <v>468</v>
      </c>
      <c r="B653">
        <v>11841</v>
      </c>
      <c r="C653" s="173" t="s">
        <v>1022</v>
      </c>
      <c r="D653" s="173" t="s">
        <v>470</v>
      </c>
      <c r="E653">
        <v>2</v>
      </c>
    </row>
    <row r="654" spans="1:5" x14ac:dyDescent="0.25">
      <c r="A654" s="173" t="s">
        <v>468</v>
      </c>
      <c r="B654">
        <v>11841</v>
      </c>
      <c r="C654" s="173" t="s">
        <v>1023</v>
      </c>
      <c r="D654" s="173" t="s">
        <v>470</v>
      </c>
      <c r="E654">
        <v>3</v>
      </c>
    </row>
    <row r="655" spans="1:5" x14ac:dyDescent="0.25">
      <c r="A655" s="173" t="s">
        <v>468</v>
      </c>
      <c r="B655">
        <v>11841</v>
      </c>
      <c r="C655" s="173" t="s">
        <v>1024</v>
      </c>
      <c r="D655" s="173" t="s">
        <v>470</v>
      </c>
      <c r="E655">
        <v>2</v>
      </c>
    </row>
    <row r="656" spans="1:5" x14ac:dyDescent="0.25">
      <c r="A656" s="173" t="s">
        <v>468</v>
      </c>
      <c r="B656">
        <v>11841</v>
      </c>
      <c r="C656" s="173" t="s">
        <v>1025</v>
      </c>
      <c r="D656" s="173" t="s">
        <v>470</v>
      </c>
      <c r="E656">
        <v>3</v>
      </c>
    </row>
    <row r="657" spans="1:5" x14ac:dyDescent="0.25">
      <c r="A657" s="173" t="s">
        <v>468</v>
      </c>
      <c r="B657">
        <v>11841</v>
      </c>
      <c r="C657" s="173" t="s">
        <v>1026</v>
      </c>
      <c r="D657" s="173" t="s">
        <v>470</v>
      </c>
      <c r="E657">
        <v>3</v>
      </c>
    </row>
    <row r="658" spans="1:5" x14ac:dyDescent="0.25">
      <c r="A658" s="173" t="s">
        <v>468</v>
      </c>
      <c r="B658">
        <v>11841</v>
      </c>
      <c r="C658" s="173" t="s">
        <v>1027</v>
      </c>
      <c r="D658" s="173" t="s">
        <v>470</v>
      </c>
      <c r="E658">
        <v>2</v>
      </c>
    </row>
    <row r="659" spans="1:5" x14ac:dyDescent="0.25">
      <c r="A659" s="173" t="s">
        <v>468</v>
      </c>
      <c r="B659">
        <v>11841</v>
      </c>
      <c r="C659" s="173" t="s">
        <v>3568</v>
      </c>
      <c r="D659" s="173" t="s">
        <v>470</v>
      </c>
      <c r="E659">
        <v>3</v>
      </c>
    </row>
    <row r="660" spans="1:5" x14ac:dyDescent="0.25">
      <c r="A660" s="173" t="s">
        <v>468</v>
      </c>
      <c r="B660">
        <v>11841</v>
      </c>
      <c r="C660" s="173" t="s">
        <v>3569</v>
      </c>
      <c r="D660" s="173" t="s">
        <v>470</v>
      </c>
      <c r="E660">
        <v>3</v>
      </c>
    </row>
    <row r="661" spans="1:5" hidden="1" x14ac:dyDescent="0.25">
      <c r="A661" s="173" t="s">
        <v>514</v>
      </c>
      <c r="B661">
        <v>11858</v>
      </c>
      <c r="C661" s="173" t="s">
        <v>1028</v>
      </c>
      <c r="D661" s="173" t="s">
        <v>470</v>
      </c>
      <c r="E661">
        <v>1</v>
      </c>
    </row>
    <row r="662" spans="1:5" hidden="1" x14ac:dyDescent="0.25">
      <c r="A662" s="173" t="s">
        <v>514</v>
      </c>
      <c r="B662">
        <v>11858</v>
      </c>
      <c r="C662" s="173" t="s">
        <v>1029</v>
      </c>
      <c r="D662" s="173" t="s">
        <v>470</v>
      </c>
      <c r="E662">
        <v>1</v>
      </c>
    </row>
    <row r="663" spans="1:5" hidden="1" x14ac:dyDescent="0.25">
      <c r="A663" s="173" t="s">
        <v>514</v>
      </c>
      <c r="B663">
        <v>11858</v>
      </c>
      <c r="C663" s="173" t="s">
        <v>1030</v>
      </c>
      <c r="D663" s="173" t="s">
        <v>470</v>
      </c>
      <c r="E663">
        <v>1</v>
      </c>
    </row>
    <row r="664" spans="1:5" hidden="1" x14ac:dyDescent="0.25">
      <c r="A664" s="173" t="s">
        <v>514</v>
      </c>
      <c r="B664">
        <v>11858</v>
      </c>
      <c r="C664" s="173" t="s">
        <v>1031</v>
      </c>
      <c r="D664" s="173" t="s">
        <v>470</v>
      </c>
      <c r="E664">
        <v>1</v>
      </c>
    </row>
    <row r="665" spans="1:5" hidden="1" x14ac:dyDescent="0.25">
      <c r="A665" s="173" t="s">
        <v>514</v>
      </c>
      <c r="B665">
        <v>11858</v>
      </c>
      <c r="C665" s="173" t="s">
        <v>1032</v>
      </c>
      <c r="D665" s="173" t="s">
        <v>470</v>
      </c>
      <c r="E665">
        <v>1</v>
      </c>
    </row>
    <row r="666" spans="1:5" hidden="1" x14ac:dyDescent="0.25">
      <c r="A666" s="173" t="s">
        <v>514</v>
      </c>
      <c r="B666">
        <v>11858</v>
      </c>
      <c r="C666" s="173" t="s">
        <v>1033</v>
      </c>
      <c r="D666" s="173" t="s">
        <v>470</v>
      </c>
      <c r="E666">
        <v>1</v>
      </c>
    </row>
    <row r="667" spans="1:5" hidden="1" x14ac:dyDescent="0.25">
      <c r="A667" s="173" t="s">
        <v>514</v>
      </c>
      <c r="B667">
        <v>11858</v>
      </c>
      <c r="C667" s="173" t="s">
        <v>1034</v>
      </c>
      <c r="D667" s="173" t="s">
        <v>470</v>
      </c>
      <c r="E667">
        <v>1</v>
      </c>
    </row>
    <row r="668" spans="1:5" hidden="1" x14ac:dyDescent="0.25">
      <c r="A668" s="173" t="s">
        <v>514</v>
      </c>
      <c r="B668">
        <v>11858</v>
      </c>
      <c r="C668" s="173" t="s">
        <v>1035</v>
      </c>
      <c r="D668" s="173" t="s">
        <v>470</v>
      </c>
      <c r="E668">
        <v>1</v>
      </c>
    </row>
    <row r="669" spans="1:5" hidden="1" x14ac:dyDescent="0.25">
      <c r="A669" s="173" t="s">
        <v>514</v>
      </c>
      <c r="B669">
        <v>11858</v>
      </c>
      <c r="C669" s="173" t="s">
        <v>1036</v>
      </c>
      <c r="D669" s="173" t="s">
        <v>470</v>
      </c>
      <c r="E669">
        <v>1</v>
      </c>
    </row>
    <row r="670" spans="1:5" hidden="1" x14ac:dyDescent="0.25">
      <c r="A670" s="173" t="s">
        <v>514</v>
      </c>
      <c r="B670">
        <v>11858</v>
      </c>
      <c r="C670" s="173" t="s">
        <v>1037</v>
      </c>
      <c r="D670" s="173" t="s">
        <v>470</v>
      </c>
      <c r="E670">
        <v>1</v>
      </c>
    </row>
    <row r="671" spans="1:5" hidden="1" x14ac:dyDescent="0.25">
      <c r="A671" s="173" t="s">
        <v>514</v>
      </c>
      <c r="B671">
        <v>11858</v>
      </c>
      <c r="C671" s="173" t="s">
        <v>1038</v>
      </c>
      <c r="D671" s="173" t="s">
        <v>470</v>
      </c>
      <c r="E671">
        <v>1</v>
      </c>
    </row>
    <row r="672" spans="1:5" hidden="1" x14ac:dyDescent="0.25">
      <c r="A672" s="173" t="s">
        <v>514</v>
      </c>
      <c r="B672">
        <v>11858</v>
      </c>
      <c r="C672" s="173" t="s">
        <v>1039</v>
      </c>
      <c r="D672" s="173" t="s">
        <v>470</v>
      </c>
      <c r="E672">
        <v>1</v>
      </c>
    </row>
    <row r="673" spans="1:5" hidden="1" x14ac:dyDescent="0.25">
      <c r="A673" s="173" t="s">
        <v>514</v>
      </c>
      <c r="B673">
        <v>11858</v>
      </c>
      <c r="C673" s="173" t="s">
        <v>1040</v>
      </c>
      <c r="D673" s="173" t="s">
        <v>470</v>
      </c>
      <c r="E673">
        <v>1</v>
      </c>
    </row>
    <row r="674" spans="1:5" hidden="1" x14ac:dyDescent="0.25">
      <c r="A674" s="173" t="s">
        <v>514</v>
      </c>
      <c r="B674">
        <v>11858</v>
      </c>
      <c r="C674" s="173" t="s">
        <v>1041</v>
      </c>
      <c r="D674" s="173" t="s">
        <v>470</v>
      </c>
      <c r="E674">
        <v>1</v>
      </c>
    </row>
    <row r="675" spans="1:5" hidden="1" x14ac:dyDescent="0.25">
      <c r="A675" s="173" t="s">
        <v>514</v>
      </c>
      <c r="B675">
        <v>11858</v>
      </c>
      <c r="C675" s="173" t="s">
        <v>1042</v>
      </c>
      <c r="D675" s="173" t="s">
        <v>470</v>
      </c>
      <c r="E675">
        <v>1</v>
      </c>
    </row>
    <row r="676" spans="1:5" hidden="1" x14ac:dyDescent="0.25">
      <c r="A676" s="173" t="s">
        <v>514</v>
      </c>
      <c r="B676">
        <v>11858</v>
      </c>
      <c r="C676" s="173" t="s">
        <v>1043</v>
      </c>
      <c r="D676" s="173" t="s">
        <v>470</v>
      </c>
      <c r="E676">
        <v>1</v>
      </c>
    </row>
    <row r="677" spans="1:5" hidden="1" x14ac:dyDescent="0.25">
      <c r="A677" s="173" t="s">
        <v>514</v>
      </c>
      <c r="B677">
        <v>11858</v>
      </c>
      <c r="C677" s="173" t="s">
        <v>1044</v>
      </c>
      <c r="D677" s="173" t="s">
        <v>470</v>
      </c>
      <c r="E677">
        <v>1</v>
      </c>
    </row>
    <row r="678" spans="1:5" hidden="1" x14ac:dyDescent="0.25">
      <c r="A678" s="173" t="s">
        <v>514</v>
      </c>
      <c r="B678">
        <v>11858</v>
      </c>
      <c r="C678" s="173" t="s">
        <v>1045</v>
      </c>
      <c r="D678" s="173" t="s">
        <v>470</v>
      </c>
      <c r="E678">
        <v>1</v>
      </c>
    </row>
    <row r="679" spans="1:5" hidden="1" x14ac:dyDescent="0.25">
      <c r="A679" s="173" t="s">
        <v>514</v>
      </c>
      <c r="B679">
        <v>11858</v>
      </c>
      <c r="C679" s="173" t="s">
        <v>1046</v>
      </c>
      <c r="D679" s="173" t="s">
        <v>470</v>
      </c>
      <c r="E679">
        <v>1</v>
      </c>
    </row>
    <row r="680" spans="1:5" hidden="1" x14ac:dyDescent="0.25">
      <c r="A680" s="173" t="s">
        <v>514</v>
      </c>
      <c r="B680">
        <v>11859</v>
      </c>
      <c r="C680" s="173" t="s">
        <v>1047</v>
      </c>
      <c r="D680" s="173" t="s">
        <v>470</v>
      </c>
      <c r="E680">
        <v>1</v>
      </c>
    </row>
    <row r="681" spans="1:5" hidden="1" x14ac:dyDescent="0.25">
      <c r="A681" s="173" t="s">
        <v>514</v>
      </c>
      <c r="B681">
        <v>11859</v>
      </c>
      <c r="C681" s="173" t="s">
        <v>1048</v>
      </c>
      <c r="D681" s="173" t="s">
        <v>470</v>
      </c>
      <c r="E681">
        <v>1</v>
      </c>
    </row>
    <row r="682" spans="1:5" hidden="1" x14ac:dyDescent="0.25">
      <c r="A682" s="173" t="s">
        <v>514</v>
      </c>
      <c r="B682">
        <v>11859</v>
      </c>
      <c r="C682" s="173" t="s">
        <v>1049</v>
      </c>
      <c r="D682" s="173" t="s">
        <v>470</v>
      </c>
      <c r="E682">
        <v>1</v>
      </c>
    </row>
    <row r="683" spans="1:5" hidden="1" x14ac:dyDescent="0.25">
      <c r="A683" s="173" t="s">
        <v>514</v>
      </c>
      <c r="B683">
        <v>11859</v>
      </c>
      <c r="C683" s="173" t="s">
        <v>1050</v>
      </c>
      <c r="D683" s="173" t="s">
        <v>470</v>
      </c>
      <c r="E683">
        <v>1</v>
      </c>
    </row>
    <row r="684" spans="1:5" hidden="1" x14ac:dyDescent="0.25">
      <c r="A684" s="173" t="s">
        <v>514</v>
      </c>
      <c r="B684">
        <v>11859</v>
      </c>
      <c r="C684" s="173" t="s">
        <v>1051</v>
      </c>
      <c r="D684" s="173" t="s">
        <v>470</v>
      </c>
      <c r="E684">
        <v>1</v>
      </c>
    </row>
    <row r="685" spans="1:5" hidden="1" x14ac:dyDescent="0.25">
      <c r="A685" s="173" t="s">
        <v>514</v>
      </c>
      <c r="B685">
        <v>11859</v>
      </c>
      <c r="C685" s="173" t="s">
        <v>1052</v>
      </c>
      <c r="D685" s="173" t="s">
        <v>470</v>
      </c>
      <c r="E685">
        <v>1</v>
      </c>
    </row>
    <row r="686" spans="1:5" hidden="1" x14ac:dyDescent="0.25">
      <c r="A686" s="173" t="s">
        <v>514</v>
      </c>
      <c r="B686">
        <v>11859</v>
      </c>
      <c r="C686" s="173" t="s">
        <v>1053</v>
      </c>
      <c r="D686" s="173" t="s">
        <v>470</v>
      </c>
      <c r="E686">
        <v>1</v>
      </c>
    </row>
    <row r="687" spans="1:5" hidden="1" x14ac:dyDescent="0.25">
      <c r="A687" s="173" t="s">
        <v>514</v>
      </c>
      <c r="B687">
        <v>11859</v>
      </c>
      <c r="C687" s="173" t="s">
        <v>1054</v>
      </c>
      <c r="D687" s="173" t="s">
        <v>470</v>
      </c>
      <c r="E687">
        <v>1</v>
      </c>
    </row>
    <row r="688" spans="1:5" hidden="1" x14ac:dyDescent="0.25">
      <c r="A688" s="173" t="s">
        <v>514</v>
      </c>
      <c r="B688">
        <v>11859</v>
      </c>
      <c r="C688" s="173" t="s">
        <v>1055</v>
      </c>
      <c r="D688" s="173" t="s">
        <v>470</v>
      </c>
      <c r="E688">
        <v>1</v>
      </c>
    </row>
    <row r="689" spans="1:5" hidden="1" x14ac:dyDescent="0.25">
      <c r="A689" s="173" t="s">
        <v>514</v>
      </c>
      <c r="B689">
        <v>11859</v>
      </c>
      <c r="C689" s="173" t="s">
        <v>1056</v>
      </c>
      <c r="D689" s="173" t="s">
        <v>470</v>
      </c>
      <c r="E689">
        <v>1</v>
      </c>
    </row>
    <row r="690" spans="1:5" hidden="1" x14ac:dyDescent="0.25">
      <c r="A690" s="173" t="s">
        <v>514</v>
      </c>
      <c r="B690">
        <v>11859</v>
      </c>
      <c r="C690" s="173" t="s">
        <v>1057</v>
      </c>
      <c r="D690" s="173" t="s">
        <v>470</v>
      </c>
      <c r="E690">
        <v>1</v>
      </c>
    </row>
    <row r="691" spans="1:5" hidden="1" x14ac:dyDescent="0.25">
      <c r="A691" s="173" t="s">
        <v>514</v>
      </c>
      <c r="B691">
        <v>11859</v>
      </c>
      <c r="C691" s="173" t="s">
        <v>1058</v>
      </c>
      <c r="D691" s="173" t="s">
        <v>470</v>
      </c>
      <c r="E691">
        <v>1</v>
      </c>
    </row>
    <row r="692" spans="1:5" hidden="1" x14ac:dyDescent="0.25">
      <c r="A692" s="173" t="s">
        <v>514</v>
      </c>
      <c r="B692">
        <v>11859</v>
      </c>
      <c r="C692" s="173" t="s">
        <v>1059</v>
      </c>
      <c r="D692" s="173" t="s">
        <v>470</v>
      </c>
      <c r="E692">
        <v>1</v>
      </c>
    </row>
    <row r="693" spans="1:5" hidden="1" x14ac:dyDescent="0.25">
      <c r="A693" s="173" t="s">
        <v>514</v>
      </c>
      <c r="B693">
        <v>11859</v>
      </c>
      <c r="C693" s="173" t="s">
        <v>1060</v>
      </c>
      <c r="D693" s="173" t="s">
        <v>470</v>
      </c>
      <c r="E693">
        <v>1</v>
      </c>
    </row>
    <row r="694" spans="1:5" hidden="1" x14ac:dyDescent="0.25">
      <c r="A694" s="173" t="s">
        <v>514</v>
      </c>
      <c r="B694">
        <v>11859</v>
      </c>
      <c r="C694" s="173" t="s">
        <v>1061</v>
      </c>
      <c r="D694" s="173" t="s">
        <v>470</v>
      </c>
      <c r="E694">
        <v>1</v>
      </c>
    </row>
    <row r="695" spans="1:5" hidden="1" x14ac:dyDescent="0.25">
      <c r="A695" s="173" t="s">
        <v>514</v>
      </c>
      <c r="B695">
        <v>11859</v>
      </c>
      <c r="C695" s="173" t="s">
        <v>1062</v>
      </c>
      <c r="D695" s="173" t="s">
        <v>470</v>
      </c>
      <c r="E695">
        <v>1</v>
      </c>
    </row>
    <row r="696" spans="1:5" hidden="1" x14ac:dyDescent="0.25">
      <c r="A696" s="173" t="s">
        <v>514</v>
      </c>
      <c r="B696">
        <v>11859</v>
      </c>
      <c r="C696" s="173" t="s">
        <v>1063</v>
      </c>
      <c r="D696" s="173" t="s">
        <v>470</v>
      </c>
      <c r="E696">
        <v>1</v>
      </c>
    </row>
    <row r="697" spans="1:5" hidden="1" x14ac:dyDescent="0.25">
      <c r="A697" s="173" t="s">
        <v>514</v>
      </c>
      <c r="B697">
        <v>11859</v>
      </c>
      <c r="C697" s="173" t="s">
        <v>1064</v>
      </c>
      <c r="D697" s="173" t="s">
        <v>470</v>
      </c>
      <c r="E697">
        <v>1</v>
      </c>
    </row>
    <row r="698" spans="1:5" hidden="1" x14ac:dyDescent="0.25">
      <c r="A698" s="173" t="s">
        <v>514</v>
      </c>
      <c r="B698">
        <v>11859</v>
      </c>
      <c r="C698" s="173" t="s">
        <v>1065</v>
      </c>
      <c r="D698" s="173" t="s">
        <v>470</v>
      </c>
      <c r="E698">
        <v>1</v>
      </c>
    </row>
    <row r="699" spans="1:5" hidden="1" x14ac:dyDescent="0.25">
      <c r="A699" s="173" t="s">
        <v>514</v>
      </c>
      <c r="B699">
        <v>11859</v>
      </c>
      <c r="C699" s="173" t="s">
        <v>1066</v>
      </c>
      <c r="D699" s="173" t="s">
        <v>470</v>
      </c>
      <c r="E699">
        <v>1</v>
      </c>
    </row>
    <row r="700" spans="1:5" hidden="1" x14ac:dyDescent="0.25">
      <c r="A700" s="173" t="s">
        <v>514</v>
      </c>
      <c r="B700">
        <v>11859</v>
      </c>
      <c r="C700" s="173" t="s">
        <v>1067</v>
      </c>
      <c r="D700" s="173" t="s">
        <v>470</v>
      </c>
      <c r="E700">
        <v>1</v>
      </c>
    </row>
    <row r="701" spans="1:5" hidden="1" x14ac:dyDescent="0.25">
      <c r="A701" s="173" t="s">
        <v>514</v>
      </c>
      <c r="B701">
        <v>11859</v>
      </c>
      <c r="C701" s="173" t="s">
        <v>1068</v>
      </c>
      <c r="D701" s="173" t="s">
        <v>470</v>
      </c>
      <c r="E701">
        <v>1</v>
      </c>
    </row>
    <row r="702" spans="1:5" hidden="1" x14ac:dyDescent="0.25">
      <c r="A702" s="173" t="s">
        <v>514</v>
      </c>
      <c r="B702">
        <v>11859</v>
      </c>
      <c r="C702" s="173" t="s">
        <v>1069</v>
      </c>
      <c r="D702" s="173" t="s">
        <v>470</v>
      </c>
      <c r="E702">
        <v>1</v>
      </c>
    </row>
    <row r="703" spans="1:5" hidden="1" x14ac:dyDescent="0.25">
      <c r="A703" s="173" t="s">
        <v>514</v>
      </c>
      <c r="B703">
        <v>11859</v>
      </c>
      <c r="C703" s="173" t="s">
        <v>1070</v>
      </c>
      <c r="D703" s="173" t="s">
        <v>470</v>
      </c>
      <c r="E703">
        <v>1</v>
      </c>
    </row>
    <row r="704" spans="1:5" hidden="1" x14ac:dyDescent="0.25">
      <c r="A704" s="173" t="s">
        <v>514</v>
      </c>
      <c r="B704">
        <v>11859</v>
      </c>
      <c r="C704" s="173" t="s">
        <v>3570</v>
      </c>
      <c r="D704" s="173" t="s">
        <v>470</v>
      </c>
      <c r="E704">
        <v>1</v>
      </c>
    </row>
    <row r="705" spans="1:5" hidden="1" x14ac:dyDescent="0.25">
      <c r="A705" s="173" t="s">
        <v>514</v>
      </c>
      <c r="B705">
        <v>11859</v>
      </c>
      <c r="C705" s="173" t="s">
        <v>3571</v>
      </c>
      <c r="D705" s="173" t="s">
        <v>470</v>
      </c>
      <c r="E705">
        <v>1</v>
      </c>
    </row>
    <row r="706" spans="1:5" x14ac:dyDescent="0.25">
      <c r="A706" s="173" t="s">
        <v>468</v>
      </c>
      <c r="B706">
        <v>11936</v>
      </c>
      <c r="C706" s="173" t="s">
        <v>1071</v>
      </c>
      <c r="D706" s="173" t="s">
        <v>470</v>
      </c>
      <c r="E706">
        <v>1</v>
      </c>
    </row>
    <row r="707" spans="1:5" x14ac:dyDescent="0.25">
      <c r="A707" s="173" t="s">
        <v>468</v>
      </c>
      <c r="B707">
        <v>11936</v>
      </c>
      <c r="C707" s="173" t="s">
        <v>1072</v>
      </c>
      <c r="D707" s="173" t="s">
        <v>470</v>
      </c>
      <c r="E707">
        <v>1</v>
      </c>
    </row>
    <row r="708" spans="1:5" x14ac:dyDescent="0.25">
      <c r="A708" s="173" t="s">
        <v>468</v>
      </c>
      <c r="B708">
        <v>11936</v>
      </c>
      <c r="C708" s="173" t="s">
        <v>1073</v>
      </c>
      <c r="D708" s="173" t="s">
        <v>470</v>
      </c>
      <c r="E708">
        <v>1</v>
      </c>
    </row>
    <row r="709" spans="1:5" x14ac:dyDescent="0.25">
      <c r="A709" s="173" t="s">
        <v>468</v>
      </c>
      <c r="B709">
        <v>11936</v>
      </c>
      <c r="C709" s="173" t="s">
        <v>1074</v>
      </c>
      <c r="D709" s="173" t="s">
        <v>470</v>
      </c>
      <c r="E709">
        <v>1</v>
      </c>
    </row>
    <row r="710" spans="1:5" x14ac:dyDescent="0.25">
      <c r="A710" s="173" t="s">
        <v>468</v>
      </c>
      <c r="B710">
        <v>11936</v>
      </c>
      <c r="C710" s="173" t="s">
        <v>1075</v>
      </c>
      <c r="D710" s="173" t="s">
        <v>470</v>
      </c>
      <c r="E710">
        <v>3</v>
      </c>
    </row>
    <row r="711" spans="1:5" x14ac:dyDescent="0.25">
      <c r="A711" s="173" t="s">
        <v>468</v>
      </c>
      <c r="B711">
        <v>11936</v>
      </c>
      <c r="C711" s="173" t="s">
        <v>1076</v>
      </c>
      <c r="D711" s="173" t="s">
        <v>470</v>
      </c>
      <c r="E711">
        <v>4</v>
      </c>
    </row>
    <row r="712" spans="1:5" x14ac:dyDescent="0.25">
      <c r="A712" s="173" t="s">
        <v>468</v>
      </c>
      <c r="B712">
        <v>11936</v>
      </c>
      <c r="C712" s="173" t="s">
        <v>1077</v>
      </c>
      <c r="D712" s="173" t="s">
        <v>470</v>
      </c>
      <c r="E712">
        <v>3</v>
      </c>
    </row>
    <row r="713" spans="1:5" x14ac:dyDescent="0.25">
      <c r="A713" s="173" t="s">
        <v>468</v>
      </c>
      <c r="B713">
        <v>11936</v>
      </c>
      <c r="C713" s="173" t="s">
        <v>1078</v>
      </c>
      <c r="D713" s="173" t="s">
        <v>470</v>
      </c>
      <c r="E713">
        <v>3</v>
      </c>
    </row>
    <row r="714" spans="1:5" x14ac:dyDescent="0.25">
      <c r="A714" s="173" t="s">
        <v>468</v>
      </c>
      <c r="B714">
        <v>11936</v>
      </c>
      <c r="C714" s="173" t="s">
        <v>1079</v>
      </c>
      <c r="D714" s="173" t="s">
        <v>470</v>
      </c>
      <c r="E714">
        <v>3</v>
      </c>
    </row>
    <row r="715" spans="1:5" x14ac:dyDescent="0.25">
      <c r="A715" s="173" t="s">
        <v>468</v>
      </c>
      <c r="B715">
        <v>11936</v>
      </c>
      <c r="C715" s="173" t="s">
        <v>1080</v>
      </c>
      <c r="D715" s="173" t="s">
        <v>470</v>
      </c>
      <c r="E715">
        <v>4</v>
      </c>
    </row>
    <row r="716" spans="1:5" x14ac:dyDescent="0.25">
      <c r="A716" s="173" t="s">
        <v>468</v>
      </c>
      <c r="B716">
        <v>11936</v>
      </c>
      <c r="C716" s="173" t="s">
        <v>1081</v>
      </c>
      <c r="D716" s="173" t="s">
        <v>470</v>
      </c>
      <c r="E716">
        <v>2</v>
      </c>
    </row>
    <row r="717" spans="1:5" x14ac:dyDescent="0.25">
      <c r="A717" s="173" t="s">
        <v>468</v>
      </c>
      <c r="B717">
        <v>11936</v>
      </c>
      <c r="C717" s="173" t="s">
        <v>1082</v>
      </c>
      <c r="D717" s="173" t="s">
        <v>470</v>
      </c>
      <c r="E717">
        <v>2</v>
      </c>
    </row>
    <row r="718" spans="1:5" x14ac:dyDescent="0.25">
      <c r="A718" s="173" t="s">
        <v>468</v>
      </c>
      <c r="B718">
        <v>11936</v>
      </c>
      <c r="C718" s="173" t="s">
        <v>1083</v>
      </c>
      <c r="D718" s="173" t="s">
        <v>470</v>
      </c>
      <c r="E718">
        <v>3</v>
      </c>
    </row>
    <row r="719" spans="1:5" x14ac:dyDescent="0.25">
      <c r="A719" s="173" t="s">
        <v>468</v>
      </c>
      <c r="B719">
        <v>11936</v>
      </c>
      <c r="C719" s="173" t="s">
        <v>1084</v>
      </c>
      <c r="D719" s="173" t="s">
        <v>470</v>
      </c>
      <c r="E719">
        <v>4</v>
      </c>
    </row>
    <row r="720" spans="1:5" x14ac:dyDescent="0.25">
      <c r="A720" s="173" t="s">
        <v>468</v>
      </c>
      <c r="B720">
        <v>11936</v>
      </c>
      <c r="C720" s="173" t="s">
        <v>1085</v>
      </c>
      <c r="D720" s="173" t="s">
        <v>470</v>
      </c>
      <c r="E720">
        <v>4</v>
      </c>
    </row>
    <row r="721" spans="1:5" x14ac:dyDescent="0.25">
      <c r="A721" s="173" t="s">
        <v>468</v>
      </c>
      <c r="B721">
        <v>11936</v>
      </c>
      <c r="C721" s="173" t="s">
        <v>1086</v>
      </c>
      <c r="D721" s="173" t="s">
        <v>470</v>
      </c>
      <c r="E721">
        <v>4</v>
      </c>
    </row>
    <row r="722" spans="1:5" x14ac:dyDescent="0.25">
      <c r="A722" s="173" t="s">
        <v>468</v>
      </c>
      <c r="B722">
        <v>11936</v>
      </c>
      <c r="C722" s="173" t="s">
        <v>1087</v>
      </c>
      <c r="D722" s="173" t="s">
        <v>470</v>
      </c>
      <c r="E722">
        <v>5</v>
      </c>
    </row>
    <row r="723" spans="1:5" x14ac:dyDescent="0.25">
      <c r="A723" s="173" t="s">
        <v>468</v>
      </c>
      <c r="B723">
        <v>11936</v>
      </c>
      <c r="C723" s="173" t="s">
        <v>1088</v>
      </c>
      <c r="D723" s="173" t="s">
        <v>470</v>
      </c>
      <c r="E723">
        <v>4</v>
      </c>
    </row>
    <row r="724" spans="1:5" x14ac:dyDescent="0.25">
      <c r="A724" s="173" t="s">
        <v>468</v>
      </c>
      <c r="B724">
        <v>11936</v>
      </c>
      <c r="C724" s="173" t="s">
        <v>1089</v>
      </c>
      <c r="D724" s="173" t="s">
        <v>470</v>
      </c>
      <c r="E724">
        <v>2</v>
      </c>
    </row>
    <row r="725" spans="1:5" x14ac:dyDescent="0.25">
      <c r="A725" s="173" t="s">
        <v>468</v>
      </c>
      <c r="B725">
        <v>11936</v>
      </c>
      <c r="C725" s="173" t="s">
        <v>1089</v>
      </c>
      <c r="D725" s="173" t="s">
        <v>470</v>
      </c>
      <c r="E725">
        <v>1</v>
      </c>
    </row>
    <row r="726" spans="1:5" x14ac:dyDescent="0.25">
      <c r="A726" s="173" t="s">
        <v>468</v>
      </c>
      <c r="B726">
        <v>11936</v>
      </c>
      <c r="C726" s="173" t="s">
        <v>1090</v>
      </c>
      <c r="D726" s="173" t="s">
        <v>470</v>
      </c>
      <c r="E726">
        <v>2</v>
      </c>
    </row>
    <row r="727" spans="1:5" x14ac:dyDescent="0.25">
      <c r="A727" s="173" t="s">
        <v>468</v>
      </c>
      <c r="B727">
        <v>11936</v>
      </c>
      <c r="C727" s="173" t="s">
        <v>1091</v>
      </c>
      <c r="D727" s="173" t="s">
        <v>470</v>
      </c>
      <c r="E727">
        <v>5</v>
      </c>
    </row>
    <row r="728" spans="1:5" x14ac:dyDescent="0.25">
      <c r="A728" s="173" t="s">
        <v>468</v>
      </c>
      <c r="B728">
        <v>11936</v>
      </c>
      <c r="C728" s="173" t="s">
        <v>1092</v>
      </c>
      <c r="D728" s="173" t="s">
        <v>470</v>
      </c>
      <c r="E728">
        <v>4</v>
      </c>
    </row>
    <row r="729" spans="1:5" x14ac:dyDescent="0.25">
      <c r="A729" s="173" t="s">
        <v>468</v>
      </c>
      <c r="B729">
        <v>11936</v>
      </c>
      <c r="C729" s="173" t="s">
        <v>1093</v>
      </c>
      <c r="D729" s="173" t="s">
        <v>470</v>
      </c>
      <c r="E729">
        <v>4</v>
      </c>
    </row>
    <row r="730" spans="1:5" x14ac:dyDescent="0.25">
      <c r="A730" s="173" t="s">
        <v>468</v>
      </c>
      <c r="B730">
        <v>11936</v>
      </c>
      <c r="C730" s="173" t="s">
        <v>1094</v>
      </c>
      <c r="D730" s="173" t="s">
        <v>470</v>
      </c>
      <c r="E730">
        <v>4</v>
      </c>
    </row>
    <row r="731" spans="1:5" x14ac:dyDescent="0.25">
      <c r="A731" s="173" t="s">
        <v>468</v>
      </c>
      <c r="B731">
        <v>11936</v>
      </c>
      <c r="C731" s="173" t="s">
        <v>1095</v>
      </c>
      <c r="D731" s="173" t="s">
        <v>470</v>
      </c>
      <c r="E731">
        <v>4</v>
      </c>
    </row>
    <row r="732" spans="1:5" x14ac:dyDescent="0.25">
      <c r="A732" s="173" t="s">
        <v>468</v>
      </c>
      <c r="B732">
        <v>11936</v>
      </c>
      <c r="C732" s="173" t="s">
        <v>1096</v>
      </c>
      <c r="D732" s="173" t="s">
        <v>470</v>
      </c>
      <c r="E732">
        <v>2</v>
      </c>
    </row>
    <row r="733" spans="1:5" x14ac:dyDescent="0.25">
      <c r="A733" s="173" t="s">
        <v>468</v>
      </c>
      <c r="B733">
        <v>11936</v>
      </c>
      <c r="C733" s="173" t="s">
        <v>1097</v>
      </c>
      <c r="D733" s="173" t="s">
        <v>470</v>
      </c>
      <c r="E733">
        <v>4</v>
      </c>
    </row>
    <row r="734" spans="1:5" x14ac:dyDescent="0.25">
      <c r="A734" s="173" t="s">
        <v>468</v>
      </c>
      <c r="B734">
        <v>11936</v>
      </c>
      <c r="C734" s="173" t="s">
        <v>1098</v>
      </c>
      <c r="D734" s="173" t="s">
        <v>470</v>
      </c>
      <c r="E734">
        <v>4</v>
      </c>
    </row>
    <row r="735" spans="1:5" x14ac:dyDescent="0.25">
      <c r="A735" s="173" t="s">
        <v>468</v>
      </c>
      <c r="B735">
        <v>11936</v>
      </c>
      <c r="C735" s="173" t="s">
        <v>1099</v>
      </c>
      <c r="D735" s="173" t="s">
        <v>470</v>
      </c>
      <c r="E735">
        <v>4</v>
      </c>
    </row>
    <row r="736" spans="1:5" x14ac:dyDescent="0.25">
      <c r="A736" s="173" t="s">
        <v>468</v>
      </c>
      <c r="B736">
        <v>11936</v>
      </c>
      <c r="C736" s="173" t="s">
        <v>1100</v>
      </c>
      <c r="D736" s="173" t="s">
        <v>470</v>
      </c>
      <c r="E736">
        <v>4</v>
      </c>
    </row>
    <row r="737" spans="1:5" x14ac:dyDescent="0.25">
      <c r="A737" s="173" t="s">
        <v>468</v>
      </c>
      <c r="B737">
        <v>11936</v>
      </c>
      <c r="C737" s="173" t="s">
        <v>1101</v>
      </c>
      <c r="D737" s="173" t="s">
        <v>470</v>
      </c>
      <c r="E737">
        <v>4</v>
      </c>
    </row>
    <row r="738" spans="1:5" x14ac:dyDescent="0.25">
      <c r="A738" s="173" t="s">
        <v>468</v>
      </c>
      <c r="B738">
        <v>11936</v>
      </c>
      <c r="C738" s="173" t="s">
        <v>1102</v>
      </c>
      <c r="D738" s="173" t="s">
        <v>470</v>
      </c>
      <c r="E738">
        <v>5</v>
      </c>
    </row>
    <row r="739" spans="1:5" hidden="1" x14ac:dyDescent="0.25">
      <c r="A739" s="173" t="s">
        <v>804</v>
      </c>
      <c r="B739">
        <v>12120</v>
      </c>
      <c r="C739" s="173" t="s">
        <v>3572</v>
      </c>
      <c r="D739" s="173" t="s">
        <v>470</v>
      </c>
      <c r="E739">
        <v>3</v>
      </c>
    </row>
    <row r="740" spans="1:5" hidden="1" x14ac:dyDescent="0.25">
      <c r="A740" s="173" t="s">
        <v>804</v>
      </c>
      <c r="B740">
        <v>12120</v>
      </c>
      <c r="C740" s="173" t="s">
        <v>3573</v>
      </c>
      <c r="D740" s="173" t="s">
        <v>470</v>
      </c>
      <c r="E740">
        <v>3</v>
      </c>
    </row>
    <row r="741" spans="1:5" hidden="1" x14ac:dyDescent="0.25">
      <c r="A741" s="173" t="s">
        <v>804</v>
      </c>
      <c r="B741">
        <v>12120</v>
      </c>
      <c r="C741" s="173" t="s">
        <v>3574</v>
      </c>
      <c r="D741" s="173" t="s">
        <v>470</v>
      </c>
      <c r="E741">
        <v>3</v>
      </c>
    </row>
    <row r="742" spans="1:5" hidden="1" x14ac:dyDescent="0.25">
      <c r="A742" s="173" t="s">
        <v>804</v>
      </c>
      <c r="B742">
        <v>12120</v>
      </c>
      <c r="C742" s="173" t="s">
        <v>3575</v>
      </c>
      <c r="D742" s="173" t="s">
        <v>470</v>
      </c>
      <c r="E742">
        <v>2</v>
      </c>
    </row>
    <row r="743" spans="1:5" hidden="1" x14ac:dyDescent="0.25">
      <c r="A743" s="173" t="s">
        <v>804</v>
      </c>
      <c r="B743">
        <v>12120</v>
      </c>
      <c r="C743" s="173" t="s">
        <v>3576</v>
      </c>
      <c r="D743" s="173" t="s">
        <v>470</v>
      </c>
      <c r="E743">
        <v>3</v>
      </c>
    </row>
    <row r="744" spans="1:5" hidden="1" x14ac:dyDescent="0.25">
      <c r="A744" s="173" t="s">
        <v>804</v>
      </c>
      <c r="B744">
        <v>12120</v>
      </c>
      <c r="C744" s="173" t="s">
        <v>3577</v>
      </c>
      <c r="D744" s="173" t="s">
        <v>470</v>
      </c>
      <c r="E744">
        <v>4</v>
      </c>
    </row>
    <row r="745" spans="1:5" hidden="1" x14ac:dyDescent="0.25">
      <c r="A745" s="173" t="s">
        <v>804</v>
      </c>
      <c r="B745">
        <v>12120</v>
      </c>
      <c r="C745" s="173" t="s">
        <v>3578</v>
      </c>
      <c r="D745" s="173" t="s">
        <v>470</v>
      </c>
      <c r="E745">
        <v>4</v>
      </c>
    </row>
    <row r="746" spans="1:5" hidden="1" x14ac:dyDescent="0.25">
      <c r="A746" s="173" t="s">
        <v>804</v>
      </c>
      <c r="B746">
        <v>12120</v>
      </c>
      <c r="C746" s="173" t="s">
        <v>3579</v>
      </c>
      <c r="D746" s="173" t="s">
        <v>470</v>
      </c>
      <c r="E746">
        <v>4</v>
      </c>
    </row>
    <row r="747" spans="1:5" hidden="1" x14ac:dyDescent="0.25">
      <c r="A747" s="173" t="s">
        <v>514</v>
      </c>
      <c r="B747">
        <v>12158</v>
      </c>
      <c r="C747" s="173" t="s">
        <v>1103</v>
      </c>
      <c r="D747" s="173" t="s">
        <v>470</v>
      </c>
      <c r="E747">
        <v>6</v>
      </c>
    </row>
    <row r="748" spans="1:5" hidden="1" x14ac:dyDescent="0.25">
      <c r="A748" s="173" t="s">
        <v>514</v>
      </c>
      <c r="B748">
        <v>12158</v>
      </c>
      <c r="C748" s="173" t="s">
        <v>1104</v>
      </c>
      <c r="D748" s="173" t="s">
        <v>470</v>
      </c>
      <c r="E748">
        <v>7</v>
      </c>
    </row>
    <row r="749" spans="1:5" hidden="1" x14ac:dyDescent="0.25">
      <c r="A749" s="173" t="s">
        <v>514</v>
      </c>
      <c r="B749">
        <v>12158</v>
      </c>
      <c r="C749" s="173" t="s">
        <v>1105</v>
      </c>
      <c r="D749" s="173" t="s">
        <v>470</v>
      </c>
      <c r="E749">
        <v>7</v>
      </c>
    </row>
    <row r="750" spans="1:5" hidden="1" x14ac:dyDescent="0.25">
      <c r="A750" s="173" t="s">
        <v>514</v>
      </c>
      <c r="B750">
        <v>12158</v>
      </c>
      <c r="C750" s="173" t="s">
        <v>1106</v>
      </c>
      <c r="D750" s="173" t="s">
        <v>470</v>
      </c>
      <c r="E750">
        <v>7</v>
      </c>
    </row>
    <row r="751" spans="1:5" hidden="1" x14ac:dyDescent="0.25">
      <c r="A751" s="173" t="s">
        <v>514</v>
      </c>
      <c r="B751">
        <v>12158</v>
      </c>
      <c r="C751" s="173" t="s">
        <v>1107</v>
      </c>
      <c r="D751" s="173" t="s">
        <v>470</v>
      </c>
      <c r="E751">
        <v>6</v>
      </c>
    </row>
    <row r="752" spans="1:5" hidden="1" x14ac:dyDescent="0.25">
      <c r="A752" s="173" t="s">
        <v>514</v>
      </c>
      <c r="B752">
        <v>12158</v>
      </c>
      <c r="C752" s="173" t="s">
        <v>1108</v>
      </c>
      <c r="D752" s="173" t="s">
        <v>470</v>
      </c>
      <c r="E752">
        <v>7</v>
      </c>
    </row>
    <row r="753" spans="1:5" hidden="1" x14ac:dyDescent="0.25">
      <c r="A753" s="173" t="s">
        <v>514</v>
      </c>
      <c r="B753">
        <v>12158</v>
      </c>
      <c r="C753" s="173" t="s">
        <v>1109</v>
      </c>
      <c r="D753" s="173" t="s">
        <v>470</v>
      </c>
      <c r="E753">
        <v>7</v>
      </c>
    </row>
    <row r="754" spans="1:5" hidden="1" x14ac:dyDescent="0.25">
      <c r="A754" s="173" t="s">
        <v>514</v>
      </c>
      <c r="B754">
        <v>12158</v>
      </c>
      <c r="C754" s="173" t="s">
        <v>1110</v>
      </c>
      <c r="D754" s="173" t="s">
        <v>517</v>
      </c>
      <c r="E754">
        <v>1</v>
      </c>
    </row>
    <row r="755" spans="1:5" hidden="1" x14ac:dyDescent="0.25">
      <c r="A755" s="173" t="s">
        <v>514</v>
      </c>
      <c r="B755">
        <v>12158</v>
      </c>
      <c r="C755" s="173" t="s">
        <v>1110</v>
      </c>
      <c r="D755" s="173" t="s">
        <v>470</v>
      </c>
      <c r="E755">
        <v>4</v>
      </c>
    </row>
    <row r="756" spans="1:5" hidden="1" x14ac:dyDescent="0.25">
      <c r="A756" s="173" t="s">
        <v>514</v>
      </c>
      <c r="B756">
        <v>12158</v>
      </c>
      <c r="C756" s="173" t="s">
        <v>1111</v>
      </c>
      <c r="D756" s="173" t="s">
        <v>517</v>
      </c>
      <c r="E756">
        <v>1</v>
      </c>
    </row>
    <row r="757" spans="1:5" hidden="1" x14ac:dyDescent="0.25">
      <c r="A757" s="173" t="s">
        <v>514</v>
      </c>
      <c r="B757">
        <v>12158</v>
      </c>
      <c r="C757" s="173" t="s">
        <v>1111</v>
      </c>
      <c r="D757" s="173" t="s">
        <v>470</v>
      </c>
      <c r="E757">
        <v>3</v>
      </c>
    </row>
    <row r="758" spans="1:5" hidden="1" x14ac:dyDescent="0.25">
      <c r="A758" s="173" t="s">
        <v>514</v>
      </c>
      <c r="B758">
        <v>12158</v>
      </c>
      <c r="C758" s="173" t="s">
        <v>1112</v>
      </c>
      <c r="D758" s="173" t="s">
        <v>517</v>
      </c>
      <c r="E758">
        <v>1</v>
      </c>
    </row>
    <row r="759" spans="1:5" hidden="1" x14ac:dyDescent="0.25">
      <c r="A759" s="173" t="s">
        <v>514</v>
      </c>
      <c r="B759">
        <v>12158</v>
      </c>
      <c r="C759" s="173" t="s">
        <v>1112</v>
      </c>
      <c r="D759" s="173" t="s">
        <v>470</v>
      </c>
      <c r="E759">
        <v>3</v>
      </c>
    </row>
    <row r="760" spans="1:5" hidden="1" x14ac:dyDescent="0.25">
      <c r="A760" s="173" t="s">
        <v>514</v>
      </c>
      <c r="B760">
        <v>12158</v>
      </c>
      <c r="C760" s="173" t="s">
        <v>1113</v>
      </c>
      <c r="D760" s="173" t="s">
        <v>517</v>
      </c>
      <c r="E760">
        <v>1</v>
      </c>
    </row>
    <row r="761" spans="1:5" hidden="1" x14ac:dyDescent="0.25">
      <c r="A761" s="173" t="s">
        <v>514</v>
      </c>
      <c r="B761">
        <v>12158</v>
      </c>
      <c r="C761" s="173" t="s">
        <v>1113</v>
      </c>
      <c r="D761" s="173" t="s">
        <v>470</v>
      </c>
      <c r="E761">
        <v>4</v>
      </c>
    </row>
    <row r="762" spans="1:5" hidden="1" x14ac:dyDescent="0.25">
      <c r="A762" s="173" t="s">
        <v>514</v>
      </c>
      <c r="B762">
        <v>12158</v>
      </c>
      <c r="C762" s="173" t="s">
        <v>1114</v>
      </c>
      <c r="D762" s="173" t="s">
        <v>517</v>
      </c>
      <c r="E762">
        <v>1</v>
      </c>
    </row>
    <row r="763" spans="1:5" hidden="1" x14ac:dyDescent="0.25">
      <c r="A763" s="173" t="s">
        <v>514</v>
      </c>
      <c r="B763">
        <v>12158</v>
      </c>
      <c r="C763" s="173" t="s">
        <v>1114</v>
      </c>
      <c r="D763" s="173" t="s">
        <v>470</v>
      </c>
      <c r="E763">
        <v>4</v>
      </c>
    </row>
    <row r="764" spans="1:5" hidden="1" x14ac:dyDescent="0.25">
      <c r="A764" s="173" t="s">
        <v>514</v>
      </c>
      <c r="B764">
        <v>12158</v>
      </c>
      <c r="C764" s="173" t="s">
        <v>1115</v>
      </c>
      <c r="D764" s="173" t="s">
        <v>517</v>
      </c>
      <c r="E764">
        <v>1</v>
      </c>
    </row>
    <row r="765" spans="1:5" hidden="1" x14ac:dyDescent="0.25">
      <c r="A765" s="173" t="s">
        <v>514</v>
      </c>
      <c r="B765">
        <v>12158</v>
      </c>
      <c r="C765" s="173" t="s">
        <v>1115</v>
      </c>
      <c r="D765" s="173" t="s">
        <v>470</v>
      </c>
      <c r="E765">
        <v>4</v>
      </c>
    </row>
    <row r="766" spans="1:5" hidden="1" x14ac:dyDescent="0.25">
      <c r="A766" s="173" t="s">
        <v>514</v>
      </c>
      <c r="B766">
        <v>12158</v>
      </c>
      <c r="C766" s="173" t="s">
        <v>1116</v>
      </c>
      <c r="D766" s="173" t="s">
        <v>517</v>
      </c>
      <c r="E766">
        <v>1</v>
      </c>
    </row>
    <row r="767" spans="1:5" hidden="1" x14ac:dyDescent="0.25">
      <c r="A767" s="173" t="s">
        <v>514</v>
      </c>
      <c r="B767">
        <v>12158</v>
      </c>
      <c r="C767" s="173" t="s">
        <v>1116</v>
      </c>
      <c r="D767" s="173" t="s">
        <v>470</v>
      </c>
      <c r="E767">
        <v>4</v>
      </c>
    </row>
    <row r="768" spans="1:5" hidden="1" x14ac:dyDescent="0.25">
      <c r="A768" s="173" t="s">
        <v>514</v>
      </c>
      <c r="B768">
        <v>12158</v>
      </c>
      <c r="C768" s="173" t="s">
        <v>1117</v>
      </c>
      <c r="D768" s="173" t="s">
        <v>517</v>
      </c>
      <c r="E768">
        <v>1</v>
      </c>
    </row>
    <row r="769" spans="1:5" hidden="1" x14ac:dyDescent="0.25">
      <c r="A769" s="173" t="s">
        <v>514</v>
      </c>
      <c r="B769">
        <v>12158</v>
      </c>
      <c r="C769" s="173" t="s">
        <v>1117</v>
      </c>
      <c r="D769" s="173" t="s">
        <v>470</v>
      </c>
      <c r="E769">
        <v>4</v>
      </c>
    </row>
    <row r="770" spans="1:5" hidden="1" x14ac:dyDescent="0.25">
      <c r="A770" s="173" t="s">
        <v>514</v>
      </c>
      <c r="B770">
        <v>12158</v>
      </c>
      <c r="C770" s="173" t="s">
        <v>1118</v>
      </c>
      <c r="D770" s="173" t="s">
        <v>517</v>
      </c>
      <c r="E770">
        <v>2</v>
      </c>
    </row>
    <row r="771" spans="1:5" hidden="1" x14ac:dyDescent="0.25">
      <c r="A771" s="173" t="s">
        <v>514</v>
      </c>
      <c r="B771">
        <v>12158</v>
      </c>
      <c r="C771" s="173" t="s">
        <v>1118</v>
      </c>
      <c r="D771" s="173" t="s">
        <v>470</v>
      </c>
      <c r="E771">
        <v>3</v>
      </c>
    </row>
    <row r="772" spans="1:5" hidden="1" x14ac:dyDescent="0.25">
      <c r="A772" s="173" t="s">
        <v>514</v>
      </c>
      <c r="B772">
        <v>12158</v>
      </c>
      <c r="C772" s="173" t="s">
        <v>1119</v>
      </c>
      <c r="D772" s="173" t="s">
        <v>470</v>
      </c>
      <c r="E772">
        <v>4</v>
      </c>
    </row>
    <row r="773" spans="1:5" hidden="1" x14ac:dyDescent="0.25">
      <c r="A773" s="173" t="s">
        <v>514</v>
      </c>
      <c r="B773">
        <v>12158</v>
      </c>
      <c r="C773" s="173" t="s">
        <v>1119</v>
      </c>
      <c r="D773" s="173" t="s">
        <v>517</v>
      </c>
      <c r="E773">
        <v>2</v>
      </c>
    </row>
    <row r="774" spans="1:5" hidden="1" x14ac:dyDescent="0.25">
      <c r="A774" s="173" t="s">
        <v>514</v>
      </c>
      <c r="B774">
        <v>12158</v>
      </c>
      <c r="C774" s="173" t="s">
        <v>1120</v>
      </c>
      <c r="D774" s="173" t="s">
        <v>470</v>
      </c>
      <c r="E774">
        <v>3</v>
      </c>
    </row>
    <row r="775" spans="1:5" hidden="1" x14ac:dyDescent="0.25">
      <c r="A775" s="173" t="s">
        <v>514</v>
      </c>
      <c r="B775">
        <v>12158</v>
      </c>
      <c r="C775" s="173" t="s">
        <v>1120</v>
      </c>
      <c r="D775" s="173" t="s">
        <v>517</v>
      </c>
      <c r="E775">
        <v>2</v>
      </c>
    </row>
    <row r="776" spans="1:5" hidden="1" x14ac:dyDescent="0.25">
      <c r="A776" s="173" t="s">
        <v>514</v>
      </c>
      <c r="B776">
        <v>12158</v>
      </c>
      <c r="C776" s="173" t="s">
        <v>1121</v>
      </c>
      <c r="D776" s="173" t="s">
        <v>470</v>
      </c>
      <c r="E776">
        <v>4</v>
      </c>
    </row>
    <row r="777" spans="1:5" hidden="1" x14ac:dyDescent="0.25">
      <c r="A777" s="173" t="s">
        <v>514</v>
      </c>
      <c r="B777">
        <v>12158</v>
      </c>
      <c r="C777" s="173" t="s">
        <v>1121</v>
      </c>
      <c r="D777" s="173" t="s">
        <v>517</v>
      </c>
      <c r="E777">
        <v>2</v>
      </c>
    </row>
    <row r="778" spans="1:5" hidden="1" x14ac:dyDescent="0.25">
      <c r="A778" s="173" t="s">
        <v>514</v>
      </c>
      <c r="B778">
        <v>12158</v>
      </c>
      <c r="C778" s="173" t="s">
        <v>1122</v>
      </c>
      <c r="D778" s="173" t="s">
        <v>517</v>
      </c>
      <c r="E778">
        <v>2</v>
      </c>
    </row>
    <row r="779" spans="1:5" hidden="1" x14ac:dyDescent="0.25">
      <c r="A779" s="173" t="s">
        <v>514</v>
      </c>
      <c r="B779">
        <v>12158</v>
      </c>
      <c r="C779" s="173" t="s">
        <v>1122</v>
      </c>
      <c r="D779" s="173" t="s">
        <v>470</v>
      </c>
      <c r="E779">
        <v>3</v>
      </c>
    </row>
    <row r="780" spans="1:5" hidden="1" x14ac:dyDescent="0.25">
      <c r="A780" s="173" t="s">
        <v>514</v>
      </c>
      <c r="B780">
        <v>12158</v>
      </c>
      <c r="C780" s="173" t="s">
        <v>1123</v>
      </c>
      <c r="D780" s="173" t="s">
        <v>470</v>
      </c>
      <c r="E780">
        <v>3</v>
      </c>
    </row>
    <row r="781" spans="1:5" hidden="1" x14ac:dyDescent="0.25">
      <c r="A781" s="173" t="s">
        <v>514</v>
      </c>
      <c r="B781">
        <v>12158</v>
      </c>
      <c r="C781" s="173" t="s">
        <v>1123</v>
      </c>
      <c r="D781" s="173" t="s">
        <v>517</v>
      </c>
      <c r="E781">
        <v>2</v>
      </c>
    </row>
    <row r="782" spans="1:5" hidden="1" x14ac:dyDescent="0.25">
      <c r="A782" s="173" t="s">
        <v>514</v>
      </c>
      <c r="B782">
        <v>12158</v>
      </c>
      <c r="C782" s="173" t="s">
        <v>1124</v>
      </c>
      <c r="D782" s="173" t="s">
        <v>470</v>
      </c>
      <c r="E782">
        <v>3</v>
      </c>
    </row>
    <row r="783" spans="1:5" hidden="1" x14ac:dyDescent="0.25">
      <c r="A783" s="173" t="s">
        <v>514</v>
      </c>
      <c r="B783">
        <v>12158</v>
      </c>
      <c r="C783" s="173" t="s">
        <v>1124</v>
      </c>
      <c r="D783" s="173" t="s">
        <v>517</v>
      </c>
      <c r="E783">
        <v>2</v>
      </c>
    </row>
    <row r="784" spans="1:5" hidden="1" x14ac:dyDescent="0.25">
      <c r="A784" s="173" t="s">
        <v>514</v>
      </c>
      <c r="B784">
        <v>12158</v>
      </c>
      <c r="C784" s="173" t="s">
        <v>1125</v>
      </c>
      <c r="D784" s="173" t="s">
        <v>470</v>
      </c>
      <c r="E784">
        <v>3</v>
      </c>
    </row>
    <row r="785" spans="1:5" hidden="1" x14ac:dyDescent="0.25">
      <c r="A785" s="173" t="s">
        <v>514</v>
      </c>
      <c r="B785">
        <v>12158</v>
      </c>
      <c r="C785" s="173" t="s">
        <v>1125</v>
      </c>
      <c r="D785" s="173" t="s">
        <v>517</v>
      </c>
      <c r="E785">
        <v>2</v>
      </c>
    </row>
    <row r="786" spans="1:5" hidden="1" x14ac:dyDescent="0.25">
      <c r="A786" s="173" t="s">
        <v>514</v>
      </c>
      <c r="B786">
        <v>12158</v>
      </c>
      <c r="C786" s="173" t="s">
        <v>1126</v>
      </c>
      <c r="D786" s="173" t="s">
        <v>517</v>
      </c>
      <c r="E786">
        <v>2</v>
      </c>
    </row>
    <row r="787" spans="1:5" hidden="1" x14ac:dyDescent="0.25">
      <c r="A787" s="173" t="s">
        <v>514</v>
      </c>
      <c r="B787">
        <v>12158</v>
      </c>
      <c r="C787" s="173" t="s">
        <v>1126</v>
      </c>
      <c r="D787" s="173" t="s">
        <v>470</v>
      </c>
      <c r="E787">
        <v>3</v>
      </c>
    </row>
    <row r="788" spans="1:5" hidden="1" x14ac:dyDescent="0.25">
      <c r="A788" s="173" t="s">
        <v>514</v>
      </c>
      <c r="B788">
        <v>12158</v>
      </c>
      <c r="C788" s="173" t="s">
        <v>1127</v>
      </c>
      <c r="D788" s="173" t="s">
        <v>517</v>
      </c>
      <c r="E788">
        <v>2</v>
      </c>
    </row>
    <row r="789" spans="1:5" hidden="1" x14ac:dyDescent="0.25">
      <c r="A789" s="173" t="s">
        <v>514</v>
      </c>
      <c r="B789">
        <v>12158</v>
      </c>
      <c r="C789" s="173" t="s">
        <v>1127</v>
      </c>
      <c r="D789" s="173" t="s">
        <v>470</v>
      </c>
      <c r="E789">
        <v>3</v>
      </c>
    </row>
    <row r="790" spans="1:5" hidden="1" x14ac:dyDescent="0.25">
      <c r="A790" s="173" t="s">
        <v>514</v>
      </c>
      <c r="B790">
        <v>12158</v>
      </c>
      <c r="C790" s="173" t="s">
        <v>1128</v>
      </c>
      <c r="D790" s="173" t="s">
        <v>517</v>
      </c>
      <c r="E790">
        <v>2</v>
      </c>
    </row>
    <row r="791" spans="1:5" hidden="1" x14ac:dyDescent="0.25">
      <c r="A791" s="173" t="s">
        <v>514</v>
      </c>
      <c r="B791">
        <v>12158</v>
      </c>
      <c r="C791" s="173" t="s">
        <v>1128</v>
      </c>
      <c r="D791" s="173" t="s">
        <v>470</v>
      </c>
      <c r="E791">
        <v>3</v>
      </c>
    </row>
    <row r="792" spans="1:5" x14ac:dyDescent="0.25">
      <c r="A792" s="173" t="s">
        <v>468</v>
      </c>
      <c r="B792">
        <v>12193</v>
      </c>
      <c r="C792" s="173" t="s">
        <v>1129</v>
      </c>
      <c r="D792" s="173" t="s">
        <v>470</v>
      </c>
      <c r="E792">
        <v>4</v>
      </c>
    </row>
    <row r="793" spans="1:5" x14ac:dyDescent="0.25">
      <c r="A793" s="173" t="s">
        <v>468</v>
      </c>
      <c r="B793">
        <v>12193</v>
      </c>
      <c r="C793" s="173" t="s">
        <v>1130</v>
      </c>
      <c r="D793" s="173" t="s">
        <v>470</v>
      </c>
      <c r="E793">
        <v>4</v>
      </c>
    </row>
    <row r="794" spans="1:5" x14ac:dyDescent="0.25">
      <c r="A794" s="173" t="s">
        <v>468</v>
      </c>
      <c r="B794">
        <v>12193</v>
      </c>
      <c r="C794" s="173" t="s">
        <v>1131</v>
      </c>
      <c r="D794" s="173" t="s">
        <v>470</v>
      </c>
      <c r="E794">
        <v>4</v>
      </c>
    </row>
    <row r="795" spans="1:5" x14ac:dyDescent="0.25">
      <c r="A795" s="173" t="s">
        <v>468</v>
      </c>
      <c r="B795">
        <v>12193</v>
      </c>
      <c r="C795" s="173" t="s">
        <v>1132</v>
      </c>
      <c r="D795" s="173" t="s">
        <v>470</v>
      </c>
      <c r="E795">
        <v>4</v>
      </c>
    </row>
    <row r="796" spans="1:5" x14ac:dyDescent="0.25">
      <c r="A796" s="173" t="s">
        <v>468</v>
      </c>
      <c r="B796">
        <v>12193</v>
      </c>
      <c r="C796" s="173" t="s">
        <v>1133</v>
      </c>
      <c r="D796" s="173" t="s">
        <v>470</v>
      </c>
      <c r="E796">
        <v>4</v>
      </c>
    </row>
    <row r="797" spans="1:5" x14ac:dyDescent="0.25">
      <c r="A797" s="173" t="s">
        <v>468</v>
      </c>
      <c r="B797">
        <v>12193</v>
      </c>
      <c r="C797" s="173" t="s">
        <v>1134</v>
      </c>
      <c r="D797" s="173" t="s">
        <v>470</v>
      </c>
      <c r="E797">
        <v>2</v>
      </c>
    </row>
    <row r="798" spans="1:5" x14ac:dyDescent="0.25">
      <c r="A798" s="173" t="s">
        <v>468</v>
      </c>
      <c r="B798">
        <v>12193</v>
      </c>
      <c r="C798" s="173" t="s">
        <v>1135</v>
      </c>
      <c r="D798" s="173" t="s">
        <v>470</v>
      </c>
      <c r="E798">
        <v>3</v>
      </c>
    </row>
    <row r="799" spans="1:5" x14ac:dyDescent="0.25">
      <c r="A799" s="173" t="s">
        <v>468</v>
      </c>
      <c r="B799">
        <v>12193</v>
      </c>
      <c r="C799" s="173" t="s">
        <v>1136</v>
      </c>
      <c r="D799" s="173" t="s">
        <v>470</v>
      </c>
      <c r="E799">
        <v>4</v>
      </c>
    </row>
    <row r="800" spans="1:5" x14ac:dyDescent="0.25">
      <c r="A800" s="173" t="s">
        <v>468</v>
      </c>
      <c r="B800">
        <v>12193</v>
      </c>
      <c r="C800" s="173" t="s">
        <v>1137</v>
      </c>
      <c r="D800" s="173" t="s">
        <v>470</v>
      </c>
      <c r="E800">
        <v>4</v>
      </c>
    </row>
    <row r="801" spans="1:5" x14ac:dyDescent="0.25">
      <c r="A801" s="173" t="s">
        <v>468</v>
      </c>
      <c r="B801">
        <v>12193</v>
      </c>
      <c r="C801" s="173" t="s">
        <v>1138</v>
      </c>
      <c r="D801" s="173" t="s">
        <v>470</v>
      </c>
      <c r="E801">
        <v>3</v>
      </c>
    </row>
    <row r="802" spans="1:5" x14ac:dyDescent="0.25">
      <c r="A802" s="173" t="s">
        <v>468</v>
      </c>
      <c r="B802">
        <v>12193</v>
      </c>
      <c r="C802" s="173" t="s">
        <v>1139</v>
      </c>
      <c r="D802" s="173" t="s">
        <v>470</v>
      </c>
      <c r="E802">
        <v>2</v>
      </c>
    </row>
    <row r="803" spans="1:5" x14ac:dyDescent="0.25">
      <c r="A803" s="173" t="s">
        <v>468</v>
      </c>
      <c r="B803">
        <v>12193</v>
      </c>
      <c r="C803" s="173" t="s">
        <v>1140</v>
      </c>
      <c r="D803" s="173" t="s">
        <v>470</v>
      </c>
      <c r="E803">
        <v>3</v>
      </c>
    </row>
    <row r="804" spans="1:5" x14ac:dyDescent="0.25">
      <c r="A804" s="173" t="s">
        <v>468</v>
      </c>
      <c r="B804">
        <v>12193</v>
      </c>
      <c r="C804" s="173" t="s">
        <v>1141</v>
      </c>
      <c r="D804" s="173" t="s">
        <v>470</v>
      </c>
      <c r="E804">
        <v>2</v>
      </c>
    </row>
    <row r="805" spans="1:5" x14ac:dyDescent="0.25">
      <c r="A805" s="173" t="s">
        <v>468</v>
      </c>
      <c r="B805">
        <v>12193</v>
      </c>
      <c r="C805" s="173" t="s">
        <v>1142</v>
      </c>
      <c r="D805" s="173" t="s">
        <v>470</v>
      </c>
      <c r="E805">
        <v>2</v>
      </c>
    </row>
    <row r="806" spans="1:5" x14ac:dyDescent="0.25">
      <c r="A806" s="173" t="s">
        <v>468</v>
      </c>
      <c r="B806">
        <v>12193</v>
      </c>
      <c r="C806" s="173" t="s">
        <v>1143</v>
      </c>
      <c r="D806" s="173" t="s">
        <v>470</v>
      </c>
      <c r="E806">
        <v>3</v>
      </c>
    </row>
    <row r="807" spans="1:5" x14ac:dyDescent="0.25">
      <c r="A807" s="173" t="s">
        <v>468</v>
      </c>
      <c r="B807">
        <v>12193</v>
      </c>
      <c r="C807" s="173" t="s">
        <v>1144</v>
      </c>
      <c r="D807" s="173" t="s">
        <v>470</v>
      </c>
      <c r="E807">
        <v>6</v>
      </c>
    </row>
    <row r="808" spans="1:5" x14ac:dyDescent="0.25">
      <c r="A808" s="173" t="s">
        <v>468</v>
      </c>
      <c r="B808">
        <v>12193</v>
      </c>
      <c r="C808" s="173" t="s">
        <v>1145</v>
      </c>
      <c r="D808" s="173" t="s">
        <v>470</v>
      </c>
      <c r="E808">
        <v>5</v>
      </c>
    </row>
    <row r="809" spans="1:5" x14ac:dyDescent="0.25">
      <c r="A809" s="173" t="s">
        <v>468</v>
      </c>
      <c r="B809">
        <v>12193</v>
      </c>
      <c r="C809" s="173" t="s">
        <v>1146</v>
      </c>
      <c r="D809" s="173" t="s">
        <v>470</v>
      </c>
      <c r="E809">
        <v>6</v>
      </c>
    </row>
    <row r="810" spans="1:5" x14ac:dyDescent="0.25">
      <c r="A810" s="173" t="s">
        <v>468</v>
      </c>
      <c r="B810">
        <v>12193</v>
      </c>
      <c r="C810" s="173" t="s">
        <v>1147</v>
      </c>
      <c r="D810" s="173" t="s">
        <v>470</v>
      </c>
      <c r="E810">
        <v>6</v>
      </c>
    </row>
    <row r="811" spans="1:5" x14ac:dyDescent="0.25">
      <c r="A811" s="173" t="s">
        <v>468</v>
      </c>
      <c r="B811">
        <v>12193</v>
      </c>
      <c r="C811" s="173" t="s">
        <v>1148</v>
      </c>
      <c r="D811" s="173" t="s">
        <v>470</v>
      </c>
      <c r="E811">
        <v>3</v>
      </c>
    </row>
    <row r="812" spans="1:5" x14ac:dyDescent="0.25">
      <c r="A812" s="173" t="s">
        <v>468</v>
      </c>
      <c r="B812">
        <v>12193</v>
      </c>
      <c r="C812" s="173" t="s">
        <v>1149</v>
      </c>
      <c r="D812" s="173" t="s">
        <v>470</v>
      </c>
      <c r="E812">
        <v>3</v>
      </c>
    </row>
    <row r="813" spans="1:5" x14ac:dyDescent="0.25">
      <c r="A813" s="173" t="s">
        <v>468</v>
      </c>
      <c r="B813">
        <v>12193</v>
      </c>
      <c r="C813" s="173" t="s">
        <v>1150</v>
      </c>
      <c r="D813" s="173" t="s">
        <v>470</v>
      </c>
      <c r="E813">
        <v>4</v>
      </c>
    </row>
    <row r="814" spans="1:5" x14ac:dyDescent="0.25">
      <c r="A814" s="173" t="s">
        <v>468</v>
      </c>
      <c r="B814">
        <v>12193</v>
      </c>
      <c r="C814" s="173" t="s">
        <v>1151</v>
      </c>
      <c r="D814" s="173" t="s">
        <v>470</v>
      </c>
      <c r="E814">
        <v>4</v>
      </c>
    </row>
    <row r="815" spans="1:5" x14ac:dyDescent="0.25">
      <c r="A815" s="173" t="s">
        <v>468</v>
      </c>
      <c r="B815">
        <v>12193</v>
      </c>
      <c r="C815" s="173" t="s">
        <v>1152</v>
      </c>
      <c r="D815" s="173" t="s">
        <v>470</v>
      </c>
      <c r="E815">
        <v>3</v>
      </c>
    </row>
    <row r="816" spans="1:5" x14ac:dyDescent="0.25">
      <c r="A816" s="173" t="s">
        <v>468</v>
      </c>
      <c r="B816">
        <v>12193</v>
      </c>
      <c r="C816" s="173" t="s">
        <v>1153</v>
      </c>
      <c r="D816" s="173" t="s">
        <v>470</v>
      </c>
      <c r="E816">
        <v>3</v>
      </c>
    </row>
    <row r="817" spans="1:5" x14ac:dyDescent="0.25">
      <c r="A817" s="173" t="s">
        <v>468</v>
      </c>
      <c r="B817">
        <v>12193</v>
      </c>
      <c r="C817" s="173" t="s">
        <v>1154</v>
      </c>
      <c r="D817" s="173" t="s">
        <v>470</v>
      </c>
      <c r="E817">
        <v>2</v>
      </c>
    </row>
    <row r="818" spans="1:5" x14ac:dyDescent="0.25">
      <c r="A818" s="173" t="s">
        <v>468</v>
      </c>
      <c r="B818">
        <v>12193</v>
      </c>
      <c r="C818" s="173" t="s">
        <v>1155</v>
      </c>
      <c r="D818" s="173" t="s">
        <v>470</v>
      </c>
      <c r="E818">
        <v>2</v>
      </c>
    </row>
    <row r="819" spans="1:5" x14ac:dyDescent="0.25">
      <c r="A819" s="173" t="s">
        <v>468</v>
      </c>
      <c r="B819">
        <v>12193</v>
      </c>
      <c r="C819" s="173" t="s">
        <v>1156</v>
      </c>
      <c r="D819" s="173" t="s">
        <v>470</v>
      </c>
      <c r="E819">
        <v>4</v>
      </c>
    </row>
    <row r="820" spans="1:5" x14ac:dyDescent="0.25">
      <c r="A820" s="173" t="s">
        <v>468</v>
      </c>
      <c r="B820">
        <v>12193</v>
      </c>
      <c r="C820" s="173" t="s">
        <v>1157</v>
      </c>
      <c r="D820" s="173" t="s">
        <v>470</v>
      </c>
      <c r="E820">
        <v>4</v>
      </c>
    </row>
    <row r="821" spans="1:5" x14ac:dyDescent="0.25">
      <c r="A821" s="173" t="s">
        <v>468</v>
      </c>
      <c r="B821">
        <v>12193</v>
      </c>
      <c r="C821" s="173" t="s">
        <v>1158</v>
      </c>
      <c r="D821" s="173" t="s">
        <v>470</v>
      </c>
      <c r="E821">
        <v>3</v>
      </c>
    </row>
    <row r="822" spans="1:5" x14ac:dyDescent="0.25">
      <c r="A822" s="173" t="s">
        <v>468</v>
      </c>
      <c r="B822">
        <v>12193</v>
      </c>
      <c r="C822" s="173" t="s">
        <v>1159</v>
      </c>
      <c r="D822" s="173" t="s">
        <v>470</v>
      </c>
      <c r="E822">
        <v>3</v>
      </c>
    </row>
    <row r="823" spans="1:5" x14ac:dyDescent="0.25">
      <c r="A823" s="173" t="s">
        <v>468</v>
      </c>
      <c r="B823">
        <v>12203</v>
      </c>
      <c r="C823" s="173" t="s">
        <v>1160</v>
      </c>
      <c r="D823" s="173" t="s">
        <v>470</v>
      </c>
      <c r="E823">
        <v>1</v>
      </c>
    </row>
    <row r="824" spans="1:5" x14ac:dyDescent="0.25">
      <c r="A824" s="173" t="s">
        <v>468</v>
      </c>
      <c r="B824">
        <v>12203</v>
      </c>
      <c r="C824" s="173" t="s">
        <v>1161</v>
      </c>
      <c r="D824" s="173" t="s">
        <v>470</v>
      </c>
      <c r="E824">
        <v>1</v>
      </c>
    </row>
    <row r="825" spans="1:5" x14ac:dyDescent="0.25">
      <c r="A825" s="173" t="s">
        <v>468</v>
      </c>
      <c r="B825">
        <v>12203</v>
      </c>
      <c r="C825" s="173" t="s">
        <v>1162</v>
      </c>
      <c r="D825" s="173" t="s">
        <v>470</v>
      </c>
      <c r="E825">
        <v>1</v>
      </c>
    </row>
    <row r="826" spans="1:5" x14ac:dyDescent="0.25">
      <c r="A826" s="173" t="s">
        <v>468</v>
      </c>
      <c r="B826">
        <v>12203</v>
      </c>
      <c r="C826" s="173" t="s">
        <v>1163</v>
      </c>
      <c r="D826" s="173" t="s">
        <v>470</v>
      </c>
      <c r="E826">
        <v>1</v>
      </c>
    </row>
    <row r="827" spans="1:5" x14ac:dyDescent="0.25">
      <c r="A827" s="173" t="s">
        <v>468</v>
      </c>
      <c r="B827">
        <v>12203</v>
      </c>
      <c r="C827" s="173" t="s">
        <v>1164</v>
      </c>
      <c r="D827" s="173" t="s">
        <v>470</v>
      </c>
      <c r="E827">
        <v>1</v>
      </c>
    </row>
    <row r="828" spans="1:5" x14ac:dyDescent="0.25">
      <c r="A828" s="173" t="s">
        <v>468</v>
      </c>
      <c r="B828">
        <v>12203</v>
      </c>
      <c r="C828" s="173" t="s">
        <v>1165</v>
      </c>
      <c r="D828" s="173" t="s">
        <v>470</v>
      </c>
      <c r="E828">
        <v>1</v>
      </c>
    </row>
    <row r="829" spans="1:5" x14ac:dyDescent="0.25">
      <c r="A829" s="173" t="s">
        <v>468</v>
      </c>
      <c r="B829">
        <v>12203</v>
      </c>
      <c r="C829" s="173" t="s">
        <v>1166</v>
      </c>
      <c r="D829" s="173" t="s">
        <v>470</v>
      </c>
      <c r="E829">
        <v>1</v>
      </c>
    </row>
    <row r="830" spans="1:5" x14ac:dyDescent="0.25">
      <c r="A830" s="173" t="s">
        <v>468</v>
      </c>
      <c r="B830">
        <v>12203</v>
      </c>
      <c r="C830" s="173" t="s">
        <v>1167</v>
      </c>
      <c r="D830" s="173" t="s">
        <v>470</v>
      </c>
      <c r="E830">
        <v>1</v>
      </c>
    </row>
    <row r="831" spans="1:5" x14ac:dyDescent="0.25">
      <c r="A831" s="173" t="s">
        <v>468</v>
      </c>
      <c r="B831">
        <v>12203</v>
      </c>
      <c r="C831" s="173" t="s">
        <v>1168</v>
      </c>
      <c r="D831" s="173" t="s">
        <v>470</v>
      </c>
      <c r="E831">
        <v>1</v>
      </c>
    </row>
    <row r="832" spans="1:5" x14ac:dyDescent="0.25">
      <c r="A832" s="173" t="s">
        <v>468</v>
      </c>
      <c r="B832">
        <v>12203</v>
      </c>
      <c r="C832" s="173" t="s">
        <v>1169</v>
      </c>
      <c r="D832" s="173" t="s">
        <v>470</v>
      </c>
      <c r="E832">
        <v>1</v>
      </c>
    </row>
    <row r="833" spans="1:5" x14ac:dyDescent="0.25">
      <c r="A833" s="173" t="s">
        <v>468</v>
      </c>
      <c r="B833">
        <v>12203</v>
      </c>
      <c r="C833" s="173" t="s">
        <v>1170</v>
      </c>
      <c r="D833" s="173" t="s">
        <v>470</v>
      </c>
      <c r="E833">
        <v>1</v>
      </c>
    </row>
    <row r="834" spans="1:5" x14ac:dyDescent="0.25">
      <c r="A834" s="173" t="s">
        <v>468</v>
      </c>
      <c r="B834">
        <v>12203</v>
      </c>
      <c r="C834" s="173" t="s">
        <v>1171</v>
      </c>
      <c r="D834" s="173" t="s">
        <v>470</v>
      </c>
      <c r="E834">
        <v>1</v>
      </c>
    </row>
    <row r="835" spans="1:5" x14ac:dyDescent="0.25">
      <c r="A835" s="173" t="s">
        <v>468</v>
      </c>
      <c r="B835">
        <v>12203</v>
      </c>
      <c r="C835" s="173" t="s">
        <v>1172</v>
      </c>
      <c r="D835" s="173" t="s">
        <v>470</v>
      </c>
      <c r="E835">
        <v>1</v>
      </c>
    </row>
    <row r="836" spans="1:5" x14ac:dyDescent="0.25">
      <c r="A836" s="173" t="s">
        <v>468</v>
      </c>
      <c r="B836">
        <v>12203</v>
      </c>
      <c r="C836" s="173" t="s">
        <v>1173</v>
      </c>
      <c r="D836" s="173" t="s">
        <v>470</v>
      </c>
      <c r="E836">
        <v>1</v>
      </c>
    </row>
    <row r="837" spans="1:5" x14ac:dyDescent="0.25">
      <c r="A837" s="173" t="s">
        <v>468</v>
      </c>
      <c r="B837">
        <v>12212</v>
      </c>
      <c r="C837" s="173" t="s">
        <v>1174</v>
      </c>
      <c r="D837" s="173" t="s">
        <v>470</v>
      </c>
      <c r="E837">
        <v>1</v>
      </c>
    </row>
    <row r="838" spans="1:5" x14ac:dyDescent="0.25">
      <c r="A838" s="173" t="s">
        <v>468</v>
      </c>
      <c r="B838">
        <v>12212</v>
      </c>
      <c r="C838" s="173" t="s">
        <v>1175</v>
      </c>
      <c r="D838" s="173" t="s">
        <v>470</v>
      </c>
      <c r="E838">
        <v>1</v>
      </c>
    </row>
    <row r="839" spans="1:5" x14ac:dyDescent="0.25">
      <c r="A839" s="173" t="s">
        <v>468</v>
      </c>
      <c r="B839">
        <v>12212</v>
      </c>
      <c r="C839" s="173" t="s">
        <v>1176</v>
      </c>
      <c r="D839" s="173" t="s">
        <v>470</v>
      </c>
      <c r="E839">
        <v>1</v>
      </c>
    </row>
    <row r="840" spans="1:5" x14ac:dyDescent="0.25">
      <c r="A840" s="173" t="s">
        <v>468</v>
      </c>
      <c r="B840">
        <v>12212</v>
      </c>
      <c r="C840" s="173" t="s">
        <v>1177</v>
      </c>
      <c r="D840" s="173" t="s">
        <v>470</v>
      </c>
      <c r="E840">
        <v>1</v>
      </c>
    </row>
    <row r="841" spans="1:5" x14ac:dyDescent="0.25">
      <c r="A841" s="173" t="s">
        <v>468</v>
      </c>
      <c r="B841">
        <v>12212</v>
      </c>
      <c r="C841" s="173" t="s">
        <v>1178</v>
      </c>
      <c r="D841" s="173" t="s">
        <v>470</v>
      </c>
      <c r="E841">
        <v>1</v>
      </c>
    </row>
    <row r="842" spans="1:5" x14ac:dyDescent="0.25">
      <c r="A842" s="173" t="s">
        <v>468</v>
      </c>
      <c r="B842">
        <v>12212</v>
      </c>
      <c r="C842" s="173" t="s">
        <v>1179</v>
      </c>
      <c r="D842" s="173" t="s">
        <v>470</v>
      </c>
      <c r="E842">
        <v>1</v>
      </c>
    </row>
    <row r="843" spans="1:5" x14ac:dyDescent="0.25">
      <c r="A843" s="173" t="s">
        <v>468</v>
      </c>
      <c r="B843">
        <v>12212</v>
      </c>
      <c r="C843" s="173" t="s">
        <v>1180</v>
      </c>
      <c r="D843" s="173" t="s">
        <v>470</v>
      </c>
      <c r="E843">
        <v>1</v>
      </c>
    </row>
    <row r="844" spans="1:5" x14ac:dyDescent="0.25">
      <c r="A844" s="173" t="s">
        <v>468</v>
      </c>
      <c r="B844">
        <v>12212</v>
      </c>
      <c r="C844" s="173" t="s">
        <v>1181</v>
      </c>
      <c r="D844" s="173" t="s">
        <v>470</v>
      </c>
      <c r="E844">
        <v>1</v>
      </c>
    </row>
    <row r="845" spans="1:5" x14ac:dyDescent="0.25">
      <c r="A845" s="173" t="s">
        <v>468</v>
      </c>
      <c r="B845">
        <v>12212</v>
      </c>
      <c r="C845" s="173" t="s">
        <v>1182</v>
      </c>
      <c r="D845" s="173" t="s">
        <v>470</v>
      </c>
      <c r="E845">
        <v>1</v>
      </c>
    </row>
    <row r="846" spans="1:5" x14ac:dyDescent="0.25">
      <c r="A846" s="173" t="s">
        <v>468</v>
      </c>
      <c r="B846">
        <v>12212</v>
      </c>
      <c r="C846" s="173" t="s">
        <v>1183</v>
      </c>
      <c r="D846" s="173" t="s">
        <v>470</v>
      </c>
      <c r="E846">
        <v>1</v>
      </c>
    </row>
    <row r="847" spans="1:5" x14ac:dyDescent="0.25">
      <c r="A847" s="173" t="s">
        <v>468</v>
      </c>
      <c r="B847">
        <v>12212</v>
      </c>
      <c r="C847" s="173" t="s">
        <v>1184</v>
      </c>
      <c r="D847" s="173" t="s">
        <v>470</v>
      </c>
      <c r="E847">
        <v>1</v>
      </c>
    </row>
    <row r="848" spans="1:5" x14ac:dyDescent="0.25">
      <c r="A848" s="173" t="s">
        <v>468</v>
      </c>
      <c r="B848">
        <v>12212</v>
      </c>
      <c r="C848" s="173" t="s">
        <v>1185</v>
      </c>
      <c r="D848" s="173" t="s">
        <v>470</v>
      </c>
      <c r="E848">
        <v>1</v>
      </c>
    </row>
    <row r="849" spans="1:5" x14ac:dyDescent="0.25">
      <c r="A849" s="173" t="s">
        <v>468</v>
      </c>
      <c r="B849">
        <v>12212</v>
      </c>
      <c r="C849" s="173" t="s">
        <v>1186</v>
      </c>
      <c r="D849" s="173" t="s">
        <v>470</v>
      </c>
      <c r="E849">
        <v>1</v>
      </c>
    </row>
    <row r="850" spans="1:5" x14ac:dyDescent="0.25">
      <c r="A850" s="173" t="s">
        <v>468</v>
      </c>
      <c r="B850">
        <v>12212</v>
      </c>
      <c r="C850" s="173" t="s">
        <v>1187</v>
      </c>
      <c r="D850" s="173" t="s">
        <v>470</v>
      </c>
      <c r="E850">
        <v>1</v>
      </c>
    </row>
    <row r="851" spans="1:5" x14ac:dyDescent="0.25">
      <c r="A851" s="173" t="s">
        <v>468</v>
      </c>
      <c r="B851">
        <v>12212</v>
      </c>
      <c r="C851" s="173" t="s">
        <v>1188</v>
      </c>
      <c r="D851" s="173" t="s">
        <v>470</v>
      </c>
      <c r="E851">
        <v>1</v>
      </c>
    </row>
    <row r="852" spans="1:5" x14ac:dyDescent="0.25">
      <c r="A852" s="173" t="s">
        <v>468</v>
      </c>
      <c r="B852">
        <v>12212</v>
      </c>
      <c r="C852" s="173" t="s">
        <v>1189</v>
      </c>
      <c r="D852" s="173" t="s">
        <v>470</v>
      </c>
      <c r="E852">
        <v>1</v>
      </c>
    </row>
    <row r="853" spans="1:5" x14ac:dyDescent="0.25">
      <c r="A853" s="173" t="s">
        <v>468</v>
      </c>
      <c r="B853">
        <v>12212</v>
      </c>
      <c r="C853" s="173" t="s">
        <v>1190</v>
      </c>
      <c r="D853" s="173" t="s">
        <v>470</v>
      </c>
      <c r="E853">
        <v>1</v>
      </c>
    </row>
    <row r="854" spans="1:5" x14ac:dyDescent="0.25">
      <c r="A854" s="173" t="s">
        <v>468</v>
      </c>
      <c r="B854">
        <v>12212</v>
      </c>
      <c r="C854" s="173" t="s">
        <v>1191</v>
      </c>
      <c r="D854" s="173" t="s">
        <v>470</v>
      </c>
      <c r="E854">
        <v>1</v>
      </c>
    </row>
    <row r="855" spans="1:5" x14ac:dyDescent="0.25">
      <c r="A855" s="173" t="s">
        <v>468</v>
      </c>
      <c r="B855">
        <v>12212</v>
      </c>
      <c r="C855" s="173" t="s">
        <v>1192</v>
      </c>
      <c r="D855" s="173" t="s">
        <v>470</v>
      </c>
      <c r="E855">
        <v>1</v>
      </c>
    </row>
    <row r="856" spans="1:5" x14ac:dyDescent="0.25">
      <c r="A856" s="173" t="s">
        <v>468</v>
      </c>
      <c r="B856">
        <v>12212</v>
      </c>
      <c r="C856" s="173" t="s">
        <v>1193</v>
      </c>
      <c r="D856" s="173" t="s">
        <v>470</v>
      </c>
      <c r="E856">
        <v>1</v>
      </c>
    </row>
    <row r="857" spans="1:5" x14ac:dyDescent="0.25">
      <c r="A857" s="173" t="s">
        <v>468</v>
      </c>
      <c r="B857">
        <v>12212</v>
      </c>
      <c r="C857" s="173" t="s">
        <v>1194</v>
      </c>
      <c r="D857" s="173" t="s">
        <v>470</v>
      </c>
      <c r="E857">
        <v>1</v>
      </c>
    </row>
    <row r="858" spans="1:5" x14ac:dyDescent="0.25">
      <c r="A858" s="173" t="s">
        <v>468</v>
      </c>
      <c r="B858">
        <v>12212</v>
      </c>
      <c r="C858" s="173" t="s">
        <v>1195</v>
      </c>
      <c r="D858" s="173" t="s">
        <v>470</v>
      </c>
      <c r="E858">
        <v>1</v>
      </c>
    </row>
    <row r="859" spans="1:5" x14ac:dyDescent="0.25">
      <c r="A859" s="173" t="s">
        <v>468</v>
      </c>
      <c r="B859">
        <v>12212</v>
      </c>
      <c r="C859" s="173" t="s">
        <v>1196</v>
      </c>
      <c r="D859" s="173" t="s">
        <v>470</v>
      </c>
      <c r="E859">
        <v>1</v>
      </c>
    </row>
    <row r="860" spans="1:5" x14ac:dyDescent="0.25">
      <c r="A860" s="173" t="s">
        <v>468</v>
      </c>
      <c r="B860">
        <v>12212</v>
      </c>
      <c r="C860" s="173" t="s">
        <v>1197</v>
      </c>
      <c r="D860" s="173" t="s">
        <v>470</v>
      </c>
      <c r="E860">
        <v>1</v>
      </c>
    </row>
    <row r="861" spans="1:5" x14ac:dyDescent="0.25">
      <c r="A861" s="173" t="s">
        <v>468</v>
      </c>
      <c r="B861">
        <v>12212</v>
      </c>
      <c r="C861" s="173" t="s">
        <v>1198</v>
      </c>
      <c r="D861" s="173" t="s">
        <v>470</v>
      </c>
      <c r="E861">
        <v>1</v>
      </c>
    </row>
    <row r="862" spans="1:5" x14ac:dyDescent="0.25">
      <c r="A862" s="173" t="s">
        <v>468</v>
      </c>
      <c r="B862">
        <v>12212</v>
      </c>
      <c r="C862" s="173" t="s">
        <v>1199</v>
      </c>
      <c r="D862" s="173" t="s">
        <v>470</v>
      </c>
      <c r="E862">
        <v>1</v>
      </c>
    </row>
    <row r="863" spans="1:5" x14ac:dyDescent="0.25">
      <c r="A863" s="173" t="s">
        <v>468</v>
      </c>
      <c r="B863">
        <v>12212</v>
      </c>
      <c r="C863" s="173" t="s">
        <v>1200</v>
      </c>
      <c r="D863" s="173" t="s">
        <v>470</v>
      </c>
      <c r="E863">
        <v>1</v>
      </c>
    </row>
    <row r="864" spans="1:5" x14ac:dyDescent="0.25">
      <c r="A864" s="173" t="s">
        <v>468</v>
      </c>
      <c r="B864">
        <v>12212</v>
      </c>
      <c r="C864" s="173" t="s">
        <v>1201</v>
      </c>
      <c r="D864" s="173" t="s">
        <v>470</v>
      </c>
      <c r="E864">
        <v>2</v>
      </c>
    </row>
    <row r="865" spans="1:5" x14ac:dyDescent="0.25">
      <c r="A865" s="173" t="s">
        <v>468</v>
      </c>
      <c r="B865">
        <v>12212</v>
      </c>
      <c r="C865" s="173" t="s">
        <v>1202</v>
      </c>
      <c r="D865" s="173" t="s">
        <v>470</v>
      </c>
      <c r="E865">
        <v>2</v>
      </c>
    </row>
    <row r="866" spans="1:5" x14ac:dyDescent="0.25">
      <c r="A866" s="173" t="s">
        <v>468</v>
      </c>
      <c r="B866">
        <v>12212</v>
      </c>
      <c r="C866" s="173" t="s">
        <v>1203</v>
      </c>
      <c r="D866" s="173" t="s">
        <v>470</v>
      </c>
      <c r="E866">
        <v>2</v>
      </c>
    </row>
    <row r="867" spans="1:5" x14ac:dyDescent="0.25">
      <c r="A867" s="173" t="s">
        <v>468</v>
      </c>
      <c r="B867">
        <v>12212</v>
      </c>
      <c r="C867" s="173" t="s">
        <v>1204</v>
      </c>
      <c r="D867" s="173" t="s">
        <v>470</v>
      </c>
      <c r="E867">
        <v>2</v>
      </c>
    </row>
    <row r="868" spans="1:5" x14ac:dyDescent="0.25">
      <c r="A868" s="173" t="s">
        <v>468</v>
      </c>
      <c r="B868">
        <v>12212</v>
      </c>
      <c r="C868" s="173" t="s">
        <v>1205</v>
      </c>
      <c r="D868" s="173" t="s">
        <v>470</v>
      </c>
      <c r="E868">
        <v>2</v>
      </c>
    </row>
    <row r="869" spans="1:5" hidden="1" x14ac:dyDescent="0.25">
      <c r="A869" s="173" t="s">
        <v>514</v>
      </c>
      <c r="B869">
        <v>12216</v>
      </c>
      <c r="C869" s="173" t="s">
        <v>1206</v>
      </c>
      <c r="D869" s="173" t="s">
        <v>470</v>
      </c>
      <c r="E869">
        <v>6</v>
      </c>
    </row>
    <row r="870" spans="1:5" hidden="1" x14ac:dyDescent="0.25">
      <c r="A870" s="173" t="s">
        <v>514</v>
      </c>
      <c r="B870">
        <v>12216</v>
      </c>
      <c r="C870" s="173" t="s">
        <v>1207</v>
      </c>
      <c r="D870" s="173" t="s">
        <v>470</v>
      </c>
      <c r="E870">
        <v>7</v>
      </c>
    </row>
    <row r="871" spans="1:5" hidden="1" x14ac:dyDescent="0.25">
      <c r="A871" s="173" t="s">
        <v>514</v>
      </c>
      <c r="B871">
        <v>12216</v>
      </c>
      <c r="C871" s="173" t="s">
        <v>1208</v>
      </c>
      <c r="D871" s="173" t="s">
        <v>470</v>
      </c>
      <c r="E871">
        <v>7</v>
      </c>
    </row>
    <row r="872" spans="1:5" hidden="1" x14ac:dyDescent="0.25">
      <c r="A872" s="173" t="s">
        <v>514</v>
      </c>
      <c r="B872">
        <v>12216</v>
      </c>
      <c r="C872" s="173" t="s">
        <v>1209</v>
      </c>
      <c r="D872" s="173" t="s">
        <v>470</v>
      </c>
      <c r="E872">
        <v>7</v>
      </c>
    </row>
    <row r="873" spans="1:5" hidden="1" x14ac:dyDescent="0.25">
      <c r="A873" s="173" t="s">
        <v>514</v>
      </c>
      <c r="B873">
        <v>12216</v>
      </c>
      <c r="C873" s="173" t="s">
        <v>1210</v>
      </c>
      <c r="D873" s="173" t="s">
        <v>470</v>
      </c>
      <c r="E873">
        <v>6</v>
      </c>
    </row>
    <row r="874" spans="1:5" hidden="1" x14ac:dyDescent="0.25">
      <c r="A874" s="173" t="s">
        <v>514</v>
      </c>
      <c r="B874">
        <v>12216</v>
      </c>
      <c r="C874" s="173" t="s">
        <v>1211</v>
      </c>
      <c r="D874" s="173" t="s">
        <v>470</v>
      </c>
      <c r="E874">
        <v>7</v>
      </c>
    </row>
    <row r="875" spans="1:5" hidden="1" x14ac:dyDescent="0.25">
      <c r="A875" s="173" t="s">
        <v>514</v>
      </c>
      <c r="B875">
        <v>12216</v>
      </c>
      <c r="C875" s="173" t="s">
        <v>1212</v>
      </c>
      <c r="D875" s="173" t="s">
        <v>470</v>
      </c>
      <c r="E875">
        <v>7</v>
      </c>
    </row>
    <row r="876" spans="1:5" hidden="1" x14ac:dyDescent="0.25">
      <c r="A876" s="173" t="s">
        <v>514</v>
      </c>
      <c r="B876">
        <v>12216</v>
      </c>
      <c r="C876" s="173" t="s">
        <v>1213</v>
      </c>
      <c r="D876" s="173" t="s">
        <v>517</v>
      </c>
      <c r="E876">
        <v>1</v>
      </c>
    </row>
    <row r="877" spans="1:5" hidden="1" x14ac:dyDescent="0.25">
      <c r="A877" s="173" t="s">
        <v>514</v>
      </c>
      <c r="B877">
        <v>12216</v>
      </c>
      <c r="C877" s="173" t="s">
        <v>1213</v>
      </c>
      <c r="D877" s="173" t="s">
        <v>470</v>
      </c>
      <c r="E877">
        <v>4</v>
      </c>
    </row>
    <row r="878" spans="1:5" hidden="1" x14ac:dyDescent="0.25">
      <c r="A878" s="173" t="s">
        <v>514</v>
      </c>
      <c r="B878">
        <v>12216</v>
      </c>
      <c r="C878" s="173" t="s">
        <v>1214</v>
      </c>
      <c r="D878" s="173" t="s">
        <v>517</v>
      </c>
      <c r="E878">
        <v>1</v>
      </c>
    </row>
    <row r="879" spans="1:5" hidden="1" x14ac:dyDescent="0.25">
      <c r="A879" s="173" t="s">
        <v>514</v>
      </c>
      <c r="B879">
        <v>12216</v>
      </c>
      <c r="C879" s="173" t="s">
        <v>1214</v>
      </c>
      <c r="D879" s="173" t="s">
        <v>470</v>
      </c>
      <c r="E879">
        <v>3</v>
      </c>
    </row>
    <row r="880" spans="1:5" hidden="1" x14ac:dyDescent="0.25">
      <c r="A880" s="173" t="s">
        <v>514</v>
      </c>
      <c r="B880">
        <v>12216</v>
      </c>
      <c r="C880" s="173" t="s">
        <v>1215</v>
      </c>
      <c r="D880" s="173" t="s">
        <v>470</v>
      </c>
      <c r="E880">
        <v>3</v>
      </c>
    </row>
    <row r="881" spans="1:5" hidden="1" x14ac:dyDescent="0.25">
      <c r="A881" s="173" t="s">
        <v>514</v>
      </c>
      <c r="B881">
        <v>12216</v>
      </c>
      <c r="C881" s="173" t="s">
        <v>1215</v>
      </c>
      <c r="D881" s="173" t="s">
        <v>517</v>
      </c>
      <c r="E881">
        <v>1</v>
      </c>
    </row>
    <row r="882" spans="1:5" hidden="1" x14ac:dyDescent="0.25">
      <c r="A882" s="173" t="s">
        <v>514</v>
      </c>
      <c r="B882">
        <v>12216</v>
      </c>
      <c r="C882" s="173" t="s">
        <v>1216</v>
      </c>
      <c r="D882" s="173" t="s">
        <v>470</v>
      </c>
      <c r="E882">
        <v>4</v>
      </c>
    </row>
    <row r="883" spans="1:5" hidden="1" x14ac:dyDescent="0.25">
      <c r="A883" s="173" t="s">
        <v>514</v>
      </c>
      <c r="B883">
        <v>12216</v>
      </c>
      <c r="C883" s="173" t="s">
        <v>1216</v>
      </c>
      <c r="D883" s="173" t="s">
        <v>517</v>
      </c>
      <c r="E883">
        <v>1</v>
      </c>
    </row>
    <row r="884" spans="1:5" hidden="1" x14ac:dyDescent="0.25">
      <c r="A884" s="173" t="s">
        <v>514</v>
      </c>
      <c r="B884">
        <v>12216</v>
      </c>
      <c r="C884" s="173" t="s">
        <v>1217</v>
      </c>
      <c r="D884" s="173" t="s">
        <v>517</v>
      </c>
      <c r="E884">
        <v>1</v>
      </c>
    </row>
    <row r="885" spans="1:5" hidden="1" x14ac:dyDescent="0.25">
      <c r="A885" s="173" t="s">
        <v>514</v>
      </c>
      <c r="B885">
        <v>12216</v>
      </c>
      <c r="C885" s="173" t="s">
        <v>1217</v>
      </c>
      <c r="D885" s="173" t="s">
        <v>470</v>
      </c>
      <c r="E885">
        <v>4</v>
      </c>
    </row>
    <row r="886" spans="1:5" hidden="1" x14ac:dyDescent="0.25">
      <c r="A886" s="173" t="s">
        <v>514</v>
      </c>
      <c r="B886">
        <v>12216</v>
      </c>
      <c r="C886" s="173" t="s">
        <v>1218</v>
      </c>
      <c r="D886" s="173" t="s">
        <v>470</v>
      </c>
      <c r="E886">
        <v>4</v>
      </c>
    </row>
    <row r="887" spans="1:5" hidden="1" x14ac:dyDescent="0.25">
      <c r="A887" s="173" t="s">
        <v>514</v>
      </c>
      <c r="B887">
        <v>12216</v>
      </c>
      <c r="C887" s="173" t="s">
        <v>1218</v>
      </c>
      <c r="D887" s="173" t="s">
        <v>517</v>
      </c>
      <c r="E887">
        <v>1</v>
      </c>
    </row>
    <row r="888" spans="1:5" hidden="1" x14ac:dyDescent="0.25">
      <c r="A888" s="173" t="s">
        <v>514</v>
      </c>
      <c r="B888">
        <v>12216</v>
      </c>
      <c r="C888" s="173" t="s">
        <v>1219</v>
      </c>
      <c r="D888" s="173" t="s">
        <v>517</v>
      </c>
      <c r="E888">
        <v>1</v>
      </c>
    </row>
    <row r="889" spans="1:5" hidden="1" x14ac:dyDescent="0.25">
      <c r="A889" s="173" t="s">
        <v>514</v>
      </c>
      <c r="B889">
        <v>12216</v>
      </c>
      <c r="C889" s="173" t="s">
        <v>1219</v>
      </c>
      <c r="D889" s="173" t="s">
        <v>470</v>
      </c>
      <c r="E889">
        <v>4</v>
      </c>
    </row>
    <row r="890" spans="1:5" hidden="1" x14ac:dyDescent="0.25">
      <c r="A890" s="173" t="s">
        <v>514</v>
      </c>
      <c r="B890">
        <v>12216</v>
      </c>
      <c r="C890" s="173" t="s">
        <v>1220</v>
      </c>
      <c r="D890" s="173" t="s">
        <v>517</v>
      </c>
      <c r="E890">
        <v>2</v>
      </c>
    </row>
    <row r="891" spans="1:5" hidden="1" x14ac:dyDescent="0.25">
      <c r="A891" s="173" t="s">
        <v>514</v>
      </c>
      <c r="B891">
        <v>12216</v>
      </c>
      <c r="C891" s="173" t="s">
        <v>1220</v>
      </c>
      <c r="D891" s="173" t="s">
        <v>470</v>
      </c>
      <c r="E891">
        <v>4</v>
      </c>
    </row>
    <row r="892" spans="1:5" hidden="1" x14ac:dyDescent="0.25">
      <c r="A892" s="173" t="s">
        <v>514</v>
      </c>
      <c r="B892">
        <v>12216</v>
      </c>
      <c r="C892" s="173" t="s">
        <v>1221</v>
      </c>
      <c r="D892" s="173" t="s">
        <v>470</v>
      </c>
      <c r="E892">
        <v>4</v>
      </c>
    </row>
    <row r="893" spans="1:5" hidden="1" x14ac:dyDescent="0.25">
      <c r="A893" s="173" t="s">
        <v>514</v>
      </c>
      <c r="B893">
        <v>12216</v>
      </c>
      <c r="C893" s="173" t="s">
        <v>1221</v>
      </c>
      <c r="D893" s="173" t="s">
        <v>517</v>
      </c>
      <c r="E893">
        <v>2</v>
      </c>
    </row>
    <row r="894" spans="1:5" hidden="1" x14ac:dyDescent="0.25">
      <c r="A894" s="173" t="s">
        <v>514</v>
      </c>
      <c r="B894">
        <v>12216</v>
      </c>
      <c r="C894" s="173" t="s">
        <v>1222</v>
      </c>
      <c r="D894" s="173" t="s">
        <v>470</v>
      </c>
      <c r="E894">
        <v>4</v>
      </c>
    </row>
    <row r="895" spans="1:5" hidden="1" x14ac:dyDescent="0.25">
      <c r="A895" s="173" t="s">
        <v>514</v>
      </c>
      <c r="B895">
        <v>12216</v>
      </c>
      <c r="C895" s="173" t="s">
        <v>1222</v>
      </c>
      <c r="D895" s="173" t="s">
        <v>517</v>
      </c>
      <c r="E895">
        <v>2</v>
      </c>
    </row>
    <row r="896" spans="1:5" hidden="1" x14ac:dyDescent="0.25">
      <c r="A896" s="173" t="s">
        <v>514</v>
      </c>
      <c r="B896">
        <v>12216</v>
      </c>
      <c r="C896" s="173" t="s">
        <v>1223</v>
      </c>
      <c r="D896" s="173" t="s">
        <v>470</v>
      </c>
      <c r="E896">
        <v>3</v>
      </c>
    </row>
    <row r="897" spans="1:5" hidden="1" x14ac:dyDescent="0.25">
      <c r="A897" s="173" t="s">
        <v>514</v>
      </c>
      <c r="B897">
        <v>12216</v>
      </c>
      <c r="C897" s="173" t="s">
        <v>1223</v>
      </c>
      <c r="D897" s="173" t="s">
        <v>517</v>
      </c>
      <c r="E897">
        <v>2</v>
      </c>
    </row>
    <row r="898" spans="1:5" hidden="1" x14ac:dyDescent="0.25">
      <c r="A898" s="173" t="s">
        <v>514</v>
      </c>
      <c r="B898">
        <v>12216</v>
      </c>
      <c r="C898" s="173" t="s">
        <v>1224</v>
      </c>
      <c r="D898" s="173" t="s">
        <v>470</v>
      </c>
      <c r="E898">
        <v>3</v>
      </c>
    </row>
    <row r="899" spans="1:5" hidden="1" x14ac:dyDescent="0.25">
      <c r="A899" s="173" t="s">
        <v>514</v>
      </c>
      <c r="B899">
        <v>12216</v>
      </c>
      <c r="C899" s="173" t="s">
        <v>1224</v>
      </c>
      <c r="D899" s="173" t="s">
        <v>517</v>
      </c>
      <c r="E899">
        <v>2</v>
      </c>
    </row>
    <row r="900" spans="1:5" hidden="1" x14ac:dyDescent="0.25">
      <c r="A900" s="173" t="s">
        <v>514</v>
      </c>
      <c r="B900">
        <v>12216</v>
      </c>
      <c r="C900" s="173" t="s">
        <v>1225</v>
      </c>
      <c r="D900" s="173" t="s">
        <v>470</v>
      </c>
      <c r="E900">
        <v>3</v>
      </c>
    </row>
    <row r="901" spans="1:5" hidden="1" x14ac:dyDescent="0.25">
      <c r="A901" s="173" t="s">
        <v>514</v>
      </c>
      <c r="B901">
        <v>12216</v>
      </c>
      <c r="C901" s="173" t="s">
        <v>1225</v>
      </c>
      <c r="D901" s="173" t="s">
        <v>517</v>
      </c>
      <c r="E901">
        <v>2</v>
      </c>
    </row>
    <row r="902" spans="1:5" hidden="1" x14ac:dyDescent="0.25">
      <c r="A902" s="173" t="s">
        <v>514</v>
      </c>
      <c r="B902">
        <v>12216</v>
      </c>
      <c r="C902" s="173" t="s">
        <v>1226</v>
      </c>
      <c r="D902" s="173" t="s">
        <v>517</v>
      </c>
      <c r="E902">
        <v>2</v>
      </c>
    </row>
    <row r="903" spans="1:5" hidden="1" x14ac:dyDescent="0.25">
      <c r="A903" s="173" t="s">
        <v>514</v>
      </c>
      <c r="B903">
        <v>12216</v>
      </c>
      <c r="C903" s="173" t="s">
        <v>1226</v>
      </c>
      <c r="D903" s="173" t="s">
        <v>470</v>
      </c>
      <c r="E903">
        <v>3</v>
      </c>
    </row>
    <row r="904" spans="1:5" hidden="1" x14ac:dyDescent="0.25">
      <c r="A904" s="173" t="s">
        <v>514</v>
      </c>
      <c r="B904">
        <v>12216</v>
      </c>
      <c r="C904" s="173" t="s">
        <v>1227</v>
      </c>
      <c r="D904" s="173" t="s">
        <v>470</v>
      </c>
      <c r="E904">
        <v>3</v>
      </c>
    </row>
    <row r="905" spans="1:5" hidden="1" x14ac:dyDescent="0.25">
      <c r="A905" s="173" t="s">
        <v>514</v>
      </c>
      <c r="B905">
        <v>12216</v>
      </c>
      <c r="C905" s="173" t="s">
        <v>1227</v>
      </c>
      <c r="D905" s="173" t="s">
        <v>517</v>
      </c>
      <c r="E905">
        <v>2</v>
      </c>
    </row>
    <row r="906" spans="1:5" hidden="1" x14ac:dyDescent="0.25">
      <c r="A906" s="173" t="s">
        <v>514</v>
      </c>
      <c r="B906">
        <v>12216</v>
      </c>
      <c r="C906" s="173" t="s">
        <v>1228</v>
      </c>
      <c r="D906" s="173" t="s">
        <v>517</v>
      </c>
      <c r="E906">
        <v>2</v>
      </c>
    </row>
    <row r="907" spans="1:5" hidden="1" x14ac:dyDescent="0.25">
      <c r="A907" s="173" t="s">
        <v>514</v>
      </c>
      <c r="B907">
        <v>12216</v>
      </c>
      <c r="C907" s="173" t="s">
        <v>1228</v>
      </c>
      <c r="D907" s="173" t="s">
        <v>470</v>
      </c>
      <c r="E907">
        <v>3</v>
      </c>
    </row>
    <row r="908" spans="1:5" hidden="1" x14ac:dyDescent="0.25">
      <c r="A908" s="173" t="s">
        <v>514</v>
      </c>
      <c r="B908">
        <v>12216</v>
      </c>
      <c r="C908" s="173" t="s">
        <v>1229</v>
      </c>
      <c r="D908" s="173" t="s">
        <v>517</v>
      </c>
      <c r="E908">
        <v>2</v>
      </c>
    </row>
    <row r="909" spans="1:5" hidden="1" x14ac:dyDescent="0.25">
      <c r="A909" s="173" t="s">
        <v>514</v>
      </c>
      <c r="B909">
        <v>12216</v>
      </c>
      <c r="C909" s="173" t="s">
        <v>1229</v>
      </c>
      <c r="D909" s="173" t="s">
        <v>470</v>
      </c>
      <c r="E909">
        <v>3</v>
      </c>
    </row>
    <row r="910" spans="1:5" x14ac:dyDescent="0.25">
      <c r="A910" s="173" t="s">
        <v>468</v>
      </c>
      <c r="B910">
        <v>12256</v>
      </c>
      <c r="C910" s="173" t="s">
        <v>1230</v>
      </c>
      <c r="D910" s="173" t="s">
        <v>470</v>
      </c>
      <c r="E910">
        <v>2</v>
      </c>
    </row>
    <row r="911" spans="1:5" x14ac:dyDescent="0.25">
      <c r="A911" s="173" t="s">
        <v>468</v>
      </c>
      <c r="B911">
        <v>12256</v>
      </c>
      <c r="C911" s="173" t="s">
        <v>1231</v>
      </c>
      <c r="D911" s="173" t="s">
        <v>470</v>
      </c>
      <c r="E911">
        <v>2</v>
      </c>
    </row>
    <row r="912" spans="1:5" x14ac:dyDescent="0.25">
      <c r="A912" s="173" t="s">
        <v>468</v>
      </c>
      <c r="B912">
        <v>12256</v>
      </c>
      <c r="C912" s="173" t="s">
        <v>1232</v>
      </c>
      <c r="D912" s="173" t="s">
        <v>470</v>
      </c>
      <c r="E912">
        <v>2</v>
      </c>
    </row>
    <row r="913" spans="1:5" x14ac:dyDescent="0.25">
      <c r="A913" s="173" t="s">
        <v>468</v>
      </c>
      <c r="B913">
        <v>12256</v>
      </c>
      <c r="C913" s="173" t="s">
        <v>1233</v>
      </c>
      <c r="D913" s="173" t="s">
        <v>470</v>
      </c>
      <c r="E913">
        <v>2</v>
      </c>
    </row>
    <row r="914" spans="1:5" x14ac:dyDescent="0.25">
      <c r="A914" s="173" t="s">
        <v>468</v>
      </c>
      <c r="B914">
        <v>12256</v>
      </c>
      <c r="C914" s="173" t="s">
        <v>1234</v>
      </c>
      <c r="D914" s="173" t="s">
        <v>470</v>
      </c>
      <c r="E914">
        <v>2</v>
      </c>
    </row>
    <row r="915" spans="1:5" x14ac:dyDescent="0.25">
      <c r="A915" s="173" t="s">
        <v>468</v>
      </c>
      <c r="B915">
        <v>12256</v>
      </c>
      <c r="C915" s="173" t="s">
        <v>1235</v>
      </c>
      <c r="D915" s="173" t="s">
        <v>470</v>
      </c>
      <c r="E915">
        <v>3</v>
      </c>
    </row>
    <row r="916" spans="1:5" x14ac:dyDescent="0.25">
      <c r="A916" s="173" t="s">
        <v>468</v>
      </c>
      <c r="B916">
        <v>12256</v>
      </c>
      <c r="C916" s="173" t="s">
        <v>1236</v>
      </c>
      <c r="D916" s="173" t="s">
        <v>470</v>
      </c>
      <c r="E916">
        <v>2</v>
      </c>
    </row>
    <row r="917" spans="1:5" x14ac:dyDescent="0.25">
      <c r="A917" s="173" t="s">
        <v>468</v>
      </c>
      <c r="B917">
        <v>12256</v>
      </c>
      <c r="C917" s="173" t="s">
        <v>1237</v>
      </c>
      <c r="D917" s="173" t="s">
        <v>470</v>
      </c>
      <c r="E917">
        <v>3</v>
      </c>
    </row>
    <row r="918" spans="1:5" x14ac:dyDescent="0.25">
      <c r="A918" s="173" t="s">
        <v>468</v>
      </c>
      <c r="B918">
        <v>12256</v>
      </c>
      <c r="C918" s="173" t="s">
        <v>1238</v>
      </c>
      <c r="D918" s="173" t="s">
        <v>470</v>
      </c>
      <c r="E918">
        <v>2</v>
      </c>
    </row>
    <row r="919" spans="1:5" x14ac:dyDescent="0.25">
      <c r="A919" s="173" t="s">
        <v>468</v>
      </c>
      <c r="B919">
        <v>12256</v>
      </c>
      <c r="C919" s="173" t="s">
        <v>1239</v>
      </c>
      <c r="D919" s="173" t="s">
        <v>470</v>
      </c>
      <c r="E919">
        <v>3</v>
      </c>
    </row>
    <row r="920" spans="1:5" x14ac:dyDescent="0.25">
      <c r="A920" s="173" t="s">
        <v>468</v>
      </c>
      <c r="B920">
        <v>12256</v>
      </c>
      <c r="C920" s="173" t="s">
        <v>1240</v>
      </c>
      <c r="D920" s="173" t="s">
        <v>470</v>
      </c>
      <c r="E920">
        <v>3</v>
      </c>
    </row>
    <row r="921" spans="1:5" x14ac:dyDescent="0.25">
      <c r="A921" s="173" t="s">
        <v>468</v>
      </c>
      <c r="B921">
        <v>12256</v>
      </c>
      <c r="C921" s="173" t="s">
        <v>1241</v>
      </c>
      <c r="D921" s="173" t="s">
        <v>470</v>
      </c>
      <c r="E921">
        <v>2</v>
      </c>
    </row>
    <row r="922" spans="1:5" x14ac:dyDescent="0.25">
      <c r="A922" s="173" t="s">
        <v>468</v>
      </c>
      <c r="B922">
        <v>12256</v>
      </c>
      <c r="C922" s="173" t="s">
        <v>1242</v>
      </c>
      <c r="D922" s="173" t="s">
        <v>470</v>
      </c>
      <c r="E922">
        <v>4</v>
      </c>
    </row>
    <row r="923" spans="1:5" x14ac:dyDescent="0.25">
      <c r="A923" s="173" t="s">
        <v>468</v>
      </c>
      <c r="B923">
        <v>12256</v>
      </c>
      <c r="C923" s="173" t="s">
        <v>1243</v>
      </c>
      <c r="D923" s="173" t="s">
        <v>470</v>
      </c>
      <c r="E923">
        <v>3</v>
      </c>
    </row>
    <row r="924" spans="1:5" x14ac:dyDescent="0.25">
      <c r="A924" s="173" t="s">
        <v>468</v>
      </c>
      <c r="B924">
        <v>12256</v>
      </c>
      <c r="C924" s="173" t="s">
        <v>1244</v>
      </c>
      <c r="D924" s="173" t="s">
        <v>470</v>
      </c>
      <c r="E924">
        <v>3</v>
      </c>
    </row>
    <row r="925" spans="1:5" x14ac:dyDescent="0.25">
      <c r="A925" s="173" t="s">
        <v>468</v>
      </c>
      <c r="B925">
        <v>12256</v>
      </c>
      <c r="C925" s="173" t="s">
        <v>1245</v>
      </c>
      <c r="D925" s="173" t="s">
        <v>470</v>
      </c>
      <c r="E925">
        <v>4</v>
      </c>
    </row>
    <row r="926" spans="1:5" x14ac:dyDescent="0.25">
      <c r="A926" s="173" t="s">
        <v>468</v>
      </c>
      <c r="B926">
        <v>12256</v>
      </c>
      <c r="C926" s="173" t="s">
        <v>1246</v>
      </c>
      <c r="D926" s="173" t="s">
        <v>470</v>
      </c>
      <c r="E926">
        <v>4</v>
      </c>
    </row>
    <row r="927" spans="1:5" x14ac:dyDescent="0.25">
      <c r="A927" s="173" t="s">
        <v>468</v>
      </c>
      <c r="B927">
        <v>12256</v>
      </c>
      <c r="C927" s="173" t="s">
        <v>1247</v>
      </c>
      <c r="D927" s="173" t="s">
        <v>470</v>
      </c>
      <c r="E927">
        <v>3</v>
      </c>
    </row>
    <row r="928" spans="1:5" x14ac:dyDescent="0.25">
      <c r="A928" s="173" t="s">
        <v>468</v>
      </c>
      <c r="B928">
        <v>12256</v>
      </c>
      <c r="C928" s="173" t="s">
        <v>1248</v>
      </c>
      <c r="D928" s="173" t="s">
        <v>470</v>
      </c>
      <c r="E928">
        <v>3</v>
      </c>
    </row>
    <row r="929" spans="1:5" x14ac:dyDescent="0.25">
      <c r="A929" s="173" t="s">
        <v>468</v>
      </c>
      <c r="B929">
        <v>12256</v>
      </c>
      <c r="C929" s="173" t="s">
        <v>1249</v>
      </c>
      <c r="D929" s="173" t="s">
        <v>470</v>
      </c>
      <c r="E929">
        <v>3</v>
      </c>
    </row>
    <row r="930" spans="1:5" x14ac:dyDescent="0.25">
      <c r="A930" s="173" t="s">
        <v>468</v>
      </c>
      <c r="B930">
        <v>12256</v>
      </c>
      <c r="C930" s="173" t="s">
        <v>1250</v>
      </c>
      <c r="D930" s="173" t="s">
        <v>470</v>
      </c>
      <c r="E930">
        <v>3</v>
      </c>
    </row>
    <row r="931" spans="1:5" x14ac:dyDescent="0.25">
      <c r="A931" s="173" t="s">
        <v>468</v>
      </c>
      <c r="B931">
        <v>12256</v>
      </c>
      <c r="C931" s="173" t="s">
        <v>1251</v>
      </c>
      <c r="D931" s="173" t="s">
        <v>470</v>
      </c>
      <c r="E931">
        <v>2</v>
      </c>
    </row>
    <row r="932" spans="1:5" x14ac:dyDescent="0.25">
      <c r="A932" s="173" t="s">
        <v>468</v>
      </c>
      <c r="B932">
        <v>12256</v>
      </c>
      <c r="C932" s="173" t="s">
        <v>1252</v>
      </c>
      <c r="D932" s="173" t="s">
        <v>470</v>
      </c>
      <c r="E932">
        <v>3</v>
      </c>
    </row>
    <row r="933" spans="1:5" x14ac:dyDescent="0.25">
      <c r="A933" s="173" t="s">
        <v>468</v>
      </c>
      <c r="B933">
        <v>12256</v>
      </c>
      <c r="C933" s="173" t="s">
        <v>1253</v>
      </c>
      <c r="D933" s="173" t="s">
        <v>470</v>
      </c>
      <c r="E933">
        <v>2</v>
      </c>
    </row>
    <row r="934" spans="1:5" x14ac:dyDescent="0.25">
      <c r="A934" s="173" t="s">
        <v>468</v>
      </c>
      <c r="B934">
        <v>12256</v>
      </c>
      <c r="C934" s="173" t="s">
        <v>1254</v>
      </c>
      <c r="D934" s="173" t="s">
        <v>470</v>
      </c>
      <c r="E934">
        <v>2</v>
      </c>
    </row>
    <row r="935" spans="1:5" x14ac:dyDescent="0.25">
      <c r="A935" s="173" t="s">
        <v>468</v>
      </c>
      <c r="B935">
        <v>12256</v>
      </c>
      <c r="C935" s="173" t="s">
        <v>1255</v>
      </c>
      <c r="D935" s="173" t="s">
        <v>470</v>
      </c>
      <c r="E935">
        <v>3</v>
      </c>
    </row>
    <row r="936" spans="1:5" x14ac:dyDescent="0.25">
      <c r="A936" s="173" t="s">
        <v>468</v>
      </c>
      <c r="B936">
        <v>12256</v>
      </c>
      <c r="C936" s="173" t="s">
        <v>1256</v>
      </c>
      <c r="D936" s="173" t="s">
        <v>470</v>
      </c>
      <c r="E936">
        <v>2</v>
      </c>
    </row>
    <row r="937" spans="1:5" x14ac:dyDescent="0.25">
      <c r="A937" s="173" t="s">
        <v>468</v>
      </c>
      <c r="B937">
        <v>12256</v>
      </c>
      <c r="C937" s="173" t="s">
        <v>3580</v>
      </c>
      <c r="D937" s="173" t="s">
        <v>470</v>
      </c>
      <c r="E937">
        <v>4</v>
      </c>
    </row>
    <row r="938" spans="1:5" x14ac:dyDescent="0.25">
      <c r="A938" s="173" t="s">
        <v>468</v>
      </c>
      <c r="B938">
        <v>12256</v>
      </c>
      <c r="C938" s="173" t="s">
        <v>3581</v>
      </c>
      <c r="D938" s="173" t="s">
        <v>470</v>
      </c>
      <c r="E938">
        <v>2</v>
      </c>
    </row>
    <row r="939" spans="1:5" x14ac:dyDescent="0.25">
      <c r="A939" s="173" t="s">
        <v>468</v>
      </c>
      <c r="B939">
        <v>12256</v>
      </c>
      <c r="C939" s="173" t="s">
        <v>3582</v>
      </c>
      <c r="D939" s="173" t="s">
        <v>470</v>
      </c>
      <c r="E939">
        <v>2</v>
      </c>
    </row>
    <row r="940" spans="1:5" x14ac:dyDescent="0.25">
      <c r="A940" s="173" t="s">
        <v>468</v>
      </c>
      <c r="B940">
        <v>12265</v>
      </c>
      <c r="C940" s="173" t="s">
        <v>1257</v>
      </c>
      <c r="D940" s="173" t="s">
        <v>470</v>
      </c>
      <c r="E940">
        <v>1</v>
      </c>
    </row>
    <row r="941" spans="1:5" x14ac:dyDescent="0.25">
      <c r="A941" s="173" t="s">
        <v>468</v>
      </c>
      <c r="B941">
        <v>12265</v>
      </c>
      <c r="C941" s="173" t="s">
        <v>1258</v>
      </c>
      <c r="D941" s="173" t="s">
        <v>470</v>
      </c>
      <c r="E941">
        <v>1</v>
      </c>
    </row>
    <row r="942" spans="1:5" x14ac:dyDescent="0.25">
      <c r="A942" s="173" t="s">
        <v>468</v>
      </c>
      <c r="B942">
        <v>12265</v>
      </c>
      <c r="C942" s="173" t="s">
        <v>1259</v>
      </c>
      <c r="D942" s="173" t="s">
        <v>470</v>
      </c>
      <c r="E942">
        <v>1</v>
      </c>
    </row>
    <row r="943" spans="1:5" x14ac:dyDescent="0.25">
      <c r="A943" s="173" t="s">
        <v>468</v>
      </c>
      <c r="B943">
        <v>12265</v>
      </c>
      <c r="C943" s="173" t="s">
        <v>1260</v>
      </c>
      <c r="D943" s="173" t="s">
        <v>470</v>
      </c>
      <c r="E943">
        <v>1</v>
      </c>
    </row>
    <row r="944" spans="1:5" x14ac:dyDescent="0.25">
      <c r="A944" s="173" t="s">
        <v>468</v>
      </c>
      <c r="B944">
        <v>12265</v>
      </c>
      <c r="C944" s="173" t="s">
        <v>1261</v>
      </c>
      <c r="D944" s="173" t="s">
        <v>470</v>
      </c>
      <c r="E944">
        <v>1</v>
      </c>
    </row>
    <row r="945" spans="1:5" x14ac:dyDescent="0.25">
      <c r="A945" s="173" t="s">
        <v>468</v>
      </c>
      <c r="B945">
        <v>12265</v>
      </c>
      <c r="C945" s="173" t="s">
        <v>1262</v>
      </c>
      <c r="D945" s="173" t="s">
        <v>470</v>
      </c>
      <c r="E945">
        <v>3</v>
      </c>
    </row>
    <row r="946" spans="1:5" x14ac:dyDescent="0.25">
      <c r="A946" s="173" t="s">
        <v>468</v>
      </c>
      <c r="B946">
        <v>12265</v>
      </c>
      <c r="C946" s="173" t="s">
        <v>1263</v>
      </c>
      <c r="D946" s="173" t="s">
        <v>470</v>
      </c>
      <c r="E946">
        <v>3</v>
      </c>
    </row>
    <row r="947" spans="1:5" x14ac:dyDescent="0.25">
      <c r="A947" s="173" t="s">
        <v>468</v>
      </c>
      <c r="B947">
        <v>12265</v>
      </c>
      <c r="C947" s="173" t="s">
        <v>1264</v>
      </c>
      <c r="D947" s="173" t="s">
        <v>470</v>
      </c>
      <c r="E947">
        <v>3</v>
      </c>
    </row>
    <row r="948" spans="1:5" x14ac:dyDescent="0.25">
      <c r="A948" s="173" t="s">
        <v>468</v>
      </c>
      <c r="B948">
        <v>12265</v>
      </c>
      <c r="C948" s="173" t="s">
        <v>1265</v>
      </c>
      <c r="D948" s="173" t="s">
        <v>470</v>
      </c>
      <c r="E948">
        <v>3</v>
      </c>
    </row>
    <row r="949" spans="1:5" x14ac:dyDescent="0.25">
      <c r="A949" s="173" t="s">
        <v>468</v>
      </c>
      <c r="B949">
        <v>12265</v>
      </c>
      <c r="C949" s="173" t="s">
        <v>1266</v>
      </c>
      <c r="D949" s="173" t="s">
        <v>470</v>
      </c>
      <c r="E949">
        <v>3</v>
      </c>
    </row>
    <row r="950" spans="1:5" x14ac:dyDescent="0.25">
      <c r="A950" s="173" t="s">
        <v>468</v>
      </c>
      <c r="B950">
        <v>12265</v>
      </c>
      <c r="C950" s="173" t="s">
        <v>1267</v>
      </c>
      <c r="D950" s="173" t="s">
        <v>470</v>
      </c>
      <c r="E950">
        <v>3</v>
      </c>
    </row>
    <row r="951" spans="1:5" x14ac:dyDescent="0.25">
      <c r="A951" s="173" t="s">
        <v>468</v>
      </c>
      <c r="B951">
        <v>12265</v>
      </c>
      <c r="C951" s="173" t="s">
        <v>1268</v>
      </c>
      <c r="D951" s="173" t="s">
        <v>470</v>
      </c>
      <c r="E951">
        <v>3</v>
      </c>
    </row>
    <row r="952" spans="1:5" x14ac:dyDescent="0.25">
      <c r="A952" s="173" t="s">
        <v>468</v>
      </c>
      <c r="B952">
        <v>12265</v>
      </c>
      <c r="C952" s="173" t="s">
        <v>1269</v>
      </c>
      <c r="D952" s="173" t="s">
        <v>470</v>
      </c>
      <c r="E952">
        <v>3</v>
      </c>
    </row>
    <row r="953" spans="1:5" x14ac:dyDescent="0.25">
      <c r="A953" s="173" t="s">
        <v>468</v>
      </c>
      <c r="B953">
        <v>12265</v>
      </c>
      <c r="C953" s="173" t="s">
        <v>1270</v>
      </c>
      <c r="D953" s="173" t="s">
        <v>470</v>
      </c>
      <c r="E953">
        <v>3</v>
      </c>
    </row>
    <row r="954" spans="1:5" x14ac:dyDescent="0.25">
      <c r="A954" s="173" t="s">
        <v>468</v>
      </c>
      <c r="B954">
        <v>12265</v>
      </c>
      <c r="C954" s="173" t="s">
        <v>1271</v>
      </c>
      <c r="D954" s="173" t="s">
        <v>470</v>
      </c>
      <c r="E954">
        <v>3</v>
      </c>
    </row>
    <row r="955" spans="1:5" x14ac:dyDescent="0.25">
      <c r="A955" s="173" t="s">
        <v>468</v>
      </c>
      <c r="B955">
        <v>12265</v>
      </c>
      <c r="C955" s="173" t="s">
        <v>1272</v>
      </c>
      <c r="D955" s="173" t="s">
        <v>470</v>
      </c>
      <c r="E955">
        <v>2</v>
      </c>
    </row>
    <row r="956" spans="1:5" x14ac:dyDescent="0.25">
      <c r="A956" s="173" t="s">
        <v>468</v>
      </c>
      <c r="B956">
        <v>12265</v>
      </c>
      <c r="C956" s="173" t="s">
        <v>1273</v>
      </c>
      <c r="D956" s="173" t="s">
        <v>470</v>
      </c>
      <c r="E956">
        <v>3</v>
      </c>
    </row>
    <row r="957" spans="1:5" x14ac:dyDescent="0.25">
      <c r="A957" s="173" t="s">
        <v>468</v>
      </c>
      <c r="B957">
        <v>12265</v>
      </c>
      <c r="C957" s="173" t="s">
        <v>1274</v>
      </c>
      <c r="D957" s="173" t="s">
        <v>470</v>
      </c>
      <c r="E957">
        <v>3</v>
      </c>
    </row>
    <row r="958" spans="1:5" x14ac:dyDescent="0.25">
      <c r="A958" s="173" t="s">
        <v>468</v>
      </c>
      <c r="B958">
        <v>12265</v>
      </c>
      <c r="C958" s="173" t="s">
        <v>1275</v>
      </c>
      <c r="D958" s="173" t="s">
        <v>470</v>
      </c>
      <c r="E958">
        <v>3</v>
      </c>
    </row>
    <row r="959" spans="1:5" x14ac:dyDescent="0.25">
      <c r="A959" s="173" t="s">
        <v>468</v>
      </c>
      <c r="B959">
        <v>12265</v>
      </c>
      <c r="C959" s="173" t="s">
        <v>1276</v>
      </c>
      <c r="D959" s="173" t="s">
        <v>470</v>
      </c>
      <c r="E959">
        <v>3</v>
      </c>
    </row>
    <row r="960" spans="1:5" x14ac:dyDescent="0.25">
      <c r="A960" s="173" t="s">
        <v>468</v>
      </c>
      <c r="B960">
        <v>12295</v>
      </c>
      <c r="C960" s="173" t="s">
        <v>1277</v>
      </c>
      <c r="D960" s="173" t="s">
        <v>470</v>
      </c>
      <c r="E960">
        <v>5</v>
      </c>
    </row>
    <row r="961" spans="1:5" x14ac:dyDescent="0.25">
      <c r="A961" s="173" t="s">
        <v>468</v>
      </c>
      <c r="B961">
        <v>12295</v>
      </c>
      <c r="C961" s="173" t="s">
        <v>1278</v>
      </c>
      <c r="D961" s="173" t="s">
        <v>470</v>
      </c>
      <c r="E961">
        <v>5</v>
      </c>
    </row>
    <row r="962" spans="1:5" x14ac:dyDescent="0.25">
      <c r="A962" s="173" t="s">
        <v>468</v>
      </c>
      <c r="B962">
        <v>12295</v>
      </c>
      <c r="C962" s="173" t="s">
        <v>1279</v>
      </c>
      <c r="D962" s="173" t="s">
        <v>470</v>
      </c>
      <c r="E962">
        <v>5</v>
      </c>
    </row>
    <row r="963" spans="1:5" x14ac:dyDescent="0.25">
      <c r="A963" s="173" t="s">
        <v>468</v>
      </c>
      <c r="B963">
        <v>12295</v>
      </c>
      <c r="C963" s="173" t="s">
        <v>1280</v>
      </c>
      <c r="D963" s="173" t="s">
        <v>470</v>
      </c>
      <c r="E963">
        <v>5</v>
      </c>
    </row>
    <row r="964" spans="1:5" x14ac:dyDescent="0.25">
      <c r="A964" s="173" t="s">
        <v>468</v>
      </c>
      <c r="B964">
        <v>12295</v>
      </c>
      <c r="C964" s="173" t="s">
        <v>1281</v>
      </c>
      <c r="D964" s="173" t="s">
        <v>470</v>
      </c>
      <c r="E964">
        <v>5</v>
      </c>
    </row>
    <row r="965" spans="1:5" x14ac:dyDescent="0.25">
      <c r="A965" s="173" t="s">
        <v>468</v>
      </c>
      <c r="B965">
        <v>12295</v>
      </c>
      <c r="C965" s="173" t="s">
        <v>1282</v>
      </c>
      <c r="D965" s="173" t="s">
        <v>470</v>
      </c>
      <c r="E965">
        <v>5</v>
      </c>
    </row>
    <row r="966" spans="1:5" x14ac:dyDescent="0.25">
      <c r="A966" s="173" t="s">
        <v>468</v>
      </c>
      <c r="B966">
        <v>12295</v>
      </c>
      <c r="C966" s="173" t="s">
        <v>1283</v>
      </c>
      <c r="D966" s="173" t="s">
        <v>470</v>
      </c>
      <c r="E966">
        <v>5</v>
      </c>
    </row>
    <row r="967" spans="1:5" x14ac:dyDescent="0.25">
      <c r="A967" s="173" t="s">
        <v>468</v>
      </c>
      <c r="B967">
        <v>12295</v>
      </c>
      <c r="C967" s="173" t="s">
        <v>1284</v>
      </c>
      <c r="D967" s="173" t="s">
        <v>470</v>
      </c>
      <c r="E967">
        <v>6</v>
      </c>
    </row>
    <row r="968" spans="1:5" x14ac:dyDescent="0.25">
      <c r="A968" s="173" t="s">
        <v>468</v>
      </c>
      <c r="B968">
        <v>12295</v>
      </c>
      <c r="C968" s="173" t="s">
        <v>1285</v>
      </c>
      <c r="D968" s="173" t="s">
        <v>470</v>
      </c>
      <c r="E968">
        <v>6</v>
      </c>
    </row>
    <row r="969" spans="1:5" x14ac:dyDescent="0.25">
      <c r="A969" s="173" t="s">
        <v>468</v>
      </c>
      <c r="B969">
        <v>12295</v>
      </c>
      <c r="C969" s="173" t="s">
        <v>1286</v>
      </c>
      <c r="D969" s="173" t="s">
        <v>470</v>
      </c>
      <c r="E969">
        <v>6</v>
      </c>
    </row>
    <row r="970" spans="1:5" x14ac:dyDescent="0.25">
      <c r="A970" s="173" t="s">
        <v>468</v>
      </c>
      <c r="B970">
        <v>12295</v>
      </c>
      <c r="C970" s="173" t="s">
        <v>1287</v>
      </c>
      <c r="D970" s="173" t="s">
        <v>470</v>
      </c>
      <c r="E970">
        <v>6</v>
      </c>
    </row>
    <row r="971" spans="1:5" x14ac:dyDescent="0.25">
      <c r="A971" s="173" t="s">
        <v>468</v>
      </c>
      <c r="B971">
        <v>12295</v>
      </c>
      <c r="C971" s="173" t="s">
        <v>1288</v>
      </c>
      <c r="D971" s="173" t="s">
        <v>470</v>
      </c>
      <c r="E971">
        <v>6</v>
      </c>
    </row>
    <row r="972" spans="1:5" x14ac:dyDescent="0.25">
      <c r="A972" s="173" t="s">
        <v>468</v>
      </c>
      <c r="B972">
        <v>12295</v>
      </c>
      <c r="C972" s="173" t="s">
        <v>1289</v>
      </c>
      <c r="D972" s="173" t="s">
        <v>470</v>
      </c>
      <c r="E972">
        <v>5</v>
      </c>
    </row>
    <row r="973" spans="1:5" x14ac:dyDescent="0.25">
      <c r="A973" s="173" t="s">
        <v>468</v>
      </c>
      <c r="B973">
        <v>12295</v>
      </c>
      <c r="C973" s="173" t="s">
        <v>1290</v>
      </c>
      <c r="D973" s="173" t="s">
        <v>470</v>
      </c>
      <c r="E973">
        <v>5</v>
      </c>
    </row>
    <row r="974" spans="1:5" x14ac:dyDescent="0.25">
      <c r="A974" s="173" t="s">
        <v>468</v>
      </c>
      <c r="B974">
        <v>12295</v>
      </c>
      <c r="C974" s="173" t="s">
        <v>1291</v>
      </c>
      <c r="D974" s="173" t="s">
        <v>470</v>
      </c>
      <c r="E974">
        <v>5</v>
      </c>
    </row>
    <row r="975" spans="1:5" x14ac:dyDescent="0.25">
      <c r="A975" s="173" t="s">
        <v>468</v>
      </c>
      <c r="B975">
        <v>12295</v>
      </c>
      <c r="C975" s="173" t="s">
        <v>1292</v>
      </c>
      <c r="D975" s="173" t="s">
        <v>470</v>
      </c>
      <c r="E975">
        <v>7</v>
      </c>
    </row>
    <row r="976" spans="1:5" x14ac:dyDescent="0.25">
      <c r="A976" s="173" t="s">
        <v>468</v>
      </c>
      <c r="B976">
        <v>12295</v>
      </c>
      <c r="C976" s="173" t="s">
        <v>1293</v>
      </c>
      <c r="D976" s="173" t="s">
        <v>470</v>
      </c>
      <c r="E976">
        <v>7</v>
      </c>
    </row>
    <row r="977" spans="1:5" x14ac:dyDescent="0.25">
      <c r="A977" s="173" t="s">
        <v>468</v>
      </c>
      <c r="B977">
        <v>12295</v>
      </c>
      <c r="C977" s="173" t="s">
        <v>1294</v>
      </c>
      <c r="D977" s="173" t="s">
        <v>470</v>
      </c>
      <c r="E977">
        <v>7</v>
      </c>
    </row>
    <row r="978" spans="1:5" x14ac:dyDescent="0.25">
      <c r="A978" s="173" t="s">
        <v>468</v>
      </c>
      <c r="B978">
        <v>12295</v>
      </c>
      <c r="C978" s="173" t="s">
        <v>1295</v>
      </c>
      <c r="D978" s="173" t="s">
        <v>470</v>
      </c>
      <c r="E978">
        <v>6</v>
      </c>
    </row>
    <row r="979" spans="1:5" x14ac:dyDescent="0.25">
      <c r="A979" s="173" t="s">
        <v>468</v>
      </c>
      <c r="B979">
        <v>12295</v>
      </c>
      <c r="C979" s="173" t="s">
        <v>1296</v>
      </c>
      <c r="D979" s="173" t="s">
        <v>470</v>
      </c>
      <c r="E979">
        <v>6</v>
      </c>
    </row>
    <row r="980" spans="1:5" x14ac:dyDescent="0.25">
      <c r="A980" s="173" t="s">
        <v>468</v>
      </c>
      <c r="B980">
        <v>12295</v>
      </c>
      <c r="C980" s="173" t="s">
        <v>1297</v>
      </c>
      <c r="D980" s="173" t="s">
        <v>470</v>
      </c>
      <c r="E980">
        <v>6</v>
      </c>
    </row>
    <row r="981" spans="1:5" x14ac:dyDescent="0.25">
      <c r="A981" s="173" t="s">
        <v>468</v>
      </c>
      <c r="B981">
        <v>12295</v>
      </c>
      <c r="C981" s="173" t="s">
        <v>1298</v>
      </c>
      <c r="D981" s="173" t="s">
        <v>470</v>
      </c>
      <c r="E981">
        <v>7</v>
      </c>
    </row>
    <row r="982" spans="1:5" x14ac:dyDescent="0.25">
      <c r="A982" s="173" t="s">
        <v>468</v>
      </c>
      <c r="B982">
        <v>12295</v>
      </c>
      <c r="C982" s="173" t="s">
        <v>1299</v>
      </c>
      <c r="D982" s="173" t="s">
        <v>470</v>
      </c>
      <c r="E982">
        <v>6</v>
      </c>
    </row>
    <row r="983" spans="1:5" x14ac:dyDescent="0.25">
      <c r="A983" s="173" t="s">
        <v>468</v>
      </c>
      <c r="B983">
        <v>12295</v>
      </c>
      <c r="C983" s="173" t="s">
        <v>436</v>
      </c>
      <c r="D983" s="173" t="s">
        <v>470</v>
      </c>
      <c r="E983">
        <v>7</v>
      </c>
    </row>
    <row r="984" spans="1:5" x14ac:dyDescent="0.25">
      <c r="A984" s="173" t="s">
        <v>468</v>
      </c>
      <c r="B984">
        <v>12295</v>
      </c>
      <c r="C984" s="173" t="s">
        <v>1300</v>
      </c>
      <c r="D984" s="173" t="s">
        <v>470</v>
      </c>
      <c r="E984">
        <v>6</v>
      </c>
    </row>
    <row r="985" spans="1:5" x14ac:dyDescent="0.25">
      <c r="A985" s="173" t="s">
        <v>468</v>
      </c>
      <c r="B985">
        <v>12295</v>
      </c>
      <c r="C985" s="173" t="s">
        <v>1301</v>
      </c>
      <c r="D985" s="173" t="s">
        <v>470</v>
      </c>
      <c r="E985">
        <v>6</v>
      </c>
    </row>
    <row r="986" spans="1:5" x14ac:dyDescent="0.25">
      <c r="A986" s="173" t="s">
        <v>468</v>
      </c>
      <c r="B986">
        <v>12295</v>
      </c>
      <c r="C986" s="173" t="s">
        <v>1302</v>
      </c>
      <c r="D986" s="173" t="s">
        <v>470</v>
      </c>
      <c r="E986">
        <v>7</v>
      </c>
    </row>
    <row r="987" spans="1:5" x14ac:dyDescent="0.25">
      <c r="A987" s="173" t="s">
        <v>468</v>
      </c>
      <c r="B987">
        <v>12295</v>
      </c>
      <c r="C987" s="173" t="s">
        <v>1303</v>
      </c>
      <c r="D987" s="173" t="s">
        <v>470</v>
      </c>
      <c r="E987">
        <v>6</v>
      </c>
    </row>
    <row r="988" spans="1:5" hidden="1" x14ac:dyDescent="0.25">
      <c r="A988" s="173" t="s">
        <v>804</v>
      </c>
      <c r="B988">
        <v>12303</v>
      </c>
      <c r="C988" s="173" t="s">
        <v>1304</v>
      </c>
      <c r="D988" s="173" t="s">
        <v>470</v>
      </c>
      <c r="E988">
        <v>2</v>
      </c>
    </row>
    <row r="989" spans="1:5" hidden="1" x14ac:dyDescent="0.25">
      <c r="A989" s="173" t="s">
        <v>804</v>
      </c>
      <c r="B989">
        <v>12303</v>
      </c>
      <c r="C989" s="173" t="s">
        <v>1305</v>
      </c>
      <c r="D989" s="173" t="s">
        <v>470</v>
      </c>
      <c r="E989">
        <v>2</v>
      </c>
    </row>
    <row r="990" spans="1:5" hidden="1" x14ac:dyDescent="0.25">
      <c r="A990" s="173" t="s">
        <v>804</v>
      </c>
      <c r="B990">
        <v>12303</v>
      </c>
      <c r="C990" s="173" t="s">
        <v>1306</v>
      </c>
      <c r="D990" s="173" t="s">
        <v>470</v>
      </c>
      <c r="E990">
        <v>4</v>
      </c>
    </row>
    <row r="991" spans="1:5" hidden="1" x14ac:dyDescent="0.25">
      <c r="A991" s="173" t="s">
        <v>804</v>
      </c>
      <c r="B991">
        <v>12303</v>
      </c>
      <c r="C991" s="173" t="s">
        <v>1307</v>
      </c>
      <c r="D991" s="173" t="s">
        <v>470</v>
      </c>
      <c r="E991">
        <v>2</v>
      </c>
    </row>
    <row r="992" spans="1:5" hidden="1" x14ac:dyDescent="0.25">
      <c r="A992" s="173" t="s">
        <v>804</v>
      </c>
      <c r="B992">
        <v>12303</v>
      </c>
      <c r="C992" s="173" t="s">
        <v>1308</v>
      </c>
      <c r="D992" s="173" t="s">
        <v>470</v>
      </c>
      <c r="E992">
        <v>2</v>
      </c>
    </row>
    <row r="993" spans="1:5" hidden="1" x14ac:dyDescent="0.25">
      <c r="A993" s="173" t="s">
        <v>804</v>
      </c>
      <c r="B993">
        <v>12303</v>
      </c>
      <c r="C993" s="173" t="s">
        <v>1309</v>
      </c>
      <c r="D993" s="173" t="s">
        <v>470</v>
      </c>
      <c r="E993">
        <v>2</v>
      </c>
    </row>
    <row r="994" spans="1:5" hidden="1" x14ac:dyDescent="0.25">
      <c r="A994" s="173" t="s">
        <v>804</v>
      </c>
      <c r="B994">
        <v>12303</v>
      </c>
      <c r="C994" s="173" t="s">
        <v>1310</v>
      </c>
      <c r="D994" s="173" t="s">
        <v>470</v>
      </c>
      <c r="E994">
        <v>2</v>
      </c>
    </row>
    <row r="995" spans="1:5" hidden="1" x14ac:dyDescent="0.25">
      <c r="A995" s="173" t="s">
        <v>804</v>
      </c>
      <c r="B995">
        <v>12303</v>
      </c>
      <c r="C995" s="173" t="s">
        <v>1311</v>
      </c>
      <c r="D995" s="173" t="s">
        <v>470</v>
      </c>
      <c r="E995">
        <v>2</v>
      </c>
    </row>
    <row r="996" spans="1:5" hidden="1" x14ac:dyDescent="0.25">
      <c r="A996" s="173" t="s">
        <v>804</v>
      </c>
      <c r="B996">
        <v>12303</v>
      </c>
      <c r="C996" s="173" t="s">
        <v>1312</v>
      </c>
      <c r="D996" s="173" t="s">
        <v>470</v>
      </c>
      <c r="E996">
        <v>2</v>
      </c>
    </row>
    <row r="997" spans="1:5" hidden="1" x14ac:dyDescent="0.25">
      <c r="A997" s="173" t="s">
        <v>804</v>
      </c>
      <c r="B997">
        <v>12303</v>
      </c>
      <c r="C997" s="173" t="s">
        <v>1313</v>
      </c>
      <c r="D997" s="173" t="s">
        <v>470</v>
      </c>
      <c r="E997">
        <v>2</v>
      </c>
    </row>
    <row r="998" spans="1:5" hidden="1" x14ac:dyDescent="0.25">
      <c r="A998" s="173" t="s">
        <v>804</v>
      </c>
      <c r="B998">
        <v>12303</v>
      </c>
      <c r="C998" s="173" t="s">
        <v>1314</v>
      </c>
      <c r="D998" s="173" t="s">
        <v>470</v>
      </c>
      <c r="E998">
        <v>2</v>
      </c>
    </row>
    <row r="999" spans="1:5" hidden="1" x14ac:dyDescent="0.25">
      <c r="A999" s="173" t="s">
        <v>804</v>
      </c>
      <c r="B999">
        <v>12303</v>
      </c>
      <c r="C999" s="173" t="s">
        <v>1315</v>
      </c>
      <c r="D999" s="173" t="s">
        <v>470</v>
      </c>
      <c r="E999">
        <v>2</v>
      </c>
    </row>
    <row r="1000" spans="1:5" hidden="1" x14ac:dyDescent="0.25">
      <c r="A1000" s="173" t="s">
        <v>804</v>
      </c>
      <c r="B1000">
        <v>12303</v>
      </c>
      <c r="C1000" s="173" t="s">
        <v>1316</v>
      </c>
      <c r="D1000" s="173" t="s">
        <v>470</v>
      </c>
      <c r="E1000">
        <v>2</v>
      </c>
    </row>
    <row r="1001" spans="1:5" hidden="1" x14ac:dyDescent="0.25">
      <c r="A1001" s="173" t="s">
        <v>804</v>
      </c>
      <c r="B1001">
        <v>12303</v>
      </c>
      <c r="C1001" s="173" t="s">
        <v>1317</v>
      </c>
      <c r="D1001" s="173" t="s">
        <v>470</v>
      </c>
      <c r="E1001">
        <v>4</v>
      </c>
    </row>
    <row r="1002" spans="1:5" hidden="1" x14ac:dyDescent="0.25">
      <c r="A1002" s="173" t="s">
        <v>804</v>
      </c>
      <c r="B1002">
        <v>12303</v>
      </c>
      <c r="C1002" s="173" t="s">
        <v>1318</v>
      </c>
      <c r="D1002" s="173" t="s">
        <v>470</v>
      </c>
      <c r="E1002">
        <v>4</v>
      </c>
    </row>
    <row r="1003" spans="1:5" hidden="1" x14ac:dyDescent="0.25">
      <c r="A1003" s="173" t="s">
        <v>804</v>
      </c>
      <c r="B1003">
        <v>12303</v>
      </c>
      <c r="C1003" s="173" t="s">
        <v>1319</v>
      </c>
      <c r="D1003" s="173" t="s">
        <v>470</v>
      </c>
      <c r="E1003">
        <v>4</v>
      </c>
    </row>
    <row r="1004" spans="1:5" hidden="1" x14ac:dyDescent="0.25">
      <c r="A1004" s="173" t="s">
        <v>804</v>
      </c>
      <c r="B1004">
        <v>12303</v>
      </c>
      <c r="C1004" s="173" t="s">
        <v>1320</v>
      </c>
      <c r="D1004" s="173" t="s">
        <v>470</v>
      </c>
      <c r="E1004">
        <v>4</v>
      </c>
    </row>
    <row r="1005" spans="1:5" hidden="1" x14ac:dyDescent="0.25">
      <c r="A1005" s="173" t="s">
        <v>804</v>
      </c>
      <c r="B1005">
        <v>12303</v>
      </c>
      <c r="C1005" s="173" t="s">
        <v>1321</v>
      </c>
      <c r="D1005" s="173" t="s">
        <v>470</v>
      </c>
      <c r="E1005">
        <v>4</v>
      </c>
    </row>
    <row r="1006" spans="1:5" hidden="1" x14ac:dyDescent="0.25">
      <c r="A1006" s="173" t="s">
        <v>804</v>
      </c>
      <c r="B1006">
        <v>12303</v>
      </c>
      <c r="C1006" s="173" t="s">
        <v>1322</v>
      </c>
      <c r="D1006" s="173" t="s">
        <v>470</v>
      </c>
      <c r="E1006">
        <v>4</v>
      </c>
    </row>
    <row r="1007" spans="1:5" hidden="1" x14ac:dyDescent="0.25">
      <c r="A1007" s="173" t="s">
        <v>804</v>
      </c>
      <c r="B1007">
        <v>12318</v>
      </c>
      <c r="C1007" s="173" t="s">
        <v>1323</v>
      </c>
      <c r="D1007" s="173" t="s">
        <v>470</v>
      </c>
      <c r="E1007">
        <v>2</v>
      </c>
    </row>
    <row r="1008" spans="1:5" hidden="1" x14ac:dyDescent="0.25">
      <c r="A1008" s="173" t="s">
        <v>804</v>
      </c>
      <c r="B1008">
        <v>12318</v>
      </c>
      <c r="C1008" s="173" t="s">
        <v>1324</v>
      </c>
      <c r="D1008" s="173" t="s">
        <v>470</v>
      </c>
      <c r="E1008">
        <v>2</v>
      </c>
    </row>
    <row r="1009" spans="1:5" hidden="1" x14ac:dyDescent="0.25">
      <c r="A1009" s="173" t="s">
        <v>804</v>
      </c>
      <c r="B1009">
        <v>12318</v>
      </c>
      <c r="C1009" s="173" t="s">
        <v>1325</v>
      </c>
      <c r="D1009" s="173" t="s">
        <v>470</v>
      </c>
      <c r="E1009">
        <v>2</v>
      </c>
    </row>
    <row r="1010" spans="1:5" hidden="1" x14ac:dyDescent="0.25">
      <c r="A1010" s="173" t="s">
        <v>804</v>
      </c>
      <c r="B1010">
        <v>12318</v>
      </c>
      <c r="C1010" s="173" t="s">
        <v>1326</v>
      </c>
      <c r="D1010" s="173" t="s">
        <v>470</v>
      </c>
      <c r="E1010">
        <v>2</v>
      </c>
    </row>
    <row r="1011" spans="1:5" hidden="1" x14ac:dyDescent="0.25">
      <c r="A1011" s="173" t="s">
        <v>804</v>
      </c>
      <c r="B1011">
        <v>12318</v>
      </c>
      <c r="C1011" s="173" t="s">
        <v>1327</v>
      </c>
      <c r="D1011" s="173" t="s">
        <v>470</v>
      </c>
      <c r="E1011">
        <v>2</v>
      </c>
    </row>
    <row r="1012" spans="1:5" hidden="1" x14ac:dyDescent="0.25">
      <c r="A1012" s="173" t="s">
        <v>804</v>
      </c>
      <c r="B1012">
        <v>12318</v>
      </c>
      <c r="C1012" s="173" t="s">
        <v>1328</v>
      </c>
      <c r="D1012" s="173" t="s">
        <v>470</v>
      </c>
      <c r="E1012">
        <v>2</v>
      </c>
    </row>
    <row r="1013" spans="1:5" hidden="1" x14ac:dyDescent="0.25">
      <c r="A1013" s="173" t="s">
        <v>804</v>
      </c>
      <c r="B1013">
        <v>12318</v>
      </c>
      <c r="C1013" s="173" t="s">
        <v>1329</v>
      </c>
      <c r="D1013" s="173" t="s">
        <v>470</v>
      </c>
      <c r="E1013">
        <v>6</v>
      </c>
    </row>
    <row r="1014" spans="1:5" hidden="1" x14ac:dyDescent="0.25">
      <c r="A1014" s="173" t="s">
        <v>804</v>
      </c>
      <c r="B1014">
        <v>12318</v>
      </c>
      <c r="C1014" s="173" t="s">
        <v>1330</v>
      </c>
      <c r="D1014" s="173" t="s">
        <v>470</v>
      </c>
      <c r="E1014">
        <v>6</v>
      </c>
    </row>
    <row r="1015" spans="1:5" hidden="1" x14ac:dyDescent="0.25">
      <c r="A1015" s="173" t="s">
        <v>804</v>
      </c>
      <c r="B1015">
        <v>12318</v>
      </c>
      <c r="C1015" s="173" t="s">
        <v>1331</v>
      </c>
      <c r="D1015" s="173" t="s">
        <v>470</v>
      </c>
      <c r="E1015">
        <v>4</v>
      </c>
    </row>
    <row r="1016" spans="1:5" hidden="1" x14ac:dyDescent="0.25">
      <c r="A1016" s="173" t="s">
        <v>804</v>
      </c>
      <c r="B1016">
        <v>12318</v>
      </c>
      <c r="C1016" s="173" t="s">
        <v>1332</v>
      </c>
      <c r="D1016" s="173" t="s">
        <v>470</v>
      </c>
      <c r="E1016">
        <v>6</v>
      </c>
    </row>
    <row r="1017" spans="1:5" hidden="1" x14ac:dyDescent="0.25">
      <c r="A1017" s="173" t="s">
        <v>804</v>
      </c>
      <c r="B1017">
        <v>12318</v>
      </c>
      <c r="C1017" s="173" t="s">
        <v>1333</v>
      </c>
      <c r="D1017" s="173" t="s">
        <v>470</v>
      </c>
      <c r="E1017">
        <v>4</v>
      </c>
    </row>
    <row r="1018" spans="1:5" hidden="1" x14ac:dyDescent="0.25">
      <c r="A1018" s="173" t="s">
        <v>804</v>
      </c>
      <c r="B1018">
        <v>12318</v>
      </c>
      <c r="C1018" s="173" t="s">
        <v>1334</v>
      </c>
      <c r="D1018" s="173" t="s">
        <v>470</v>
      </c>
      <c r="E1018">
        <v>6</v>
      </c>
    </row>
    <row r="1019" spans="1:5" hidden="1" x14ac:dyDescent="0.25">
      <c r="A1019" s="173" t="s">
        <v>804</v>
      </c>
      <c r="B1019">
        <v>12318</v>
      </c>
      <c r="C1019" s="173" t="s">
        <v>1335</v>
      </c>
      <c r="D1019" s="173" t="s">
        <v>470</v>
      </c>
      <c r="E1019">
        <v>4</v>
      </c>
    </row>
    <row r="1020" spans="1:5" hidden="1" x14ac:dyDescent="0.25">
      <c r="A1020" s="173" t="s">
        <v>804</v>
      </c>
      <c r="B1020">
        <v>12318</v>
      </c>
      <c r="C1020" s="173" t="s">
        <v>1336</v>
      </c>
      <c r="D1020" s="173" t="s">
        <v>470</v>
      </c>
      <c r="E1020">
        <v>4</v>
      </c>
    </row>
    <row r="1021" spans="1:5" hidden="1" x14ac:dyDescent="0.25">
      <c r="A1021" s="173" t="s">
        <v>804</v>
      </c>
      <c r="B1021">
        <v>12318</v>
      </c>
      <c r="C1021" s="173" t="s">
        <v>1337</v>
      </c>
      <c r="D1021" s="173" t="s">
        <v>470</v>
      </c>
      <c r="E1021">
        <v>6</v>
      </c>
    </row>
    <row r="1022" spans="1:5" hidden="1" x14ac:dyDescent="0.25">
      <c r="A1022" s="173" t="s">
        <v>804</v>
      </c>
      <c r="B1022">
        <v>12318</v>
      </c>
      <c r="C1022" s="173" t="s">
        <v>1338</v>
      </c>
      <c r="D1022" s="173" t="s">
        <v>470</v>
      </c>
      <c r="E1022">
        <v>6</v>
      </c>
    </row>
    <row r="1023" spans="1:5" hidden="1" x14ac:dyDescent="0.25">
      <c r="A1023" s="173" t="s">
        <v>804</v>
      </c>
      <c r="B1023">
        <v>12318</v>
      </c>
      <c r="C1023" s="173" t="s">
        <v>1339</v>
      </c>
      <c r="D1023" s="173" t="s">
        <v>470</v>
      </c>
      <c r="E1023">
        <v>2</v>
      </c>
    </row>
    <row r="1024" spans="1:5" hidden="1" x14ac:dyDescent="0.25">
      <c r="A1024" s="173" t="s">
        <v>804</v>
      </c>
      <c r="B1024">
        <v>12318</v>
      </c>
      <c r="C1024" s="173" t="s">
        <v>1340</v>
      </c>
      <c r="D1024" s="173" t="s">
        <v>470</v>
      </c>
      <c r="E1024">
        <v>4</v>
      </c>
    </row>
    <row r="1025" spans="1:5" hidden="1" x14ac:dyDescent="0.25">
      <c r="A1025" s="173" t="s">
        <v>804</v>
      </c>
      <c r="B1025">
        <v>12318</v>
      </c>
      <c r="C1025" s="173" t="s">
        <v>1341</v>
      </c>
      <c r="D1025" s="173" t="s">
        <v>470</v>
      </c>
      <c r="E1025">
        <v>4</v>
      </c>
    </row>
    <row r="1026" spans="1:5" hidden="1" x14ac:dyDescent="0.25">
      <c r="A1026" s="173" t="s">
        <v>804</v>
      </c>
      <c r="B1026">
        <v>12318</v>
      </c>
      <c r="C1026" s="173" t="s">
        <v>1342</v>
      </c>
      <c r="D1026" s="173" t="s">
        <v>470</v>
      </c>
      <c r="E1026">
        <v>4</v>
      </c>
    </row>
    <row r="1027" spans="1:5" hidden="1" x14ac:dyDescent="0.25">
      <c r="A1027" s="173" t="s">
        <v>804</v>
      </c>
      <c r="B1027">
        <v>12318</v>
      </c>
      <c r="C1027" s="173" t="s">
        <v>1343</v>
      </c>
      <c r="D1027" s="173" t="s">
        <v>470</v>
      </c>
      <c r="E1027">
        <v>4</v>
      </c>
    </row>
    <row r="1028" spans="1:5" hidden="1" x14ac:dyDescent="0.25">
      <c r="A1028" s="173" t="s">
        <v>804</v>
      </c>
      <c r="B1028">
        <v>12318</v>
      </c>
      <c r="C1028" s="173" t="s">
        <v>1344</v>
      </c>
      <c r="D1028" s="173" t="s">
        <v>470</v>
      </c>
      <c r="E1028">
        <v>4</v>
      </c>
    </row>
    <row r="1029" spans="1:5" hidden="1" x14ac:dyDescent="0.25">
      <c r="A1029" s="173" t="s">
        <v>804</v>
      </c>
      <c r="B1029">
        <v>12318</v>
      </c>
      <c r="C1029" s="173" t="s">
        <v>1345</v>
      </c>
      <c r="D1029" s="173" t="s">
        <v>470</v>
      </c>
      <c r="E1029">
        <v>4</v>
      </c>
    </row>
    <row r="1030" spans="1:5" hidden="1" x14ac:dyDescent="0.25">
      <c r="A1030" s="173" t="s">
        <v>804</v>
      </c>
      <c r="B1030">
        <v>12318</v>
      </c>
      <c r="C1030" s="173" t="s">
        <v>1346</v>
      </c>
      <c r="D1030" s="173" t="s">
        <v>470</v>
      </c>
      <c r="E1030">
        <v>4</v>
      </c>
    </row>
    <row r="1031" spans="1:5" hidden="1" x14ac:dyDescent="0.25">
      <c r="A1031" s="173" t="s">
        <v>804</v>
      </c>
      <c r="B1031">
        <v>12318</v>
      </c>
      <c r="C1031" s="173" t="s">
        <v>1347</v>
      </c>
      <c r="D1031" s="173" t="s">
        <v>470</v>
      </c>
      <c r="E1031">
        <v>4</v>
      </c>
    </row>
    <row r="1032" spans="1:5" hidden="1" x14ac:dyDescent="0.25">
      <c r="A1032" s="173" t="s">
        <v>804</v>
      </c>
      <c r="B1032">
        <v>12318</v>
      </c>
      <c r="C1032" s="173" t="s">
        <v>1348</v>
      </c>
      <c r="D1032" s="173" t="s">
        <v>470</v>
      </c>
      <c r="E1032">
        <v>4</v>
      </c>
    </row>
    <row r="1033" spans="1:5" hidden="1" x14ac:dyDescent="0.25">
      <c r="A1033" s="173" t="s">
        <v>804</v>
      </c>
      <c r="B1033">
        <v>12318</v>
      </c>
      <c r="C1033" s="173" t="s">
        <v>1349</v>
      </c>
      <c r="D1033" s="173" t="s">
        <v>470</v>
      </c>
      <c r="E1033">
        <v>4</v>
      </c>
    </row>
    <row r="1034" spans="1:5" hidden="1" x14ac:dyDescent="0.25">
      <c r="A1034" s="173" t="s">
        <v>804</v>
      </c>
      <c r="B1034">
        <v>12318</v>
      </c>
      <c r="C1034" s="173" t="s">
        <v>1350</v>
      </c>
      <c r="D1034" s="173" t="s">
        <v>470</v>
      </c>
      <c r="E1034">
        <v>4</v>
      </c>
    </row>
    <row r="1035" spans="1:5" hidden="1" x14ac:dyDescent="0.25">
      <c r="A1035" s="173" t="s">
        <v>804</v>
      </c>
      <c r="B1035">
        <v>12318</v>
      </c>
      <c r="C1035" s="173" t="s">
        <v>4762</v>
      </c>
      <c r="D1035" s="173" t="s">
        <v>470</v>
      </c>
      <c r="E1035">
        <v>4</v>
      </c>
    </row>
    <row r="1036" spans="1:5" hidden="1" x14ac:dyDescent="0.25">
      <c r="A1036" s="173" t="s">
        <v>804</v>
      </c>
      <c r="B1036">
        <v>12318</v>
      </c>
      <c r="C1036" s="173" t="s">
        <v>4763</v>
      </c>
      <c r="D1036" s="173" t="s">
        <v>470</v>
      </c>
      <c r="E1036">
        <v>4</v>
      </c>
    </row>
    <row r="1037" spans="1:5" hidden="1" x14ac:dyDescent="0.25">
      <c r="A1037" s="173" t="s">
        <v>804</v>
      </c>
      <c r="B1037">
        <v>12342</v>
      </c>
      <c r="C1037" s="173" t="s">
        <v>1351</v>
      </c>
      <c r="D1037" s="173" t="s">
        <v>470</v>
      </c>
      <c r="E1037">
        <v>2</v>
      </c>
    </row>
    <row r="1038" spans="1:5" hidden="1" x14ac:dyDescent="0.25">
      <c r="A1038" s="173" t="s">
        <v>804</v>
      </c>
      <c r="B1038">
        <v>12342</v>
      </c>
      <c r="C1038" s="173" t="s">
        <v>1352</v>
      </c>
      <c r="D1038" s="173" t="s">
        <v>470</v>
      </c>
      <c r="E1038">
        <v>2</v>
      </c>
    </row>
    <row r="1039" spans="1:5" hidden="1" x14ac:dyDescent="0.25">
      <c r="A1039" s="173" t="s">
        <v>804</v>
      </c>
      <c r="B1039">
        <v>12342</v>
      </c>
      <c r="C1039" s="173" t="s">
        <v>1353</v>
      </c>
      <c r="D1039" s="173" t="s">
        <v>470</v>
      </c>
      <c r="E1039">
        <v>2</v>
      </c>
    </row>
    <row r="1040" spans="1:5" hidden="1" x14ac:dyDescent="0.25">
      <c r="A1040" s="173" t="s">
        <v>804</v>
      </c>
      <c r="B1040">
        <v>12342</v>
      </c>
      <c r="C1040" s="173" t="s">
        <v>1354</v>
      </c>
      <c r="D1040" s="173" t="s">
        <v>470</v>
      </c>
      <c r="E1040">
        <v>2</v>
      </c>
    </row>
    <row r="1041" spans="1:5" hidden="1" x14ac:dyDescent="0.25">
      <c r="A1041" s="173" t="s">
        <v>804</v>
      </c>
      <c r="B1041">
        <v>12342</v>
      </c>
      <c r="C1041" s="173" t="s">
        <v>1355</v>
      </c>
      <c r="D1041" s="173" t="s">
        <v>470</v>
      </c>
      <c r="E1041">
        <v>2</v>
      </c>
    </row>
    <row r="1042" spans="1:5" hidden="1" x14ac:dyDescent="0.25">
      <c r="A1042" s="173" t="s">
        <v>804</v>
      </c>
      <c r="B1042">
        <v>12342</v>
      </c>
      <c r="C1042" s="173" t="s">
        <v>1356</v>
      </c>
      <c r="D1042" s="173" t="s">
        <v>470</v>
      </c>
      <c r="E1042">
        <v>2</v>
      </c>
    </row>
    <row r="1043" spans="1:5" hidden="1" x14ac:dyDescent="0.25">
      <c r="A1043" s="173" t="s">
        <v>804</v>
      </c>
      <c r="B1043">
        <v>12342</v>
      </c>
      <c r="C1043" s="173" t="s">
        <v>1357</v>
      </c>
      <c r="D1043" s="173" t="s">
        <v>470</v>
      </c>
      <c r="E1043">
        <v>6</v>
      </c>
    </row>
    <row r="1044" spans="1:5" hidden="1" x14ac:dyDescent="0.25">
      <c r="A1044" s="173" t="s">
        <v>804</v>
      </c>
      <c r="B1044">
        <v>12342</v>
      </c>
      <c r="C1044" s="173" t="s">
        <v>1358</v>
      </c>
      <c r="D1044" s="173" t="s">
        <v>470</v>
      </c>
      <c r="E1044">
        <v>6</v>
      </c>
    </row>
    <row r="1045" spans="1:5" hidden="1" x14ac:dyDescent="0.25">
      <c r="A1045" s="173" t="s">
        <v>804</v>
      </c>
      <c r="B1045">
        <v>12342</v>
      </c>
      <c r="C1045" s="173" t="s">
        <v>1359</v>
      </c>
      <c r="D1045" s="173" t="s">
        <v>470</v>
      </c>
      <c r="E1045">
        <v>4</v>
      </c>
    </row>
    <row r="1046" spans="1:5" hidden="1" x14ac:dyDescent="0.25">
      <c r="A1046" s="173" t="s">
        <v>804</v>
      </c>
      <c r="B1046">
        <v>12342</v>
      </c>
      <c r="C1046" s="173" t="s">
        <v>1360</v>
      </c>
      <c r="D1046" s="173" t="s">
        <v>470</v>
      </c>
      <c r="E1046">
        <v>6</v>
      </c>
    </row>
    <row r="1047" spans="1:5" hidden="1" x14ac:dyDescent="0.25">
      <c r="A1047" s="173" t="s">
        <v>804</v>
      </c>
      <c r="B1047">
        <v>12342</v>
      </c>
      <c r="C1047" s="173" t="s">
        <v>1361</v>
      </c>
      <c r="D1047" s="173" t="s">
        <v>470</v>
      </c>
      <c r="E1047">
        <v>6</v>
      </c>
    </row>
    <row r="1048" spans="1:5" hidden="1" x14ac:dyDescent="0.25">
      <c r="A1048" s="173" t="s">
        <v>804</v>
      </c>
      <c r="B1048">
        <v>12342</v>
      </c>
      <c r="C1048" s="173" t="s">
        <v>1362</v>
      </c>
      <c r="D1048" s="173" t="s">
        <v>470</v>
      </c>
      <c r="E1048">
        <v>4</v>
      </c>
    </row>
    <row r="1049" spans="1:5" hidden="1" x14ac:dyDescent="0.25">
      <c r="A1049" s="173" t="s">
        <v>804</v>
      </c>
      <c r="B1049">
        <v>12342</v>
      </c>
      <c r="C1049" s="173" t="s">
        <v>1363</v>
      </c>
      <c r="D1049" s="173" t="s">
        <v>470</v>
      </c>
      <c r="E1049">
        <v>6</v>
      </c>
    </row>
    <row r="1050" spans="1:5" hidden="1" x14ac:dyDescent="0.25">
      <c r="A1050" s="173" t="s">
        <v>804</v>
      </c>
      <c r="B1050">
        <v>12342</v>
      </c>
      <c r="C1050" s="173" t="s">
        <v>1364</v>
      </c>
      <c r="D1050" s="173" t="s">
        <v>470</v>
      </c>
      <c r="E1050">
        <v>6</v>
      </c>
    </row>
    <row r="1051" spans="1:5" hidden="1" x14ac:dyDescent="0.25">
      <c r="A1051" s="173" t="s">
        <v>804</v>
      </c>
      <c r="B1051">
        <v>12342</v>
      </c>
      <c r="C1051" s="173" t="s">
        <v>1365</v>
      </c>
      <c r="D1051" s="173" t="s">
        <v>470</v>
      </c>
      <c r="E1051">
        <v>6</v>
      </c>
    </row>
    <row r="1052" spans="1:5" hidden="1" x14ac:dyDescent="0.25">
      <c r="A1052" s="173" t="s">
        <v>804</v>
      </c>
      <c r="B1052">
        <v>12342</v>
      </c>
      <c r="C1052" s="173" t="s">
        <v>1366</v>
      </c>
      <c r="D1052" s="173" t="s">
        <v>470</v>
      </c>
      <c r="E1052">
        <v>4</v>
      </c>
    </row>
    <row r="1053" spans="1:5" hidden="1" x14ac:dyDescent="0.25">
      <c r="A1053" s="173" t="s">
        <v>804</v>
      </c>
      <c r="B1053">
        <v>12342</v>
      </c>
      <c r="C1053" s="173" t="s">
        <v>1367</v>
      </c>
      <c r="D1053" s="173" t="s">
        <v>470</v>
      </c>
      <c r="E1053">
        <v>4</v>
      </c>
    </row>
    <row r="1054" spans="1:5" hidden="1" x14ac:dyDescent="0.25">
      <c r="A1054" s="173" t="s">
        <v>804</v>
      </c>
      <c r="B1054">
        <v>12342</v>
      </c>
      <c r="C1054" s="173" t="s">
        <v>1368</v>
      </c>
      <c r="D1054" s="173" t="s">
        <v>470</v>
      </c>
      <c r="E1054">
        <v>4</v>
      </c>
    </row>
    <row r="1055" spans="1:5" hidden="1" x14ac:dyDescent="0.25">
      <c r="A1055" s="173" t="s">
        <v>804</v>
      </c>
      <c r="B1055">
        <v>12342</v>
      </c>
      <c r="C1055" s="173" t="s">
        <v>1369</v>
      </c>
      <c r="D1055" s="173" t="s">
        <v>470</v>
      </c>
      <c r="E1055">
        <v>4</v>
      </c>
    </row>
    <row r="1056" spans="1:5" hidden="1" x14ac:dyDescent="0.25">
      <c r="A1056" s="173" t="s">
        <v>804</v>
      </c>
      <c r="B1056">
        <v>12342</v>
      </c>
      <c r="C1056" s="173" t="s">
        <v>1370</v>
      </c>
      <c r="D1056" s="173" t="s">
        <v>470</v>
      </c>
      <c r="E1056">
        <v>4</v>
      </c>
    </row>
    <row r="1057" spans="1:5" hidden="1" x14ac:dyDescent="0.25">
      <c r="A1057" s="173" t="s">
        <v>804</v>
      </c>
      <c r="B1057">
        <v>12342</v>
      </c>
      <c r="C1057" s="173" t="s">
        <v>1371</v>
      </c>
      <c r="D1057" s="173" t="s">
        <v>470</v>
      </c>
      <c r="E1057">
        <v>4</v>
      </c>
    </row>
    <row r="1058" spans="1:5" hidden="1" x14ac:dyDescent="0.25">
      <c r="A1058" s="173" t="s">
        <v>804</v>
      </c>
      <c r="B1058">
        <v>12342</v>
      </c>
      <c r="C1058" s="173" t="s">
        <v>1372</v>
      </c>
      <c r="D1058" s="173" t="s">
        <v>470</v>
      </c>
      <c r="E1058">
        <v>4</v>
      </c>
    </row>
    <row r="1059" spans="1:5" hidden="1" x14ac:dyDescent="0.25">
      <c r="A1059" s="173" t="s">
        <v>804</v>
      </c>
      <c r="B1059">
        <v>12342</v>
      </c>
      <c r="C1059" s="173" t="s">
        <v>1373</v>
      </c>
      <c r="D1059" s="173" t="s">
        <v>470</v>
      </c>
      <c r="E1059">
        <v>4</v>
      </c>
    </row>
    <row r="1060" spans="1:5" hidden="1" x14ac:dyDescent="0.25">
      <c r="A1060" s="173" t="s">
        <v>804</v>
      </c>
      <c r="B1060">
        <v>12342</v>
      </c>
      <c r="C1060" s="173" t="s">
        <v>1374</v>
      </c>
      <c r="D1060" s="173" t="s">
        <v>470</v>
      </c>
      <c r="E1060">
        <v>4</v>
      </c>
    </row>
    <row r="1061" spans="1:5" hidden="1" x14ac:dyDescent="0.25">
      <c r="A1061" s="173" t="s">
        <v>804</v>
      </c>
      <c r="B1061">
        <v>12342</v>
      </c>
      <c r="C1061" s="173" t="s">
        <v>4764</v>
      </c>
      <c r="D1061" s="173" t="s">
        <v>470</v>
      </c>
      <c r="E1061">
        <v>4</v>
      </c>
    </row>
    <row r="1062" spans="1:5" hidden="1" x14ac:dyDescent="0.25">
      <c r="A1062" s="173" t="s">
        <v>804</v>
      </c>
      <c r="B1062">
        <v>12342</v>
      </c>
      <c r="C1062" s="173" t="s">
        <v>4765</v>
      </c>
      <c r="D1062" s="173" t="s">
        <v>470</v>
      </c>
      <c r="E1062">
        <v>4</v>
      </c>
    </row>
    <row r="1063" spans="1:5" hidden="1" x14ac:dyDescent="0.25">
      <c r="A1063" s="173" t="s">
        <v>804</v>
      </c>
      <c r="B1063">
        <v>12372</v>
      </c>
      <c r="C1063" s="173" t="s">
        <v>1375</v>
      </c>
      <c r="D1063" s="173" t="s">
        <v>470</v>
      </c>
      <c r="E1063">
        <v>2</v>
      </c>
    </row>
    <row r="1064" spans="1:5" hidden="1" x14ac:dyDescent="0.25">
      <c r="A1064" s="173" t="s">
        <v>804</v>
      </c>
      <c r="B1064">
        <v>12372</v>
      </c>
      <c r="C1064" s="173" t="s">
        <v>1376</v>
      </c>
      <c r="D1064" s="173" t="s">
        <v>470</v>
      </c>
      <c r="E1064">
        <v>2</v>
      </c>
    </row>
    <row r="1065" spans="1:5" hidden="1" x14ac:dyDescent="0.25">
      <c r="A1065" s="173" t="s">
        <v>804</v>
      </c>
      <c r="B1065">
        <v>12372</v>
      </c>
      <c r="C1065" s="173" t="s">
        <v>1377</v>
      </c>
      <c r="D1065" s="173" t="s">
        <v>470</v>
      </c>
      <c r="E1065">
        <v>2</v>
      </c>
    </row>
    <row r="1066" spans="1:5" hidden="1" x14ac:dyDescent="0.25">
      <c r="A1066" s="173" t="s">
        <v>804</v>
      </c>
      <c r="B1066">
        <v>12372</v>
      </c>
      <c r="C1066" s="173" t="s">
        <v>1378</v>
      </c>
      <c r="D1066" s="173" t="s">
        <v>470</v>
      </c>
      <c r="E1066">
        <v>2</v>
      </c>
    </row>
    <row r="1067" spans="1:5" hidden="1" x14ac:dyDescent="0.25">
      <c r="A1067" s="173" t="s">
        <v>804</v>
      </c>
      <c r="B1067">
        <v>12372</v>
      </c>
      <c r="C1067" s="173" t="s">
        <v>1379</v>
      </c>
      <c r="D1067" s="173" t="s">
        <v>470</v>
      </c>
      <c r="E1067">
        <v>2</v>
      </c>
    </row>
    <row r="1068" spans="1:5" hidden="1" x14ac:dyDescent="0.25">
      <c r="A1068" s="173" t="s">
        <v>804</v>
      </c>
      <c r="B1068">
        <v>12372</v>
      </c>
      <c r="C1068" s="173" t="s">
        <v>1380</v>
      </c>
      <c r="D1068" s="173" t="s">
        <v>470</v>
      </c>
      <c r="E1068">
        <v>2</v>
      </c>
    </row>
    <row r="1069" spans="1:5" hidden="1" x14ac:dyDescent="0.25">
      <c r="A1069" s="173" t="s">
        <v>804</v>
      </c>
      <c r="B1069">
        <v>12372</v>
      </c>
      <c r="C1069" s="173" t="s">
        <v>1381</v>
      </c>
      <c r="D1069" s="173" t="s">
        <v>470</v>
      </c>
      <c r="E1069">
        <v>2</v>
      </c>
    </row>
    <row r="1070" spans="1:5" hidden="1" x14ac:dyDescent="0.25">
      <c r="A1070" s="173" t="s">
        <v>804</v>
      </c>
      <c r="B1070">
        <v>12372</v>
      </c>
      <c r="C1070" s="173" t="s">
        <v>1382</v>
      </c>
      <c r="D1070" s="173" t="s">
        <v>470</v>
      </c>
      <c r="E1070">
        <v>2</v>
      </c>
    </row>
    <row r="1071" spans="1:5" hidden="1" x14ac:dyDescent="0.25">
      <c r="A1071" s="173" t="s">
        <v>804</v>
      </c>
      <c r="B1071">
        <v>12372</v>
      </c>
      <c r="C1071" s="173" t="s">
        <v>1383</v>
      </c>
      <c r="D1071" s="173" t="s">
        <v>470</v>
      </c>
      <c r="E1071">
        <v>2</v>
      </c>
    </row>
    <row r="1072" spans="1:5" hidden="1" x14ac:dyDescent="0.25">
      <c r="A1072" s="173" t="s">
        <v>804</v>
      </c>
      <c r="B1072">
        <v>12372</v>
      </c>
      <c r="C1072" s="173" t="s">
        <v>1384</v>
      </c>
      <c r="D1072" s="173" t="s">
        <v>470</v>
      </c>
      <c r="E1072">
        <v>4</v>
      </c>
    </row>
    <row r="1073" spans="1:5" hidden="1" x14ac:dyDescent="0.25">
      <c r="A1073" s="173" t="s">
        <v>804</v>
      </c>
      <c r="B1073">
        <v>12372</v>
      </c>
      <c r="C1073" s="173" t="s">
        <v>1385</v>
      </c>
      <c r="D1073" s="173" t="s">
        <v>470</v>
      </c>
      <c r="E1073">
        <v>4</v>
      </c>
    </row>
    <row r="1074" spans="1:5" hidden="1" x14ac:dyDescent="0.25">
      <c r="A1074" s="173" t="s">
        <v>804</v>
      </c>
      <c r="B1074">
        <v>12372</v>
      </c>
      <c r="C1074" s="173" t="s">
        <v>1386</v>
      </c>
      <c r="D1074" s="173" t="s">
        <v>470</v>
      </c>
      <c r="E1074">
        <v>4</v>
      </c>
    </row>
    <row r="1075" spans="1:5" hidden="1" x14ac:dyDescent="0.25">
      <c r="A1075" s="173" t="s">
        <v>804</v>
      </c>
      <c r="B1075">
        <v>12372</v>
      </c>
      <c r="C1075" s="173" t="s">
        <v>1387</v>
      </c>
      <c r="D1075" s="173" t="s">
        <v>470</v>
      </c>
      <c r="E1075">
        <v>4</v>
      </c>
    </row>
    <row r="1076" spans="1:5" hidden="1" x14ac:dyDescent="0.25">
      <c r="A1076" s="173" t="s">
        <v>804</v>
      </c>
      <c r="B1076">
        <v>12372</v>
      </c>
      <c r="C1076" s="173" t="s">
        <v>1388</v>
      </c>
      <c r="D1076" s="173" t="s">
        <v>470</v>
      </c>
      <c r="E1076">
        <v>4</v>
      </c>
    </row>
    <row r="1077" spans="1:5" x14ac:dyDescent="0.25">
      <c r="A1077" s="173" t="s">
        <v>468</v>
      </c>
      <c r="B1077">
        <v>12393</v>
      </c>
      <c r="C1077" s="173" t="s">
        <v>1389</v>
      </c>
      <c r="D1077" s="173" t="s">
        <v>470</v>
      </c>
      <c r="E1077">
        <v>1</v>
      </c>
    </row>
    <row r="1078" spans="1:5" x14ac:dyDescent="0.25">
      <c r="A1078" s="173" t="s">
        <v>468</v>
      </c>
      <c r="B1078">
        <v>12393</v>
      </c>
      <c r="C1078" s="173" t="s">
        <v>1390</v>
      </c>
      <c r="D1078" s="173" t="s">
        <v>470</v>
      </c>
      <c r="E1078">
        <v>1</v>
      </c>
    </row>
    <row r="1079" spans="1:5" x14ac:dyDescent="0.25">
      <c r="A1079" s="173" t="s">
        <v>468</v>
      </c>
      <c r="B1079">
        <v>12393</v>
      </c>
      <c r="C1079" s="173" t="s">
        <v>1391</v>
      </c>
      <c r="D1079" s="173" t="s">
        <v>470</v>
      </c>
      <c r="E1079">
        <v>1</v>
      </c>
    </row>
    <row r="1080" spans="1:5" x14ac:dyDescent="0.25">
      <c r="A1080" s="173" t="s">
        <v>468</v>
      </c>
      <c r="B1080">
        <v>12393</v>
      </c>
      <c r="C1080" s="173" t="s">
        <v>1392</v>
      </c>
      <c r="D1080" s="173" t="s">
        <v>470</v>
      </c>
      <c r="E1080">
        <v>1</v>
      </c>
    </row>
    <row r="1081" spans="1:5" x14ac:dyDescent="0.25">
      <c r="A1081" s="173" t="s">
        <v>468</v>
      </c>
      <c r="B1081">
        <v>12393</v>
      </c>
      <c r="C1081" s="173" t="s">
        <v>1393</v>
      </c>
      <c r="D1081" s="173" t="s">
        <v>470</v>
      </c>
      <c r="E1081">
        <v>1</v>
      </c>
    </row>
    <row r="1082" spans="1:5" x14ac:dyDescent="0.25">
      <c r="A1082" s="173" t="s">
        <v>468</v>
      </c>
      <c r="B1082">
        <v>12393</v>
      </c>
      <c r="C1082" s="173" t="s">
        <v>1394</v>
      </c>
      <c r="D1082" s="173" t="s">
        <v>470</v>
      </c>
      <c r="E1082">
        <v>1</v>
      </c>
    </row>
    <row r="1083" spans="1:5" x14ac:dyDescent="0.25">
      <c r="A1083" s="173" t="s">
        <v>468</v>
      </c>
      <c r="B1083">
        <v>12393</v>
      </c>
      <c r="C1083" s="173" t="s">
        <v>1395</v>
      </c>
      <c r="D1083" s="173" t="s">
        <v>470</v>
      </c>
      <c r="E1083">
        <v>1</v>
      </c>
    </row>
    <row r="1084" spans="1:5" x14ac:dyDescent="0.25">
      <c r="A1084" s="173" t="s">
        <v>468</v>
      </c>
      <c r="B1084">
        <v>12393</v>
      </c>
      <c r="C1084" s="173" t="s">
        <v>1396</v>
      </c>
      <c r="D1084" s="173" t="s">
        <v>470</v>
      </c>
      <c r="E1084">
        <v>1</v>
      </c>
    </row>
    <row r="1085" spans="1:5" x14ac:dyDescent="0.25">
      <c r="A1085" s="173" t="s">
        <v>468</v>
      </c>
      <c r="B1085">
        <v>12393</v>
      </c>
      <c r="C1085" s="173" t="s">
        <v>1397</v>
      </c>
      <c r="D1085" s="173" t="s">
        <v>470</v>
      </c>
      <c r="E1085">
        <v>1</v>
      </c>
    </row>
    <row r="1086" spans="1:5" x14ac:dyDescent="0.25">
      <c r="A1086" s="173" t="s">
        <v>468</v>
      </c>
      <c r="B1086">
        <v>12393</v>
      </c>
      <c r="C1086" s="173" t="s">
        <v>1398</v>
      </c>
      <c r="D1086" s="173" t="s">
        <v>470</v>
      </c>
      <c r="E1086">
        <v>1</v>
      </c>
    </row>
    <row r="1087" spans="1:5" x14ac:dyDescent="0.25">
      <c r="A1087" s="173" t="s">
        <v>468</v>
      </c>
      <c r="B1087">
        <v>12393</v>
      </c>
      <c r="C1087" s="173" t="s">
        <v>1399</v>
      </c>
      <c r="D1087" s="173" t="s">
        <v>470</v>
      </c>
      <c r="E1087">
        <v>1</v>
      </c>
    </row>
    <row r="1088" spans="1:5" x14ac:dyDescent="0.25">
      <c r="A1088" s="173" t="s">
        <v>468</v>
      </c>
      <c r="B1088">
        <v>12393</v>
      </c>
      <c r="C1088" s="173" t="s">
        <v>1400</v>
      </c>
      <c r="D1088" s="173" t="s">
        <v>470</v>
      </c>
      <c r="E1088">
        <v>1</v>
      </c>
    </row>
    <row r="1089" spans="1:5" x14ac:dyDescent="0.25">
      <c r="A1089" s="173" t="s">
        <v>468</v>
      </c>
      <c r="B1089">
        <v>12393</v>
      </c>
      <c r="C1089" s="173" t="s">
        <v>1401</v>
      </c>
      <c r="D1089" s="173" t="s">
        <v>470</v>
      </c>
      <c r="E1089">
        <v>1</v>
      </c>
    </row>
    <row r="1090" spans="1:5" hidden="1" x14ac:dyDescent="0.25">
      <c r="A1090" s="173" t="s">
        <v>804</v>
      </c>
      <c r="B1090">
        <v>12414</v>
      </c>
      <c r="C1090" s="173" t="s">
        <v>1402</v>
      </c>
      <c r="D1090" s="173" t="s">
        <v>470</v>
      </c>
      <c r="E1090">
        <v>1</v>
      </c>
    </row>
    <row r="1091" spans="1:5" hidden="1" x14ac:dyDescent="0.25">
      <c r="A1091" s="173" t="s">
        <v>804</v>
      </c>
      <c r="B1091">
        <v>12414</v>
      </c>
      <c r="C1091" s="173" t="s">
        <v>1403</v>
      </c>
      <c r="D1091" s="173" t="s">
        <v>470</v>
      </c>
      <c r="E1091">
        <v>1</v>
      </c>
    </row>
    <row r="1092" spans="1:5" hidden="1" x14ac:dyDescent="0.25">
      <c r="A1092" s="173" t="s">
        <v>804</v>
      </c>
      <c r="B1092">
        <v>12414</v>
      </c>
      <c r="C1092" s="173" t="s">
        <v>1404</v>
      </c>
      <c r="D1092" s="173" t="s">
        <v>470</v>
      </c>
      <c r="E1092">
        <v>1</v>
      </c>
    </row>
    <row r="1093" spans="1:5" hidden="1" x14ac:dyDescent="0.25">
      <c r="A1093" s="173" t="s">
        <v>804</v>
      </c>
      <c r="B1093">
        <v>12414</v>
      </c>
      <c r="C1093" s="173" t="s">
        <v>1405</v>
      </c>
      <c r="D1093" s="173" t="s">
        <v>470</v>
      </c>
      <c r="E1093">
        <v>1</v>
      </c>
    </row>
    <row r="1094" spans="1:5" hidden="1" x14ac:dyDescent="0.25">
      <c r="A1094" s="173" t="s">
        <v>804</v>
      </c>
      <c r="B1094">
        <v>12414</v>
      </c>
      <c r="C1094" s="173" t="s">
        <v>1406</v>
      </c>
      <c r="D1094" s="173" t="s">
        <v>470</v>
      </c>
      <c r="E1094">
        <v>1</v>
      </c>
    </row>
    <row r="1095" spans="1:5" hidden="1" x14ac:dyDescent="0.25">
      <c r="A1095" s="173" t="s">
        <v>804</v>
      </c>
      <c r="B1095">
        <v>12414</v>
      </c>
      <c r="C1095" s="173" t="s">
        <v>1407</v>
      </c>
      <c r="D1095" s="173" t="s">
        <v>470</v>
      </c>
      <c r="E1095">
        <v>1</v>
      </c>
    </row>
    <row r="1096" spans="1:5" hidden="1" x14ac:dyDescent="0.25">
      <c r="A1096" s="173" t="s">
        <v>804</v>
      </c>
      <c r="B1096">
        <v>12414</v>
      </c>
      <c r="C1096" s="173" t="s">
        <v>1408</v>
      </c>
      <c r="D1096" s="173" t="s">
        <v>470</v>
      </c>
      <c r="E1096">
        <v>1</v>
      </c>
    </row>
    <row r="1097" spans="1:5" hidden="1" x14ac:dyDescent="0.25">
      <c r="A1097" s="173" t="s">
        <v>804</v>
      </c>
      <c r="B1097">
        <v>12414</v>
      </c>
      <c r="C1097" s="173" t="s">
        <v>1409</v>
      </c>
      <c r="D1097" s="173" t="s">
        <v>470</v>
      </c>
      <c r="E1097">
        <v>1</v>
      </c>
    </row>
    <row r="1098" spans="1:5" hidden="1" x14ac:dyDescent="0.25">
      <c r="A1098" s="173" t="s">
        <v>804</v>
      </c>
      <c r="B1098">
        <v>12414</v>
      </c>
      <c r="C1098" s="173" t="s">
        <v>1410</v>
      </c>
      <c r="D1098" s="173" t="s">
        <v>470</v>
      </c>
      <c r="E1098">
        <v>1</v>
      </c>
    </row>
    <row r="1099" spans="1:5" hidden="1" x14ac:dyDescent="0.25">
      <c r="A1099" s="173" t="s">
        <v>514</v>
      </c>
      <c r="B1099">
        <v>12425</v>
      </c>
      <c r="C1099" s="173" t="s">
        <v>3583</v>
      </c>
      <c r="D1099" s="173" t="s">
        <v>470</v>
      </c>
      <c r="E1099">
        <v>2</v>
      </c>
    </row>
    <row r="1100" spans="1:5" hidden="1" x14ac:dyDescent="0.25">
      <c r="A1100" s="173" t="s">
        <v>514</v>
      </c>
      <c r="B1100">
        <v>12425</v>
      </c>
      <c r="C1100" s="173" t="s">
        <v>3584</v>
      </c>
      <c r="D1100" s="173" t="s">
        <v>470</v>
      </c>
      <c r="E1100">
        <v>2</v>
      </c>
    </row>
    <row r="1101" spans="1:5" hidden="1" x14ac:dyDescent="0.25">
      <c r="A1101" s="173" t="s">
        <v>514</v>
      </c>
      <c r="B1101">
        <v>12425</v>
      </c>
      <c r="C1101" s="173" t="s">
        <v>3585</v>
      </c>
      <c r="D1101" s="173" t="s">
        <v>470</v>
      </c>
      <c r="E1101">
        <v>2</v>
      </c>
    </row>
    <row r="1102" spans="1:5" hidden="1" x14ac:dyDescent="0.25">
      <c r="A1102" s="173" t="s">
        <v>514</v>
      </c>
      <c r="B1102">
        <v>12425</v>
      </c>
      <c r="C1102" s="173" t="s">
        <v>3586</v>
      </c>
      <c r="D1102" s="173" t="s">
        <v>470</v>
      </c>
      <c r="E1102">
        <v>3</v>
      </c>
    </row>
    <row r="1103" spans="1:5" hidden="1" x14ac:dyDescent="0.25">
      <c r="A1103" s="173" t="s">
        <v>514</v>
      </c>
      <c r="B1103">
        <v>12425</v>
      </c>
      <c r="C1103" s="173" t="s">
        <v>3587</v>
      </c>
      <c r="D1103" s="173" t="s">
        <v>470</v>
      </c>
      <c r="E1103">
        <v>2</v>
      </c>
    </row>
    <row r="1104" spans="1:5" hidden="1" x14ac:dyDescent="0.25">
      <c r="A1104" s="173" t="s">
        <v>514</v>
      </c>
      <c r="B1104">
        <v>12425</v>
      </c>
      <c r="C1104" s="173" t="s">
        <v>3588</v>
      </c>
      <c r="D1104" s="173" t="s">
        <v>470</v>
      </c>
      <c r="E1104">
        <v>2</v>
      </c>
    </row>
    <row r="1105" spans="1:5" hidden="1" x14ac:dyDescent="0.25">
      <c r="A1105" s="173" t="s">
        <v>514</v>
      </c>
      <c r="B1105">
        <v>12425</v>
      </c>
      <c r="C1105" s="173" t="s">
        <v>3589</v>
      </c>
      <c r="D1105" s="173" t="s">
        <v>470</v>
      </c>
      <c r="E1105">
        <v>3</v>
      </c>
    </row>
    <row r="1106" spans="1:5" hidden="1" x14ac:dyDescent="0.25">
      <c r="A1106" s="173" t="s">
        <v>514</v>
      </c>
      <c r="B1106">
        <v>12425</v>
      </c>
      <c r="C1106" s="173" t="s">
        <v>3590</v>
      </c>
      <c r="D1106" s="173" t="s">
        <v>470</v>
      </c>
      <c r="E1106">
        <v>3</v>
      </c>
    </row>
    <row r="1107" spans="1:5" hidden="1" x14ac:dyDescent="0.25">
      <c r="A1107" s="173" t="s">
        <v>514</v>
      </c>
      <c r="B1107">
        <v>12425</v>
      </c>
      <c r="C1107" s="173" t="s">
        <v>3591</v>
      </c>
      <c r="D1107" s="173" t="s">
        <v>470</v>
      </c>
      <c r="E1107">
        <v>3</v>
      </c>
    </row>
    <row r="1108" spans="1:5" hidden="1" x14ac:dyDescent="0.25">
      <c r="A1108" s="173" t="s">
        <v>514</v>
      </c>
      <c r="B1108">
        <v>12425</v>
      </c>
      <c r="C1108" s="173" t="s">
        <v>3592</v>
      </c>
      <c r="D1108" s="173" t="s">
        <v>470</v>
      </c>
      <c r="E1108">
        <v>2</v>
      </c>
    </row>
    <row r="1109" spans="1:5" hidden="1" x14ac:dyDescent="0.25">
      <c r="A1109" s="173" t="s">
        <v>514</v>
      </c>
      <c r="B1109">
        <v>12425</v>
      </c>
      <c r="C1109" s="173" t="s">
        <v>3593</v>
      </c>
      <c r="D1109" s="173" t="s">
        <v>470</v>
      </c>
      <c r="E1109">
        <v>2</v>
      </c>
    </row>
    <row r="1110" spans="1:5" hidden="1" x14ac:dyDescent="0.25">
      <c r="A1110" s="173" t="s">
        <v>514</v>
      </c>
      <c r="B1110">
        <v>12425</v>
      </c>
      <c r="C1110" s="173" t="s">
        <v>3594</v>
      </c>
      <c r="D1110" s="173" t="s">
        <v>470</v>
      </c>
      <c r="E1110">
        <v>2</v>
      </c>
    </row>
    <row r="1111" spans="1:5" hidden="1" x14ac:dyDescent="0.25">
      <c r="A1111" s="173" t="s">
        <v>514</v>
      </c>
      <c r="B1111">
        <v>12425</v>
      </c>
      <c r="C1111" s="173" t="s">
        <v>3595</v>
      </c>
      <c r="D1111" s="173" t="s">
        <v>470</v>
      </c>
      <c r="E1111">
        <v>3</v>
      </c>
    </row>
    <row r="1112" spans="1:5" hidden="1" x14ac:dyDescent="0.25">
      <c r="A1112" s="173" t="s">
        <v>514</v>
      </c>
      <c r="B1112">
        <v>12425</v>
      </c>
      <c r="C1112" s="173" t="s">
        <v>3596</v>
      </c>
      <c r="D1112" s="173" t="s">
        <v>517</v>
      </c>
      <c r="E1112">
        <v>1</v>
      </c>
    </row>
    <row r="1113" spans="1:5" hidden="1" x14ac:dyDescent="0.25">
      <c r="A1113" s="173" t="s">
        <v>514</v>
      </c>
      <c r="B1113">
        <v>12425</v>
      </c>
      <c r="C1113" s="173" t="s">
        <v>3596</v>
      </c>
      <c r="D1113" s="173" t="s">
        <v>470</v>
      </c>
      <c r="E1113">
        <v>1</v>
      </c>
    </row>
    <row r="1114" spans="1:5" hidden="1" x14ac:dyDescent="0.25">
      <c r="A1114" s="173" t="s">
        <v>514</v>
      </c>
      <c r="B1114">
        <v>12425</v>
      </c>
      <c r="C1114" s="173" t="s">
        <v>3597</v>
      </c>
      <c r="D1114" s="173" t="s">
        <v>517</v>
      </c>
      <c r="E1114">
        <v>1</v>
      </c>
    </row>
    <row r="1115" spans="1:5" hidden="1" x14ac:dyDescent="0.25">
      <c r="A1115" s="173" t="s">
        <v>514</v>
      </c>
      <c r="B1115">
        <v>12425</v>
      </c>
      <c r="C1115" s="173" t="s">
        <v>3597</v>
      </c>
      <c r="D1115" s="173" t="s">
        <v>470</v>
      </c>
      <c r="E1115">
        <v>1</v>
      </c>
    </row>
    <row r="1116" spans="1:5" hidden="1" x14ac:dyDescent="0.25">
      <c r="A1116" s="173" t="s">
        <v>804</v>
      </c>
      <c r="B1116">
        <v>12430</v>
      </c>
      <c r="C1116" s="173" t="s">
        <v>3598</v>
      </c>
      <c r="D1116" s="173" t="s">
        <v>470</v>
      </c>
      <c r="E1116">
        <v>2</v>
      </c>
    </row>
    <row r="1117" spans="1:5" hidden="1" x14ac:dyDescent="0.25">
      <c r="A1117" s="173" t="s">
        <v>804</v>
      </c>
      <c r="B1117">
        <v>12430</v>
      </c>
      <c r="C1117" s="173" t="s">
        <v>3599</v>
      </c>
      <c r="D1117" s="173" t="s">
        <v>470</v>
      </c>
      <c r="E1117">
        <v>2</v>
      </c>
    </row>
    <row r="1118" spans="1:5" hidden="1" x14ac:dyDescent="0.25">
      <c r="A1118" s="173" t="s">
        <v>804</v>
      </c>
      <c r="B1118">
        <v>12430</v>
      </c>
      <c r="C1118" s="173" t="s">
        <v>3600</v>
      </c>
      <c r="D1118" s="173" t="s">
        <v>470</v>
      </c>
      <c r="E1118">
        <v>2</v>
      </c>
    </row>
    <row r="1119" spans="1:5" hidden="1" x14ac:dyDescent="0.25">
      <c r="A1119" s="173" t="s">
        <v>804</v>
      </c>
      <c r="B1119">
        <v>12430</v>
      </c>
      <c r="C1119" s="173" t="s">
        <v>3601</v>
      </c>
      <c r="D1119" s="173" t="s">
        <v>470</v>
      </c>
      <c r="E1119">
        <v>2</v>
      </c>
    </row>
    <row r="1120" spans="1:5" hidden="1" x14ac:dyDescent="0.25">
      <c r="A1120" s="173" t="s">
        <v>804</v>
      </c>
      <c r="B1120">
        <v>12430</v>
      </c>
      <c r="C1120" s="173" t="s">
        <v>3602</v>
      </c>
      <c r="D1120" s="173" t="s">
        <v>470</v>
      </c>
      <c r="E1120">
        <v>2</v>
      </c>
    </row>
    <row r="1121" spans="1:5" hidden="1" x14ac:dyDescent="0.25">
      <c r="A1121" s="173" t="s">
        <v>804</v>
      </c>
      <c r="B1121">
        <v>12430</v>
      </c>
      <c r="C1121" s="173" t="s">
        <v>3603</v>
      </c>
      <c r="D1121" s="173" t="s">
        <v>470</v>
      </c>
      <c r="E1121">
        <v>2</v>
      </c>
    </row>
    <row r="1122" spans="1:5" hidden="1" x14ac:dyDescent="0.25">
      <c r="A1122" s="173" t="s">
        <v>804</v>
      </c>
      <c r="B1122">
        <v>12430</v>
      </c>
      <c r="C1122" s="173" t="s">
        <v>3604</v>
      </c>
      <c r="D1122" s="173" t="s">
        <v>470</v>
      </c>
      <c r="E1122">
        <v>2</v>
      </c>
    </row>
    <row r="1123" spans="1:5" hidden="1" x14ac:dyDescent="0.25">
      <c r="A1123" s="173" t="s">
        <v>804</v>
      </c>
      <c r="B1123">
        <v>12430</v>
      </c>
      <c r="C1123" s="173" t="s">
        <v>3605</v>
      </c>
      <c r="D1123" s="173" t="s">
        <v>470</v>
      </c>
      <c r="E1123">
        <v>2</v>
      </c>
    </row>
    <row r="1124" spans="1:5" hidden="1" x14ac:dyDescent="0.25">
      <c r="A1124" s="173" t="s">
        <v>804</v>
      </c>
      <c r="B1124">
        <v>12430</v>
      </c>
      <c r="C1124" s="173" t="s">
        <v>3606</v>
      </c>
      <c r="D1124" s="173" t="s">
        <v>470</v>
      </c>
      <c r="E1124">
        <v>2</v>
      </c>
    </row>
    <row r="1125" spans="1:5" hidden="1" x14ac:dyDescent="0.25">
      <c r="A1125" s="173" t="s">
        <v>804</v>
      </c>
      <c r="B1125">
        <v>12430</v>
      </c>
      <c r="C1125" s="173" t="s">
        <v>3607</v>
      </c>
      <c r="D1125" s="173" t="s">
        <v>470</v>
      </c>
      <c r="E1125">
        <v>2</v>
      </c>
    </row>
    <row r="1126" spans="1:5" hidden="1" x14ac:dyDescent="0.25">
      <c r="A1126" s="173" t="s">
        <v>804</v>
      </c>
      <c r="B1126">
        <v>12430</v>
      </c>
      <c r="C1126" s="173" t="s">
        <v>3608</v>
      </c>
      <c r="D1126" s="173" t="s">
        <v>470</v>
      </c>
      <c r="E1126">
        <v>2</v>
      </c>
    </row>
    <row r="1127" spans="1:5" hidden="1" x14ac:dyDescent="0.25">
      <c r="A1127" s="173" t="s">
        <v>804</v>
      </c>
      <c r="B1127">
        <v>12430</v>
      </c>
      <c r="C1127" s="173" t="s">
        <v>3609</v>
      </c>
      <c r="D1127" s="173" t="s">
        <v>470</v>
      </c>
      <c r="E1127">
        <v>2</v>
      </c>
    </row>
    <row r="1128" spans="1:5" hidden="1" x14ac:dyDescent="0.25">
      <c r="A1128" s="173" t="s">
        <v>804</v>
      </c>
      <c r="B1128">
        <v>12430</v>
      </c>
      <c r="C1128" s="173" t="s">
        <v>3610</v>
      </c>
      <c r="D1128" s="173" t="s">
        <v>470</v>
      </c>
      <c r="E1128">
        <v>2</v>
      </c>
    </row>
    <row r="1129" spans="1:5" hidden="1" x14ac:dyDescent="0.25">
      <c r="A1129" s="173" t="s">
        <v>804</v>
      </c>
      <c r="B1129">
        <v>12431</v>
      </c>
      <c r="C1129" s="173" t="s">
        <v>1411</v>
      </c>
      <c r="D1129" s="173" t="s">
        <v>470</v>
      </c>
      <c r="E1129">
        <v>2</v>
      </c>
    </row>
    <row r="1130" spans="1:5" hidden="1" x14ac:dyDescent="0.25">
      <c r="A1130" s="173" t="s">
        <v>804</v>
      </c>
      <c r="B1130">
        <v>12431</v>
      </c>
      <c r="C1130" s="173" t="s">
        <v>1412</v>
      </c>
      <c r="D1130" s="173" t="s">
        <v>470</v>
      </c>
      <c r="E1130">
        <v>2</v>
      </c>
    </row>
    <row r="1131" spans="1:5" hidden="1" x14ac:dyDescent="0.25">
      <c r="A1131" s="173" t="s">
        <v>804</v>
      </c>
      <c r="B1131">
        <v>12431</v>
      </c>
      <c r="C1131" s="173" t="s">
        <v>1413</v>
      </c>
      <c r="D1131" s="173" t="s">
        <v>470</v>
      </c>
      <c r="E1131">
        <v>2</v>
      </c>
    </row>
    <row r="1132" spans="1:5" hidden="1" x14ac:dyDescent="0.25">
      <c r="A1132" s="173" t="s">
        <v>804</v>
      </c>
      <c r="B1132">
        <v>12431</v>
      </c>
      <c r="C1132" s="173" t="s">
        <v>1414</v>
      </c>
      <c r="D1132" s="173" t="s">
        <v>470</v>
      </c>
      <c r="E1132">
        <v>2</v>
      </c>
    </row>
    <row r="1133" spans="1:5" hidden="1" x14ac:dyDescent="0.25">
      <c r="A1133" s="173" t="s">
        <v>804</v>
      </c>
      <c r="B1133">
        <v>12431</v>
      </c>
      <c r="C1133" s="173" t="s">
        <v>1415</v>
      </c>
      <c r="D1133" s="173" t="s">
        <v>470</v>
      </c>
      <c r="E1133">
        <v>2</v>
      </c>
    </row>
    <row r="1134" spans="1:5" hidden="1" x14ac:dyDescent="0.25">
      <c r="A1134" s="173" t="s">
        <v>804</v>
      </c>
      <c r="B1134">
        <v>12431</v>
      </c>
      <c r="C1134" s="173" t="s">
        <v>1416</v>
      </c>
      <c r="D1134" s="173" t="s">
        <v>470</v>
      </c>
      <c r="E1134">
        <v>2</v>
      </c>
    </row>
    <row r="1135" spans="1:5" hidden="1" x14ac:dyDescent="0.25">
      <c r="A1135" s="173" t="s">
        <v>804</v>
      </c>
      <c r="B1135">
        <v>12431</v>
      </c>
      <c r="C1135" s="173" t="s">
        <v>1417</v>
      </c>
      <c r="D1135" s="173" t="s">
        <v>470</v>
      </c>
      <c r="E1135">
        <v>2</v>
      </c>
    </row>
    <row r="1136" spans="1:5" hidden="1" x14ac:dyDescent="0.25">
      <c r="A1136" s="173" t="s">
        <v>804</v>
      </c>
      <c r="B1136">
        <v>12431</v>
      </c>
      <c r="C1136" s="173" t="s">
        <v>1418</v>
      </c>
      <c r="D1136" s="173" t="s">
        <v>470</v>
      </c>
      <c r="E1136">
        <v>2</v>
      </c>
    </row>
    <row r="1137" spans="1:5" hidden="1" x14ac:dyDescent="0.25">
      <c r="A1137" s="173" t="s">
        <v>804</v>
      </c>
      <c r="B1137">
        <v>12431</v>
      </c>
      <c r="C1137" s="173" t="s">
        <v>1419</v>
      </c>
      <c r="D1137" s="173" t="s">
        <v>470</v>
      </c>
      <c r="E1137">
        <v>2</v>
      </c>
    </row>
    <row r="1138" spans="1:5" hidden="1" x14ac:dyDescent="0.25">
      <c r="A1138" s="173" t="s">
        <v>804</v>
      </c>
      <c r="B1138">
        <v>12431</v>
      </c>
      <c r="C1138" s="173" t="s">
        <v>1420</v>
      </c>
      <c r="D1138" s="173" t="s">
        <v>470</v>
      </c>
      <c r="E1138">
        <v>2</v>
      </c>
    </row>
    <row r="1139" spans="1:5" hidden="1" x14ac:dyDescent="0.25">
      <c r="A1139" s="173" t="s">
        <v>804</v>
      </c>
      <c r="B1139">
        <v>12431</v>
      </c>
      <c r="C1139" s="173" t="s">
        <v>1421</v>
      </c>
      <c r="D1139" s="173" t="s">
        <v>470</v>
      </c>
      <c r="E1139">
        <v>2</v>
      </c>
    </row>
    <row r="1140" spans="1:5" x14ac:dyDescent="0.25">
      <c r="A1140" s="173" t="s">
        <v>468</v>
      </c>
      <c r="B1140">
        <v>12432</v>
      </c>
      <c r="C1140" s="173" t="s">
        <v>989</v>
      </c>
      <c r="D1140" s="173" t="s">
        <v>470</v>
      </c>
      <c r="E1140">
        <v>3</v>
      </c>
    </row>
    <row r="1141" spans="1:5" x14ac:dyDescent="0.25">
      <c r="A1141" s="173" t="s">
        <v>468</v>
      </c>
      <c r="B1141">
        <v>12432</v>
      </c>
      <c r="C1141" s="173" t="s">
        <v>990</v>
      </c>
      <c r="D1141" s="173" t="s">
        <v>470</v>
      </c>
      <c r="E1141">
        <v>3</v>
      </c>
    </row>
    <row r="1142" spans="1:5" x14ac:dyDescent="0.25">
      <c r="A1142" s="173" t="s">
        <v>468</v>
      </c>
      <c r="B1142">
        <v>12432</v>
      </c>
      <c r="C1142" s="173" t="s">
        <v>991</v>
      </c>
      <c r="D1142" s="173" t="s">
        <v>470</v>
      </c>
      <c r="E1142">
        <v>3</v>
      </c>
    </row>
    <row r="1143" spans="1:5" x14ac:dyDescent="0.25">
      <c r="A1143" s="173" t="s">
        <v>468</v>
      </c>
      <c r="B1143">
        <v>12432</v>
      </c>
      <c r="C1143" s="173" t="s">
        <v>992</v>
      </c>
      <c r="D1143" s="173" t="s">
        <v>470</v>
      </c>
      <c r="E1143">
        <v>3</v>
      </c>
    </row>
    <row r="1144" spans="1:5" x14ac:dyDescent="0.25">
      <c r="A1144" s="173" t="s">
        <v>468</v>
      </c>
      <c r="B1144">
        <v>12432</v>
      </c>
      <c r="C1144" s="173" t="s">
        <v>993</v>
      </c>
      <c r="D1144" s="173" t="s">
        <v>470</v>
      </c>
      <c r="E1144">
        <v>3</v>
      </c>
    </row>
    <row r="1145" spans="1:5" x14ac:dyDescent="0.25">
      <c r="A1145" s="173" t="s">
        <v>468</v>
      </c>
      <c r="B1145">
        <v>12432</v>
      </c>
      <c r="C1145" s="173" t="s">
        <v>994</v>
      </c>
      <c r="D1145" s="173" t="s">
        <v>470</v>
      </c>
      <c r="E1145">
        <v>2</v>
      </c>
    </row>
    <row r="1146" spans="1:5" x14ac:dyDescent="0.25">
      <c r="A1146" s="173" t="s">
        <v>468</v>
      </c>
      <c r="B1146">
        <v>12432</v>
      </c>
      <c r="C1146" s="173" t="s">
        <v>1422</v>
      </c>
      <c r="D1146" s="173" t="s">
        <v>470</v>
      </c>
      <c r="E1146">
        <v>3</v>
      </c>
    </row>
    <row r="1147" spans="1:5" x14ac:dyDescent="0.25">
      <c r="A1147" s="173" t="s">
        <v>468</v>
      </c>
      <c r="B1147">
        <v>12432</v>
      </c>
      <c r="C1147" s="173" t="s">
        <v>1423</v>
      </c>
      <c r="D1147" s="173" t="s">
        <v>470</v>
      </c>
      <c r="E1147">
        <v>3</v>
      </c>
    </row>
    <row r="1148" spans="1:5" x14ac:dyDescent="0.25">
      <c r="A1148" s="173" t="s">
        <v>468</v>
      </c>
      <c r="B1148">
        <v>12432</v>
      </c>
      <c r="C1148" s="173" t="s">
        <v>1424</v>
      </c>
      <c r="D1148" s="173" t="s">
        <v>470</v>
      </c>
      <c r="E1148">
        <v>2</v>
      </c>
    </row>
    <row r="1149" spans="1:5" x14ac:dyDescent="0.25">
      <c r="A1149" s="173" t="s">
        <v>468</v>
      </c>
      <c r="B1149">
        <v>12432</v>
      </c>
      <c r="C1149" s="173" t="s">
        <v>1425</v>
      </c>
      <c r="D1149" s="173" t="s">
        <v>470</v>
      </c>
      <c r="E1149">
        <v>5</v>
      </c>
    </row>
    <row r="1150" spans="1:5" x14ac:dyDescent="0.25">
      <c r="A1150" s="173" t="s">
        <v>468</v>
      </c>
      <c r="B1150">
        <v>12432</v>
      </c>
      <c r="C1150" s="173" t="s">
        <v>1426</v>
      </c>
      <c r="D1150" s="173" t="s">
        <v>470</v>
      </c>
      <c r="E1150">
        <v>4</v>
      </c>
    </row>
    <row r="1151" spans="1:5" x14ac:dyDescent="0.25">
      <c r="A1151" s="173" t="s">
        <v>468</v>
      </c>
      <c r="B1151">
        <v>12432</v>
      </c>
      <c r="C1151" s="173" t="s">
        <v>1427</v>
      </c>
      <c r="D1151" s="173" t="s">
        <v>470</v>
      </c>
      <c r="E1151">
        <v>3</v>
      </c>
    </row>
    <row r="1152" spans="1:5" x14ac:dyDescent="0.25">
      <c r="A1152" s="173" t="s">
        <v>468</v>
      </c>
      <c r="B1152">
        <v>12432</v>
      </c>
      <c r="C1152" s="173" t="s">
        <v>1428</v>
      </c>
      <c r="D1152" s="173" t="s">
        <v>470</v>
      </c>
      <c r="E1152">
        <v>4</v>
      </c>
    </row>
    <row r="1153" spans="1:5" x14ac:dyDescent="0.25">
      <c r="A1153" s="173" t="s">
        <v>468</v>
      </c>
      <c r="B1153">
        <v>12432</v>
      </c>
      <c r="C1153" s="173" t="s">
        <v>1429</v>
      </c>
      <c r="D1153" s="173" t="s">
        <v>470</v>
      </c>
      <c r="E1153">
        <v>4</v>
      </c>
    </row>
    <row r="1154" spans="1:5" x14ac:dyDescent="0.25">
      <c r="A1154" s="173" t="s">
        <v>468</v>
      </c>
      <c r="B1154">
        <v>12432</v>
      </c>
      <c r="C1154" s="173" t="s">
        <v>1430</v>
      </c>
      <c r="D1154" s="173" t="s">
        <v>470</v>
      </c>
      <c r="E1154">
        <v>3</v>
      </c>
    </row>
    <row r="1155" spans="1:5" x14ac:dyDescent="0.25">
      <c r="A1155" s="173" t="s">
        <v>468</v>
      </c>
      <c r="B1155">
        <v>12432</v>
      </c>
      <c r="C1155" s="173" t="s">
        <v>1431</v>
      </c>
      <c r="D1155" s="173" t="s">
        <v>470</v>
      </c>
      <c r="E1155">
        <v>1</v>
      </c>
    </row>
    <row r="1156" spans="1:5" x14ac:dyDescent="0.25">
      <c r="A1156" s="173" t="s">
        <v>468</v>
      </c>
      <c r="B1156">
        <v>12432</v>
      </c>
      <c r="C1156" s="173" t="s">
        <v>1432</v>
      </c>
      <c r="D1156" s="173" t="s">
        <v>470</v>
      </c>
      <c r="E1156">
        <v>3</v>
      </c>
    </row>
    <row r="1157" spans="1:5" x14ac:dyDescent="0.25">
      <c r="A1157" s="173" t="s">
        <v>468</v>
      </c>
      <c r="B1157">
        <v>12432</v>
      </c>
      <c r="C1157" s="173" t="s">
        <v>1433</v>
      </c>
      <c r="D1157" s="173" t="s">
        <v>470</v>
      </c>
      <c r="E1157">
        <v>3</v>
      </c>
    </row>
    <row r="1158" spans="1:5" x14ac:dyDescent="0.25">
      <c r="A1158" s="173" t="s">
        <v>468</v>
      </c>
      <c r="B1158">
        <v>12432</v>
      </c>
      <c r="C1158" s="173" t="s">
        <v>1434</v>
      </c>
      <c r="D1158" s="173" t="s">
        <v>470</v>
      </c>
      <c r="E1158">
        <v>3</v>
      </c>
    </row>
    <row r="1159" spans="1:5" x14ac:dyDescent="0.25">
      <c r="A1159" s="173" t="s">
        <v>468</v>
      </c>
      <c r="B1159">
        <v>12432</v>
      </c>
      <c r="C1159" s="173" t="s">
        <v>1435</v>
      </c>
      <c r="D1159" s="173" t="s">
        <v>470</v>
      </c>
      <c r="E1159">
        <v>2</v>
      </c>
    </row>
    <row r="1160" spans="1:5" x14ac:dyDescent="0.25">
      <c r="A1160" s="173" t="s">
        <v>468</v>
      </c>
      <c r="B1160">
        <v>12432</v>
      </c>
      <c r="C1160" s="173" t="s">
        <v>1436</v>
      </c>
      <c r="D1160" s="173" t="s">
        <v>470</v>
      </c>
      <c r="E1160">
        <v>2</v>
      </c>
    </row>
    <row r="1161" spans="1:5" x14ac:dyDescent="0.25">
      <c r="A1161" s="173" t="s">
        <v>468</v>
      </c>
      <c r="B1161">
        <v>12432</v>
      </c>
      <c r="C1161" s="173" t="s">
        <v>1437</v>
      </c>
      <c r="D1161" s="173" t="s">
        <v>470</v>
      </c>
      <c r="E1161">
        <v>2</v>
      </c>
    </row>
    <row r="1162" spans="1:5" x14ac:dyDescent="0.25">
      <c r="A1162" s="173" t="s">
        <v>468</v>
      </c>
      <c r="B1162">
        <v>12432</v>
      </c>
      <c r="C1162" s="173" t="s">
        <v>1438</v>
      </c>
      <c r="D1162" s="173" t="s">
        <v>470</v>
      </c>
      <c r="E1162">
        <v>2</v>
      </c>
    </row>
    <row r="1163" spans="1:5" x14ac:dyDescent="0.25">
      <c r="A1163" s="173" t="s">
        <v>468</v>
      </c>
      <c r="B1163">
        <v>12432</v>
      </c>
      <c r="C1163" s="173" t="s">
        <v>1439</v>
      </c>
      <c r="D1163" s="173" t="s">
        <v>470</v>
      </c>
      <c r="E1163">
        <v>2</v>
      </c>
    </row>
    <row r="1164" spans="1:5" x14ac:dyDescent="0.25">
      <c r="A1164" s="173" t="s">
        <v>468</v>
      </c>
      <c r="B1164">
        <v>12432</v>
      </c>
      <c r="C1164" s="173" t="s">
        <v>3611</v>
      </c>
      <c r="D1164" s="173" t="s">
        <v>470</v>
      </c>
      <c r="E1164">
        <v>4</v>
      </c>
    </row>
    <row r="1165" spans="1:5" x14ac:dyDescent="0.25">
      <c r="A1165" s="173" t="s">
        <v>468</v>
      </c>
      <c r="B1165">
        <v>12432</v>
      </c>
      <c r="C1165" s="173" t="s">
        <v>3612</v>
      </c>
      <c r="D1165" s="173" t="s">
        <v>470</v>
      </c>
      <c r="E1165">
        <v>3</v>
      </c>
    </row>
    <row r="1166" spans="1:5" x14ac:dyDescent="0.25">
      <c r="A1166" s="173" t="s">
        <v>468</v>
      </c>
      <c r="B1166">
        <v>12432</v>
      </c>
      <c r="C1166" s="173" t="s">
        <v>3613</v>
      </c>
      <c r="D1166" s="173" t="s">
        <v>470</v>
      </c>
      <c r="E1166">
        <v>4</v>
      </c>
    </row>
    <row r="1167" spans="1:5" x14ac:dyDescent="0.25">
      <c r="A1167" s="173" t="s">
        <v>468</v>
      </c>
      <c r="B1167">
        <v>12438</v>
      </c>
      <c r="C1167" s="173" t="s">
        <v>1440</v>
      </c>
      <c r="D1167" s="173" t="s">
        <v>470</v>
      </c>
      <c r="E1167">
        <v>1</v>
      </c>
    </row>
    <row r="1168" spans="1:5" x14ac:dyDescent="0.25">
      <c r="A1168" s="173" t="s">
        <v>468</v>
      </c>
      <c r="B1168">
        <v>12438</v>
      </c>
      <c r="C1168" s="173" t="s">
        <v>1441</v>
      </c>
      <c r="D1168" s="173" t="s">
        <v>470</v>
      </c>
      <c r="E1168">
        <v>2</v>
      </c>
    </row>
    <row r="1169" spans="1:5" x14ac:dyDescent="0.25">
      <c r="A1169" s="173" t="s">
        <v>468</v>
      </c>
      <c r="B1169">
        <v>12438</v>
      </c>
      <c r="C1169" s="173" t="s">
        <v>1442</v>
      </c>
      <c r="D1169" s="173" t="s">
        <v>470</v>
      </c>
      <c r="E1169">
        <v>1</v>
      </c>
    </row>
    <row r="1170" spans="1:5" x14ac:dyDescent="0.25">
      <c r="A1170" s="173" t="s">
        <v>468</v>
      </c>
      <c r="B1170">
        <v>12438</v>
      </c>
      <c r="C1170" s="173" t="s">
        <v>1443</v>
      </c>
      <c r="D1170" s="173" t="s">
        <v>470</v>
      </c>
      <c r="E1170">
        <v>1</v>
      </c>
    </row>
    <row r="1171" spans="1:5" x14ac:dyDescent="0.25">
      <c r="A1171" s="173" t="s">
        <v>468</v>
      </c>
      <c r="B1171">
        <v>12438</v>
      </c>
      <c r="C1171" s="173" t="s">
        <v>1444</v>
      </c>
      <c r="D1171" s="173" t="s">
        <v>470</v>
      </c>
      <c r="E1171">
        <v>1</v>
      </c>
    </row>
    <row r="1172" spans="1:5" x14ac:dyDescent="0.25">
      <c r="A1172" s="173" t="s">
        <v>468</v>
      </c>
      <c r="B1172">
        <v>12438</v>
      </c>
      <c r="C1172" s="173" t="s">
        <v>1445</v>
      </c>
      <c r="D1172" s="173" t="s">
        <v>470</v>
      </c>
      <c r="E1172">
        <v>1</v>
      </c>
    </row>
    <row r="1173" spans="1:5" x14ac:dyDescent="0.25">
      <c r="A1173" s="173" t="s">
        <v>468</v>
      </c>
      <c r="B1173">
        <v>12438</v>
      </c>
      <c r="C1173" s="173" t="s">
        <v>1446</v>
      </c>
      <c r="D1173" s="173" t="s">
        <v>470</v>
      </c>
      <c r="E1173">
        <v>1</v>
      </c>
    </row>
    <row r="1174" spans="1:5" x14ac:dyDescent="0.25">
      <c r="A1174" s="173" t="s">
        <v>468</v>
      </c>
      <c r="B1174">
        <v>12438</v>
      </c>
      <c r="C1174" s="173" t="s">
        <v>1447</v>
      </c>
      <c r="D1174" s="173" t="s">
        <v>470</v>
      </c>
      <c r="E1174">
        <v>1</v>
      </c>
    </row>
    <row r="1175" spans="1:5" x14ac:dyDescent="0.25">
      <c r="A1175" s="173" t="s">
        <v>468</v>
      </c>
      <c r="B1175">
        <v>12438</v>
      </c>
      <c r="C1175" s="173" t="s">
        <v>1448</v>
      </c>
      <c r="D1175" s="173" t="s">
        <v>470</v>
      </c>
      <c r="E1175">
        <v>1</v>
      </c>
    </row>
    <row r="1176" spans="1:5" x14ac:dyDescent="0.25">
      <c r="A1176" s="173" t="s">
        <v>468</v>
      </c>
      <c r="B1176">
        <v>12438</v>
      </c>
      <c r="C1176" s="173" t="s">
        <v>1449</v>
      </c>
      <c r="D1176" s="173" t="s">
        <v>470</v>
      </c>
      <c r="E1176">
        <v>1</v>
      </c>
    </row>
    <row r="1177" spans="1:5" x14ac:dyDescent="0.25">
      <c r="A1177" s="173" t="s">
        <v>468</v>
      </c>
      <c r="B1177">
        <v>12438</v>
      </c>
      <c r="C1177" s="173" t="s">
        <v>1450</v>
      </c>
      <c r="D1177" s="173" t="s">
        <v>470</v>
      </c>
      <c r="E1177">
        <v>1</v>
      </c>
    </row>
    <row r="1178" spans="1:5" x14ac:dyDescent="0.25">
      <c r="A1178" s="173" t="s">
        <v>468</v>
      </c>
      <c r="B1178">
        <v>12438</v>
      </c>
      <c r="C1178" s="173" t="s">
        <v>1451</v>
      </c>
      <c r="D1178" s="173" t="s">
        <v>470</v>
      </c>
      <c r="E1178">
        <v>1</v>
      </c>
    </row>
    <row r="1179" spans="1:5" x14ac:dyDescent="0.25">
      <c r="A1179" s="173" t="s">
        <v>468</v>
      </c>
      <c r="B1179">
        <v>12438</v>
      </c>
      <c r="C1179" s="173" t="s">
        <v>1452</v>
      </c>
      <c r="D1179" s="173" t="s">
        <v>470</v>
      </c>
      <c r="E1179">
        <v>1</v>
      </c>
    </row>
    <row r="1180" spans="1:5" x14ac:dyDescent="0.25">
      <c r="A1180" s="173" t="s">
        <v>468</v>
      </c>
      <c r="B1180">
        <v>12438</v>
      </c>
      <c r="C1180" s="173" t="s">
        <v>1453</v>
      </c>
      <c r="D1180" s="173" t="s">
        <v>470</v>
      </c>
      <c r="E1180">
        <v>1</v>
      </c>
    </row>
    <row r="1181" spans="1:5" x14ac:dyDescent="0.25">
      <c r="A1181" s="173" t="s">
        <v>468</v>
      </c>
      <c r="B1181">
        <v>12438</v>
      </c>
      <c r="C1181" s="173" t="s">
        <v>1454</v>
      </c>
      <c r="D1181" s="173" t="s">
        <v>470</v>
      </c>
      <c r="E1181">
        <v>1</v>
      </c>
    </row>
    <row r="1182" spans="1:5" x14ac:dyDescent="0.25">
      <c r="A1182" s="173" t="s">
        <v>468</v>
      </c>
      <c r="B1182">
        <v>12438</v>
      </c>
      <c r="C1182" s="173" t="s">
        <v>1455</v>
      </c>
      <c r="D1182" s="173" t="s">
        <v>470</v>
      </c>
      <c r="E1182">
        <v>1</v>
      </c>
    </row>
    <row r="1183" spans="1:5" x14ac:dyDescent="0.25">
      <c r="A1183" s="173" t="s">
        <v>468</v>
      </c>
      <c r="B1183">
        <v>12438</v>
      </c>
      <c r="C1183" s="173" t="s">
        <v>1456</v>
      </c>
      <c r="D1183" s="173" t="s">
        <v>470</v>
      </c>
      <c r="E1183">
        <v>1</v>
      </c>
    </row>
    <row r="1184" spans="1:5" x14ac:dyDescent="0.25">
      <c r="A1184" s="173" t="s">
        <v>468</v>
      </c>
      <c r="B1184">
        <v>12438</v>
      </c>
      <c r="C1184" s="173" t="s">
        <v>374</v>
      </c>
      <c r="D1184" s="173" t="s">
        <v>470</v>
      </c>
      <c r="E1184">
        <v>1</v>
      </c>
    </row>
    <row r="1185" spans="1:5" x14ac:dyDescent="0.25">
      <c r="A1185" s="173" t="s">
        <v>468</v>
      </c>
      <c r="B1185">
        <v>12438</v>
      </c>
      <c r="C1185" s="173" t="s">
        <v>1457</v>
      </c>
      <c r="D1185" s="173" t="s">
        <v>470</v>
      </c>
      <c r="E1185">
        <v>1</v>
      </c>
    </row>
    <row r="1186" spans="1:5" x14ac:dyDescent="0.25">
      <c r="A1186" s="173" t="s">
        <v>468</v>
      </c>
      <c r="B1186">
        <v>12438</v>
      </c>
      <c r="C1186" s="173" t="s">
        <v>1458</v>
      </c>
      <c r="D1186" s="173" t="s">
        <v>470</v>
      </c>
      <c r="E1186">
        <v>1</v>
      </c>
    </row>
    <row r="1187" spans="1:5" x14ac:dyDescent="0.25">
      <c r="A1187" s="173" t="s">
        <v>468</v>
      </c>
      <c r="B1187">
        <v>12438</v>
      </c>
      <c r="C1187" s="173" t="s">
        <v>1459</v>
      </c>
      <c r="D1187" s="173" t="s">
        <v>470</v>
      </c>
      <c r="E1187">
        <v>1</v>
      </c>
    </row>
    <row r="1188" spans="1:5" x14ac:dyDescent="0.25">
      <c r="A1188" s="173" t="s">
        <v>468</v>
      </c>
      <c r="B1188">
        <v>12438</v>
      </c>
      <c r="C1188" s="173" t="s">
        <v>1460</v>
      </c>
      <c r="D1188" s="173" t="s">
        <v>470</v>
      </c>
      <c r="E1188">
        <v>1</v>
      </c>
    </row>
    <row r="1189" spans="1:5" x14ac:dyDescent="0.25">
      <c r="A1189" s="173" t="s">
        <v>468</v>
      </c>
      <c r="B1189">
        <v>12438</v>
      </c>
      <c r="C1189" s="173" t="s">
        <v>1461</v>
      </c>
      <c r="D1189" s="173" t="s">
        <v>470</v>
      </c>
      <c r="E1189">
        <v>1</v>
      </c>
    </row>
    <row r="1190" spans="1:5" x14ac:dyDescent="0.25">
      <c r="A1190" s="173" t="s">
        <v>468</v>
      </c>
      <c r="B1190">
        <v>12438</v>
      </c>
      <c r="C1190" s="173" t="s">
        <v>1462</v>
      </c>
      <c r="D1190" s="173" t="s">
        <v>470</v>
      </c>
      <c r="E1190">
        <v>1</v>
      </c>
    </row>
    <row r="1191" spans="1:5" x14ac:dyDescent="0.25">
      <c r="A1191" s="173" t="s">
        <v>468</v>
      </c>
      <c r="B1191">
        <v>12438</v>
      </c>
      <c r="C1191" s="173" t="s">
        <v>1463</v>
      </c>
      <c r="D1191" s="173" t="s">
        <v>470</v>
      </c>
      <c r="E1191">
        <v>1</v>
      </c>
    </row>
    <row r="1192" spans="1:5" x14ac:dyDescent="0.25">
      <c r="A1192" s="173" t="s">
        <v>468</v>
      </c>
      <c r="B1192">
        <v>12438</v>
      </c>
      <c r="C1192" s="173" t="s">
        <v>1464</v>
      </c>
      <c r="D1192" s="173" t="s">
        <v>470</v>
      </c>
      <c r="E1192">
        <v>1</v>
      </c>
    </row>
    <row r="1193" spans="1:5" x14ac:dyDescent="0.25">
      <c r="A1193" s="173" t="s">
        <v>468</v>
      </c>
      <c r="B1193">
        <v>12438</v>
      </c>
      <c r="C1193" s="173" t="s">
        <v>3508</v>
      </c>
      <c r="D1193" s="173" t="s">
        <v>470</v>
      </c>
      <c r="E1193">
        <v>2</v>
      </c>
    </row>
    <row r="1194" spans="1:5" x14ac:dyDescent="0.25">
      <c r="A1194" s="173" t="s">
        <v>468</v>
      </c>
      <c r="B1194">
        <v>12438</v>
      </c>
      <c r="C1194" s="173" t="s">
        <v>3509</v>
      </c>
      <c r="D1194" s="173" t="s">
        <v>470</v>
      </c>
      <c r="E1194">
        <v>2</v>
      </c>
    </row>
    <row r="1195" spans="1:5" x14ac:dyDescent="0.25">
      <c r="A1195" s="173" t="s">
        <v>468</v>
      </c>
      <c r="B1195">
        <v>12438</v>
      </c>
      <c r="C1195" s="173" t="s">
        <v>3510</v>
      </c>
      <c r="D1195" s="173" t="s">
        <v>470</v>
      </c>
      <c r="E1195">
        <v>2</v>
      </c>
    </row>
    <row r="1196" spans="1:5" x14ac:dyDescent="0.25">
      <c r="A1196" s="173" t="s">
        <v>468</v>
      </c>
      <c r="B1196">
        <v>12438</v>
      </c>
      <c r="C1196" s="173" t="s">
        <v>3511</v>
      </c>
      <c r="D1196" s="173" t="s">
        <v>470</v>
      </c>
      <c r="E1196">
        <v>3</v>
      </c>
    </row>
    <row r="1197" spans="1:5" x14ac:dyDescent="0.25">
      <c r="A1197" s="173" t="s">
        <v>468</v>
      </c>
      <c r="B1197">
        <v>12439</v>
      </c>
      <c r="C1197" s="173" t="s">
        <v>3614</v>
      </c>
      <c r="D1197" s="173" t="s">
        <v>470</v>
      </c>
      <c r="E1197">
        <v>2</v>
      </c>
    </row>
    <row r="1198" spans="1:5" x14ac:dyDescent="0.25">
      <c r="A1198" s="173" t="s">
        <v>468</v>
      </c>
      <c r="B1198">
        <v>12439</v>
      </c>
      <c r="C1198" s="173" t="s">
        <v>3615</v>
      </c>
      <c r="D1198" s="173" t="s">
        <v>470</v>
      </c>
      <c r="E1198">
        <v>2</v>
      </c>
    </row>
    <row r="1199" spans="1:5" x14ac:dyDescent="0.25">
      <c r="A1199" s="173" t="s">
        <v>468</v>
      </c>
      <c r="B1199">
        <v>12439</v>
      </c>
      <c r="C1199" s="173" t="s">
        <v>3616</v>
      </c>
      <c r="D1199" s="173" t="s">
        <v>470</v>
      </c>
      <c r="E1199">
        <v>2</v>
      </c>
    </row>
    <row r="1200" spans="1:5" x14ac:dyDescent="0.25">
      <c r="A1200" s="173" t="s">
        <v>468</v>
      </c>
      <c r="B1200">
        <v>12439</v>
      </c>
      <c r="C1200" s="173" t="s">
        <v>3617</v>
      </c>
      <c r="D1200" s="173" t="s">
        <v>470</v>
      </c>
      <c r="E1200">
        <v>2</v>
      </c>
    </row>
    <row r="1201" spans="1:5" x14ac:dyDescent="0.25">
      <c r="A1201" s="173" t="s">
        <v>468</v>
      </c>
      <c r="B1201">
        <v>12439</v>
      </c>
      <c r="C1201" s="173" t="s">
        <v>3618</v>
      </c>
      <c r="D1201" s="173" t="s">
        <v>470</v>
      </c>
      <c r="E1201">
        <v>2</v>
      </c>
    </row>
    <row r="1202" spans="1:5" x14ac:dyDescent="0.25">
      <c r="A1202" s="173" t="s">
        <v>468</v>
      </c>
      <c r="B1202">
        <v>12442</v>
      </c>
      <c r="C1202" s="173" t="s">
        <v>1465</v>
      </c>
      <c r="D1202" s="173" t="s">
        <v>470</v>
      </c>
      <c r="E1202">
        <v>3</v>
      </c>
    </row>
    <row r="1203" spans="1:5" x14ac:dyDescent="0.25">
      <c r="A1203" s="173" t="s">
        <v>468</v>
      </c>
      <c r="B1203">
        <v>12442</v>
      </c>
      <c r="C1203" s="173" t="s">
        <v>1466</v>
      </c>
      <c r="D1203" s="173" t="s">
        <v>470</v>
      </c>
      <c r="E1203">
        <v>3</v>
      </c>
    </row>
    <row r="1204" spans="1:5" x14ac:dyDescent="0.25">
      <c r="A1204" s="173" t="s">
        <v>468</v>
      </c>
      <c r="B1204">
        <v>12442</v>
      </c>
      <c r="C1204" s="173" t="s">
        <v>1467</v>
      </c>
      <c r="D1204" s="173" t="s">
        <v>470</v>
      </c>
      <c r="E1204">
        <v>3</v>
      </c>
    </row>
    <row r="1205" spans="1:5" x14ac:dyDescent="0.25">
      <c r="A1205" s="173" t="s">
        <v>468</v>
      </c>
      <c r="B1205">
        <v>12442</v>
      </c>
      <c r="C1205" s="173" t="s">
        <v>1468</v>
      </c>
      <c r="D1205" s="173" t="s">
        <v>470</v>
      </c>
      <c r="E1205">
        <v>3</v>
      </c>
    </row>
    <row r="1206" spans="1:5" x14ac:dyDescent="0.25">
      <c r="A1206" s="173" t="s">
        <v>468</v>
      </c>
      <c r="B1206">
        <v>12442</v>
      </c>
      <c r="C1206" s="173" t="s">
        <v>1469</v>
      </c>
      <c r="D1206" s="173" t="s">
        <v>470</v>
      </c>
      <c r="E1206">
        <v>3</v>
      </c>
    </row>
    <row r="1207" spans="1:5" x14ac:dyDescent="0.25">
      <c r="A1207" s="173" t="s">
        <v>468</v>
      </c>
      <c r="B1207">
        <v>12442</v>
      </c>
      <c r="C1207" s="173" t="s">
        <v>1470</v>
      </c>
      <c r="D1207" s="173" t="s">
        <v>470</v>
      </c>
      <c r="E1207">
        <v>3</v>
      </c>
    </row>
    <row r="1208" spans="1:5" x14ac:dyDescent="0.25">
      <c r="A1208" s="173" t="s">
        <v>468</v>
      </c>
      <c r="B1208">
        <v>12442</v>
      </c>
      <c r="C1208" s="173" t="s">
        <v>1471</v>
      </c>
      <c r="D1208" s="173" t="s">
        <v>470</v>
      </c>
      <c r="E1208">
        <v>3</v>
      </c>
    </row>
    <row r="1209" spans="1:5" x14ac:dyDescent="0.25">
      <c r="A1209" s="173" t="s">
        <v>468</v>
      </c>
      <c r="B1209">
        <v>12442</v>
      </c>
      <c r="C1209" s="173" t="s">
        <v>1472</v>
      </c>
      <c r="D1209" s="173" t="s">
        <v>470</v>
      </c>
      <c r="E1209">
        <v>3</v>
      </c>
    </row>
    <row r="1210" spans="1:5" x14ac:dyDescent="0.25">
      <c r="A1210" s="173" t="s">
        <v>468</v>
      </c>
      <c r="B1210">
        <v>12442</v>
      </c>
      <c r="C1210" s="173" t="s">
        <v>1473</v>
      </c>
      <c r="D1210" s="173" t="s">
        <v>470</v>
      </c>
      <c r="E1210">
        <v>2</v>
      </c>
    </row>
    <row r="1211" spans="1:5" x14ac:dyDescent="0.25">
      <c r="A1211" s="173" t="s">
        <v>468</v>
      </c>
      <c r="B1211">
        <v>12442</v>
      </c>
      <c r="C1211" s="173" t="s">
        <v>1474</v>
      </c>
      <c r="D1211" s="173" t="s">
        <v>470</v>
      </c>
      <c r="E1211">
        <v>2</v>
      </c>
    </row>
    <row r="1212" spans="1:5" x14ac:dyDescent="0.25">
      <c r="A1212" s="173" t="s">
        <v>468</v>
      </c>
      <c r="B1212">
        <v>12442</v>
      </c>
      <c r="C1212" s="173" t="s">
        <v>1475</v>
      </c>
      <c r="D1212" s="173" t="s">
        <v>470</v>
      </c>
      <c r="E1212">
        <v>3</v>
      </c>
    </row>
    <row r="1213" spans="1:5" x14ac:dyDescent="0.25">
      <c r="A1213" s="173" t="s">
        <v>468</v>
      </c>
      <c r="B1213">
        <v>12442</v>
      </c>
      <c r="C1213" s="173" t="s">
        <v>1476</v>
      </c>
      <c r="D1213" s="173" t="s">
        <v>470</v>
      </c>
      <c r="E1213">
        <v>3</v>
      </c>
    </row>
    <row r="1214" spans="1:5" hidden="1" x14ac:dyDescent="0.25">
      <c r="A1214" s="173" t="s">
        <v>514</v>
      </c>
      <c r="B1214">
        <v>12461</v>
      </c>
      <c r="C1214" s="173" t="s">
        <v>1477</v>
      </c>
      <c r="D1214" s="173" t="s">
        <v>517</v>
      </c>
      <c r="E1214">
        <v>2</v>
      </c>
    </row>
    <row r="1215" spans="1:5" hidden="1" x14ac:dyDescent="0.25">
      <c r="A1215" s="173" t="s">
        <v>514</v>
      </c>
      <c r="B1215">
        <v>12461</v>
      </c>
      <c r="C1215" s="173" t="s">
        <v>1478</v>
      </c>
      <c r="D1215" s="173" t="s">
        <v>517</v>
      </c>
      <c r="E1215">
        <v>2</v>
      </c>
    </row>
    <row r="1216" spans="1:5" hidden="1" x14ac:dyDescent="0.25">
      <c r="A1216" s="173" t="s">
        <v>514</v>
      </c>
      <c r="B1216">
        <v>12461</v>
      </c>
      <c r="C1216" s="173" t="s">
        <v>1479</v>
      </c>
      <c r="D1216" s="173" t="s">
        <v>517</v>
      </c>
      <c r="E1216">
        <v>2</v>
      </c>
    </row>
    <row r="1217" spans="1:5" hidden="1" x14ac:dyDescent="0.25">
      <c r="A1217" s="173" t="s">
        <v>514</v>
      </c>
      <c r="B1217">
        <v>12461</v>
      </c>
      <c r="C1217" s="173" t="s">
        <v>1480</v>
      </c>
      <c r="D1217" s="173" t="s">
        <v>517</v>
      </c>
      <c r="E1217">
        <v>2</v>
      </c>
    </row>
    <row r="1218" spans="1:5" hidden="1" x14ac:dyDescent="0.25">
      <c r="A1218" s="173" t="s">
        <v>514</v>
      </c>
      <c r="B1218">
        <v>12461</v>
      </c>
      <c r="C1218" s="173" t="s">
        <v>1481</v>
      </c>
      <c r="D1218" s="173" t="s">
        <v>517</v>
      </c>
      <c r="E1218">
        <v>2</v>
      </c>
    </row>
    <row r="1219" spans="1:5" hidden="1" x14ac:dyDescent="0.25">
      <c r="A1219" s="173" t="s">
        <v>514</v>
      </c>
      <c r="B1219">
        <v>12461</v>
      </c>
      <c r="C1219" s="173" t="s">
        <v>1482</v>
      </c>
      <c r="D1219" s="173" t="s">
        <v>517</v>
      </c>
      <c r="E1219">
        <v>2</v>
      </c>
    </row>
    <row r="1220" spans="1:5" hidden="1" x14ac:dyDescent="0.25">
      <c r="A1220" s="173" t="s">
        <v>514</v>
      </c>
      <c r="B1220">
        <v>12461</v>
      </c>
      <c r="C1220" s="173" t="s">
        <v>1483</v>
      </c>
      <c r="D1220" s="173" t="s">
        <v>517</v>
      </c>
      <c r="E1220">
        <v>2</v>
      </c>
    </row>
    <row r="1221" spans="1:5" hidden="1" x14ac:dyDescent="0.25">
      <c r="A1221" s="173" t="s">
        <v>514</v>
      </c>
      <c r="B1221">
        <v>12461</v>
      </c>
      <c r="C1221" s="173" t="s">
        <v>1484</v>
      </c>
      <c r="D1221" s="173" t="s">
        <v>517</v>
      </c>
      <c r="E1221">
        <v>1</v>
      </c>
    </row>
    <row r="1222" spans="1:5" hidden="1" x14ac:dyDescent="0.25">
      <c r="A1222" s="173" t="s">
        <v>514</v>
      </c>
      <c r="B1222">
        <v>12461</v>
      </c>
      <c r="C1222" s="173" t="s">
        <v>1485</v>
      </c>
      <c r="D1222" s="173" t="s">
        <v>517</v>
      </c>
      <c r="E1222">
        <v>2</v>
      </c>
    </row>
    <row r="1223" spans="1:5" hidden="1" x14ac:dyDescent="0.25">
      <c r="A1223" s="173" t="s">
        <v>514</v>
      </c>
      <c r="B1223">
        <v>12461</v>
      </c>
      <c r="C1223" s="173" t="s">
        <v>1486</v>
      </c>
      <c r="D1223" s="173" t="s">
        <v>517</v>
      </c>
      <c r="E1223">
        <v>2</v>
      </c>
    </row>
    <row r="1224" spans="1:5" hidden="1" x14ac:dyDescent="0.25">
      <c r="A1224" s="173" t="s">
        <v>514</v>
      </c>
      <c r="B1224">
        <v>12461</v>
      </c>
      <c r="C1224" s="173" t="s">
        <v>1487</v>
      </c>
      <c r="D1224" s="173" t="s">
        <v>517</v>
      </c>
      <c r="E1224">
        <v>2</v>
      </c>
    </row>
    <row r="1225" spans="1:5" hidden="1" x14ac:dyDescent="0.25">
      <c r="A1225" s="173" t="s">
        <v>514</v>
      </c>
      <c r="B1225">
        <v>12461</v>
      </c>
      <c r="C1225" s="173" t="s">
        <v>1488</v>
      </c>
      <c r="D1225" s="173" t="s">
        <v>517</v>
      </c>
      <c r="E1225">
        <v>2</v>
      </c>
    </row>
    <row r="1226" spans="1:5" hidden="1" x14ac:dyDescent="0.25">
      <c r="A1226" s="173" t="s">
        <v>514</v>
      </c>
      <c r="B1226">
        <v>12461</v>
      </c>
      <c r="C1226" s="173" t="s">
        <v>1489</v>
      </c>
      <c r="D1226" s="173" t="s">
        <v>517</v>
      </c>
      <c r="E1226">
        <v>2</v>
      </c>
    </row>
    <row r="1227" spans="1:5" hidden="1" x14ac:dyDescent="0.25">
      <c r="A1227" s="173" t="s">
        <v>514</v>
      </c>
      <c r="B1227">
        <v>12461</v>
      </c>
      <c r="C1227" s="173" t="s">
        <v>1490</v>
      </c>
      <c r="D1227" s="173" t="s">
        <v>517</v>
      </c>
      <c r="E1227">
        <v>2</v>
      </c>
    </row>
    <row r="1228" spans="1:5" hidden="1" x14ac:dyDescent="0.25">
      <c r="A1228" s="173" t="s">
        <v>514</v>
      </c>
      <c r="B1228">
        <v>12462</v>
      </c>
      <c r="C1228" s="173" t="s">
        <v>1491</v>
      </c>
      <c r="D1228" s="173" t="s">
        <v>517</v>
      </c>
      <c r="E1228">
        <v>2</v>
      </c>
    </row>
    <row r="1229" spans="1:5" hidden="1" x14ac:dyDescent="0.25">
      <c r="A1229" s="173" t="s">
        <v>514</v>
      </c>
      <c r="B1229">
        <v>12462</v>
      </c>
      <c r="C1229" s="173" t="s">
        <v>1492</v>
      </c>
      <c r="D1229" s="173" t="s">
        <v>470</v>
      </c>
      <c r="E1229">
        <v>1</v>
      </c>
    </row>
    <row r="1230" spans="1:5" hidden="1" x14ac:dyDescent="0.25">
      <c r="A1230" s="173" t="s">
        <v>514</v>
      </c>
      <c r="B1230">
        <v>12462</v>
      </c>
      <c r="C1230" s="173" t="s">
        <v>1492</v>
      </c>
      <c r="D1230" s="173" t="s">
        <v>517</v>
      </c>
      <c r="E1230">
        <v>1</v>
      </c>
    </row>
    <row r="1231" spans="1:5" hidden="1" x14ac:dyDescent="0.25">
      <c r="A1231" s="173" t="s">
        <v>514</v>
      </c>
      <c r="B1231">
        <v>12462</v>
      </c>
      <c r="C1231" s="173" t="s">
        <v>1493</v>
      </c>
      <c r="D1231" s="173" t="s">
        <v>517</v>
      </c>
      <c r="E1231">
        <v>2</v>
      </c>
    </row>
    <row r="1232" spans="1:5" hidden="1" x14ac:dyDescent="0.25">
      <c r="A1232" s="173" t="s">
        <v>514</v>
      </c>
      <c r="B1232">
        <v>12462</v>
      </c>
      <c r="C1232" s="173" t="s">
        <v>1494</v>
      </c>
      <c r="D1232" s="173" t="s">
        <v>517</v>
      </c>
      <c r="E1232">
        <v>2</v>
      </c>
    </row>
    <row r="1233" spans="1:5" hidden="1" x14ac:dyDescent="0.25">
      <c r="A1233" s="173" t="s">
        <v>514</v>
      </c>
      <c r="B1233">
        <v>12462</v>
      </c>
      <c r="C1233" s="173" t="s">
        <v>1495</v>
      </c>
      <c r="D1233" s="173" t="s">
        <v>517</v>
      </c>
      <c r="E1233">
        <v>2</v>
      </c>
    </row>
    <row r="1234" spans="1:5" hidden="1" x14ac:dyDescent="0.25">
      <c r="A1234" s="173" t="s">
        <v>514</v>
      </c>
      <c r="B1234">
        <v>12462</v>
      </c>
      <c r="C1234" s="173" t="s">
        <v>1496</v>
      </c>
      <c r="D1234" s="173" t="s">
        <v>517</v>
      </c>
      <c r="E1234">
        <v>2</v>
      </c>
    </row>
    <row r="1235" spans="1:5" hidden="1" x14ac:dyDescent="0.25">
      <c r="A1235" s="173" t="s">
        <v>514</v>
      </c>
      <c r="B1235">
        <v>12462</v>
      </c>
      <c r="C1235" s="173" t="s">
        <v>1497</v>
      </c>
      <c r="D1235" s="173" t="s">
        <v>517</v>
      </c>
      <c r="E1235">
        <v>2</v>
      </c>
    </row>
    <row r="1236" spans="1:5" hidden="1" x14ac:dyDescent="0.25">
      <c r="A1236" s="173" t="s">
        <v>514</v>
      </c>
      <c r="B1236">
        <v>12462</v>
      </c>
      <c r="C1236" s="173" t="s">
        <v>1498</v>
      </c>
      <c r="D1236" s="173" t="s">
        <v>517</v>
      </c>
      <c r="E1236">
        <v>2</v>
      </c>
    </row>
    <row r="1237" spans="1:5" hidden="1" x14ac:dyDescent="0.25">
      <c r="A1237" s="173" t="s">
        <v>514</v>
      </c>
      <c r="B1237">
        <v>12462</v>
      </c>
      <c r="C1237" s="173" t="s">
        <v>1499</v>
      </c>
      <c r="D1237" s="173" t="s">
        <v>517</v>
      </c>
      <c r="E1237">
        <v>2</v>
      </c>
    </row>
    <row r="1238" spans="1:5" x14ac:dyDescent="0.25">
      <c r="A1238" s="173" t="s">
        <v>468</v>
      </c>
      <c r="B1238">
        <v>12468</v>
      </c>
      <c r="C1238" s="173" t="s">
        <v>1500</v>
      </c>
      <c r="D1238" s="173" t="s">
        <v>470</v>
      </c>
      <c r="E1238">
        <v>2</v>
      </c>
    </row>
    <row r="1239" spans="1:5" x14ac:dyDescent="0.25">
      <c r="A1239" s="173" t="s">
        <v>468</v>
      </c>
      <c r="B1239">
        <v>12468</v>
      </c>
      <c r="C1239" s="173" t="s">
        <v>1501</v>
      </c>
      <c r="D1239" s="173" t="s">
        <v>470</v>
      </c>
      <c r="E1239">
        <v>2</v>
      </c>
    </row>
    <row r="1240" spans="1:5" x14ac:dyDescent="0.25">
      <c r="A1240" s="173" t="s">
        <v>468</v>
      </c>
      <c r="B1240">
        <v>12468</v>
      </c>
      <c r="C1240" s="173" t="s">
        <v>1502</v>
      </c>
      <c r="D1240" s="173" t="s">
        <v>470</v>
      </c>
      <c r="E1240">
        <v>2</v>
      </c>
    </row>
    <row r="1241" spans="1:5" x14ac:dyDescent="0.25">
      <c r="A1241" s="173" t="s">
        <v>468</v>
      </c>
      <c r="B1241">
        <v>12468</v>
      </c>
      <c r="C1241" s="173" t="s">
        <v>1503</v>
      </c>
      <c r="D1241" s="173" t="s">
        <v>470</v>
      </c>
      <c r="E1241">
        <v>2</v>
      </c>
    </row>
    <row r="1242" spans="1:5" x14ac:dyDescent="0.25">
      <c r="A1242" s="173" t="s">
        <v>468</v>
      </c>
      <c r="B1242">
        <v>12468</v>
      </c>
      <c r="C1242" s="173" t="s">
        <v>1504</v>
      </c>
      <c r="D1242" s="173" t="s">
        <v>470</v>
      </c>
      <c r="E1242">
        <v>2</v>
      </c>
    </row>
    <row r="1243" spans="1:5" x14ac:dyDescent="0.25">
      <c r="A1243" s="173" t="s">
        <v>468</v>
      </c>
      <c r="B1243">
        <v>12468</v>
      </c>
      <c r="C1243" s="173" t="s">
        <v>1505</v>
      </c>
      <c r="D1243" s="173" t="s">
        <v>470</v>
      </c>
      <c r="E1243">
        <v>2</v>
      </c>
    </row>
    <row r="1244" spans="1:5" x14ac:dyDescent="0.25">
      <c r="A1244" s="173" t="s">
        <v>468</v>
      </c>
      <c r="B1244">
        <v>12468</v>
      </c>
      <c r="C1244" s="173" t="s">
        <v>1506</v>
      </c>
      <c r="D1244" s="173" t="s">
        <v>470</v>
      </c>
      <c r="E1244">
        <v>2</v>
      </c>
    </row>
    <row r="1245" spans="1:5" x14ac:dyDescent="0.25">
      <c r="A1245" s="173" t="s">
        <v>468</v>
      </c>
      <c r="B1245">
        <v>12468</v>
      </c>
      <c r="C1245" s="173" t="s">
        <v>1507</v>
      </c>
      <c r="D1245" s="173" t="s">
        <v>470</v>
      </c>
      <c r="E1245">
        <v>2</v>
      </c>
    </row>
    <row r="1246" spans="1:5" x14ac:dyDescent="0.25">
      <c r="A1246" s="173" t="s">
        <v>468</v>
      </c>
      <c r="B1246">
        <v>12468</v>
      </c>
      <c r="C1246" s="173" t="s">
        <v>1508</v>
      </c>
      <c r="D1246" s="173" t="s">
        <v>470</v>
      </c>
      <c r="E1246">
        <v>2</v>
      </c>
    </row>
    <row r="1247" spans="1:5" hidden="1" x14ac:dyDescent="0.25">
      <c r="A1247" s="173" t="s">
        <v>514</v>
      </c>
      <c r="B1247">
        <v>12481</v>
      </c>
      <c r="C1247" s="173" t="s">
        <v>1509</v>
      </c>
      <c r="D1247" s="173" t="s">
        <v>517</v>
      </c>
      <c r="E1247">
        <v>1</v>
      </c>
    </row>
    <row r="1248" spans="1:5" hidden="1" x14ac:dyDescent="0.25">
      <c r="A1248" s="173" t="s">
        <v>514</v>
      </c>
      <c r="B1248">
        <v>12481</v>
      </c>
      <c r="C1248" s="173" t="s">
        <v>1510</v>
      </c>
      <c r="D1248" s="173" t="s">
        <v>517</v>
      </c>
      <c r="E1248">
        <v>1</v>
      </c>
    </row>
    <row r="1249" spans="1:5" hidden="1" x14ac:dyDescent="0.25">
      <c r="A1249" s="173" t="s">
        <v>514</v>
      </c>
      <c r="B1249">
        <v>12481</v>
      </c>
      <c r="C1249" s="173" t="s">
        <v>1511</v>
      </c>
      <c r="D1249" s="173" t="s">
        <v>517</v>
      </c>
      <c r="E1249">
        <v>1</v>
      </c>
    </row>
    <row r="1250" spans="1:5" hidden="1" x14ac:dyDescent="0.25">
      <c r="A1250" s="173" t="s">
        <v>514</v>
      </c>
      <c r="B1250">
        <v>12481</v>
      </c>
      <c r="C1250" s="173" t="s">
        <v>1512</v>
      </c>
      <c r="D1250" s="173" t="s">
        <v>517</v>
      </c>
      <c r="E1250">
        <v>1</v>
      </c>
    </row>
    <row r="1251" spans="1:5" hidden="1" x14ac:dyDescent="0.25">
      <c r="A1251" s="173" t="s">
        <v>514</v>
      </c>
      <c r="B1251">
        <v>12481</v>
      </c>
      <c r="C1251" s="173" t="s">
        <v>1513</v>
      </c>
      <c r="D1251" s="173" t="s">
        <v>517</v>
      </c>
      <c r="E1251">
        <v>1</v>
      </c>
    </row>
    <row r="1252" spans="1:5" hidden="1" x14ac:dyDescent="0.25">
      <c r="A1252" s="173" t="s">
        <v>514</v>
      </c>
      <c r="B1252">
        <v>12481</v>
      </c>
      <c r="C1252" s="173" t="s">
        <v>1514</v>
      </c>
      <c r="D1252" s="173" t="s">
        <v>517</v>
      </c>
      <c r="E1252">
        <v>1</v>
      </c>
    </row>
    <row r="1253" spans="1:5" hidden="1" x14ac:dyDescent="0.25">
      <c r="A1253" s="173" t="s">
        <v>514</v>
      </c>
      <c r="B1253">
        <v>12481</v>
      </c>
      <c r="C1253" s="173" t="s">
        <v>1515</v>
      </c>
      <c r="D1253" s="173" t="s">
        <v>517</v>
      </c>
      <c r="E1253">
        <v>1</v>
      </c>
    </row>
    <row r="1254" spans="1:5" hidden="1" x14ac:dyDescent="0.25">
      <c r="A1254" s="173" t="s">
        <v>514</v>
      </c>
      <c r="B1254">
        <v>12481</v>
      </c>
      <c r="C1254" s="173" t="s">
        <v>1516</v>
      </c>
      <c r="D1254" s="173" t="s">
        <v>517</v>
      </c>
      <c r="E1254">
        <v>1</v>
      </c>
    </row>
    <row r="1255" spans="1:5" hidden="1" x14ac:dyDescent="0.25">
      <c r="A1255" s="173" t="s">
        <v>514</v>
      </c>
      <c r="B1255">
        <v>12481</v>
      </c>
      <c r="C1255" s="173" t="s">
        <v>1517</v>
      </c>
      <c r="D1255" s="173" t="s">
        <v>517</v>
      </c>
      <c r="E1255">
        <v>1</v>
      </c>
    </row>
    <row r="1256" spans="1:5" hidden="1" x14ac:dyDescent="0.25">
      <c r="A1256" s="173" t="s">
        <v>514</v>
      </c>
      <c r="B1256">
        <v>12496</v>
      </c>
      <c r="C1256" s="173" t="s">
        <v>3619</v>
      </c>
      <c r="D1256" s="173" t="s">
        <v>517</v>
      </c>
      <c r="E1256">
        <v>1</v>
      </c>
    </row>
    <row r="1257" spans="1:5" hidden="1" x14ac:dyDescent="0.25">
      <c r="A1257" s="173" t="s">
        <v>514</v>
      </c>
      <c r="B1257">
        <v>12496</v>
      </c>
      <c r="C1257" s="173" t="s">
        <v>3620</v>
      </c>
      <c r="D1257" s="173" t="s">
        <v>517</v>
      </c>
      <c r="E1257">
        <v>1</v>
      </c>
    </row>
    <row r="1258" spans="1:5" hidden="1" x14ac:dyDescent="0.25">
      <c r="A1258" s="173" t="s">
        <v>514</v>
      </c>
      <c r="B1258">
        <v>12496</v>
      </c>
      <c r="C1258" s="173" t="s">
        <v>3621</v>
      </c>
      <c r="D1258" s="173" t="s">
        <v>517</v>
      </c>
      <c r="E1258">
        <v>1</v>
      </c>
    </row>
    <row r="1259" spans="1:5" hidden="1" x14ac:dyDescent="0.25">
      <c r="A1259" s="173" t="s">
        <v>514</v>
      </c>
      <c r="B1259">
        <v>12496</v>
      </c>
      <c r="C1259" s="173" t="s">
        <v>3622</v>
      </c>
      <c r="D1259" s="173" t="s">
        <v>517</v>
      </c>
      <c r="E1259">
        <v>1</v>
      </c>
    </row>
    <row r="1260" spans="1:5" hidden="1" x14ac:dyDescent="0.25">
      <c r="A1260" s="173" t="s">
        <v>514</v>
      </c>
      <c r="B1260">
        <v>12496</v>
      </c>
      <c r="C1260" s="173" t="s">
        <v>3623</v>
      </c>
      <c r="D1260" s="173" t="s">
        <v>517</v>
      </c>
      <c r="E1260">
        <v>1</v>
      </c>
    </row>
    <row r="1261" spans="1:5" hidden="1" x14ac:dyDescent="0.25">
      <c r="A1261" s="173" t="s">
        <v>514</v>
      </c>
      <c r="B1261">
        <v>12496</v>
      </c>
      <c r="C1261" s="173" t="s">
        <v>3624</v>
      </c>
      <c r="D1261" s="173" t="s">
        <v>517</v>
      </c>
      <c r="E1261">
        <v>1</v>
      </c>
    </row>
    <row r="1262" spans="1:5" hidden="1" x14ac:dyDescent="0.25">
      <c r="A1262" s="173" t="s">
        <v>514</v>
      </c>
      <c r="B1262">
        <v>12496</v>
      </c>
      <c r="C1262" s="173" t="s">
        <v>3625</v>
      </c>
      <c r="D1262" s="173" t="s">
        <v>517</v>
      </c>
      <c r="E1262">
        <v>1</v>
      </c>
    </row>
    <row r="1263" spans="1:5" hidden="1" x14ac:dyDescent="0.25">
      <c r="A1263" s="173" t="s">
        <v>514</v>
      </c>
      <c r="B1263">
        <v>12496</v>
      </c>
      <c r="C1263" s="173" t="s">
        <v>3626</v>
      </c>
      <c r="D1263" s="173" t="s">
        <v>517</v>
      </c>
      <c r="E1263">
        <v>1</v>
      </c>
    </row>
    <row r="1264" spans="1:5" hidden="1" x14ac:dyDescent="0.25">
      <c r="A1264" s="173" t="s">
        <v>514</v>
      </c>
      <c r="B1264">
        <v>12496</v>
      </c>
      <c r="C1264" s="173" t="s">
        <v>3627</v>
      </c>
      <c r="D1264" s="173" t="s">
        <v>517</v>
      </c>
      <c r="E1264">
        <v>1</v>
      </c>
    </row>
    <row r="1265" spans="1:5" hidden="1" x14ac:dyDescent="0.25">
      <c r="A1265" s="173" t="s">
        <v>514</v>
      </c>
      <c r="B1265">
        <v>12496</v>
      </c>
      <c r="C1265" s="173" t="s">
        <v>3628</v>
      </c>
      <c r="D1265" s="173" t="s">
        <v>517</v>
      </c>
      <c r="E1265">
        <v>1</v>
      </c>
    </row>
    <row r="1266" spans="1:5" hidden="1" x14ac:dyDescent="0.25">
      <c r="A1266" s="173" t="s">
        <v>514</v>
      </c>
      <c r="B1266">
        <v>12496</v>
      </c>
      <c r="C1266" s="173" t="s">
        <v>3629</v>
      </c>
      <c r="D1266" s="173" t="s">
        <v>517</v>
      </c>
      <c r="E1266">
        <v>1</v>
      </c>
    </row>
    <row r="1267" spans="1:5" hidden="1" x14ac:dyDescent="0.25">
      <c r="A1267" s="173" t="s">
        <v>514</v>
      </c>
      <c r="B1267">
        <v>12499</v>
      </c>
      <c r="C1267" s="173" t="s">
        <v>1518</v>
      </c>
      <c r="D1267" s="173" t="s">
        <v>517</v>
      </c>
      <c r="E1267">
        <v>1</v>
      </c>
    </row>
    <row r="1268" spans="1:5" hidden="1" x14ac:dyDescent="0.25">
      <c r="A1268" s="173" t="s">
        <v>514</v>
      </c>
      <c r="B1268">
        <v>12499</v>
      </c>
      <c r="C1268" s="173" t="s">
        <v>1518</v>
      </c>
      <c r="D1268" s="173" t="s">
        <v>470</v>
      </c>
      <c r="E1268">
        <v>2</v>
      </c>
    </row>
    <row r="1269" spans="1:5" hidden="1" x14ac:dyDescent="0.25">
      <c r="A1269" s="173" t="s">
        <v>514</v>
      </c>
      <c r="B1269">
        <v>12499</v>
      </c>
      <c r="C1269" s="173" t="s">
        <v>1519</v>
      </c>
      <c r="D1269" s="173" t="s">
        <v>517</v>
      </c>
      <c r="E1269">
        <v>1</v>
      </c>
    </row>
    <row r="1270" spans="1:5" hidden="1" x14ac:dyDescent="0.25">
      <c r="A1270" s="173" t="s">
        <v>514</v>
      </c>
      <c r="B1270">
        <v>12499</v>
      </c>
      <c r="C1270" s="173" t="s">
        <v>1519</v>
      </c>
      <c r="D1270" s="173" t="s">
        <v>470</v>
      </c>
      <c r="E1270">
        <v>4</v>
      </c>
    </row>
    <row r="1271" spans="1:5" hidden="1" x14ac:dyDescent="0.25">
      <c r="A1271" s="173" t="s">
        <v>514</v>
      </c>
      <c r="B1271">
        <v>12499</v>
      </c>
      <c r="C1271" s="173" t="s">
        <v>1520</v>
      </c>
      <c r="D1271" s="173" t="s">
        <v>470</v>
      </c>
      <c r="E1271">
        <v>4</v>
      </c>
    </row>
    <row r="1272" spans="1:5" hidden="1" x14ac:dyDescent="0.25">
      <c r="A1272" s="173" t="s">
        <v>514</v>
      </c>
      <c r="B1272">
        <v>12499</v>
      </c>
      <c r="C1272" s="173" t="s">
        <v>1520</v>
      </c>
      <c r="D1272" s="173" t="s">
        <v>517</v>
      </c>
      <c r="E1272">
        <v>1</v>
      </c>
    </row>
    <row r="1273" spans="1:5" hidden="1" x14ac:dyDescent="0.25">
      <c r="A1273" s="173" t="s">
        <v>514</v>
      </c>
      <c r="B1273">
        <v>12499</v>
      </c>
      <c r="C1273" s="173" t="s">
        <v>1521</v>
      </c>
      <c r="D1273" s="173" t="s">
        <v>470</v>
      </c>
      <c r="E1273">
        <v>4</v>
      </c>
    </row>
    <row r="1274" spans="1:5" hidden="1" x14ac:dyDescent="0.25">
      <c r="A1274" s="173" t="s">
        <v>514</v>
      </c>
      <c r="B1274">
        <v>12499</v>
      </c>
      <c r="C1274" s="173" t="s">
        <v>1521</v>
      </c>
      <c r="D1274" s="173" t="s">
        <v>517</v>
      </c>
      <c r="E1274">
        <v>1</v>
      </c>
    </row>
    <row r="1275" spans="1:5" hidden="1" x14ac:dyDescent="0.25">
      <c r="A1275" s="173" t="s">
        <v>514</v>
      </c>
      <c r="B1275">
        <v>12499</v>
      </c>
      <c r="C1275" s="173" t="s">
        <v>1522</v>
      </c>
      <c r="D1275" s="173" t="s">
        <v>470</v>
      </c>
      <c r="E1275">
        <v>4</v>
      </c>
    </row>
    <row r="1276" spans="1:5" hidden="1" x14ac:dyDescent="0.25">
      <c r="A1276" s="173" t="s">
        <v>514</v>
      </c>
      <c r="B1276">
        <v>12499</v>
      </c>
      <c r="C1276" s="173" t="s">
        <v>1522</v>
      </c>
      <c r="D1276" s="173" t="s">
        <v>517</v>
      </c>
      <c r="E1276">
        <v>1</v>
      </c>
    </row>
    <row r="1277" spans="1:5" hidden="1" x14ac:dyDescent="0.25">
      <c r="A1277" s="173" t="s">
        <v>514</v>
      </c>
      <c r="B1277">
        <v>12499</v>
      </c>
      <c r="C1277" s="173" t="s">
        <v>1523</v>
      </c>
      <c r="D1277" s="173" t="s">
        <v>517</v>
      </c>
      <c r="E1277">
        <v>1</v>
      </c>
    </row>
    <row r="1278" spans="1:5" hidden="1" x14ac:dyDescent="0.25">
      <c r="A1278" s="173" t="s">
        <v>514</v>
      </c>
      <c r="B1278">
        <v>12499</v>
      </c>
      <c r="C1278" s="173" t="s">
        <v>1523</v>
      </c>
      <c r="D1278" s="173" t="s">
        <v>470</v>
      </c>
      <c r="E1278">
        <v>4</v>
      </c>
    </row>
    <row r="1279" spans="1:5" hidden="1" x14ac:dyDescent="0.25">
      <c r="A1279" s="173" t="s">
        <v>514</v>
      </c>
      <c r="B1279">
        <v>12499</v>
      </c>
      <c r="C1279" s="173" t="s">
        <v>1524</v>
      </c>
      <c r="D1279" s="173" t="s">
        <v>470</v>
      </c>
      <c r="E1279">
        <v>4</v>
      </c>
    </row>
    <row r="1280" spans="1:5" hidden="1" x14ac:dyDescent="0.25">
      <c r="A1280" s="173" t="s">
        <v>514</v>
      </c>
      <c r="B1280">
        <v>12499</v>
      </c>
      <c r="C1280" s="173" t="s">
        <v>1524</v>
      </c>
      <c r="D1280" s="173" t="s">
        <v>517</v>
      </c>
      <c r="E1280">
        <v>1</v>
      </c>
    </row>
    <row r="1281" spans="1:5" hidden="1" x14ac:dyDescent="0.25">
      <c r="A1281" s="173" t="s">
        <v>514</v>
      </c>
      <c r="B1281">
        <v>12499</v>
      </c>
      <c r="C1281" s="173" t="s">
        <v>1525</v>
      </c>
      <c r="D1281" s="173" t="s">
        <v>517</v>
      </c>
      <c r="E1281">
        <v>1</v>
      </c>
    </row>
    <row r="1282" spans="1:5" hidden="1" x14ac:dyDescent="0.25">
      <c r="A1282" s="173" t="s">
        <v>514</v>
      </c>
      <c r="B1282">
        <v>12499</v>
      </c>
      <c r="C1282" s="173" t="s">
        <v>1525</v>
      </c>
      <c r="D1282" s="173" t="s">
        <v>470</v>
      </c>
      <c r="E1282">
        <v>4</v>
      </c>
    </row>
    <row r="1283" spans="1:5" hidden="1" x14ac:dyDescent="0.25">
      <c r="A1283" s="173" t="s">
        <v>514</v>
      </c>
      <c r="B1283">
        <v>12499</v>
      </c>
      <c r="C1283" s="173" t="s">
        <v>1526</v>
      </c>
      <c r="D1283" s="173" t="s">
        <v>517</v>
      </c>
      <c r="E1283">
        <v>1</v>
      </c>
    </row>
    <row r="1284" spans="1:5" hidden="1" x14ac:dyDescent="0.25">
      <c r="A1284" s="173" t="s">
        <v>514</v>
      </c>
      <c r="B1284">
        <v>12499</v>
      </c>
      <c r="C1284" s="173" t="s">
        <v>1526</v>
      </c>
      <c r="D1284" s="173" t="s">
        <v>470</v>
      </c>
      <c r="E1284">
        <v>4</v>
      </c>
    </row>
    <row r="1285" spans="1:5" hidden="1" x14ac:dyDescent="0.25">
      <c r="A1285" s="173" t="s">
        <v>514</v>
      </c>
      <c r="B1285">
        <v>12499</v>
      </c>
      <c r="C1285" s="173" t="s">
        <v>1527</v>
      </c>
      <c r="D1285" s="173" t="s">
        <v>517</v>
      </c>
      <c r="E1285">
        <v>1</v>
      </c>
    </row>
    <row r="1286" spans="1:5" hidden="1" x14ac:dyDescent="0.25">
      <c r="A1286" s="173" t="s">
        <v>514</v>
      </c>
      <c r="B1286">
        <v>12499</v>
      </c>
      <c r="C1286" s="173" t="s">
        <v>1527</v>
      </c>
      <c r="D1286" s="173" t="s">
        <v>470</v>
      </c>
      <c r="E1286">
        <v>4</v>
      </c>
    </row>
    <row r="1287" spans="1:5" hidden="1" x14ac:dyDescent="0.25">
      <c r="A1287" s="173" t="s">
        <v>514</v>
      </c>
      <c r="B1287">
        <v>12499</v>
      </c>
      <c r="C1287" s="173" t="s">
        <v>1528</v>
      </c>
      <c r="D1287" s="173" t="s">
        <v>470</v>
      </c>
      <c r="E1287">
        <v>3</v>
      </c>
    </row>
    <row r="1288" spans="1:5" hidden="1" x14ac:dyDescent="0.25">
      <c r="A1288" s="173" t="s">
        <v>514</v>
      </c>
      <c r="B1288">
        <v>12499</v>
      </c>
      <c r="C1288" s="173" t="s">
        <v>1528</v>
      </c>
      <c r="D1288" s="173" t="s">
        <v>517</v>
      </c>
      <c r="E1288">
        <v>1</v>
      </c>
    </row>
    <row r="1289" spans="1:5" hidden="1" x14ac:dyDescent="0.25">
      <c r="A1289" s="173" t="s">
        <v>514</v>
      </c>
      <c r="B1289">
        <v>12499</v>
      </c>
      <c r="C1289" s="173" t="s">
        <v>1529</v>
      </c>
      <c r="D1289" s="173" t="s">
        <v>470</v>
      </c>
      <c r="E1289">
        <v>3</v>
      </c>
    </row>
    <row r="1290" spans="1:5" hidden="1" x14ac:dyDescent="0.25">
      <c r="A1290" s="173" t="s">
        <v>514</v>
      </c>
      <c r="B1290">
        <v>12499</v>
      </c>
      <c r="C1290" s="173" t="s">
        <v>1529</v>
      </c>
      <c r="D1290" s="173" t="s">
        <v>517</v>
      </c>
      <c r="E1290">
        <v>1</v>
      </c>
    </row>
    <row r="1291" spans="1:5" hidden="1" x14ac:dyDescent="0.25">
      <c r="A1291" s="173" t="s">
        <v>514</v>
      </c>
      <c r="B1291">
        <v>12499</v>
      </c>
      <c r="C1291" s="173" t="s">
        <v>1530</v>
      </c>
      <c r="D1291" s="173" t="s">
        <v>517</v>
      </c>
      <c r="E1291">
        <v>1</v>
      </c>
    </row>
    <row r="1292" spans="1:5" hidden="1" x14ac:dyDescent="0.25">
      <c r="A1292" s="173" t="s">
        <v>514</v>
      </c>
      <c r="B1292">
        <v>12499</v>
      </c>
      <c r="C1292" s="173" t="s">
        <v>1530</v>
      </c>
      <c r="D1292" s="173" t="s">
        <v>470</v>
      </c>
      <c r="E1292">
        <v>3</v>
      </c>
    </row>
    <row r="1293" spans="1:5" hidden="1" x14ac:dyDescent="0.25">
      <c r="A1293" s="173" t="s">
        <v>804</v>
      </c>
      <c r="B1293">
        <v>12507</v>
      </c>
      <c r="C1293" s="173" t="s">
        <v>3630</v>
      </c>
      <c r="D1293" s="173" t="s">
        <v>470</v>
      </c>
      <c r="E1293">
        <v>2</v>
      </c>
    </row>
    <row r="1294" spans="1:5" hidden="1" x14ac:dyDescent="0.25">
      <c r="A1294" s="173" t="s">
        <v>804</v>
      </c>
      <c r="B1294">
        <v>12507</v>
      </c>
      <c r="C1294" s="173" t="s">
        <v>3630</v>
      </c>
      <c r="D1294" s="173" t="s">
        <v>470</v>
      </c>
      <c r="E1294">
        <v>5</v>
      </c>
    </row>
    <row r="1295" spans="1:5" hidden="1" x14ac:dyDescent="0.25">
      <c r="A1295" s="173" t="s">
        <v>804</v>
      </c>
      <c r="B1295">
        <v>12507</v>
      </c>
      <c r="C1295" s="173" t="s">
        <v>3631</v>
      </c>
      <c r="D1295" s="173" t="s">
        <v>470</v>
      </c>
      <c r="E1295">
        <v>4</v>
      </c>
    </row>
    <row r="1296" spans="1:5" hidden="1" x14ac:dyDescent="0.25">
      <c r="A1296" s="173" t="s">
        <v>804</v>
      </c>
      <c r="B1296">
        <v>12507</v>
      </c>
      <c r="C1296" s="173" t="s">
        <v>3631</v>
      </c>
      <c r="D1296" s="173" t="s">
        <v>470</v>
      </c>
      <c r="E1296">
        <v>2</v>
      </c>
    </row>
    <row r="1297" spans="1:5" hidden="1" x14ac:dyDescent="0.25">
      <c r="A1297" s="173" t="s">
        <v>804</v>
      </c>
      <c r="B1297">
        <v>12507</v>
      </c>
      <c r="C1297" s="173" t="s">
        <v>3632</v>
      </c>
      <c r="D1297" s="173" t="s">
        <v>470</v>
      </c>
      <c r="E1297">
        <v>4</v>
      </c>
    </row>
    <row r="1298" spans="1:5" hidden="1" x14ac:dyDescent="0.25">
      <c r="A1298" s="173" t="s">
        <v>804</v>
      </c>
      <c r="B1298">
        <v>12507</v>
      </c>
      <c r="C1298" s="173" t="s">
        <v>3632</v>
      </c>
      <c r="D1298" s="173" t="s">
        <v>470</v>
      </c>
      <c r="E1298">
        <v>2</v>
      </c>
    </row>
    <row r="1299" spans="1:5" hidden="1" x14ac:dyDescent="0.25">
      <c r="A1299" s="173" t="s">
        <v>804</v>
      </c>
      <c r="B1299">
        <v>12507</v>
      </c>
      <c r="C1299" s="173" t="s">
        <v>3633</v>
      </c>
      <c r="D1299" s="173" t="s">
        <v>470</v>
      </c>
      <c r="E1299">
        <v>5</v>
      </c>
    </row>
    <row r="1300" spans="1:5" hidden="1" x14ac:dyDescent="0.25">
      <c r="A1300" s="173" t="s">
        <v>804</v>
      </c>
      <c r="B1300">
        <v>12507</v>
      </c>
      <c r="C1300" s="173" t="s">
        <v>3633</v>
      </c>
      <c r="D1300" s="173" t="s">
        <v>470</v>
      </c>
      <c r="E1300">
        <v>2</v>
      </c>
    </row>
    <row r="1301" spans="1:5" hidden="1" x14ac:dyDescent="0.25">
      <c r="A1301" s="173" t="s">
        <v>804</v>
      </c>
      <c r="B1301">
        <v>12507</v>
      </c>
      <c r="C1301" s="173" t="s">
        <v>3634</v>
      </c>
      <c r="D1301" s="173" t="s">
        <v>470</v>
      </c>
      <c r="E1301">
        <v>6</v>
      </c>
    </row>
    <row r="1302" spans="1:5" hidden="1" x14ac:dyDescent="0.25">
      <c r="A1302" s="173" t="s">
        <v>804</v>
      </c>
      <c r="B1302">
        <v>12507</v>
      </c>
      <c r="C1302" s="173" t="s">
        <v>3634</v>
      </c>
      <c r="D1302" s="173" t="s">
        <v>470</v>
      </c>
      <c r="E1302">
        <v>2</v>
      </c>
    </row>
    <row r="1303" spans="1:5" hidden="1" x14ac:dyDescent="0.25">
      <c r="A1303" s="173" t="s">
        <v>804</v>
      </c>
      <c r="B1303">
        <v>12507</v>
      </c>
      <c r="C1303" s="173" t="s">
        <v>3635</v>
      </c>
      <c r="D1303" s="173" t="s">
        <v>470</v>
      </c>
      <c r="E1303">
        <v>4</v>
      </c>
    </row>
    <row r="1304" spans="1:5" hidden="1" x14ac:dyDescent="0.25">
      <c r="A1304" s="173" t="s">
        <v>804</v>
      </c>
      <c r="B1304">
        <v>12507</v>
      </c>
      <c r="C1304" s="173" t="s">
        <v>3635</v>
      </c>
      <c r="D1304" s="173" t="s">
        <v>470</v>
      </c>
      <c r="E1304">
        <v>2</v>
      </c>
    </row>
    <row r="1305" spans="1:5" hidden="1" x14ac:dyDescent="0.25">
      <c r="A1305" s="173" t="s">
        <v>804</v>
      </c>
      <c r="B1305">
        <v>12507</v>
      </c>
      <c r="C1305" s="173" t="s">
        <v>3636</v>
      </c>
      <c r="D1305" s="173" t="s">
        <v>470</v>
      </c>
      <c r="E1305">
        <v>4</v>
      </c>
    </row>
    <row r="1306" spans="1:5" hidden="1" x14ac:dyDescent="0.25">
      <c r="A1306" s="173" t="s">
        <v>804</v>
      </c>
      <c r="B1306">
        <v>12507</v>
      </c>
      <c r="C1306" s="173" t="s">
        <v>3636</v>
      </c>
      <c r="D1306" s="173" t="s">
        <v>470</v>
      </c>
      <c r="E1306">
        <v>2</v>
      </c>
    </row>
    <row r="1307" spans="1:5" hidden="1" x14ac:dyDescent="0.25">
      <c r="A1307" s="173" t="s">
        <v>804</v>
      </c>
      <c r="B1307">
        <v>12507</v>
      </c>
      <c r="C1307" s="173" t="s">
        <v>3637</v>
      </c>
      <c r="D1307" s="173" t="s">
        <v>470</v>
      </c>
      <c r="E1307">
        <v>2</v>
      </c>
    </row>
    <row r="1308" spans="1:5" hidden="1" x14ac:dyDescent="0.25">
      <c r="A1308" s="173" t="s">
        <v>804</v>
      </c>
      <c r="B1308">
        <v>12507</v>
      </c>
      <c r="C1308" s="173" t="s">
        <v>3637</v>
      </c>
      <c r="D1308" s="173" t="s">
        <v>470</v>
      </c>
      <c r="E1308">
        <v>5</v>
      </c>
    </row>
    <row r="1309" spans="1:5" hidden="1" x14ac:dyDescent="0.25">
      <c r="A1309" s="173" t="s">
        <v>804</v>
      </c>
      <c r="B1309">
        <v>12507</v>
      </c>
      <c r="C1309" s="173" t="s">
        <v>3638</v>
      </c>
      <c r="D1309" s="173" t="s">
        <v>470</v>
      </c>
      <c r="E1309">
        <v>6</v>
      </c>
    </row>
    <row r="1310" spans="1:5" hidden="1" x14ac:dyDescent="0.25">
      <c r="A1310" s="173" t="s">
        <v>804</v>
      </c>
      <c r="B1310">
        <v>12507</v>
      </c>
      <c r="C1310" s="173" t="s">
        <v>3638</v>
      </c>
      <c r="D1310" s="173" t="s">
        <v>470</v>
      </c>
      <c r="E1310">
        <v>2</v>
      </c>
    </row>
    <row r="1311" spans="1:5" hidden="1" x14ac:dyDescent="0.25">
      <c r="A1311" s="173" t="s">
        <v>804</v>
      </c>
      <c r="B1311">
        <v>12507</v>
      </c>
      <c r="C1311" s="173" t="s">
        <v>3639</v>
      </c>
      <c r="D1311" s="173" t="s">
        <v>470</v>
      </c>
      <c r="E1311">
        <v>2</v>
      </c>
    </row>
    <row r="1312" spans="1:5" hidden="1" x14ac:dyDescent="0.25">
      <c r="A1312" s="173" t="s">
        <v>804</v>
      </c>
      <c r="B1312">
        <v>12507</v>
      </c>
      <c r="C1312" s="173" t="s">
        <v>3639</v>
      </c>
      <c r="D1312" s="173" t="s">
        <v>470</v>
      </c>
      <c r="E1312">
        <v>6</v>
      </c>
    </row>
    <row r="1313" spans="1:5" hidden="1" x14ac:dyDescent="0.25">
      <c r="A1313" s="173" t="s">
        <v>804</v>
      </c>
      <c r="B1313">
        <v>12507</v>
      </c>
      <c r="C1313" s="173" t="s">
        <v>3640</v>
      </c>
      <c r="D1313" s="173" t="s">
        <v>470</v>
      </c>
      <c r="E1313">
        <v>4</v>
      </c>
    </row>
    <row r="1314" spans="1:5" hidden="1" x14ac:dyDescent="0.25">
      <c r="A1314" s="173" t="s">
        <v>804</v>
      </c>
      <c r="B1314">
        <v>12507</v>
      </c>
      <c r="C1314" s="173" t="s">
        <v>3640</v>
      </c>
      <c r="D1314" s="173" t="s">
        <v>470</v>
      </c>
      <c r="E1314">
        <v>2</v>
      </c>
    </row>
    <row r="1315" spans="1:5" hidden="1" x14ac:dyDescent="0.25">
      <c r="A1315" s="173" t="s">
        <v>804</v>
      </c>
      <c r="B1315">
        <v>12507</v>
      </c>
      <c r="C1315" s="173" t="s">
        <v>3641</v>
      </c>
      <c r="D1315" s="173" t="s">
        <v>470</v>
      </c>
      <c r="E1315">
        <v>2</v>
      </c>
    </row>
    <row r="1316" spans="1:5" hidden="1" x14ac:dyDescent="0.25">
      <c r="A1316" s="173" t="s">
        <v>804</v>
      </c>
      <c r="B1316">
        <v>12507</v>
      </c>
      <c r="C1316" s="173" t="s">
        <v>3641</v>
      </c>
      <c r="D1316" s="173" t="s">
        <v>470</v>
      </c>
      <c r="E1316">
        <v>5</v>
      </c>
    </row>
    <row r="1317" spans="1:5" hidden="1" x14ac:dyDescent="0.25">
      <c r="A1317" s="173" t="s">
        <v>804</v>
      </c>
      <c r="B1317">
        <v>12507</v>
      </c>
      <c r="C1317" s="173" t="s">
        <v>3642</v>
      </c>
      <c r="D1317" s="173" t="s">
        <v>470</v>
      </c>
      <c r="E1317">
        <v>5</v>
      </c>
    </row>
    <row r="1318" spans="1:5" hidden="1" x14ac:dyDescent="0.25">
      <c r="A1318" s="173" t="s">
        <v>804</v>
      </c>
      <c r="B1318">
        <v>12507</v>
      </c>
      <c r="C1318" s="173" t="s">
        <v>3642</v>
      </c>
      <c r="D1318" s="173" t="s">
        <v>470</v>
      </c>
      <c r="E1318">
        <v>2</v>
      </c>
    </row>
    <row r="1319" spans="1:5" x14ac:dyDescent="0.25">
      <c r="A1319" s="173" t="s">
        <v>468</v>
      </c>
      <c r="B1319">
        <v>12517</v>
      </c>
      <c r="C1319" s="173" t="s">
        <v>1531</v>
      </c>
      <c r="D1319" s="173" t="s">
        <v>470</v>
      </c>
      <c r="E1319">
        <v>1</v>
      </c>
    </row>
    <row r="1320" spans="1:5" x14ac:dyDescent="0.25">
      <c r="A1320" s="173" t="s">
        <v>468</v>
      </c>
      <c r="B1320">
        <v>12517</v>
      </c>
      <c r="C1320" s="173" t="s">
        <v>1532</v>
      </c>
      <c r="D1320" s="173" t="s">
        <v>470</v>
      </c>
      <c r="E1320">
        <v>1</v>
      </c>
    </row>
    <row r="1321" spans="1:5" x14ac:dyDescent="0.25">
      <c r="A1321" s="173" t="s">
        <v>468</v>
      </c>
      <c r="B1321">
        <v>12517</v>
      </c>
      <c r="C1321" s="173" t="s">
        <v>1533</v>
      </c>
      <c r="D1321" s="173" t="s">
        <v>470</v>
      </c>
      <c r="E1321">
        <v>1</v>
      </c>
    </row>
    <row r="1322" spans="1:5" x14ac:dyDescent="0.25">
      <c r="A1322" s="173" t="s">
        <v>468</v>
      </c>
      <c r="B1322">
        <v>12517</v>
      </c>
      <c r="C1322" s="173" t="s">
        <v>339</v>
      </c>
      <c r="D1322" s="173" t="s">
        <v>470</v>
      </c>
      <c r="E1322">
        <v>1</v>
      </c>
    </row>
    <row r="1323" spans="1:5" x14ac:dyDescent="0.25">
      <c r="A1323" s="173" t="s">
        <v>468</v>
      </c>
      <c r="B1323">
        <v>12517</v>
      </c>
      <c r="C1323" s="173" t="s">
        <v>1534</v>
      </c>
      <c r="D1323" s="173" t="s">
        <v>470</v>
      </c>
      <c r="E1323">
        <v>1</v>
      </c>
    </row>
    <row r="1324" spans="1:5" x14ac:dyDescent="0.25">
      <c r="A1324" s="173" t="s">
        <v>468</v>
      </c>
      <c r="B1324">
        <v>12517</v>
      </c>
      <c r="C1324" s="173" t="s">
        <v>1535</v>
      </c>
      <c r="D1324" s="173" t="s">
        <v>470</v>
      </c>
      <c r="E1324">
        <v>1</v>
      </c>
    </row>
    <row r="1325" spans="1:5" x14ac:dyDescent="0.25">
      <c r="A1325" s="173" t="s">
        <v>468</v>
      </c>
      <c r="B1325">
        <v>12517</v>
      </c>
      <c r="C1325" s="173" t="s">
        <v>1536</v>
      </c>
      <c r="D1325" s="173" t="s">
        <v>470</v>
      </c>
      <c r="E1325">
        <v>1</v>
      </c>
    </row>
    <row r="1326" spans="1:5" hidden="1" x14ac:dyDescent="0.25">
      <c r="A1326" s="173" t="s">
        <v>804</v>
      </c>
      <c r="B1326">
        <v>12519</v>
      </c>
      <c r="C1326" s="173" t="s">
        <v>1537</v>
      </c>
      <c r="D1326" s="173" t="s">
        <v>470</v>
      </c>
      <c r="E1326">
        <v>2</v>
      </c>
    </row>
    <row r="1327" spans="1:5" hidden="1" x14ac:dyDescent="0.25">
      <c r="A1327" s="173" t="s">
        <v>804</v>
      </c>
      <c r="B1327">
        <v>12519</v>
      </c>
      <c r="C1327" s="173" t="s">
        <v>1538</v>
      </c>
      <c r="D1327" s="173" t="s">
        <v>470</v>
      </c>
      <c r="E1327">
        <v>2</v>
      </c>
    </row>
    <row r="1328" spans="1:5" hidden="1" x14ac:dyDescent="0.25">
      <c r="A1328" s="173" t="s">
        <v>804</v>
      </c>
      <c r="B1328">
        <v>12519</v>
      </c>
      <c r="C1328" s="173" t="s">
        <v>1539</v>
      </c>
      <c r="D1328" s="173" t="s">
        <v>470</v>
      </c>
      <c r="E1328">
        <v>2</v>
      </c>
    </row>
    <row r="1329" spans="1:5" hidden="1" x14ac:dyDescent="0.25">
      <c r="A1329" s="173" t="s">
        <v>804</v>
      </c>
      <c r="B1329">
        <v>12519</v>
      </c>
      <c r="C1329" s="173" t="s">
        <v>1540</v>
      </c>
      <c r="D1329" s="173" t="s">
        <v>470</v>
      </c>
      <c r="E1329">
        <v>2</v>
      </c>
    </row>
    <row r="1330" spans="1:5" hidden="1" x14ac:dyDescent="0.25">
      <c r="A1330" s="173" t="s">
        <v>804</v>
      </c>
      <c r="B1330">
        <v>12519</v>
      </c>
      <c r="C1330" s="173" t="s">
        <v>1541</v>
      </c>
      <c r="D1330" s="173" t="s">
        <v>470</v>
      </c>
      <c r="E1330">
        <v>2</v>
      </c>
    </row>
    <row r="1331" spans="1:5" hidden="1" x14ac:dyDescent="0.25">
      <c r="A1331" s="173" t="s">
        <v>804</v>
      </c>
      <c r="B1331">
        <v>12520</v>
      </c>
      <c r="C1331" s="173" t="s">
        <v>1542</v>
      </c>
      <c r="D1331" s="173" t="s">
        <v>470</v>
      </c>
      <c r="E1331">
        <v>2</v>
      </c>
    </row>
    <row r="1332" spans="1:5" hidden="1" x14ac:dyDescent="0.25">
      <c r="A1332" s="173" t="s">
        <v>804</v>
      </c>
      <c r="B1332">
        <v>12520</v>
      </c>
      <c r="C1332" s="173" t="s">
        <v>1543</v>
      </c>
      <c r="D1332" s="173" t="s">
        <v>470</v>
      </c>
      <c r="E1332">
        <v>2</v>
      </c>
    </row>
    <row r="1333" spans="1:5" hidden="1" x14ac:dyDescent="0.25">
      <c r="A1333" s="173" t="s">
        <v>804</v>
      </c>
      <c r="B1333">
        <v>12520</v>
      </c>
      <c r="C1333" s="173" t="s">
        <v>1544</v>
      </c>
      <c r="D1333" s="173" t="s">
        <v>470</v>
      </c>
      <c r="E1333">
        <v>2</v>
      </c>
    </row>
    <row r="1334" spans="1:5" hidden="1" x14ac:dyDescent="0.25">
      <c r="A1334" s="173" t="s">
        <v>804</v>
      </c>
      <c r="B1334">
        <v>12520</v>
      </c>
      <c r="C1334" s="173" t="s">
        <v>1545</v>
      </c>
      <c r="D1334" s="173" t="s">
        <v>470</v>
      </c>
      <c r="E1334">
        <v>2</v>
      </c>
    </row>
    <row r="1335" spans="1:5" hidden="1" x14ac:dyDescent="0.25">
      <c r="A1335" s="173" t="s">
        <v>804</v>
      </c>
      <c r="B1335">
        <v>12520</v>
      </c>
      <c r="C1335" s="173" t="s">
        <v>1546</v>
      </c>
      <c r="D1335" s="173" t="s">
        <v>470</v>
      </c>
      <c r="E1335">
        <v>2</v>
      </c>
    </row>
    <row r="1336" spans="1:5" hidden="1" x14ac:dyDescent="0.25">
      <c r="A1336" s="173" t="s">
        <v>514</v>
      </c>
      <c r="B1336">
        <v>12529</v>
      </c>
      <c r="C1336" s="173" t="s">
        <v>1547</v>
      </c>
      <c r="D1336" s="173" t="s">
        <v>517</v>
      </c>
      <c r="E1336">
        <v>1</v>
      </c>
    </row>
    <row r="1337" spans="1:5" hidden="1" x14ac:dyDescent="0.25">
      <c r="A1337" s="173" t="s">
        <v>514</v>
      </c>
      <c r="B1337">
        <v>12529</v>
      </c>
      <c r="C1337" s="173" t="s">
        <v>1548</v>
      </c>
      <c r="D1337" s="173" t="s">
        <v>517</v>
      </c>
      <c r="E1337">
        <v>1</v>
      </c>
    </row>
    <row r="1338" spans="1:5" hidden="1" x14ac:dyDescent="0.25">
      <c r="A1338" s="173" t="s">
        <v>514</v>
      </c>
      <c r="B1338">
        <v>12529</v>
      </c>
      <c r="C1338" s="173" t="s">
        <v>1549</v>
      </c>
      <c r="D1338" s="173" t="s">
        <v>517</v>
      </c>
      <c r="E1338">
        <v>1</v>
      </c>
    </row>
    <row r="1339" spans="1:5" hidden="1" x14ac:dyDescent="0.25">
      <c r="A1339" s="173" t="s">
        <v>514</v>
      </c>
      <c r="B1339">
        <v>12529</v>
      </c>
      <c r="C1339" s="173" t="s">
        <v>1550</v>
      </c>
      <c r="D1339" s="173" t="s">
        <v>517</v>
      </c>
      <c r="E1339">
        <v>1</v>
      </c>
    </row>
    <row r="1340" spans="1:5" hidden="1" x14ac:dyDescent="0.25">
      <c r="A1340" s="173" t="s">
        <v>514</v>
      </c>
      <c r="B1340">
        <v>12529</v>
      </c>
      <c r="C1340" s="173" t="s">
        <v>1551</v>
      </c>
      <c r="D1340" s="173" t="s">
        <v>517</v>
      </c>
      <c r="E1340">
        <v>1</v>
      </c>
    </row>
    <row r="1341" spans="1:5" hidden="1" x14ac:dyDescent="0.25">
      <c r="A1341" s="173" t="s">
        <v>514</v>
      </c>
      <c r="B1341">
        <v>12529</v>
      </c>
      <c r="C1341" s="173" t="s">
        <v>1552</v>
      </c>
      <c r="D1341" s="173" t="s">
        <v>517</v>
      </c>
      <c r="E1341">
        <v>1</v>
      </c>
    </row>
    <row r="1342" spans="1:5" hidden="1" x14ac:dyDescent="0.25">
      <c r="A1342" s="173" t="s">
        <v>514</v>
      </c>
      <c r="B1342">
        <v>12529</v>
      </c>
      <c r="C1342" s="173" t="s">
        <v>1553</v>
      </c>
      <c r="D1342" s="173" t="s">
        <v>517</v>
      </c>
      <c r="E1342">
        <v>1</v>
      </c>
    </row>
    <row r="1343" spans="1:5" hidden="1" x14ac:dyDescent="0.25">
      <c r="A1343" s="173" t="s">
        <v>514</v>
      </c>
      <c r="B1343">
        <v>12529</v>
      </c>
      <c r="C1343" s="173" t="s">
        <v>1554</v>
      </c>
      <c r="D1343" s="173" t="s">
        <v>517</v>
      </c>
      <c r="E1343">
        <v>1</v>
      </c>
    </row>
    <row r="1344" spans="1:5" hidden="1" x14ac:dyDescent="0.25">
      <c r="A1344" s="173" t="s">
        <v>514</v>
      </c>
      <c r="B1344">
        <v>12529</v>
      </c>
      <c r="C1344" s="173" t="s">
        <v>1555</v>
      </c>
      <c r="D1344" s="173" t="s">
        <v>517</v>
      </c>
      <c r="E1344">
        <v>1</v>
      </c>
    </row>
    <row r="1345" spans="1:5" hidden="1" x14ac:dyDescent="0.25">
      <c r="A1345" s="173" t="s">
        <v>514</v>
      </c>
      <c r="B1345">
        <v>12529</v>
      </c>
      <c r="C1345" s="173" t="s">
        <v>1556</v>
      </c>
      <c r="D1345" s="173" t="s">
        <v>517</v>
      </c>
      <c r="E1345">
        <v>1</v>
      </c>
    </row>
    <row r="1346" spans="1:5" hidden="1" x14ac:dyDescent="0.25">
      <c r="A1346" s="173" t="s">
        <v>514</v>
      </c>
      <c r="B1346">
        <v>12529</v>
      </c>
      <c r="C1346" s="173" t="s">
        <v>1557</v>
      </c>
      <c r="D1346" s="173" t="s">
        <v>517</v>
      </c>
      <c r="E1346">
        <v>1</v>
      </c>
    </row>
    <row r="1347" spans="1:5" hidden="1" x14ac:dyDescent="0.25">
      <c r="A1347" s="173" t="s">
        <v>514</v>
      </c>
      <c r="B1347">
        <v>12529</v>
      </c>
      <c r="C1347" s="173" t="s">
        <v>1558</v>
      </c>
      <c r="D1347" s="173" t="s">
        <v>517</v>
      </c>
      <c r="E1347">
        <v>1</v>
      </c>
    </row>
    <row r="1348" spans="1:5" hidden="1" x14ac:dyDescent="0.25">
      <c r="A1348" s="173" t="s">
        <v>514</v>
      </c>
      <c r="B1348">
        <v>12529</v>
      </c>
      <c r="C1348" s="173" t="s">
        <v>1559</v>
      </c>
      <c r="D1348" s="173" t="s">
        <v>517</v>
      </c>
      <c r="E1348">
        <v>1</v>
      </c>
    </row>
    <row r="1349" spans="1:5" hidden="1" x14ac:dyDescent="0.25">
      <c r="A1349" s="173" t="s">
        <v>514</v>
      </c>
      <c r="B1349">
        <v>12529</v>
      </c>
      <c r="C1349" s="173" t="s">
        <v>1560</v>
      </c>
      <c r="D1349" s="173" t="s">
        <v>517</v>
      </c>
      <c r="E1349">
        <v>1</v>
      </c>
    </row>
    <row r="1350" spans="1:5" hidden="1" x14ac:dyDescent="0.25">
      <c r="A1350" s="173" t="s">
        <v>514</v>
      </c>
      <c r="B1350">
        <v>12536</v>
      </c>
      <c r="C1350" s="173" t="s">
        <v>1561</v>
      </c>
      <c r="D1350" s="173" t="s">
        <v>517</v>
      </c>
      <c r="E1350">
        <v>2</v>
      </c>
    </row>
    <row r="1351" spans="1:5" hidden="1" x14ac:dyDescent="0.25">
      <c r="A1351" s="173" t="s">
        <v>514</v>
      </c>
      <c r="B1351">
        <v>12536</v>
      </c>
      <c r="C1351" s="173" t="s">
        <v>1562</v>
      </c>
      <c r="D1351" s="173" t="s">
        <v>517</v>
      </c>
      <c r="E1351">
        <v>2</v>
      </c>
    </row>
    <row r="1352" spans="1:5" hidden="1" x14ac:dyDescent="0.25">
      <c r="A1352" s="173" t="s">
        <v>514</v>
      </c>
      <c r="B1352">
        <v>12536</v>
      </c>
      <c r="C1352" s="173" t="s">
        <v>1563</v>
      </c>
      <c r="D1352" s="173" t="s">
        <v>517</v>
      </c>
      <c r="E1352">
        <v>2</v>
      </c>
    </row>
    <row r="1353" spans="1:5" hidden="1" x14ac:dyDescent="0.25">
      <c r="A1353" s="173" t="s">
        <v>514</v>
      </c>
      <c r="B1353">
        <v>12536</v>
      </c>
      <c r="C1353" s="173" t="s">
        <v>1564</v>
      </c>
      <c r="D1353" s="173" t="s">
        <v>517</v>
      </c>
      <c r="E1353">
        <v>2</v>
      </c>
    </row>
    <row r="1354" spans="1:5" hidden="1" x14ac:dyDescent="0.25">
      <c r="A1354" s="173" t="s">
        <v>514</v>
      </c>
      <c r="B1354">
        <v>12536</v>
      </c>
      <c r="C1354" s="173" t="s">
        <v>1565</v>
      </c>
      <c r="D1354" s="173" t="s">
        <v>517</v>
      </c>
      <c r="E1354">
        <v>2</v>
      </c>
    </row>
    <row r="1355" spans="1:5" hidden="1" x14ac:dyDescent="0.25">
      <c r="A1355" s="173" t="s">
        <v>514</v>
      </c>
      <c r="B1355">
        <v>12536</v>
      </c>
      <c r="C1355" s="173" t="s">
        <v>1566</v>
      </c>
      <c r="D1355" s="173" t="s">
        <v>517</v>
      </c>
      <c r="E1355">
        <v>2</v>
      </c>
    </row>
    <row r="1356" spans="1:5" hidden="1" x14ac:dyDescent="0.25">
      <c r="A1356" s="173" t="s">
        <v>514</v>
      </c>
      <c r="B1356">
        <v>12536</v>
      </c>
      <c r="C1356" s="173" t="s">
        <v>1567</v>
      </c>
      <c r="D1356" s="173" t="s">
        <v>517</v>
      </c>
      <c r="E1356">
        <v>2</v>
      </c>
    </row>
    <row r="1357" spans="1:5" hidden="1" x14ac:dyDescent="0.25">
      <c r="A1357" s="173" t="s">
        <v>514</v>
      </c>
      <c r="B1357">
        <v>12536</v>
      </c>
      <c r="C1357" s="173" t="s">
        <v>1568</v>
      </c>
      <c r="D1357" s="173" t="s">
        <v>517</v>
      </c>
      <c r="E1357">
        <v>2</v>
      </c>
    </row>
    <row r="1358" spans="1:5" hidden="1" x14ac:dyDescent="0.25">
      <c r="A1358" s="173" t="s">
        <v>514</v>
      </c>
      <c r="B1358">
        <v>12536</v>
      </c>
      <c r="C1358" s="173" t="s">
        <v>1569</v>
      </c>
      <c r="D1358" s="173" t="s">
        <v>517</v>
      </c>
      <c r="E1358">
        <v>2</v>
      </c>
    </row>
    <row r="1359" spans="1:5" hidden="1" x14ac:dyDescent="0.25">
      <c r="A1359" s="173" t="s">
        <v>514</v>
      </c>
      <c r="B1359">
        <v>12536</v>
      </c>
      <c r="C1359" s="173" t="s">
        <v>1570</v>
      </c>
      <c r="D1359" s="173" t="s">
        <v>517</v>
      </c>
      <c r="E1359">
        <v>2</v>
      </c>
    </row>
    <row r="1360" spans="1:5" hidden="1" x14ac:dyDescent="0.25">
      <c r="A1360" s="173" t="s">
        <v>514</v>
      </c>
      <c r="B1360">
        <v>12537</v>
      </c>
      <c r="C1360" s="173" t="s">
        <v>1571</v>
      </c>
      <c r="D1360" s="173" t="s">
        <v>517</v>
      </c>
      <c r="E1360">
        <v>2</v>
      </c>
    </row>
    <row r="1361" spans="1:5" hidden="1" x14ac:dyDescent="0.25">
      <c r="A1361" s="173" t="s">
        <v>514</v>
      </c>
      <c r="B1361">
        <v>12537</v>
      </c>
      <c r="C1361" s="173" t="s">
        <v>1572</v>
      </c>
      <c r="D1361" s="173" t="s">
        <v>517</v>
      </c>
      <c r="E1361">
        <v>1</v>
      </c>
    </row>
    <row r="1362" spans="1:5" hidden="1" x14ac:dyDescent="0.25">
      <c r="A1362" s="173" t="s">
        <v>514</v>
      </c>
      <c r="B1362">
        <v>12537</v>
      </c>
      <c r="C1362" s="173" t="s">
        <v>1573</v>
      </c>
      <c r="D1362" s="173" t="s">
        <v>517</v>
      </c>
      <c r="E1362">
        <v>2</v>
      </c>
    </row>
    <row r="1363" spans="1:5" hidden="1" x14ac:dyDescent="0.25">
      <c r="A1363" s="173" t="s">
        <v>514</v>
      </c>
      <c r="B1363">
        <v>12537</v>
      </c>
      <c r="C1363" s="173" t="s">
        <v>1574</v>
      </c>
      <c r="D1363" s="173" t="s">
        <v>517</v>
      </c>
      <c r="E1363">
        <v>2</v>
      </c>
    </row>
    <row r="1364" spans="1:5" hidden="1" x14ac:dyDescent="0.25">
      <c r="A1364" s="173" t="s">
        <v>514</v>
      </c>
      <c r="B1364">
        <v>12537</v>
      </c>
      <c r="C1364" s="173" t="s">
        <v>1575</v>
      </c>
      <c r="D1364" s="173" t="s">
        <v>470</v>
      </c>
      <c r="E1364">
        <v>1</v>
      </c>
    </row>
    <row r="1365" spans="1:5" hidden="1" x14ac:dyDescent="0.25">
      <c r="A1365" s="173" t="s">
        <v>514</v>
      </c>
      <c r="B1365">
        <v>12537</v>
      </c>
      <c r="C1365" s="173" t="s">
        <v>1575</v>
      </c>
      <c r="D1365" s="173" t="s">
        <v>517</v>
      </c>
      <c r="E1365">
        <v>1</v>
      </c>
    </row>
    <row r="1366" spans="1:5" hidden="1" x14ac:dyDescent="0.25">
      <c r="A1366" s="173" t="s">
        <v>514</v>
      </c>
      <c r="B1366">
        <v>12537</v>
      </c>
      <c r="C1366" s="173" t="s">
        <v>1576</v>
      </c>
      <c r="D1366" s="173" t="s">
        <v>517</v>
      </c>
      <c r="E1366">
        <v>1</v>
      </c>
    </row>
    <row r="1367" spans="1:5" hidden="1" x14ac:dyDescent="0.25">
      <c r="A1367" s="173" t="s">
        <v>514</v>
      </c>
      <c r="B1367">
        <v>12537</v>
      </c>
      <c r="C1367" s="173" t="s">
        <v>1576</v>
      </c>
      <c r="D1367" s="173" t="s">
        <v>470</v>
      </c>
      <c r="E1367">
        <v>1</v>
      </c>
    </row>
    <row r="1368" spans="1:5" hidden="1" x14ac:dyDescent="0.25">
      <c r="A1368" s="173" t="s">
        <v>514</v>
      </c>
      <c r="B1368">
        <v>12537</v>
      </c>
      <c r="C1368" s="173" t="s">
        <v>1577</v>
      </c>
      <c r="D1368" s="173" t="s">
        <v>517</v>
      </c>
      <c r="E1368">
        <v>1</v>
      </c>
    </row>
    <row r="1369" spans="1:5" hidden="1" x14ac:dyDescent="0.25">
      <c r="A1369" s="173" t="s">
        <v>514</v>
      </c>
      <c r="B1369">
        <v>12537</v>
      </c>
      <c r="C1369" s="173" t="s">
        <v>1577</v>
      </c>
      <c r="D1369" s="173" t="s">
        <v>470</v>
      </c>
      <c r="E1369">
        <v>1</v>
      </c>
    </row>
    <row r="1370" spans="1:5" hidden="1" x14ac:dyDescent="0.25">
      <c r="A1370" s="173" t="s">
        <v>514</v>
      </c>
      <c r="B1370">
        <v>12557</v>
      </c>
      <c r="C1370" s="173" t="s">
        <v>3643</v>
      </c>
      <c r="D1370" s="173" t="s">
        <v>470</v>
      </c>
      <c r="E1370">
        <v>1</v>
      </c>
    </row>
    <row r="1371" spans="1:5" hidden="1" x14ac:dyDescent="0.25">
      <c r="A1371" s="173" t="s">
        <v>514</v>
      </c>
      <c r="B1371">
        <v>12557</v>
      </c>
      <c r="C1371" s="173" t="s">
        <v>3643</v>
      </c>
      <c r="D1371" s="173" t="s">
        <v>517</v>
      </c>
      <c r="E1371">
        <v>1</v>
      </c>
    </row>
    <row r="1372" spans="1:5" hidden="1" x14ac:dyDescent="0.25">
      <c r="A1372" s="173" t="s">
        <v>514</v>
      </c>
      <c r="B1372">
        <v>12557</v>
      </c>
      <c r="C1372" s="173" t="s">
        <v>3644</v>
      </c>
      <c r="D1372" s="173" t="s">
        <v>470</v>
      </c>
      <c r="E1372">
        <v>1</v>
      </c>
    </row>
    <row r="1373" spans="1:5" hidden="1" x14ac:dyDescent="0.25">
      <c r="A1373" s="173" t="s">
        <v>514</v>
      </c>
      <c r="B1373">
        <v>12557</v>
      </c>
      <c r="C1373" s="173" t="s">
        <v>3644</v>
      </c>
      <c r="D1373" s="173" t="s">
        <v>517</v>
      </c>
      <c r="E1373">
        <v>1</v>
      </c>
    </row>
    <row r="1374" spans="1:5" hidden="1" x14ac:dyDescent="0.25">
      <c r="A1374" s="173" t="s">
        <v>514</v>
      </c>
      <c r="B1374">
        <v>12557</v>
      </c>
      <c r="C1374" s="173" t="s">
        <v>3645</v>
      </c>
      <c r="D1374" s="173" t="s">
        <v>517</v>
      </c>
      <c r="E1374">
        <v>1</v>
      </c>
    </row>
    <row r="1375" spans="1:5" hidden="1" x14ac:dyDescent="0.25">
      <c r="A1375" s="173" t="s">
        <v>514</v>
      </c>
      <c r="B1375">
        <v>12557</v>
      </c>
      <c r="C1375" s="173" t="s">
        <v>3645</v>
      </c>
      <c r="D1375" s="173" t="s">
        <v>470</v>
      </c>
      <c r="E1375">
        <v>1</v>
      </c>
    </row>
    <row r="1376" spans="1:5" hidden="1" x14ac:dyDescent="0.25">
      <c r="A1376" s="173" t="s">
        <v>514</v>
      </c>
      <c r="B1376">
        <v>12557</v>
      </c>
      <c r="C1376" s="173" t="s">
        <v>3646</v>
      </c>
      <c r="D1376" s="173" t="s">
        <v>517</v>
      </c>
      <c r="E1376">
        <v>1</v>
      </c>
    </row>
    <row r="1377" spans="1:5" hidden="1" x14ac:dyDescent="0.25">
      <c r="A1377" s="173" t="s">
        <v>514</v>
      </c>
      <c r="B1377">
        <v>12557</v>
      </c>
      <c r="C1377" s="173" t="s">
        <v>3646</v>
      </c>
      <c r="D1377" s="173" t="s">
        <v>470</v>
      </c>
      <c r="E1377">
        <v>1</v>
      </c>
    </row>
    <row r="1378" spans="1:5" hidden="1" x14ac:dyDescent="0.25">
      <c r="A1378" s="173" t="s">
        <v>514</v>
      </c>
      <c r="B1378">
        <v>12557</v>
      </c>
      <c r="C1378" s="173" t="s">
        <v>3647</v>
      </c>
      <c r="D1378" s="173" t="s">
        <v>517</v>
      </c>
      <c r="E1378">
        <v>1</v>
      </c>
    </row>
    <row r="1379" spans="1:5" hidden="1" x14ac:dyDescent="0.25">
      <c r="A1379" s="173" t="s">
        <v>514</v>
      </c>
      <c r="B1379">
        <v>12557</v>
      </c>
      <c r="C1379" s="173" t="s">
        <v>3647</v>
      </c>
      <c r="D1379" s="173" t="s">
        <v>470</v>
      </c>
      <c r="E1379">
        <v>1</v>
      </c>
    </row>
    <row r="1380" spans="1:5" hidden="1" x14ac:dyDescent="0.25">
      <c r="A1380" s="173" t="s">
        <v>514</v>
      </c>
      <c r="B1380">
        <v>12557</v>
      </c>
      <c r="C1380" s="173" t="s">
        <v>3648</v>
      </c>
      <c r="D1380" s="173" t="s">
        <v>517</v>
      </c>
      <c r="E1380">
        <v>1</v>
      </c>
    </row>
    <row r="1381" spans="1:5" hidden="1" x14ac:dyDescent="0.25">
      <c r="A1381" s="173" t="s">
        <v>514</v>
      </c>
      <c r="B1381">
        <v>12557</v>
      </c>
      <c r="C1381" s="173" t="s">
        <v>3648</v>
      </c>
      <c r="D1381" s="173" t="s">
        <v>470</v>
      </c>
      <c r="E1381">
        <v>1</v>
      </c>
    </row>
    <row r="1382" spans="1:5" x14ac:dyDescent="0.25">
      <c r="A1382" s="173" t="s">
        <v>468</v>
      </c>
      <c r="B1382">
        <v>12562</v>
      </c>
      <c r="C1382" s="173" t="s">
        <v>1578</v>
      </c>
      <c r="D1382" s="173" t="s">
        <v>470</v>
      </c>
      <c r="E1382">
        <v>3</v>
      </c>
    </row>
    <row r="1383" spans="1:5" x14ac:dyDescent="0.25">
      <c r="A1383" s="173" t="s">
        <v>468</v>
      </c>
      <c r="B1383">
        <v>12562</v>
      </c>
      <c r="C1383" s="173" t="s">
        <v>1579</v>
      </c>
      <c r="D1383" s="173" t="s">
        <v>470</v>
      </c>
      <c r="E1383">
        <v>3</v>
      </c>
    </row>
    <row r="1384" spans="1:5" x14ac:dyDescent="0.25">
      <c r="A1384" s="173" t="s">
        <v>468</v>
      </c>
      <c r="B1384">
        <v>12562</v>
      </c>
      <c r="C1384" s="173" t="s">
        <v>1580</v>
      </c>
      <c r="D1384" s="173" t="s">
        <v>470</v>
      </c>
      <c r="E1384">
        <v>3</v>
      </c>
    </row>
    <row r="1385" spans="1:5" x14ac:dyDescent="0.25">
      <c r="A1385" s="173" t="s">
        <v>468</v>
      </c>
      <c r="B1385">
        <v>12562</v>
      </c>
      <c r="C1385" s="173" t="s">
        <v>1581</v>
      </c>
      <c r="D1385" s="173" t="s">
        <v>470</v>
      </c>
      <c r="E1385">
        <v>3</v>
      </c>
    </row>
    <row r="1386" spans="1:5" x14ac:dyDescent="0.25">
      <c r="A1386" s="173" t="s">
        <v>468</v>
      </c>
      <c r="B1386">
        <v>12562</v>
      </c>
      <c r="C1386" s="173" t="s">
        <v>1582</v>
      </c>
      <c r="D1386" s="173" t="s">
        <v>470</v>
      </c>
      <c r="E1386">
        <v>3</v>
      </c>
    </row>
    <row r="1387" spans="1:5" x14ac:dyDescent="0.25">
      <c r="A1387" s="173" t="s">
        <v>468</v>
      </c>
      <c r="B1387">
        <v>12562</v>
      </c>
      <c r="C1387" s="173" t="s">
        <v>410</v>
      </c>
      <c r="D1387" s="173" t="s">
        <v>470</v>
      </c>
      <c r="E1387">
        <v>3</v>
      </c>
    </row>
    <row r="1388" spans="1:5" x14ac:dyDescent="0.25">
      <c r="A1388" s="173" t="s">
        <v>468</v>
      </c>
      <c r="B1388">
        <v>12562</v>
      </c>
      <c r="C1388" s="173" t="s">
        <v>1583</v>
      </c>
      <c r="D1388" s="173" t="s">
        <v>470</v>
      </c>
      <c r="E1388">
        <v>3</v>
      </c>
    </row>
    <row r="1389" spans="1:5" x14ac:dyDescent="0.25">
      <c r="A1389" s="173" t="s">
        <v>468</v>
      </c>
      <c r="B1389">
        <v>12562</v>
      </c>
      <c r="C1389" s="173" t="s">
        <v>1584</v>
      </c>
      <c r="D1389" s="173" t="s">
        <v>470</v>
      </c>
      <c r="E1389">
        <v>3</v>
      </c>
    </row>
    <row r="1390" spans="1:5" x14ac:dyDescent="0.25">
      <c r="A1390" s="173" t="s">
        <v>468</v>
      </c>
      <c r="B1390">
        <v>12562</v>
      </c>
      <c r="C1390" s="173" t="s">
        <v>1585</v>
      </c>
      <c r="D1390" s="173" t="s">
        <v>470</v>
      </c>
      <c r="E1390">
        <v>3</v>
      </c>
    </row>
    <row r="1391" spans="1:5" x14ac:dyDescent="0.25">
      <c r="A1391" s="173" t="s">
        <v>468</v>
      </c>
      <c r="B1391">
        <v>12562</v>
      </c>
      <c r="C1391" s="173" t="s">
        <v>411</v>
      </c>
      <c r="D1391" s="173" t="s">
        <v>470</v>
      </c>
      <c r="E1391">
        <v>3</v>
      </c>
    </row>
    <row r="1392" spans="1:5" hidden="1" x14ac:dyDescent="0.25">
      <c r="A1392" s="173" t="s">
        <v>514</v>
      </c>
      <c r="B1392">
        <v>12563</v>
      </c>
      <c r="C1392" s="173" t="s">
        <v>1586</v>
      </c>
      <c r="D1392" s="173" t="s">
        <v>470</v>
      </c>
      <c r="E1392">
        <v>3</v>
      </c>
    </row>
    <row r="1393" spans="1:5" hidden="1" x14ac:dyDescent="0.25">
      <c r="A1393" s="173" t="s">
        <v>514</v>
      </c>
      <c r="B1393">
        <v>12563</v>
      </c>
      <c r="C1393" s="173" t="s">
        <v>1586</v>
      </c>
      <c r="D1393" s="173" t="s">
        <v>517</v>
      </c>
      <c r="E1393">
        <v>1</v>
      </c>
    </row>
    <row r="1394" spans="1:5" hidden="1" x14ac:dyDescent="0.25">
      <c r="A1394" s="173" t="s">
        <v>514</v>
      </c>
      <c r="B1394">
        <v>12563</v>
      </c>
      <c r="C1394" s="173" t="s">
        <v>1587</v>
      </c>
      <c r="D1394" s="173" t="s">
        <v>517</v>
      </c>
      <c r="E1394">
        <v>1</v>
      </c>
    </row>
    <row r="1395" spans="1:5" hidden="1" x14ac:dyDescent="0.25">
      <c r="A1395" s="173" t="s">
        <v>514</v>
      </c>
      <c r="B1395">
        <v>12563</v>
      </c>
      <c r="C1395" s="173" t="s">
        <v>1587</v>
      </c>
      <c r="D1395" s="173" t="s">
        <v>470</v>
      </c>
      <c r="E1395">
        <v>3</v>
      </c>
    </row>
    <row r="1396" spans="1:5" hidden="1" x14ac:dyDescent="0.25">
      <c r="A1396" s="173" t="s">
        <v>514</v>
      </c>
      <c r="B1396">
        <v>12563</v>
      </c>
      <c r="C1396" s="173" t="s">
        <v>1588</v>
      </c>
      <c r="D1396" s="173" t="s">
        <v>470</v>
      </c>
      <c r="E1396">
        <v>3</v>
      </c>
    </row>
    <row r="1397" spans="1:5" hidden="1" x14ac:dyDescent="0.25">
      <c r="A1397" s="173" t="s">
        <v>514</v>
      </c>
      <c r="B1397">
        <v>12563</v>
      </c>
      <c r="C1397" s="173" t="s">
        <v>1588</v>
      </c>
      <c r="D1397" s="173" t="s">
        <v>517</v>
      </c>
      <c r="E1397">
        <v>1</v>
      </c>
    </row>
    <row r="1398" spans="1:5" hidden="1" x14ac:dyDescent="0.25">
      <c r="A1398" s="173" t="s">
        <v>514</v>
      </c>
      <c r="B1398">
        <v>12563</v>
      </c>
      <c r="C1398" s="173" t="s">
        <v>1589</v>
      </c>
      <c r="D1398" s="173" t="s">
        <v>517</v>
      </c>
      <c r="E1398">
        <v>1</v>
      </c>
    </row>
    <row r="1399" spans="1:5" hidden="1" x14ac:dyDescent="0.25">
      <c r="A1399" s="173" t="s">
        <v>514</v>
      </c>
      <c r="B1399">
        <v>12563</v>
      </c>
      <c r="C1399" s="173" t="s">
        <v>1589</v>
      </c>
      <c r="D1399" s="173" t="s">
        <v>470</v>
      </c>
      <c r="E1399">
        <v>3</v>
      </c>
    </row>
    <row r="1400" spans="1:5" hidden="1" x14ac:dyDescent="0.25">
      <c r="A1400" s="173" t="s">
        <v>514</v>
      </c>
      <c r="B1400">
        <v>12563</v>
      </c>
      <c r="C1400" s="173" t="s">
        <v>1590</v>
      </c>
      <c r="D1400" s="173" t="s">
        <v>517</v>
      </c>
      <c r="E1400">
        <v>1</v>
      </c>
    </row>
    <row r="1401" spans="1:5" hidden="1" x14ac:dyDescent="0.25">
      <c r="A1401" s="173" t="s">
        <v>514</v>
      </c>
      <c r="B1401">
        <v>12563</v>
      </c>
      <c r="C1401" s="173" t="s">
        <v>1590</v>
      </c>
      <c r="D1401" s="173" t="s">
        <v>470</v>
      </c>
      <c r="E1401">
        <v>3</v>
      </c>
    </row>
    <row r="1402" spans="1:5" hidden="1" x14ac:dyDescent="0.25">
      <c r="A1402" s="173" t="s">
        <v>514</v>
      </c>
      <c r="B1402">
        <v>12563</v>
      </c>
      <c r="C1402" s="173" t="s">
        <v>1591</v>
      </c>
      <c r="D1402" s="173" t="s">
        <v>517</v>
      </c>
      <c r="E1402">
        <v>1</v>
      </c>
    </row>
    <row r="1403" spans="1:5" hidden="1" x14ac:dyDescent="0.25">
      <c r="A1403" s="173" t="s">
        <v>514</v>
      </c>
      <c r="B1403">
        <v>12563</v>
      </c>
      <c r="C1403" s="173" t="s">
        <v>1591</v>
      </c>
      <c r="D1403" s="173" t="s">
        <v>470</v>
      </c>
      <c r="E1403">
        <v>2</v>
      </c>
    </row>
    <row r="1404" spans="1:5" hidden="1" x14ac:dyDescent="0.25">
      <c r="A1404" s="173" t="s">
        <v>514</v>
      </c>
      <c r="B1404">
        <v>12563</v>
      </c>
      <c r="C1404" s="173" t="s">
        <v>1592</v>
      </c>
      <c r="D1404" s="173" t="s">
        <v>470</v>
      </c>
      <c r="E1404">
        <v>3</v>
      </c>
    </row>
    <row r="1405" spans="1:5" hidden="1" x14ac:dyDescent="0.25">
      <c r="A1405" s="173" t="s">
        <v>514</v>
      </c>
      <c r="B1405">
        <v>12563</v>
      </c>
      <c r="C1405" s="173" t="s">
        <v>1592</v>
      </c>
      <c r="D1405" s="173" t="s">
        <v>517</v>
      </c>
      <c r="E1405">
        <v>1</v>
      </c>
    </row>
    <row r="1406" spans="1:5" x14ac:dyDescent="0.25">
      <c r="A1406" s="173" t="s">
        <v>468</v>
      </c>
      <c r="B1406">
        <v>12565</v>
      </c>
      <c r="C1406" s="173" t="s">
        <v>1593</v>
      </c>
      <c r="D1406" s="173" t="s">
        <v>470</v>
      </c>
      <c r="E1406">
        <v>3</v>
      </c>
    </row>
    <row r="1407" spans="1:5" x14ac:dyDescent="0.25">
      <c r="A1407" s="173" t="s">
        <v>468</v>
      </c>
      <c r="B1407">
        <v>12565</v>
      </c>
      <c r="C1407" s="173" t="s">
        <v>1594</v>
      </c>
      <c r="D1407" s="173" t="s">
        <v>470</v>
      </c>
      <c r="E1407">
        <v>3</v>
      </c>
    </row>
    <row r="1408" spans="1:5" x14ac:dyDescent="0.25">
      <c r="A1408" s="173" t="s">
        <v>468</v>
      </c>
      <c r="B1408">
        <v>12565</v>
      </c>
      <c r="C1408" s="173" t="s">
        <v>1595</v>
      </c>
      <c r="D1408" s="173" t="s">
        <v>470</v>
      </c>
      <c r="E1408">
        <v>3</v>
      </c>
    </row>
    <row r="1409" spans="1:5" x14ac:dyDescent="0.25">
      <c r="A1409" s="173" t="s">
        <v>468</v>
      </c>
      <c r="B1409">
        <v>12565</v>
      </c>
      <c r="C1409" s="173" t="s">
        <v>1596</v>
      </c>
      <c r="D1409" s="173" t="s">
        <v>470</v>
      </c>
      <c r="E1409">
        <v>3</v>
      </c>
    </row>
    <row r="1410" spans="1:5" x14ac:dyDescent="0.25">
      <c r="A1410" s="173" t="s">
        <v>468</v>
      </c>
      <c r="B1410">
        <v>12565</v>
      </c>
      <c r="C1410" s="173" t="s">
        <v>1597</v>
      </c>
      <c r="D1410" s="173" t="s">
        <v>470</v>
      </c>
      <c r="E1410">
        <v>3</v>
      </c>
    </row>
    <row r="1411" spans="1:5" x14ac:dyDescent="0.25">
      <c r="A1411" s="173" t="s">
        <v>468</v>
      </c>
      <c r="B1411">
        <v>12565</v>
      </c>
      <c r="C1411" s="173" t="s">
        <v>408</v>
      </c>
      <c r="D1411" s="173" t="s">
        <v>470</v>
      </c>
      <c r="E1411">
        <v>1</v>
      </c>
    </row>
    <row r="1412" spans="1:5" x14ac:dyDescent="0.25">
      <c r="A1412" s="173" t="s">
        <v>468</v>
      </c>
      <c r="B1412">
        <v>12565</v>
      </c>
      <c r="C1412" s="173" t="s">
        <v>1598</v>
      </c>
      <c r="D1412" s="173" t="s">
        <v>470</v>
      </c>
      <c r="E1412">
        <v>1</v>
      </c>
    </row>
    <row r="1413" spans="1:5" x14ac:dyDescent="0.25">
      <c r="A1413" s="173" t="s">
        <v>468</v>
      </c>
      <c r="B1413">
        <v>12565</v>
      </c>
      <c r="C1413" s="173" t="s">
        <v>1599</v>
      </c>
      <c r="D1413" s="173" t="s">
        <v>470</v>
      </c>
      <c r="E1413">
        <v>3</v>
      </c>
    </row>
    <row r="1414" spans="1:5" x14ac:dyDescent="0.25">
      <c r="A1414" s="173" t="s">
        <v>468</v>
      </c>
      <c r="B1414">
        <v>12565</v>
      </c>
      <c r="C1414" s="173" t="s">
        <v>1600</v>
      </c>
      <c r="D1414" s="173" t="s">
        <v>470</v>
      </c>
      <c r="E1414">
        <v>3</v>
      </c>
    </row>
    <row r="1415" spans="1:5" x14ac:dyDescent="0.25">
      <c r="A1415" s="173" t="s">
        <v>468</v>
      </c>
      <c r="B1415">
        <v>12565</v>
      </c>
      <c r="C1415" s="173" t="s">
        <v>1601</v>
      </c>
      <c r="D1415" s="173" t="s">
        <v>470</v>
      </c>
      <c r="E1415">
        <v>3</v>
      </c>
    </row>
    <row r="1416" spans="1:5" x14ac:dyDescent="0.25">
      <c r="A1416" s="173" t="s">
        <v>468</v>
      </c>
      <c r="B1416">
        <v>12571</v>
      </c>
      <c r="C1416" s="173" t="s">
        <v>1602</v>
      </c>
      <c r="D1416" s="173" t="s">
        <v>470</v>
      </c>
      <c r="E1416">
        <v>4</v>
      </c>
    </row>
    <row r="1417" spans="1:5" x14ac:dyDescent="0.25">
      <c r="A1417" s="173" t="s">
        <v>468</v>
      </c>
      <c r="B1417">
        <v>12571</v>
      </c>
      <c r="C1417" s="173" t="s">
        <v>1603</v>
      </c>
      <c r="D1417" s="173" t="s">
        <v>470</v>
      </c>
      <c r="E1417">
        <v>3</v>
      </c>
    </row>
    <row r="1418" spans="1:5" x14ac:dyDescent="0.25">
      <c r="A1418" s="173" t="s">
        <v>468</v>
      </c>
      <c r="B1418">
        <v>12571</v>
      </c>
      <c r="C1418" s="173" t="s">
        <v>1604</v>
      </c>
      <c r="D1418" s="173" t="s">
        <v>470</v>
      </c>
      <c r="E1418">
        <v>3</v>
      </c>
    </row>
    <row r="1419" spans="1:5" x14ac:dyDescent="0.25">
      <c r="A1419" s="173" t="s">
        <v>468</v>
      </c>
      <c r="B1419">
        <v>12571</v>
      </c>
      <c r="C1419" s="173" t="s">
        <v>1605</v>
      </c>
      <c r="D1419" s="173" t="s">
        <v>470</v>
      </c>
      <c r="E1419">
        <v>3</v>
      </c>
    </row>
    <row r="1420" spans="1:5" x14ac:dyDescent="0.25">
      <c r="A1420" s="173" t="s">
        <v>468</v>
      </c>
      <c r="B1420">
        <v>12571</v>
      </c>
      <c r="C1420" s="173" t="s">
        <v>1606</v>
      </c>
      <c r="D1420" s="173" t="s">
        <v>470</v>
      </c>
      <c r="E1420">
        <v>3</v>
      </c>
    </row>
    <row r="1421" spans="1:5" x14ac:dyDescent="0.25">
      <c r="A1421" s="173" t="s">
        <v>468</v>
      </c>
      <c r="B1421">
        <v>12571</v>
      </c>
      <c r="C1421" s="173" t="s">
        <v>1607</v>
      </c>
      <c r="D1421" s="173" t="s">
        <v>470</v>
      </c>
      <c r="E1421">
        <v>5</v>
      </c>
    </row>
    <row r="1422" spans="1:5" x14ac:dyDescent="0.25">
      <c r="A1422" s="173" t="s">
        <v>468</v>
      </c>
      <c r="B1422">
        <v>12571</v>
      </c>
      <c r="C1422" s="173" t="s">
        <v>1608</v>
      </c>
      <c r="D1422" s="173" t="s">
        <v>470</v>
      </c>
      <c r="E1422">
        <v>5</v>
      </c>
    </row>
    <row r="1423" spans="1:5" hidden="1" x14ac:dyDescent="0.25">
      <c r="A1423" s="173" t="s">
        <v>804</v>
      </c>
      <c r="B1423">
        <v>12573</v>
      </c>
      <c r="C1423" s="173" t="s">
        <v>1609</v>
      </c>
      <c r="D1423" s="173" t="s">
        <v>470</v>
      </c>
      <c r="E1423">
        <v>1</v>
      </c>
    </row>
    <row r="1424" spans="1:5" hidden="1" x14ac:dyDescent="0.25">
      <c r="A1424" s="173" t="s">
        <v>804</v>
      </c>
      <c r="B1424">
        <v>12573</v>
      </c>
      <c r="C1424" s="173" t="s">
        <v>1610</v>
      </c>
      <c r="D1424" s="173" t="s">
        <v>470</v>
      </c>
      <c r="E1424">
        <v>1</v>
      </c>
    </row>
    <row r="1425" spans="1:5" hidden="1" x14ac:dyDescent="0.25">
      <c r="A1425" s="173" t="s">
        <v>804</v>
      </c>
      <c r="B1425">
        <v>12573</v>
      </c>
      <c r="C1425" s="173" t="s">
        <v>1611</v>
      </c>
      <c r="D1425" s="173" t="s">
        <v>470</v>
      </c>
      <c r="E1425">
        <v>1</v>
      </c>
    </row>
    <row r="1426" spans="1:5" hidden="1" x14ac:dyDescent="0.25">
      <c r="A1426" s="173" t="s">
        <v>804</v>
      </c>
      <c r="B1426">
        <v>12573</v>
      </c>
      <c r="C1426" s="173" t="s">
        <v>1612</v>
      </c>
      <c r="D1426" s="173" t="s">
        <v>470</v>
      </c>
      <c r="E1426">
        <v>1</v>
      </c>
    </row>
    <row r="1427" spans="1:5" hidden="1" x14ac:dyDescent="0.25">
      <c r="A1427" s="173" t="s">
        <v>804</v>
      </c>
      <c r="B1427">
        <v>12573</v>
      </c>
      <c r="C1427" s="173" t="s">
        <v>1613</v>
      </c>
      <c r="D1427" s="173" t="s">
        <v>470</v>
      </c>
      <c r="E1427">
        <v>1</v>
      </c>
    </row>
    <row r="1428" spans="1:5" hidden="1" x14ac:dyDescent="0.25">
      <c r="A1428" s="173" t="s">
        <v>804</v>
      </c>
      <c r="B1428">
        <v>12573</v>
      </c>
      <c r="C1428" s="173" t="s">
        <v>1614</v>
      </c>
      <c r="D1428" s="173" t="s">
        <v>470</v>
      </c>
      <c r="E1428">
        <v>1</v>
      </c>
    </row>
    <row r="1429" spans="1:5" hidden="1" x14ac:dyDescent="0.25">
      <c r="A1429" s="173" t="s">
        <v>804</v>
      </c>
      <c r="B1429">
        <v>12573</v>
      </c>
      <c r="C1429" s="173" t="s">
        <v>1615</v>
      </c>
      <c r="D1429" s="173" t="s">
        <v>470</v>
      </c>
      <c r="E1429">
        <v>1</v>
      </c>
    </row>
    <row r="1430" spans="1:5" hidden="1" x14ac:dyDescent="0.25">
      <c r="A1430" s="173" t="s">
        <v>804</v>
      </c>
      <c r="B1430">
        <v>12573</v>
      </c>
      <c r="C1430" s="173" t="s">
        <v>1616</v>
      </c>
      <c r="D1430" s="173" t="s">
        <v>470</v>
      </c>
      <c r="E1430">
        <v>1</v>
      </c>
    </row>
    <row r="1431" spans="1:5" hidden="1" x14ac:dyDescent="0.25">
      <c r="A1431" s="173" t="s">
        <v>804</v>
      </c>
      <c r="B1431">
        <v>12573</v>
      </c>
      <c r="C1431" s="173" t="s">
        <v>1617</v>
      </c>
      <c r="D1431" s="173" t="s">
        <v>470</v>
      </c>
      <c r="E1431">
        <v>1</v>
      </c>
    </row>
    <row r="1432" spans="1:5" hidden="1" x14ac:dyDescent="0.25">
      <c r="A1432" s="173" t="s">
        <v>804</v>
      </c>
      <c r="B1432">
        <v>12573</v>
      </c>
      <c r="C1432" s="173" t="s">
        <v>1618</v>
      </c>
      <c r="D1432" s="173" t="s">
        <v>470</v>
      </c>
      <c r="E1432">
        <v>1</v>
      </c>
    </row>
    <row r="1433" spans="1:5" hidden="1" x14ac:dyDescent="0.25">
      <c r="A1433" s="173" t="s">
        <v>804</v>
      </c>
      <c r="B1433">
        <v>12573</v>
      </c>
      <c r="C1433" s="173" t="s">
        <v>1619</v>
      </c>
      <c r="D1433" s="173" t="s">
        <v>470</v>
      </c>
      <c r="E1433">
        <v>1</v>
      </c>
    </row>
    <row r="1434" spans="1:5" hidden="1" x14ac:dyDescent="0.25">
      <c r="A1434" s="173" t="s">
        <v>514</v>
      </c>
      <c r="B1434">
        <v>12574</v>
      </c>
      <c r="C1434" s="173" t="s">
        <v>1620</v>
      </c>
      <c r="D1434" s="173" t="s">
        <v>470</v>
      </c>
      <c r="E1434">
        <v>1</v>
      </c>
    </row>
    <row r="1435" spans="1:5" hidden="1" x14ac:dyDescent="0.25">
      <c r="A1435" s="173" t="s">
        <v>514</v>
      </c>
      <c r="B1435">
        <v>12574</v>
      </c>
      <c r="C1435" s="173" t="s">
        <v>1620</v>
      </c>
      <c r="D1435" s="173" t="s">
        <v>517</v>
      </c>
      <c r="E1435">
        <v>1</v>
      </c>
    </row>
    <row r="1436" spans="1:5" hidden="1" x14ac:dyDescent="0.25">
      <c r="A1436" s="173" t="s">
        <v>514</v>
      </c>
      <c r="B1436">
        <v>12574</v>
      </c>
      <c r="C1436" s="173" t="s">
        <v>1621</v>
      </c>
      <c r="D1436" s="173" t="s">
        <v>470</v>
      </c>
      <c r="E1436">
        <v>1</v>
      </c>
    </row>
    <row r="1437" spans="1:5" hidden="1" x14ac:dyDescent="0.25">
      <c r="A1437" s="173" t="s">
        <v>514</v>
      </c>
      <c r="B1437">
        <v>12574</v>
      </c>
      <c r="C1437" s="173" t="s">
        <v>1621</v>
      </c>
      <c r="D1437" s="173" t="s">
        <v>517</v>
      </c>
      <c r="E1437">
        <v>1</v>
      </c>
    </row>
    <row r="1438" spans="1:5" hidden="1" x14ac:dyDescent="0.25">
      <c r="A1438" s="173" t="s">
        <v>514</v>
      </c>
      <c r="B1438">
        <v>12574</v>
      </c>
      <c r="C1438" s="173" t="s">
        <v>1622</v>
      </c>
      <c r="D1438" s="173" t="s">
        <v>470</v>
      </c>
      <c r="E1438">
        <v>1</v>
      </c>
    </row>
    <row r="1439" spans="1:5" hidden="1" x14ac:dyDescent="0.25">
      <c r="A1439" s="173" t="s">
        <v>514</v>
      </c>
      <c r="B1439">
        <v>12574</v>
      </c>
      <c r="C1439" s="173" t="s">
        <v>1622</v>
      </c>
      <c r="D1439" s="173" t="s">
        <v>517</v>
      </c>
      <c r="E1439">
        <v>1</v>
      </c>
    </row>
    <row r="1440" spans="1:5" hidden="1" x14ac:dyDescent="0.25">
      <c r="A1440" s="173" t="s">
        <v>514</v>
      </c>
      <c r="B1440">
        <v>12574</v>
      </c>
      <c r="C1440" s="173" t="s">
        <v>1623</v>
      </c>
      <c r="D1440" s="173" t="s">
        <v>470</v>
      </c>
      <c r="E1440">
        <v>1</v>
      </c>
    </row>
    <row r="1441" spans="1:5" hidden="1" x14ac:dyDescent="0.25">
      <c r="A1441" s="173" t="s">
        <v>514</v>
      </c>
      <c r="B1441">
        <v>12574</v>
      </c>
      <c r="C1441" s="173" t="s">
        <v>1623</v>
      </c>
      <c r="D1441" s="173" t="s">
        <v>517</v>
      </c>
      <c r="E1441">
        <v>1</v>
      </c>
    </row>
    <row r="1442" spans="1:5" hidden="1" x14ac:dyDescent="0.25">
      <c r="A1442" s="173" t="s">
        <v>514</v>
      </c>
      <c r="B1442">
        <v>12574</v>
      </c>
      <c r="C1442" s="173" t="s">
        <v>1624</v>
      </c>
      <c r="D1442" s="173" t="s">
        <v>517</v>
      </c>
      <c r="E1442">
        <v>1</v>
      </c>
    </row>
    <row r="1443" spans="1:5" hidden="1" x14ac:dyDescent="0.25">
      <c r="A1443" s="173" t="s">
        <v>514</v>
      </c>
      <c r="B1443">
        <v>12574</v>
      </c>
      <c r="C1443" s="173" t="s">
        <v>1624</v>
      </c>
      <c r="D1443" s="173" t="s">
        <v>470</v>
      </c>
      <c r="E1443">
        <v>1</v>
      </c>
    </row>
    <row r="1444" spans="1:5" hidden="1" x14ac:dyDescent="0.25">
      <c r="A1444" s="173" t="s">
        <v>514</v>
      </c>
      <c r="B1444">
        <v>12574</v>
      </c>
      <c r="C1444" s="173" t="s">
        <v>1625</v>
      </c>
      <c r="D1444" s="173" t="s">
        <v>470</v>
      </c>
      <c r="E1444">
        <v>1</v>
      </c>
    </row>
    <row r="1445" spans="1:5" hidden="1" x14ac:dyDescent="0.25">
      <c r="A1445" s="173" t="s">
        <v>514</v>
      </c>
      <c r="B1445">
        <v>12574</v>
      </c>
      <c r="C1445" s="173" t="s">
        <v>1625</v>
      </c>
      <c r="D1445" s="173" t="s">
        <v>517</v>
      </c>
      <c r="E1445">
        <v>1</v>
      </c>
    </row>
    <row r="1446" spans="1:5" hidden="1" x14ac:dyDescent="0.25">
      <c r="A1446" s="173" t="s">
        <v>514</v>
      </c>
      <c r="B1446">
        <v>12578</v>
      </c>
      <c r="C1446" s="173" t="s">
        <v>1626</v>
      </c>
      <c r="D1446" s="173" t="s">
        <v>517</v>
      </c>
      <c r="E1446">
        <v>1</v>
      </c>
    </row>
    <row r="1447" spans="1:5" hidden="1" x14ac:dyDescent="0.25">
      <c r="A1447" s="173" t="s">
        <v>514</v>
      </c>
      <c r="B1447">
        <v>12578</v>
      </c>
      <c r="C1447" s="173" t="s">
        <v>1627</v>
      </c>
      <c r="D1447" s="173" t="s">
        <v>517</v>
      </c>
      <c r="E1447">
        <v>1</v>
      </c>
    </row>
    <row r="1448" spans="1:5" hidden="1" x14ac:dyDescent="0.25">
      <c r="A1448" s="173" t="s">
        <v>514</v>
      </c>
      <c r="B1448">
        <v>12578</v>
      </c>
      <c r="C1448" s="173" t="s">
        <v>1628</v>
      </c>
      <c r="D1448" s="173" t="s">
        <v>517</v>
      </c>
      <c r="E1448">
        <v>1</v>
      </c>
    </row>
    <row r="1449" spans="1:5" hidden="1" x14ac:dyDescent="0.25">
      <c r="A1449" s="173" t="s">
        <v>514</v>
      </c>
      <c r="B1449">
        <v>12578</v>
      </c>
      <c r="C1449" s="173" t="s">
        <v>1629</v>
      </c>
      <c r="D1449" s="173" t="s">
        <v>517</v>
      </c>
      <c r="E1449">
        <v>1</v>
      </c>
    </row>
    <row r="1450" spans="1:5" hidden="1" x14ac:dyDescent="0.25">
      <c r="A1450" s="173" t="s">
        <v>514</v>
      </c>
      <c r="B1450">
        <v>12585</v>
      </c>
      <c r="C1450" s="173" t="s">
        <v>1630</v>
      </c>
      <c r="D1450" s="173" t="s">
        <v>517</v>
      </c>
      <c r="E1450">
        <v>2</v>
      </c>
    </row>
    <row r="1451" spans="1:5" hidden="1" x14ac:dyDescent="0.25">
      <c r="A1451" s="173" t="s">
        <v>514</v>
      </c>
      <c r="B1451">
        <v>12585</v>
      </c>
      <c r="C1451" s="173" t="s">
        <v>1631</v>
      </c>
      <c r="D1451" s="173" t="s">
        <v>517</v>
      </c>
      <c r="E1451">
        <v>2</v>
      </c>
    </row>
    <row r="1452" spans="1:5" hidden="1" x14ac:dyDescent="0.25">
      <c r="A1452" s="173" t="s">
        <v>514</v>
      </c>
      <c r="B1452">
        <v>12585</v>
      </c>
      <c r="C1452" s="173" t="s">
        <v>1632</v>
      </c>
      <c r="D1452" s="173" t="s">
        <v>517</v>
      </c>
      <c r="E1452">
        <v>2</v>
      </c>
    </row>
    <row r="1453" spans="1:5" hidden="1" x14ac:dyDescent="0.25">
      <c r="A1453" s="173" t="s">
        <v>514</v>
      </c>
      <c r="B1453">
        <v>12585</v>
      </c>
      <c r="C1453" s="173" t="s">
        <v>1633</v>
      </c>
      <c r="D1453" s="173" t="s">
        <v>517</v>
      </c>
      <c r="E1453">
        <v>2</v>
      </c>
    </row>
    <row r="1454" spans="1:5" hidden="1" x14ac:dyDescent="0.25">
      <c r="A1454" s="173" t="s">
        <v>514</v>
      </c>
      <c r="B1454">
        <v>12585</v>
      </c>
      <c r="C1454" s="173" t="s">
        <v>1634</v>
      </c>
      <c r="D1454" s="173" t="s">
        <v>517</v>
      </c>
      <c r="E1454">
        <v>2</v>
      </c>
    </row>
    <row r="1455" spans="1:5" hidden="1" x14ac:dyDescent="0.25">
      <c r="A1455" s="173" t="s">
        <v>514</v>
      </c>
      <c r="B1455">
        <v>12586</v>
      </c>
      <c r="C1455" s="173" t="s">
        <v>1635</v>
      </c>
      <c r="D1455" s="173" t="s">
        <v>517</v>
      </c>
      <c r="E1455">
        <v>2</v>
      </c>
    </row>
    <row r="1456" spans="1:5" hidden="1" x14ac:dyDescent="0.25">
      <c r="A1456" s="173" t="s">
        <v>514</v>
      </c>
      <c r="B1456">
        <v>12586</v>
      </c>
      <c r="C1456" s="173" t="s">
        <v>1636</v>
      </c>
      <c r="D1456" s="173" t="s">
        <v>517</v>
      </c>
      <c r="E1456">
        <v>2</v>
      </c>
    </row>
    <row r="1457" spans="1:5" hidden="1" x14ac:dyDescent="0.25">
      <c r="A1457" s="173" t="s">
        <v>514</v>
      </c>
      <c r="B1457">
        <v>12586</v>
      </c>
      <c r="C1457" s="173" t="s">
        <v>1637</v>
      </c>
      <c r="D1457" s="173" t="s">
        <v>517</v>
      </c>
      <c r="E1457">
        <v>2</v>
      </c>
    </row>
    <row r="1458" spans="1:5" hidden="1" x14ac:dyDescent="0.25">
      <c r="A1458" s="173" t="s">
        <v>514</v>
      </c>
      <c r="B1458">
        <v>12586</v>
      </c>
      <c r="C1458" s="173" t="s">
        <v>1638</v>
      </c>
      <c r="D1458" s="173" t="s">
        <v>517</v>
      </c>
      <c r="E1458">
        <v>2</v>
      </c>
    </row>
    <row r="1459" spans="1:5" hidden="1" x14ac:dyDescent="0.25">
      <c r="A1459" s="173" t="s">
        <v>514</v>
      </c>
      <c r="B1459">
        <v>12586</v>
      </c>
      <c r="C1459" s="173" t="s">
        <v>1639</v>
      </c>
      <c r="D1459" s="173" t="s">
        <v>517</v>
      </c>
      <c r="E1459">
        <v>2</v>
      </c>
    </row>
    <row r="1460" spans="1:5" hidden="1" x14ac:dyDescent="0.25">
      <c r="A1460" s="173" t="s">
        <v>514</v>
      </c>
      <c r="B1460">
        <v>12607</v>
      </c>
      <c r="C1460" s="173" t="s">
        <v>1640</v>
      </c>
      <c r="D1460" s="173" t="s">
        <v>517</v>
      </c>
      <c r="E1460">
        <v>1</v>
      </c>
    </row>
    <row r="1461" spans="1:5" hidden="1" x14ac:dyDescent="0.25">
      <c r="A1461" s="173" t="s">
        <v>514</v>
      </c>
      <c r="B1461">
        <v>12607</v>
      </c>
      <c r="C1461" s="173" t="s">
        <v>1641</v>
      </c>
      <c r="D1461" s="173" t="s">
        <v>517</v>
      </c>
      <c r="E1461">
        <v>1</v>
      </c>
    </row>
    <row r="1462" spans="1:5" hidden="1" x14ac:dyDescent="0.25">
      <c r="A1462" s="173" t="s">
        <v>514</v>
      </c>
      <c r="B1462">
        <v>12607</v>
      </c>
      <c r="C1462" s="173" t="s">
        <v>1642</v>
      </c>
      <c r="D1462" s="173" t="s">
        <v>517</v>
      </c>
      <c r="E1462">
        <v>1</v>
      </c>
    </row>
    <row r="1463" spans="1:5" hidden="1" x14ac:dyDescent="0.25">
      <c r="A1463" s="173" t="s">
        <v>514</v>
      </c>
      <c r="B1463">
        <v>12607</v>
      </c>
      <c r="C1463" s="173" t="s">
        <v>1643</v>
      </c>
      <c r="D1463" s="173" t="s">
        <v>517</v>
      </c>
      <c r="E1463">
        <v>1</v>
      </c>
    </row>
    <row r="1464" spans="1:5" hidden="1" x14ac:dyDescent="0.25">
      <c r="A1464" s="173" t="s">
        <v>514</v>
      </c>
      <c r="B1464">
        <v>12608</v>
      </c>
      <c r="C1464" s="173" t="s">
        <v>1644</v>
      </c>
      <c r="D1464" s="173" t="s">
        <v>470</v>
      </c>
      <c r="E1464">
        <v>1</v>
      </c>
    </row>
    <row r="1465" spans="1:5" hidden="1" x14ac:dyDescent="0.25">
      <c r="A1465" s="173" t="s">
        <v>514</v>
      </c>
      <c r="B1465">
        <v>12608</v>
      </c>
      <c r="C1465" s="173" t="s">
        <v>1645</v>
      </c>
      <c r="D1465" s="173" t="s">
        <v>470</v>
      </c>
      <c r="E1465">
        <v>1</v>
      </c>
    </row>
    <row r="1466" spans="1:5" hidden="1" x14ac:dyDescent="0.25">
      <c r="A1466" s="173" t="s">
        <v>514</v>
      </c>
      <c r="B1466">
        <v>12608</v>
      </c>
      <c r="C1466" s="173" t="s">
        <v>1646</v>
      </c>
      <c r="D1466" s="173" t="s">
        <v>470</v>
      </c>
      <c r="E1466">
        <v>1</v>
      </c>
    </row>
    <row r="1467" spans="1:5" hidden="1" x14ac:dyDescent="0.25">
      <c r="A1467" s="173" t="s">
        <v>804</v>
      </c>
      <c r="B1467">
        <v>12610</v>
      </c>
      <c r="C1467" s="173" t="s">
        <v>1647</v>
      </c>
      <c r="D1467" s="173" t="s">
        <v>470</v>
      </c>
      <c r="E1467">
        <v>3</v>
      </c>
    </row>
    <row r="1468" spans="1:5" hidden="1" x14ac:dyDescent="0.25">
      <c r="A1468" s="173" t="s">
        <v>804</v>
      </c>
      <c r="B1468">
        <v>12610</v>
      </c>
      <c r="C1468" s="173" t="s">
        <v>1648</v>
      </c>
      <c r="D1468" s="173" t="s">
        <v>470</v>
      </c>
      <c r="E1468">
        <v>3</v>
      </c>
    </row>
    <row r="1469" spans="1:5" hidden="1" x14ac:dyDescent="0.25">
      <c r="A1469" s="173" t="s">
        <v>804</v>
      </c>
      <c r="B1469">
        <v>12610</v>
      </c>
      <c r="C1469" s="173" t="s">
        <v>1649</v>
      </c>
      <c r="D1469" s="173" t="s">
        <v>470</v>
      </c>
      <c r="E1469">
        <v>3</v>
      </c>
    </row>
    <row r="1470" spans="1:5" hidden="1" x14ac:dyDescent="0.25">
      <c r="A1470" s="173" t="s">
        <v>804</v>
      </c>
      <c r="B1470">
        <v>12610</v>
      </c>
      <c r="C1470" s="173" t="s">
        <v>1650</v>
      </c>
      <c r="D1470" s="173" t="s">
        <v>470</v>
      </c>
      <c r="E1470">
        <v>3</v>
      </c>
    </row>
    <row r="1471" spans="1:5" hidden="1" x14ac:dyDescent="0.25">
      <c r="A1471" s="173" t="s">
        <v>804</v>
      </c>
      <c r="B1471">
        <v>12610</v>
      </c>
      <c r="C1471" s="173" t="s">
        <v>1651</v>
      </c>
      <c r="D1471" s="173" t="s">
        <v>470</v>
      </c>
      <c r="E1471">
        <v>3</v>
      </c>
    </row>
    <row r="1472" spans="1:5" hidden="1" x14ac:dyDescent="0.25">
      <c r="A1472" s="173" t="s">
        <v>804</v>
      </c>
      <c r="B1472">
        <v>12610</v>
      </c>
      <c r="C1472" s="173" t="s">
        <v>1652</v>
      </c>
      <c r="D1472" s="173" t="s">
        <v>470</v>
      </c>
      <c r="E1472">
        <v>3</v>
      </c>
    </row>
    <row r="1473" spans="1:5" hidden="1" x14ac:dyDescent="0.25">
      <c r="A1473" s="173" t="s">
        <v>804</v>
      </c>
      <c r="B1473">
        <v>12612</v>
      </c>
      <c r="C1473" s="173" t="s">
        <v>1653</v>
      </c>
      <c r="D1473" s="173" t="s">
        <v>470</v>
      </c>
      <c r="E1473">
        <v>3</v>
      </c>
    </row>
    <row r="1474" spans="1:5" hidden="1" x14ac:dyDescent="0.25">
      <c r="A1474" s="173" t="s">
        <v>804</v>
      </c>
      <c r="B1474">
        <v>12612</v>
      </c>
      <c r="C1474" s="173" t="s">
        <v>1654</v>
      </c>
      <c r="D1474" s="173" t="s">
        <v>470</v>
      </c>
      <c r="E1474">
        <v>3</v>
      </c>
    </row>
    <row r="1475" spans="1:5" hidden="1" x14ac:dyDescent="0.25">
      <c r="A1475" s="173" t="s">
        <v>804</v>
      </c>
      <c r="B1475">
        <v>12612</v>
      </c>
      <c r="C1475" s="173" t="s">
        <v>1655</v>
      </c>
      <c r="D1475" s="173" t="s">
        <v>470</v>
      </c>
      <c r="E1475">
        <v>3</v>
      </c>
    </row>
    <row r="1476" spans="1:5" hidden="1" x14ac:dyDescent="0.25">
      <c r="A1476" s="173" t="s">
        <v>804</v>
      </c>
      <c r="B1476">
        <v>12612</v>
      </c>
      <c r="C1476" s="173" t="s">
        <v>1656</v>
      </c>
      <c r="D1476" s="173" t="s">
        <v>470</v>
      </c>
      <c r="E1476">
        <v>3</v>
      </c>
    </row>
    <row r="1477" spans="1:5" hidden="1" x14ac:dyDescent="0.25">
      <c r="A1477" s="173" t="s">
        <v>804</v>
      </c>
      <c r="B1477">
        <v>12612</v>
      </c>
      <c r="C1477" s="173" t="s">
        <v>1657</v>
      </c>
      <c r="D1477" s="173" t="s">
        <v>470</v>
      </c>
      <c r="E1477">
        <v>3</v>
      </c>
    </row>
    <row r="1478" spans="1:5" hidden="1" x14ac:dyDescent="0.25">
      <c r="A1478" s="173" t="s">
        <v>804</v>
      </c>
      <c r="B1478">
        <v>12612</v>
      </c>
      <c r="C1478" s="173" t="s">
        <v>3649</v>
      </c>
      <c r="D1478" s="173" t="s">
        <v>470</v>
      </c>
      <c r="E1478">
        <v>3</v>
      </c>
    </row>
    <row r="1479" spans="1:5" hidden="1" x14ac:dyDescent="0.25">
      <c r="A1479" s="173" t="s">
        <v>804</v>
      </c>
      <c r="B1479">
        <v>12612</v>
      </c>
      <c r="C1479" s="173" t="s">
        <v>3650</v>
      </c>
      <c r="D1479" s="173" t="s">
        <v>470</v>
      </c>
      <c r="E1479">
        <v>3</v>
      </c>
    </row>
    <row r="1480" spans="1:5" hidden="1" x14ac:dyDescent="0.25">
      <c r="A1480" s="173" t="s">
        <v>804</v>
      </c>
      <c r="B1480">
        <v>12612</v>
      </c>
      <c r="C1480" s="173" t="s">
        <v>3651</v>
      </c>
      <c r="D1480" s="173" t="s">
        <v>470</v>
      </c>
      <c r="E1480">
        <v>3</v>
      </c>
    </row>
    <row r="1481" spans="1:5" hidden="1" x14ac:dyDescent="0.25">
      <c r="A1481" s="173" t="s">
        <v>514</v>
      </c>
      <c r="B1481">
        <v>12618</v>
      </c>
      <c r="C1481" s="173" t="s">
        <v>1658</v>
      </c>
      <c r="D1481" s="173" t="s">
        <v>517</v>
      </c>
      <c r="E1481">
        <v>2</v>
      </c>
    </row>
    <row r="1482" spans="1:5" hidden="1" x14ac:dyDescent="0.25">
      <c r="A1482" s="173" t="s">
        <v>514</v>
      </c>
      <c r="B1482">
        <v>12618</v>
      </c>
      <c r="C1482" s="173" t="s">
        <v>1659</v>
      </c>
      <c r="D1482" s="173" t="s">
        <v>517</v>
      </c>
      <c r="E1482">
        <v>2</v>
      </c>
    </row>
    <row r="1483" spans="1:5" hidden="1" x14ac:dyDescent="0.25">
      <c r="A1483" s="173" t="s">
        <v>514</v>
      </c>
      <c r="B1483">
        <v>12618</v>
      </c>
      <c r="C1483" s="173" t="s">
        <v>1660</v>
      </c>
      <c r="D1483" s="173" t="s">
        <v>517</v>
      </c>
      <c r="E1483">
        <v>2</v>
      </c>
    </row>
    <row r="1484" spans="1:5" hidden="1" x14ac:dyDescent="0.25">
      <c r="A1484" s="173" t="s">
        <v>514</v>
      </c>
      <c r="B1484">
        <v>12618</v>
      </c>
      <c r="C1484" s="173" t="s">
        <v>1661</v>
      </c>
      <c r="D1484" s="173" t="s">
        <v>517</v>
      </c>
      <c r="E1484">
        <v>2</v>
      </c>
    </row>
    <row r="1485" spans="1:5" hidden="1" x14ac:dyDescent="0.25">
      <c r="A1485" s="173" t="s">
        <v>514</v>
      </c>
      <c r="B1485">
        <v>12618</v>
      </c>
      <c r="C1485" s="173" t="s">
        <v>1662</v>
      </c>
      <c r="D1485" s="173" t="s">
        <v>517</v>
      </c>
      <c r="E1485">
        <v>2</v>
      </c>
    </row>
    <row r="1486" spans="1:5" hidden="1" x14ac:dyDescent="0.25">
      <c r="A1486" s="173" t="s">
        <v>514</v>
      </c>
      <c r="B1486">
        <v>12620</v>
      </c>
      <c r="C1486" s="173" t="s">
        <v>1663</v>
      </c>
      <c r="D1486" s="173" t="s">
        <v>517</v>
      </c>
      <c r="E1486">
        <v>1</v>
      </c>
    </row>
    <row r="1487" spans="1:5" hidden="1" x14ac:dyDescent="0.25">
      <c r="A1487" s="173" t="s">
        <v>514</v>
      </c>
      <c r="B1487">
        <v>12620</v>
      </c>
      <c r="C1487" s="173" t="s">
        <v>1664</v>
      </c>
      <c r="D1487" s="173" t="s">
        <v>517</v>
      </c>
      <c r="E1487">
        <v>1</v>
      </c>
    </row>
    <row r="1488" spans="1:5" hidden="1" x14ac:dyDescent="0.25">
      <c r="A1488" s="173" t="s">
        <v>514</v>
      </c>
      <c r="B1488">
        <v>12620</v>
      </c>
      <c r="C1488" s="173" t="s">
        <v>1665</v>
      </c>
      <c r="D1488" s="173" t="s">
        <v>517</v>
      </c>
      <c r="E1488">
        <v>1</v>
      </c>
    </row>
    <row r="1489" spans="1:5" hidden="1" x14ac:dyDescent="0.25">
      <c r="A1489" s="173" t="s">
        <v>514</v>
      </c>
      <c r="B1489">
        <v>12620</v>
      </c>
      <c r="C1489" s="173" t="s">
        <v>1666</v>
      </c>
      <c r="D1489" s="173" t="s">
        <v>517</v>
      </c>
      <c r="E1489">
        <v>1</v>
      </c>
    </row>
    <row r="1490" spans="1:5" hidden="1" x14ac:dyDescent="0.25">
      <c r="A1490" s="173" t="s">
        <v>514</v>
      </c>
      <c r="B1490">
        <v>12620</v>
      </c>
      <c r="C1490" s="173" t="s">
        <v>1667</v>
      </c>
      <c r="D1490" s="173" t="s">
        <v>517</v>
      </c>
      <c r="E1490">
        <v>1</v>
      </c>
    </row>
    <row r="1491" spans="1:5" hidden="1" x14ac:dyDescent="0.25">
      <c r="A1491" s="173" t="s">
        <v>1668</v>
      </c>
      <c r="B1491">
        <v>12629</v>
      </c>
      <c r="C1491" s="173" t="s">
        <v>1669</v>
      </c>
      <c r="D1491" s="173" t="s">
        <v>874</v>
      </c>
      <c r="E1491">
        <v>1</v>
      </c>
    </row>
    <row r="1492" spans="1:5" hidden="1" x14ac:dyDescent="0.25">
      <c r="A1492" s="173" t="s">
        <v>1668</v>
      </c>
      <c r="B1492">
        <v>12629</v>
      </c>
      <c r="C1492" s="173" t="s">
        <v>1670</v>
      </c>
      <c r="D1492" s="173" t="s">
        <v>874</v>
      </c>
      <c r="E1492">
        <v>1</v>
      </c>
    </row>
    <row r="1493" spans="1:5" hidden="1" x14ac:dyDescent="0.25">
      <c r="A1493" s="173" t="s">
        <v>514</v>
      </c>
      <c r="B1493">
        <v>12630</v>
      </c>
      <c r="C1493" s="173" t="s">
        <v>1671</v>
      </c>
      <c r="D1493" s="173" t="s">
        <v>470</v>
      </c>
      <c r="E1493">
        <v>1</v>
      </c>
    </row>
    <row r="1494" spans="1:5" hidden="1" x14ac:dyDescent="0.25">
      <c r="A1494" s="173" t="s">
        <v>514</v>
      </c>
      <c r="B1494">
        <v>12630</v>
      </c>
      <c r="C1494" s="173" t="s">
        <v>1671</v>
      </c>
      <c r="D1494" s="173" t="s">
        <v>517</v>
      </c>
      <c r="E1494">
        <v>1</v>
      </c>
    </row>
    <row r="1495" spans="1:5" hidden="1" x14ac:dyDescent="0.25">
      <c r="A1495" s="173" t="s">
        <v>514</v>
      </c>
      <c r="B1495">
        <v>12630</v>
      </c>
      <c r="C1495" s="173" t="s">
        <v>1672</v>
      </c>
      <c r="D1495" s="173" t="s">
        <v>517</v>
      </c>
      <c r="E1495">
        <v>1</v>
      </c>
    </row>
    <row r="1496" spans="1:5" hidden="1" x14ac:dyDescent="0.25">
      <c r="A1496" s="173" t="s">
        <v>514</v>
      </c>
      <c r="B1496">
        <v>12630</v>
      </c>
      <c r="C1496" s="173" t="s">
        <v>1672</v>
      </c>
      <c r="D1496" s="173" t="s">
        <v>470</v>
      </c>
      <c r="E1496">
        <v>1</v>
      </c>
    </row>
    <row r="1497" spans="1:5" hidden="1" x14ac:dyDescent="0.25">
      <c r="A1497" s="173" t="s">
        <v>514</v>
      </c>
      <c r="B1497">
        <v>12630</v>
      </c>
      <c r="C1497" s="173" t="s">
        <v>1673</v>
      </c>
      <c r="D1497" s="173" t="s">
        <v>517</v>
      </c>
      <c r="E1497">
        <v>1</v>
      </c>
    </row>
    <row r="1498" spans="1:5" hidden="1" x14ac:dyDescent="0.25">
      <c r="A1498" s="173" t="s">
        <v>514</v>
      </c>
      <c r="B1498">
        <v>12630</v>
      </c>
      <c r="C1498" s="173" t="s">
        <v>1673</v>
      </c>
      <c r="D1498" s="173" t="s">
        <v>470</v>
      </c>
      <c r="E1498">
        <v>1</v>
      </c>
    </row>
    <row r="1499" spans="1:5" hidden="1" x14ac:dyDescent="0.25">
      <c r="A1499" s="173" t="s">
        <v>514</v>
      </c>
      <c r="B1499">
        <v>12631</v>
      </c>
      <c r="C1499" s="173" t="s">
        <v>1674</v>
      </c>
      <c r="D1499" s="173" t="s">
        <v>470</v>
      </c>
      <c r="E1499">
        <v>4</v>
      </c>
    </row>
    <row r="1500" spans="1:5" hidden="1" x14ac:dyDescent="0.25">
      <c r="A1500" s="173" t="s">
        <v>514</v>
      </c>
      <c r="B1500">
        <v>12631</v>
      </c>
      <c r="C1500" s="173" t="s">
        <v>1675</v>
      </c>
      <c r="D1500" s="173" t="s">
        <v>470</v>
      </c>
      <c r="E1500">
        <v>4</v>
      </c>
    </row>
    <row r="1501" spans="1:5" hidden="1" x14ac:dyDescent="0.25">
      <c r="A1501" s="173" t="s">
        <v>514</v>
      </c>
      <c r="B1501">
        <v>12631</v>
      </c>
      <c r="C1501" s="173" t="s">
        <v>1676</v>
      </c>
      <c r="D1501" s="173" t="s">
        <v>470</v>
      </c>
      <c r="E1501">
        <v>3</v>
      </c>
    </row>
    <row r="1502" spans="1:5" hidden="1" x14ac:dyDescent="0.25">
      <c r="A1502" s="173" t="s">
        <v>514</v>
      </c>
      <c r="B1502">
        <v>12631</v>
      </c>
      <c r="C1502" s="173" t="s">
        <v>1677</v>
      </c>
      <c r="D1502" s="173" t="s">
        <v>470</v>
      </c>
      <c r="E1502">
        <v>3</v>
      </c>
    </row>
    <row r="1503" spans="1:5" hidden="1" x14ac:dyDescent="0.25">
      <c r="A1503" s="173" t="s">
        <v>514</v>
      </c>
      <c r="B1503">
        <v>12631</v>
      </c>
      <c r="C1503" s="173" t="s">
        <v>1678</v>
      </c>
      <c r="D1503" s="173" t="s">
        <v>470</v>
      </c>
      <c r="E1503">
        <v>3</v>
      </c>
    </row>
    <row r="1504" spans="1:5" hidden="1" x14ac:dyDescent="0.25">
      <c r="A1504" s="173" t="s">
        <v>514</v>
      </c>
      <c r="B1504">
        <v>12632</v>
      </c>
      <c r="C1504" s="173" t="s">
        <v>1679</v>
      </c>
      <c r="D1504" s="173" t="s">
        <v>470</v>
      </c>
      <c r="E1504">
        <v>2</v>
      </c>
    </row>
    <row r="1505" spans="1:5" hidden="1" x14ac:dyDescent="0.25">
      <c r="A1505" s="173" t="s">
        <v>514</v>
      </c>
      <c r="B1505">
        <v>12632</v>
      </c>
      <c r="C1505" s="173" t="s">
        <v>1680</v>
      </c>
      <c r="D1505" s="173" t="s">
        <v>470</v>
      </c>
      <c r="E1505">
        <v>2</v>
      </c>
    </row>
    <row r="1506" spans="1:5" hidden="1" x14ac:dyDescent="0.25">
      <c r="A1506" s="173" t="s">
        <v>514</v>
      </c>
      <c r="B1506">
        <v>12632</v>
      </c>
      <c r="C1506" s="173" t="s">
        <v>1681</v>
      </c>
      <c r="D1506" s="173" t="s">
        <v>470</v>
      </c>
      <c r="E1506">
        <v>2</v>
      </c>
    </row>
    <row r="1507" spans="1:5" hidden="1" x14ac:dyDescent="0.25">
      <c r="A1507" s="173" t="s">
        <v>514</v>
      </c>
      <c r="B1507">
        <v>12632</v>
      </c>
      <c r="C1507" s="173" t="s">
        <v>1682</v>
      </c>
      <c r="D1507" s="173" t="s">
        <v>470</v>
      </c>
      <c r="E1507">
        <v>2</v>
      </c>
    </row>
    <row r="1508" spans="1:5" hidden="1" x14ac:dyDescent="0.25">
      <c r="A1508" s="173" t="s">
        <v>514</v>
      </c>
      <c r="B1508">
        <v>12634</v>
      </c>
      <c r="C1508" s="173" t="s">
        <v>1683</v>
      </c>
      <c r="D1508" s="173" t="s">
        <v>517</v>
      </c>
      <c r="E1508">
        <v>1</v>
      </c>
    </row>
    <row r="1509" spans="1:5" hidden="1" x14ac:dyDescent="0.25">
      <c r="A1509" s="173" t="s">
        <v>514</v>
      </c>
      <c r="B1509">
        <v>12634</v>
      </c>
      <c r="C1509" s="173" t="s">
        <v>1683</v>
      </c>
      <c r="D1509" s="173" t="s">
        <v>470</v>
      </c>
      <c r="E1509">
        <v>1</v>
      </c>
    </row>
    <row r="1510" spans="1:5" hidden="1" x14ac:dyDescent="0.25">
      <c r="A1510" s="173" t="s">
        <v>514</v>
      </c>
      <c r="B1510">
        <v>12634</v>
      </c>
      <c r="C1510" s="173" t="s">
        <v>1684</v>
      </c>
      <c r="D1510" s="173" t="s">
        <v>517</v>
      </c>
      <c r="E1510">
        <v>1</v>
      </c>
    </row>
    <row r="1511" spans="1:5" hidden="1" x14ac:dyDescent="0.25">
      <c r="A1511" s="173" t="s">
        <v>514</v>
      </c>
      <c r="B1511">
        <v>12634</v>
      </c>
      <c r="C1511" s="173" t="s">
        <v>1684</v>
      </c>
      <c r="D1511" s="173" t="s">
        <v>470</v>
      </c>
      <c r="E1511">
        <v>1</v>
      </c>
    </row>
    <row r="1512" spans="1:5" hidden="1" x14ac:dyDescent="0.25">
      <c r="A1512" s="173" t="s">
        <v>514</v>
      </c>
      <c r="B1512">
        <v>12634</v>
      </c>
      <c r="C1512" s="173" t="s">
        <v>1685</v>
      </c>
      <c r="D1512" s="173" t="s">
        <v>470</v>
      </c>
      <c r="E1512">
        <v>1</v>
      </c>
    </row>
    <row r="1513" spans="1:5" hidden="1" x14ac:dyDescent="0.25">
      <c r="A1513" s="173" t="s">
        <v>514</v>
      </c>
      <c r="B1513">
        <v>12634</v>
      </c>
      <c r="C1513" s="173" t="s">
        <v>1685</v>
      </c>
      <c r="D1513" s="173" t="s">
        <v>517</v>
      </c>
      <c r="E1513">
        <v>1</v>
      </c>
    </row>
    <row r="1514" spans="1:5" hidden="1" x14ac:dyDescent="0.25">
      <c r="A1514" s="173" t="s">
        <v>514</v>
      </c>
      <c r="B1514">
        <v>12634</v>
      </c>
      <c r="C1514" s="173" t="s">
        <v>1686</v>
      </c>
      <c r="D1514" s="173" t="s">
        <v>517</v>
      </c>
      <c r="E1514">
        <v>1</v>
      </c>
    </row>
    <row r="1515" spans="1:5" hidden="1" x14ac:dyDescent="0.25">
      <c r="A1515" s="173" t="s">
        <v>514</v>
      </c>
      <c r="B1515">
        <v>12634</v>
      </c>
      <c r="C1515" s="173" t="s">
        <v>1686</v>
      </c>
      <c r="D1515" s="173" t="s">
        <v>470</v>
      </c>
      <c r="E1515">
        <v>1</v>
      </c>
    </row>
    <row r="1516" spans="1:5" hidden="1" x14ac:dyDescent="0.25">
      <c r="A1516" s="173" t="s">
        <v>514</v>
      </c>
      <c r="B1516">
        <v>12634</v>
      </c>
      <c r="C1516" s="173" t="s">
        <v>1687</v>
      </c>
      <c r="D1516" s="173" t="s">
        <v>470</v>
      </c>
      <c r="E1516">
        <v>1</v>
      </c>
    </row>
    <row r="1517" spans="1:5" hidden="1" x14ac:dyDescent="0.25">
      <c r="A1517" s="173" t="s">
        <v>514</v>
      </c>
      <c r="B1517">
        <v>12634</v>
      </c>
      <c r="C1517" s="173" t="s">
        <v>1687</v>
      </c>
      <c r="D1517" s="173" t="s">
        <v>517</v>
      </c>
      <c r="E1517">
        <v>1</v>
      </c>
    </row>
    <row r="1518" spans="1:5" hidden="1" x14ac:dyDescent="0.25">
      <c r="A1518" s="173" t="s">
        <v>514</v>
      </c>
      <c r="B1518">
        <v>12638</v>
      </c>
      <c r="C1518" s="173" t="s">
        <v>1688</v>
      </c>
      <c r="D1518" s="173" t="s">
        <v>517</v>
      </c>
      <c r="E1518">
        <v>1</v>
      </c>
    </row>
    <row r="1519" spans="1:5" hidden="1" x14ac:dyDescent="0.25">
      <c r="A1519" s="173" t="s">
        <v>514</v>
      </c>
      <c r="B1519">
        <v>12638</v>
      </c>
      <c r="C1519" s="173" t="s">
        <v>1688</v>
      </c>
      <c r="D1519" s="173" t="s">
        <v>470</v>
      </c>
      <c r="E1519">
        <v>2</v>
      </c>
    </row>
    <row r="1520" spans="1:5" hidden="1" x14ac:dyDescent="0.25">
      <c r="A1520" s="173" t="s">
        <v>514</v>
      </c>
      <c r="B1520">
        <v>12638</v>
      </c>
      <c r="C1520" s="173" t="s">
        <v>1689</v>
      </c>
      <c r="D1520" s="173" t="s">
        <v>517</v>
      </c>
      <c r="E1520">
        <v>1</v>
      </c>
    </row>
    <row r="1521" spans="1:5" hidden="1" x14ac:dyDescent="0.25">
      <c r="A1521" s="173" t="s">
        <v>514</v>
      </c>
      <c r="B1521">
        <v>12638</v>
      </c>
      <c r="C1521" s="173" t="s">
        <v>1690</v>
      </c>
      <c r="D1521" s="173" t="s">
        <v>517</v>
      </c>
      <c r="E1521">
        <v>1</v>
      </c>
    </row>
    <row r="1522" spans="1:5" hidden="1" x14ac:dyDescent="0.25">
      <c r="A1522" s="173" t="s">
        <v>514</v>
      </c>
      <c r="B1522">
        <v>12638</v>
      </c>
      <c r="C1522" s="173" t="s">
        <v>1691</v>
      </c>
      <c r="D1522" s="173" t="s">
        <v>470</v>
      </c>
      <c r="E1522">
        <v>2</v>
      </c>
    </row>
    <row r="1523" spans="1:5" hidden="1" x14ac:dyDescent="0.25">
      <c r="A1523" s="173" t="s">
        <v>514</v>
      </c>
      <c r="B1523">
        <v>12638</v>
      </c>
      <c r="C1523" s="173" t="s">
        <v>1691</v>
      </c>
      <c r="D1523" s="173" t="s">
        <v>517</v>
      </c>
      <c r="E1523">
        <v>1</v>
      </c>
    </row>
    <row r="1524" spans="1:5" hidden="1" x14ac:dyDescent="0.25">
      <c r="A1524" s="173" t="s">
        <v>514</v>
      </c>
      <c r="B1524">
        <v>12638</v>
      </c>
      <c r="C1524" s="173" t="s">
        <v>1692</v>
      </c>
      <c r="D1524" s="173" t="s">
        <v>470</v>
      </c>
      <c r="E1524">
        <v>1</v>
      </c>
    </row>
    <row r="1525" spans="1:5" hidden="1" x14ac:dyDescent="0.25">
      <c r="A1525" s="173" t="s">
        <v>514</v>
      </c>
      <c r="B1525">
        <v>12638</v>
      </c>
      <c r="C1525" s="173" t="s">
        <v>1692</v>
      </c>
      <c r="D1525" s="173" t="s">
        <v>517</v>
      </c>
      <c r="E1525">
        <v>1</v>
      </c>
    </row>
    <row r="1526" spans="1:5" hidden="1" x14ac:dyDescent="0.25">
      <c r="A1526" s="173" t="s">
        <v>514</v>
      </c>
      <c r="B1526">
        <v>12639</v>
      </c>
      <c r="C1526" s="173" t="s">
        <v>1693</v>
      </c>
      <c r="D1526" s="173" t="s">
        <v>470</v>
      </c>
      <c r="E1526">
        <v>2</v>
      </c>
    </row>
    <row r="1527" spans="1:5" hidden="1" x14ac:dyDescent="0.25">
      <c r="A1527" s="173" t="s">
        <v>514</v>
      </c>
      <c r="B1527">
        <v>12639</v>
      </c>
      <c r="C1527" s="173" t="s">
        <v>1693</v>
      </c>
      <c r="D1527" s="173" t="s">
        <v>517</v>
      </c>
      <c r="E1527">
        <v>1</v>
      </c>
    </row>
    <row r="1528" spans="1:5" hidden="1" x14ac:dyDescent="0.25">
      <c r="A1528" s="173" t="s">
        <v>514</v>
      </c>
      <c r="B1528">
        <v>12639</v>
      </c>
      <c r="C1528" s="173" t="s">
        <v>1694</v>
      </c>
      <c r="D1528" s="173" t="s">
        <v>517</v>
      </c>
      <c r="E1528">
        <v>1</v>
      </c>
    </row>
    <row r="1529" spans="1:5" hidden="1" x14ac:dyDescent="0.25">
      <c r="A1529" s="173" t="s">
        <v>514</v>
      </c>
      <c r="B1529">
        <v>12639</v>
      </c>
      <c r="C1529" s="173" t="s">
        <v>1694</v>
      </c>
      <c r="D1529" s="173" t="s">
        <v>470</v>
      </c>
      <c r="E1529">
        <v>2</v>
      </c>
    </row>
    <row r="1530" spans="1:5" hidden="1" x14ac:dyDescent="0.25">
      <c r="A1530" s="173" t="s">
        <v>514</v>
      </c>
      <c r="B1530">
        <v>12639</v>
      </c>
      <c r="C1530" s="173" t="s">
        <v>1695</v>
      </c>
      <c r="D1530" s="173" t="s">
        <v>517</v>
      </c>
      <c r="E1530">
        <v>1</v>
      </c>
    </row>
    <row r="1531" spans="1:5" hidden="1" x14ac:dyDescent="0.25">
      <c r="A1531" s="173" t="s">
        <v>514</v>
      </c>
      <c r="B1531">
        <v>12639</v>
      </c>
      <c r="C1531" s="173" t="s">
        <v>1695</v>
      </c>
      <c r="D1531" s="173" t="s">
        <v>470</v>
      </c>
      <c r="E1531">
        <v>2</v>
      </c>
    </row>
    <row r="1532" spans="1:5" hidden="1" x14ac:dyDescent="0.25">
      <c r="A1532" s="173" t="s">
        <v>514</v>
      </c>
      <c r="B1532">
        <v>12639</v>
      </c>
      <c r="C1532" s="173" t="s">
        <v>1696</v>
      </c>
      <c r="D1532" s="173" t="s">
        <v>517</v>
      </c>
      <c r="E1532">
        <v>1</v>
      </c>
    </row>
    <row r="1533" spans="1:5" hidden="1" x14ac:dyDescent="0.25">
      <c r="A1533" s="173" t="s">
        <v>514</v>
      </c>
      <c r="B1533">
        <v>12639</v>
      </c>
      <c r="C1533" s="173" t="s">
        <v>1696</v>
      </c>
      <c r="D1533" s="173" t="s">
        <v>470</v>
      </c>
      <c r="E1533">
        <v>2</v>
      </c>
    </row>
    <row r="1534" spans="1:5" hidden="1" x14ac:dyDescent="0.25">
      <c r="A1534" s="173" t="s">
        <v>514</v>
      </c>
      <c r="B1534">
        <v>12639</v>
      </c>
      <c r="C1534" s="173" t="s">
        <v>1697</v>
      </c>
      <c r="D1534" s="173" t="s">
        <v>517</v>
      </c>
      <c r="E1534">
        <v>1</v>
      </c>
    </row>
    <row r="1535" spans="1:5" hidden="1" x14ac:dyDescent="0.25">
      <c r="A1535" s="173" t="s">
        <v>514</v>
      </c>
      <c r="B1535">
        <v>12639</v>
      </c>
      <c r="C1535" s="173" t="s">
        <v>1697</v>
      </c>
      <c r="D1535" s="173" t="s">
        <v>470</v>
      </c>
      <c r="E1535">
        <v>2</v>
      </c>
    </row>
    <row r="1536" spans="1:5" hidden="1" x14ac:dyDescent="0.25">
      <c r="A1536" s="173" t="s">
        <v>804</v>
      </c>
      <c r="B1536">
        <v>12640</v>
      </c>
      <c r="C1536" s="173" t="s">
        <v>1698</v>
      </c>
      <c r="D1536" s="173" t="s">
        <v>470</v>
      </c>
      <c r="E1536">
        <v>2</v>
      </c>
    </row>
    <row r="1537" spans="1:5" hidden="1" x14ac:dyDescent="0.25">
      <c r="A1537" s="173" t="s">
        <v>804</v>
      </c>
      <c r="B1537">
        <v>12640</v>
      </c>
      <c r="C1537" s="173" t="s">
        <v>1699</v>
      </c>
      <c r="D1537" s="173" t="s">
        <v>470</v>
      </c>
      <c r="E1537">
        <v>2</v>
      </c>
    </row>
    <row r="1538" spans="1:5" hidden="1" x14ac:dyDescent="0.25">
      <c r="A1538" s="173" t="s">
        <v>804</v>
      </c>
      <c r="B1538">
        <v>12640</v>
      </c>
      <c r="C1538" s="173" t="s">
        <v>1700</v>
      </c>
      <c r="D1538" s="173" t="s">
        <v>470</v>
      </c>
      <c r="E1538">
        <v>3</v>
      </c>
    </row>
    <row r="1539" spans="1:5" hidden="1" x14ac:dyDescent="0.25">
      <c r="A1539" s="173" t="s">
        <v>804</v>
      </c>
      <c r="B1539">
        <v>12640</v>
      </c>
      <c r="C1539" s="173" t="s">
        <v>1701</v>
      </c>
      <c r="D1539" s="173" t="s">
        <v>470</v>
      </c>
      <c r="E1539">
        <v>2</v>
      </c>
    </row>
    <row r="1540" spans="1:5" hidden="1" x14ac:dyDescent="0.25">
      <c r="A1540" s="173" t="s">
        <v>804</v>
      </c>
      <c r="B1540">
        <v>12640</v>
      </c>
      <c r="C1540" s="173" t="s">
        <v>1702</v>
      </c>
      <c r="D1540" s="173" t="s">
        <v>470</v>
      </c>
      <c r="E1540">
        <v>2</v>
      </c>
    </row>
    <row r="1541" spans="1:5" hidden="1" x14ac:dyDescent="0.25">
      <c r="A1541" s="173" t="s">
        <v>804</v>
      </c>
      <c r="B1541">
        <v>12640</v>
      </c>
      <c r="C1541" s="173" t="s">
        <v>4766</v>
      </c>
      <c r="D1541" s="173" t="s">
        <v>470</v>
      </c>
      <c r="E1541">
        <v>2</v>
      </c>
    </row>
    <row r="1542" spans="1:5" hidden="1" x14ac:dyDescent="0.25">
      <c r="A1542" s="173" t="s">
        <v>804</v>
      </c>
      <c r="B1542">
        <v>12640</v>
      </c>
      <c r="C1542" s="173" t="s">
        <v>4767</v>
      </c>
      <c r="D1542" s="173" t="s">
        <v>470</v>
      </c>
      <c r="E1542">
        <v>2</v>
      </c>
    </row>
    <row r="1543" spans="1:5" hidden="1" x14ac:dyDescent="0.25">
      <c r="A1543" s="173" t="s">
        <v>514</v>
      </c>
      <c r="B1543">
        <v>12641</v>
      </c>
      <c r="C1543" s="173" t="s">
        <v>1703</v>
      </c>
      <c r="D1543" s="173" t="s">
        <v>517</v>
      </c>
      <c r="E1543">
        <v>1</v>
      </c>
    </row>
    <row r="1544" spans="1:5" hidden="1" x14ac:dyDescent="0.25">
      <c r="A1544" s="173" t="s">
        <v>514</v>
      </c>
      <c r="B1544">
        <v>12641</v>
      </c>
      <c r="C1544" s="173" t="s">
        <v>1704</v>
      </c>
      <c r="D1544" s="173" t="s">
        <v>517</v>
      </c>
      <c r="E1544">
        <v>1</v>
      </c>
    </row>
    <row r="1545" spans="1:5" hidden="1" x14ac:dyDescent="0.25">
      <c r="A1545" s="173" t="s">
        <v>514</v>
      </c>
      <c r="B1545">
        <v>12641</v>
      </c>
      <c r="C1545" s="173" t="s">
        <v>1705</v>
      </c>
      <c r="D1545" s="173" t="s">
        <v>517</v>
      </c>
      <c r="E1545">
        <v>1</v>
      </c>
    </row>
    <row r="1546" spans="1:5" hidden="1" x14ac:dyDescent="0.25">
      <c r="A1546" s="173" t="s">
        <v>514</v>
      </c>
      <c r="B1546">
        <v>12641</v>
      </c>
      <c r="C1546" s="173" t="s">
        <v>1706</v>
      </c>
      <c r="D1546" s="173" t="s">
        <v>517</v>
      </c>
      <c r="E1546">
        <v>1</v>
      </c>
    </row>
    <row r="1547" spans="1:5" hidden="1" x14ac:dyDescent="0.25">
      <c r="A1547" s="173" t="s">
        <v>514</v>
      </c>
      <c r="B1547">
        <v>12641</v>
      </c>
      <c r="C1547" s="173" t="s">
        <v>1707</v>
      </c>
      <c r="D1547" s="173" t="s">
        <v>517</v>
      </c>
      <c r="E1547">
        <v>1</v>
      </c>
    </row>
    <row r="1548" spans="1:5" hidden="1" x14ac:dyDescent="0.25">
      <c r="A1548" s="173" t="s">
        <v>514</v>
      </c>
      <c r="B1548">
        <v>12642</v>
      </c>
      <c r="C1548" s="173" t="s">
        <v>1708</v>
      </c>
      <c r="D1548" s="173" t="s">
        <v>470</v>
      </c>
      <c r="E1548">
        <v>2</v>
      </c>
    </row>
    <row r="1549" spans="1:5" hidden="1" x14ac:dyDescent="0.25">
      <c r="A1549" s="173" t="s">
        <v>514</v>
      </c>
      <c r="B1549">
        <v>12642</v>
      </c>
      <c r="C1549" s="173" t="s">
        <v>1709</v>
      </c>
      <c r="D1549" s="173" t="s">
        <v>470</v>
      </c>
      <c r="E1549">
        <v>2</v>
      </c>
    </row>
    <row r="1550" spans="1:5" hidden="1" x14ac:dyDescent="0.25">
      <c r="A1550" s="173" t="s">
        <v>514</v>
      </c>
      <c r="B1550">
        <v>12642</v>
      </c>
      <c r="C1550" s="173" t="s">
        <v>1710</v>
      </c>
      <c r="D1550" s="173" t="s">
        <v>470</v>
      </c>
      <c r="E1550">
        <v>2</v>
      </c>
    </row>
    <row r="1551" spans="1:5" hidden="1" x14ac:dyDescent="0.25">
      <c r="A1551" s="173" t="s">
        <v>514</v>
      </c>
      <c r="B1551">
        <v>12642</v>
      </c>
      <c r="C1551" s="173" t="s">
        <v>1711</v>
      </c>
      <c r="D1551" s="173" t="s">
        <v>470</v>
      </c>
      <c r="E1551">
        <v>2</v>
      </c>
    </row>
    <row r="1552" spans="1:5" hidden="1" x14ac:dyDescent="0.25">
      <c r="A1552" s="173" t="s">
        <v>804</v>
      </c>
      <c r="B1552">
        <v>12643</v>
      </c>
      <c r="C1552" s="173" t="s">
        <v>1712</v>
      </c>
      <c r="D1552" s="173" t="s">
        <v>470</v>
      </c>
      <c r="E1552">
        <v>1</v>
      </c>
    </row>
    <row r="1553" spans="1:5" hidden="1" x14ac:dyDescent="0.25">
      <c r="A1553" s="173" t="s">
        <v>804</v>
      </c>
      <c r="B1553">
        <v>12643</v>
      </c>
      <c r="C1553" s="173" t="s">
        <v>1713</v>
      </c>
      <c r="D1553" s="173" t="s">
        <v>470</v>
      </c>
      <c r="E1553">
        <v>1</v>
      </c>
    </row>
    <row r="1554" spans="1:5" hidden="1" x14ac:dyDescent="0.25">
      <c r="A1554" s="173" t="s">
        <v>804</v>
      </c>
      <c r="B1554">
        <v>12643</v>
      </c>
      <c r="C1554" s="173" t="s">
        <v>1714</v>
      </c>
      <c r="D1554" s="173" t="s">
        <v>470</v>
      </c>
      <c r="E1554">
        <v>1</v>
      </c>
    </row>
    <row r="1555" spans="1:5" hidden="1" x14ac:dyDescent="0.25">
      <c r="A1555" s="173" t="s">
        <v>804</v>
      </c>
      <c r="B1555">
        <v>12643</v>
      </c>
      <c r="C1555" s="173" t="s">
        <v>1715</v>
      </c>
      <c r="D1555" s="173" t="s">
        <v>470</v>
      </c>
      <c r="E1555">
        <v>1</v>
      </c>
    </row>
    <row r="1556" spans="1:5" hidden="1" x14ac:dyDescent="0.25">
      <c r="A1556" s="173" t="s">
        <v>804</v>
      </c>
      <c r="B1556">
        <v>12643</v>
      </c>
      <c r="C1556" s="173" t="s">
        <v>1716</v>
      </c>
      <c r="D1556" s="173" t="s">
        <v>470</v>
      </c>
      <c r="E1556">
        <v>1</v>
      </c>
    </row>
    <row r="1557" spans="1:5" hidden="1" x14ac:dyDescent="0.25">
      <c r="A1557" s="173" t="s">
        <v>804</v>
      </c>
      <c r="B1557">
        <v>12643</v>
      </c>
      <c r="C1557" s="173" t="s">
        <v>1717</v>
      </c>
      <c r="D1557" s="173" t="s">
        <v>470</v>
      </c>
      <c r="E1557">
        <v>1</v>
      </c>
    </row>
    <row r="1558" spans="1:5" hidden="1" x14ac:dyDescent="0.25">
      <c r="A1558" s="173" t="s">
        <v>804</v>
      </c>
      <c r="B1558">
        <v>12643</v>
      </c>
      <c r="C1558" s="173" t="s">
        <v>1718</v>
      </c>
      <c r="D1558" s="173" t="s">
        <v>470</v>
      </c>
      <c r="E1558">
        <v>1</v>
      </c>
    </row>
    <row r="1559" spans="1:5" hidden="1" x14ac:dyDescent="0.25">
      <c r="A1559" s="173" t="s">
        <v>514</v>
      </c>
      <c r="B1559">
        <v>12648</v>
      </c>
      <c r="C1559" s="173" t="s">
        <v>1719</v>
      </c>
      <c r="D1559" s="173" t="s">
        <v>517</v>
      </c>
      <c r="E1559">
        <v>1</v>
      </c>
    </row>
    <row r="1560" spans="1:5" hidden="1" x14ac:dyDescent="0.25">
      <c r="A1560" s="173" t="s">
        <v>514</v>
      </c>
      <c r="B1560">
        <v>12648</v>
      </c>
      <c r="C1560" s="173" t="s">
        <v>1719</v>
      </c>
      <c r="D1560" s="173" t="s">
        <v>470</v>
      </c>
      <c r="E1560">
        <v>1</v>
      </c>
    </row>
    <row r="1561" spans="1:5" hidden="1" x14ac:dyDescent="0.25">
      <c r="A1561" s="173" t="s">
        <v>514</v>
      </c>
      <c r="B1561">
        <v>12648</v>
      </c>
      <c r="C1561" s="173" t="s">
        <v>1720</v>
      </c>
      <c r="D1561" s="173" t="s">
        <v>470</v>
      </c>
      <c r="E1561">
        <v>1</v>
      </c>
    </row>
    <row r="1562" spans="1:5" hidden="1" x14ac:dyDescent="0.25">
      <c r="A1562" s="173" t="s">
        <v>514</v>
      </c>
      <c r="B1562">
        <v>12648</v>
      </c>
      <c r="C1562" s="173" t="s">
        <v>1720</v>
      </c>
      <c r="D1562" s="173" t="s">
        <v>517</v>
      </c>
      <c r="E1562">
        <v>1</v>
      </c>
    </row>
    <row r="1563" spans="1:5" hidden="1" x14ac:dyDescent="0.25">
      <c r="A1563" s="173" t="s">
        <v>514</v>
      </c>
      <c r="B1563">
        <v>12648</v>
      </c>
      <c r="C1563" s="173" t="s">
        <v>1721</v>
      </c>
      <c r="D1563" s="173" t="s">
        <v>470</v>
      </c>
      <c r="E1563">
        <v>1</v>
      </c>
    </row>
    <row r="1564" spans="1:5" hidden="1" x14ac:dyDescent="0.25">
      <c r="A1564" s="173" t="s">
        <v>514</v>
      </c>
      <c r="B1564">
        <v>12648</v>
      </c>
      <c r="C1564" s="173" t="s">
        <v>1721</v>
      </c>
      <c r="D1564" s="173" t="s">
        <v>517</v>
      </c>
      <c r="E1564">
        <v>1</v>
      </c>
    </row>
    <row r="1565" spans="1:5" hidden="1" x14ac:dyDescent="0.25">
      <c r="A1565" s="173" t="s">
        <v>514</v>
      </c>
      <c r="B1565">
        <v>12648</v>
      </c>
      <c r="C1565" s="173" t="s">
        <v>1722</v>
      </c>
      <c r="D1565" s="173" t="s">
        <v>470</v>
      </c>
      <c r="E1565">
        <v>1</v>
      </c>
    </row>
    <row r="1566" spans="1:5" hidden="1" x14ac:dyDescent="0.25">
      <c r="A1566" s="173" t="s">
        <v>514</v>
      </c>
      <c r="B1566">
        <v>12648</v>
      </c>
      <c r="C1566" s="173" t="s">
        <v>1722</v>
      </c>
      <c r="D1566" s="173" t="s">
        <v>517</v>
      </c>
      <c r="E1566">
        <v>1</v>
      </c>
    </row>
    <row r="1567" spans="1:5" hidden="1" x14ac:dyDescent="0.25">
      <c r="A1567" s="173" t="s">
        <v>514</v>
      </c>
      <c r="B1567">
        <v>12648</v>
      </c>
      <c r="C1567" s="173" t="s">
        <v>1723</v>
      </c>
      <c r="D1567" s="173" t="s">
        <v>517</v>
      </c>
      <c r="E1567">
        <v>1</v>
      </c>
    </row>
    <row r="1568" spans="1:5" hidden="1" x14ac:dyDescent="0.25">
      <c r="A1568" s="173" t="s">
        <v>514</v>
      </c>
      <c r="B1568">
        <v>12648</v>
      </c>
      <c r="C1568" s="173" t="s">
        <v>1723</v>
      </c>
      <c r="D1568" s="173" t="s">
        <v>470</v>
      </c>
      <c r="E1568">
        <v>1</v>
      </c>
    </row>
    <row r="1569" spans="1:5" hidden="1" x14ac:dyDescent="0.25">
      <c r="A1569" s="173" t="s">
        <v>1668</v>
      </c>
      <c r="B1569">
        <v>12649</v>
      </c>
      <c r="C1569" s="173" t="s">
        <v>1724</v>
      </c>
      <c r="D1569" s="173" t="s">
        <v>470</v>
      </c>
      <c r="E1569">
        <v>1</v>
      </c>
    </row>
    <row r="1570" spans="1:5" hidden="1" x14ac:dyDescent="0.25">
      <c r="A1570" s="173" t="s">
        <v>1668</v>
      </c>
      <c r="B1570">
        <v>12649</v>
      </c>
      <c r="C1570" s="173" t="s">
        <v>1725</v>
      </c>
      <c r="D1570" s="173" t="s">
        <v>470</v>
      </c>
      <c r="E1570">
        <v>1</v>
      </c>
    </row>
    <row r="1571" spans="1:5" hidden="1" x14ac:dyDescent="0.25">
      <c r="A1571" s="173" t="s">
        <v>1668</v>
      </c>
      <c r="B1571">
        <v>12649</v>
      </c>
      <c r="C1571" s="173" t="s">
        <v>1726</v>
      </c>
      <c r="D1571" s="173" t="s">
        <v>470</v>
      </c>
      <c r="E1571">
        <v>1</v>
      </c>
    </row>
    <row r="1572" spans="1:5" hidden="1" x14ac:dyDescent="0.25">
      <c r="A1572" s="173" t="s">
        <v>1668</v>
      </c>
      <c r="B1572">
        <v>12649</v>
      </c>
      <c r="C1572" s="173" t="s">
        <v>1727</v>
      </c>
      <c r="D1572" s="173" t="s">
        <v>470</v>
      </c>
      <c r="E1572">
        <v>1</v>
      </c>
    </row>
    <row r="1573" spans="1:5" hidden="1" x14ac:dyDescent="0.25">
      <c r="A1573" s="173" t="s">
        <v>514</v>
      </c>
      <c r="B1573">
        <v>12650</v>
      </c>
      <c r="C1573" s="173" t="s">
        <v>1728</v>
      </c>
      <c r="D1573" s="173" t="s">
        <v>470</v>
      </c>
      <c r="E1573">
        <v>1</v>
      </c>
    </row>
    <row r="1574" spans="1:5" hidden="1" x14ac:dyDescent="0.25">
      <c r="A1574" s="173" t="s">
        <v>514</v>
      </c>
      <c r="B1574">
        <v>12650</v>
      </c>
      <c r="C1574" s="173" t="s">
        <v>1729</v>
      </c>
      <c r="D1574" s="173" t="s">
        <v>470</v>
      </c>
      <c r="E1574">
        <v>1</v>
      </c>
    </row>
    <row r="1575" spans="1:5" hidden="1" x14ac:dyDescent="0.25">
      <c r="A1575" s="173" t="s">
        <v>514</v>
      </c>
      <c r="B1575">
        <v>12654</v>
      </c>
      <c r="C1575" s="173" t="s">
        <v>1730</v>
      </c>
      <c r="D1575" s="173" t="s">
        <v>470</v>
      </c>
      <c r="E1575">
        <v>2</v>
      </c>
    </row>
    <row r="1576" spans="1:5" hidden="1" x14ac:dyDescent="0.25">
      <c r="A1576" s="173" t="s">
        <v>514</v>
      </c>
      <c r="B1576">
        <v>12654</v>
      </c>
      <c r="C1576" s="173" t="s">
        <v>1731</v>
      </c>
      <c r="D1576" s="173" t="s">
        <v>470</v>
      </c>
      <c r="E1576">
        <v>4</v>
      </c>
    </row>
    <row r="1577" spans="1:5" hidden="1" x14ac:dyDescent="0.25">
      <c r="A1577" s="173" t="s">
        <v>514</v>
      </c>
      <c r="B1577">
        <v>12654</v>
      </c>
      <c r="C1577" s="173" t="s">
        <v>1732</v>
      </c>
      <c r="D1577" s="173" t="s">
        <v>470</v>
      </c>
      <c r="E1577">
        <v>2</v>
      </c>
    </row>
    <row r="1578" spans="1:5" hidden="1" x14ac:dyDescent="0.25">
      <c r="A1578" s="173" t="s">
        <v>514</v>
      </c>
      <c r="B1578">
        <v>12654</v>
      </c>
      <c r="C1578" s="173" t="s">
        <v>1733</v>
      </c>
      <c r="D1578" s="173" t="s">
        <v>470</v>
      </c>
      <c r="E1578">
        <v>2</v>
      </c>
    </row>
    <row r="1579" spans="1:5" hidden="1" x14ac:dyDescent="0.25">
      <c r="A1579" s="173" t="s">
        <v>514</v>
      </c>
      <c r="B1579">
        <v>12654</v>
      </c>
      <c r="C1579" s="173" t="s">
        <v>1734</v>
      </c>
      <c r="D1579" s="173" t="s">
        <v>470</v>
      </c>
      <c r="E1579">
        <v>4</v>
      </c>
    </row>
    <row r="1580" spans="1:5" hidden="1" x14ac:dyDescent="0.25">
      <c r="A1580" s="173" t="s">
        <v>804</v>
      </c>
      <c r="B1580">
        <v>12656</v>
      </c>
      <c r="C1580" s="173" t="s">
        <v>1735</v>
      </c>
      <c r="D1580" s="173" t="s">
        <v>470</v>
      </c>
      <c r="E1580">
        <v>2</v>
      </c>
    </row>
    <row r="1581" spans="1:5" hidden="1" x14ac:dyDescent="0.25">
      <c r="A1581" s="173" t="s">
        <v>804</v>
      </c>
      <c r="B1581">
        <v>12656</v>
      </c>
      <c r="C1581" s="173" t="s">
        <v>1736</v>
      </c>
      <c r="D1581" s="173" t="s">
        <v>470</v>
      </c>
      <c r="E1581">
        <v>2</v>
      </c>
    </row>
    <row r="1582" spans="1:5" hidden="1" x14ac:dyDescent="0.25">
      <c r="A1582" s="173" t="s">
        <v>804</v>
      </c>
      <c r="B1582">
        <v>12656</v>
      </c>
      <c r="C1582" s="173" t="s">
        <v>1737</v>
      </c>
      <c r="D1582" s="173" t="s">
        <v>470</v>
      </c>
      <c r="E1582">
        <v>2</v>
      </c>
    </row>
    <row r="1583" spans="1:5" hidden="1" x14ac:dyDescent="0.25">
      <c r="A1583" s="173" t="s">
        <v>804</v>
      </c>
      <c r="B1583">
        <v>12656</v>
      </c>
      <c r="C1583" s="173" t="s">
        <v>1738</v>
      </c>
      <c r="D1583" s="173" t="s">
        <v>470</v>
      </c>
      <c r="E1583">
        <v>2</v>
      </c>
    </row>
    <row r="1584" spans="1:5" hidden="1" x14ac:dyDescent="0.25">
      <c r="A1584" s="173" t="s">
        <v>804</v>
      </c>
      <c r="B1584">
        <v>12660</v>
      </c>
      <c r="C1584" s="173" t="s">
        <v>1739</v>
      </c>
      <c r="D1584" s="173" t="s">
        <v>470</v>
      </c>
      <c r="E1584">
        <v>2</v>
      </c>
    </row>
    <row r="1585" spans="1:5" hidden="1" x14ac:dyDescent="0.25">
      <c r="A1585" s="173" t="s">
        <v>804</v>
      </c>
      <c r="B1585">
        <v>12660</v>
      </c>
      <c r="C1585" s="173" t="s">
        <v>1740</v>
      </c>
      <c r="D1585" s="173" t="s">
        <v>470</v>
      </c>
      <c r="E1585">
        <v>2</v>
      </c>
    </row>
    <row r="1586" spans="1:5" hidden="1" x14ac:dyDescent="0.25">
      <c r="A1586" s="173" t="s">
        <v>804</v>
      </c>
      <c r="B1586">
        <v>12660</v>
      </c>
      <c r="C1586" s="173" t="s">
        <v>1741</v>
      </c>
      <c r="D1586" s="173" t="s">
        <v>470</v>
      </c>
      <c r="E1586">
        <v>2</v>
      </c>
    </row>
    <row r="1587" spans="1:5" hidden="1" x14ac:dyDescent="0.25">
      <c r="A1587" s="173" t="s">
        <v>804</v>
      </c>
      <c r="B1587">
        <v>12660</v>
      </c>
      <c r="C1587" s="173" t="s">
        <v>1742</v>
      </c>
      <c r="D1587" s="173" t="s">
        <v>470</v>
      </c>
      <c r="E1587">
        <v>2</v>
      </c>
    </row>
    <row r="1588" spans="1:5" hidden="1" x14ac:dyDescent="0.25">
      <c r="A1588" s="173" t="s">
        <v>804</v>
      </c>
      <c r="B1588">
        <v>12660</v>
      </c>
      <c r="C1588" s="173" t="s">
        <v>1743</v>
      </c>
      <c r="D1588" s="173" t="s">
        <v>470</v>
      </c>
      <c r="E1588">
        <v>2</v>
      </c>
    </row>
    <row r="1589" spans="1:5" hidden="1" x14ac:dyDescent="0.25">
      <c r="A1589" s="173" t="s">
        <v>804</v>
      </c>
      <c r="B1589">
        <v>12660</v>
      </c>
      <c r="C1589" s="173" t="s">
        <v>1744</v>
      </c>
      <c r="D1589" s="173" t="s">
        <v>470</v>
      </c>
      <c r="E1589">
        <v>1</v>
      </c>
    </row>
    <row r="1590" spans="1:5" hidden="1" x14ac:dyDescent="0.25">
      <c r="A1590" s="173" t="s">
        <v>514</v>
      </c>
      <c r="B1590">
        <v>12669</v>
      </c>
      <c r="C1590" s="173" t="s">
        <v>1745</v>
      </c>
      <c r="D1590" s="173" t="s">
        <v>470</v>
      </c>
      <c r="E1590">
        <v>1</v>
      </c>
    </row>
    <row r="1591" spans="1:5" hidden="1" x14ac:dyDescent="0.25">
      <c r="A1591" s="173" t="s">
        <v>514</v>
      </c>
      <c r="B1591">
        <v>12669</v>
      </c>
      <c r="C1591" s="173" t="s">
        <v>1745</v>
      </c>
      <c r="D1591" s="173" t="s">
        <v>517</v>
      </c>
      <c r="E1591">
        <v>1</v>
      </c>
    </row>
    <row r="1592" spans="1:5" hidden="1" x14ac:dyDescent="0.25">
      <c r="A1592" s="173" t="s">
        <v>514</v>
      </c>
      <c r="B1592">
        <v>12669</v>
      </c>
      <c r="C1592" s="173" t="s">
        <v>1746</v>
      </c>
      <c r="D1592" s="173" t="s">
        <v>517</v>
      </c>
      <c r="E1592">
        <v>1</v>
      </c>
    </row>
    <row r="1593" spans="1:5" hidden="1" x14ac:dyDescent="0.25">
      <c r="A1593" s="173" t="s">
        <v>514</v>
      </c>
      <c r="B1593">
        <v>12669</v>
      </c>
      <c r="C1593" s="173" t="s">
        <v>1746</v>
      </c>
      <c r="D1593" s="173" t="s">
        <v>470</v>
      </c>
      <c r="E1593">
        <v>1</v>
      </c>
    </row>
    <row r="1594" spans="1:5" hidden="1" x14ac:dyDescent="0.25">
      <c r="A1594" s="173" t="s">
        <v>514</v>
      </c>
      <c r="B1594">
        <v>12669</v>
      </c>
      <c r="C1594" s="173" t="s">
        <v>1747</v>
      </c>
      <c r="D1594" s="173" t="s">
        <v>470</v>
      </c>
      <c r="E1594">
        <v>1</v>
      </c>
    </row>
    <row r="1595" spans="1:5" hidden="1" x14ac:dyDescent="0.25">
      <c r="A1595" s="173" t="s">
        <v>514</v>
      </c>
      <c r="B1595">
        <v>12669</v>
      </c>
      <c r="C1595" s="173" t="s">
        <v>1747</v>
      </c>
      <c r="D1595" s="173" t="s">
        <v>517</v>
      </c>
      <c r="E1595">
        <v>1</v>
      </c>
    </row>
    <row r="1596" spans="1:5" hidden="1" x14ac:dyDescent="0.25">
      <c r="A1596" s="173" t="s">
        <v>514</v>
      </c>
      <c r="B1596">
        <v>12669</v>
      </c>
      <c r="C1596" s="173" t="s">
        <v>1748</v>
      </c>
      <c r="D1596" s="173" t="s">
        <v>470</v>
      </c>
      <c r="E1596">
        <v>1</v>
      </c>
    </row>
    <row r="1597" spans="1:5" hidden="1" x14ac:dyDescent="0.25">
      <c r="A1597" s="173" t="s">
        <v>514</v>
      </c>
      <c r="B1597">
        <v>12669</v>
      </c>
      <c r="C1597" s="173" t="s">
        <v>1748</v>
      </c>
      <c r="D1597" s="173" t="s">
        <v>517</v>
      </c>
      <c r="E1597">
        <v>1</v>
      </c>
    </row>
    <row r="1598" spans="1:5" hidden="1" x14ac:dyDescent="0.25">
      <c r="A1598" s="173" t="s">
        <v>514</v>
      </c>
      <c r="B1598">
        <v>12669</v>
      </c>
      <c r="C1598" s="173" t="s">
        <v>1749</v>
      </c>
      <c r="D1598" s="173" t="s">
        <v>517</v>
      </c>
      <c r="E1598">
        <v>1</v>
      </c>
    </row>
    <row r="1599" spans="1:5" hidden="1" x14ac:dyDescent="0.25">
      <c r="A1599" s="173" t="s">
        <v>514</v>
      </c>
      <c r="B1599">
        <v>12669</v>
      </c>
      <c r="C1599" s="173" t="s">
        <v>1749</v>
      </c>
      <c r="D1599" s="173" t="s">
        <v>470</v>
      </c>
      <c r="E1599">
        <v>1</v>
      </c>
    </row>
    <row r="1600" spans="1:5" hidden="1" x14ac:dyDescent="0.25">
      <c r="A1600" s="173" t="s">
        <v>1668</v>
      </c>
      <c r="B1600">
        <v>12670</v>
      </c>
      <c r="C1600" s="173" t="s">
        <v>1750</v>
      </c>
      <c r="D1600" s="173" t="s">
        <v>470</v>
      </c>
      <c r="E1600">
        <v>1</v>
      </c>
    </row>
    <row r="1601" spans="1:5" hidden="1" x14ac:dyDescent="0.25">
      <c r="A1601" s="173" t="s">
        <v>1668</v>
      </c>
      <c r="B1601">
        <v>12670</v>
      </c>
      <c r="C1601" s="173" t="s">
        <v>1751</v>
      </c>
      <c r="D1601" s="173" t="s">
        <v>470</v>
      </c>
      <c r="E1601">
        <v>1</v>
      </c>
    </row>
    <row r="1602" spans="1:5" hidden="1" x14ac:dyDescent="0.25">
      <c r="A1602" s="173" t="s">
        <v>1668</v>
      </c>
      <c r="B1602">
        <v>12670</v>
      </c>
      <c r="C1602" s="173" t="s">
        <v>1752</v>
      </c>
      <c r="D1602" s="173" t="s">
        <v>470</v>
      </c>
      <c r="E1602">
        <v>1</v>
      </c>
    </row>
    <row r="1603" spans="1:5" hidden="1" x14ac:dyDescent="0.25">
      <c r="A1603" s="173" t="s">
        <v>1668</v>
      </c>
      <c r="B1603">
        <v>12670</v>
      </c>
      <c r="C1603" s="173" t="s">
        <v>1753</v>
      </c>
      <c r="D1603" s="173" t="s">
        <v>470</v>
      </c>
      <c r="E1603">
        <v>1</v>
      </c>
    </row>
    <row r="1604" spans="1:5" hidden="1" x14ac:dyDescent="0.25">
      <c r="A1604" s="173" t="s">
        <v>1668</v>
      </c>
      <c r="B1604">
        <v>12671</v>
      </c>
      <c r="C1604" s="173" t="s">
        <v>1754</v>
      </c>
      <c r="D1604" s="173" t="s">
        <v>470</v>
      </c>
      <c r="E1604">
        <v>2</v>
      </c>
    </row>
    <row r="1605" spans="1:5" hidden="1" x14ac:dyDescent="0.25">
      <c r="A1605" s="173" t="s">
        <v>1668</v>
      </c>
      <c r="B1605">
        <v>12671</v>
      </c>
      <c r="C1605" s="173" t="s">
        <v>1755</v>
      </c>
      <c r="D1605" s="173" t="s">
        <v>470</v>
      </c>
      <c r="E1605">
        <v>2</v>
      </c>
    </row>
    <row r="1606" spans="1:5" hidden="1" x14ac:dyDescent="0.25">
      <c r="A1606" s="173" t="s">
        <v>1668</v>
      </c>
      <c r="B1606">
        <v>12671</v>
      </c>
      <c r="C1606" s="173" t="s">
        <v>1756</v>
      </c>
      <c r="D1606" s="173" t="s">
        <v>470</v>
      </c>
      <c r="E1606">
        <v>2</v>
      </c>
    </row>
    <row r="1607" spans="1:5" x14ac:dyDescent="0.25">
      <c r="A1607" s="173" t="s">
        <v>468</v>
      </c>
      <c r="B1607">
        <v>12675</v>
      </c>
      <c r="C1607" s="173" t="s">
        <v>1757</v>
      </c>
      <c r="D1607" s="173" t="s">
        <v>470</v>
      </c>
      <c r="E1607">
        <v>2</v>
      </c>
    </row>
    <row r="1608" spans="1:5" x14ac:dyDescent="0.25">
      <c r="A1608" s="173" t="s">
        <v>468</v>
      </c>
      <c r="B1608">
        <v>12675</v>
      </c>
      <c r="C1608" s="173" t="s">
        <v>1758</v>
      </c>
      <c r="D1608" s="173" t="s">
        <v>470</v>
      </c>
      <c r="E1608">
        <v>3</v>
      </c>
    </row>
    <row r="1609" spans="1:5" x14ac:dyDescent="0.25">
      <c r="A1609" s="173" t="s">
        <v>468</v>
      </c>
      <c r="B1609">
        <v>12675</v>
      </c>
      <c r="C1609" s="173" t="s">
        <v>1759</v>
      </c>
      <c r="D1609" s="173" t="s">
        <v>470</v>
      </c>
      <c r="E1609">
        <v>3</v>
      </c>
    </row>
    <row r="1610" spans="1:5" x14ac:dyDescent="0.25">
      <c r="A1610" s="173" t="s">
        <v>468</v>
      </c>
      <c r="B1610">
        <v>12675</v>
      </c>
      <c r="C1610" s="173" t="s">
        <v>1760</v>
      </c>
      <c r="D1610" s="173" t="s">
        <v>470</v>
      </c>
      <c r="E1610">
        <v>2</v>
      </c>
    </row>
    <row r="1611" spans="1:5" x14ac:dyDescent="0.25">
      <c r="A1611" s="173" t="s">
        <v>468</v>
      </c>
      <c r="B1611">
        <v>12675</v>
      </c>
      <c r="C1611" s="173" t="s">
        <v>386</v>
      </c>
      <c r="D1611" s="173" t="s">
        <v>470</v>
      </c>
      <c r="E1611">
        <v>3</v>
      </c>
    </row>
    <row r="1612" spans="1:5" x14ac:dyDescent="0.25">
      <c r="A1612" s="173" t="s">
        <v>468</v>
      </c>
      <c r="B1612">
        <v>12675</v>
      </c>
      <c r="C1612" s="173" t="s">
        <v>385</v>
      </c>
      <c r="D1612" s="173" t="s">
        <v>470</v>
      </c>
      <c r="E1612">
        <v>3</v>
      </c>
    </row>
    <row r="1613" spans="1:5" x14ac:dyDescent="0.25">
      <c r="A1613" s="173" t="s">
        <v>468</v>
      </c>
      <c r="B1613">
        <v>12677</v>
      </c>
      <c r="C1613" s="173" t="s">
        <v>3652</v>
      </c>
      <c r="D1613" s="173" t="s">
        <v>470</v>
      </c>
      <c r="E1613">
        <v>4</v>
      </c>
    </row>
    <row r="1614" spans="1:5" x14ac:dyDescent="0.25">
      <c r="A1614" s="173" t="s">
        <v>468</v>
      </c>
      <c r="B1614">
        <v>12677</v>
      </c>
      <c r="C1614" s="173" t="s">
        <v>3653</v>
      </c>
      <c r="D1614" s="173" t="s">
        <v>470</v>
      </c>
      <c r="E1614">
        <v>4</v>
      </c>
    </row>
    <row r="1615" spans="1:5" x14ac:dyDescent="0.25">
      <c r="A1615" s="173" t="s">
        <v>468</v>
      </c>
      <c r="B1615">
        <v>12677</v>
      </c>
      <c r="C1615" s="173" t="s">
        <v>3654</v>
      </c>
      <c r="D1615" s="173" t="s">
        <v>470</v>
      </c>
      <c r="E1615">
        <v>4</v>
      </c>
    </row>
    <row r="1616" spans="1:5" x14ac:dyDescent="0.25">
      <c r="A1616" s="173" t="s">
        <v>468</v>
      </c>
      <c r="B1616">
        <v>12677</v>
      </c>
      <c r="C1616" s="173" t="s">
        <v>3655</v>
      </c>
      <c r="D1616" s="173" t="s">
        <v>470</v>
      </c>
      <c r="E1616">
        <v>5</v>
      </c>
    </row>
    <row r="1617" spans="1:5" x14ac:dyDescent="0.25">
      <c r="A1617" s="173" t="s">
        <v>468</v>
      </c>
      <c r="B1617">
        <v>12677</v>
      </c>
      <c r="C1617" s="173" t="s">
        <v>3656</v>
      </c>
      <c r="D1617" s="173" t="s">
        <v>470</v>
      </c>
      <c r="E1617">
        <v>4</v>
      </c>
    </row>
    <row r="1618" spans="1:5" x14ac:dyDescent="0.25">
      <c r="A1618" s="173" t="s">
        <v>468</v>
      </c>
      <c r="B1618">
        <v>12677</v>
      </c>
      <c r="C1618" s="173" t="s">
        <v>3657</v>
      </c>
      <c r="D1618" s="173" t="s">
        <v>470</v>
      </c>
      <c r="E1618">
        <v>7</v>
      </c>
    </row>
    <row r="1619" spans="1:5" hidden="1" x14ac:dyDescent="0.25">
      <c r="A1619" s="173" t="s">
        <v>804</v>
      </c>
      <c r="B1619">
        <v>12680</v>
      </c>
      <c r="C1619" s="173" t="s">
        <v>1761</v>
      </c>
      <c r="D1619" s="173" t="s">
        <v>470</v>
      </c>
      <c r="E1619">
        <v>2</v>
      </c>
    </row>
    <row r="1620" spans="1:5" hidden="1" x14ac:dyDescent="0.25">
      <c r="A1620" s="173" t="s">
        <v>804</v>
      </c>
      <c r="B1620">
        <v>12680</v>
      </c>
      <c r="C1620" s="173" t="s">
        <v>1762</v>
      </c>
      <c r="D1620" s="173" t="s">
        <v>470</v>
      </c>
      <c r="E1620">
        <v>2</v>
      </c>
    </row>
    <row r="1621" spans="1:5" hidden="1" x14ac:dyDescent="0.25">
      <c r="A1621" s="173" t="s">
        <v>804</v>
      </c>
      <c r="B1621">
        <v>12680</v>
      </c>
      <c r="C1621" s="173" t="s">
        <v>1763</v>
      </c>
      <c r="D1621" s="173" t="s">
        <v>470</v>
      </c>
      <c r="E1621">
        <v>2</v>
      </c>
    </row>
    <row r="1622" spans="1:5" hidden="1" x14ac:dyDescent="0.25">
      <c r="A1622" s="173" t="s">
        <v>804</v>
      </c>
      <c r="B1622">
        <v>12680</v>
      </c>
      <c r="C1622" s="173" t="s">
        <v>1764</v>
      </c>
      <c r="D1622" s="173" t="s">
        <v>470</v>
      </c>
      <c r="E1622">
        <v>2</v>
      </c>
    </row>
    <row r="1623" spans="1:5" hidden="1" x14ac:dyDescent="0.25">
      <c r="A1623" s="173" t="s">
        <v>804</v>
      </c>
      <c r="B1623">
        <v>12680</v>
      </c>
      <c r="C1623" s="173" t="s">
        <v>1765</v>
      </c>
      <c r="D1623" s="173" t="s">
        <v>470</v>
      </c>
      <c r="E1623">
        <v>2</v>
      </c>
    </row>
    <row r="1624" spans="1:5" hidden="1" x14ac:dyDescent="0.25">
      <c r="A1624" s="173" t="s">
        <v>804</v>
      </c>
      <c r="B1624">
        <v>12680</v>
      </c>
      <c r="C1624" s="173" t="s">
        <v>1766</v>
      </c>
      <c r="D1624" s="173" t="s">
        <v>470</v>
      </c>
      <c r="E1624">
        <v>2</v>
      </c>
    </row>
    <row r="1625" spans="1:5" hidden="1" x14ac:dyDescent="0.25">
      <c r="A1625" s="173" t="s">
        <v>1668</v>
      </c>
      <c r="B1625">
        <v>12681</v>
      </c>
      <c r="C1625" s="173" t="s">
        <v>1767</v>
      </c>
      <c r="D1625" s="173" t="s">
        <v>470</v>
      </c>
      <c r="E1625">
        <v>2</v>
      </c>
    </row>
    <row r="1626" spans="1:5" hidden="1" x14ac:dyDescent="0.25">
      <c r="A1626" s="173" t="s">
        <v>1668</v>
      </c>
      <c r="B1626">
        <v>12681</v>
      </c>
      <c r="C1626" s="173" t="s">
        <v>1768</v>
      </c>
      <c r="D1626" s="173" t="s">
        <v>470</v>
      </c>
      <c r="E1626">
        <v>3</v>
      </c>
    </row>
    <row r="1627" spans="1:5" hidden="1" x14ac:dyDescent="0.25">
      <c r="A1627" s="173" t="s">
        <v>1668</v>
      </c>
      <c r="B1627">
        <v>12681</v>
      </c>
      <c r="C1627" s="173" t="s">
        <v>1769</v>
      </c>
      <c r="D1627" s="173" t="s">
        <v>470</v>
      </c>
      <c r="E1627">
        <v>3</v>
      </c>
    </row>
    <row r="1628" spans="1:5" hidden="1" x14ac:dyDescent="0.25">
      <c r="A1628" s="173" t="s">
        <v>1668</v>
      </c>
      <c r="B1628">
        <v>12681</v>
      </c>
      <c r="C1628" s="173" t="s">
        <v>1770</v>
      </c>
      <c r="D1628" s="173" t="s">
        <v>470</v>
      </c>
      <c r="E1628">
        <v>2</v>
      </c>
    </row>
    <row r="1629" spans="1:5" hidden="1" x14ac:dyDescent="0.25">
      <c r="A1629" s="173" t="s">
        <v>1668</v>
      </c>
      <c r="B1629">
        <v>12681</v>
      </c>
      <c r="C1629" s="173" t="s">
        <v>1771</v>
      </c>
      <c r="D1629" s="173" t="s">
        <v>470</v>
      </c>
      <c r="E1629">
        <v>3</v>
      </c>
    </row>
    <row r="1630" spans="1:5" hidden="1" x14ac:dyDescent="0.25">
      <c r="A1630" s="173" t="s">
        <v>514</v>
      </c>
      <c r="B1630">
        <v>12685</v>
      </c>
      <c r="C1630" s="173" t="s">
        <v>1772</v>
      </c>
      <c r="D1630" s="173" t="s">
        <v>470</v>
      </c>
      <c r="E1630">
        <v>2</v>
      </c>
    </row>
    <row r="1631" spans="1:5" hidden="1" x14ac:dyDescent="0.25">
      <c r="A1631" s="173" t="s">
        <v>514</v>
      </c>
      <c r="B1631">
        <v>12685</v>
      </c>
      <c r="C1631" s="173" t="s">
        <v>1772</v>
      </c>
      <c r="D1631" s="173" t="s">
        <v>517</v>
      </c>
      <c r="E1631">
        <v>1</v>
      </c>
    </row>
    <row r="1632" spans="1:5" hidden="1" x14ac:dyDescent="0.25">
      <c r="A1632" s="173" t="s">
        <v>514</v>
      </c>
      <c r="B1632">
        <v>12685</v>
      </c>
      <c r="C1632" s="173" t="s">
        <v>1773</v>
      </c>
      <c r="D1632" s="173" t="s">
        <v>517</v>
      </c>
      <c r="E1632">
        <v>1</v>
      </c>
    </row>
    <row r="1633" spans="1:5" hidden="1" x14ac:dyDescent="0.25">
      <c r="A1633" s="173" t="s">
        <v>514</v>
      </c>
      <c r="B1633">
        <v>12685</v>
      </c>
      <c r="C1633" s="173" t="s">
        <v>1773</v>
      </c>
      <c r="D1633" s="173" t="s">
        <v>470</v>
      </c>
      <c r="E1633">
        <v>2</v>
      </c>
    </row>
    <row r="1634" spans="1:5" hidden="1" x14ac:dyDescent="0.25">
      <c r="A1634" s="173" t="s">
        <v>514</v>
      </c>
      <c r="B1634">
        <v>12685</v>
      </c>
      <c r="C1634" s="173" t="s">
        <v>1774</v>
      </c>
      <c r="D1634" s="173" t="s">
        <v>517</v>
      </c>
      <c r="E1634">
        <v>1</v>
      </c>
    </row>
    <row r="1635" spans="1:5" hidden="1" x14ac:dyDescent="0.25">
      <c r="A1635" s="173" t="s">
        <v>514</v>
      </c>
      <c r="B1635">
        <v>12685</v>
      </c>
      <c r="C1635" s="173" t="s">
        <v>1774</v>
      </c>
      <c r="D1635" s="173" t="s">
        <v>470</v>
      </c>
      <c r="E1635">
        <v>2</v>
      </c>
    </row>
    <row r="1636" spans="1:5" hidden="1" x14ac:dyDescent="0.25">
      <c r="A1636" s="173" t="s">
        <v>514</v>
      </c>
      <c r="B1636">
        <v>12685</v>
      </c>
      <c r="C1636" s="173" t="s">
        <v>1775</v>
      </c>
      <c r="D1636" s="173" t="s">
        <v>470</v>
      </c>
      <c r="E1636">
        <v>2</v>
      </c>
    </row>
    <row r="1637" spans="1:5" hidden="1" x14ac:dyDescent="0.25">
      <c r="A1637" s="173" t="s">
        <v>514</v>
      </c>
      <c r="B1637">
        <v>12685</v>
      </c>
      <c r="C1637" s="173" t="s">
        <v>1775</v>
      </c>
      <c r="D1637" s="173" t="s">
        <v>517</v>
      </c>
      <c r="E1637">
        <v>1</v>
      </c>
    </row>
    <row r="1638" spans="1:5" hidden="1" x14ac:dyDescent="0.25">
      <c r="A1638" s="173" t="s">
        <v>514</v>
      </c>
      <c r="B1638">
        <v>12688</v>
      </c>
      <c r="C1638" s="173" t="s">
        <v>1776</v>
      </c>
      <c r="D1638" s="173" t="s">
        <v>470</v>
      </c>
      <c r="E1638">
        <v>1</v>
      </c>
    </row>
    <row r="1639" spans="1:5" hidden="1" x14ac:dyDescent="0.25">
      <c r="A1639" s="173" t="s">
        <v>514</v>
      </c>
      <c r="B1639">
        <v>12688</v>
      </c>
      <c r="C1639" s="173" t="s">
        <v>1777</v>
      </c>
      <c r="D1639" s="173" t="s">
        <v>470</v>
      </c>
      <c r="E1639">
        <v>1</v>
      </c>
    </row>
    <row r="1640" spans="1:5" hidden="1" x14ac:dyDescent="0.25">
      <c r="A1640" s="173" t="s">
        <v>514</v>
      </c>
      <c r="B1640">
        <v>12688</v>
      </c>
      <c r="C1640" s="173" t="s">
        <v>1778</v>
      </c>
      <c r="D1640" s="173" t="s">
        <v>470</v>
      </c>
      <c r="E1640">
        <v>1</v>
      </c>
    </row>
    <row r="1641" spans="1:5" hidden="1" x14ac:dyDescent="0.25">
      <c r="A1641" s="173" t="s">
        <v>514</v>
      </c>
      <c r="B1641">
        <v>12688</v>
      </c>
      <c r="C1641" s="173" t="s">
        <v>1779</v>
      </c>
      <c r="D1641" s="173" t="s">
        <v>470</v>
      </c>
      <c r="E1641">
        <v>1</v>
      </c>
    </row>
    <row r="1642" spans="1:5" hidden="1" x14ac:dyDescent="0.25">
      <c r="A1642" s="173" t="s">
        <v>514</v>
      </c>
      <c r="B1642">
        <v>12688</v>
      </c>
      <c r="C1642" s="173" t="s">
        <v>1780</v>
      </c>
      <c r="D1642" s="173" t="s">
        <v>470</v>
      </c>
      <c r="E1642">
        <v>1</v>
      </c>
    </row>
    <row r="1643" spans="1:5" hidden="1" x14ac:dyDescent="0.25">
      <c r="A1643" s="173" t="s">
        <v>804</v>
      </c>
      <c r="B1643">
        <v>12693</v>
      </c>
      <c r="C1643" s="173" t="s">
        <v>3658</v>
      </c>
      <c r="D1643" s="173" t="s">
        <v>470</v>
      </c>
      <c r="E1643">
        <v>1</v>
      </c>
    </row>
    <row r="1644" spans="1:5" hidden="1" x14ac:dyDescent="0.25">
      <c r="A1644" s="173" t="s">
        <v>804</v>
      </c>
      <c r="B1644">
        <v>12693</v>
      </c>
      <c r="C1644" s="173" t="s">
        <v>3659</v>
      </c>
      <c r="D1644" s="173" t="s">
        <v>470</v>
      </c>
      <c r="E1644">
        <v>1</v>
      </c>
    </row>
    <row r="1645" spans="1:5" hidden="1" x14ac:dyDescent="0.25">
      <c r="A1645" s="173" t="s">
        <v>804</v>
      </c>
      <c r="B1645">
        <v>12693</v>
      </c>
      <c r="C1645" s="173" t="s">
        <v>3660</v>
      </c>
      <c r="D1645" s="173" t="s">
        <v>470</v>
      </c>
      <c r="E1645">
        <v>1</v>
      </c>
    </row>
    <row r="1646" spans="1:5" hidden="1" x14ac:dyDescent="0.25">
      <c r="A1646" s="173" t="s">
        <v>804</v>
      </c>
      <c r="B1646">
        <v>12693</v>
      </c>
      <c r="C1646" s="173" t="s">
        <v>3661</v>
      </c>
      <c r="D1646" s="173" t="s">
        <v>470</v>
      </c>
      <c r="E1646">
        <v>1</v>
      </c>
    </row>
    <row r="1647" spans="1:5" hidden="1" x14ac:dyDescent="0.25">
      <c r="A1647" s="173" t="s">
        <v>804</v>
      </c>
      <c r="B1647">
        <v>12693</v>
      </c>
      <c r="C1647" s="173" t="s">
        <v>3662</v>
      </c>
      <c r="D1647" s="173" t="s">
        <v>470</v>
      </c>
      <c r="E1647">
        <v>1</v>
      </c>
    </row>
    <row r="1648" spans="1:5" x14ac:dyDescent="0.25">
      <c r="A1648" s="173" t="s">
        <v>468</v>
      </c>
      <c r="B1648">
        <v>12701</v>
      </c>
      <c r="C1648" s="173" t="s">
        <v>388</v>
      </c>
      <c r="D1648" s="173" t="s">
        <v>470</v>
      </c>
      <c r="E1648">
        <v>1</v>
      </c>
    </row>
    <row r="1649" spans="1:5" x14ac:dyDescent="0.25">
      <c r="A1649" s="173" t="s">
        <v>468</v>
      </c>
      <c r="B1649">
        <v>12701</v>
      </c>
      <c r="C1649" s="173" t="s">
        <v>388</v>
      </c>
      <c r="D1649" s="173" t="s">
        <v>470</v>
      </c>
      <c r="E1649">
        <v>2</v>
      </c>
    </row>
    <row r="1650" spans="1:5" x14ac:dyDescent="0.25">
      <c r="A1650" s="173" t="s">
        <v>468</v>
      </c>
      <c r="B1650">
        <v>12701</v>
      </c>
      <c r="C1650" s="173" t="s">
        <v>1781</v>
      </c>
      <c r="D1650" s="173" t="s">
        <v>470</v>
      </c>
      <c r="E1650">
        <v>1</v>
      </c>
    </row>
    <row r="1651" spans="1:5" x14ac:dyDescent="0.25">
      <c r="A1651" s="173" t="s">
        <v>468</v>
      </c>
      <c r="B1651">
        <v>12701</v>
      </c>
      <c r="C1651" s="173" t="s">
        <v>1781</v>
      </c>
      <c r="D1651" s="173" t="s">
        <v>470</v>
      </c>
      <c r="E1651">
        <v>2</v>
      </c>
    </row>
    <row r="1652" spans="1:5" x14ac:dyDescent="0.25">
      <c r="A1652" s="173" t="s">
        <v>468</v>
      </c>
      <c r="B1652">
        <v>12701</v>
      </c>
      <c r="C1652" s="173" t="s">
        <v>389</v>
      </c>
      <c r="D1652" s="173" t="s">
        <v>470</v>
      </c>
      <c r="E1652">
        <v>1</v>
      </c>
    </row>
    <row r="1653" spans="1:5" x14ac:dyDescent="0.25">
      <c r="A1653" s="173" t="s">
        <v>468</v>
      </c>
      <c r="B1653">
        <v>12701</v>
      </c>
      <c r="C1653" s="173" t="s">
        <v>389</v>
      </c>
      <c r="D1653" s="173" t="s">
        <v>470</v>
      </c>
      <c r="E1653">
        <v>2</v>
      </c>
    </row>
    <row r="1654" spans="1:5" x14ac:dyDescent="0.25">
      <c r="A1654" s="173" t="s">
        <v>468</v>
      </c>
      <c r="B1654">
        <v>12701</v>
      </c>
      <c r="C1654" s="173" t="s">
        <v>1782</v>
      </c>
      <c r="D1654" s="173" t="s">
        <v>470</v>
      </c>
      <c r="E1654">
        <v>2</v>
      </c>
    </row>
    <row r="1655" spans="1:5" x14ac:dyDescent="0.25">
      <c r="A1655" s="173" t="s">
        <v>468</v>
      </c>
      <c r="B1655">
        <v>12701</v>
      </c>
      <c r="C1655" s="173" t="s">
        <v>1782</v>
      </c>
      <c r="D1655" s="173" t="s">
        <v>470</v>
      </c>
      <c r="E1655">
        <v>1</v>
      </c>
    </row>
    <row r="1656" spans="1:5" x14ac:dyDescent="0.25">
      <c r="A1656" s="173" t="s">
        <v>468</v>
      </c>
      <c r="B1656">
        <v>12701</v>
      </c>
      <c r="C1656" s="173" t="s">
        <v>1783</v>
      </c>
      <c r="D1656" s="173" t="s">
        <v>470</v>
      </c>
      <c r="E1656">
        <v>2</v>
      </c>
    </row>
    <row r="1657" spans="1:5" hidden="1" x14ac:dyDescent="0.25">
      <c r="A1657" s="173" t="s">
        <v>804</v>
      </c>
      <c r="B1657">
        <v>12702</v>
      </c>
      <c r="C1657" s="173" t="s">
        <v>3663</v>
      </c>
      <c r="D1657" s="173" t="s">
        <v>470</v>
      </c>
      <c r="E1657">
        <v>4</v>
      </c>
    </row>
    <row r="1658" spans="1:5" hidden="1" x14ac:dyDescent="0.25">
      <c r="A1658" s="173" t="s">
        <v>804</v>
      </c>
      <c r="B1658">
        <v>12702</v>
      </c>
      <c r="C1658" s="173" t="s">
        <v>3664</v>
      </c>
      <c r="D1658" s="173" t="s">
        <v>470</v>
      </c>
      <c r="E1658">
        <v>4</v>
      </c>
    </row>
    <row r="1659" spans="1:5" hidden="1" x14ac:dyDescent="0.25">
      <c r="A1659" s="173" t="s">
        <v>804</v>
      </c>
      <c r="B1659">
        <v>12702</v>
      </c>
      <c r="C1659" s="173" t="s">
        <v>3665</v>
      </c>
      <c r="D1659" s="173" t="s">
        <v>470</v>
      </c>
      <c r="E1659">
        <v>4</v>
      </c>
    </row>
    <row r="1660" spans="1:5" hidden="1" x14ac:dyDescent="0.25">
      <c r="A1660" s="173" t="s">
        <v>804</v>
      </c>
      <c r="B1660">
        <v>12702</v>
      </c>
      <c r="C1660" s="173" t="s">
        <v>3666</v>
      </c>
      <c r="D1660" s="173" t="s">
        <v>470</v>
      </c>
      <c r="E1660">
        <v>4</v>
      </c>
    </row>
    <row r="1661" spans="1:5" hidden="1" x14ac:dyDescent="0.25">
      <c r="A1661" s="173" t="s">
        <v>804</v>
      </c>
      <c r="B1661">
        <v>12702</v>
      </c>
      <c r="C1661" s="173" t="s">
        <v>3667</v>
      </c>
      <c r="D1661" s="173" t="s">
        <v>470</v>
      </c>
      <c r="E1661">
        <v>4</v>
      </c>
    </row>
    <row r="1662" spans="1:5" hidden="1" x14ac:dyDescent="0.25">
      <c r="A1662" s="173" t="s">
        <v>514</v>
      </c>
      <c r="B1662">
        <v>12706</v>
      </c>
      <c r="C1662" s="173" t="s">
        <v>3668</v>
      </c>
      <c r="D1662" s="173" t="s">
        <v>470</v>
      </c>
      <c r="E1662">
        <v>2</v>
      </c>
    </row>
    <row r="1663" spans="1:5" hidden="1" x14ac:dyDescent="0.25">
      <c r="A1663" s="173" t="s">
        <v>514</v>
      </c>
      <c r="B1663">
        <v>12706</v>
      </c>
      <c r="C1663" s="173" t="s">
        <v>3669</v>
      </c>
      <c r="D1663" s="173" t="s">
        <v>470</v>
      </c>
      <c r="E1663">
        <v>2</v>
      </c>
    </row>
    <row r="1664" spans="1:5" hidden="1" x14ac:dyDescent="0.25">
      <c r="A1664" s="173" t="s">
        <v>514</v>
      </c>
      <c r="B1664">
        <v>12706</v>
      </c>
      <c r="C1664" s="173" t="s">
        <v>3670</v>
      </c>
      <c r="D1664" s="173" t="s">
        <v>470</v>
      </c>
      <c r="E1664">
        <v>2</v>
      </c>
    </row>
    <row r="1665" spans="1:5" hidden="1" x14ac:dyDescent="0.25">
      <c r="A1665" s="173" t="s">
        <v>514</v>
      </c>
      <c r="B1665">
        <v>12706</v>
      </c>
      <c r="C1665" s="173" t="s">
        <v>3671</v>
      </c>
      <c r="D1665" s="173" t="s">
        <v>470</v>
      </c>
      <c r="E1665">
        <v>2</v>
      </c>
    </row>
    <row r="1666" spans="1:5" x14ac:dyDescent="0.25">
      <c r="A1666" s="173" t="s">
        <v>468</v>
      </c>
      <c r="B1666">
        <v>12726</v>
      </c>
      <c r="C1666" s="173" t="s">
        <v>1784</v>
      </c>
      <c r="D1666" s="173" t="s">
        <v>470</v>
      </c>
      <c r="E1666">
        <v>2</v>
      </c>
    </row>
    <row r="1667" spans="1:5" x14ac:dyDescent="0.25">
      <c r="A1667" s="173" t="s">
        <v>468</v>
      </c>
      <c r="B1667">
        <v>12726</v>
      </c>
      <c r="C1667" s="173" t="s">
        <v>1785</v>
      </c>
      <c r="D1667" s="173" t="s">
        <v>470</v>
      </c>
      <c r="E1667">
        <v>2</v>
      </c>
    </row>
    <row r="1668" spans="1:5" x14ac:dyDescent="0.25">
      <c r="A1668" s="173" t="s">
        <v>468</v>
      </c>
      <c r="B1668">
        <v>12726</v>
      </c>
      <c r="C1668" s="173" t="s">
        <v>1786</v>
      </c>
      <c r="D1668" s="173" t="s">
        <v>470</v>
      </c>
      <c r="E1668">
        <v>2</v>
      </c>
    </row>
    <row r="1669" spans="1:5" x14ac:dyDescent="0.25">
      <c r="A1669" s="173" t="s">
        <v>468</v>
      </c>
      <c r="B1669">
        <v>12726</v>
      </c>
      <c r="C1669" s="173" t="s">
        <v>1787</v>
      </c>
      <c r="D1669" s="173" t="s">
        <v>470</v>
      </c>
      <c r="E1669">
        <v>2</v>
      </c>
    </row>
    <row r="1670" spans="1:5" x14ac:dyDescent="0.25">
      <c r="A1670" s="173" t="s">
        <v>468</v>
      </c>
      <c r="B1670">
        <v>12726</v>
      </c>
      <c r="C1670" s="173" t="s">
        <v>391</v>
      </c>
      <c r="D1670" s="173" t="s">
        <v>470</v>
      </c>
      <c r="E1670">
        <v>2</v>
      </c>
    </row>
    <row r="1671" spans="1:5" x14ac:dyDescent="0.25">
      <c r="A1671" s="173" t="s">
        <v>468</v>
      </c>
      <c r="B1671">
        <v>12726</v>
      </c>
      <c r="C1671" s="173" t="s">
        <v>3672</v>
      </c>
      <c r="D1671" s="173" t="s">
        <v>470</v>
      </c>
      <c r="E1671">
        <v>2</v>
      </c>
    </row>
    <row r="1672" spans="1:5" x14ac:dyDescent="0.25">
      <c r="A1672" s="173" t="s">
        <v>468</v>
      </c>
      <c r="B1672">
        <v>12728</v>
      </c>
      <c r="C1672" s="173" t="s">
        <v>1788</v>
      </c>
      <c r="D1672" s="173" t="s">
        <v>470</v>
      </c>
      <c r="E1672">
        <v>2</v>
      </c>
    </row>
    <row r="1673" spans="1:5" x14ac:dyDescent="0.25">
      <c r="A1673" s="173" t="s">
        <v>468</v>
      </c>
      <c r="B1673">
        <v>12728</v>
      </c>
      <c r="C1673" s="173" t="s">
        <v>453</v>
      </c>
      <c r="D1673" s="173" t="s">
        <v>470</v>
      </c>
      <c r="E1673">
        <v>2</v>
      </c>
    </row>
    <row r="1674" spans="1:5" x14ac:dyDescent="0.25">
      <c r="A1674" s="173" t="s">
        <v>468</v>
      </c>
      <c r="B1674">
        <v>12728</v>
      </c>
      <c r="C1674" s="173" t="s">
        <v>1789</v>
      </c>
      <c r="D1674" s="173" t="s">
        <v>470</v>
      </c>
      <c r="E1674">
        <v>2</v>
      </c>
    </row>
    <row r="1675" spans="1:5" x14ac:dyDescent="0.25">
      <c r="A1675" s="173" t="s">
        <v>468</v>
      </c>
      <c r="B1675">
        <v>12728</v>
      </c>
      <c r="C1675" s="173" t="s">
        <v>1790</v>
      </c>
      <c r="D1675" s="173" t="s">
        <v>470</v>
      </c>
      <c r="E1675">
        <v>2</v>
      </c>
    </row>
    <row r="1676" spans="1:5" x14ac:dyDescent="0.25">
      <c r="A1676" s="173" t="s">
        <v>468</v>
      </c>
      <c r="B1676">
        <v>12728</v>
      </c>
      <c r="C1676" s="173" t="s">
        <v>455</v>
      </c>
      <c r="D1676" s="173" t="s">
        <v>470</v>
      </c>
      <c r="E1676">
        <v>2</v>
      </c>
    </row>
    <row r="1677" spans="1:5" x14ac:dyDescent="0.25">
      <c r="A1677" s="173" t="s">
        <v>468</v>
      </c>
      <c r="B1677">
        <v>12742</v>
      </c>
      <c r="C1677" s="173" t="s">
        <v>348</v>
      </c>
      <c r="D1677" s="173" t="s">
        <v>470</v>
      </c>
      <c r="E1677">
        <v>2</v>
      </c>
    </row>
    <row r="1678" spans="1:5" x14ac:dyDescent="0.25">
      <c r="A1678" s="173" t="s">
        <v>468</v>
      </c>
      <c r="B1678">
        <v>12742</v>
      </c>
      <c r="C1678" s="173" t="s">
        <v>349</v>
      </c>
      <c r="D1678" s="173" t="s">
        <v>470</v>
      </c>
      <c r="E1678">
        <v>2</v>
      </c>
    </row>
    <row r="1679" spans="1:5" x14ac:dyDescent="0.25">
      <c r="A1679" s="173" t="s">
        <v>468</v>
      </c>
      <c r="B1679">
        <v>12742</v>
      </c>
      <c r="C1679" s="173" t="s">
        <v>346</v>
      </c>
      <c r="D1679" s="173" t="s">
        <v>470</v>
      </c>
      <c r="E1679">
        <v>2</v>
      </c>
    </row>
    <row r="1680" spans="1:5" x14ac:dyDescent="0.25">
      <c r="A1680" s="173" t="s">
        <v>468</v>
      </c>
      <c r="B1680">
        <v>12742</v>
      </c>
      <c r="C1680" s="173" t="s">
        <v>3673</v>
      </c>
      <c r="D1680" s="173" t="s">
        <v>470</v>
      </c>
      <c r="E1680">
        <v>2</v>
      </c>
    </row>
    <row r="1681" spans="1:5" x14ac:dyDescent="0.25">
      <c r="A1681" s="173" t="s">
        <v>468</v>
      </c>
      <c r="B1681">
        <v>12742</v>
      </c>
      <c r="C1681" s="173" t="s">
        <v>347</v>
      </c>
      <c r="D1681" s="173" t="s">
        <v>470</v>
      </c>
      <c r="E1681">
        <v>2</v>
      </c>
    </row>
    <row r="1682" spans="1:5" x14ac:dyDescent="0.25">
      <c r="A1682" s="173" t="s">
        <v>468</v>
      </c>
      <c r="B1682">
        <v>12742</v>
      </c>
      <c r="C1682" s="173" t="s">
        <v>345</v>
      </c>
      <c r="D1682" s="173" t="s">
        <v>470</v>
      </c>
      <c r="E1682">
        <v>2</v>
      </c>
    </row>
    <row r="1683" spans="1:5" x14ac:dyDescent="0.25">
      <c r="A1683" s="173" t="s">
        <v>468</v>
      </c>
      <c r="B1683">
        <v>12746</v>
      </c>
      <c r="C1683" s="173" t="s">
        <v>342</v>
      </c>
      <c r="D1683" s="173" t="s">
        <v>470</v>
      </c>
      <c r="E1683">
        <v>5</v>
      </c>
    </row>
    <row r="1684" spans="1:5" x14ac:dyDescent="0.25">
      <c r="A1684" s="173" t="s">
        <v>468</v>
      </c>
      <c r="B1684">
        <v>12746</v>
      </c>
      <c r="C1684" s="173" t="s">
        <v>343</v>
      </c>
      <c r="D1684" s="173" t="s">
        <v>470</v>
      </c>
      <c r="E1684">
        <v>3</v>
      </c>
    </row>
    <row r="1685" spans="1:5" x14ac:dyDescent="0.25">
      <c r="A1685" s="173" t="s">
        <v>468</v>
      </c>
      <c r="B1685">
        <v>12746</v>
      </c>
      <c r="C1685" s="173" t="s">
        <v>1791</v>
      </c>
      <c r="D1685" s="173" t="s">
        <v>470</v>
      </c>
      <c r="E1685">
        <v>3</v>
      </c>
    </row>
    <row r="1686" spans="1:5" x14ac:dyDescent="0.25">
      <c r="A1686" s="173" t="s">
        <v>468</v>
      </c>
      <c r="B1686">
        <v>12746</v>
      </c>
      <c r="C1686" s="173" t="s">
        <v>1792</v>
      </c>
      <c r="D1686" s="173" t="s">
        <v>470</v>
      </c>
      <c r="E1686">
        <v>4</v>
      </c>
    </row>
    <row r="1687" spans="1:5" x14ac:dyDescent="0.25">
      <c r="A1687" s="173" t="s">
        <v>468</v>
      </c>
      <c r="B1687">
        <v>12746</v>
      </c>
      <c r="C1687" s="173" t="s">
        <v>1793</v>
      </c>
      <c r="D1687" s="173" t="s">
        <v>470</v>
      </c>
      <c r="E1687">
        <v>3</v>
      </c>
    </row>
    <row r="1688" spans="1:5" x14ac:dyDescent="0.25">
      <c r="A1688" s="173" t="s">
        <v>468</v>
      </c>
      <c r="B1688">
        <v>12746</v>
      </c>
      <c r="C1688" s="173" t="s">
        <v>1794</v>
      </c>
      <c r="D1688" s="173" t="s">
        <v>470</v>
      </c>
      <c r="E1688">
        <v>4</v>
      </c>
    </row>
    <row r="1689" spans="1:5" hidden="1" x14ac:dyDescent="0.25">
      <c r="A1689" s="173" t="s">
        <v>804</v>
      </c>
      <c r="B1689">
        <v>12747</v>
      </c>
      <c r="C1689" s="173" t="s">
        <v>1795</v>
      </c>
      <c r="D1689" s="173" t="s">
        <v>470</v>
      </c>
      <c r="E1689">
        <v>5</v>
      </c>
    </row>
    <row r="1690" spans="1:5" hidden="1" x14ac:dyDescent="0.25">
      <c r="A1690" s="173" t="s">
        <v>804</v>
      </c>
      <c r="B1690">
        <v>12747</v>
      </c>
      <c r="C1690" s="173" t="s">
        <v>1796</v>
      </c>
      <c r="D1690" s="173" t="s">
        <v>470</v>
      </c>
      <c r="E1690">
        <v>3</v>
      </c>
    </row>
    <row r="1691" spans="1:5" hidden="1" x14ac:dyDescent="0.25">
      <c r="A1691" s="173" t="s">
        <v>804</v>
      </c>
      <c r="B1691">
        <v>12747</v>
      </c>
      <c r="C1691" s="173" t="s">
        <v>1797</v>
      </c>
      <c r="D1691" s="173" t="s">
        <v>470</v>
      </c>
      <c r="E1691">
        <v>4</v>
      </c>
    </row>
    <row r="1692" spans="1:5" hidden="1" x14ac:dyDescent="0.25">
      <c r="A1692" s="173" t="s">
        <v>804</v>
      </c>
      <c r="B1692">
        <v>12747</v>
      </c>
      <c r="C1692" s="173" t="s">
        <v>1798</v>
      </c>
      <c r="D1692" s="173" t="s">
        <v>470</v>
      </c>
      <c r="E1692">
        <v>3</v>
      </c>
    </row>
    <row r="1693" spans="1:5" hidden="1" x14ac:dyDescent="0.25">
      <c r="A1693" s="173" t="s">
        <v>804</v>
      </c>
      <c r="B1693">
        <v>12747</v>
      </c>
      <c r="C1693" s="173" t="s">
        <v>1799</v>
      </c>
      <c r="D1693" s="173" t="s">
        <v>470</v>
      </c>
      <c r="E1693">
        <v>4</v>
      </c>
    </row>
    <row r="1694" spans="1:5" hidden="1" x14ac:dyDescent="0.25">
      <c r="A1694" s="173" t="s">
        <v>1668</v>
      </c>
      <c r="B1694">
        <v>12759</v>
      </c>
      <c r="C1694" s="173" t="s">
        <v>1800</v>
      </c>
      <c r="D1694" s="173" t="s">
        <v>470</v>
      </c>
      <c r="E1694">
        <v>1</v>
      </c>
    </row>
    <row r="1695" spans="1:5" hidden="1" x14ac:dyDescent="0.25">
      <c r="A1695" s="173" t="s">
        <v>1668</v>
      </c>
      <c r="B1695">
        <v>12759</v>
      </c>
      <c r="C1695" s="173" t="s">
        <v>1801</v>
      </c>
      <c r="D1695" s="173" t="s">
        <v>470</v>
      </c>
      <c r="E1695">
        <v>1</v>
      </c>
    </row>
    <row r="1696" spans="1:5" hidden="1" x14ac:dyDescent="0.25">
      <c r="A1696" s="173" t="s">
        <v>1668</v>
      </c>
      <c r="B1696">
        <v>12759</v>
      </c>
      <c r="C1696" s="173" t="s">
        <v>1802</v>
      </c>
      <c r="D1696" s="173" t="s">
        <v>470</v>
      </c>
      <c r="E1696">
        <v>1</v>
      </c>
    </row>
    <row r="1697" spans="1:5" hidden="1" x14ac:dyDescent="0.25">
      <c r="A1697" s="173" t="s">
        <v>1668</v>
      </c>
      <c r="B1697">
        <v>12759</v>
      </c>
      <c r="C1697" s="173" t="s">
        <v>1803</v>
      </c>
      <c r="D1697" s="173" t="s">
        <v>470</v>
      </c>
      <c r="E1697">
        <v>1</v>
      </c>
    </row>
    <row r="1698" spans="1:5" hidden="1" x14ac:dyDescent="0.25">
      <c r="A1698" s="173" t="s">
        <v>1668</v>
      </c>
      <c r="B1698">
        <v>12759</v>
      </c>
      <c r="C1698" s="173" t="s">
        <v>1804</v>
      </c>
      <c r="D1698" s="173" t="s">
        <v>470</v>
      </c>
      <c r="E1698">
        <v>1</v>
      </c>
    </row>
    <row r="1699" spans="1:5" hidden="1" x14ac:dyDescent="0.25">
      <c r="A1699" s="173" t="s">
        <v>1668</v>
      </c>
      <c r="B1699">
        <v>12775</v>
      </c>
      <c r="C1699" s="173" t="s">
        <v>3674</v>
      </c>
      <c r="D1699" s="173" t="s">
        <v>874</v>
      </c>
      <c r="E1699">
        <v>2</v>
      </c>
    </row>
    <row r="1700" spans="1:5" hidden="1" x14ac:dyDescent="0.25">
      <c r="A1700" s="173" t="s">
        <v>1668</v>
      </c>
      <c r="B1700">
        <v>12775</v>
      </c>
      <c r="C1700" s="173" t="s">
        <v>3675</v>
      </c>
      <c r="D1700" s="173" t="s">
        <v>874</v>
      </c>
      <c r="E1700">
        <v>2</v>
      </c>
    </row>
    <row r="1701" spans="1:5" hidden="1" x14ac:dyDescent="0.25">
      <c r="A1701" s="173" t="s">
        <v>1668</v>
      </c>
      <c r="B1701">
        <v>12775</v>
      </c>
      <c r="C1701" s="173" t="s">
        <v>3676</v>
      </c>
      <c r="D1701" s="173" t="s">
        <v>874</v>
      </c>
      <c r="E1701">
        <v>2</v>
      </c>
    </row>
    <row r="1702" spans="1:5" x14ac:dyDescent="0.25">
      <c r="A1702" s="173" t="s">
        <v>468</v>
      </c>
      <c r="B1702">
        <v>18036</v>
      </c>
      <c r="C1702" s="173" t="s">
        <v>1805</v>
      </c>
      <c r="D1702" s="173" t="s">
        <v>470</v>
      </c>
      <c r="E1702">
        <v>1</v>
      </c>
    </row>
    <row r="1703" spans="1:5" x14ac:dyDescent="0.25">
      <c r="A1703" s="173" t="s">
        <v>468</v>
      </c>
      <c r="B1703">
        <v>18036</v>
      </c>
      <c r="C1703" s="173" t="s">
        <v>1806</v>
      </c>
      <c r="D1703" s="173" t="s">
        <v>470</v>
      </c>
      <c r="E1703">
        <v>1</v>
      </c>
    </row>
    <row r="1704" spans="1:5" x14ac:dyDescent="0.25">
      <c r="A1704" s="173" t="s">
        <v>468</v>
      </c>
      <c r="B1704">
        <v>18036</v>
      </c>
      <c r="C1704" s="173" t="s">
        <v>1807</v>
      </c>
      <c r="D1704" s="173" t="s">
        <v>470</v>
      </c>
      <c r="E1704">
        <v>1</v>
      </c>
    </row>
    <row r="1705" spans="1:5" x14ac:dyDescent="0.25">
      <c r="A1705" s="173" t="s">
        <v>468</v>
      </c>
      <c r="B1705">
        <v>18036</v>
      </c>
      <c r="C1705" s="173" t="s">
        <v>1808</v>
      </c>
      <c r="D1705" s="173" t="s">
        <v>470</v>
      </c>
      <c r="E1705">
        <v>1</v>
      </c>
    </row>
    <row r="1706" spans="1:5" x14ac:dyDescent="0.25">
      <c r="A1706" s="173" t="s">
        <v>468</v>
      </c>
      <c r="B1706">
        <v>18036</v>
      </c>
      <c r="C1706" s="173" t="s">
        <v>1809</v>
      </c>
      <c r="D1706" s="173" t="s">
        <v>470</v>
      </c>
      <c r="E1706">
        <v>1</v>
      </c>
    </row>
    <row r="1707" spans="1:5" x14ac:dyDescent="0.25">
      <c r="A1707" s="173" t="s">
        <v>468</v>
      </c>
      <c r="B1707">
        <v>18036</v>
      </c>
      <c r="C1707" s="173" t="s">
        <v>1810</v>
      </c>
      <c r="D1707" s="173" t="s">
        <v>470</v>
      </c>
      <c r="E1707">
        <v>1</v>
      </c>
    </row>
    <row r="1708" spans="1:5" x14ac:dyDescent="0.25">
      <c r="A1708" s="173" t="s">
        <v>468</v>
      </c>
      <c r="B1708">
        <v>18036</v>
      </c>
      <c r="C1708" s="173" t="s">
        <v>1811</v>
      </c>
      <c r="D1708" s="173" t="s">
        <v>470</v>
      </c>
      <c r="E1708">
        <v>1</v>
      </c>
    </row>
    <row r="1709" spans="1:5" x14ac:dyDescent="0.25">
      <c r="A1709" s="173" t="s">
        <v>468</v>
      </c>
      <c r="B1709">
        <v>18036</v>
      </c>
      <c r="C1709" s="173" t="s">
        <v>1812</v>
      </c>
      <c r="D1709" s="173" t="s">
        <v>470</v>
      </c>
      <c r="E1709">
        <v>1</v>
      </c>
    </row>
    <row r="1710" spans="1:5" x14ac:dyDescent="0.25">
      <c r="A1710" s="173" t="s">
        <v>468</v>
      </c>
      <c r="B1710">
        <v>18036</v>
      </c>
      <c r="C1710" s="173" t="s">
        <v>1813</v>
      </c>
      <c r="D1710" s="173" t="s">
        <v>470</v>
      </c>
      <c r="E1710">
        <v>1</v>
      </c>
    </row>
    <row r="1711" spans="1:5" x14ac:dyDescent="0.25">
      <c r="A1711" s="173" t="s">
        <v>468</v>
      </c>
      <c r="B1711">
        <v>18036</v>
      </c>
      <c r="C1711" s="173" t="s">
        <v>1814</v>
      </c>
      <c r="D1711" s="173" t="s">
        <v>470</v>
      </c>
      <c r="E1711">
        <v>1</v>
      </c>
    </row>
    <row r="1712" spans="1:5" x14ac:dyDescent="0.25">
      <c r="A1712" s="173" t="s">
        <v>468</v>
      </c>
      <c r="B1712">
        <v>18036</v>
      </c>
      <c r="C1712" s="173" t="s">
        <v>1815</v>
      </c>
      <c r="D1712" s="173" t="s">
        <v>470</v>
      </c>
      <c r="E1712">
        <v>1</v>
      </c>
    </row>
    <row r="1713" spans="1:5" x14ac:dyDescent="0.25">
      <c r="A1713" s="173" t="s">
        <v>468</v>
      </c>
      <c r="B1713">
        <v>18036</v>
      </c>
      <c r="C1713" s="173" t="s">
        <v>1816</v>
      </c>
      <c r="D1713" s="173" t="s">
        <v>470</v>
      </c>
      <c r="E1713">
        <v>1</v>
      </c>
    </row>
    <row r="1714" spans="1:5" x14ac:dyDescent="0.25">
      <c r="A1714" s="173" t="s">
        <v>468</v>
      </c>
      <c r="B1714">
        <v>18036</v>
      </c>
      <c r="C1714" s="173" t="s">
        <v>1817</v>
      </c>
      <c r="D1714" s="173" t="s">
        <v>470</v>
      </c>
      <c r="E1714">
        <v>1</v>
      </c>
    </row>
    <row r="1715" spans="1:5" x14ac:dyDescent="0.25">
      <c r="A1715" s="173" t="s">
        <v>468</v>
      </c>
      <c r="B1715">
        <v>18036</v>
      </c>
      <c r="C1715" s="173" t="s">
        <v>1818</v>
      </c>
      <c r="D1715" s="173" t="s">
        <v>470</v>
      </c>
      <c r="E1715">
        <v>1</v>
      </c>
    </row>
    <row r="1716" spans="1:5" x14ac:dyDescent="0.25">
      <c r="A1716" s="173" t="s">
        <v>468</v>
      </c>
      <c r="B1716">
        <v>18036</v>
      </c>
      <c r="C1716" s="173" t="s">
        <v>1819</v>
      </c>
      <c r="D1716" s="173" t="s">
        <v>470</v>
      </c>
      <c r="E1716">
        <v>1</v>
      </c>
    </row>
    <row r="1717" spans="1:5" x14ac:dyDescent="0.25">
      <c r="A1717" s="173" t="s">
        <v>468</v>
      </c>
      <c r="B1717">
        <v>18036</v>
      </c>
      <c r="C1717" s="173" t="s">
        <v>1820</v>
      </c>
      <c r="D1717" s="173" t="s">
        <v>470</v>
      </c>
      <c r="E1717">
        <v>1</v>
      </c>
    </row>
    <row r="1718" spans="1:5" x14ac:dyDescent="0.25">
      <c r="A1718" s="173" t="s">
        <v>468</v>
      </c>
      <c r="B1718">
        <v>18036</v>
      </c>
      <c r="C1718" s="173" t="s">
        <v>1821</v>
      </c>
      <c r="D1718" s="173" t="s">
        <v>470</v>
      </c>
      <c r="E1718">
        <v>1</v>
      </c>
    </row>
    <row r="1719" spans="1:5" x14ac:dyDescent="0.25">
      <c r="A1719" s="173" t="s">
        <v>468</v>
      </c>
      <c r="B1719">
        <v>18036</v>
      </c>
      <c r="C1719" s="173" t="s">
        <v>1822</v>
      </c>
      <c r="D1719" s="173" t="s">
        <v>470</v>
      </c>
      <c r="E1719">
        <v>1</v>
      </c>
    </row>
    <row r="1720" spans="1:5" x14ac:dyDescent="0.25">
      <c r="A1720" s="173" t="s">
        <v>468</v>
      </c>
      <c r="B1720">
        <v>18036</v>
      </c>
      <c r="C1720" s="173" t="s">
        <v>1823</v>
      </c>
      <c r="D1720" s="173" t="s">
        <v>470</v>
      </c>
      <c r="E1720">
        <v>1</v>
      </c>
    </row>
    <row r="1721" spans="1:5" x14ac:dyDescent="0.25">
      <c r="A1721" s="173" t="s">
        <v>468</v>
      </c>
      <c r="B1721">
        <v>18036</v>
      </c>
      <c r="C1721" s="173" t="s">
        <v>1824</v>
      </c>
      <c r="D1721" s="173" t="s">
        <v>470</v>
      </c>
      <c r="E1721">
        <v>1</v>
      </c>
    </row>
    <row r="1722" spans="1:5" x14ac:dyDescent="0.25">
      <c r="A1722" s="173" t="s">
        <v>468</v>
      </c>
      <c r="B1722">
        <v>18060</v>
      </c>
      <c r="C1722" s="173" t="s">
        <v>1806</v>
      </c>
      <c r="D1722" s="173" t="s">
        <v>470</v>
      </c>
      <c r="E1722">
        <v>8</v>
      </c>
    </row>
    <row r="1723" spans="1:5" x14ac:dyDescent="0.25">
      <c r="A1723" s="173" t="s">
        <v>468</v>
      </c>
      <c r="B1723">
        <v>18060</v>
      </c>
      <c r="C1723" s="173" t="s">
        <v>1825</v>
      </c>
      <c r="D1723" s="173" t="s">
        <v>470</v>
      </c>
      <c r="E1723">
        <v>8</v>
      </c>
    </row>
    <row r="1724" spans="1:5" x14ac:dyDescent="0.25">
      <c r="A1724" s="173" t="s">
        <v>468</v>
      </c>
      <c r="B1724">
        <v>18060</v>
      </c>
      <c r="C1724" s="173" t="s">
        <v>1826</v>
      </c>
      <c r="D1724" s="173" t="s">
        <v>470</v>
      </c>
      <c r="E1724">
        <v>5</v>
      </c>
    </row>
    <row r="1725" spans="1:5" x14ac:dyDescent="0.25">
      <c r="A1725" s="173" t="s">
        <v>468</v>
      </c>
      <c r="B1725">
        <v>18060</v>
      </c>
      <c r="C1725" s="173" t="s">
        <v>1827</v>
      </c>
      <c r="D1725" s="173" t="s">
        <v>470</v>
      </c>
      <c r="E1725">
        <v>3</v>
      </c>
    </row>
    <row r="1726" spans="1:5" x14ac:dyDescent="0.25">
      <c r="A1726" s="173" t="s">
        <v>468</v>
      </c>
      <c r="B1726">
        <v>18060</v>
      </c>
      <c r="C1726" s="173" t="s">
        <v>1828</v>
      </c>
      <c r="D1726" s="173" t="s">
        <v>470</v>
      </c>
      <c r="E1726">
        <v>3</v>
      </c>
    </row>
    <row r="1727" spans="1:5" x14ac:dyDescent="0.25">
      <c r="A1727" s="173" t="s">
        <v>468</v>
      </c>
      <c r="B1727">
        <v>18060</v>
      </c>
      <c r="C1727" s="173" t="s">
        <v>1829</v>
      </c>
      <c r="D1727" s="173" t="s">
        <v>470</v>
      </c>
      <c r="E1727">
        <v>5</v>
      </c>
    </row>
    <row r="1728" spans="1:5" x14ac:dyDescent="0.25">
      <c r="A1728" s="173" t="s">
        <v>468</v>
      </c>
      <c r="B1728">
        <v>18060</v>
      </c>
      <c r="C1728" s="173" t="s">
        <v>1830</v>
      </c>
      <c r="D1728" s="173" t="s">
        <v>470</v>
      </c>
      <c r="E1728">
        <v>3</v>
      </c>
    </row>
    <row r="1729" spans="1:5" x14ac:dyDescent="0.25">
      <c r="A1729" s="173" t="s">
        <v>468</v>
      </c>
      <c r="B1729">
        <v>18060</v>
      </c>
      <c r="C1729" s="173" t="s">
        <v>1809</v>
      </c>
      <c r="D1729" s="173" t="s">
        <v>470</v>
      </c>
      <c r="E1729">
        <v>5</v>
      </c>
    </row>
    <row r="1730" spans="1:5" x14ac:dyDescent="0.25">
      <c r="A1730" s="173" t="s">
        <v>468</v>
      </c>
      <c r="B1730">
        <v>18060</v>
      </c>
      <c r="C1730" s="173" t="s">
        <v>1831</v>
      </c>
      <c r="D1730" s="173" t="s">
        <v>470</v>
      </c>
      <c r="E1730">
        <v>3</v>
      </c>
    </row>
    <row r="1731" spans="1:5" x14ac:dyDescent="0.25">
      <c r="A1731" s="173" t="s">
        <v>468</v>
      </c>
      <c r="B1731">
        <v>18060</v>
      </c>
      <c r="C1731" s="173" t="s">
        <v>1832</v>
      </c>
      <c r="D1731" s="173" t="s">
        <v>470</v>
      </c>
      <c r="E1731">
        <v>3</v>
      </c>
    </row>
    <row r="1732" spans="1:5" x14ac:dyDescent="0.25">
      <c r="A1732" s="173" t="s">
        <v>468</v>
      </c>
      <c r="B1732">
        <v>18060</v>
      </c>
      <c r="C1732" s="173" t="s">
        <v>1833</v>
      </c>
      <c r="D1732" s="173" t="s">
        <v>470</v>
      </c>
      <c r="E1732">
        <v>3</v>
      </c>
    </row>
    <row r="1733" spans="1:5" x14ac:dyDescent="0.25">
      <c r="A1733" s="173" t="s">
        <v>468</v>
      </c>
      <c r="B1733">
        <v>18060</v>
      </c>
      <c r="C1733" s="173" t="s">
        <v>1834</v>
      </c>
      <c r="D1733" s="173" t="s">
        <v>470</v>
      </c>
      <c r="E1733">
        <v>5</v>
      </c>
    </row>
    <row r="1734" spans="1:5" x14ac:dyDescent="0.25">
      <c r="A1734" s="173" t="s">
        <v>468</v>
      </c>
      <c r="B1734">
        <v>18060</v>
      </c>
      <c r="C1734" s="173" t="s">
        <v>1835</v>
      </c>
      <c r="D1734" s="173" t="s">
        <v>470</v>
      </c>
      <c r="E1734">
        <v>8</v>
      </c>
    </row>
    <row r="1735" spans="1:5" x14ac:dyDescent="0.25">
      <c r="A1735" s="173" t="s">
        <v>468</v>
      </c>
      <c r="B1735">
        <v>18060</v>
      </c>
      <c r="C1735" s="173" t="s">
        <v>1836</v>
      </c>
      <c r="D1735" s="173" t="s">
        <v>470</v>
      </c>
      <c r="E1735">
        <v>5</v>
      </c>
    </row>
    <row r="1736" spans="1:5" x14ac:dyDescent="0.25">
      <c r="A1736" s="173" t="s">
        <v>468</v>
      </c>
      <c r="B1736">
        <v>18060</v>
      </c>
      <c r="C1736" s="173" t="s">
        <v>1837</v>
      </c>
      <c r="D1736" s="173" t="s">
        <v>470</v>
      </c>
      <c r="E1736">
        <v>3</v>
      </c>
    </row>
    <row r="1737" spans="1:5" x14ac:dyDescent="0.25">
      <c r="A1737" s="173" t="s">
        <v>468</v>
      </c>
      <c r="B1737">
        <v>18060</v>
      </c>
      <c r="C1737" s="173" t="s">
        <v>1838</v>
      </c>
      <c r="D1737" s="173" t="s">
        <v>470</v>
      </c>
      <c r="E1737">
        <v>5</v>
      </c>
    </row>
    <row r="1738" spans="1:5" x14ac:dyDescent="0.25">
      <c r="A1738" s="173" t="s">
        <v>468</v>
      </c>
      <c r="B1738">
        <v>18060</v>
      </c>
      <c r="C1738" s="173" t="s">
        <v>1839</v>
      </c>
      <c r="D1738" s="173" t="s">
        <v>470</v>
      </c>
      <c r="E1738">
        <v>8</v>
      </c>
    </row>
    <row r="1739" spans="1:5" x14ac:dyDescent="0.25">
      <c r="A1739" s="173" t="s">
        <v>468</v>
      </c>
      <c r="B1739">
        <v>18060</v>
      </c>
      <c r="C1739" s="173" t="s">
        <v>1840</v>
      </c>
      <c r="D1739" s="173" t="s">
        <v>470</v>
      </c>
      <c r="E1739">
        <v>8</v>
      </c>
    </row>
    <row r="1740" spans="1:5" x14ac:dyDescent="0.25">
      <c r="A1740" s="173" t="s">
        <v>468</v>
      </c>
      <c r="B1740">
        <v>18060</v>
      </c>
      <c r="C1740" s="173" t="s">
        <v>1841</v>
      </c>
      <c r="D1740" s="173" t="s">
        <v>470</v>
      </c>
      <c r="E1740">
        <v>8</v>
      </c>
    </row>
    <row r="1741" spans="1:5" x14ac:dyDescent="0.25">
      <c r="A1741" s="173" t="s">
        <v>468</v>
      </c>
      <c r="B1741">
        <v>18060</v>
      </c>
      <c r="C1741" s="173" t="s">
        <v>1842</v>
      </c>
      <c r="D1741" s="173" t="s">
        <v>470</v>
      </c>
      <c r="E1741">
        <v>8</v>
      </c>
    </row>
    <row r="1742" spans="1:5" x14ac:dyDescent="0.25">
      <c r="A1742" s="173" t="s">
        <v>468</v>
      </c>
      <c r="B1742">
        <v>18060</v>
      </c>
      <c r="C1742" s="173" t="s">
        <v>1843</v>
      </c>
      <c r="D1742" s="173" t="s">
        <v>470</v>
      </c>
      <c r="E1742">
        <v>5</v>
      </c>
    </row>
    <row r="1743" spans="1:5" x14ac:dyDescent="0.25">
      <c r="A1743" s="173" t="s">
        <v>468</v>
      </c>
      <c r="B1743">
        <v>18060</v>
      </c>
      <c r="C1743" s="173" t="s">
        <v>1844</v>
      </c>
      <c r="D1743" s="173" t="s">
        <v>470</v>
      </c>
      <c r="E1743">
        <v>5</v>
      </c>
    </row>
    <row r="1744" spans="1:5" x14ac:dyDescent="0.25">
      <c r="A1744" s="173" t="s">
        <v>468</v>
      </c>
      <c r="B1744">
        <v>18060</v>
      </c>
      <c r="C1744" s="173" t="s">
        <v>1845</v>
      </c>
      <c r="D1744" s="173" t="s">
        <v>470</v>
      </c>
      <c r="E1744">
        <v>8</v>
      </c>
    </row>
    <row r="1745" spans="1:5" x14ac:dyDescent="0.25">
      <c r="A1745" s="173" t="s">
        <v>468</v>
      </c>
      <c r="B1745">
        <v>18060</v>
      </c>
      <c r="C1745" s="173" t="s">
        <v>1846</v>
      </c>
      <c r="D1745" s="173" t="s">
        <v>470</v>
      </c>
      <c r="E1745">
        <v>4</v>
      </c>
    </row>
    <row r="1746" spans="1:5" x14ac:dyDescent="0.25">
      <c r="A1746" s="173" t="s">
        <v>468</v>
      </c>
      <c r="B1746">
        <v>18060</v>
      </c>
      <c r="C1746" s="173" t="s">
        <v>1847</v>
      </c>
      <c r="D1746" s="173" t="s">
        <v>470</v>
      </c>
      <c r="E1746">
        <v>8</v>
      </c>
    </row>
    <row r="1747" spans="1:5" x14ac:dyDescent="0.25">
      <c r="A1747" s="173" t="s">
        <v>468</v>
      </c>
      <c r="B1747">
        <v>18060</v>
      </c>
      <c r="C1747" s="173" t="s">
        <v>1848</v>
      </c>
      <c r="D1747" s="173" t="s">
        <v>470</v>
      </c>
      <c r="E1747">
        <v>8</v>
      </c>
    </row>
    <row r="1748" spans="1:5" x14ac:dyDescent="0.25">
      <c r="A1748" s="173" t="s">
        <v>468</v>
      </c>
      <c r="B1748">
        <v>18060</v>
      </c>
      <c r="C1748" s="173" t="s">
        <v>1849</v>
      </c>
      <c r="D1748" s="173" t="s">
        <v>470</v>
      </c>
      <c r="E1748">
        <v>2</v>
      </c>
    </row>
    <row r="1749" spans="1:5" x14ac:dyDescent="0.25">
      <c r="A1749" s="173" t="s">
        <v>468</v>
      </c>
      <c r="B1749">
        <v>18060</v>
      </c>
      <c r="C1749" s="173" t="s">
        <v>1850</v>
      </c>
      <c r="D1749" s="173" t="s">
        <v>470</v>
      </c>
      <c r="E1749">
        <v>2</v>
      </c>
    </row>
    <row r="1750" spans="1:5" x14ac:dyDescent="0.25">
      <c r="A1750" s="173" t="s">
        <v>468</v>
      </c>
      <c r="B1750">
        <v>18060</v>
      </c>
      <c r="C1750" s="173" t="s">
        <v>1851</v>
      </c>
      <c r="D1750" s="173" t="s">
        <v>470</v>
      </c>
      <c r="E1750">
        <v>4</v>
      </c>
    </row>
    <row r="1751" spans="1:5" x14ac:dyDescent="0.25">
      <c r="A1751" s="173" t="s">
        <v>468</v>
      </c>
      <c r="B1751">
        <v>18060</v>
      </c>
      <c r="C1751" s="173" t="s">
        <v>1852</v>
      </c>
      <c r="D1751" s="173" t="s">
        <v>470</v>
      </c>
      <c r="E1751">
        <v>4</v>
      </c>
    </row>
    <row r="1752" spans="1:5" x14ac:dyDescent="0.25">
      <c r="A1752" s="173" t="s">
        <v>468</v>
      </c>
      <c r="B1752">
        <v>18060</v>
      </c>
      <c r="C1752" s="173" t="s">
        <v>1853</v>
      </c>
      <c r="D1752" s="173" t="s">
        <v>470</v>
      </c>
      <c r="E1752">
        <v>4</v>
      </c>
    </row>
    <row r="1753" spans="1:5" x14ac:dyDescent="0.25">
      <c r="A1753" s="173" t="s">
        <v>468</v>
      </c>
      <c r="B1753">
        <v>18060</v>
      </c>
      <c r="C1753" s="173" t="s">
        <v>1854</v>
      </c>
      <c r="D1753" s="173" t="s">
        <v>470</v>
      </c>
      <c r="E1753">
        <v>3</v>
      </c>
    </row>
    <row r="1754" spans="1:5" x14ac:dyDescent="0.25">
      <c r="A1754" s="173" t="s">
        <v>468</v>
      </c>
      <c r="B1754">
        <v>18060</v>
      </c>
      <c r="C1754" s="173" t="s">
        <v>1855</v>
      </c>
      <c r="D1754" s="173" t="s">
        <v>470</v>
      </c>
      <c r="E1754">
        <v>3</v>
      </c>
    </row>
    <row r="1755" spans="1:5" x14ac:dyDescent="0.25">
      <c r="A1755" s="173" t="s">
        <v>468</v>
      </c>
      <c r="B1755">
        <v>18060</v>
      </c>
      <c r="C1755" s="173" t="s">
        <v>1856</v>
      </c>
      <c r="D1755" s="173" t="s">
        <v>470</v>
      </c>
      <c r="E1755">
        <v>5</v>
      </c>
    </row>
    <row r="1756" spans="1:5" x14ac:dyDescent="0.25">
      <c r="A1756" s="173" t="s">
        <v>468</v>
      </c>
      <c r="B1756">
        <v>18060</v>
      </c>
      <c r="C1756" s="173" t="s">
        <v>1857</v>
      </c>
      <c r="D1756" s="173" t="s">
        <v>470</v>
      </c>
      <c r="E1756">
        <v>5</v>
      </c>
    </row>
    <row r="1757" spans="1:5" x14ac:dyDescent="0.25">
      <c r="A1757" s="173" t="s">
        <v>468</v>
      </c>
      <c r="B1757">
        <v>18060</v>
      </c>
      <c r="C1757" s="173" t="s">
        <v>1858</v>
      </c>
      <c r="D1757" s="173" t="s">
        <v>470</v>
      </c>
      <c r="E1757">
        <v>1</v>
      </c>
    </row>
    <row r="1758" spans="1:5" x14ac:dyDescent="0.25">
      <c r="A1758" s="173" t="s">
        <v>468</v>
      </c>
      <c r="B1758">
        <v>18060</v>
      </c>
      <c r="C1758" s="173" t="s">
        <v>1858</v>
      </c>
      <c r="D1758" s="173" t="s">
        <v>470</v>
      </c>
      <c r="E1758">
        <v>2</v>
      </c>
    </row>
    <row r="1759" spans="1:5" x14ac:dyDescent="0.25">
      <c r="A1759" s="173" t="s">
        <v>468</v>
      </c>
      <c r="B1759">
        <v>18060</v>
      </c>
      <c r="C1759" s="173" t="s">
        <v>1859</v>
      </c>
      <c r="D1759" s="173" t="s">
        <v>470</v>
      </c>
      <c r="E1759">
        <v>2</v>
      </c>
    </row>
    <row r="1760" spans="1:5" x14ac:dyDescent="0.25">
      <c r="A1760" s="173" t="s">
        <v>468</v>
      </c>
      <c r="B1760">
        <v>18060</v>
      </c>
      <c r="C1760" s="173" t="s">
        <v>1859</v>
      </c>
      <c r="D1760" s="173" t="s">
        <v>470</v>
      </c>
      <c r="E1760">
        <v>1</v>
      </c>
    </row>
    <row r="1761" spans="1:5" x14ac:dyDescent="0.25">
      <c r="A1761" s="173" t="s">
        <v>468</v>
      </c>
      <c r="B1761">
        <v>18060</v>
      </c>
      <c r="C1761" s="173" t="s">
        <v>1860</v>
      </c>
      <c r="D1761" s="173" t="s">
        <v>470</v>
      </c>
      <c r="E1761">
        <v>2</v>
      </c>
    </row>
    <row r="1762" spans="1:5" x14ac:dyDescent="0.25">
      <c r="A1762" s="173" t="s">
        <v>468</v>
      </c>
      <c r="B1762">
        <v>18060</v>
      </c>
      <c r="C1762" s="173" t="s">
        <v>1860</v>
      </c>
      <c r="D1762" s="173" t="s">
        <v>470</v>
      </c>
      <c r="E1762">
        <v>1</v>
      </c>
    </row>
    <row r="1763" spans="1:5" x14ac:dyDescent="0.25">
      <c r="A1763" s="173" t="s">
        <v>468</v>
      </c>
      <c r="B1763">
        <v>18060</v>
      </c>
      <c r="C1763" s="173" t="s">
        <v>1861</v>
      </c>
      <c r="D1763" s="173" t="s">
        <v>470</v>
      </c>
      <c r="E1763">
        <v>2</v>
      </c>
    </row>
    <row r="1764" spans="1:5" x14ac:dyDescent="0.25">
      <c r="A1764" s="173" t="s">
        <v>468</v>
      </c>
      <c r="B1764">
        <v>18060</v>
      </c>
      <c r="C1764" s="173" t="s">
        <v>1862</v>
      </c>
      <c r="D1764" s="173" t="s">
        <v>470</v>
      </c>
      <c r="E1764">
        <v>2</v>
      </c>
    </row>
    <row r="1765" spans="1:5" x14ac:dyDescent="0.25">
      <c r="A1765" s="173" t="s">
        <v>468</v>
      </c>
      <c r="B1765">
        <v>18060</v>
      </c>
      <c r="C1765" s="173" t="s">
        <v>1863</v>
      </c>
      <c r="D1765" s="173" t="s">
        <v>470</v>
      </c>
      <c r="E1765">
        <v>2</v>
      </c>
    </row>
    <row r="1766" spans="1:5" x14ac:dyDescent="0.25">
      <c r="A1766" s="173" t="s">
        <v>468</v>
      </c>
      <c r="B1766">
        <v>18060</v>
      </c>
      <c r="C1766" s="173" t="s">
        <v>1864</v>
      </c>
      <c r="D1766" s="173" t="s">
        <v>470</v>
      </c>
      <c r="E1766">
        <v>7</v>
      </c>
    </row>
    <row r="1767" spans="1:5" x14ac:dyDescent="0.25">
      <c r="A1767" s="173" t="s">
        <v>468</v>
      </c>
      <c r="B1767">
        <v>18060</v>
      </c>
      <c r="C1767" s="173" t="s">
        <v>1865</v>
      </c>
      <c r="D1767" s="173" t="s">
        <v>470</v>
      </c>
      <c r="E1767">
        <v>7</v>
      </c>
    </row>
    <row r="1768" spans="1:5" x14ac:dyDescent="0.25">
      <c r="A1768" s="173" t="s">
        <v>468</v>
      </c>
      <c r="B1768">
        <v>18060</v>
      </c>
      <c r="C1768" s="173" t="s">
        <v>1866</v>
      </c>
      <c r="D1768" s="173" t="s">
        <v>470</v>
      </c>
      <c r="E1768">
        <v>6</v>
      </c>
    </row>
    <row r="1769" spans="1:5" x14ac:dyDescent="0.25">
      <c r="A1769" s="173" t="s">
        <v>468</v>
      </c>
      <c r="B1769">
        <v>18060</v>
      </c>
      <c r="C1769" s="173" t="s">
        <v>1867</v>
      </c>
      <c r="D1769" s="173" t="s">
        <v>470</v>
      </c>
      <c r="E1769">
        <v>7</v>
      </c>
    </row>
    <row r="1770" spans="1:5" x14ac:dyDescent="0.25">
      <c r="A1770" s="173" t="s">
        <v>468</v>
      </c>
      <c r="B1770">
        <v>18060</v>
      </c>
      <c r="C1770" s="173" t="s">
        <v>1868</v>
      </c>
      <c r="D1770" s="173" t="s">
        <v>470</v>
      </c>
      <c r="E1770">
        <v>7</v>
      </c>
    </row>
    <row r="1771" spans="1:5" x14ac:dyDescent="0.25">
      <c r="A1771" s="173" t="s">
        <v>468</v>
      </c>
      <c r="B1771">
        <v>18060</v>
      </c>
      <c r="C1771" s="173" t="s">
        <v>1869</v>
      </c>
      <c r="D1771" s="173" t="s">
        <v>470</v>
      </c>
      <c r="E1771">
        <v>6</v>
      </c>
    </row>
    <row r="1772" spans="1:5" x14ac:dyDescent="0.25">
      <c r="A1772" s="173" t="s">
        <v>468</v>
      </c>
      <c r="B1772">
        <v>18060</v>
      </c>
      <c r="C1772" s="173" t="s">
        <v>1870</v>
      </c>
      <c r="D1772" s="173" t="s">
        <v>470</v>
      </c>
      <c r="E1772">
        <v>7</v>
      </c>
    </row>
    <row r="1773" spans="1:5" x14ac:dyDescent="0.25">
      <c r="A1773" s="173" t="s">
        <v>468</v>
      </c>
      <c r="B1773">
        <v>18060</v>
      </c>
      <c r="C1773" s="173" t="s">
        <v>1871</v>
      </c>
      <c r="D1773" s="173" t="s">
        <v>470</v>
      </c>
      <c r="E1773">
        <v>7</v>
      </c>
    </row>
    <row r="1774" spans="1:5" x14ac:dyDescent="0.25">
      <c r="A1774" s="173" t="s">
        <v>468</v>
      </c>
      <c r="B1774">
        <v>18060</v>
      </c>
      <c r="C1774" s="173" t="s">
        <v>1872</v>
      </c>
      <c r="D1774" s="173" t="s">
        <v>470</v>
      </c>
      <c r="E1774">
        <v>7</v>
      </c>
    </row>
    <row r="1775" spans="1:5" x14ac:dyDescent="0.25">
      <c r="A1775" s="173" t="s">
        <v>468</v>
      </c>
      <c r="B1775">
        <v>18060</v>
      </c>
      <c r="C1775" s="173" t="s">
        <v>1873</v>
      </c>
      <c r="D1775" s="173" t="s">
        <v>470</v>
      </c>
      <c r="E1775">
        <v>7</v>
      </c>
    </row>
    <row r="1776" spans="1:5" x14ac:dyDescent="0.25">
      <c r="A1776" s="173" t="s">
        <v>468</v>
      </c>
      <c r="B1776">
        <v>18060</v>
      </c>
      <c r="C1776" s="173" t="s">
        <v>1874</v>
      </c>
      <c r="D1776" s="173" t="s">
        <v>470</v>
      </c>
      <c r="E1776">
        <v>7</v>
      </c>
    </row>
    <row r="1777" spans="1:5" x14ac:dyDescent="0.25">
      <c r="A1777" s="173" t="s">
        <v>468</v>
      </c>
      <c r="B1777">
        <v>18060</v>
      </c>
      <c r="C1777" s="173" t="s">
        <v>1875</v>
      </c>
      <c r="D1777" s="173" t="s">
        <v>470</v>
      </c>
      <c r="E1777">
        <v>7</v>
      </c>
    </row>
    <row r="1778" spans="1:5" x14ac:dyDescent="0.25">
      <c r="A1778" s="173" t="s">
        <v>468</v>
      </c>
      <c r="B1778">
        <v>18060</v>
      </c>
      <c r="C1778" s="173" t="s">
        <v>1876</v>
      </c>
      <c r="D1778" s="173" t="s">
        <v>470</v>
      </c>
      <c r="E1778">
        <v>6</v>
      </c>
    </row>
    <row r="1779" spans="1:5" x14ac:dyDescent="0.25">
      <c r="A1779" s="173" t="s">
        <v>468</v>
      </c>
      <c r="B1779">
        <v>18060</v>
      </c>
      <c r="C1779" s="173" t="s">
        <v>1877</v>
      </c>
      <c r="D1779" s="173" t="s">
        <v>470</v>
      </c>
      <c r="E1779">
        <v>6</v>
      </c>
    </row>
    <row r="1780" spans="1:5" x14ac:dyDescent="0.25">
      <c r="A1780" s="173" t="s">
        <v>468</v>
      </c>
      <c r="B1780">
        <v>18060</v>
      </c>
      <c r="C1780" s="173" t="s">
        <v>1878</v>
      </c>
      <c r="D1780" s="173" t="s">
        <v>470</v>
      </c>
      <c r="E1780">
        <v>7</v>
      </c>
    </row>
    <row r="1781" spans="1:5" x14ac:dyDescent="0.25">
      <c r="A1781" s="173" t="s">
        <v>468</v>
      </c>
      <c r="B1781">
        <v>18060</v>
      </c>
      <c r="C1781" s="173" t="s">
        <v>1879</v>
      </c>
      <c r="D1781" s="173" t="s">
        <v>470</v>
      </c>
      <c r="E1781">
        <v>7</v>
      </c>
    </row>
    <row r="1782" spans="1:5" x14ac:dyDescent="0.25">
      <c r="A1782" s="173" t="s">
        <v>468</v>
      </c>
      <c r="B1782">
        <v>18060</v>
      </c>
      <c r="C1782" s="173" t="s">
        <v>1880</v>
      </c>
      <c r="D1782" s="173" t="s">
        <v>470</v>
      </c>
      <c r="E1782">
        <v>7</v>
      </c>
    </row>
    <row r="1783" spans="1:5" x14ac:dyDescent="0.25">
      <c r="A1783" s="173" t="s">
        <v>468</v>
      </c>
      <c r="B1783">
        <v>18060</v>
      </c>
      <c r="C1783" s="173" t="s">
        <v>1881</v>
      </c>
      <c r="D1783" s="173" t="s">
        <v>470</v>
      </c>
      <c r="E1783">
        <v>6</v>
      </c>
    </row>
    <row r="1784" spans="1:5" x14ac:dyDescent="0.25">
      <c r="A1784" s="173" t="s">
        <v>468</v>
      </c>
      <c r="B1784">
        <v>18060</v>
      </c>
      <c r="C1784" s="173" t="s">
        <v>1882</v>
      </c>
      <c r="D1784" s="173" t="s">
        <v>470</v>
      </c>
      <c r="E1784">
        <v>7</v>
      </c>
    </row>
    <row r="1785" spans="1:5" x14ac:dyDescent="0.25">
      <c r="A1785" s="173" t="s">
        <v>468</v>
      </c>
      <c r="B1785">
        <v>18060</v>
      </c>
      <c r="C1785" s="173" t="s">
        <v>1883</v>
      </c>
      <c r="D1785" s="173" t="s">
        <v>470</v>
      </c>
      <c r="E1785">
        <v>7</v>
      </c>
    </row>
    <row r="1786" spans="1:5" x14ac:dyDescent="0.25">
      <c r="A1786" s="173" t="s">
        <v>468</v>
      </c>
      <c r="B1786">
        <v>18060</v>
      </c>
      <c r="C1786" s="173" t="s">
        <v>1884</v>
      </c>
      <c r="D1786" s="173" t="s">
        <v>470</v>
      </c>
      <c r="E1786">
        <v>6</v>
      </c>
    </row>
    <row r="1787" spans="1:5" x14ac:dyDescent="0.25">
      <c r="A1787" s="173" t="s">
        <v>468</v>
      </c>
      <c r="B1787">
        <v>18060</v>
      </c>
      <c r="C1787" s="173" t="s">
        <v>1885</v>
      </c>
      <c r="D1787" s="173" t="s">
        <v>470</v>
      </c>
      <c r="E1787">
        <v>6</v>
      </c>
    </row>
    <row r="1788" spans="1:5" x14ac:dyDescent="0.25">
      <c r="A1788" s="173" t="s">
        <v>468</v>
      </c>
      <c r="B1788">
        <v>18060</v>
      </c>
      <c r="C1788" s="173" t="s">
        <v>1886</v>
      </c>
      <c r="D1788" s="173" t="s">
        <v>470</v>
      </c>
      <c r="E1788">
        <v>6</v>
      </c>
    </row>
    <row r="1789" spans="1:5" x14ac:dyDescent="0.25">
      <c r="A1789" s="173" t="s">
        <v>468</v>
      </c>
      <c r="B1789">
        <v>18060</v>
      </c>
      <c r="C1789" s="173" t="s">
        <v>1887</v>
      </c>
      <c r="D1789" s="173" t="s">
        <v>470</v>
      </c>
      <c r="E1789">
        <v>6</v>
      </c>
    </row>
    <row r="1790" spans="1:5" x14ac:dyDescent="0.25">
      <c r="A1790" s="173" t="s">
        <v>468</v>
      </c>
      <c r="B1790">
        <v>18060</v>
      </c>
      <c r="C1790" s="173" t="s">
        <v>1888</v>
      </c>
      <c r="D1790" s="173" t="s">
        <v>470</v>
      </c>
      <c r="E1790">
        <v>6</v>
      </c>
    </row>
    <row r="1791" spans="1:5" x14ac:dyDescent="0.25">
      <c r="A1791" s="173" t="s">
        <v>468</v>
      </c>
      <c r="B1791">
        <v>18060</v>
      </c>
      <c r="C1791" s="173" t="s">
        <v>1889</v>
      </c>
      <c r="D1791" s="173" t="s">
        <v>470</v>
      </c>
      <c r="E1791">
        <v>6</v>
      </c>
    </row>
    <row r="1792" spans="1:5" x14ac:dyDescent="0.25">
      <c r="A1792" s="173" t="s">
        <v>468</v>
      </c>
      <c r="B1792">
        <v>18060</v>
      </c>
      <c r="C1792" s="173" t="s">
        <v>1890</v>
      </c>
      <c r="D1792" s="173" t="s">
        <v>470</v>
      </c>
      <c r="E1792">
        <v>5</v>
      </c>
    </row>
    <row r="1793" spans="1:5" x14ac:dyDescent="0.25">
      <c r="A1793" s="173" t="s">
        <v>468</v>
      </c>
      <c r="B1793">
        <v>18060</v>
      </c>
      <c r="C1793" s="173" t="s">
        <v>1891</v>
      </c>
      <c r="D1793" s="173" t="s">
        <v>470</v>
      </c>
      <c r="E1793">
        <v>5</v>
      </c>
    </row>
    <row r="1794" spans="1:5" x14ac:dyDescent="0.25">
      <c r="A1794" s="173" t="s">
        <v>468</v>
      </c>
      <c r="B1794">
        <v>18060</v>
      </c>
      <c r="C1794" s="173" t="s">
        <v>1892</v>
      </c>
      <c r="D1794" s="173" t="s">
        <v>470</v>
      </c>
      <c r="E1794">
        <v>4</v>
      </c>
    </row>
    <row r="1795" spans="1:5" x14ac:dyDescent="0.25">
      <c r="A1795" s="173" t="s">
        <v>468</v>
      </c>
      <c r="B1795">
        <v>18060</v>
      </c>
      <c r="C1795" s="173" t="s">
        <v>1893</v>
      </c>
      <c r="D1795" s="173" t="s">
        <v>470</v>
      </c>
      <c r="E1795">
        <v>5</v>
      </c>
    </row>
    <row r="1796" spans="1:5" x14ac:dyDescent="0.25">
      <c r="A1796" s="173" t="s">
        <v>468</v>
      </c>
      <c r="B1796">
        <v>18060</v>
      </c>
      <c r="C1796" s="173" t="s">
        <v>1894</v>
      </c>
      <c r="D1796" s="173" t="s">
        <v>470</v>
      </c>
      <c r="E1796">
        <v>5</v>
      </c>
    </row>
    <row r="1797" spans="1:5" x14ac:dyDescent="0.25">
      <c r="A1797" s="173" t="s">
        <v>468</v>
      </c>
      <c r="B1797">
        <v>18060</v>
      </c>
      <c r="C1797" s="173" t="s">
        <v>1895</v>
      </c>
      <c r="D1797" s="173" t="s">
        <v>470</v>
      </c>
      <c r="E1797">
        <v>5</v>
      </c>
    </row>
    <row r="1798" spans="1:5" x14ac:dyDescent="0.25">
      <c r="A1798" s="173" t="s">
        <v>468</v>
      </c>
      <c r="B1798">
        <v>18060</v>
      </c>
      <c r="C1798" s="173" t="s">
        <v>1896</v>
      </c>
      <c r="D1798" s="173" t="s">
        <v>470</v>
      </c>
      <c r="E1798">
        <v>5</v>
      </c>
    </row>
    <row r="1799" spans="1:5" x14ac:dyDescent="0.25">
      <c r="A1799" s="173" t="s">
        <v>468</v>
      </c>
      <c r="B1799">
        <v>18060</v>
      </c>
      <c r="C1799" s="173" t="s">
        <v>1897</v>
      </c>
      <c r="D1799" s="173" t="s">
        <v>470</v>
      </c>
      <c r="E1799">
        <v>7</v>
      </c>
    </row>
    <row r="1800" spans="1:5" x14ac:dyDescent="0.25">
      <c r="A1800" s="173" t="s">
        <v>468</v>
      </c>
      <c r="B1800">
        <v>18060</v>
      </c>
      <c r="C1800" s="173" t="s">
        <v>1898</v>
      </c>
      <c r="D1800" s="173" t="s">
        <v>470</v>
      </c>
      <c r="E1800">
        <v>7</v>
      </c>
    </row>
    <row r="1801" spans="1:5" x14ac:dyDescent="0.25">
      <c r="A1801" s="173" t="s">
        <v>468</v>
      </c>
      <c r="B1801">
        <v>18060</v>
      </c>
      <c r="C1801" s="173" t="s">
        <v>1899</v>
      </c>
      <c r="D1801" s="173" t="s">
        <v>470</v>
      </c>
      <c r="E1801">
        <v>6</v>
      </c>
    </row>
    <row r="1802" spans="1:5" x14ac:dyDescent="0.25">
      <c r="A1802" s="173" t="s">
        <v>468</v>
      </c>
      <c r="B1802">
        <v>18060</v>
      </c>
      <c r="C1802" s="173" t="s">
        <v>1900</v>
      </c>
      <c r="D1802" s="173" t="s">
        <v>470</v>
      </c>
      <c r="E1802">
        <v>8</v>
      </c>
    </row>
    <row r="1803" spans="1:5" x14ac:dyDescent="0.25">
      <c r="A1803" s="173" t="s">
        <v>468</v>
      </c>
      <c r="B1803">
        <v>18060</v>
      </c>
      <c r="C1803" s="173" t="s">
        <v>1901</v>
      </c>
      <c r="D1803" s="173" t="s">
        <v>470</v>
      </c>
      <c r="E1803">
        <v>7</v>
      </c>
    </row>
    <row r="1804" spans="1:5" x14ac:dyDescent="0.25">
      <c r="A1804" s="173" t="s">
        <v>468</v>
      </c>
      <c r="B1804">
        <v>18060</v>
      </c>
      <c r="C1804" s="173" t="s">
        <v>1902</v>
      </c>
      <c r="D1804" s="173" t="s">
        <v>470</v>
      </c>
      <c r="E1804">
        <v>4</v>
      </c>
    </row>
    <row r="1805" spans="1:5" x14ac:dyDescent="0.25">
      <c r="A1805" s="173" t="s">
        <v>468</v>
      </c>
      <c r="B1805">
        <v>18060</v>
      </c>
      <c r="C1805" s="173" t="s">
        <v>1903</v>
      </c>
      <c r="D1805" s="173" t="s">
        <v>470</v>
      </c>
      <c r="E1805">
        <v>4</v>
      </c>
    </row>
    <row r="1806" spans="1:5" x14ac:dyDescent="0.25">
      <c r="A1806" s="173" t="s">
        <v>468</v>
      </c>
      <c r="B1806">
        <v>18060</v>
      </c>
      <c r="C1806" s="173" t="s">
        <v>1904</v>
      </c>
      <c r="D1806" s="173" t="s">
        <v>470</v>
      </c>
      <c r="E1806">
        <v>4</v>
      </c>
    </row>
    <row r="1807" spans="1:5" x14ac:dyDescent="0.25">
      <c r="A1807" s="173" t="s">
        <v>468</v>
      </c>
      <c r="B1807">
        <v>18060</v>
      </c>
      <c r="C1807" s="173" t="s">
        <v>1905</v>
      </c>
      <c r="D1807" s="173" t="s">
        <v>470</v>
      </c>
      <c r="E1807">
        <v>4</v>
      </c>
    </row>
    <row r="1808" spans="1:5" x14ac:dyDescent="0.25">
      <c r="A1808" s="173" t="s">
        <v>468</v>
      </c>
      <c r="B1808">
        <v>18060</v>
      </c>
      <c r="C1808" s="173" t="s">
        <v>1906</v>
      </c>
      <c r="D1808" s="173" t="s">
        <v>470</v>
      </c>
      <c r="E1808">
        <v>4</v>
      </c>
    </row>
    <row r="1809" spans="1:5" x14ac:dyDescent="0.25">
      <c r="A1809" s="173" t="s">
        <v>468</v>
      </c>
      <c r="B1809">
        <v>18060</v>
      </c>
      <c r="C1809" s="173" t="s">
        <v>1907</v>
      </c>
      <c r="D1809" s="173" t="s">
        <v>470</v>
      </c>
      <c r="E1809">
        <v>4</v>
      </c>
    </row>
    <row r="1810" spans="1:5" x14ac:dyDescent="0.25">
      <c r="A1810" s="173" t="s">
        <v>468</v>
      </c>
      <c r="B1810">
        <v>18060</v>
      </c>
      <c r="C1810" s="173" t="s">
        <v>1908</v>
      </c>
      <c r="D1810" s="173" t="s">
        <v>470</v>
      </c>
      <c r="E1810">
        <v>4</v>
      </c>
    </row>
    <row r="1811" spans="1:5" x14ac:dyDescent="0.25">
      <c r="A1811" s="173" t="s">
        <v>468</v>
      </c>
      <c r="B1811">
        <v>18060</v>
      </c>
      <c r="C1811" s="173" t="s">
        <v>1909</v>
      </c>
      <c r="D1811" s="173" t="s">
        <v>470</v>
      </c>
      <c r="E1811">
        <v>4</v>
      </c>
    </row>
    <row r="1812" spans="1:5" x14ac:dyDescent="0.25">
      <c r="A1812" s="173" t="s">
        <v>468</v>
      </c>
      <c r="B1812">
        <v>18060</v>
      </c>
      <c r="C1812" s="173" t="s">
        <v>1910</v>
      </c>
      <c r="D1812" s="173" t="s">
        <v>470</v>
      </c>
      <c r="E1812">
        <v>4</v>
      </c>
    </row>
    <row r="1813" spans="1:5" x14ac:dyDescent="0.25">
      <c r="A1813" s="173" t="s">
        <v>468</v>
      </c>
      <c r="B1813">
        <v>18060</v>
      </c>
      <c r="C1813" s="173" t="s">
        <v>1911</v>
      </c>
      <c r="D1813" s="173" t="s">
        <v>470</v>
      </c>
      <c r="E1813">
        <v>3</v>
      </c>
    </row>
    <row r="1814" spans="1:5" x14ac:dyDescent="0.25">
      <c r="A1814" s="173" t="s">
        <v>468</v>
      </c>
      <c r="B1814">
        <v>18060</v>
      </c>
      <c r="C1814" s="173" t="s">
        <v>1912</v>
      </c>
      <c r="D1814" s="173" t="s">
        <v>470</v>
      </c>
      <c r="E1814">
        <v>3</v>
      </c>
    </row>
    <row r="1815" spans="1:5" x14ac:dyDescent="0.25">
      <c r="A1815" s="173" t="s">
        <v>468</v>
      </c>
      <c r="B1815">
        <v>18060</v>
      </c>
      <c r="C1815" s="173" t="s">
        <v>1913</v>
      </c>
      <c r="D1815" s="173" t="s">
        <v>470</v>
      </c>
      <c r="E1815">
        <v>4</v>
      </c>
    </row>
    <row r="1816" spans="1:5" x14ac:dyDescent="0.25">
      <c r="A1816" s="173" t="s">
        <v>468</v>
      </c>
      <c r="B1816">
        <v>18060</v>
      </c>
      <c r="C1816" s="173" t="s">
        <v>1914</v>
      </c>
      <c r="D1816" s="173" t="s">
        <v>470</v>
      </c>
      <c r="E1816">
        <v>4</v>
      </c>
    </row>
    <row r="1817" spans="1:5" x14ac:dyDescent="0.25">
      <c r="A1817" s="173" t="s">
        <v>468</v>
      </c>
      <c r="B1817">
        <v>18060</v>
      </c>
      <c r="C1817" s="173" t="s">
        <v>1915</v>
      </c>
      <c r="D1817" s="173" t="s">
        <v>470</v>
      </c>
      <c r="E1817">
        <v>4</v>
      </c>
    </row>
    <row r="1818" spans="1:5" x14ac:dyDescent="0.25">
      <c r="A1818" s="173" t="s">
        <v>468</v>
      </c>
      <c r="B1818">
        <v>18060</v>
      </c>
      <c r="C1818" s="173" t="s">
        <v>1916</v>
      </c>
      <c r="D1818" s="173" t="s">
        <v>470</v>
      </c>
      <c r="E1818">
        <v>4</v>
      </c>
    </row>
    <row r="1819" spans="1:5" x14ac:dyDescent="0.25">
      <c r="A1819" s="173" t="s">
        <v>468</v>
      </c>
      <c r="B1819">
        <v>18060</v>
      </c>
      <c r="C1819" s="173" t="s">
        <v>1917</v>
      </c>
      <c r="D1819" s="173" t="s">
        <v>470</v>
      </c>
      <c r="E1819">
        <v>4</v>
      </c>
    </row>
    <row r="1820" spans="1:5" x14ac:dyDescent="0.25">
      <c r="A1820" s="173" t="s">
        <v>468</v>
      </c>
      <c r="B1820">
        <v>18060</v>
      </c>
      <c r="C1820" s="173" t="s">
        <v>1918</v>
      </c>
      <c r="D1820" s="173" t="s">
        <v>470</v>
      </c>
      <c r="E1820">
        <v>4</v>
      </c>
    </row>
    <row r="1821" spans="1:5" x14ac:dyDescent="0.25">
      <c r="A1821" s="173" t="s">
        <v>468</v>
      </c>
      <c r="B1821">
        <v>18060</v>
      </c>
      <c r="C1821" s="173" t="s">
        <v>1919</v>
      </c>
      <c r="D1821" s="173" t="s">
        <v>470</v>
      </c>
      <c r="E1821">
        <v>2</v>
      </c>
    </row>
    <row r="1822" spans="1:5" x14ac:dyDescent="0.25">
      <c r="A1822" s="173" t="s">
        <v>468</v>
      </c>
      <c r="B1822">
        <v>18060</v>
      </c>
      <c r="C1822" s="173" t="s">
        <v>1920</v>
      </c>
      <c r="D1822" s="173" t="s">
        <v>470</v>
      </c>
      <c r="E1822">
        <v>2</v>
      </c>
    </row>
    <row r="1823" spans="1:5" x14ac:dyDescent="0.25">
      <c r="A1823" s="173" t="s">
        <v>468</v>
      </c>
      <c r="B1823">
        <v>18060</v>
      </c>
      <c r="C1823" s="173" t="s">
        <v>1921</v>
      </c>
      <c r="D1823" s="173" t="s">
        <v>470</v>
      </c>
      <c r="E1823">
        <v>2</v>
      </c>
    </row>
    <row r="1824" spans="1:5" x14ac:dyDescent="0.25">
      <c r="A1824" s="173" t="s">
        <v>468</v>
      </c>
      <c r="B1824">
        <v>18060</v>
      </c>
      <c r="C1824" s="173" t="s">
        <v>1922</v>
      </c>
      <c r="D1824" s="173" t="s">
        <v>470</v>
      </c>
      <c r="E1824">
        <v>2</v>
      </c>
    </row>
    <row r="1825" spans="1:5" x14ac:dyDescent="0.25">
      <c r="A1825" s="173" t="s">
        <v>468</v>
      </c>
      <c r="B1825">
        <v>18060</v>
      </c>
      <c r="C1825" s="173" t="s">
        <v>1923</v>
      </c>
      <c r="D1825" s="173" t="s">
        <v>470</v>
      </c>
      <c r="E1825">
        <v>2</v>
      </c>
    </row>
    <row r="1826" spans="1:5" x14ac:dyDescent="0.25">
      <c r="A1826" s="173" t="s">
        <v>468</v>
      </c>
      <c r="B1826">
        <v>18501</v>
      </c>
      <c r="C1826" s="173" t="s">
        <v>1924</v>
      </c>
      <c r="D1826" s="173" t="s">
        <v>470</v>
      </c>
      <c r="E1826">
        <v>2</v>
      </c>
    </row>
    <row r="1827" spans="1:5" x14ac:dyDescent="0.25">
      <c r="A1827" s="173" t="s">
        <v>468</v>
      </c>
      <c r="B1827">
        <v>18501</v>
      </c>
      <c r="C1827" s="173" t="s">
        <v>1925</v>
      </c>
      <c r="D1827" s="173" t="s">
        <v>470</v>
      </c>
      <c r="E1827">
        <v>2</v>
      </c>
    </row>
    <row r="1828" spans="1:5" x14ac:dyDescent="0.25">
      <c r="A1828" s="173" t="s">
        <v>468</v>
      </c>
      <c r="B1828">
        <v>18510</v>
      </c>
      <c r="C1828" s="173" t="s">
        <v>1805</v>
      </c>
      <c r="D1828" s="173" t="s">
        <v>470</v>
      </c>
      <c r="E1828">
        <v>2</v>
      </c>
    </row>
    <row r="1829" spans="1:5" x14ac:dyDescent="0.25">
      <c r="A1829" s="173" t="s">
        <v>468</v>
      </c>
      <c r="B1829">
        <v>18510</v>
      </c>
      <c r="C1829" s="173" t="s">
        <v>1926</v>
      </c>
      <c r="D1829" s="173" t="s">
        <v>470</v>
      </c>
      <c r="E1829">
        <v>2</v>
      </c>
    </row>
    <row r="1830" spans="1:5" x14ac:dyDescent="0.25">
      <c r="A1830" s="173" t="s">
        <v>468</v>
      </c>
      <c r="B1830">
        <v>18510</v>
      </c>
      <c r="C1830" s="173" t="s">
        <v>1806</v>
      </c>
      <c r="D1830" s="173" t="s">
        <v>470</v>
      </c>
      <c r="E1830">
        <v>2</v>
      </c>
    </row>
    <row r="1831" spans="1:5" x14ac:dyDescent="0.25">
      <c r="A1831" s="173" t="s">
        <v>468</v>
      </c>
      <c r="B1831">
        <v>18510</v>
      </c>
      <c r="C1831" s="173" t="s">
        <v>1827</v>
      </c>
      <c r="D1831" s="173" t="s">
        <v>470</v>
      </c>
      <c r="E1831">
        <v>2</v>
      </c>
    </row>
    <row r="1832" spans="1:5" x14ac:dyDescent="0.25">
      <c r="A1832" s="173" t="s">
        <v>468</v>
      </c>
      <c r="B1832">
        <v>18510</v>
      </c>
      <c r="C1832" s="173" t="s">
        <v>1927</v>
      </c>
      <c r="D1832" s="173" t="s">
        <v>470</v>
      </c>
      <c r="E1832">
        <v>2</v>
      </c>
    </row>
    <row r="1833" spans="1:5" x14ac:dyDescent="0.25">
      <c r="A1833" s="173" t="s">
        <v>468</v>
      </c>
      <c r="B1833">
        <v>18510</v>
      </c>
      <c r="C1833" s="173" t="s">
        <v>1928</v>
      </c>
      <c r="D1833" s="173" t="s">
        <v>470</v>
      </c>
      <c r="E1833">
        <v>2</v>
      </c>
    </row>
    <row r="1834" spans="1:5" x14ac:dyDescent="0.25">
      <c r="A1834" s="173" t="s">
        <v>468</v>
      </c>
      <c r="B1834">
        <v>18510</v>
      </c>
      <c r="C1834" s="173" t="s">
        <v>1929</v>
      </c>
      <c r="D1834" s="173" t="s">
        <v>470</v>
      </c>
      <c r="E1834">
        <v>2</v>
      </c>
    </row>
    <row r="1835" spans="1:5" x14ac:dyDescent="0.25">
      <c r="A1835" s="173" t="s">
        <v>468</v>
      </c>
      <c r="B1835">
        <v>18510</v>
      </c>
      <c r="C1835" s="173" t="s">
        <v>1930</v>
      </c>
      <c r="D1835" s="173" t="s">
        <v>470</v>
      </c>
      <c r="E1835">
        <v>2</v>
      </c>
    </row>
    <row r="1836" spans="1:5" x14ac:dyDescent="0.25">
      <c r="A1836" s="173" t="s">
        <v>468</v>
      </c>
      <c r="B1836">
        <v>18510</v>
      </c>
      <c r="C1836" s="173" t="s">
        <v>1931</v>
      </c>
      <c r="D1836" s="173" t="s">
        <v>470</v>
      </c>
      <c r="E1836">
        <v>2</v>
      </c>
    </row>
    <row r="1837" spans="1:5" x14ac:dyDescent="0.25">
      <c r="A1837" s="173" t="s">
        <v>468</v>
      </c>
      <c r="B1837">
        <v>18510</v>
      </c>
      <c r="C1837" s="173" t="s">
        <v>1932</v>
      </c>
      <c r="D1837" s="173" t="s">
        <v>470</v>
      </c>
      <c r="E1837">
        <v>2</v>
      </c>
    </row>
    <row r="1838" spans="1:5" x14ac:dyDescent="0.25">
      <c r="A1838" s="173" t="s">
        <v>468</v>
      </c>
      <c r="B1838">
        <v>18510</v>
      </c>
      <c r="C1838" s="173" t="s">
        <v>1933</v>
      </c>
      <c r="D1838" s="173" t="s">
        <v>470</v>
      </c>
      <c r="E1838">
        <v>2</v>
      </c>
    </row>
    <row r="1839" spans="1:5" x14ac:dyDescent="0.25">
      <c r="A1839" s="173" t="s">
        <v>468</v>
      </c>
      <c r="B1839">
        <v>18510</v>
      </c>
      <c r="C1839" s="173" t="s">
        <v>1934</v>
      </c>
      <c r="D1839" s="173" t="s">
        <v>470</v>
      </c>
      <c r="E1839">
        <v>2</v>
      </c>
    </row>
    <row r="1840" spans="1:5" x14ac:dyDescent="0.25">
      <c r="A1840" s="173" t="s">
        <v>468</v>
      </c>
      <c r="B1840">
        <v>18510</v>
      </c>
      <c r="C1840" s="173" t="s">
        <v>1935</v>
      </c>
      <c r="D1840" s="173" t="s">
        <v>470</v>
      </c>
      <c r="E1840">
        <v>2</v>
      </c>
    </row>
    <row r="1841" spans="1:5" x14ac:dyDescent="0.25">
      <c r="A1841" s="173" t="s">
        <v>468</v>
      </c>
      <c r="B1841">
        <v>18510</v>
      </c>
      <c r="C1841" s="173" t="s">
        <v>1936</v>
      </c>
      <c r="D1841" s="173" t="s">
        <v>470</v>
      </c>
      <c r="E1841">
        <v>2</v>
      </c>
    </row>
    <row r="1842" spans="1:5" x14ac:dyDescent="0.25">
      <c r="A1842" s="173" t="s">
        <v>468</v>
      </c>
      <c r="B1842">
        <v>18510</v>
      </c>
      <c r="C1842" s="173" t="s">
        <v>1937</v>
      </c>
      <c r="D1842" s="173" t="s">
        <v>470</v>
      </c>
      <c r="E1842">
        <v>2</v>
      </c>
    </row>
    <row r="1843" spans="1:5" x14ac:dyDescent="0.25">
      <c r="A1843" s="173" t="s">
        <v>468</v>
      </c>
      <c r="B1843">
        <v>18510</v>
      </c>
      <c r="C1843" s="173" t="s">
        <v>1938</v>
      </c>
      <c r="D1843" s="173" t="s">
        <v>470</v>
      </c>
      <c r="E1843">
        <v>2</v>
      </c>
    </row>
    <row r="1844" spans="1:5" x14ac:dyDescent="0.25">
      <c r="A1844" s="173" t="s">
        <v>468</v>
      </c>
      <c r="B1844">
        <v>18510</v>
      </c>
      <c r="C1844" s="173" t="s">
        <v>1939</v>
      </c>
      <c r="D1844" s="173" t="s">
        <v>470</v>
      </c>
      <c r="E1844">
        <v>2</v>
      </c>
    </row>
    <row r="1845" spans="1:5" x14ac:dyDescent="0.25">
      <c r="A1845" s="173" t="s">
        <v>468</v>
      </c>
      <c r="B1845">
        <v>18510</v>
      </c>
      <c r="C1845" s="173" t="s">
        <v>1940</v>
      </c>
      <c r="D1845" s="173" t="s">
        <v>470</v>
      </c>
      <c r="E1845">
        <v>2</v>
      </c>
    </row>
    <row r="1846" spans="1:5" hidden="1" x14ac:dyDescent="0.25">
      <c r="A1846" s="173" t="s">
        <v>1668</v>
      </c>
      <c r="B1846">
        <v>18908</v>
      </c>
      <c r="C1846" s="173" t="s">
        <v>1941</v>
      </c>
      <c r="D1846" s="173" t="s">
        <v>470</v>
      </c>
      <c r="E1846">
        <v>1</v>
      </c>
    </row>
    <row r="1847" spans="1:5" hidden="1" x14ac:dyDescent="0.25">
      <c r="A1847" s="173" t="s">
        <v>1668</v>
      </c>
      <c r="B1847">
        <v>18908</v>
      </c>
      <c r="C1847" s="173" t="s">
        <v>1942</v>
      </c>
      <c r="D1847" s="173" t="s">
        <v>470</v>
      </c>
      <c r="E1847">
        <v>1</v>
      </c>
    </row>
    <row r="1848" spans="1:5" hidden="1" x14ac:dyDescent="0.25">
      <c r="A1848" s="173" t="s">
        <v>1668</v>
      </c>
      <c r="B1848">
        <v>18908</v>
      </c>
      <c r="C1848" s="173" t="s">
        <v>1943</v>
      </c>
      <c r="D1848" s="173" t="s">
        <v>470</v>
      </c>
      <c r="E1848">
        <v>1</v>
      </c>
    </row>
    <row r="1849" spans="1:5" hidden="1" x14ac:dyDescent="0.25">
      <c r="A1849" s="173" t="s">
        <v>1668</v>
      </c>
      <c r="B1849">
        <v>18908</v>
      </c>
      <c r="C1849" s="173" t="s">
        <v>1944</v>
      </c>
      <c r="D1849" s="173" t="s">
        <v>470</v>
      </c>
      <c r="E1849">
        <v>1</v>
      </c>
    </row>
    <row r="1850" spans="1:5" hidden="1" x14ac:dyDescent="0.25">
      <c r="A1850" s="173" t="s">
        <v>1668</v>
      </c>
      <c r="B1850">
        <v>18908</v>
      </c>
      <c r="C1850" s="173" t="s">
        <v>1945</v>
      </c>
      <c r="D1850" s="173" t="s">
        <v>470</v>
      </c>
      <c r="E1850">
        <v>1</v>
      </c>
    </row>
    <row r="1851" spans="1:5" hidden="1" x14ac:dyDescent="0.25">
      <c r="A1851" s="173" t="s">
        <v>1668</v>
      </c>
      <c r="B1851">
        <v>18908</v>
      </c>
      <c r="C1851" s="173" t="s">
        <v>1946</v>
      </c>
      <c r="D1851" s="173" t="s">
        <v>470</v>
      </c>
      <c r="E1851">
        <v>1</v>
      </c>
    </row>
    <row r="1852" spans="1:5" hidden="1" x14ac:dyDescent="0.25">
      <c r="A1852" s="173" t="s">
        <v>1668</v>
      </c>
      <c r="B1852">
        <v>18908</v>
      </c>
      <c r="C1852" s="173" t="s">
        <v>1947</v>
      </c>
      <c r="D1852" s="173" t="s">
        <v>470</v>
      </c>
      <c r="E1852">
        <v>1</v>
      </c>
    </row>
    <row r="1853" spans="1:5" hidden="1" x14ac:dyDescent="0.25">
      <c r="A1853" s="173" t="s">
        <v>1668</v>
      </c>
      <c r="B1853">
        <v>18908</v>
      </c>
      <c r="C1853" s="173" t="s">
        <v>1948</v>
      </c>
      <c r="D1853" s="173" t="s">
        <v>470</v>
      </c>
      <c r="E1853">
        <v>1</v>
      </c>
    </row>
    <row r="1854" spans="1:5" hidden="1" x14ac:dyDescent="0.25">
      <c r="A1854" s="173" t="s">
        <v>1668</v>
      </c>
      <c r="B1854">
        <v>18908</v>
      </c>
      <c r="C1854" s="173" t="s">
        <v>1949</v>
      </c>
      <c r="D1854" s="173" t="s">
        <v>470</v>
      </c>
      <c r="E1854">
        <v>1</v>
      </c>
    </row>
    <row r="1855" spans="1:5" hidden="1" x14ac:dyDescent="0.25">
      <c r="A1855" s="173" t="s">
        <v>1668</v>
      </c>
      <c r="B1855">
        <v>18908</v>
      </c>
      <c r="C1855" s="173" t="s">
        <v>1950</v>
      </c>
      <c r="D1855" s="173" t="s">
        <v>470</v>
      </c>
      <c r="E1855">
        <v>1</v>
      </c>
    </row>
    <row r="1856" spans="1:5" hidden="1" x14ac:dyDescent="0.25">
      <c r="A1856" s="173" t="s">
        <v>1668</v>
      </c>
      <c r="B1856">
        <v>18908</v>
      </c>
      <c r="C1856" s="173" t="s">
        <v>1951</v>
      </c>
      <c r="D1856" s="173" t="s">
        <v>470</v>
      </c>
      <c r="E1856">
        <v>1</v>
      </c>
    </row>
    <row r="1857" spans="1:5" hidden="1" x14ac:dyDescent="0.25">
      <c r="A1857" s="173" t="s">
        <v>1668</v>
      </c>
      <c r="B1857">
        <v>18908</v>
      </c>
      <c r="C1857" s="173" t="s">
        <v>1952</v>
      </c>
      <c r="D1857" s="173" t="s">
        <v>470</v>
      </c>
      <c r="E1857">
        <v>1</v>
      </c>
    </row>
    <row r="1858" spans="1:5" hidden="1" x14ac:dyDescent="0.25">
      <c r="A1858" s="173" t="s">
        <v>1668</v>
      </c>
      <c r="B1858">
        <v>18908</v>
      </c>
      <c r="C1858" s="173" t="s">
        <v>1953</v>
      </c>
      <c r="D1858" s="173" t="s">
        <v>470</v>
      </c>
      <c r="E1858">
        <v>1</v>
      </c>
    </row>
    <row r="1859" spans="1:5" hidden="1" x14ac:dyDescent="0.25">
      <c r="A1859" s="173" t="s">
        <v>1668</v>
      </c>
      <c r="B1859">
        <v>18908</v>
      </c>
      <c r="C1859" s="173" t="s">
        <v>1954</v>
      </c>
      <c r="D1859" s="173" t="s">
        <v>470</v>
      </c>
      <c r="E1859">
        <v>1</v>
      </c>
    </row>
    <row r="1860" spans="1:5" hidden="1" x14ac:dyDescent="0.25">
      <c r="A1860" s="173" t="s">
        <v>1668</v>
      </c>
      <c r="B1860">
        <v>18908</v>
      </c>
      <c r="C1860" s="173" t="s">
        <v>1955</v>
      </c>
      <c r="D1860" s="173" t="s">
        <v>470</v>
      </c>
      <c r="E1860">
        <v>1</v>
      </c>
    </row>
    <row r="1861" spans="1:5" hidden="1" x14ac:dyDescent="0.25">
      <c r="A1861" s="173" t="s">
        <v>1668</v>
      </c>
      <c r="B1861">
        <v>18908</v>
      </c>
      <c r="C1861" s="173" t="s">
        <v>1956</v>
      </c>
      <c r="D1861" s="173" t="s">
        <v>470</v>
      </c>
      <c r="E1861">
        <v>1</v>
      </c>
    </row>
    <row r="1862" spans="1:5" hidden="1" x14ac:dyDescent="0.25">
      <c r="A1862" s="173" t="s">
        <v>1668</v>
      </c>
      <c r="B1862">
        <v>18908</v>
      </c>
      <c r="C1862" s="173" t="s">
        <v>1957</v>
      </c>
      <c r="D1862" s="173" t="s">
        <v>470</v>
      </c>
      <c r="E1862">
        <v>1</v>
      </c>
    </row>
    <row r="1863" spans="1:5" hidden="1" x14ac:dyDescent="0.25">
      <c r="A1863" s="173" t="s">
        <v>1668</v>
      </c>
      <c r="B1863">
        <v>18908</v>
      </c>
      <c r="C1863" s="173" t="s">
        <v>1958</v>
      </c>
      <c r="D1863" s="173" t="s">
        <v>470</v>
      </c>
      <c r="E1863">
        <v>1</v>
      </c>
    </row>
    <row r="1864" spans="1:5" hidden="1" x14ac:dyDescent="0.25">
      <c r="A1864" s="173" t="s">
        <v>1668</v>
      </c>
      <c r="B1864">
        <v>18908</v>
      </c>
      <c r="C1864" s="173" t="s">
        <v>1959</v>
      </c>
      <c r="D1864" s="173" t="s">
        <v>470</v>
      </c>
      <c r="E1864">
        <v>1</v>
      </c>
    </row>
    <row r="1865" spans="1:5" hidden="1" x14ac:dyDescent="0.25">
      <c r="A1865" s="173" t="s">
        <v>1668</v>
      </c>
      <c r="B1865">
        <v>18908</v>
      </c>
      <c r="C1865" s="173" t="s">
        <v>1960</v>
      </c>
      <c r="D1865" s="173" t="s">
        <v>470</v>
      </c>
      <c r="E1865">
        <v>1</v>
      </c>
    </row>
    <row r="1866" spans="1:5" hidden="1" x14ac:dyDescent="0.25">
      <c r="A1866" s="173" t="s">
        <v>1668</v>
      </c>
      <c r="B1866">
        <v>18908</v>
      </c>
      <c r="C1866" s="173" t="s">
        <v>1961</v>
      </c>
      <c r="D1866" s="173" t="s">
        <v>470</v>
      </c>
      <c r="E1866">
        <v>1</v>
      </c>
    </row>
    <row r="1867" spans="1:5" hidden="1" x14ac:dyDescent="0.25">
      <c r="A1867" s="173" t="s">
        <v>514</v>
      </c>
      <c r="B1867">
        <v>18954</v>
      </c>
      <c r="C1867" s="173" t="s">
        <v>3677</v>
      </c>
      <c r="D1867" s="173" t="s">
        <v>470</v>
      </c>
      <c r="E1867">
        <v>4</v>
      </c>
    </row>
    <row r="1868" spans="1:5" hidden="1" x14ac:dyDescent="0.25">
      <c r="A1868" s="173" t="s">
        <v>514</v>
      </c>
      <c r="B1868">
        <v>18954</v>
      </c>
      <c r="C1868" s="173" t="s">
        <v>3678</v>
      </c>
      <c r="D1868" s="173" t="s">
        <v>470</v>
      </c>
      <c r="E1868">
        <v>4</v>
      </c>
    </row>
    <row r="1869" spans="1:5" hidden="1" x14ac:dyDescent="0.25">
      <c r="A1869" s="173" t="s">
        <v>514</v>
      </c>
      <c r="B1869">
        <v>18954</v>
      </c>
      <c r="C1869" s="173" t="s">
        <v>3679</v>
      </c>
      <c r="D1869" s="173" t="s">
        <v>874</v>
      </c>
      <c r="E1869">
        <v>4</v>
      </c>
    </row>
    <row r="1870" spans="1:5" hidden="1" x14ac:dyDescent="0.25">
      <c r="A1870" s="173" t="s">
        <v>514</v>
      </c>
      <c r="B1870">
        <v>18954</v>
      </c>
      <c r="C1870" s="173" t="s">
        <v>3680</v>
      </c>
      <c r="D1870" s="173" t="s">
        <v>874</v>
      </c>
      <c r="E1870">
        <v>4</v>
      </c>
    </row>
    <row r="1871" spans="1:5" hidden="1" x14ac:dyDescent="0.25">
      <c r="A1871" s="173" t="s">
        <v>514</v>
      </c>
      <c r="B1871">
        <v>18954</v>
      </c>
      <c r="C1871" s="173" t="s">
        <v>3681</v>
      </c>
      <c r="D1871" s="173" t="s">
        <v>874</v>
      </c>
      <c r="E1871">
        <v>4</v>
      </c>
    </row>
    <row r="1872" spans="1:5" x14ac:dyDescent="0.25">
      <c r="A1872" s="173" t="s">
        <v>468</v>
      </c>
      <c r="B1872">
        <v>19086</v>
      </c>
      <c r="C1872" s="173" t="s">
        <v>1962</v>
      </c>
      <c r="D1872" s="173" t="s">
        <v>470</v>
      </c>
      <c r="E1872">
        <v>6</v>
      </c>
    </row>
    <row r="1873" spans="1:5" x14ac:dyDescent="0.25">
      <c r="A1873" s="173" t="s">
        <v>468</v>
      </c>
      <c r="B1873">
        <v>19086</v>
      </c>
      <c r="C1873" s="173" t="s">
        <v>1963</v>
      </c>
      <c r="D1873" s="173" t="s">
        <v>470</v>
      </c>
      <c r="E1873">
        <v>6</v>
      </c>
    </row>
    <row r="1874" spans="1:5" x14ac:dyDescent="0.25">
      <c r="A1874" s="173" t="s">
        <v>468</v>
      </c>
      <c r="B1874">
        <v>19086</v>
      </c>
      <c r="C1874" s="173" t="s">
        <v>1964</v>
      </c>
      <c r="D1874" s="173" t="s">
        <v>470</v>
      </c>
      <c r="E1874">
        <v>4</v>
      </c>
    </row>
    <row r="1875" spans="1:5" x14ac:dyDescent="0.25">
      <c r="A1875" s="173" t="s">
        <v>468</v>
      </c>
      <c r="B1875">
        <v>19086</v>
      </c>
      <c r="C1875" s="173" t="s">
        <v>1965</v>
      </c>
      <c r="D1875" s="173" t="s">
        <v>470</v>
      </c>
      <c r="E1875">
        <v>4</v>
      </c>
    </row>
    <row r="1876" spans="1:5" x14ac:dyDescent="0.25">
      <c r="A1876" s="173" t="s">
        <v>468</v>
      </c>
      <c r="B1876">
        <v>19086</v>
      </c>
      <c r="C1876" s="173" t="s">
        <v>1966</v>
      </c>
      <c r="D1876" s="173" t="s">
        <v>470</v>
      </c>
      <c r="E1876">
        <v>4</v>
      </c>
    </row>
    <row r="1877" spans="1:5" x14ac:dyDescent="0.25">
      <c r="A1877" s="173" t="s">
        <v>468</v>
      </c>
      <c r="B1877">
        <v>19086</v>
      </c>
      <c r="C1877" s="173" t="s">
        <v>1967</v>
      </c>
      <c r="D1877" s="173" t="s">
        <v>470</v>
      </c>
      <c r="E1877">
        <v>3</v>
      </c>
    </row>
    <row r="1878" spans="1:5" x14ac:dyDescent="0.25">
      <c r="A1878" s="173" t="s">
        <v>468</v>
      </c>
      <c r="B1878">
        <v>19086</v>
      </c>
      <c r="C1878" s="173" t="s">
        <v>1968</v>
      </c>
      <c r="D1878" s="173" t="s">
        <v>470</v>
      </c>
      <c r="E1878">
        <v>3</v>
      </c>
    </row>
    <row r="1879" spans="1:5" x14ac:dyDescent="0.25">
      <c r="A1879" s="173" t="s">
        <v>468</v>
      </c>
      <c r="B1879">
        <v>19086</v>
      </c>
      <c r="C1879" s="173" t="s">
        <v>1969</v>
      </c>
      <c r="D1879" s="173" t="s">
        <v>470</v>
      </c>
      <c r="E1879">
        <v>3</v>
      </c>
    </row>
    <row r="1880" spans="1:5" x14ac:dyDescent="0.25">
      <c r="A1880" s="173" t="s">
        <v>468</v>
      </c>
      <c r="B1880">
        <v>19086</v>
      </c>
      <c r="C1880" s="173" t="s">
        <v>1970</v>
      </c>
      <c r="D1880" s="173" t="s">
        <v>470</v>
      </c>
      <c r="E1880">
        <v>2</v>
      </c>
    </row>
    <row r="1881" spans="1:5" x14ac:dyDescent="0.25">
      <c r="A1881" s="173" t="s">
        <v>468</v>
      </c>
      <c r="B1881">
        <v>19086</v>
      </c>
      <c r="C1881" s="173" t="s">
        <v>1971</v>
      </c>
      <c r="D1881" s="173" t="s">
        <v>470</v>
      </c>
      <c r="E1881">
        <v>2</v>
      </c>
    </row>
    <row r="1882" spans="1:5" x14ac:dyDescent="0.25">
      <c r="A1882" s="173" t="s">
        <v>468</v>
      </c>
      <c r="B1882">
        <v>19086</v>
      </c>
      <c r="C1882" s="173" t="s">
        <v>1972</v>
      </c>
      <c r="D1882" s="173" t="s">
        <v>470</v>
      </c>
      <c r="E1882">
        <v>2</v>
      </c>
    </row>
    <row r="1883" spans="1:5" x14ac:dyDescent="0.25">
      <c r="A1883" s="173" t="s">
        <v>468</v>
      </c>
      <c r="B1883">
        <v>19086</v>
      </c>
      <c r="C1883" s="173" t="s">
        <v>1973</v>
      </c>
      <c r="D1883" s="173" t="s">
        <v>470</v>
      </c>
      <c r="E1883">
        <v>2</v>
      </c>
    </row>
    <row r="1884" spans="1:5" x14ac:dyDescent="0.25">
      <c r="A1884" s="173" t="s">
        <v>468</v>
      </c>
      <c r="B1884">
        <v>19086</v>
      </c>
      <c r="C1884" s="173" t="s">
        <v>1974</v>
      </c>
      <c r="D1884" s="173" t="s">
        <v>470</v>
      </c>
      <c r="E1884">
        <v>3</v>
      </c>
    </row>
    <row r="1885" spans="1:5" x14ac:dyDescent="0.25">
      <c r="A1885" s="173" t="s">
        <v>468</v>
      </c>
      <c r="B1885">
        <v>19086</v>
      </c>
      <c r="C1885" s="173" t="s">
        <v>1975</v>
      </c>
      <c r="D1885" s="173" t="s">
        <v>470</v>
      </c>
      <c r="E1885">
        <v>1</v>
      </c>
    </row>
    <row r="1886" spans="1:5" x14ac:dyDescent="0.25">
      <c r="A1886" s="173" t="s">
        <v>468</v>
      </c>
      <c r="B1886">
        <v>19086</v>
      </c>
      <c r="C1886" s="173" t="s">
        <v>1976</v>
      </c>
      <c r="D1886" s="173" t="s">
        <v>470</v>
      </c>
      <c r="E1886">
        <v>4</v>
      </c>
    </row>
    <row r="1887" spans="1:5" x14ac:dyDescent="0.25">
      <c r="A1887" s="173" t="s">
        <v>468</v>
      </c>
      <c r="B1887">
        <v>19086</v>
      </c>
      <c r="C1887" s="173" t="s">
        <v>1977</v>
      </c>
      <c r="D1887" s="173" t="s">
        <v>470</v>
      </c>
      <c r="E1887">
        <v>4</v>
      </c>
    </row>
    <row r="1888" spans="1:5" x14ac:dyDescent="0.25">
      <c r="A1888" s="173" t="s">
        <v>468</v>
      </c>
      <c r="B1888">
        <v>19086</v>
      </c>
      <c r="C1888" s="173" t="s">
        <v>1978</v>
      </c>
      <c r="D1888" s="173" t="s">
        <v>470</v>
      </c>
      <c r="E1888">
        <v>4</v>
      </c>
    </row>
    <row r="1889" spans="1:5" x14ac:dyDescent="0.25">
      <c r="A1889" s="173" t="s">
        <v>468</v>
      </c>
      <c r="B1889">
        <v>19086</v>
      </c>
      <c r="C1889" s="173" t="s">
        <v>1979</v>
      </c>
      <c r="D1889" s="173" t="s">
        <v>470</v>
      </c>
      <c r="E1889">
        <v>3</v>
      </c>
    </row>
    <row r="1890" spans="1:5" x14ac:dyDescent="0.25">
      <c r="A1890" s="173" t="s">
        <v>468</v>
      </c>
      <c r="B1890">
        <v>19086</v>
      </c>
      <c r="C1890" s="173" t="s">
        <v>1980</v>
      </c>
      <c r="D1890" s="173" t="s">
        <v>470</v>
      </c>
      <c r="E1890">
        <v>3</v>
      </c>
    </row>
    <row r="1891" spans="1:5" hidden="1" x14ac:dyDescent="0.25">
      <c r="A1891" s="173" t="s">
        <v>514</v>
      </c>
      <c r="B1891">
        <v>19180</v>
      </c>
      <c r="C1891" s="173" t="s">
        <v>1981</v>
      </c>
      <c r="D1891" s="173" t="s">
        <v>517</v>
      </c>
      <c r="E1891">
        <v>2</v>
      </c>
    </row>
    <row r="1892" spans="1:5" hidden="1" x14ac:dyDescent="0.25">
      <c r="A1892" s="173" t="s">
        <v>514</v>
      </c>
      <c r="B1892">
        <v>19180</v>
      </c>
      <c r="C1892" s="173" t="s">
        <v>1982</v>
      </c>
      <c r="D1892" s="173" t="s">
        <v>517</v>
      </c>
      <c r="E1892">
        <v>2</v>
      </c>
    </row>
    <row r="1893" spans="1:5" hidden="1" x14ac:dyDescent="0.25">
      <c r="A1893" s="173" t="s">
        <v>514</v>
      </c>
      <c r="B1893">
        <v>19180</v>
      </c>
      <c r="C1893" s="173" t="s">
        <v>1983</v>
      </c>
      <c r="D1893" s="173" t="s">
        <v>517</v>
      </c>
      <c r="E1893">
        <v>2</v>
      </c>
    </row>
    <row r="1894" spans="1:5" hidden="1" x14ac:dyDescent="0.25">
      <c r="A1894" s="173" t="s">
        <v>514</v>
      </c>
      <c r="B1894">
        <v>19180</v>
      </c>
      <c r="C1894" s="173" t="s">
        <v>1984</v>
      </c>
      <c r="D1894" s="173" t="s">
        <v>517</v>
      </c>
      <c r="E1894">
        <v>2</v>
      </c>
    </row>
    <row r="1895" spans="1:5" hidden="1" x14ac:dyDescent="0.25">
      <c r="A1895" s="173" t="s">
        <v>514</v>
      </c>
      <c r="B1895">
        <v>19180</v>
      </c>
      <c r="C1895" s="173" t="s">
        <v>1985</v>
      </c>
      <c r="D1895" s="173" t="s">
        <v>517</v>
      </c>
      <c r="E1895">
        <v>2</v>
      </c>
    </row>
    <row r="1896" spans="1:5" hidden="1" x14ac:dyDescent="0.25">
      <c r="A1896" s="173" t="s">
        <v>514</v>
      </c>
      <c r="B1896">
        <v>19180</v>
      </c>
      <c r="C1896" s="173" t="s">
        <v>1986</v>
      </c>
      <c r="D1896" s="173" t="s">
        <v>517</v>
      </c>
      <c r="E1896">
        <v>2</v>
      </c>
    </row>
    <row r="1897" spans="1:5" hidden="1" x14ac:dyDescent="0.25">
      <c r="A1897" s="173" t="s">
        <v>514</v>
      </c>
      <c r="B1897">
        <v>19180</v>
      </c>
      <c r="C1897" s="173" t="s">
        <v>1987</v>
      </c>
      <c r="D1897" s="173" t="s">
        <v>517</v>
      </c>
      <c r="E1897">
        <v>2</v>
      </c>
    </row>
    <row r="1898" spans="1:5" hidden="1" x14ac:dyDescent="0.25">
      <c r="A1898" s="173" t="s">
        <v>514</v>
      </c>
      <c r="B1898">
        <v>19180</v>
      </c>
      <c r="C1898" s="173" t="s">
        <v>1988</v>
      </c>
      <c r="D1898" s="173" t="s">
        <v>517</v>
      </c>
      <c r="E1898">
        <v>2</v>
      </c>
    </row>
    <row r="1899" spans="1:5" hidden="1" x14ac:dyDescent="0.25">
      <c r="A1899" s="173" t="s">
        <v>514</v>
      </c>
      <c r="B1899">
        <v>19180</v>
      </c>
      <c r="C1899" s="173" t="s">
        <v>1989</v>
      </c>
      <c r="D1899" s="173" t="s">
        <v>517</v>
      </c>
      <c r="E1899">
        <v>2</v>
      </c>
    </row>
    <row r="1900" spans="1:5" hidden="1" x14ac:dyDescent="0.25">
      <c r="A1900" s="173" t="s">
        <v>514</v>
      </c>
      <c r="B1900">
        <v>19180</v>
      </c>
      <c r="C1900" s="173" t="s">
        <v>1990</v>
      </c>
      <c r="D1900" s="173" t="s">
        <v>517</v>
      </c>
      <c r="E1900">
        <v>2</v>
      </c>
    </row>
    <row r="1901" spans="1:5" hidden="1" x14ac:dyDescent="0.25">
      <c r="A1901" s="173" t="s">
        <v>514</v>
      </c>
      <c r="B1901">
        <v>19180</v>
      </c>
      <c r="C1901" s="173" t="s">
        <v>1991</v>
      </c>
      <c r="D1901" s="173" t="s">
        <v>517</v>
      </c>
      <c r="E1901">
        <v>2</v>
      </c>
    </row>
    <row r="1902" spans="1:5" hidden="1" x14ac:dyDescent="0.25">
      <c r="A1902" s="173" t="s">
        <v>514</v>
      </c>
      <c r="B1902">
        <v>19180</v>
      </c>
      <c r="C1902" s="173" t="s">
        <v>1992</v>
      </c>
      <c r="D1902" s="173" t="s">
        <v>517</v>
      </c>
      <c r="E1902">
        <v>2</v>
      </c>
    </row>
    <row r="1903" spans="1:5" hidden="1" x14ac:dyDescent="0.25">
      <c r="A1903" s="173" t="s">
        <v>514</v>
      </c>
      <c r="B1903">
        <v>19180</v>
      </c>
      <c r="C1903" s="173" t="s">
        <v>1993</v>
      </c>
      <c r="D1903" s="173" t="s">
        <v>517</v>
      </c>
      <c r="E1903">
        <v>2</v>
      </c>
    </row>
    <row r="1904" spans="1:5" hidden="1" x14ac:dyDescent="0.25">
      <c r="A1904" s="173" t="s">
        <v>514</v>
      </c>
      <c r="B1904">
        <v>19180</v>
      </c>
      <c r="C1904" s="173" t="s">
        <v>1994</v>
      </c>
      <c r="D1904" s="173" t="s">
        <v>517</v>
      </c>
      <c r="E1904">
        <v>2</v>
      </c>
    </row>
    <row r="1905" spans="1:5" hidden="1" x14ac:dyDescent="0.25">
      <c r="A1905" s="173" t="s">
        <v>514</v>
      </c>
      <c r="B1905">
        <v>19180</v>
      </c>
      <c r="C1905" s="173" t="s">
        <v>1995</v>
      </c>
      <c r="D1905" s="173" t="s">
        <v>517</v>
      </c>
      <c r="E1905">
        <v>2</v>
      </c>
    </row>
    <row r="1906" spans="1:5" hidden="1" x14ac:dyDescent="0.25">
      <c r="A1906" s="173" t="s">
        <v>514</v>
      </c>
      <c r="B1906">
        <v>19180</v>
      </c>
      <c r="C1906" s="173" t="s">
        <v>1996</v>
      </c>
      <c r="D1906" s="173" t="s">
        <v>517</v>
      </c>
      <c r="E1906">
        <v>2</v>
      </c>
    </row>
    <row r="1907" spans="1:5" hidden="1" x14ac:dyDescent="0.25">
      <c r="A1907" s="173" t="s">
        <v>804</v>
      </c>
      <c r="B1907">
        <v>19190</v>
      </c>
      <c r="C1907" s="173" t="s">
        <v>4768</v>
      </c>
      <c r="D1907" s="173" t="s">
        <v>470</v>
      </c>
      <c r="E1907">
        <v>1</v>
      </c>
    </row>
    <row r="1908" spans="1:5" hidden="1" x14ac:dyDescent="0.25">
      <c r="A1908" s="173" t="s">
        <v>804</v>
      </c>
      <c r="B1908">
        <v>19190</v>
      </c>
      <c r="C1908" s="173" t="s">
        <v>4769</v>
      </c>
      <c r="D1908" s="173" t="s">
        <v>470</v>
      </c>
      <c r="E1908">
        <v>1</v>
      </c>
    </row>
    <row r="1909" spans="1:5" hidden="1" x14ac:dyDescent="0.25">
      <c r="A1909" s="173" t="s">
        <v>804</v>
      </c>
      <c r="B1909">
        <v>19190</v>
      </c>
      <c r="C1909" s="173" t="s">
        <v>4770</v>
      </c>
      <c r="D1909" s="173" t="s">
        <v>470</v>
      </c>
      <c r="E1909">
        <v>1</v>
      </c>
    </row>
    <row r="1910" spans="1:5" hidden="1" x14ac:dyDescent="0.25">
      <c r="A1910" s="173" t="s">
        <v>804</v>
      </c>
      <c r="B1910">
        <v>19190</v>
      </c>
      <c r="C1910" s="173" t="s">
        <v>4771</v>
      </c>
      <c r="D1910" s="173" t="s">
        <v>470</v>
      </c>
      <c r="E1910">
        <v>1</v>
      </c>
    </row>
    <row r="1911" spans="1:5" hidden="1" x14ac:dyDescent="0.25">
      <c r="A1911" s="173" t="s">
        <v>804</v>
      </c>
      <c r="B1911">
        <v>19190</v>
      </c>
      <c r="C1911" s="173" t="s">
        <v>4772</v>
      </c>
      <c r="D1911" s="173" t="s">
        <v>470</v>
      </c>
      <c r="E1911">
        <v>1</v>
      </c>
    </row>
    <row r="1912" spans="1:5" hidden="1" x14ac:dyDescent="0.25">
      <c r="A1912" s="173" t="s">
        <v>804</v>
      </c>
      <c r="B1912">
        <v>19190</v>
      </c>
      <c r="C1912" s="173" t="s">
        <v>4773</v>
      </c>
      <c r="D1912" s="173" t="s">
        <v>470</v>
      </c>
      <c r="E1912">
        <v>1</v>
      </c>
    </row>
    <row r="1913" spans="1:5" x14ac:dyDescent="0.25">
      <c r="A1913" s="173" t="s">
        <v>468</v>
      </c>
      <c r="B1913">
        <v>19228</v>
      </c>
      <c r="C1913" s="173" t="s">
        <v>1997</v>
      </c>
      <c r="D1913" s="173" t="s">
        <v>470</v>
      </c>
      <c r="E1913">
        <v>3</v>
      </c>
    </row>
    <row r="1914" spans="1:5" x14ac:dyDescent="0.25">
      <c r="A1914" s="173" t="s">
        <v>468</v>
      </c>
      <c r="B1914">
        <v>19228</v>
      </c>
      <c r="C1914" s="173" t="s">
        <v>1998</v>
      </c>
      <c r="D1914" s="173" t="s">
        <v>470</v>
      </c>
      <c r="E1914">
        <v>3</v>
      </c>
    </row>
    <row r="1915" spans="1:5" x14ac:dyDescent="0.25">
      <c r="A1915" s="173" t="s">
        <v>468</v>
      </c>
      <c r="B1915">
        <v>19228</v>
      </c>
      <c r="C1915" s="173" t="s">
        <v>1999</v>
      </c>
      <c r="D1915" s="173" t="s">
        <v>470</v>
      </c>
      <c r="E1915">
        <v>3</v>
      </c>
    </row>
    <row r="1916" spans="1:5" x14ac:dyDescent="0.25">
      <c r="A1916" s="173" t="s">
        <v>468</v>
      </c>
      <c r="B1916">
        <v>19228</v>
      </c>
      <c r="C1916" s="173" t="s">
        <v>2000</v>
      </c>
      <c r="D1916" s="173" t="s">
        <v>470</v>
      </c>
      <c r="E1916">
        <v>3</v>
      </c>
    </row>
    <row r="1917" spans="1:5" x14ac:dyDescent="0.25">
      <c r="A1917" s="173" t="s">
        <v>468</v>
      </c>
      <c r="B1917">
        <v>19228</v>
      </c>
      <c r="C1917" s="173" t="s">
        <v>2001</v>
      </c>
      <c r="D1917" s="173" t="s">
        <v>470</v>
      </c>
      <c r="E1917">
        <v>3</v>
      </c>
    </row>
    <row r="1918" spans="1:5" x14ac:dyDescent="0.25">
      <c r="A1918" s="173" t="s">
        <v>468</v>
      </c>
      <c r="B1918">
        <v>19228</v>
      </c>
      <c r="C1918" s="173" t="s">
        <v>2002</v>
      </c>
      <c r="D1918" s="173" t="s">
        <v>470</v>
      </c>
      <c r="E1918">
        <v>3</v>
      </c>
    </row>
    <row r="1919" spans="1:5" x14ac:dyDescent="0.25">
      <c r="A1919" s="173" t="s">
        <v>468</v>
      </c>
      <c r="B1919">
        <v>19228</v>
      </c>
      <c r="C1919" s="173" t="s">
        <v>2003</v>
      </c>
      <c r="D1919" s="173" t="s">
        <v>470</v>
      </c>
      <c r="E1919">
        <v>3</v>
      </c>
    </row>
    <row r="1920" spans="1:5" x14ac:dyDescent="0.25">
      <c r="A1920" s="173" t="s">
        <v>468</v>
      </c>
      <c r="B1920">
        <v>19228</v>
      </c>
      <c r="C1920" s="173" t="s">
        <v>2004</v>
      </c>
      <c r="D1920" s="173" t="s">
        <v>470</v>
      </c>
      <c r="E1920">
        <v>3</v>
      </c>
    </row>
    <row r="1921" spans="1:5" x14ac:dyDescent="0.25">
      <c r="A1921" s="173" t="s">
        <v>468</v>
      </c>
      <c r="B1921">
        <v>19228</v>
      </c>
      <c r="C1921" s="173" t="s">
        <v>2005</v>
      </c>
      <c r="D1921" s="173" t="s">
        <v>470</v>
      </c>
      <c r="E1921">
        <v>4</v>
      </c>
    </row>
    <row r="1922" spans="1:5" x14ac:dyDescent="0.25">
      <c r="A1922" s="173" t="s">
        <v>468</v>
      </c>
      <c r="B1922">
        <v>19228</v>
      </c>
      <c r="C1922" s="173" t="s">
        <v>2006</v>
      </c>
      <c r="D1922" s="173" t="s">
        <v>470</v>
      </c>
      <c r="E1922">
        <v>4</v>
      </c>
    </row>
    <row r="1923" spans="1:5" x14ac:dyDescent="0.25">
      <c r="A1923" s="173" t="s">
        <v>468</v>
      </c>
      <c r="B1923">
        <v>19228</v>
      </c>
      <c r="C1923" s="173" t="s">
        <v>2007</v>
      </c>
      <c r="D1923" s="173" t="s">
        <v>470</v>
      </c>
      <c r="E1923">
        <v>4</v>
      </c>
    </row>
    <row r="1924" spans="1:5" x14ac:dyDescent="0.25">
      <c r="A1924" s="173" t="s">
        <v>468</v>
      </c>
      <c r="B1924">
        <v>19228</v>
      </c>
      <c r="C1924" s="173" t="s">
        <v>2008</v>
      </c>
      <c r="D1924" s="173" t="s">
        <v>470</v>
      </c>
      <c r="E1924">
        <v>4</v>
      </c>
    </row>
    <row r="1925" spans="1:5" x14ac:dyDescent="0.25">
      <c r="A1925" s="173" t="s">
        <v>468</v>
      </c>
      <c r="B1925">
        <v>19228</v>
      </c>
      <c r="C1925" s="173" t="s">
        <v>2009</v>
      </c>
      <c r="D1925" s="173" t="s">
        <v>470</v>
      </c>
      <c r="E1925">
        <v>4</v>
      </c>
    </row>
    <row r="1926" spans="1:5" x14ac:dyDescent="0.25">
      <c r="A1926" s="173" t="s">
        <v>468</v>
      </c>
      <c r="B1926">
        <v>19228</v>
      </c>
      <c r="C1926" s="173" t="s">
        <v>2010</v>
      </c>
      <c r="D1926" s="173" t="s">
        <v>470</v>
      </c>
      <c r="E1926">
        <v>4</v>
      </c>
    </row>
    <row r="1927" spans="1:5" x14ac:dyDescent="0.25">
      <c r="A1927" s="173" t="s">
        <v>468</v>
      </c>
      <c r="B1927">
        <v>19228</v>
      </c>
      <c r="C1927" s="173" t="s">
        <v>2011</v>
      </c>
      <c r="D1927" s="173" t="s">
        <v>470</v>
      </c>
      <c r="E1927">
        <v>4</v>
      </c>
    </row>
    <row r="1928" spans="1:5" x14ac:dyDescent="0.25">
      <c r="A1928" s="173" t="s">
        <v>468</v>
      </c>
      <c r="B1928">
        <v>19228</v>
      </c>
      <c r="C1928" s="173" t="s">
        <v>419</v>
      </c>
      <c r="D1928" s="173" t="s">
        <v>470</v>
      </c>
      <c r="E1928">
        <v>3</v>
      </c>
    </row>
    <row r="1929" spans="1:5" x14ac:dyDescent="0.25">
      <c r="A1929" s="173" t="s">
        <v>468</v>
      </c>
      <c r="B1929">
        <v>19228</v>
      </c>
      <c r="C1929" s="173" t="s">
        <v>2012</v>
      </c>
      <c r="D1929" s="173" t="s">
        <v>470</v>
      </c>
      <c r="E1929">
        <v>4</v>
      </c>
    </row>
    <row r="1930" spans="1:5" hidden="1" x14ac:dyDescent="0.25">
      <c r="A1930" s="173" t="s">
        <v>1668</v>
      </c>
      <c r="B1930">
        <v>19276</v>
      </c>
      <c r="C1930" s="173" t="s">
        <v>2013</v>
      </c>
      <c r="D1930" s="173" t="s">
        <v>470</v>
      </c>
      <c r="E1930">
        <v>1</v>
      </c>
    </row>
    <row r="1931" spans="1:5" hidden="1" x14ac:dyDescent="0.25">
      <c r="A1931" s="173" t="s">
        <v>1668</v>
      </c>
      <c r="B1931">
        <v>19276</v>
      </c>
      <c r="C1931" s="173" t="s">
        <v>2014</v>
      </c>
      <c r="D1931" s="173" t="s">
        <v>470</v>
      </c>
      <c r="E1931">
        <v>1</v>
      </c>
    </row>
    <row r="1932" spans="1:5" hidden="1" x14ac:dyDescent="0.25">
      <c r="A1932" s="173" t="s">
        <v>1668</v>
      </c>
      <c r="B1932">
        <v>19276</v>
      </c>
      <c r="C1932" s="173" t="s">
        <v>2015</v>
      </c>
      <c r="D1932" s="173" t="s">
        <v>470</v>
      </c>
      <c r="E1932">
        <v>1</v>
      </c>
    </row>
    <row r="1933" spans="1:5" hidden="1" x14ac:dyDescent="0.25">
      <c r="A1933" s="173" t="s">
        <v>1668</v>
      </c>
      <c r="B1933">
        <v>19276</v>
      </c>
      <c r="C1933" s="173" t="s">
        <v>2016</v>
      </c>
      <c r="D1933" s="173" t="s">
        <v>470</v>
      </c>
      <c r="E1933">
        <v>1</v>
      </c>
    </row>
    <row r="1934" spans="1:5" hidden="1" x14ac:dyDescent="0.25">
      <c r="A1934" s="173" t="s">
        <v>1668</v>
      </c>
      <c r="B1934">
        <v>19276</v>
      </c>
      <c r="C1934" s="173" t="s">
        <v>2017</v>
      </c>
      <c r="D1934" s="173" t="s">
        <v>470</v>
      </c>
      <c r="E1934">
        <v>1</v>
      </c>
    </row>
    <row r="1935" spans="1:5" hidden="1" x14ac:dyDescent="0.25">
      <c r="A1935" s="173" t="s">
        <v>1668</v>
      </c>
      <c r="B1935">
        <v>19276</v>
      </c>
      <c r="C1935" s="173" t="s">
        <v>2018</v>
      </c>
      <c r="D1935" s="173" t="s">
        <v>470</v>
      </c>
      <c r="E1935">
        <v>1</v>
      </c>
    </row>
    <row r="1936" spans="1:5" x14ac:dyDescent="0.25">
      <c r="A1936" s="173" t="s">
        <v>468</v>
      </c>
      <c r="B1936">
        <v>19290</v>
      </c>
      <c r="C1936" s="173" t="s">
        <v>2019</v>
      </c>
      <c r="D1936" s="173" t="s">
        <v>470</v>
      </c>
      <c r="E1936">
        <v>2</v>
      </c>
    </row>
    <row r="1937" spans="1:5" x14ac:dyDescent="0.25">
      <c r="A1937" s="173" t="s">
        <v>468</v>
      </c>
      <c r="B1937">
        <v>19290</v>
      </c>
      <c r="C1937" s="173" t="s">
        <v>2020</v>
      </c>
      <c r="D1937" s="173" t="s">
        <v>470</v>
      </c>
      <c r="E1937">
        <v>2</v>
      </c>
    </row>
    <row r="1938" spans="1:5" x14ac:dyDescent="0.25">
      <c r="A1938" s="173" t="s">
        <v>468</v>
      </c>
      <c r="B1938">
        <v>19290</v>
      </c>
      <c r="C1938" s="173" t="s">
        <v>2021</v>
      </c>
      <c r="D1938" s="173" t="s">
        <v>470</v>
      </c>
      <c r="E1938">
        <v>2</v>
      </c>
    </row>
    <row r="1939" spans="1:5" x14ac:dyDescent="0.25">
      <c r="A1939" s="173" t="s">
        <v>468</v>
      </c>
      <c r="B1939">
        <v>19290</v>
      </c>
      <c r="C1939" s="173" t="s">
        <v>2022</v>
      </c>
      <c r="D1939" s="173" t="s">
        <v>470</v>
      </c>
      <c r="E1939">
        <v>2</v>
      </c>
    </row>
    <row r="1940" spans="1:5" x14ac:dyDescent="0.25">
      <c r="A1940" s="173" t="s">
        <v>468</v>
      </c>
      <c r="B1940">
        <v>19290</v>
      </c>
      <c r="C1940" s="173" t="s">
        <v>2023</v>
      </c>
      <c r="D1940" s="173" t="s">
        <v>470</v>
      </c>
      <c r="E1940">
        <v>2</v>
      </c>
    </row>
    <row r="1941" spans="1:5" x14ac:dyDescent="0.25">
      <c r="A1941" s="173" t="s">
        <v>468</v>
      </c>
      <c r="B1941">
        <v>19290</v>
      </c>
      <c r="C1941" s="173" t="s">
        <v>2024</v>
      </c>
      <c r="D1941" s="173" t="s">
        <v>470</v>
      </c>
      <c r="E1941">
        <v>2</v>
      </c>
    </row>
    <row r="1942" spans="1:5" x14ac:dyDescent="0.25">
      <c r="A1942" s="173" t="s">
        <v>468</v>
      </c>
      <c r="B1942">
        <v>19290</v>
      </c>
      <c r="C1942" s="173" t="s">
        <v>2025</v>
      </c>
      <c r="D1942" s="173" t="s">
        <v>470</v>
      </c>
      <c r="E1942">
        <v>2</v>
      </c>
    </row>
    <row r="1943" spans="1:5" x14ac:dyDescent="0.25">
      <c r="A1943" s="173" t="s">
        <v>468</v>
      </c>
      <c r="B1943">
        <v>19290</v>
      </c>
      <c r="C1943" s="173" t="s">
        <v>2026</v>
      </c>
      <c r="D1943" s="173" t="s">
        <v>470</v>
      </c>
      <c r="E1943">
        <v>1</v>
      </c>
    </row>
    <row r="1944" spans="1:5" x14ac:dyDescent="0.25">
      <c r="A1944" s="173" t="s">
        <v>468</v>
      </c>
      <c r="B1944">
        <v>19290</v>
      </c>
      <c r="C1944" s="173" t="s">
        <v>2027</v>
      </c>
      <c r="D1944" s="173" t="s">
        <v>470</v>
      </c>
      <c r="E1944">
        <v>1</v>
      </c>
    </row>
    <row r="1945" spans="1:5" x14ac:dyDescent="0.25">
      <c r="A1945" s="173" t="s">
        <v>468</v>
      </c>
      <c r="B1945">
        <v>19290</v>
      </c>
      <c r="C1945" s="173" t="s">
        <v>2028</v>
      </c>
      <c r="D1945" s="173" t="s">
        <v>470</v>
      </c>
      <c r="E1945">
        <v>1</v>
      </c>
    </row>
    <row r="1946" spans="1:5" x14ac:dyDescent="0.25">
      <c r="A1946" s="173" t="s">
        <v>468</v>
      </c>
      <c r="B1946">
        <v>19290</v>
      </c>
      <c r="C1946" s="173" t="s">
        <v>2029</v>
      </c>
      <c r="D1946" s="173" t="s">
        <v>470</v>
      </c>
      <c r="E1946">
        <v>1</v>
      </c>
    </row>
    <row r="1947" spans="1:5" x14ac:dyDescent="0.25">
      <c r="A1947" s="173" t="s">
        <v>468</v>
      </c>
      <c r="B1947">
        <v>19290</v>
      </c>
      <c r="C1947" s="173" t="s">
        <v>2030</v>
      </c>
      <c r="D1947" s="173" t="s">
        <v>470</v>
      </c>
      <c r="E1947">
        <v>1</v>
      </c>
    </row>
    <row r="1948" spans="1:5" x14ac:dyDescent="0.25">
      <c r="A1948" s="173" t="s">
        <v>468</v>
      </c>
      <c r="B1948">
        <v>19290</v>
      </c>
      <c r="C1948" s="173" t="s">
        <v>2031</v>
      </c>
      <c r="D1948" s="173" t="s">
        <v>470</v>
      </c>
      <c r="E1948">
        <v>1</v>
      </c>
    </row>
    <row r="1949" spans="1:5" x14ac:dyDescent="0.25">
      <c r="A1949" s="173" t="s">
        <v>468</v>
      </c>
      <c r="B1949">
        <v>19290</v>
      </c>
      <c r="C1949" s="173" t="s">
        <v>2032</v>
      </c>
      <c r="D1949" s="173" t="s">
        <v>470</v>
      </c>
      <c r="E1949">
        <v>1</v>
      </c>
    </row>
    <row r="1950" spans="1:5" x14ac:dyDescent="0.25">
      <c r="A1950" s="173" t="s">
        <v>468</v>
      </c>
      <c r="B1950">
        <v>19290</v>
      </c>
      <c r="C1950" s="173" t="s">
        <v>2033</v>
      </c>
      <c r="D1950" s="173" t="s">
        <v>470</v>
      </c>
      <c r="E1950">
        <v>1</v>
      </c>
    </row>
    <row r="1951" spans="1:5" x14ac:dyDescent="0.25">
      <c r="A1951" s="173" t="s">
        <v>468</v>
      </c>
      <c r="B1951">
        <v>19290</v>
      </c>
      <c r="C1951" s="173" t="s">
        <v>3521</v>
      </c>
      <c r="D1951" s="173" t="s">
        <v>470</v>
      </c>
      <c r="E1951">
        <v>1</v>
      </c>
    </row>
    <row r="1952" spans="1:5" hidden="1" x14ac:dyDescent="0.25">
      <c r="A1952" s="173" t="s">
        <v>804</v>
      </c>
      <c r="B1952">
        <v>19313</v>
      </c>
      <c r="C1952" s="173" t="s">
        <v>2034</v>
      </c>
      <c r="D1952" s="173" t="s">
        <v>470</v>
      </c>
      <c r="E1952">
        <v>3</v>
      </c>
    </row>
    <row r="1953" spans="1:5" hidden="1" x14ac:dyDescent="0.25">
      <c r="A1953" s="173" t="s">
        <v>804</v>
      </c>
      <c r="B1953">
        <v>19313</v>
      </c>
      <c r="C1953" s="173" t="s">
        <v>2035</v>
      </c>
      <c r="D1953" s="173" t="s">
        <v>470</v>
      </c>
      <c r="E1953">
        <v>3</v>
      </c>
    </row>
    <row r="1954" spans="1:5" hidden="1" x14ac:dyDescent="0.25">
      <c r="A1954" s="173" t="s">
        <v>804</v>
      </c>
      <c r="B1954">
        <v>19313</v>
      </c>
      <c r="C1954" s="173" t="s">
        <v>2036</v>
      </c>
      <c r="D1954" s="173" t="s">
        <v>470</v>
      </c>
      <c r="E1954">
        <v>3</v>
      </c>
    </row>
    <row r="1955" spans="1:5" hidden="1" x14ac:dyDescent="0.25">
      <c r="A1955" s="173" t="s">
        <v>804</v>
      </c>
      <c r="B1955">
        <v>19313</v>
      </c>
      <c r="C1955" s="173" t="s">
        <v>2037</v>
      </c>
      <c r="D1955" s="173" t="s">
        <v>470</v>
      </c>
      <c r="E1955">
        <v>5</v>
      </c>
    </row>
    <row r="1956" spans="1:5" hidden="1" x14ac:dyDescent="0.25">
      <c r="A1956" s="173" t="s">
        <v>804</v>
      </c>
      <c r="B1956">
        <v>19313</v>
      </c>
      <c r="C1956" s="173" t="s">
        <v>2038</v>
      </c>
      <c r="D1956" s="173" t="s">
        <v>470</v>
      </c>
      <c r="E1956">
        <v>5</v>
      </c>
    </row>
    <row r="1957" spans="1:5" hidden="1" x14ac:dyDescent="0.25">
      <c r="A1957" s="173" t="s">
        <v>804</v>
      </c>
      <c r="B1957">
        <v>19313</v>
      </c>
      <c r="C1957" s="173" t="s">
        <v>2039</v>
      </c>
      <c r="D1957" s="173" t="s">
        <v>470</v>
      </c>
      <c r="E1957">
        <v>5</v>
      </c>
    </row>
    <row r="1958" spans="1:5" hidden="1" x14ac:dyDescent="0.25">
      <c r="A1958" s="173" t="s">
        <v>804</v>
      </c>
      <c r="B1958">
        <v>19313</v>
      </c>
      <c r="C1958" s="173" t="s">
        <v>2040</v>
      </c>
      <c r="D1958" s="173" t="s">
        <v>470</v>
      </c>
      <c r="E1958">
        <v>5</v>
      </c>
    </row>
    <row r="1959" spans="1:5" hidden="1" x14ac:dyDescent="0.25">
      <c r="A1959" s="173" t="s">
        <v>804</v>
      </c>
      <c r="B1959">
        <v>19313</v>
      </c>
      <c r="C1959" s="173" t="s">
        <v>2041</v>
      </c>
      <c r="D1959" s="173" t="s">
        <v>470</v>
      </c>
      <c r="E1959">
        <v>5</v>
      </c>
    </row>
    <row r="1960" spans="1:5" hidden="1" x14ac:dyDescent="0.25">
      <c r="A1960" s="173" t="s">
        <v>804</v>
      </c>
      <c r="B1960">
        <v>19313</v>
      </c>
      <c r="C1960" s="173" t="s">
        <v>2042</v>
      </c>
      <c r="D1960" s="173" t="s">
        <v>470</v>
      </c>
      <c r="E1960">
        <v>5</v>
      </c>
    </row>
    <row r="1961" spans="1:5" hidden="1" x14ac:dyDescent="0.25">
      <c r="A1961" s="173" t="s">
        <v>804</v>
      </c>
      <c r="B1961">
        <v>19313</v>
      </c>
      <c r="C1961" s="173" t="s">
        <v>2043</v>
      </c>
      <c r="D1961" s="173" t="s">
        <v>470</v>
      </c>
      <c r="E1961">
        <v>5</v>
      </c>
    </row>
    <row r="1962" spans="1:5" hidden="1" x14ac:dyDescent="0.25">
      <c r="A1962" s="173" t="s">
        <v>804</v>
      </c>
      <c r="B1962">
        <v>19313</v>
      </c>
      <c r="C1962" s="173" t="s">
        <v>2044</v>
      </c>
      <c r="D1962" s="173" t="s">
        <v>470</v>
      </c>
      <c r="E1962">
        <v>5</v>
      </c>
    </row>
    <row r="1963" spans="1:5" hidden="1" x14ac:dyDescent="0.25">
      <c r="A1963" s="173" t="s">
        <v>804</v>
      </c>
      <c r="B1963">
        <v>19313</v>
      </c>
      <c r="C1963" s="173" t="s">
        <v>2045</v>
      </c>
      <c r="D1963" s="173" t="s">
        <v>470</v>
      </c>
      <c r="E1963">
        <v>5</v>
      </c>
    </row>
    <row r="1964" spans="1:5" hidden="1" x14ac:dyDescent="0.25">
      <c r="A1964" s="173" t="s">
        <v>804</v>
      </c>
      <c r="B1964">
        <v>19314</v>
      </c>
      <c r="C1964" s="173" t="s">
        <v>2046</v>
      </c>
      <c r="D1964" s="173" t="s">
        <v>517</v>
      </c>
      <c r="E1964">
        <v>1</v>
      </c>
    </row>
    <row r="1965" spans="1:5" hidden="1" x14ac:dyDescent="0.25">
      <c r="A1965" s="173" t="s">
        <v>804</v>
      </c>
      <c r="B1965">
        <v>19314</v>
      </c>
      <c r="C1965" s="173" t="s">
        <v>2046</v>
      </c>
      <c r="D1965" s="173" t="s">
        <v>470</v>
      </c>
      <c r="E1965">
        <v>1</v>
      </c>
    </row>
    <row r="1966" spans="1:5" hidden="1" x14ac:dyDescent="0.25">
      <c r="A1966" s="173" t="s">
        <v>804</v>
      </c>
      <c r="B1966">
        <v>19314</v>
      </c>
      <c r="C1966" s="173" t="s">
        <v>2047</v>
      </c>
      <c r="D1966" s="173" t="s">
        <v>470</v>
      </c>
      <c r="E1966">
        <v>1</v>
      </c>
    </row>
    <row r="1967" spans="1:5" hidden="1" x14ac:dyDescent="0.25">
      <c r="A1967" s="173" t="s">
        <v>804</v>
      </c>
      <c r="B1967">
        <v>19314</v>
      </c>
      <c r="C1967" s="173" t="s">
        <v>2047</v>
      </c>
      <c r="D1967" s="173" t="s">
        <v>517</v>
      </c>
      <c r="E1967">
        <v>1</v>
      </c>
    </row>
    <row r="1968" spans="1:5" hidden="1" x14ac:dyDescent="0.25">
      <c r="A1968" s="173" t="s">
        <v>804</v>
      </c>
      <c r="B1968">
        <v>19314</v>
      </c>
      <c r="C1968" s="173" t="s">
        <v>2048</v>
      </c>
      <c r="D1968" s="173" t="s">
        <v>470</v>
      </c>
      <c r="E1968">
        <v>1</v>
      </c>
    </row>
    <row r="1969" spans="1:5" hidden="1" x14ac:dyDescent="0.25">
      <c r="A1969" s="173" t="s">
        <v>804</v>
      </c>
      <c r="B1969">
        <v>19314</v>
      </c>
      <c r="C1969" s="173" t="s">
        <v>2048</v>
      </c>
      <c r="D1969" s="173" t="s">
        <v>517</v>
      </c>
      <c r="E1969">
        <v>1</v>
      </c>
    </row>
    <row r="1970" spans="1:5" hidden="1" x14ac:dyDescent="0.25">
      <c r="A1970" s="173" t="s">
        <v>804</v>
      </c>
      <c r="B1970">
        <v>19314</v>
      </c>
      <c r="C1970" s="173" t="s">
        <v>2049</v>
      </c>
      <c r="D1970" s="173" t="s">
        <v>517</v>
      </c>
      <c r="E1970">
        <v>1</v>
      </c>
    </row>
    <row r="1971" spans="1:5" hidden="1" x14ac:dyDescent="0.25">
      <c r="A1971" s="173" t="s">
        <v>804</v>
      </c>
      <c r="B1971">
        <v>19314</v>
      </c>
      <c r="C1971" s="173" t="s">
        <v>2049</v>
      </c>
      <c r="D1971" s="173" t="s">
        <v>470</v>
      </c>
      <c r="E1971">
        <v>1</v>
      </c>
    </row>
    <row r="1972" spans="1:5" hidden="1" x14ac:dyDescent="0.25">
      <c r="A1972" s="173" t="s">
        <v>804</v>
      </c>
      <c r="B1972">
        <v>19314</v>
      </c>
      <c r="C1972" s="173" t="s">
        <v>2050</v>
      </c>
      <c r="D1972" s="173" t="s">
        <v>517</v>
      </c>
      <c r="E1972">
        <v>1</v>
      </c>
    </row>
    <row r="1973" spans="1:5" hidden="1" x14ac:dyDescent="0.25">
      <c r="A1973" s="173" t="s">
        <v>804</v>
      </c>
      <c r="B1973">
        <v>19314</v>
      </c>
      <c r="C1973" s="173" t="s">
        <v>2050</v>
      </c>
      <c r="D1973" s="173" t="s">
        <v>470</v>
      </c>
      <c r="E1973">
        <v>1</v>
      </c>
    </row>
    <row r="1974" spans="1:5" hidden="1" x14ac:dyDescent="0.25">
      <c r="A1974" s="173" t="s">
        <v>804</v>
      </c>
      <c r="B1974">
        <v>19314</v>
      </c>
      <c r="C1974" s="173" t="s">
        <v>2051</v>
      </c>
      <c r="D1974" s="173" t="s">
        <v>470</v>
      </c>
      <c r="E1974">
        <v>1</v>
      </c>
    </row>
    <row r="1975" spans="1:5" hidden="1" x14ac:dyDescent="0.25">
      <c r="A1975" s="173" t="s">
        <v>804</v>
      </c>
      <c r="B1975">
        <v>19314</v>
      </c>
      <c r="C1975" s="173" t="s">
        <v>2051</v>
      </c>
      <c r="D1975" s="173" t="s">
        <v>517</v>
      </c>
      <c r="E1975">
        <v>1</v>
      </c>
    </row>
    <row r="1976" spans="1:5" hidden="1" x14ac:dyDescent="0.25">
      <c r="A1976" s="173" t="s">
        <v>804</v>
      </c>
      <c r="B1976">
        <v>19314</v>
      </c>
      <c r="C1976" s="173" t="s">
        <v>2052</v>
      </c>
      <c r="D1976" s="173" t="s">
        <v>517</v>
      </c>
      <c r="E1976">
        <v>1</v>
      </c>
    </row>
    <row r="1977" spans="1:5" hidden="1" x14ac:dyDescent="0.25">
      <c r="A1977" s="173" t="s">
        <v>804</v>
      </c>
      <c r="B1977">
        <v>19314</v>
      </c>
      <c r="C1977" s="173" t="s">
        <v>2052</v>
      </c>
      <c r="D1977" s="173" t="s">
        <v>470</v>
      </c>
      <c r="E1977">
        <v>1</v>
      </c>
    </row>
    <row r="1978" spans="1:5" hidden="1" x14ac:dyDescent="0.25">
      <c r="A1978" s="173" t="s">
        <v>804</v>
      </c>
      <c r="B1978">
        <v>19316</v>
      </c>
      <c r="C1978" s="173" t="s">
        <v>2053</v>
      </c>
      <c r="D1978" s="173" t="s">
        <v>517</v>
      </c>
      <c r="E1978">
        <v>1</v>
      </c>
    </row>
    <row r="1979" spans="1:5" hidden="1" x14ac:dyDescent="0.25">
      <c r="A1979" s="173" t="s">
        <v>804</v>
      </c>
      <c r="B1979">
        <v>19316</v>
      </c>
      <c r="C1979" s="173" t="s">
        <v>2053</v>
      </c>
      <c r="D1979" s="173" t="s">
        <v>470</v>
      </c>
      <c r="E1979">
        <v>1</v>
      </c>
    </row>
    <row r="1980" spans="1:5" hidden="1" x14ac:dyDescent="0.25">
      <c r="A1980" s="173" t="s">
        <v>804</v>
      </c>
      <c r="B1980">
        <v>19316</v>
      </c>
      <c r="C1980" s="173" t="s">
        <v>2054</v>
      </c>
      <c r="D1980" s="173" t="s">
        <v>470</v>
      </c>
      <c r="E1980">
        <v>1</v>
      </c>
    </row>
    <row r="1981" spans="1:5" hidden="1" x14ac:dyDescent="0.25">
      <c r="A1981" s="173" t="s">
        <v>804</v>
      </c>
      <c r="B1981">
        <v>19316</v>
      </c>
      <c r="C1981" s="173" t="s">
        <v>2054</v>
      </c>
      <c r="D1981" s="173" t="s">
        <v>517</v>
      </c>
      <c r="E1981">
        <v>1</v>
      </c>
    </row>
    <row r="1982" spans="1:5" hidden="1" x14ac:dyDescent="0.25">
      <c r="A1982" s="173" t="s">
        <v>804</v>
      </c>
      <c r="B1982">
        <v>19316</v>
      </c>
      <c r="C1982" s="173" t="s">
        <v>2055</v>
      </c>
      <c r="D1982" s="173" t="s">
        <v>517</v>
      </c>
      <c r="E1982">
        <v>1</v>
      </c>
    </row>
    <row r="1983" spans="1:5" hidden="1" x14ac:dyDescent="0.25">
      <c r="A1983" s="173" t="s">
        <v>804</v>
      </c>
      <c r="B1983">
        <v>19316</v>
      </c>
      <c r="C1983" s="173" t="s">
        <v>2055</v>
      </c>
      <c r="D1983" s="173" t="s">
        <v>470</v>
      </c>
      <c r="E1983">
        <v>1</v>
      </c>
    </row>
    <row r="1984" spans="1:5" hidden="1" x14ac:dyDescent="0.25">
      <c r="A1984" s="173" t="s">
        <v>804</v>
      </c>
      <c r="B1984">
        <v>19316</v>
      </c>
      <c r="C1984" s="173" t="s">
        <v>2056</v>
      </c>
      <c r="D1984" s="173" t="s">
        <v>470</v>
      </c>
      <c r="E1984">
        <v>1</v>
      </c>
    </row>
    <row r="1985" spans="1:5" hidden="1" x14ac:dyDescent="0.25">
      <c r="A1985" s="173" t="s">
        <v>804</v>
      </c>
      <c r="B1985">
        <v>19316</v>
      </c>
      <c r="C1985" s="173" t="s">
        <v>2056</v>
      </c>
      <c r="D1985" s="173" t="s">
        <v>517</v>
      </c>
      <c r="E1985">
        <v>1</v>
      </c>
    </row>
    <row r="1986" spans="1:5" hidden="1" x14ac:dyDescent="0.25">
      <c r="A1986" s="173" t="s">
        <v>804</v>
      </c>
      <c r="B1986">
        <v>19316</v>
      </c>
      <c r="C1986" s="173" t="s">
        <v>2057</v>
      </c>
      <c r="D1986" s="173" t="s">
        <v>517</v>
      </c>
      <c r="E1986">
        <v>1</v>
      </c>
    </row>
    <row r="1987" spans="1:5" hidden="1" x14ac:dyDescent="0.25">
      <c r="A1987" s="173" t="s">
        <v>804</v>
      </c>
      <c r="B1987">
        <v>19316</v>
      </c>
      <c r="C1987" s="173" t="s">
        <v>2057</v>
      </c>
      <c r="D1987" s="173" t="s">
        <v>470</v>
      </c>
      <c r="E1987">
        <v>1</v>
      </c>
    </row>
    <row r="1988" spans="1:5" hidden="1" x14ac:dyDescent="0.25">
      <c r="A1988" s="173" t="s">
        <v>804</v>
      </c>
      <c r="B1988">
        <v>19316</v>
      </c>
      <c r="C1988" s="173" t="s">
        <v>2058</v>
      </c>
      <c r="D1988" s="173" t="s">
        <v>470</v>
      </c>
      <c r="E1988">
        <v>1</v>
      </c>
    </row>
    <row r="1989" spans="1:5" hidden="1" x14ac:dyDescent="0.25">
      <c r="A1989" s="173" t="s">
        <v>804</v>
      </c>
      <c r="B1989">
        <v>19316</v>
      </c>
      <c r="C1989" s="173" t="s">
        <v>2058</v>
      </c>
      <c r="D1989" s="173" t="s">
        <v>517</v>
      </c>
      <c r="E1989">
        <v>1</v>
      </c>
    </row>
    <row r="1990" spans="1:5" hidden="1" x14ac:dyDescent="0.25">
      <c r="A1990" s="173" t="s">
        <v>804</v>
      </c>
      <c r="B1990">
        <v>19316</v>
      </c>
      <c r="C1990" s="173" t="s">
        <v>2059</v>
      </c>
      <c r="D1990" s="173" t="s">
        <v>470</v>
      </c>
      <c r="E1990">
        <v>1</v>
      </c>
    </row>
    <row r="1991" spans="1:5" hidden="1" x14ac:dyDescent="0.25">
      <c r="A1991" s="173" t="s">
        <v>804</v>
      </c>
      <c r="B1991">
        <v>19316</v>
      </c>
      <c r="C1991" s="173" t="s">
        <v>2059</v>
      </c>
      <c r="D1991" s="173" t="s">
        <v>517</v>
      </c>
      <c r="E1991">
        <v>1</v>
      </c>
    </row>
    <row r="1992" spans="1:5" hidden="1" x14ac:dyDescent="0.25">
      <c r="A1992" s="173" t="s">
        <v>804</v>
      </c>
      <c r="B1992">
        <v>19334</v>
      </c>
      <c r="C1992" s="173" t="s">
        <v>3682</v>
      </c>
      <c r="D1992" s="173" t="s">
        <v>470</v>
      </c>
      <c r="E1992">
        <v>5</v>
      </c>
    </row>
    <row r="1993" spans="1:5" hidden="1" x14ac:dyDescent="0.25">
      <c r="A1993" s="173" t="s">
        <v>804</v>
      </c>
      <c r="B1993">
        <v>19334</v>
      </c>
      <c r="C1993" s="173" t="s">
        <v>3683</v>
      </c>
      <c r="D1993" s="173" t="s">
        <v>470</v>
      </c>
      <c r="E1993">
        <v>5</v>
      </c>
    </row>
    <row r="1994" spans="1:5" hidden="1" x14ac:dyDescent="0.25">
      <c r="A1994" s="173" t="s">
        <v>804</v>
      </c>
      <c r="B1994">
        <v>19334</v>
      </c>
      <c r="C1994" s="173" t="s">
        <v>3684</v>
      </c>
      <c r="D1994" s="173" t="s">
        <v>470</v>
      </c>
      <c r="E1994">
        <v>6</v>
      </c>
    </row>
    <row r="1995" spans="1:5" hidden="1" x14ac:dyDescent="0.25">
      <c r="A1995" s="173" t="s">
        <v>804</v>
      </c>
      <c r="B1995">
        <v>19334</v>
      </c>
      <c r="C1995" s="173" t="s">
        <v>3685</v>
      </c>
      <c r="D1995" s="173" t="s">
        <v>470</v>
      </c>
      <c r="E1995">
        <v>5</v>
      </c>
    </row>
    <row r="1996" spans="1:5" hidden="1" x14ac:dyDescent="0.25">
      <c r="A1996" s="173" t="s">
        <v>804</v>
      </c>
      <c r="B1996">
        <v>19334</v>
      </c>
      <c r="C1996" s="173" t="s">
        <v>3686</v>
      </c>
      <c r="D1996" s="173" t="s">
        <v>470</v>
      </c>
      <c r="E1996">
        <v>5</v>
      </c>
    </row>
    <row r="1997" spans="1:5" hidden="1" x14ac:dyDescent="0.25">
      <c r="A1997" s="173" t="s">
        <v>804</v>
      </c>
      <c r="B1997">
        <v>19334</v>
      </c>
      <c r="C1997" s="173" t="s">
        <v>3687</v>
      </c>
      <c r="D1997" s="173" t="s">
        <v>470</v>
      </c>
      <c r="E1997">
        <v>5</v>
      </c>
    </row>
    <row r="1998" spans="1:5" hidden="1" x14ac:dyDescent="0.25">
      <c r="A1998" s="173" t="s">
        <v>804</v>
      </c>
      <c r="B1998">
        <v>19334</v>
      </c>
      <c r="C1998" s="173" t="s">
        <v>3688</v>
      </c>
      <c r="D1998" s="173" t="s">
        <v>470</v>
      </c>
      <c r="E1998">
        <v>5</v>
      </c>
    </row>
    <row r="1999" spans="1:5" hidden="1" x14ac:dyDescent="0.25">
      <c r="A1999" s="173" t="s">
        <v>804</v>
      </c>
      <c r="B1999">
        <v>19334</v>
      </c>
      <c r="C1999" s="173" t="s">
        <v>3689</v>
      </c>
      <c r="D1999" s="173" t="s">
        <v>470</v>
      </c>
      <c r="E1999">
        <v>5</v>
      </c>
    </row>
    <row r="2000" spans="1:5" hidden="1" x14ac:dyDescent="0.25">
      <c r="A2000" s="173" t="s">
        <v>804</v>
      </c>
      <c r="B2000">
        <v>19334</v>
      </c>
      <c r="C2000" s="173" t="s">
        <v>3690</v>
      </c>
      <c r="D2000" s="173" t="s">
        <v>470</v>
      </c>
      <c r="E2000">
        <v>5</v>
      </c>
    </row>
    <row r="2001" spans="1:5" hidden="1" x14ac:dyDescent="0.25">
      <c r="A2001" s="173" t="s">
        <v>804</v>
      </c>
      <c r="B2001">
        <v>19334</v>
      </c>
      <c r="C2001" s="173" t="s">
        <v>3691</v>
      </c>
      <c r="D2001" s="173" t="s">
        <v>470</v>
      </c>
      <c r="E2001">
        <v>5</v>
      </c>
    </row>
    <row r="2002" spans="1:5" hidden="1" x14ac:dyDescent="0.25">
      <c r="A2002" s="173" t="s">
        <v>804</v>
      </c>
      <c r="B2002">
        <v>19334</v>
      </c>
      <c r="C2002" s="173" t="s">
        <v>3692</v>
      </c>
      <c r="D2002" s="173" t="s">
        <v>470</v>
      </c>
      <c r="E2002">
        <v>5</v>
      </c>
    </row>
    <row r="2003" spans="1:5" hidden="1" x14ac:dyDescent="0.25">
      <c r="A2003" s="173" t="s">
        <v>804</v>
      </c>
      <c r="B2003">
        <v>19364</v>
      </c>
      <c r="C2003" s="173" t="s">
        <v>2060</v>
      </c>
      <c r="D2003" s="173" t="s">
        <v>470</v>
      </c>
      <c r="E2003">
        <v>1</v>
      </c>
    </row>
    <row r="2004" spans="1:5" hidden="1" x14ac:dyDescent="0.25">
      <c r="A2004" s="173" t="s">
        <v>804</v>
      </c>
      <c r="B2004">
        <v>19364</v>
      </c>
      <c r="C2004" s="173" t="s">
        <v>2061</v>
      </c>
      <c r="D2004" s="173" t="s">
        <v>470</v>
      </c>
      <c r="E2004">
        <v>1</v>
      </c>
    </row>
    <row r="2005" spans="1:5" hidden="1" x14ac:dyDescent="0.25">
      <c r="A2005" s="173" t="s">
        <v>804</v>
      </c>
      <c r="B2005">
        <v>19364</v>
      </c>
      <c r="C2005" s="173" t="s">
        <v>2062</v>
      </c>
      <c r="D2005" s="173" t="s">
        <v>470</v>
      </c>
      <c r="E2005">
        <v>1</v>
      </c>
    </row>
    <row r="2006" spans="1:5" hidden="1" x14ac:dyDescent="0.25">
      <c r="A2006" s="173" t="s">
        <v>804</v>
      </c>
      <c r="B2006">
        <v>19364</v>
      </c>
      <c r="C2006" s="173" t="s">
        <v>2063</v>
      </c>
      <c r="D2006" s="173" t="s">
        <v>470</v>
      </c>
      <c r="E2006">
        <v>1</v>
      </c>
    </row>
    <row r="2007" spans="1:5" hidden="1" x14ac:dyDescent="0.25">
      <c r="A2007" s="173" t="s">
        <v>804</v>
      </c>
      <c r="B2007">
        <v>19364</v>
      </c>
      <c r="C2007" s="173" t="s">
        <v>2064</v>
      </c>
      <c r="D2007" s="173" t="s">
        <v>470</v>
      </c>
      <c r="E2007">
        <v>1</v>
      </c>
    </row>
    <row r="2008" spans="1:5" hidden="1" x14ac:dyDescent="0.25">
      <c r="A2008" s="173" t="s">
        <v>804</v>
      </c>
      <c r="B2008">
        <v>19364</v>
      </c>
      <c r="C2008" s="173" t="s">
        <v>2065</v>
      </c>
      <c r="D2008" s="173" t="s">
        <v>470</v>
      </c>
      <c r="E2008">
        <v>1</v>
      </c>
    </row>
    <row r="2009" spans="1:5" hidden="1" x14ac:dyDescent="0.25">
      <c r="A2009" s="173" t="s">
        <v>804</v>
      </c>
      <c r="B2009">
        <v>19364</v>
      </c>
      <c r="C2009" s="173" t="s">
        <v>2066</v>
      </c>
      <c r="D2009" s="173" t="s">
        <v>470</v>
      </c>
      <c r="E2009">
        <v>1</v>
      </c>
    </row>
    <row r="2010" spans="1:5" hidden="1" x14ac:dyDescent="0.25">
      <c r="A2010" s="173" t="s">
        <v>804</v>
      </c>
      <c r="B2010">
        <v>19364</v>
      </c>
      <c r="C2010" s="173" t="s">
        <v>2067</v>
      </c>
      <c r="D2010" s="173" t="s">
        <v>470</v>
      </c>
      <c r="E2010">
        <v>1</v>
      </c>
    </row>
    <row r="2011" spans="1:5" hidden="1" x14ac:dyDescent="0.25">
      <c r="A2011" s="173" t="s">
        <v>804</v>
      </c>
      <c r="B2011">
        <v>19364</v>
      </c>
      <c r="C2011" s="173" t="s">
        <v>2068</v>
      </c>
      <c r="D2011" s="173" t="s">
        <v>470</v>
      </c>
      <c r="E2011">
        <v>1</v>
      </c>
    </row>
    <row r="2012" spans="1:5" hidden="1" x14ac:dyDescent="0.25">
      <c r="A2012" s="173" t="s">
        <v>804</v>
      </c>
      <c r="B2012">
        <v>19364</v>
      </c>
      <c r="C2012" s="173" t="s">
        <v>2069</v>
      </c>
      <c r="D2012" s="173" t="s">
        <v>470</v>
      </c>
      <c r="E2012">
        <v>1</v>
      </c>
    </row>
    <row r="2013" spans="1:5" hidden="1" x14ac:dyDescent="0.25">
      <c r="A2013" s="173" t="s">
        <v>804</v>
      </c>
      <c r="B2013">
        <v>19364</v>
      </c>
      <c r="C2013" s="173" t="s">
        <v>2070</v>
      </c>
      <c r="D2013" s="173" t="s">
        <v>470</v>
      </c>
      <c r="E2013">
        <v>1</v>
      </c>
    </row>
    <row r="2014" spans="1:5" hidden="1" x14ac:dyDescent="0.25">
      <c r="A2014" s="173" t="s">
        <v>804</v>
      </c>
      <c r="B2014">
        <v>19378</v>
      </c>
      <c r="C2014" s="173" t="s">
        <v>2071</v>
      </c>
      <c r="D2014" s="173" t="s">
        <v>470</v>
      </c>
      <c r="E2014">
        <v>1</v>
      </c>
    </row>
    <row r="2015" spans="1:5" hidden="1" x14ac:dyDescent="0.25">
      <c r="A2015" s="173" t="s">
        <v>804</v>
      </c>
      <c r="B2015">
        <v>19378</v>
      </c>
      <c r="C2015" s="173" t="s">
        <v>2071</v>
      </c>
      <c r="D2015" s="173" t="s">
        <v>517</v>
      </c>
      <c r="E2015">
        <v>1</v>
      </c>
    </row>
    <row r="2016" spans="1:5" hidden="1" x14ac:dyDescent="0.25">
      <c r="A2016" s="173" t="s">
        <v>804</v>
      </c>
      <c r="B2016">
        <v>19378</v>
      </c>
      <c r="C2016" s="173" t="s">
        <v>2072</v>
      </c>
      <c r="D2016" s="173" t="s">
        <v>517</v>
      </c>
      <c r="E2016">
        <v>1</v>
      </c>
    </row>
    <row r="2017" spans="1:5" hidden="1" x14ac:dyDescent="0.25">
      <c r="A2017" s="173" t="s">
        <v>804</v>
      </c>
      <c r="B2017">
        <v>19378</v>
      </c>
      <c r="C2017" s="173" t="s">
        <v>2072</v>
      </c>
      <c r="D2017" s="173" t="s">
        <v>470</v>
      </c>
      <c r="E2017">
        <v>1</v>
      </c>
    </row>
    <row r="2018" spans="1:5" hidden="1" x14ac:dyDescent="0.25">
      <c r="A2018" s="173" t="s">
        <v>804</v>
      </c>
      <c r="B2018">
        <v>19378</v>
      </c>
      <c r="C2018" s="173" t="s">
        <v>2073</v>
      </c>
      <c r="D2018" s="173" t="s">
        <v>470</v>
      </c>
      <c r="E2018">
        <v>1</v>
      </c>
    </row>
    <row r="2019" spans="1:5" hidden="1" x14ac:dyDescent="0.25">
      <c r="A2019" s="173" t="s">
        <v>804</v>
      </c>
      <c r="B2019">
        <v>19378</v>
      </c>
      <c r="C2019" s="173" t="s">
        <v>2073</v>
      </c>
      <c r="D2019" s="173" t="s">
        <v>517</v>
      </c>
      <c r="E2019">
        <v>1</v>
      </c>
    </row>
    <row r="2020" spans="1:5" hidden="1" x14ac:dyDescent="0.25">
      <c r="A2020" s="173" t="s">
        <v>804</v>
      </c>
      <c r="B2020">
        <v>19378</v>
      </c>
      <c r="C2020" s="173" t="s">
        <v>2074</v>
      </c>
      <c r="D2020" s="173" t="s">
        <v>517</v>
      </c>
      <c r="E2020">
        <v>1</v>
      </c>
    </row>
    <row r="2021" spans="1:5" hidden="1" x14ac:dyDescent="0.25">
      <c r="A2021" s="173" t="s">
        <v>804</v>
      </c>
      <c r="B2021">
        <v>19378</v>
      </c>
      <c r="C2021" s="173" t="s">
        <v>2074</v>
      </c>
      <c r="D2021" s="173" t="s">
        <v>470</v>
      </c>
      <c r="E2021">
        <v>1</v>
      </c>
    </row>
    <row r="2022" spans="1:5" hidden="1" x14ac:dyDescent="0.25">
      <c r="A2022" s="173" t="s">
        <v>804</v>
      </c>
      <c r="B2022">
        <v>19378</v>
      </c>
      <c r="C2022" s="173" t="s">
        <v>2075</v>
      </c>
      <c r="D2022" s="173" t="s">
        <v>470</v>
      </c>
      <c r="E2022">
        <v>1</v>
      </c>
    </row>
    <row r="2023" spans="1:5" hidden="1" x14ac:dyDescent="0.25">
      <c r="A2023" s="173" t="s">
        <v>804</v>
      </c>
      <c r="B2023">
        <v>19378</v>
      </c>
      <c r="C2023" s="173" t="s">
        <v>2075</v>
      </c>
      <c r="D2023" s="173" t="s">
        <v>517</v>
      </c>
      <c r="E2023">
        <v>1</v>
      </c>
    </row>
    <row r="2024" spans="1:5" hidden="1" x14ac:dyDescent="0.25">
      <c r="A2024" s="173" t="s">
        <v>804</v>
      </c>
      <c r="B2024">
        <v>19379</v>
      </c>
      <c r="C2024" s="173" t="s">
        <v>2076</v>
      </c>
      <c r="D2024" s="173" t="s">
        <v>470</v>
      </c>
      <c r="E2024">
        <v>1</v>
      </c>
    </row>
    <row r="2025" spans="1:5" hidden="1" x14ac:dyDescent="0.25">
      <c r="A2025" s="173" t="s">
        <v>804</v>
      </c>
      <c r="B2025">
        <v>19379</v>
      </c>
      <c r="C2025" s="173" t="s">
        <v>2077</v>
      </c>
      <c r="D2025" s="173" t="s">
        <v>470</v>
      </c>
      <c r="E2025">
        <v>1</v>
      </c>
    </row>
    <row r="2026" spans="1:5" hidden="1" x14ac:dyDescent="0.25">
      <c r="A2026" s="173" t="s">
        <v>804</v>
      </c>
      <c r="B2026">
        <v>19379</v>
      </c>
      <c r="C2026" s="173" t="s">
        <v>2078</v>
      </c>
      <c r="D2026" s="173" t="s">
        <v>470</v>
      </c>
      <c r="E2026">
        <v>1</v>
      </c>
    </row>
    <row r="2027" spans="1:5" hidden="1" x14ac:dyDescent="0.25">
      <c r="A2027" s="173" t="s">
        <v>804</v>
      </c>
      <c r="B2027">
        <v>19379</v>
      </c>
      <c r="C2027" s="173" t="s">
        <v>2079</v>
      </c>
      <c r="D2027" s="173" t="s">
        <v>470</v>
      </c>
      <c r="E2027">
        <v>1</v>
      </c>
    </row>
    <row r="2028" spans="1:5" hidden="1" x14ac:dyDescent="0.25">
      <c r="A2028" s="173" t="s">
        <v>804</v>
      </c>
      <c r="B2028">
        <v>19379</v>
      </c>
      <c r="C2028" s="173" t="s">
        <v>2080</v>
      </c>
      <c r="D2028" s="173" t="s">
        <v>470</v>
      </c>
      <c r="E2028">
        <v>1</v>
      </c>
    </row>
    <row r="2029" spans="1:5" hidden="1" x14ac:dyDescent="0.25">
      <c r="A2029" s="173" t="s">
        <v>1668</v>
      </c>
      <c r="B2029">
        <v>19382</v>
      </c>
      <c r="C2029" s="173" t="s">
        <v>2081</v>
      </c>
      <c r="D2029" s="173" t="s">
        <v>470</v>
      </c>
      <c r="E2029">
        <v>1</v>
      </c>
    </row>
    <row r="2030" spans="1:5" hidden="1" x14ac:dyDescent="0.25">
      <c r="A2030" s="173" t="s">
        <v>1668</v>
      </c>
      <c r="B2030">
        <v>19382</v>
      </c>
      <c r="C2030" s="173" t="s">
        <v>2082</v>
      </c>
      <c r="D2030" s="173" t="s">
        <v>470</v>
      </c>
      <c r="E2030">
        <v>1</v>
      </c>
    </row>
    <row r="2031" spans="1:5" hidden="1" x14ac:dyDescent="0.25">
      <c r="A2031" s="173" t="s">
        <v>1668</v>
      </c>
      <c r="B2031">
        <v>19382</v>
      </c>
      <c r="C2031" s="173" t="s">
        <v>2083</v>
      </c>
      <c r="D2031" s="173" t="s">
        <v>470</v>
      </c>
      <c r="E2031">
        <v>1</v>
      </c>
    </row>
    <row r="2032" spans="1:5" hidden="1" x14ac:dyDescent="0.25">
      <c r="A2032" s="173" t="s">
        <v>1668</v>
      </c>
      <c r="B2032">
        <v>19382</v>
      </c>
      <c r="C2032" s="173" t="s">
        <v>2084</v>
      </c>
      <c r="D2032" s="173" t="s">
        <v>470</v>
      </c>
      <c r="E2032">
        <v>1</v>
      </c>
    </row>
    <row r="2033" spans="1:5" hidden="1" x14ac:dyDescent="0.25">
      <c r="A2033" s="173" t="s">
        <v>1668</v>
      </c>
      <c r="B2033">
        <v>19382</v>
      </c>
      <c r="C2033" s="173" t="s">
        <v>2085</v>
      </c>
      <c r="D2033" s="173" t="s">
        <v>470</v>
      </c>
      <c r="E2033">
        <v>1</v>
      </c>
    </row>
    <row r="2034" spans="1:5" hidden="1" x14ac:dyDescent="0.25">
      <c r="A2034" s="173" t="s">
        <v>514</v>
      </c>
      <c r="B2034">
        <v>19390</v>
      </c>
      <c r="C2034" s="173" t="s">
        <v>3693</v>
      </c>
      <c r="D2034" s="173" t="s">
        <v>470</v>
      </c>
      <c r="E2034">
        <v>1</v>
      </c>
    </row>
    <row r="2035" spans="1:5" hidden="1" x14ac:dyDescent="0.25">
      <c r="A2035" s="173" t="s">
        <v>514</v>
      </c>
      <c r="B2035">
        <v>19390</v>
      </c>
      <c r="C2035" s="173" t="s">
        <v>3694</v>
      </c>
      <c r="D2035" s="173" t="s">
        <v>470</v>
      </c>
      <c r="E2035">
        <v>1</v>
      </c>
    </row>
    <row r="2036" spans="1:5" hidden="1" x14ac:dyDescent="0.25">
      <c r="A2036" s="173" t="s">
        <v>514</v>
      </c>
      <c r="B2036">
        <v>19390</v>
      </c>
      <c r="C2036" s="173" t="s">
        <v>3695</v>
      </c>
      <c r="D2036" s="173" t="s">
        <v>470</v>
      </c>
      <c r="E2036">
        <v>1</v>
      </c>
    </row>
    <row r="2037" spans="1:5" hidden="1" x14ac:dyDescent="0.25">
      <c r="A2037" s="173" t="s">
        <v>514</v>
      </c>
      <c r="B2037">
        <v>19390</v>
      </c>
      <c r="C2037" s="173" t="s">
        <v>3696</v>
      </c>
      <c r="D2037" s="173" t="s">
        <v>470</v>
      </c>
      <c r="E2037">
        <v>1</v>
      </c>
    </row>
    <row r="2038" spans="1:5" hidden="1" x14ac:dyDescent="0.25">
      <c r="A2038" s="173" t="s">
        <v>514</v>
      </c>
      <c r="B2038">
        <v>19390</v>
      </c>
      <c r="C2038" s="173" t="s">
        <v>3697</v>
      </c>
      <c r="D2038" s="173" t="s">
        <v>470</v>
      </c>
      <c r="E2038">
        <v>1</v>
      </c>
    </row>
    <row r="2039" spans="1:5" hidden="1" x14ac:dyDescent="0.25">
      <c r="A2039" s="173" t="s">
        <v>514</v>
      </c>
      <c r="B2039">
        <v>19390</v>
      </c>
      <c r="C2039" s="173" t="s">
        <v>3698</v>
      </c>
      <c r="D2039" s="173" t="s">
        <v>470</v>
      </c>
      <c r="E2039">
        <v>1</v>
      </c>
    </row>
    <row r="2040" spans="1:5" hidden="1" x14ac:dyDescent="0.25">
      <c r="A2040" s="173" t="s">
        <v>514</v>
      </c>
      <c r="B2040">
        <v>19390</v>
      </c>
      <c r="C2040" s="173" t="s">
        <v>3699</v>
      </c>
      <c r="D2040" s="173" t="s">
        <v>470</v>
      </c>
      <c r="E2040">
        <v>1</v>
      </c>
    </row>
    <row r="2041" spans="1:5" hidden="1" x14ac:dyDescent="0.25">
      <c r="A2041" s="173" t="s">
        <v>1668</v>
      </c>
      <c r="B2041">
        <v>19398</v>
      </c>
      <c r="C2041" s="173" t="s">
        <v>2086</v>
      </c>
      <c r="D2041" s="173" t="s">
        <v>470</v>
      </c>
      <c r="E2041">
        <v>1</v>
      </c>
    </row>
    <row r="2042" spans="1:5" hidden="1" x14ac:dyDescent="0.25">
      <c r="A2042" s="173" t="s">
        <v>1668</v>
      </c>
      <c r="B2042">
        <v>19398</v>
      </c>
      <c r="C2042" s="173" t="s">
        <v>2087</v>
      </c>
      <c r="D2042" s="173" t="s">
        <v>470</v>
      </c>
      <c r="E2042">
        <v>1</v>
      </c>
    </row>
    <row r="2043" spans="1:5" hidden="1" x14ac:dyDescent="0.25">
      <c r="A2043" s="173" t="s">
        <v>1668</v>
      </c>
      <c r="B2043">
        <v>19398</v>
      </c>
      <c r="C2043" s="173" t="s">
        <v>2088</v>
      </c>
      <c r="D2043" s="173" t="s">
        <v>470</v>
      </c>
      <c r="E2043">
        <v>1</v>
      </c>
    </row>
    <row r="2044" spans="1:5" hidden="1" x14ac:dyDescent="0.25">
      <c r="A2044" s="173" t="s">
        <v>1668</v>
      </c>
      <c r="B2044">
        <v>19398</v>
      </c>
      <c r="C2044" s="173" t="s">
        <v>2089</v>
      </c>
      <c r="D2044" s="173" t="s">
        <v>470</v>
      </c>
      <c r="E2044">
        <v>1</v>
      </c>
    </row>
    <row r="2045" spans="1:5" hidden="1" x14ac:dyDescent="0.25">
      <c r="A2045" s="173" t="s">
        <v>1668</v>
      </c>
      <c r="B2045">
        <v>19398</v>
      </c>
      <c r="C2045" s="173" t="s">
        <v>2090</v>
      </c>
      <c r="D2045" s="173" t="s">
        <v>470</v>
      </c>
      <c r="E2045">
        <v>1</v>
      </c>
    </row>
    <row r="2046" spans="1:5" x14ac:dyDescent="0.25">
      <c r="A2046" s="173" t="s">
        <v>468</v>
      </c>
      <c r="B2046">
        <v>19402</v>
      </c>
      <c r="C2046" s="173" t="s">
        <v>2091</v>
      </c>
      <c r="D2046" s="173" t="s">
        <v>470</v>
      </c>
      <c r="E2046">
        <v>2</v>
      </c>
    </row>
    <row r="2047" spans="1:5" x14ac:dyDescent="0.25">
      <c r="A2047" s="173" t="s">
        <v>468</v>
      </c>
      <c r="B2047">
        <v>19402</v>
      </c>
      <c r="C2047" s="173" t="s">
        <v>2092</v>
      </c>
      <c r="D2047" s="173" t="s">
        <v>470</v>
      </c>
      <c r="E2047">
        <v>2</v>
      </c>
    </row>
    <row r="2048" spans="1:5" x14ac:dyDescent="0.25">
      <c r="A2048" s="173" t="s">
        <v>468</v>
      </c>
      <c r="B2048">
        <v>19402</v>
      </c>
      <c r="C2048" s="173" t="s">
        <v>2093</v>
      </c>
      <c r="D2048" s="173" t="s">
        <v>470</v>
      </c>
      <c r="E2048">
        <v>2</v>
      </c>
    </row>
    <row r="2049" spans="1:5" x14ac:dyDescent="0.25">
      <c r="A2049" s="173" t="s">
        <v>468</v>
      </c>
      <c r="B2049">
        <v>19402</v>
      </c>
      <c r="C2049" s="173" t="s">
        <v>2094</v>
      </c>
      <c r="D2049" s="173" t="s">
        <v>470</v>
      </c>
      <c r="E2049">
        <v>2</v>
      </c>
    </row>
    <row r="2050" spans="1:5" x14ac:dyDescent="0.25">
      <c r="A2050" s="173" t="s">
        <v>468</v>
      </c>
      <c r="B2050">
        <v>19402</v>
      </c>
      <c r="C2050" s="173" t="s">
        <v>2095</v>
      </c>
      <c r="D2050" s="173" t="s">
        <v>470</v>
      </c>
      <c r="E2050">
        <v>2</v>
      </c>
    </row>
    <row r="2051" spans="1:5" hidden="1" x14ac:dyDescent="0.25">
      <c r="A2051" s="173" t="s">
        <v>1668</v>
      </c>
      <c r="B2051">
        <v>19403</v>
      </c>
      <c r="C2051" s="173" t="s">
        <v>2096</v>
      </c>
      <c r="D2051" s="173" t="s">
        <v>470</v>
      </c>
      <c r="E2051">
        <v>1</v>
      </c>
    </row>
    <row r="2052" spans="1:5" hidden="1" x14ac:dyDescent="0.25">
      <c r="A2052" s="173" t="s">
        <v>1668</v>
      </c>
      <c r="B2052">
        <v>19403</v>
      </c>
      <c r="C2052" s="173" t="s">
        <v>2097</v>
      </c>
      <c r="D2052" s="173" t="s">
        <v>470</v>
      </c>
      <c r="E2052">
        <v>1</v>
      </c>
    </row>
    <row r="2053" spans="1:5" hidden="1" x14ac:dyDescent="0.25">
      <c r="A2053" s="173" t="s">
        <v>1668</v>
      </c>
      <c r="B2053">
        <v>19403</v>
      </c>
      <c r="C2053" s="173" t="s">
        <v>2098</v>
      </c>
      <c r="D2053" s="173" t="s">
        <v>470</v>
      </c>
      <c r="E2053">
        <v>1</v>
      </c>
    </row>
    <row r="2054" spans="1:5" hidden="1" x14ac:dyDescent="0.25">
      <c r="A2054" s="173" t="s">
        <v>1668</v>
      </c>
      <c r="B2054">
        <v>19403</v>
      </c>
      <c r="C2054" s="173" t="s">
        <v>2099</v>
      </c>
      <c r="D2054" s="173" t="s">
        <v>470</v>
      </c>
      <c r="E2054">
        <v>1</v>
      </c>
    </row>
    <row r="2055" spans="1:5" hidden="1" x14ac:dyDescent="0.25">
      <c r="A2055" s="173" t="s">
        <v>804</v>
      </c>
      <c r="B2055">
        <v>19405</v>
      </c>
      <c r="C2055" s="173" t="s">
        <v>2100</v>
      </c>
      <c r="D2055" s="173" t="s">
        <v>470</v>
      </c>
      <c r="E2055">
        <v>2</v>
      </c>
    </row>
    <row r="2056" spans="1:5" hidden="1" x14ac:dyDescent="0.25">
      <c r="A2056" s="173" t="s">
        <v>804</v>
      </c>
      <c r="B2056">
        <v>19405</v>
      </c>
      <c r="C2056" s="173" t="s">
        <v>2101</v>
      </c>
      <c r="D2056" s="173" t="s">
        <v>470</v>
      </c>
      <c r="E2056">
        <v>1</v>
      </c>
    </row>
    <row r="2057" spans="1:5" hidden="1" x14ac:dyDescent="0.25">
      <c r="A2057" s="173" t="s">
        <v>804</v>
      </c>
      <c r="B2057">
        <v>19405</v>
      </c>
      <c r="C2057" s="173" t="s">
        <v>2101</v>
      </c>
      <c r="D2057" s="173" t="s">
        <v>470</v>
      </c>
      <c r="E2057">
        <v>2</v>
      </c>
    </row>
    <row r="2058" spans="1:5" hidden="1" x14ac:dyDescent="0.25">
      <c r="A2058" s="173" t="s">
        <v>804</v>
      </c>
      <c r="B2058">
        <v>19405</v>
      </c>
      <c r="C2058" s="173" t="s">
        <v>2102</v>
      </c>
      <c r="D2058" s="173" t="s">
        <v>470</v>
      </c>
      <c r="E2058">
        <v>2</v>
      </c>
    </row>
    <row r="2059" spans="1:5" hidden="1" x14ac:dyDescent="0.25">
      <c r="A2059" s="173" t="s">
        <v>804</v>
      </c>
      <c r="B2059">
        <v>19405</v>
      </c>
      <c r="C2059" s="173" t="s">
        <v>2103</v>
      </c>
      <c r="D2059" s="173" t="s">
        <v>470</v>
      </c>
      <c r="E2059">
        <v>2</v>
      </c>
    </row>
    <row r="2060" spans="1:5" hidden="1" x14ac:dyDescent="0.25">
      <c r="A2060" s="173" t="s">
        <v>804</v>
      </c>
      <c r="B2060">
        <v>19405</v>
      </c>
      <c r="C2060" s="173" t="s">
        <v>2104</v>
      </c>
      <c r="D2060" s="173" t="s">
        <v>470</v>
      </c>
      <c r="E2060">
        <v>2</v>
      </c>
    </row>
    <row r="2061" spans="1:5" hidden="1" x14ac:dyDescent="0.25">
      <c r="A2061" s="173" t="s">
        <v>804</v>
      </c>
      <c r="B2061">
        <v>19405</v>
      </c>
      <c r="C2061" s="173" t="s">
        <v>2105</v>
      </c>
      <c r="D2061" s="173" t="s">
        <v>470</v>
      </c>
      <c r="E2061">
        <v>2</v>
      </c>
    </row>
    <row r="2062" spans="1:5" x14ac:dyDescent="0.25">
      <c r="A2062" s="173" t="s">
        <v>468</v>
      </c>
      <c r="B2062">
        <v>19413</v>
      </c>
      <c r="C2062" s="173" t="s">
        <v>2106</v>
      </c>
      <c r="D2062" s="173" t="s">
        <v>470</v>
      </c>
      <c r="E2062">
        <v>2</v>
      </c>
    </row>
    <row r="2063" spans="1:5" x14ac:dyDescent="0.25">
      <c r="A2063" s="173" t="s">
        <v>468</v>
      </c>
      <c r="B2063">
        <v>19413</v>
      </c>
      <c r="C2063" s="173" t="s">
        <v>2107</v>
      </c>
      <c r="D2063" s="173" t="s">
        <v>470</v>
      </c>
      <c r="E2063">
        <v>2</v>
      </c>
    </row>
    <row r="2064" spans="1:5" x14ac:dyDescent="0.25">
      <c r="A2064" s="173" t="s">
        <v>468</v>
      </c>
      <c r="B2064">
        <v>19413</v>
      </c>
      <c r="C2064" s="173" t="s">
        <v>2108</v>
      </c>
      <c r="D2064" s="173" t="s">
        <v>470</v>
      </c>
      <c r="E2064">
        <v>2</v>
      </c>
    </row>
    <row r="2065" spans="1:5" x14ac:dyDescent="0.25">
      <c r="A2065" s="173" t="s">
        <v>468</v>
      </c>
      <c r="B2065">
        <v>19413</v>
      </c>
      <c r="C2065" s="173" t="s">
        <v>2109</v>
      </c>
      <c r="D2065" s="173" t="s">
        <v>470</v>
      </c>
      <c r="E2065">
        <v>2</v>
      </c>
    </row>
    <row r="2066" spans="1:5" x14ac:dyDescent="0.25">
      <c r="A2066" s="173" t="s">
        <v>468</v>
      </c>
      <c r="B2066">
        <v>19413</v>
      </c>
      <c r="C2066" s="173" t="s">
        <v>2110</v>
      </c>
      <c r="D2066" s="173" t="s">
        <v>470</v>
      </c>
      <c r="E2066">
        <v>2</v>
      </c>
    </row>
    <row r="2067" spans="1:5" x14ac:dyDescent="0.25">
      <c r="A2067" s="173" t="s">
        <v>468</v>
      </c>
      <c r="B2067">
        <v>19413</v>
      </c>
      <c r="C2067" s="173" t="s">
        <v>2111</v>
      </c>
      <c r="D2067" s="173" t="s">
        <v>470</v>
      </c>
      <c r="E2067">
        <v>2</v>
      </c>
    </row>
    <row r="2068" spans="1:5" x14ac:dyDescent="0.25">
      <c r="A2068" s="173" t="s">
        <v>468</v>
      </c>
      <c r="B2068">
        <v>19418</v>
      </c>
      <c r="C2068" s="173" t="s">
        <v>3700</v>
      </c>
      <c r="D2068" s="173" t="s">
        <v>470</v>
      </c>
      <c r="E2068">
        <v>1</v>
      </c>
    </row>
    <row r="2069" spans="1:5" x14ac:dyDescent="0.25">
      <c r="A2069" s="173" t="s">
        <v>468</v>
      </c>
      <c r="B2069">
        <v>19418</v>
      </c>
      <c r="C2069" s="173" t="s">
        <v>3701</v>
      </c>
      <c r="D2069" s="173" t="s">
        <v>470</v>
      </c>
      <c r="E2069">
        <v>1</v>
      </c>
    </row>
    <row r="2070" spans="1:5" x14ac:dyDescent="0.25">
      <c r="A2070" s="173" t="s">
        <v>468</v>
      </c>
      <c r="B2070">
        <v>19418</v>
      </c>
      <c r="C2070" s="173" t="s">
        <v>3702</v>
      </c>
      <c r="D2070" s="173" t="s">
        <v>470</v>
      </c>
      <c r="E2070">
        <v>1</v>
      </c>
    </row>
    <row r="2071" spans="1:5" x14ac:dyDescent="0.25">
      <c r="A2071" s="173" t="s">
        <v>468</v>
      </c>
      <c r="B2071">
        <v>19418</v>
      </c>
      <c r="C2071" s="173" t="s">
        <v>3703</v>
      </c>
      <c r="D2071" s="173" t="s">
        <v>470</v>
      </c>
      <c r="E2071">
        <v>1</v>
      </c>
    </row>
    <row r="2072" spans="1:5" x14ac:dyDescent="0.25">
      <c r="A2072" s="173" t="s">
        <v>468</v>
      </c>
      <c r="B2072">
        <v>19418</v>
      </c>
      <c r="C2072" s="173" t="s">
        <v>3704</v>
      </c>
      <c r="D2072" s="173" t="s">
        <v>470</v>
      </c>
      <c r="E2072">
        <v>1</v>
      </c>
    </row>
    <row r="2073" spans="1:5" x14ac:dyDescent="0.25">
      <c r="A2073" s="173" t="s">
        <v>468</v>
      </c>
      <c r="B2073">
        <v>19420</v>
      </c>
      <c r="C2073" s="173" t="s">
        <v>2112</v>
      </c>
      <c r="D2073" s="173" t="s">
        <v>470</v>
      </c>
      <c r="E2073">
        <v>1</v>
      </c>
    </row>
    <row r="2074" spans="1:5" x14ac:dyDescent="0.25">
      <c r="A2074" s="173" t="s">
        <v>468</v>
      </c>
      <c r="B2074">
        <v>19420</v>
      </c>
      <c r="C2074" s="173" t="s">
        <v>2113</v>
      </c>
      <c r="D2074" s="173" t="s">
        <v>470</v>
      </c>
      <c r="E2074">
        <v>1</v>
      </c>
    </row>
    <row r="2075" spans="1:5" x14ac:dyDescent="0.25">
      <c r="A2075" s="173" t="s">
        <v>468</v>
      </c>
      <c r="B2075">
        <v>19420</v>
      </c>
      <c r="C2075" s="173" t="s">
        <v>424</v>
      </c>
      <c r="D2075" s="173" t="s">
        <v>470</v>
      </c>
      <c r="E2075">
        <v>1</v>
      </c>
    </row>
    <row r="2076" spans="1:5" x14ac:dyDescent="0.25">
      <c r="A2076" s="173" t="s">
        <v>468</v>
      </c>
      <c r="B2076">
        <v>19420</v>
      </c>
      <c r="C2076" s="173" t="s">
        <v>422</v>
      </c>
      <c r="D2076" s="173" t="s">
        <v>470</v>
      </c>
      <c r="E2076">
        <v>1</v>
      </c>
    </row>
    <row r="2077" spans="1:5" x14ac:dyDescent="0.25">
      <c r="A2077" s="173" t="s">
        <v>468</v>
      </c>
      <c r="B2077">
        <v>19420</v>
      </c>
      <c r="C2077" s="173" t="s">
        <v>423</v>
      </c>
      <c r="D2077" s="173" t="s">
        <v>470</v>
      </c>
      <c r="E2077">
        <v>1</v>
      </c>
    </row>
    <row r="2078" spans="1:5" hidden="1" x14ac:dyDescent="0.25">
      <c r="A2078" s="173" t="s">
        <v>1668</v>
      </c>
      <c r="B2078">
        <v>19422</v>
      </c>
      <c r="C2078" s="173" t="s">
        <v>2114</v>
      </c>
      <c r="D2078" s="173" t="s">
        <v>470</v>
      </c>
      <c r="E2078">
        <v>1</v>
      </c>
    </row>
    <row r="2079" spans="1:5" hidden="1" x14ac:dyDescent="0.25">
      <c r="A2079" s="173" t="s">
        <v>1668</v>
      </c>
      <c r="B2079">
        <v>19422</v>
      </c>
      <c r="C2079" s="173" t="s">
        <v>2115</v>
      </c>
      <c r="D2079" s="173" t="s">
        <v>470</v>
      </c>
      <c r="E2079">
        <v>1</v>
      </c>
    </row>
    <row r="2080" spans="1:5" hidden="1" x14ac:dyDescent="0.25">
      <c r="A2080" s="173" t="s">
        <v>1668</v>
      </c>
      <c r="B2080">
        <v>19422</v>
      </c>
      <c r="C2080" s="173" t="s">
        <v>2116</v>
      </c>
      <c r="D2080" s="173" t="s">
        <v>470</v>
      </c>
      <c r="E2080">
        <v>1</v>
      </c>
    </row>
    <row r="2081" spans="1:5" hidden="1" x14ac:dyDescent="0.25">
      <c r="A2081" s="173" t="s">
        <v>1668</v>
      </c>
      <c r="B2081">
        <v>19422</v>
      </c>
      <c r="C2081" s="173" t="s">
        <v>2117</v>
      </c>
      <c r="D2081" s="173" t="s">
        <v>470</v>
      </c>
      <c r="E2081">
        <v>1</v>
      </c>
    </row>
    <row r="2082" spans="1:5" hidden="1" x14ac:dyDescent="0.25">
      <c r="A2082" s="173" t="s">
        <v>1668</v>
      </c>
      <c r="B2082">
        <v>19422</v>
      </c>
      <c r="C2082" s="173" t="s">
        <v>2118</v>
      </c>
      <c r="D2082" s="173" t="s">
        <v>470</v>
      </c>
      <c r="E2082">
        <v>1</v>
      </c>
    </row>
    <row r="2083" spans="1:5" hidden="1" x14ac:dyDescent="0.25">
      <c r="A2083" s="173" t="s">
        <v>1668</v>
      </c>
      <c r="B2083">
        <v>19423</v>
      </c>
      <c r="C2083" s="173" t="s">
        <v>3705</v>
      </c>
      <c r="D2083" s="173" t="s">
        <v>517</v>
      </c>
      <c r="E2083">
        <v>1</v>
      </c>
    </row>
    <row r="2084" spans="1:5" hidden="1" x14ac:dyDescent="0.25">
      <c r="A2084" s="173" t="s">
        <v>1668</v>
      </c>
      <c r="B2084">
        <v>19423</v>
      </c>
      <c r="C2084" s="173" t="s">
        <v>3705</v>
      </c>
      <c r="D2084" s="173" t="s">
        <v>470</v>
      </c>
      <c r="E2084">
        <v>2</v>
      </c>
    </row>
    <row r="2085" spans="1:5" hidden="1" x14ac:dyDescent="0.25">
      <c r="A2085" s="173" t="s">
        <v>1668</v>
      </c>
      <c r="B2085">
        <v>19423</v>
      </c>
      <c r="C2085" s="173" t="s">
        <v>3706</v>
      </c>
      <c r="D2085" s="173" t="s">
        <v>517</v>
      </c>
      <c r="E2085">
        <v>1</v>
      </c>
    </row>
    <row r="2086" spans="1:5" hidden="1" x14ac:dyDescent="0.25">
      <c r="A2086" s="173" t="s">
        <v>1668</v>
      </c>
      <c r="B2086">
        <v>19423</v>
      </c>
      <c r="C2086" s="173" t="s">
        <v>3706</v>
      </c>
      <c r="D2086" s="173" t="s">
        <v>470</v>
      </c>
      <c r="E2086">
        <v>2</v>
      </c>
    </row>
    <row r="2087" spans="1:5" hidden="1" x14ac:dyDescent="0.25">
      <c r="A2087" s="173" t="s">
        <v>1668</v>
      </c>
      <c r="B2087">
        <v>19423</v>
      </c>
      <c r="C2087" s="173" t="s">
        <v>3707</v>
      </c>
      <c r="D2087" s="173" t="s">
        <v>470</v>
      </c>
      <c r="E2087">
        <v>2</v>
      </c>
    </row>
    <row r="2088" spans="1:5" hidden="1" x14ac:dyDescent="0.25">
      <c r="A2088" s="173" t="s">
        <v>1668</v>
      </c>
      <c r="B2088">
        <v>19423</v>
      </c>
      <c r="C2088" s="173" t="s">
        <v>3707</v>
      </c>
      <c r="D2088" s="173" t="s">
        <v>517</v>
      </c>
      <c r="E2088">
        <v>1</v>
      </c>
    </row>
    <row r="2089" spans="1:5" hidden="1" x14ac:dyDescent="0.25">
      <c r="A2089" s="173" t="s">
        <v>1668</v>
      </c>
      <c r="B2089">
        <v>19423</v>
      </c>
      <c r="C2089" s="173" t="s">
        <v>3708</v>
      </c>
      <c r="D2089" s="173" t="s">
        <v>517</v>
      </c>
      <c r="E2089">
        <v>1</v>
      </c>
    </row>
    <row r="2090" spans="1:5" hidden="1" x14ac:dyDescent="0.25">
      <c r="A2090" s="173" t="s">
        <v>1668</v>
      </c>
      <c r="B2090">
        <v>19423</v>
      </c>
      <c r="C2090" s="173" t="s">
        <v>3708</v>
      </c>
      <c r="D2090" s="173" t="s">
        <v>470</v>
      </c>
      <c r="E2090">
        <v>1</v>
      </c>
    </row>
    <row r="2091" spans="1:5" hidden="1" x14ac:dyDescent="0.25">
      <c r="A2091" s="173" t="s">
        <v>1668</v>
      </c>
      <c r="B2091">
        <v>19423</v>
      </c>
      <c r="C2091" s="173" t="s">
        <v>3709</v>
      </c>
      <c r="D2091" s="173" t="s">
        <v>470</v>
      </c>
      <c r="E2091">
        <v>1</v>
      </c>
    </row>
    <row r="2092" spans="1:5" hidden="1" x14ac:dyDescent="0.25">
      <c r="A2092" s="173" t="s">
        <v>1668</v>
      </c>
      <c r="B2092">
        <v>19423</v>
      </c>
      <c r="C2092" s="173" t="s">
        <v>3709</v>
      </c>
      <c r="D2092" s="173" t="s">
        <v>517</v>
      </c>
      <c r="E2092">
        <v>1</v>
      </c>
    </row>
    <row r="2093" spans="1:5" hidden="1" x14ac:dyDescent="0.25">
      <c r="A2093" s="173" t="s">
        <v>1668</v>
      </c>
      <c r="B2093">
        <v>19423</v>
      </c>
      <c r="C2093" s="173" t="s">
        <v>3710</v>
      </c>
      <c r="D2093" s="173" t="s">
        <v>517</v>
      </c>
      <c r="E2093">
        <v>1</v>
      </c>
    </row>
    <row r="2094" spans="1:5" hidden="1" x14ac:dyDescent="0.25">
      <c r="A2094" s="173" t="s">
        <v>1668</v>
      </c>
      <c r="B2094">
        <v>19423</v>
      </c>
      <c r="C2094" s="173" t="s">
        <v>3710</v>
      </c>
      <c r="D2094" s="173" t="s">
        <v>470</v>
      </c>
      <c r="E2094">
        <v>2</v>
      </c>
    </row>
    <row r="2095" spans="1:5" hidden="1" x14ac:dyDescent="0.25">
      <c r="A2095" s="173" t="s">
        <v>1668</v>
      </c>
      <c r="B2095">
        <v>19423</v>
      </c>
      <c r="C2095" s="173" t="s">
        <v>3711</v>
      </c>
      <c r="D2095" s="173" t="s">
        <v>517</v>
      </c>
      <c r="E2095">
        <v>1</v>
      </c>
    </row>
    <row r="2096" spans="1:5" hidden="1" x14ac:dyDescent="0.25">
      <c r="A2096" s="173" t="s">
        <v>1668</v>
      </c>
      <c r="B2096">
        <v>19423</v>
      </c>
      <c r="C2096" s="173" t="s">
        <v>3711</v>
      </c>
      <c r="D2096" s="173" t="s">
        <v>470</v>
      </c>
      <c r="E2096">
        <v>2</v>
      </c>
    </row>
    <row r="2097" spans="1:5" hidden="1" x14ac:dyDescent="0.25">
      <c r="A2097" s="173" t="s">
        <v>1668</v>
      </c>
      <c r="B2097">
        <v>19435</v>
      </c>
      <c r="C2097" s="173" t="s">
        <v>2119</v>
      </c>
      <c r="D2097" s="173" t="s">
        <v>470</v>
      </c>
      <c r="E2097">
        <v>1</v>
      </c>
    </row>
    <row r="2098" spans="1:5" hidden="1" x14ac:dyDescent="0.25">
      <c r="A2098" s="173" t="s">
        <v>1668</v>
      </c>
      <c r="B2098">
        <v>19435</v>
      </c>
      <c r="C2098" s="173" t="s">
        <v>2120</v>
      </c>
      <c r="D2098" s="173" t="s">
        <v>470</v>
      </c>
      <c r="E2098">
        <v>1</v>
      </c>
    </row>
    <row r="2099" spans="1:5" hidden="1" x14ac:dyDescent="0.25">
      <c r="A2099" s="173" t="s">
        <v>1668</v>
      </c>
      <c r="B2099">
        <v>19435</v>
      </c>
      <c r="C2099" s="173" t="s">
        <v>2121</v>
      </c>
      <c r="D2099" s="173" t="s">
        <v>470</v>
      </c>
      <c r="E2099">
        <v>1</v>
      </c>
    </row>
    <row r="2100" spans="1:5" hidden="1" x14ac:dyDescent="0.25">
      <c r="A2100" s="173" t="s">
        <v>1668</v>
      </c>
      <c r="B2100">
        <v>19435</v>
      </c>
      <c r="C2100" s="173" t="s">
        <v>2122</v>
      </c>
      <c r="D2100" s="173" t="s">
        <v>470</v>
      </c>
      <c r="E2100">
        <v>1</v>
      </c>
    </row>
    <row r="2101" spans="1:5" hidden="1" x14ac:dyDescent="0.25">
      <c r="A2101" s="173" t="s">
        <v>1668</v>
      </c>
      <c r="B2101">
        <v>19435</v>
      </c>
      <c r="C2101" s="173" t="s">
        <v>2123</v>
      </c>
      <c r="D2101" s="173" t="s">
        <v>470</v>
      </c>
      <c r="E2101">
        <v>1</v>
      </c>
    </row>
    <row r="2102" spans="1:5" x14ac:dyDescent="0.25">
      <c r="A2102" s="173" t="s">
        <v>468</v>
      </c>
      <c r="B2102">
        <v>19443</v>
      </c>
      <c r="C2102" s="173" t="s">
        <v>4774</v>
      </c>
      <c r="D2102" s="173" t="s">
        <v>470</v>
      </c>
      <c r="E2102">
        <v>1</v>
      </c>
    </row>
    <row r="2103" spans="1:5" x14ac:dyDescent="0.25">
      <c r="A2103" s="173" t="s">
        <v>468</v>
      </c>
      <c r="B2103">
        <v>19443</v>
      </c>
      <c r="C2103" s="173" t="s">
        <v>4775</v>
      </c>
      <c r="D2103" s="173" t="s">
        <v>470</v>
      </c>
      <c r="E2103">
        <v>1</v>
      </c>
    </row>
    <row r="2104" spans="1:5" x14ac:dyDescent="0.25">
      <c r="A2104" s="173" t="s">
        <v>468</v>
      </c>
      <c r="B2104">
        <v>19443</v>
      </c>
      <c r="C2104" s="173" t="s">
        <v>4776</v>
      </c>
      <c r="D2104" s="173" t="s">
        <v>470</v>
      </c>
      <c r="E2104">
        <v>2</v>
      </c>
    </row>
    <row r="2105" spans="1:5" x14ac:dyDescent="0.25">
      <c r="A2105" s="173" t="s">
        <v>468</v>
      </c>
      <c r="B2105">
        <v>19443</v>
      </c>
      <c r="C2105" s="173" t="s">
        <v>4777</v>
      </c>
      <c r="D2105" s="173" t="s">
        <v>470</v>
      </c>
      <c r="E2105">
        <v>2</v>
      </c>
    </row>
    <row r="2106" spans="1:5" x14ac:dyDescent="0.25">
      <c r="A2106" s="173" t="s">
        <v>468</v>
      </c>
      <c r="B2106">
        <v>19443</v>
      </c>
      <c r="C2106" s="173" t="s">
        <v>4778</v>
      </c>
      <c r="D2106" s="173" t="s">
        <v>470</v>
      </c>
      <c r="E2106">
        <v>2</v>
      </c>
    </row>
    <row r="2107" spans="1:5" x14ac:dyDescent="0.25">
      <c r="A2107" s="173" t="s">
        <v>468</v>
      </c>
      <c r="B2107">
        <v>19443</v>
      </c>
      <c r="C2107" s="173" t="s">
        <v>4779</v>
      </c>
      <c r="D2107" s="173" t="s">
        <v>470</v>
      </c>
      <c r="E2107">
        <v>2</v>
      </c>
    </row>
    <row r="2108" spans="1:5" x14ac:dyDescent="0.25">
      <c r="A2108" s="173" t="s">
        <v>468</v>
      </c>
      <c r="B2108">
        <v>19443</v>
      </c>
      <c r="C2108" s="173" t="s">
        <v>4780</v>
      </c>
      <c r="D2108" s="173" t="s">
        <v>470</v>
      </c>
      <c r="E2108">
        <v>1</v>
      </c>
    </row>
    <row r="2109" spans="1:5" hidden="1" x14ac:dyDescent="0.25">
      <c r="A2109" s="173" t="s">
        <v>804</v>
      </c>
      <c r="B2109">
        <v>19445</v>
      </c>
      <c r="C2109" s="173" t="s">
        <v>2124</v>
      </c>
      <c r="D2109" s="173" t="s">
        <v>470</v>
      </c>
      <c r="E2109">
        <v>1</v>
      </c>
    </row>
    <row r="2110" spans="1:5" hidden="1" x14ac:dyDescent="0.25">
      <c r="A2110" s="173" t="s">
        <v>804</v>
      </c>
      <c r="B2110">
        <v>19445</v>
      </c>
      <c r="C2110" s="173" t="s">
        <v>2125</v>
      </c>
      <c r="D2110" s="173" t="s">
        <v>470</v>
      </c>
      <c r="E2110">
        <v>1</v>
      </c>
    </row>
    <row r="2111" spans="1:5" hidden="1" x14ac:dyDescent="0.25">
      <c r="A2111" s="173" t="s">
        <v>804</v>
      </c>
      <c r="B2111">
        <v>19445</v>
      </c>
      <c r="C2111" s="173" t="s">
        <v>2126</v>
      </c>
      <c r="D2111" s="173" t="s">
        <v>470</v>
      </c>
      <c r="E2111">
        <v>1</v>
      </c>
    </row>
    <row r="2112" spans="1:5" hidden="1" x14ac:dyDescent="0.25">
      <c r="A2112" s="173" t="s">
        <v>804</v>
      </c>
      <c r="B2112">
        <v>19445</v>
      </c>
      <c r="C2112" s="173" t="s">
        <v>2127</v>
      </c>
      <c r="D2112" s="173" t="s">
        <v>470</v>
      </c>
      <c r="E2112">
        <v>1</v>
      </c>
    </row>
    <row r="2113" spans="1:5" hidden="1" x14ac:dyDescent="0.25">
      <c r="A2113" s="173" t="s">
        <v>804</v>
      </c>
      <c r="B2113">
        <v>19445</v>
      </c>
      <c r="C2113" s="173" t="s">
        <v>2128</v>
      </c>
      <c r="D2113" s="173" t="s">
        <v>470</v>
      </c>
      <c r="E2113">
        <v>1</v>
      </c>
    </row>
    <row r="2114" spans="1:5" hidden="1" x14ac:dyDescent="0.25">
      <c r="A2114" s="173" t="s">
        <v>804</v>
      </c>
      <c r="B2114">
        <v>19446</v>
      </c>
      <c r="C2114" s="173" t="s">
        <v>4781</v>
      </c>
      <c r="D2114" s="173" t="s">
        <v>470</v>
      </c>
      <c r="E2114">
        <v>2</v>
      </c>
    </row>
    <row r="2115" spans="1:5" hidden="1" x14ac:dyDescent="0.25">
      <c r="A2115" s="173" t="s">
        <v>804</v>
      </c>
      <c r="B2115">
        <v>19446</v>
      </c>
      <c r="C2115" s="173" t="s">
        <v>4782</v>
      </c>
      <c r="D2115" s="173" t="s">
        <v>470</v>
      </c>
      <c r="E2115">
        <v>2</v>
      </c>
    </row>
    <row r="2116" spans="1:5" hidden="1" x14ac:dyDescent="0.25">
      <c r="A2116" s="173" t="s">
        <v>804</v>
      </c>
      <c r="B2116">
        <v>19446</v>
      </c>
      <c r="C2116" s="173" t="s">
        <v>4783</v>
      </c>
      <c r="D2116" s="173" t="s">
        <v>470</v>
      </c>
      <c r="E2116">
        <v>2</v>
      </c>
    </row>
    <row r="2117" spans="1:5" hidden="1" x14ac:dyDescent="0.25">
      <c r="A2117" s="173" t="s">
        <v>804</v>
      </c>
      <c r="B2117">
        <v>19446</v>
      </c>
      <c r="C2117" s="173" t="s">
        <v>4784</v>
      </c>
      <c r="D2117" s="173" t="s">
        <v>470</v>
      </c>
      <c r="E2117">
        <v>2</v>
      </c>
    </row>
    <row r="2118" spans="1:5" hidden="1" x14ac:dyDescent="0.25">
      <c r="A2118" s="173" t="s">
        <v>804</v>
      </c>
      <c r="B2118">
        <v>19446</v>
      </c>
      <c r="C2118" s="173" t="s">
        <v>4785</v>
      </c>
      <c r="D2118" s="173" t="s">
        <v>470</v>
      </c>
      <c r="E2118">
        <v>2</v>
      </c>
    </row>
    <row r="2119" spans="1:5" hidden="1" x14ac:dyDescent="0.25">
      <c r="A2119" s="173" t="s">
        <v>804</v>
      </c>
      <c r="B2119">
        <v>19447</v>
      </c>
      <c r="C2119" s="173" t="s">
        <v>3712</v>
      </c>
      <c r="D2119" s="173" t="s">
        <v>470</v>
      </c>
      <c r="E2119">
        <v>1</v>
      </c>
    </row>
    <row r="2120" spans="1:5" hidden="1" x14ac:dyDescent="0.25">
      <c r="A2120" s="173" t="s">
        <v>804</v>
      </c>
      <c r="B2120">
        <v>19447</v>
      </c>
      <c r="C2120" s="173" t="s">
        <v>3712</v>
      </c>
      <c r="D2120" s="173" t="s">
        <v>517</v>
      </c>
      <c r="E2120">
        <v>1</v>
      </c>
    </row>
    <row r="2121" spans="1:5" hidden="1" x14ac:dyDescent="0.25">
      <c r="A2121" s="173" t="s">
        <v>804</v>
      </c>
      <c r="B2121">
        <v>19447</v>
      </c>
      <c r="C2121" s="173" t="s">
        <v>3713</v>
      </c>
      <c r="D2121" s="173" t="s">
        <v>470</v>
      </c>
      <c r="E2121">
        <v>1</v>
      </c>
    </row>
    <row r="2122" spans="1:5" hidden="1" x14ac:dyDescent="0.25">
      <c r="A2122" s="173" t="s">
        <v>804</v>
      </c>
      <c r="B2122">
        <v>19447</v>
      </c>
      <c r="C2122" s="173" t="s">
        <v>3713</v>
      </c>
      <c r="D2122" s="173" t="s">
        <v>517</v>
      </c>
      <c r="E2122">
        <v>1</v>
      </c>
    </row>
    <row r="2123" spans="1:5" hidden="1" x14ac:dyDescent="0.25">
      <c r="A2123" s="173" t="s">
        <v>804</v>
      </c>
      <c r="B2123">
        <v>19447</v>
      </c>
      <c r="C2123" s="173" t="s">
        <v>3714</v>
      </c>
      <c r="D2123" s="173" t="s">
        <v>470</v>
      </c>
      <c r="E2123">
        <v>1</v>
      </c>
    </row>
    <row r="2124" spans="1:5" hidden="1" x14ac:dyDescent="0.25">
      <c r="A2124" s="173" t="s">
        <v>804</v>
      </c>
      <c r="B2124">
        <v>19447</v>
      </c>
      <c r="C2124" s="173" t="s">
        <v>3714</v>
      </c>
      <c r="D2124" s="173" t="s">
        <v>517</v>
      </c>
      <c r="E2124">
        <v>1</v>
      </c>
    </row>
    <row r="2125" spans="1:5" hidden="1" x14ac:dyDescent="0.25">
      <c r="A2125" s="173" t="s">
        <v>804</v>
      </c>
      <c r="B2125">
        <v>19447</v>
      </c>
      <c r="C2125" s="173" t="s">
        <v>3715</v>
      </c>
      <c r="D2125" s="173" t="s">
        <v>470</v>
      </c>
      <c r="E2125">
        <v>1</v>
      </c>
    </row>
    <row r="2126" spans="1:5" hidden="1" x14ac:dyDescent="0.25">
      <c r="A2126" s="173" t="s">
        <v>804</v>
      </c>
      <c r="B2126">
        <v>19447</v>
      </c>
      <c r="C2126" s="173" t="s">
        <v>3715</v>
      </c>
      <c r="D2126" s="173" t="s">
        <v>517</v>
      </c>
      <c r="E2126">
        <v>1</v>
      </c>
    </row>
    <row r="2127" spans="1:5" hidden="1" x14ac:dyDescent="0.25">
      <c r="A2127" s="173" t="s">
        <v>804</v>
      </c>
      <c r="B2127">
        <v>19447</v>
      </c>
      <c r="C2127" s="173" t="s">
        <v>3716</v>
      </c>
      <c r="D2127" s="173" t="s">
        <v>517</v>
      </c>
      <c r="E2127">
        <v>1</v>
      </c>
    </row>
    <row r="2128" spans="1:5" hidden="1" x14ac:dyDescent="0.25">
      <c r="A2128" s="173" t="s">
        <v>804</v>
      </c>
      <c r="B2128">
        <v>19447</v>
      </c>
      <c r="C2128" s="173" t="s">
        <v>3716</v>
      </c>
      <c r="D2128" s="173" t="s">
        <v>470</v>
      </c>
      <c r="E2128">
        <v>1</v>
      </c>
    </row>
    <row r="2129" spans="1:5" hidden="1" x14ac:dyDescent="0.25">
      <c r="A2129" s="173" t="s">
        <v>804</v>
      </c>
      <c r="B2129">
        <v>19448</v>
      </c>
      <c r="C2129" s="173" t="s">
        <v>4786</v>
      </c>
      <c r="D2129" s="173" t="s">
        <v>470</v>
      </c>
      <c r="E2129">
        <v>1</v>
      </c>
    </row>
    <row r="2130" spans="1:5" hidden="1" x14ac:dyDescent="0.25">
      <c r="A2130" s="173" t="s">
        <v>804</v>
      </c>
      <c r="B2130">
        <v>19448</v>
      </c>
      <c r="C2130" s="173" t="s">
        <v>4787</v>
      </c>
      <c r="D2130" s="173" t="s">
        <v>470</v>
      </c>
      <c r="E2130">
        <v>1</v>
      </c>
    </row>
    <row r="2131" spans="1:5" hidden="1" x14ac:dyDescent="0.25">
      <c r="A2131" s="173" t="s">
        <v>804</v>
      </c>
      <c r="B2131">
        <v>19448</v>
      </c>
      <c r="C2131" s="173" t="s">
        <v>4788</v>
      </c>
      <c r="D2131" s="173" t="s">
        <v>470</v>
      </c>
      <c r="E2131">
        <v>1</v>
      </c>
    </row>
    <row r="2132" spans="1:5" hidden="1" x14ac:dyDescent="0.25">
      <c r="A2132" s="173" t="s">
        <v>804</v>
      </c>
      <c r="B2132">
        <v>19448</v>
      </c>
      <c r="C2132" s="173" t="s">
        <v>4789</v>
      </c>
      <c r="D2132" s="173" t="s">
        <v>470</v>
      </c>
      <c r="E2132">
        <v>1</v>
      </c>
    </row>
    <row r="2133" spans="1:5" hidden="1" x14ac:dyDescent="0.25">
      <c r="A2133" s="173" t="s">
        <v>804</v>
      </c>
      <c r="B2133">
        <v>19448</v>
      </c>
      <c r="C2133" s="173" t="s">
        <v>4790</v>
      </c>
      <c r="D2133" s="173" t="s">
        <v>470</v>
      </c>
      <c r="E2133">
        <v>1</v>
      </c>
    </row>
    <row r="2134" spans="1:5" x14ac:dyDescent="0.25">
      <c r="A2134" s="173" t="s">
        <v>468</v>
      </c>
      <c r="B2134">
        <v>19462</v>
      </c>
      <c r="C2134" s="173" t="s">
        <v>3717</v>
      </c>
      <c r="D2134" s="173" t="s">
        <v>470</v>
      </c>
      <c r="E2134">
        <v>1</v>
      </c>
    </row>
    <row r="2135" spans="1:5" x14ac:dyDescent="0.25">
      <c r="A2135" s="173" t="s">
        <v>468</v>
      </c>
      <c r="B2135">
        <v>19462</v>
      </c>
      <c r="C2135" s="173" t="s">
        <v>3718</v>
      </c>
      <c r="D2135" s="173" t="s">
        <v>470</v>
      </c>
      <c r="E2135">
        <v>1</v>
      </c>
    </row>
    <row r="2136" spans="1:5" x14ac:dyDescent="0.25">
      <c r="A2136" s="173" t="s">
        <v>468</v>
      </c>
      <c r="B2136">
        <v>19462</v>
      </c>
      <c r="C2136" s="173" t="s">
        <v>3719</v>
      </c>
      <c r="D2136" s="173" t="s">
        <v>470</v>
      </c>
      <c r="E2136">
        <v>1</v>
      </c>
    </row>
    <row r="2137" spans="1:5" x14ac:dyDescent="0.25">
      <c r="A2137" s="173" t="s">
        <v>468</v>
      </c>
      <c r="B2137">
        <v>19462</v>
      </c>
      <c r="C2137" s="173" t="s">
        <v>3720</v>
      </c>
      <c r="D2137" s="173" t="s">
        <v>470</v>
      </c>
      <c r="E2137">
        <v>1</v>
      </c>
    </row>
    <row r="2138" spans="1:5" x14ac:dyDescent="0.25">
      <c r="A2138" s="173" t="s">
        <v>468</v>
      </c>
      <c r="B2138">
        <v>19462</v>
      </c>
      <c r="C2138" s="173" t="s">
        <v>3721</v>
      </c>
      <c r="D2138" s="173" t="s">
        <v>470</v>
      </c>
      <c r="E2138">
        <v>1</v>
      </c>
    </row>
    <row r="2139" spans="1:5" x14ac:dyDescent="0.25">
      <c r="A2139" s="173" t="s">
        <v>468</v>
      </c>
      <c r="B2139">
        <v>19462</v>
      </c>
      <c r="C2139" s="173" t="s">
        <v>3722</v>
      </c>
      <c r="D2139" s="173" t="s">
        <v>470</v>
      </c>
      <c r="E2139">
        <v>1</v>
      </c>
    </row>
    <row r="2140" spans="1:5" hidden="1" x14ac:dyDescent="0.25">
      <c r="A2140" s="173" t="s">
        <v>1668</v>
      </c>
      <c r="B2140">
        <v>19478</v>
      </c>
      <c r="C2140" s="173" t="s">
        <v>2129</v>
      </c>
      <c r="D2140" s="173" t="s">
        <v>470</v>
      </c>
      <c r="E2140">
        <v>1</v>
      </c>
    </row>
    <row r="2141" spans="1:5" hidden="1" x14ac:dyDescent="0.25">
      <c r="A2141" s="173" t="s">
        <v>1668</v>
      </c>
      <c r="B2141">
        <v>19478</v>
      </c>
      <c r="C2141" s="173" t="s">
        <v>2130</v>
      </c>
      <c r="D2141" s="173" t="s">
        <v>470</v>
      </c>
      <c r="E2141">
        <v>1</v>
      </c>
    </row>
    <row r="2142" spans="1:5" hidden="1" x14ac:dyDescent="0.25">
      <c r="A2142" s="173" t="s">
        <v>1668</v>
      </c>
      <c r="B2142">
        <v>19478</v>
      </c>
      <c r="C2142" s="173" t="s">
        <v>2131</v>
      </c>
      <c r="D2142" s="173" t="s">
        <v>470</v>
      </c>
      <c r="E2142">
        <v>1</v>
      </c>
    </row>
    <row r="2143" spans="1:5" hidden="1" x14ac:dyDescent="0.25">
      <c r="A2143" s="173" t="s">
        <v>1668</v>
      </c>
      <c r="B2143">
        <v>19478</v>
      </c>
      <c r="C2143" s="173" t="s">
        <v>2132</v>
      </c>
      <c r="D2143" s="173" t="s">
        <v>470</v>
      </c>
      <c r="E2143">
        <v>1</v>
      </c>
    </row>
    <row r="2144" spans="1:5" hidden="1" x14ac:dyDescent="0.25">
      <c r="A2144" s="173" t="s">
        <v>1668</v>
      </c>
      <c r="B2144">
        <v>19478</v>
      </c>
      <c r="C2144" s="173" t="s">
        <v>2133</v>
      </c>
      <c r="D2144" s="173" t="s">
        <v>470</v>
      </c>
      <c r="E2144">
        <v>1</v>
      </c>
    </row>
    <row r="2145" spans="1:5" hidden="1" x14ac:dyDescent="0.25">
      <c r="A2145" s="173" t="s">
        <v>1668</v>
      </c>
      <c r="B2145">
        <v>19478</v>
      </c>
      <c r="C2145" s="173" t="s">
        <v>2134</v>
      </c>
      <c r="D2145" s="173" t="s">
        <v>470</v>
      </c>
      <c r="E2145">
        <v>1</v>
      </c>
    </row>
    <row r="2146" spans="1:5" hidden="1" x14ac:dyDescent="0.25">
      <c r="A2146" s="173" t="s">
        <v>804</v>
      </c>
      <c r="B2146">
        <v>19483</v>
      </c>
      <c r="C2146" s="173" t="s">
        <v>2135</v>
      </c>
      <c r="D2146" s="173" t="s">
        <v>470</v>
      </c>
      <c r="E2146">
        <v>1</v>
      </c>
    </row>
    <row r="2147" spans="1:5" hidden="1" x14ac:dyDescent="0.25">
      <c r="A2147" s="173" t="s">
        <v>804</v>
      </c>
      <c r="B2147">
        <v>19483</v>
      </c>
      <c r="C2147" s="173" t="s">
        <v>2136</v>
      </c>
      <c r="D2147" s="173" t="s">
        <v>470</v>
      </c>
      <c r="E2147">
        <v>1</v>
      </c>
    </row>
    <row r="2148" spans="1:5" hidden="1" x14ac:dyDescent="0.25">
      <c r="A2148" s="173" t="s">
        <v>804</v>
      </c>
      <c r="B2148">
        <v>19483</v>
      </c>
      <c r="C2148" s="173" t="s">
        <v>2137</v>
      </c>
      <c r="D2148" s="173" t="s">
        <v>470</v>
      </c>
      <c r="E2148">
        <v>1</v>
      </c>
    </row>
    <row r="2149" spans="1:5" hidden="1" x14ac:dyDescent="0.25">
      <c r="A2149" s="173" t="s">
        <v>804</v>
      </c>
      <c r="B2149">
        <v>19483</v>
      </c>
      <c r="C2149" s="173" t="s">
        <v>2138</v>
      </c>
      <c r="D2149" s="173" t="s">
        <v>470</v>
      </c>
      <c r="E2149">
        <v>1</v>
      </c>
    </row>
    <row r="2150" spans="1:5" hidden="1" x14ac:dyDescent="0.25">
      <c r="A2150" s="173" t="s">
        <v>804</v>
      </c>
      <c r="B2150">
        <v>19483</v>
      </c>
      <c r="C2150" s="173" t="s">
        <v>2139</v>
      </c>
      <c r="D2150" s="173" t="s">
        <v>470</v>
      </c>
      <c r="E2150">
        <v>1</v>
      </c>
    </row>
    <row r="2151" spans="1:5" hidden="1" x14ac:dyDescent="0.25">
      <c r="A2151" s="173" t="s">
        <v>804</v>
      </c>
      <c r="B2151">
        <v>19483</v>
      </c>
      <c r="C2151" s="173" t="s">
        <v>2140</v>
      </c>
      <c r="D2151" s="173" t="s">
        <v>470</v>
      </c>
      <c r="E2151">
        <v>1</v>
      </c>
    </row>
    <row r="2152" spans="1:5" hidden="1" x14ac:dyDescent="0.25">
      <c r="A2152" s="173" t="s">
        <v>804</v>
      </c>
      <c r="B2152">
        <v>19484</v>
      </c>
      <c r="C2152" s="173" t="s">
        <v>2141</v>
      </c>
      <c r="D2152" s="173" t="s">
        <v>470</v>
      </c>
      <c r="E2152">
        <v>1</v>
      </c>
    </row>
    <row r="2153" spans="1:5" hidden="1" x14ac:dyDescent="0.25">
      <c r="A2153" s="173" t="s">
        <v>804</v>
      </c>
      <c r="B2153">
        <v>19484</v>
      </c>
      <c r="C2153" s="173" t="s">
        <v>2142</v>
      </c>
      <c r="D2153" s="173" t="s">
        <v>470</v>
      </c>
      <c r="E2153">
        <v>1</v>
      </c>
    </row>
    <row r="2154" spans="1:5" hidden="1" x14ac:dyDescent="0.25">
      <c r="A2154" s="173" t="s">
        <v>804</v>
      </c>
      <c r="B2154">
        <v>19484</v>
      </c>
      <c r="C2154" s="173" t="s">
        <v>2143</v>
      </c>
      <c r="D2154" s="173" t="s">
        <v>470</v>
      </c>
      <c r="E2154">
        <v>1</v>
      </c>
    </row>
    <row r="2155" spans="1:5" hidden="1" x14ac:dyDescent="0.25">
      <c r="A2155" s="173" t="s">
        <v>804</v>
      </c>
      <c r="B2155">
        <v>19484</v>
      </c>
      <c r="C2155" s="173" t="s">
        <v>2144</v>
      </c>
      <c r="D2155" s="173" t="s">
        <v>470</v>
      </c>
      <c r="E2155">
        <v>1</v>
      </c>
    </row>
    <row r="2156" spans="1:5" hidden="1" x14ac:dyDescent="0.25">
      <c r="A2156" s="173" t="s">
        <v>804</v>
      </c>
      <c r="B2156">
        <v>19484</v>
      </c>
      <c r="C2156" s="173" t="s">
        <v>2145</v>
      </c>
      <c r="D2156" s="173" t="s">
        <v>470</v>
      </c>
      <c r="E2156">
        <v>1</v>
      </c>
    </row>
    <row r="2157" spans="1:5" hidden="1" x14ac:dyDescent="0.25">
      <c r="A2157" s="173" t="s">
        <v>804</v>
      </c>
      <c r="B2157">
        <v>19484</v>
      </c>
      <c r="C2157" s="173" t="s">
        <v>2146</v>
      </c>
      <c r="D2157" s="173" t="s">
        <v>470</v>
      </c>
      <c r="E2157">
        <v>1</v>
      </c>
    </row>
    <row r="2158" spans="1:5" hidden="1" x14ac:dyDescent="0.25">
      <c r="A2158" s="173" t="s">
        <v>804</v>
      </c>
      <c r="B2158">
        <v>19485</v>
      </c>
      <c r="C2158" s="173" t="s">
        <v>2147</v>
      </c>
      <c r="D2158" s="173" t="s">
        <v>470</v>
      </c>
      <c r="E2158">
        <v>1</v>
      </c>
    </row>
    <row r="2159" spans="1:5" hidden="1" x14ac:dyDescent="0.25">
      <c r="A2159" s="173" t="s">
        <v>804</v>
      </c>
      <c r="B2159">
        <v>19485</v>
      </c>
      <c r="C2159" s="173" t="s">
        <v>2148</v>
      </c>
      <c r="D2159" s="173" t="s">
        <v>470</v>
      </c>
      <c r="E2159">
        <v>1</v>
      </c>
    </row>
    <row r="2160" spans="1:5" hidden="1" x14ac:dyDescent="0.25">
      <c r="A2160" s="173" t="s">
        <v>804</v>
      </c>
      <c r="B2160">
        <v>19485</v>
      </c>
      <c r="C2160" s="173" t="s">
        <v>2149</v>
      </c>
      <c r="D2160" s="173" t="s">
        <v>470</v>
      </c>
      <c r="E2160">
        <v>1</v>
      </c>
    </row>
    <row r="2161" spans="1:5" hidden="1" x14ac:dyDescent="0.25">
      <c r="A2161" s="173" t="s">
        <v>804</v>
      </c>
      <c r="B2161">
        <v>19485</v>
      </c>
      <c r="C2161" s="173" t="s">
        <v>2150</v>
      </c>
      <c r="D2161" s="173" t="s">
        <v>470</v>
      </c>
      <c r="E2161">
        <v>1</v>
      </c>
    </row>
    <row r="2162" spans="1:5" hidden="1" x14ac:dyDescent="0.25">
      <c r="A2162" s="173" t="s">
        <v>804</v>
      </c>
      <c r="B2162">
        <v>19485</v>
      </c>
      <c r="C2162" s="173" t="s">
        <v>2151</v>
      </c>
      <c r="D2162" s="173" t="s">
        <v>470</v>
      </c>
      <c r="E2162">
        <v>1</v>
      </c>
    </row>
    <row r="2163" spans="1:5" hidden="1" x14ac:dyDescent="0.25">
      <c r="A2163" s="173" t="s">
        <v>804</v>
      </c>
      <c r="B2163">
        <v>19486</v>
      </c>
      <c r="C2163" s="173" t="s">
        <v>2152</v>
      </c>
      <c r="D2163" s="173" t="s">
        <v>470</v>
      </c>
      <c r="E2163">
        <v>1</v>
      </c>
    </row>
    <row r="2164" spans="1:5" hidden="1" x14ac:dyDescent="0.25">
      <c r="A2164" s="173" t="s">
        <v>804</v>
      </c>
      <c r="B2164">
        <v>19486</v>
      </c>
      <c r="C2164" s="173" t="s">
        <v>2153</v>
      </c>
      <c r="D2164" s="173" t="s">
        <v>470</v>
      </c>
      <c r="E2164">
        <v>1</v>
      </c>
    </row>
    <row r="2165" spans="1:5" hidden="1" x14ac:dyDescent="0.25">
      <c r="A2165" s="173" t="s">
        <v>804</v>
      </c>
      <c r="B2165">
        <v>19486</v>
      </c>
      <c r="C2165" s="173" t="s">
        <v>2154</v>
      </c>
      <c r="D2165" s="173" t="s">
        <v>470</v>
      </c>
      <c r="E2165">
        <v>1</v>
      </c>
    </row>
    <row r="2166" spans="1:5" hidden="1" x14ac:dyDescent="0.25">
      <c r="A2166" s="173" t="s">
        <v>804</v>
      </c>
      <c r="B2166">
        <v>19486</v>
      </c>
      <c r="C2166" s="173" t="s">
        <v>2155</v>
      </c>
      <c r="D2166" s="173" t="s">
        <v>470</v>
      </c>
      <c r="E2166">
        <v>1</v>
      </c>
    </row>
    <row r="2167" spans="1:5" hidden="1" x14ac:dyDescent="0.25">
      <c r="A2167" s="173" t="s">
        <v>804</v>
      </c>
      <c r="B2167">
        <v>19486</v>
      </c>
      <c r="C2167" s="173" t="s">
        <v>2156</v>
      </c>
      <c r="D2167" s="173" t="s">
        <v>470</v>
      </c>
      <c r="E2167">
        <v>1</v>
      </c>
    </row>
    <row r="2168" spans="1:5" hidden="1" x14ac:dyDescent="0.25">
      <c r="A2168" s="173" t="s">
        <v>804</v>
      </c>
      <c r="B2168">
        <v>19487</v>
      </c>
      <c r="C2168" s="173" t="s">
        <v>2157</v>
      </c>
      <c r="D2168" s="173" t="s">
        <v>470</v>
      </c>
      <c r="E2168">
        <v>1</v>
      </c>
    </row>
    <row r="2169" spans="1:5" hidden="1" x14ac:dyDescent="0.25">
      <c r="A2169" s="173" t="s">
        <v>804</v>
      </c>
      <c r="B2169">
        <v>19487</v>
      </c>
      <c r="C2169" s="173" t="s">
        <v>2158</v>
      </c>
      <c r="D2169" s="173" t="s">
        <v>470</v>
      </c>
      <c r="E2169">
        <v>1</v>
      </c>
    </row>
    <row r="2170" spans="1:5" hidden="1" x14ac:dyDescent="0.25">
      <c r="A2170" s="173" t="s">
        <v>804</v>
      </c>
      <c r="B2170">
        <v>19487</v>
      </c>
      <c r="C2170" s="173" t="s">
        <v>2159</v>
      </c>
      <c r="D2170" s="173" t="s">
        <v>470</v>
      </c>
      <c r="E2170">
        <v>1</v>
      </c>
    </row>
    <row r="2171" spans="1:5" hidden="1" x14ac:dyDescent="0.25">
      <c r="A2171" s="173" t="s">
        <v>804</v>
      </c>
      <c r="B2171">
        <v>19487</v>
      </c>
      <c r="C2171" s="173" t="s">
        <v>2160</v>
      </c>
      <c r="D2171" s="173" t="s">
        <v>470</v>
      </c>
      <c r="E2171">
        <v>1</v>
      </c>
    </row>
    <row r="2172" spans="1:5" hidden="1" x14ac:dyDescent="0.25">
      <c r="A2172" s="173" t="s">
        <v>804</v>
      </c>
      <c r="B2172">
        <v>19487</v>
      </c>
      <c r="C2172" s="173" t="s">
        <v>2161</v>
      </c>
      <c r="D2172" s="173" t="s">
        <v>470</v>
      </c>
      <c r="E2172">
        <v>1</v>
      </c>
    </row>
    <row r="2173" spans="1:5" hidden="1" x14ac:dyDescent="0.25">
      <c r="A2173" s="173" t="s">
        <v>804</v>
      </c>
      <c r="B2173">
        <v>19526</v>
      </c>
      <c r="C2173" s="173" t="s">
        <v>4791</v>
      </c>
      <c r="D2173" s="173" t="s">
        <v>470</v>
      </c>
      <c r="E2173">
        <v>1</v>
      </c>
    </row>
    <row r="2174" spans="1:5" hidden="1" x14ac:dyDescent="0.25">
      <c r="A2174" s="173" t="s">
        <v>804</v>
      </c>
      <c r="B2174">
        <v>19526</v>
      </c>
      <c r="C2174" s="173" t="s">
        <v>4792</v>
      </c>
      <c r="D2174" s="173" t="s">
        <v>470</v>
      </c>
      <c r="E2174">
        <v>1</v>
      </c>
    </row>
    <row r="2175" spans="1:5" hidden="1" x14ac:dyDescent="0.25">
      <c r="A2175" s="173" t="s">
        <v>804</v>
      </c>
      <c r="B2175">
        <v>19526</v>
      </c>
      <c r="C2175" s="173" t="s">
        <v>4793</v>
      </c>
      <c r="D2175" s="173" t="s">
        <v>470</v>
      </c>
      <c r="E2175">
        <v>1</v>
      </c>
    </row>
    <row r="2176" spans="1:5" hidden="1" x14ac:dyDescent="0.25">
      <c r="A2176" s="173" t="s">
        <v>804</v>
      </c>
      <c r="B2176">
        <v>19526</v>
      </c>
      <c r="C2176" s="173" t="s">
        <v>4794</v>
      </c>
      <c r="D2176" s="173" t="s">
        <v>470</v>
      </c>
      <c r="E2176">
        <v>1</v>
      </c>
    </row>
    <row r="2177" spans="1:5" hidden="1" x14ac:dyDescent="0.25">
      <c r="A2177" s="173" t="s">
        <v>804</v>
      </c>
      <c r="B2177">
        <v>22303</v>
      </c>
      <c r="C2177" s="173" t="s">
        <v>2162</v>
      </c>
      <c r="D2177" s="173" t="s">
        <v>470</v>
      </c>
      <c r="E2177">
        <v>1</v>
      </c>
    </row>
    <row r="2178" spans="1:5" hidden="1" x14ac:dyDescent="0.25">
      <c r="A2178" s="173" t="s">
        <v>804</v>
      </c>
      <c r="B2178">
        <v>22303</v>
      </c>
      <c r="C2178" s="173" t="s">
        <v>2163</v>
      </c>
      <c r="D2178" s="173" t="s">
        <v>470</v>
      </c>
      <c r="E2178">
        <v>1</v>
      </c>
    </row>
    <row r="2179" spans="1:5" hidden="1" x14ac:dyDescent="0.25">
      <c r="A2179" s="173" t="s">
        <v>804</v>
      </c>
      <c r="B2179">
        <v>22303</v>
      </c>
      <c r="C2179" s="173" t="s">
        <v>2164</v>
      </c>
      <c r="D2179" s="173" t="s">
        <v>470</v>
      </c>
      <c r="E2179">
        <v>1</v>
      </c>
    </row>
    <row r="2180" spans="1:5" hidden="1" x14ac:dyDescent="0.25">
      <c r="A2180" s="173" t="s">
        <v>804</v>
      </c>
      <c r="B2180">
        <v>22303</v>
      </c>
      <c r="C2180" s="173" t="s">
        <v>2165</v>
      </c>
      <c r="D2180" s="173" t="s">
        <v>470</v>
      </c>
      <c r="E2180">
        <v>1</v>
      </c>
    </row>
    <row r="2181" spans="1:5" hidden="1" x14ac:dyDescent="0.25">
      <c r="A2181" s="173" t="s">
        <v>804</v>
      </c>
      <c r="B2181">
        <v>22459</v>
      </c>
      <c r="C2181" s="173" t="s">
        <v>2166</v>
      </c>
      <c r="D2181" s="173" t="s">
        <v>470</v>
      </c>
      <c r="E2181">
        <v>2</v>
      </c>
    </row>
    <row r="2182" spans="1:5" hidden="1" x14ac:dyDescent="0.25">
      <c r="A2182" s="173" t="s">
        <v>804</v>
      </c>
      <c r="B2182">
        <v>22459</v>
      </c>
      <c r="C2182" s="173" t="s">
        <v>2167</v>
      </c>
      <c r="D2182" s="173" t="s">
        <v>470</v>
      </c>
      <c r="E2182">
        <v>2</v>
      </c>
    </row>
    <row r="2183" spans="1:5" hidden="1" x14ac:dyDescent="0.25">
      <c r="A2183" s="173" t="s">
        <v>804</v>
      </c>
      <c r="B2183">
        <v>22459</v>
      </c>
      <c r="C2183" s="173" t="s">
        <v>2168</v>
      </c>
      <c r="D2183" s="173" t="s">
        <v>470</v>
      </c>
      <c r="E2183">
        <v>2</v>
      </c>
    </row>
    <row r="2184" spans="1:5" hidden="1" x14ac:dyDescent="0.25">
      <c r="A2184" s="173" t="s">
        <v>804</v>
      </c>
      <c r="B2184">
        <v>22459</v>
      </c>
      <c r="C2184" s="173" t="s">
        <v>2169</v>
      </c>
      <c r="D2184" s="173" t="s">
        <v>470</v>
      </c>
      <c r="E2184">
        <v>2</v>
      </c>
    </row>
    <row r="2185" spans="1:5" hidden="1" x14ac:dyDescent="0.25">
      <c r="A2185" s="173" t="s">
        <v>804</v>
      </c>
      <c r="B2185">
        <v>22459</v>
      </c>
      <c r="C2185" s="173" t="s">
        <v>2170</v>
      </c>
      <c r="D2185" s="173" t="s">
        <v>470</v>
      </c>
      <c r="E2185">
        <v>2</v>
      </c>
    </row>
    <row r="2186" spans="1:5" hidden="1" x14ac:dyDescent="0.25">
      <c r="A2186" s="173" t="s">
        <v>804</v>
      </c>
      <c r="B2186">
        <v>22459</v>
      </c>
      <c r="C2186" s="173" t="s">
        <v>2171</v>
      </c>
      <c r="D2186" s="173" t="s">
        <v>470</v>
      </c>
      <c r="E2186">
        <v>2</v>
      </c>
    </row>
    <row r="2187" spans="1:5" hidden="1" x14ac:dyDescent="0.25">
      <c r="A2187" s="173" t="s">
        <v>804</v>
      </c>
      <c r="B2187">
        <v>22459</v>
      </c>
      <c r="C2187" s="173" t="s">
        <v>2172</v>
      </c>
      <c r="D2187" s="173" t="s">
        <v>470</v>
      </c>
      <c r="E2187">
        <v>2</v>
      </c>
    </row>
    <row r="2188" spans="1:5" hidden="1" x14ac:dyDescent="0.25">
      <c r="A2188" s="173" t="s">
        <v>804</v>
      </c>
      <c r="B2188">
        <v>22459</v>
      </c>
      <c r="C2188" s="173" t="s">
        <v>2173</v>
      </c>
      <c r="D2188" s="173" t="s">
        <v>470</v>
      </c>
      <c r="E2188">
        <v>2</v>
      </c>
    </row>
    <row r="2189" spans="1:5" hidden="1" x14ac:dyDescent="0.25">
      <c r="A2189" s="173" t="s">
        <v>804</v>
      </c>
      <c r="B2189">
        <v>22459</v>
      </c>
      <c r="C2189" s="173" t="s">
        <v>2174</v>
      </c>
      <c r="D2189" s="173" t="s">
        <v>470</v>
      </c>
      <c r="E2189">
        <v>2</v>
      </c>
    </row>
    <row r="2190" spans="1:5" hidden="1" x14ac:dyDescent="0.25">
      <c r="A2190" s="173" t="s">
        <v>804</v>
      </c>
      <c r="B2190">
        <v>22459</v>
      </c>
      <c r="C2190" s="173" t="s">
        <v>2175</v>
      </c>
      <c r="D2190" s="173" t="s">
        <v>470</v>
      </c>
      <c r="E2190">
        <v>2</v>
      </c>
    </row>
    <row r="2191" spans="1:5" hidden="1" x14ac:dyDescent="0.25">
      <c r="A2191" s="173" t="s">
        <v>804</v>
      </c>
      <c r="B2191">
        <v>22459</v>
      </c>
      <c r="C2191" s="173" t="s">
        <v>2176</v>
      </c>
      <c r="D2191" s="173" t="s">
        <v>470</v>
      </c>
      <c r="E2191">
        <v>2</v>
      </c>
    </row>
    <row r="2192" spans="1:5" hidden="1" x14ac:dyDescent="0.25">
      <c r="A2192" s="173" t="s">
        <v>804</v>
      </c>
      <c r="B2192">
        <v>22459</v>
      </c>
      <c r="C2192" s="173" t="s">
        <v>2177</v>
      </c>
      <c r="D2192" s="173" t="s">
        <v>470</v>
      </c>
      <c r="E2192">
        <v>2</v>
      </c>
    </row>
    <row r="2193" spans="1:5" hidden="1" x14ac:dyDescent="0.25">
      <c r="A2193" s="173" t="s">
        <v>804</v>
      </c>
      <c r="B2193">
        <v>22459</v>
      </c>
      <c r="C2193" s="173" t="s">
        <v>2178</v>
      </c>
      <c r="D2193" s="173" t="s">
        <v>470</v>
      </c>
      <c r="E2193">
        <v>2</v>
      </c>
    </row>
    <row r="2194" spans="1:5" hidden="1" x14ac:dyDescent="0.25">
      <c r="A2194" s="173" t="s">
        <v>804</v>
      </c>
      <c r="B2194">
        <v>22459</v>
      </c>
      <c r="C2194" s="173" t="s">
        <v>2179</v>
      </c>
      <c r="D2194" s="173" t="s">
        <v>470</v>
      </c>
      <c r="E2194">
        <v>2</v>
      </c>
    </row>
    <row r="2195" spans="1:5" hidden="1" x14ac:dyDescent="0.25">
      <c r="A2195" s="173" t="s">
        <v>804</v>
      </c>
      <c r="B2195">
        <v>22459</v>
      </c>
      <c r="C2195" s="173" t="s">
        <v>2180</v>
      </c>
      <c r="D2195" s="173" t="s">
        <v>470</v>
      </c>
      <c r="E2195">
        <v>2</v>
      </c>
    </row>
    <row r="2196" spans="1:5" hidden="1" x14ac:dyDescent="0.25">
      <c r="A2196" s="173" t="s">
        <v>804</v>
      </c>
      <c r="B2196">
        <v>22459</v>
      </c>
      <c r="C2196" s="173" t="s">
        <v>2181</v>
      </c>
      <c r="D2196" s="173" t="s">
        <v>470</v>
      </c>
      <c r="E2196">
        <v>2</v>
      </c>
    </row>
    <row r="2197" spans="1:5" hidden="1" x14ac:dyDescent="0.25">
      <c r="A2197" s="173" t="s">
        <v>804</v>
      </c>
      <c r="B2197">
        <v>22459</v>
      </c>
      <c r="C2197" s="173" t="s">
        <v>2182</v>
      </c>
      <c r="D2197" s="173" t="s">
        <v>470</v>
      </c>
      <c r="E2197">
        <v>2</v>
      </c>
    </row>
    <row r="2198" spans="1:5" hidden="1" x14ac:dyDescent="0.25">
      <c r="A2198" s="173" t="s">
        <v>804</v>
      </c>
      <c r="B2198">
        <v>22459</v>
      </c>
      <c r="C2198" s="173" t="s">
        <v>2183</v>
      </c>
      <c r="D2198" s="173" t="s">
        <v>470</v>
      </c>
      <c r="E2198">
        <v>2</v>
      </c>
    </row>
    <row r="2199" spans="1:5" hidden="1" x14ac:dyDescent="0.25">
      <c r="A2199" s="173" t="s">
        <v>804</v>
      </c>
      <c r="B2199">
        <v>22459</v>
      </c>
      <c r="C2199" s="173" t="s">
        <v>2184</v>
      </c>
      <c r="D2199" s="173" t="s">
        <v>470</v>
      </c>
      <c r="E2199">
        <v>2</v>
      </c>
    </row>
    <row r="2200" spans="1:5" hidden="1" x14ac:dyDescent="0.25">
      <c r="A2200" s="173" t="s">
        <v>804</v>
      </c>
      <c r="B2200">
        <v>22459</v>
      </c>
      <c r="C2200" s="173" t="s">
        <v>2185</v>
      </c>
      <c r="D2200" s="173" t="s">
        <v>470</v>
      </c>
      <c r="E2200">
        <v>2</v>
      </c>
    </row>
    <row r="2201" spans="1:5" hidden="1" x14ac:dyDescent="0.25">
      <c r="A2201" s="173" t="s">
        <v>804</v>
      </c>
      <c r="B2201">
        <v>22459</v>
      </c>
      <c r="C2201" s="173" t="s">
        <v>2186</v>
      </c>
      <c r="D2201" s="173" t="s">
        <v>470</v>
      </c>
      <c r="E2201">
        <v>2</v>
      </c>
    </row>
    <row r="2202" spans="1:5" hidden="1" x14ac:dyDescent="0.25">
      <c r="A2202" s="173" t="s">
        <v>804</v>
      </c>
      <c r="B2202">
        <v>22459</v>
      </c>
      <c r="C2202" s="173" t="s">
        <v>2187</v>
      </c>
      <c r="D2202" s="173" t="s">
        <v>470</v>
      </c>
      <c r="E2202">
        <v>2</v>
      </c>
    </row>
    <row r="2203" spans="1:5" hidden="1" x14ac:dyDescent="0.25">
      <c r="A2203" s="173" t="s">
        <v>804</v>
      </c>
      <c r="B2203">
        <v>22459</v>
      </c>
      <c r="C2203" s="173" t="s">
        <v>2188</v>
      </c>
      <c r="D2203" s="173" t="s">
        <v>470</v>
      </c>
      <c r="E2203">
        <v>2</v>
      </c>
    </row>
    <row r="2204" spans="1:5" hidden="1" x14ac:dyDescent="0.25">
      <c r="A2204" s="173" t="s">
        <v>804</v>
      </c>
      <c r="B2204">
        <v>22459</v>
      </c>
      <c r="C2204" s="173" t="s">
        <v>2189</v>
      </c>
      <c r="D2204" s="173" t="s">
        <v>470</v>
      </c>
      <c r="E2204">
        <v>2</v>
      </c>
    </row>
    <row r="2205" spans="1:5" hidden="1" x14ac:dyDescent="0.25">
      <c r="A2205" s="173" t="s">
        <v>804</v>
      </c>
      <c r="B2205">
        <v>22459</v>
      </c>
      <c r="C2205" s="173" t="s">
        <v>2190</v>
      </c>
      <c r="D2205" s="173" t="s">
        <v>470</v>
      </c>
      <c r="E2205">
        <v>2</v>
      </c>
    </row>
    <row r="2206" spans="1:5" hidden="1" x14ac:dyDescent="0.25">
      <c r="A2206" s="173" t="s">
        <v>804</v>
      </c>
      <c r="B2206">
        <v>22459</v>
      </c>
      <c r="C2206" s="173" t="s">
        <v>2191</v>
      </c>
      <c r="D2206" s="173" t="s">
        <v>470</v>
      </c>
      <c r="E2206">
        <v>2</v>
      </c>
    </row>
    <row r="2207" spans="1:5" hidden="1" x14ac:dyDescent="0.25">
      <c r="A2207" s="173" t="s">
        <v>804</v>
      </c>
      <c r="B2207">
        <v>22459</v>
      </c>
      <c r="C2207" s="173" t="s">
        <v>2192</v>
      </c>
      <c r="D2207" s="173" t="s">
        <v>470</v>
      </c>
      <c r="E2207">
        <v>2</v>
      </c>
    </row>
    <row r="2208" spans="1:5" hidden="1" x14ac:dyDescent="0.25">
      <c r="A2208" s="173" t="s">
        <v>804</v>
      </c>
      <c r="B2208">
        <v>22459</v>
      </c>
      <c r="C2208" s="173" t="s">
        <v>2193</v>
      </c>
      <c r="D2208" s="173" t="s">
        <v>470</v>
      </c>
      <c r="E2208">
        <v>2</v>
      </c>
    </row>
    <row r="2209" spans="1:5" hidden="1" x14ac:dyDescent="0.25">
      <c r="A2209" s="173" t="s">
        <v>804</v>
      </c>
      <c r="B2209">
        <v>22459</v>
      </c>
      <c r="C2209" s="173" t="s">
        <v>2194</v>
      </c>
      <c r="D2209" s="173" t="s">
        <v>470</v>
      </c>
      <c r="E2209">
        <v>2</v>
      </c>
    </row>
    <row r="2210" spans="1:5" hidden="1" x14ac:dyDescent="0.25">
      <c r="A2210" s="173" t="s">
        <v>804</v>
      </c>
      <c r="B2210">
        <v>22459</v>
      </c>
      <c r="C2210" s="173" t="s">
        <v>2195</v>
      </c>
      <c r="D2210" s="173" t="s">
        <v>470</v>
      </c>
      <c r="E2210">
        <v>2</v>
      </c>
    </row>
    <row r="2211" spans="1:5" hidden="1" x14ac:dyDescent="0.25">
      <c r="A2211" s="173" t="s">
        <v>804</v>
      </c>
      <c r="B2211">
        <v>22459</v>
      </c>
      <c r="C2211" s="173" t="s">
        <v>2196</v>
      </c>
      <c r="D2211" s="173" t="s">
        <v>470</v>
      </c>
      <c r="E2211">
        <v>2</v>
      </c>
    </row>
    <row r="2212" spans="1:5" hidden="1" x14ac:dyDescent="0.25">
      <c r="A2212" s="173" t="s">
        <v>804</v>
      </c>
      <c r="B2212">
        <v>22459</v>
      </c>
      <c r="C2212" s="173" t="s">
        <v>2197</v>
      </c>
      <c r="D2212" s="173" t="s">
        <v>470</v>
      </c>
      <c r="E2212">
        <v>2</v>
      </c>
    </row>
    <row r="2213" spans="1:5" hidden="1" x14ac:dyDescent="0.25">
      <c r="A2213" s="173" t="s">
        <v>804</v>
      </c>
      <c r="B2213">
        <v>22459</v>
      </c>
      <c r="C2213" s="173" t="s">
        <v>2198</v>
      </c>
      <c r="D2213" s="173" t="s">
        <v>470</v>
      </c>
      <c r="E2213">
        <v>2</v>
      </c>
    </row>
    <row r="2214" spans="1:5" hidden="1" x14ac:dyDescent="0.25">
      <c r="A2214" s="173" t="s">
        <v>804</v>
      </c>
      <c r="B2214">
        <v>22459</v>
      </c>
      <c r="C2214" s="173" t="s">
        <v>2199</v>
      </c>
      <c r="D2214" s="173" t="s">
        <v>470</v>
      </c>
      <c r="E2214">
        <v>2</v>
      </c>
    </row>
    <row r="2215" spans="1:5" hidden="1" x14ac:dyDescent="0.25">
      <c r="A2215" s="173" t="s">
        <v>804</v>
      </c>
      <c r="B2215">
        <v>22459</v>
      </c>
      <c r="C2215" s="173" t="s">
        <v>2200</v>
      </c>
      <c r="D2215" s="173" t="s">
        <v>470</v>
      </c>
      <c r="E2215">
        <v>2</v>
      </c>
    </row>
    <row r="2216" spans="1:5" hidden="1" x14ac:dyDescent="0.25">
      <c r="A2216" s="173" t="s">
        <v>804</v>
      </c>
      <c r="B2216">
        <v>22459</v>
      </c>
      <c r="C2216" s="173" t="s">
        <v>2201</v>
      </c>
      <c r="D2216" s="173" t="s">
        <v>470</v>
      </c>
      <c r="E2216">
        <v>2</v>
      </c>
    </row>
    <row r="2217" spans="1:5" hidden="1" x14ac:dyDescent="0.25">
      <c r="A2217" s="173" t="s">
        <v>804</v>
      </c>
      <c r="B2217">
        <v>22459</v>
      </c>
      <c r="C2217" s="173" t="s">
        <v>2202</v>
      </c>
      <c r="D2217" s="173" t="s">
        <v>470</v>
      </c>
      <c r="E2217">
        <v>2</v>
      </c>
    </row>
    <row r="2218" spans="1:5" hidden="1" x14ac:dyDescent="0.25">
      <c r="A2218" s="173" t="s">
        <v>804</v>
      </c>
      <c r="B2218">
        <v>22459</v>
      </c>
      <c r="C2218" s="173" t="s">
        <v>2203</v>
      </c>
      <c r="D2218" s="173" t="s">
        <v>470</v>
      </c>
      <c r="E2218">
        <v>2</v>
      </c>
    </row>
    <row r="2219" spans="1:5" hidden="1" x14ac:dyDescent="0.25">
      <c r="A2219" s="173" t="s">
        <v>804</v>
      </c>
      <c r="B2219">
        <v>22459</v>
      </c>
      <c r="C2219" s="173" t="s">
        <v>2204</v>
      </c>
      <c r="D2219" s="173" t="s">
        <v>470</v>
      </c>
      <c r="E2219">
        <v>2</v>
      </c>
    </row>
    <row r="2220" spans="1:5" hidden="1" x14ac:dyDescent="0.25">
      <c r="A2220" s="173" t="s">
        <v>804</v>
      </c>
      <c r="B2220">
        <v>22459</v>
      </c>
      <c r="C2220" s="173" t="s">
        <v>2205</v>
      </c>
      <c r="D2220" s="173" t="s">
        <v>470</v>
      </c>
      <c r="E2220">
        <v>2</v>
      </c>
    </row>
    <row r="2221" spans="1:5" hidden="1" x14ac:dyDescent="0.25">
      <c r="A2221" s="173" t="s">
        <v>804</v>
      </c>
      <c r="B2221">
        <v>22459</v>
      </c>
      <c r="C2221" s="173" t="s">
        <v>2206</v>
      </c>
      <c r="D2221" s="173" t="s">
        <v>470</v>
      </c>
      <c r="E2221">
        <v>2</v>
      </c>
    </row>
    <row r="2222" spans="1:5" hidden="1" x14ac:dyDescent="0.25">
      <c r="A2222" s="173" t="s">
        <v>804</v>
      </c>
      <c r="B2222">
        <v>22459</v>
      </c>
      <c r="C2222" s="173" t="s">
        <v>2207</v>
      </c>
      <c r="D2222" s="173" t="s">
        <v>470</v>
      </c>
      <c r="E2222">
        <v>2</v>
      </c>
    </row>
    <row r="2223" spans="1:5" hidden="1" x14ac:dyDescent="0.25">
      <c r="A2223" s="173" t="s">
        <v>804</v>
      </c>
      <c r="B2223">
        <v>22459</v>
      </c>
      <c r="C2223" s="173" t="s">
        <v>2208</v>
      </c>
      <c r="D2223" s="173" t="s">
        <v>470</v>
      </c>
      <c r="E2223">
        <v>2</v>
      </c>
    </row>
    <row r="2224" spans="1:5" hidden="1" x14ac:dyDescent="0.25">
      <c r="A2224" s="173" t="s">
        <v>804</v>
      </c>
      <c r="B2224">
        <v>22459</v>
      </c>
      <c r="C2224" s="173" t="s">
        <v>2209</v>
      </c>
      <c r="D2224" s="173" t="s">
        <v>470</v>
      </c>
      <c r="E2224">
        <v>2</v>
      </c>
    </row>
    <row r="2225" spans="1:5" hidden="1" x14ac:dyDescent="0.25">
      <c r="A2225" s="173" t="s">
        <v>804</v>
      </c>
      <c r="B2225">
        <v>22459</v>
      </c>
      <c r="C2225" s="173" t="s">
        <v>2210</v>
      </c>
      <c r="D2225" s="173" t="s">
        <v>470</v>
      </c>
      <c r="E2225">
        <v>2</v>
      </c>
    </row>
    <row r="2226" spans="1:5" hidden="1" x14ac:dyDescent="0.25">
      <c r="A2226" s="173" t="s">
        <v>804</v>
      </c>
      <c r="B2226">
        <v>22459</v>
      </c>
      <c r="C2226" s="173" t="s">
        <v>2211</v>
      </c>
      <c r="D2226" s="173" t="s">
        <v>470</v>
      </c>
      <c r="E2226">
        <v>2</v>
      </c>
    </row>
    <row r="2227" spans="1:5" hidden="1" x14ac:dyDescent="0.25">
      <c r="A2227" s="173" t="s">
        <v>804</v>
      </c>
      <c r="B2227">
        <v>22459</v>
      </c>
      <c r="C2227" s="173" t="s">
        <v>2212</v>
      </c>
      <c r="D2227" s="173" t="s">
        <v>470</v>
      </c>
      <c r="E2227">
        <v>2</v>
      </c>
    </row>
    <row r="2228" spans="1:5" hidden="1" x14ac:dyDescent="0.25">
      <c r="A2228" s="173" t="s">
        <v>804</v>
      </c>
      <c r="B2228">
        <v>22459</v>
      </c>
      <c r="C2228" s="173" t="s">
        <v>2213</v>
      </c>
      <c r="D2228" s="173" t="s">
        <v>470</v>
      </c>
      <c r="E2228">
        <v>2</v>
      </c>
    </row>
    <row r="2229" spans="1:5" hidden="1" x14ac:dyDescent="0.25">
      <c r="A2229" s="173" t="s">
        <v>804</v>
      </c>
      <c r="B2229">
        <v>22459</v>
      </c>
      <c r="C2229" s="173" t="s">
        <v>2214</v>
      </c>
      <c r="D2229" s="173" t="s">
        <v>470</v>
      </c>
      <c r="E2229">
        <v>2</v>
      </c>
    </row>
    <row r="2230" spans="1:5" hidden="1" x14ac:dyDescent="0.25">
      <c r="A2230" s="173" t="s">
        <v>804</v>
      </c>
      <c r="B2230">
        <v>22459</v>
      </c>
      <c r="C2230" s="173" t="s">
        <v>2215</v>
      </c>
      <c r="D2230" s="173" t="s">
        <v>470</v>
      </c>
      <c r="E2230">
        <v>2</v>
      </c>
    </row>
    <row r="2231" spans="1:5" hidden="1" x14ac:dyDescent="0.25">
      <c r="A2231" s="173" t="s">
        <v>804</v>
      </c>
      <c r="B2231">
        <v>22459</v>
      </c>
      <c r="C2231" s="173" t="s">
        <v>2216</v>
      </c>
      <c r="D2231" s="173" t="s">
        <v>470</v>
      </c>
      <c r="E2231">
        <v>2</v>
      </c>
    </row>
    <row r="2232" spans="1:5" hidden="1" x14ac:dyDescent="0.25">
      <c r="A2232" s="173" t="s">
        <v>804</v>
      </c>
      <c r="B2232">
        <v>22459</v>
      </c>
      <c r="C2232" s="173" t="s">
        <v>2217</v>
      </c>
      <c r="D2232" s="173" t="s">
        <v>470</v>
      </c>
      <c r="E2232">
        <v>2</v>
      </c>
    </row>
    <row r="2233" spans="1:5" hidden="1" x14ac:dyDescent="0.25">
      <c r="A2233" s="173" t="s">
        <v>804</v>
      </c>
      <c r="B2233">
        <v>22459</v>
      </c>
      <c r="C2233" s="173" t="s">
        <v>2218</v>
      </c>
      <c r="D2233" s="173" t="s">
        <v>470</v>
      </c>
      <c r="E2233">
        <v>2</v>
      </c>
    </row>
    <row r="2234" spans="1:5" hidden="1" x14ac:dyDescent="0.25">
      <c r="A2234" s="173" t="s">
        <v>804</v>
      </c>
      <c r="B2234">
        <v>22459</v>
      </c>
      <c r="C2234" s="173" t="s">
        <v>2219</v>
      </c>
      <c r="D2234" s="173" t="s">
        <v>470</v>
      </c>
      <c r="E2234">
        <v>2</v>
      </c>
    </row>
    <row r="2235" spans="1:5" hidden="1" x14ac:dyDescent="0.25">
      <c r="A2235" s="173" t="s">
        <v>804</v>
      </c>
      <c r="B2235">
        <v>22459</v>
      </c>
      <c r="C2235" s="173" t="s">
        <v>2220</v>
      </c>
      <c r="D2235" s="173" t="s">
        <v>470</v>
      </c>
      <c r="E2235">
        <v>2</v>
      </c>
    </row>
    <row r="2236" spans="1:5" hidden="1" x14ac:dyDescent="0.25">
      <c r="A2236" s="173" t="s">
        <v>804</v>
      </c>
      <c r="B2236">
        <v>22459</v>
      </c>
      <c r="C2236" s="173" t="s">
        <v>2221</v>
      </c>
      <c r="D2236" s="173" t="s">
        <v>470</v>
      </c>
      <c r="E2236">
        <v>2</v>
      </c>
    </row>
    <row r="2237" spans="1:5" hidden="1" x14ac:dyDescent="0.25">
      <c r="A2237" s="173" t="s">
        <v>804</v>
      </c>
      <c r="B2237">
        <v>22459</v>
      </c>
      <c r="C2237" s="173" t="s">
        <v>2222</v>
      </c>
      <c r="D2237" s="173" t="s">
        <v>470</v>
      </c>
      <c r="E2237">
        <v>2</v>
      </c>
    </row>
    <row r="2238" spans="1:5" hidden="1" x14ac:dyDescent="0.25">
      <c r="A2238" s="173" t="s">
        <v>804</v>
      </c>
      <c r="B2238">
        <v>22459</v>
      </c>
      <c r="C2238" s="173" t="s">
        <v>2223</v>
      </c>
      <c r="D2238" s="173" t="s">
        <v>470</v>
      </c>
      <c r="E2238">
        <v>2</v>
      </c>
    </row>
    <row r="2239" spans="1:5" hidden="1" x14ac:dyDescent="0.25">
      <c r="A2239" s="173" t="s">
        <v>804</v>
      </c>
      <c r="B2239">
        <v>22459</v>
      </c>
      <c r="C2239" s="173" t="s">
        <v>2224</v>
      </c>
      <c r="D2239" s="173" t="s">
        <v>470</v>
      </c>
      <c r="E2239">
        <v>2</v>
      </c>
    </row>
    <row r="2240" spans="1:5" hidden="1" x14ac:dyDescent="0.25">
      <c r="A2240" s="173" t="s">
        <v>804</v>
      </c>
      <c r="B2240">
        <v>22459</v>
      </c>
      <c r="C2240" s="173" t="s">
        <v>2225</v>
      </c>
      <c r="D2240" s="173" t="s">
        <v>470</v>
      </c>
      <c r="E2240">
        <v>2</v>
      </c>
    </row>
    <row r="2241" spans="1:5" hidden="1" x14ac:dyDescent="0.25">
      <c r="A2241" s="173" t="s">
        <v>804</v>
      </c>
      <c r="B2241">
        <v>22459</v>
      </c>
      <c r="C2241" s="173" t="s">
        <v>2226</v>
      </c>
      <c r="D2241" s="173" t="s">
        <v>470</v>
      </c>
      <c r="E2241">
        <v>2</v>
      </c>
    </row>
    <row r="2242" spans="1:5" hidden="1" x14ac:dyDescent="0.25">
      <c r="A2242" s="173" t="s">
        <v>804</v>
      </c>
      <c r="B2242">
        <v>22459</v>
      </c>
      <c r="C2242" s="173" t="s">
        <v>2227</v>
      </c>
      <c r="D2242" s="173" t="s">
        <v>470</v>
      </c>
      <c r="E2242">
        <v>2</v>
      </c>
    </row>
    <row r="2243" spans="1:5" hidden="1" x14ac:dyDescent="0.25">
      <c r="A2243" s="173" t="s">
        <v>804</v>
      </c>
      <c r="B2243">
        <v>22459</v>
      </c>
      <c r="C2243" s="173" t="s">
        <v>2228</v>
      </c>
      <c r="D2243" s="173" t="s">
        <v>470</v>
      </c>
      <c r="E2243">
        <v>2</v>
      </c>
    </row>
    <row r="2244" spans="1:5" hidden="1" x14ac:dyDescent="0.25">
      <c r="A2244" s="173" t="s">
        <v>804</v>
      </c>
      <c r="B2244">
        <v>22459</v>
      </c>
      <c r="C2244" s="173" t="s">
        <v>2229</v>
      </c>
      <c r="D2244" s="173" t="s">
        <v>470</v>
      </c>
      <c r="E2244">
        <v>2</v>
      </c>
    </row>
    <row r="2245" spans="1:5" hidden="1" x14ac:dyDescent="0.25">
      <c r="A2245" s="173" t="s">
        <v>804</v>
      </c>
      <c r="B2245">
        <v>22594</v>
      </c>
      <c r="C2245" s="173" t="s">
        <v>3723</v>
      </c>
      <c r="D2245" s="173" t="s">
        <v>470</v>
      </c>
      <c r="E2245">
        <v>2</v>
      </c>
    </row>
    <row r="2246" spans="1:5" hidden="1" x14ac:dyDescent="0.25">
      <c r="A2246" s="173" t="s">
        <v>804</v>
      </c>
      <c r="B2246">
        <v>22594</v>
      </c>
      <c r="C2246" s="173" t="s">
        <v>3724</v>
      </c>
      <c r="D2246" s="173" t="s">
        <v>470</v>
      </c>
      <c r="E2246">
        <v>2</v>
      </c>
    </row>
    <row r="2247" spans="1:5" hidden="1" x14ac:dyDescent="0.25">
      <c r="A2247" s="173" t="s">
        <v>804</v>
      </c>
      <c r="B2247">
        <v>22594</v>
      </c>
      <c r="C2247" s="173" t="s">
        <v>3725</v>
      </c>
      <c r="D2247" s="173" t="s">
        <v>470</v>
      </c>
      <c r="E2247">
        <v>2</v>
      </c>
    </row>
    <row r="2248" spans="1:5" hidden="1" x14ac:dyDescent="0.25">
      <c r="A2248" s="173" t="s">
        <v>804</v>
      </c>
      <c r="B2248">
        <v>22594</v>
      </c>
      <c r="C2248" s="173" t="s">
        <v>3726</v>
      </c>
      <c r="D2248" s="173" t="s">
        <v>470</v>
      </c>
      <c r="E2248">
        <v>2</v>
      </c>
    </row>
    <row r="2249" spans="1:5" hidden="1" x14ac:dyDescent="0.25">
      <c r="A2249" s="173" t="s">
        <v>804</v>
      </c>
      <c r="B2249">
        <v>22594</v>
      </c>
      <c r="C2249" s="173" t="s">
        <v>3727</v>
      </c>
      <c r="D2249" s="173" t="s">
        <v>470</v>
      </c>
      <c r="E2249">
        <v>2</v>
      </c>
    </row>
    <row r="2250" spans="1:5" hidden="1" x14ac:dyDescent="0.25">
      <c r="A2250" s="173" t="s">
        <v>804</v>
      </c>
      <c r="B2250">
        <v>22710</v>
      </c>
      <c r="C2250" s="173" t="s">
        <v>2230</v>
      </c>
      <c r="D2250" s="173" t="s">
        <v>470</v>
      </c>
      <c r="E2250">
        <v>2</v>
      </c>
    </row>
    <row r="2251" spans="1:5" hidden="1" x14ac:dyDescent="0.25">
      <c r="A2251" s="173" t="s">
        <v>804</v>
      </c>
      <c r="B2251">
        <v>22710</v>
      </c>
      <c r="C2251" s="173" t="s">
        <v>2231</v>
      </c>
      <c r="D2251" s="173" t="s">
        <v>470</v>
      </c>
      <c r="E2251">
        <v>2</v>
      </c>
    </row>
    <row r="2252" spans="1:5" hidden="1" x14ac:dyDescent="0.25">
      <c r="A2252" s="173" t="s">
        <v>804</v>
      </c>
      <c r="B2252">
        <v>22710</v>
      </c>
      <c r="C2252" s="173" t="s">
        <v>2232</v>
      </c>
      <c r="D2252" s="173" t="s">
        <v>470</v>
      </c>
      <c r="E2252">
        <v>2</v>
      </c>
    </row>
    <row r="2253" spans="1:5" hidden="1" x14ac:dyDescent="0.25">
      <c r="A2253" s="173" t="s">
        <v>804</v>
      </c>
      <c r="B2253">
        <v>22710</v>
      </c>
      <c r="C2253" s="173" t="s">
        <v>2233</v>
      </c>
      <c r="D2253" s="173" t="s">
        <v>470</v>
      </c>
      <c r="E2253">
        <v>2</v>
      </c>
    </row>
    <row r="2254" spans="1:5" hidden="1" x14ac:dyDescent="0.25">
      <c r="A2254" s="173" t="s">
        <v>804</v>
      </c>
      <c r="B2254">
        <v>22710</v>
      </c>
      <c r="C2254" s="173" t="s">
        <v>2234</v>
      </c>
      <c r="D2254" s="173" t="s">
        <v>470</v>
      </c>
      <c r="E2254">
        <v>2</v>
      </c>
    </row>
    <row r="2255" spans="1:5" hidden="1" x14ac:dyDescent="0.25">
      <c r="A2255" s="173" t="s">
        <v>804</v>
      </c>
      <c r="B2255">
        <v>22710</v>
      </c>
      <c r="C2255" s="173" t="s">
        <v>2235</v>
      </c>
      <c r="D2255" s="173" t="s">
        <v>470</v>
      </c>
      <c r="E2255">
        <v>2</v>
      </c>
    </row>
    <row r="2256" spans="1:5" hidden="1" x14ac:dyDescent="0.25">
      <c r="A2256" s="173" t="s">
        <v>804</v>
      </c>
      <c r="B2256">
        <v>22710</v>
      </c>
      <c r="C2256" s="173" t="s">
        <v>2236</v>
      </c>
      <c r="D2256" s="173" t="s">
        <v>470</v>
      </c>
      <c r="E2256">
        <v>1</v>
      </c>
    </row>
    <row r="2257" spans="1:5" hidden="1" x14ac:dyDescent="0.25">
      <c r="A2257" s="173" t="s">
        <v>804</v>
      </c>
      <c r="B2257">
        <v>22710</v>
      </c>
      <c r="C2257" s="173" t="s">
        <v>2237</v>
      </c>
      <c r="D2257" s="173" t="s">
        <v>470</v>
      </c>
      <c r="E2257">
        <v>1</v>
      </c>
    </row>
    <row r="2258" spans="1:5" hidden="1" x14ac:dyDescent="0.25">
      <c r="A2258" s="173" t="s">
        <v>804</v>
      </c>
      <c r="B2258">
        <v>22710</v>
      </c>
      <c r="C2258" s="173" t="s">
        <v>2238</v>
      </c>
      <c r="D2258" s="173" t="s">
        <v>470</v>
      </c>
      <c r="E2258">
        <v>1</v>
      </c>
    </row>
    <row r="2259" spans="1:5" hidden="1" x14ac:dyDescent="0.25">
      <c r="A2259" s="173" t="s">
        <v>804</v>
      </c>
      <c r="B2259">
        <v>22710</v>
      </c>
      <c r="C2259" s="173" t="s">
        <v>2239</v>
      </c>
      <c r="D2259" s="173" t="s">
        <v>470</v>
      </c>
      <c r="E2259">
        <v>1</v>
      </c>
    </row>
    <row r="2260" spans="1:5" hidden="1" x14ac:dyDescent="0.25">
      <c r="A2260" s="173" t="s">
        <v>804</v>
      </c>
      <c r="B2260">
        <v>22710</v>
      </c>
      <c r="C2260" s="173" t="s">
        <v>2240</v>
      </c>
      <c r="D2260" s="173" t="s">
        <v>470</v>
      </c>
      <c r="E2260">
        <v>2</v>
      </c>
    </row>
    <row r="2261" spans="1:5" hidden="1" x14ac:dyDescent="0.25">
      <c r="A2261" s="173" t="s">
        <v>804</v>
      </c>
      <c r="B2261">
        <v>22710</v>
      </c>
      <c r="C2261" s="173" t="s">
        <v>2241</v>
      </c>
      <c r="D2261" s="173" t="s">
        <v>470</v>
      </c>
      <c r="E2261">
        <v>2</v>
      </c>
    </row>
    <row r="2262" spans="1:5" hidden="1" x14ac:dyDescent="0.25">
      <c r="A2262" s="173" t="s">
        <v>804</v>
      </c>
      <c r="B2262">
        <v>22710</v>
      </c>
      <c r="C2262" s="173" t="s">
        <v>2242</v>
      </c>
      <c r="D2262" s="173" t="s">
        <v>470</v>
      </c>
      <c r="E2262">
        <v>2</v>
      </c>
    </row>
    <row r="2263" spans="1:5" hidden="1" x14ac:dyDescent="0.25">
      <c r="A2263" s="173" t="s">
        <v>804</v>
      </c>
      <c r="B2263">
        <v>22710</v>
      </c>
      <c r="C2263" s="173" t="s">
        <v>2243</v>
      </c>
      <c r="D2263" s="173" t="s">
        <v>470</v>
      </c>
      <c r="E2263">
        <v>2</v>
      </c>
    </row>
    <row r="2264" spans="1:5" hidden="1" x14ac:dyDescent="0.25">
      <c r="A2264" s="173" t="s">
        <v>804</v>
      </c>
      <c r="B2264">
        <v>22710</v>
      </c>
      <c r="C2264" s="173" t="s">
        <v>2244</v>
      </c>
      <c r="D2264" s="173" t="s">
        <v>470</v>
      </c>
      <c r="E2264">
        <v>2</v>
      </c>
    </row>
    <row r="2265" spans="1:5" hidden="1" x14ac:dyDescent="0.25">
      <c r="A2265" s="173" t="s">
        <v>804</v>
      </c>
      <c r="B2265">
        <v>22710</v>
      </c>
      <c r="C2265" s="173" t="s">
        <v>2245</v>
      </c>
      <c r="D2265" s="173" t="s">
        <v>470</v>
      </c>
      <c r="E2265">
        <v>2</v>
      </c>
    </row>
    <row r="2266" spans="1:5" hidden="1" x14ac:dyDescent="0.25">
      <c r="A2266" s="173" t="s">
        <v>804</v>
      </c>
      <c r="B2266">
        <v>22710</v>
      </c>
      <c r="C2266" s="173" t="s">
        <v>2246</v>
      </c>
      <c r="D2266" s="173" t="s">
        <v>470</v>
      </c>
      <c r="E2266">
        <v>2</v>
      </c>
    </row>
    <row r="2267" spans="1:5" hidden="1" x14ac:dyDescent="0.25">
      <c r="A2267" s="173" t="s">
        <v>804</v>
      </c>
      <c r="B2267">
        <v>22710</v>
      </c>
      <c r="C2267" s="173" t="s">
        <v>2247</v>
      </c>
      <c r="D2267" s="173" t="s">
        <v>470</v>
      </c>
      <c r="E2267">
        <v>2</v>
      </c>
    </row>
    <row r="2268" spans="1:5" hidden="1" x14ac:dyDescent="0.25">
      <c r="A2268" s="173" t="s">
        <v>804</v>
      </c>
      <c r="B2268">
        <v>22710</v>
      </c>
      <c r="C2268" s="173" t="s">
        <v>2248</v>
      </c>
      <c r="D2268" s="173" t="s">
        <v>470</v>
      </c>
      <c r="E2268">
        <v>2</v>
      </c>
    </row>
    <row r="2269" spans="1:5" hidden="1" x14ac:dyDescent="0.25">
      <c r="A2269" s="173" t="s">
        <v>804</v>
      </c>
      <c r="B2269">
        <v>22710</v>
      </c>
      <c r="C2269" s="173" t="s">
        <v>2249</v>
      </c>
      <c r="D2269" s="173" t="s">
        <v>470</v>
      </c>
      <c r="E2269">
        <v>2</v>
      </c>
    </row>
    <row r="2270" spans="1:5" hidden="1" x14ac:dyDescent="0.25">
      <c r="A2270" s="173" t="s">
        <v>804</v>
      </c>
      <c r="B2270">
        <v>22710</v>
      </c>
      <c r="C2270" s="173" t="s">
        <v>2250</v>
      </c>
      <c r="D2270" s="173" t="s">
        <v>470</v>
      </c>
      <c r="E2270">
        <v>2</v>
      </c>
    </row>
    <row r="2271" spans="1:5" hidden="1" x14ac:dyDescent="0.25">
      <c r="A2271" s="173" t="s">
        <v>804</v>
      </c>
      <c r="B2271">
        <v>22710</v>
      </c>
      <c r="C2271" s="173" t="s">
        <v>2251</v>
      </c>
      <c r="D2271" s="173" t="s">
        <v>470</v>
      </c>
      <c r="E2271">
        <v>2</v>
      </c>
    </row>
    <row r="2272" spans="1:5" hidden="1" x14ac:dyDescent="0.25">
      <c r="A2272" s="173" t="s">
        <v>804</v>
      </c>
      <c r="B2272">
        <v>22710</v>
      </c>
      <c r="C2272" s="173" t="s">
        <v>2252</v>
      </c>
      <c r="D2272" s="173" t="s">
        <v>470</v>
      </c>
      <c r="E2272">
        <v>2</v>
      </c>
    </row>
    <row r="2273" spans="1:5" hidden="1" x14ac:dyDescent="0.25">
      <c r="A2273" s="173" t="s">
        <v>804</v>
      </c>
      <c r="B2273">
        <v>22710</v>
      </c>
      <c r="C2273" s="173" t="s">
        <v>2253</v>
      </c>
      <c r="D2273" s="173" t="s">
        <v>470</v>
      </c>
      <c r="E2273">
        <v>2</v>
      </c>
    </row>
    <row r="2274" spans="1:5" hidden="1" x14ac:dyDescent="0.25">
      <c r="A2274" s="173" t="s">
        <v>804</v>
      </c>
      <c r="B2274">
        <v>22710</v>
      </c>
      <c r="C2274" s="173" t="s">
        <v>2254</v>
      </c>
      <c r="D2274" s="173" t="s">
        <v>470</v>
      </c>
      <c r="E2274">
        <v>1</v>
      </c>
    </row>
    <row r="2275" spans="1:5" hidden="1" x14ac:dyDescent="0.25">
      <c r="A2275" s="173" t="s">
        <v>804</v>
      </c>
      <c r="B2275">
        <v>22710</v>
      </c>
      <c r="C2275" s="173" t="s">
        <v>2255</v>
      </c>
      <c r="D2275" s="173" t="s">
        <v>470</v>
      </c>
      <c r="E2275">
        <v>1</v>
      </c>
    </row>
    <row r="2276" spans="1:5" hidden="1" x14ac:dyDescent="0.25">
      <c r="A2276" s="173" t="s">
        <v>804</v>
      </c>
      <c r="B2276">
        <v>22710</v>
      </c>
      <c r="C2276" s="173" t="s">
        <v>2256</v>
      </c>
      <c r="D2276" s="173" t="s">
        <v>470</v>
      </c>
      <c r="E2276">
        <v>1</v>
      </c>
    </row>
    <row r="2277" spans="1:5" hidden="1" x14ac:dyDescent="0.25">
      <c r="A2277" s="173" t="s">
        <v>804</v>
      </c>
      <c r="B2277">
        <v>22993</v>
      </c>
      <c r="C2277" s="173" t="s">
        <v>3728</v>
      </c>
      <c r="D2277" s="173" t="s">
        <v>470</v>
      </c>
      <c r="E2277">
        <v>3</v>
      </c>
    </row>
    <row r="2278" spans="1:5" hidden="1" x14ac:dyDescent="0.25">
      <c r="A2278" s="173" t="s">
        <v>804</v>
      </c>
      <c r="B2278">
        <v>22993</v>
      </c>
      <c r="C2278" s="173" t="s">
        <v>3729</v>
      </c>
      <c r="D2278" s="173" t="s">
        <v>470</v>
      </c>
      <c r="E2278">
        <v>3</v>
      </c>
    </row>
    <row r="2279" spans="1:5" hidden="1" x14ac:dyDescent="0.25">
      <c r="A2279" s="173" t="s">
        <v>804</v>
      </c>
      <c r="B2279">
        <v>22993</v>
      </c>
      <c r="C2279" s="173" t="s">
        <v>3730</v>
      </c>
      <c r="D2279" s="173" t="s">
        <v>470</v>
      </c>
      <c r="E2279">
        <v>3</v>
      </c>
    </row>
    <row r="2280" spans="1:5" hidden="1" x14ac:dyDescent="0.25">
      <c r="A2280" s="173" t="s">
        <v>804</v>
      </c>
      <c r="B2280">
        <v>22993</v>
      </c>
      <c r="C2280" s="173" t="s">
        <v>3731</v>
      </c>
      <c r="D2280" s="173" t="s">
        <v>470</v>
      </c>
      <c r="E2280">
        <v>3</v>
      </c>
    </row>
    <row r="2281" spans="1:5" hidden="1" x14ac:dyDescent="0.25">
      <c r="A2281" s="173" t="s">
        <v>804</v>
      </c>
      <c r="B2281">
        <v>22993</v>
      </c>
      <c r="C2281" s="173" t="s">
        <v>3732</v>
      </c>
      <c r="D2281" s="173" t="s">
        <v>470</v>
      </c>
      <c r="E2281">
        <v>3</v>
      </c>
    </row>
    <row r="2282" spans="1:5" x14ac:dyDescent="0.25">
      <c r="A2282" s="173" t="s">
        <v>468</v>
      </c>
      <c r="B2282">
        <v>23285</v>
      </c>
      <c r="C2282" s="173" t="s">
        <v>2258</v>
      </c>
      <c r="D2282" s="173" t="s">
        <v>470</v>
      </c>
      <c r="E2282">
        <v>2</v>
      </c>
    </row>
    <row r="2283" spans="1:5" x14ac:dyDescent="0.25">
      <c r="A2283" s="173" t="s">
        <v>468</v>
      </c>
      <c r="B2283">
        <v>23285</v>
      </c>
      <c r="C2283" s="173" t="s">
        <v>2259</v>
      </c>
      <c r="D2283" s="173" t="s">
        <v>470</v>
      </c>
      <c r="E2283">
        <v>2</v>
      </c>
    </row>
    <row r="2284" spans="1:5" x14ac:dyDescent="0.25">
      <c r="A2284" s="173" t="s">
        <v>468</v>
      </c>
      <c r="B2284">
        <v>23285</v>
      </c>
      <c r="C2284" s="173" t="s">
        <v>2260</v>
      </c>
      <c r="D2284" s="173" t="s">
        <v>470</v>
      </c>
      <c r="E2284">
        <v>2</v>
      </c>
    </row>
    <row r="2285" spans="1:5" x14ac:dyDescent="0.25">
      <c r="A2285" s="173" t="s">
        <v>468</v>
      </c>
      <c r="B2285">
        <v>23285</v>
      </c>
      <c r="C2285" s="173" t="s">
        <v>2261</v>
      </c>
      <c r="D2285" s="173" t="s">
        <v>470</v>
      </c>
      <c r="E2285">
        <v>2</v>
      </c>
    </row>
    <row r="2286" spans="1:5" x14ac:dyDescent="0.25">
      <c r="A2286" s="173" t="s">
        <v>468</v>
      </c>
      <c r="B2286">
        <v>23285</v>
      </c>
      <c r="C2286" s="173" t="s">
        <v>2262</v>
      </c>
      <c r="D2286" s="173" t="s">
        <v>470</v>
      </c>
      <c r="E2286">
        <v>2</v>
      </c>
    </row>
    <row r="2287" spans="1:5" x14ac:dyDescent="0.25">
      <c r="A2287" s="173" t="s">
        <v>468</v>
      </c>
      <c r="B2287">
        <v>23285</v>
      </c>
      <c r="C2287" s="173" t="s">
        <v>2263</v>
      </c>
      <c r="D2287" s="173" t="s">
        <v>470</v>
      </c>
      <c r="E2287">
        <v>2</v>
      </c>
    </row>
    <row r="2288" spans="1:5" x14ac:dyDescent="0.25">
      <c r="A2288" s="173" t="s">
        <v>468</v>
      </c>
      <c r="B2288">
        <v>23285</v>
      </c>
      <c r="C2288" s="173" t="s">
        <v>2264</v>
      </c>
      <c r="D2288" s="173" t="s">
        <v>470</v>
      </c>
      <c r="E2288">
        <v>2</v>
      </c>
    </row>
    <row r="2289" spans="1:5" x14ac:dyDescent="0.25">
      <c r="A2289" s="173" t="s">
        <v>468</v>
      </c>
      <c r="B2289">
        <v>23285</v>
      </c>
      <c r="C2289" s="173" t="s">
        <v>2265</v>
      </c>
      <c r="D2289" s="173" t="s">
        <v>470</v>
      </c>
      <c r="E2289">
        <v>2</v>
      </c>
    </row>
    <row r="2290" spans="1:5" x14ac:dyDescent="0.25">
      <c r="A2290" s="173" t="s">
        <v>468</v>
      </c>
      <c r="B2290">
        <v>23285</v>
      </c>
      <c r="C2290" s="173" t="s">
        <v>2266</v>
      </c>
      <c r="D2290" s="173" t="s">
        <v>470</v>
      </c>
      <c r="E2290">
        <v>3</v>
      </c>
    </row>
    <row r="2291" spans="1:5" x14ac:dyDescent="0.25">
      <c r="A2291" s="173" t="s">
        <v>468</v>
      </c>
      <c r="B2291">
        <v>23285</v>
      </c>
      <c r="C2291" s="173" t="s">
        <v>2267</v>
      </c>
      <c r="D2291" s="173" t="s">
        <v>470</v>
      </c>
      <c r="E2291">
        <v>2</v>
      </c>
    </row>
    <row r="2292" spans="1:5" x14ac:dyDescent="0.25">
      <c r="A2292" s="173" t="s">
        <v>468</v>
      </c>
      <c r="B2292">
        <v>23285</v>
      </c>
      <c r="C2292" s="173" t="s">
        <v>2268</v>
      </c>
      <c r="D2292" s="173" t="s">
        <v>470</v>
      </c>
      <c r="E2292">
        <v>2</v>
      </c>
    </row>
    <row r="2293" spans="1:5" x14ac:dyDescent="0.25">
      <c r="A2293" s="173" t="s">
        <v>468</v>
      </c>
      <c r="B2293">
        <v>23285</v>
      </c>
      <c r="C2293" s="173" t="s">
        <v>2269</v>
      </c>
      <c r="D2293" s="173" t="s">
        <v>470</v>
      </c>
      <c r="E2293">
        <v>2</v>
      </c>
    </row>
    <row r="2294" spans="1:5" x14ac:dyDescent="0.25">
      <c r="A2294" s="173" t="s">
        <v>468</v>
      </c>
      <c r="B2294">
        <v>23285</v>
      </c>
      <c r="C2294" s="173" t="s">
        <v>2270</v>
      </c>
      <c r="D2294" s="173" t="s">
        <v>470</v>
      </c>
      <c r="E2294">
        <v>2</v>
      </c>
    </row>
    <row r="2295" spans="1:5" x14ac:dyDescent="0.25">
      <c r="A2295" s="173" t="s">
        <v>468</v>
      </c>
      <c r="B2295">
        <v>23285</v>
      </c>
      <c r="C2295" s="173" t="s">
        <v>2271</v>
      </c>
      <c r="D2295" s="173" t="s">
        <v>470</v>
      </c>
      <c r="E2295">
        <v>2</v>
      </c>
    </row>
    <row r="2296" spans="1:5" x14ac:dyDescent="0.25">
      <c r="A2296" s="173" t="s">
        <v>468</v>
      </c>
      <c r="B2296">
        <v>23285</v>
      </c>
      <c r="C2296" s="173" t="s">
        <v>2272</v>
      </c>
      <c r="D2296" s="173" t="s">
        <v>470</v>
      </c>
      <c r="E2296">
        <v>2</v>
      </c>
    </row>
    <row r="2297" spans="1:5" x14ac:dyDescent="0.25">
      <c r="A2297" s="173" t="s">
        <v>468</v>
      </c>
      <c r="B2297">
        <v>23285</v>
      </c>
      <c r="C2297" s="173" t="s">
        <v>2273</v>
      </c>
      <c r="D2297" s="173" t="s">
        <v>470</v>
      </c>
      <c r="E2297">
        <v>2</v>
      </c>
    </row>
    <row r="2298" spans="1:5" x14ac:dyDescent="0.25">
      <c r="A2298" s="173" t="s">
        <v>468</v>
      </c>
      <c r="B2298">
        <v>23285</v>
      </c>
      <c r="C2298" s="173" t="s">
        <v>2274</v>
      </c>
      <c r="D2298" s="173" t="s">
        <v>470</v>
      </c>
      <c r="E2298">
        <v>2</v>
      </c>
    </row>
    <row r="2299" spans="1:5" x14ac:dyDescent="0.25">
      <c r="A2299" s="173" t="s">
        <v>468</v>
      </c>
      <c r="B2299">
        <v>23285</v>
      </c>
      <c r="C2299" s="173" t="s">
        <v>2275</v>
      </c>
      <c r="D2299" s="173" t="s">
        <v>470</v>
      </c>
      <c r="E2299">
        <v>2</v>
      </c>
    </row>
    <row r="2300" spans="1:5" x14ac:dyDescent="0.25">
      <c r="A2300" s="173" t="s">
        <v>468</v>
      </c>
      <c r="B2300">
        <v>23285</v>
      </c>
      <c r="C2300" s="173" t="s">
        <v>2276</v>
      </c>
      <c r="D2300" s="173" t="s">
        <v>470</v>
      </c>
      <c r="E2300">
        <v>2</v>
      </c>
    </row>
    <row r="2301" spans="1:5" x14ac:dyDescent="0.25">
      <c r="A2301" s="173" t="s">
        <v>468</v>
      </c>
      <c r="B2301">
        <v>23285</v>
      </c>
      <c r="C2301" s="173" t="s">
        <v>2277</v>
      </c>
      <c r="D2301" s="173" t="s">
        <v>470</v>
      </c>
      <c r="E2301">
        <v>2</v>
      </c>
    </row>
    <row r="2302" spans="1:5" x14ac:dyDescent="0.25">
      <c r="A2302" s="173" t="s">
        <v>468</v>
      </c>
      <c r="B2302">
        <v>23285</v>
      </c>
      <c r="C2302" s="173" t="s">
        <v>2278</v>
      </c>
      <c r="D2302" s="173" t="s">
        <v>470</v>
      </c>
      <c r="E2302">
        <v>2</v>
      </c>
    </row>
    <row r="2303" spans="1:5" x14ac:dyDescent="0.25">
      <c r="A2303" s="173" t="s">
        <v>468</v>
      </c>
      <c r="B2303">
        <v>23285</v>
      </c>
      <c r="C2303" s="173" t="s">
        <v>2279</v>
      </c>
      <c r="D2303" s="173" t="s">
        <v>470</v>
      </c>
      <c r="E2303">
        <v>2</v>
      </c>
    </row>
    <row r="2304" spans="1:5" x14ac:dyDescent="0.25">
      <c r="A2304" s="173" t="s">
        <v>468</v>
      </c>
      <c r="B2304">
        <v>23285</v>
      </c>
      <c r="C2304" s="173" t="s">
        <v>2280</v>
      </c>
      <c r="D2304" s="173" t="s">
        <v>470</v>
      </c>
      <c r="E2304">
        <v>1</v>
      </c>
    </row>
    <row r="2305" spans="1:5" x14ac:dyDescent="0.25">
      <c r="A2305" s="173" t="s">
        <v>468</v>
      </c>
      <c r="B2305">
        <v>23285</v>
      </c>
      <c r="C2305" s="173" t="s">
        <v>2281</v>
      </c>
      <c r="D2305" s="173" t="s">
        <v>470</v>
      </c>
      <c r="E2305">
        <v>2</v>
      </c>
    </row>
    <row r="2306" spans="1:5" x14ac:dyDescent="0.25">
      <c r="A2306" s="173" t="s">
        <v>468</v>
      </c>
      <c r="B2306">
        <v>23285</v>
      </c>
      <c r="C2306" s="173" t="s">
        <v>2282</v>
      </c>
      <c r="D2306" s="173" t="s">
        <v>470</v>
      </c>
      <c r="E2306">
        <v>2</v>
      </c>
    </row>
    <row r="2307" spans="1:5" x14ac:dyDescent="0.25">
      <c r="A2307" s="173" t="s">
        <v>468</v>
      </c>
      <c r="B2307">
        <v>23285</v>
      </c>
      <c r="C2307" s="173" t="s">
        <v>2283</v>
      </c>
      <c r="D2307" s="173" t="s">
        <v>470</v>
      </c>
      <c r="E2307">
        <v>2</v>
      </c>
    </row>
    <row r="2308" spans="1:5" x14ac:dyDescent="0.25">
      <c r="A2308" s="173" t="s">
        <v>468</v>
      </c>
      <c r="B2308">
        <v>23285</v>
      </c>
      <c r="C2308" s="173" t="s">
        <v>2284</v>
      </c>
      <c r="D2308" s="173" t="s">
        <v>470</v>
      </c>
      <c r="E2308">
        <v>2</v>
      </c>
    </row>
    <row r="2309" spans="1:5" x14ac:dyDescent="0.25">
      <c r="A2309" s="173" t="s">
        <v>468</v>
      </c>
      <c r="B2309">
        <v>23285</v>
      </c>
      <c r="C2309" s="173" t="s">
        <v>2285</v>
      </c>
      <c r="D2309" s="173" t="s">
        <v>470</v>
      </c>
      <c r="E2309">
        <v>2</v>
      </c>
    </row>
    <row r="2310" spans="1:5" x14ac:dyDescent="0.25">
      <c r="A2310" s="173" t="s">
        <v>468</v>
      </c>
      <c r="B2310">
        <v>23285</v>
      </c>
      <c r="C2310" s="173" t="s">
        <v>2286</v>
      </c>
      <c r="D2310" s="173" t="s">
        <v>470</v>
      </c>
      <c r="E2310">
        <v>1</v>
      </c>
    </row>
    <row r="2311" spans="1:5" x14ac:dyDescent="0.25">
      <c r="A2311" s="173" t="s">
        <v>468</v>
      </c>
      <c r="B2311">
        <v>23285</v>
      </c>
      <c r="C2311" s="173" t="s">
        <v>2287</v>
      </c>
      <c r="D2311" s="173" t="s">
        <v>470</v>
      </c>
      <c r="E2311">
        <v>1</v>
      </c>
    </row>
    <row r="2312" spans="1:5" x14ac:dyDescent="0.25">
      <c r="A2312" s="173" t="s">
        <v>468</v>
      </c>
      <c r="B2312">
        <v>23285</v>
      </c>
      <c r="C2312" s="173" t="s">
        <v>2288</v>
      </c>
      <c r="D2312" s="173" t="s">
        <v>470</v>
      </c>
      <c r="E2312">
        <v>1</v>
      </c>
    </row>
    <row r="2313" spans="1:5" x14ac:dyDescent="0.25">
      <c r="A2313" s="173" t="s">
        <v>468</v>
      </c>
      <c r="B2313">
        <v>23285</v>
      </c>
      <c r="C2313" s="173" t="s">
        <v>2289</v>
      </c>
      <c r="D2313" s="173" t="s">
        <v>470</v>
      </c>
      <c r="E2313">
        <v>1</v>
      </c>
    </row>
    <row r="2314" spans="1:5" x14ac:dyDescent="0.25">
      <c r="A2314" s="173" t="s">
        <v>468</v>
      </c>
      <c r="B2314">
        <v>23285</v>
      </c>
      <c r="C2314" s="173" t="s">
        <v>2290</v>
      </c>
      <c r="D2314" s="173" t="s">
        <v>470</v>
      </c>
      <c r="E2314">
        <v>1</v>
      </c>
    </row>
    <row r="2315" spans="1:5" x14ac:dyDescent="0.25">
      <c r="A2315" s="173" t="s">
        <v>468</v>
      </c>
      <c r="B2315">
        <v>23285</v>
      </c>
      <c r="C2315" s="173" t="s">
        <v>2291</v>
      </c>
      <c r="D2315" s="173" t="s">
        <v>470</v>
      </c>
      <c r="E2315">
        <v>1</v>
      </c>
    </row>
    <row r="2316" spans="1:5" hidden="1" x14ac:dyDescent="0.25">
      <c r="A2316" s="173" t="s">
        <v>804</v>
      </c>
      <c r="B2316">
        <v>23334</v>
      </c>
      <c r="C2316" s="173" t="s">
        <v>4795</v>
      </c>
      <c r="D2316" s="173" t="s">
        <v>470</v>
      </c>
      <c r="E2316">
        <v>2</v>
      </c>
    </row>
    <row r="2317" spans="1:5" hidden="1" x14ac:dyDescent="0.25">
      <c r="A2317" s="173" t="s">
        <v>804</v>
      </c>
      <c r="B2317">
        <v>23334</v>
      </c>
      <c r="C2317" s="173" t="s">
        <v>4796</v>
      </c>
      <c r="D2317" s="173" t="s">
        <v>470</v>
      </c>
      <c r="E2317">
        <v>2</v>
      </c>
    </row>
    <row r="2318" spans="1:5" hidden="1" x14ac:dyDescent="0.25">
      <c r="A2318" s="173" t="s">
        <v>804</v>
      </c>
      <c r="B2318">
        <v>23334</v>
      </c>
      <c r="C2318" s="173" t="s">
        <v>4797</v>
      </c>
      <c r="D2318" s="173" t="s">
        <v>470</v>
      </c>
      <c r="E2318">
        <v>2</v>
      </c>
    </row>
    <row r="2319" spans="1:5" hidden="1" x14ac:dyDescent="0.25">
      <c r="A2319" s="173" t="s">
        <v>804</v>
      </c>
      <c r="B2319">
        <v>23335</v>
      </c>
      <c r="C2319" s="173" t="s">
        <v>2292</v>
      </c>
      <c r="D2319" s="173" t="s">
        <v>470</v>
      </c>
      <c r="E2319">
        <v>2</v>
      </c>
    </row>
    <row r="2320" spans="1:5" hidden="1" x14ac:dyDescent="0.25">
      <c r="A2320" s="173" t="s">
        <v>804</v>
      </c>
      <c r="B2320">
        <v>23335</v>
      </c>
      <c r="C2320" s="173" t="s">
        <v>2292</v>
      </c>
      <c r="D2320" s="173" t="s">
        <v>470</v>
      </c>
      <c r="E2320">
        <v>1</v>
      </c>
    </row>
    <row r="2321" spans="1:5" hidden="1" x14ac:dyDescent="0.25">
      <c r="A2321" s="173" t="s">
        <v>804</v>
      </c>
      <c r="B2321">
        <v>23335</v>
      </c>
      <c r="C2321" s="173" t="s">
        <v>2293</v>
      </c>
      <c r="D2321" s="173" t="s">
        <v>470</v>
      </c>
      <c r="E2321">
        <v>2</v>
      </c>
    </row>
    <row r="2322" spans="1:5" hidden="1" x14ac:dyDescent="0.25">
      <c r="A2322" s="173" t="s">
        <v>804</v>
      </c>
      <c r="B2322">
        <v>23335</v>
      </c>
      <c r="C2322" s="173" t="s">
        <v>2293</v>
      </c>
      <c r="D2322" s="173" t="s">
        <v>470</v>
      </c>
      <c r="E2322">
        <v>1</v>
      </c>
    </row>
    <row r="2323" spans="1:5" hidden="1" x14ac:dyDescent="0.25">
      <c r="A2323" s="173" t="s">
        <v>804</v>
      </c>
      <c r="B2323">
        <v>23335</v>
      </c>
      <c r="C2323" s="173" t="s">
        <v>2294</v>
      </c>
      <c r="D2323" s="173" t="s">
        <v>470</v>
      </c>
      <c r="E2323">
        <v>2</v>
      </c>
    </row>
    <row r="2324" spans="1:5" hidden="1" x14ac:dyDescent="0.25">
      <c r="A2324" s="173" t="s">
        <v>804</v>
      </c>
      <c r="B2324">
        <v>23335</v>
      </c>
      <c r="C2324" s="173" t="s">
        <v>2294</v>
      </c>
      <c r="D2324" s="173" t="s">
        <v>470</v>
      </c>
      <c r="E2324">
        <v>1</v>
      </c>
    </row>
    <row r="2325" spans="1:5" hidden="1" x14ac:dyDescent="0.25">
      <c r="A2325" s="173" t="s">
        <v>804</v>
      </c>
      <c r="B2325">
        <v>23335</v>
      </c>
      <c r="C2325" s="173" t="s">
        <v>2295</v>
      </c>
      <c r="D2325" s="173" t="s">
        <v>470</v>
      </c>
      <c r="E2325">
        <v>2</v>
      </c>
    </row>
    <row r="2326" spans="1:5" hidden="1" x14ac:dyDescent="0.25">
      <c r="A2326" s="173" t="s">
        <v>804</v>
      </c>
      <c r="B2326">
        <v>23335</v>
      </c>
      <c r="C2326" s="173" t="s">
        <v>2295</v>
      </c>
      <c r="D2326" s="173" t="s">
        <v>470</v>
      </c>
      <c r="E2326">
        <v>1</v>
      </c>
    </row>
    <row r="2327" spans="1:5" hidden="1" x14ac:dyDescent="0.25">
      <c r="A2327" s="173" t="s">
        <v>804</v>
      </c>
      <c r="B2327">
        <v>23340</v>
      </c>
      <c r="C2327" s="173" t="s">
        <v>3733</v>
      </c>
      <c r="D2327" s="173" t="s">
        <v>470</v>
      </c>
      <c r="E2327">
        <v>2</v>
      </c>
    </row>
    <row r="2328" spans="1:5" hidden="1" x14ac:dyDescent="0.25">
      <c r="A2328" s="173" t="s">
        <v>804</v>
      </c>
      <c r="B2328">
        <v>23340</v>
      </c>
      <c r="C2328" s="173" t="s">
        <v>3734</v>
      </c>
      <c r="D2328" s="173" t="s">
        <v>470</v>
      </c>
      <c r="E2328">
        <v>2</v>
      </c>
    </row>
    <row r="2329" spans="1:5" hidden="1" x14ac:dyDescent="0.25">
      <c r="A2329" s="173" t="s">
        <v>804</v>
      </c>
      <c r="B2329">
        <v>23340</v>
      </c>
      <c r="C2329" s="173" t="s">
        <v>3735</v>
      </c>
      <c r="D2329" s="173" t="s">
        <v>470</v>
      </c>
      <c r="E2329">
        <v>2</v>
      </c>
    </row>
    <row r="2330" spans="1:5" hidden="1" x14ac:dyDescent="0.25">
      <c r="A2330" s="173" t="s">
        <v>804</v>
      </c>
      <c r="B2330">
        <v>23340</v>
      </c>
      <c r="C2330" s="173" t="s">
        <v>3736</v>
      </c>
      <c r="D2330" s="173" t="s">
        <v>470</v>
      </c>
      <c r="E2330">
        <v>2</v>
      </c>
    </row>
    <row r="2331" spans="1:5" hidden="1" x14ac:dyDescent="0.25">
      <c r="A2331" s="173" t="s">
        <v>804</v>
      </c>
      <c r="B2331">
        <v>23340</v>
      </c>
      <c r="C2331" s="173" t="s">
        <v>3737</v>
      </c>
      <c r="D2331" s="173" t="s">
        <v>470</v>
      </c>
      <c r="E2331">
        <v>2</v>
      </c>
    </row>
    <row r="2332" spans="1:5" hidden="1" x14ac:dyDescent="0.25">
      <c r="A2332" s="173" t="s">
        <v>514</v>
      </c>
      <c r="B2332">
        <v>23344</v>
      </c>
      <c r="C2332" s="173" t="s">
        <v>2296</v>
      </c>
      <c r="D2332" s="173" t="s">
        <v>470</v>
      </c>
      <c r="E2332">
        <v>1</v>
      </c>
    </row>
    <row r="2333" spans="1:5" hidden="1" x14ac:dyDescent="0.25">
      <c r="A2333" s="173" t="s">
        <v>514</v>
      </c>
      <c r="B2333">
        <v>23344</v>
      </c>
      <c r="C2333" s="173" t="s">
        <v>2297</v>
      </c>
      <c r="D2333" s="173" t="s">
        <v>470</v>
      </c>
      <c r="E2333">
        <v>1</v>
      </c>
    </row>
    <row r="2334" spans="1:5" hidden="1" x14ac:dyDescent="0.25">
      <c r="A2334" s="173" t="s">
        <v>514</v>
      </c>
      <c r="B2334">
        <v>23344</v>
      </c>
      <c r="C2334" s="173" t="s">
        <v>2298</v>
      </c>
      <c r="D2334" s="173" t="s">
        <v>470</v>
      </c>
      <c r="E2334">
        <v>1</v>
      </c>
    </row>
    <row r="2335" spans="1:5" x14ac:dyDescent="0.25">
      <c r="A2335" s="173" t="s">
        <v>468</v>
      </c>
      <c r="B2335">
        <v>23345</v>
      </c>
      <c r="C2335" s="173" t="s">
        <v>2299</v>
      </c>
      <c r="D2335" s="173" t="s">
        <v>470</v>
      </c>
      <c r="E2335">
        <v>2</v>
      </c>
    </row>
    <row r="2336" spans="1:5" x14ac:dyDescent="0.25">
      <c r="A2336" s="173" t="s">
        <v>468</v>
      </c>
      <c r="B2336">
        <v>23345</v>
      </c>
      <c r="C2336" s="173" t="s">
        <v>2299</v>
      </c>
      <c r="D2336" s="173" t="s">
        <v>470</v>
      </c>
      <c r="E2336">
        <v>1</v>
      </c>
    </row>
    <row r="2337" spans="1:5" x14ac:dyDescent="0.25">
      <c r="A2337" s="173" t="s">
        <v>468</v>
      </c>
      <c r="B2337">
        <v>23345</v>
      </c>
      <c r="C2337" s="173" t="s">
        <v>2300</v>
      </c>
      <c r="D2337" s="173" t="s">
        <v>470</v>
      </c>
      <c r="E2337">
        <v>3</v>
      </c>
    </row>
    <row r="2338" spans="1:5" x14ac:dyDescent="0.25">
      <c r="A2338" s="173" t="s">
        <v>468</v>
      </c>
      <c r="B2338">
        <v>23345</v>
      </c>
      <c r="C2338" s="173" t="s">
        <v>414</v>
      </c>
      <c r="D2338" s="173" t="s">
        <v>470</v>
      </c>
      <c r="E2338">
        <v>1</v>
      </c>
    </row>
    <row r="2339" spans="1:5" x14ac:dyDescent="0.25">
      <c r="A2339" s="173" t="s">
        <v>468</v>
      </c>
      <c r="B2339">
        <v>23345</v>
      </c>
      <c r="C2339" s="173" t="s">
        <v>414</v>
      </c>
      <c r="D2339" s="173" t="s">
        <v>470</v>
      </c>
      <c r="E2339">
        <v>2</v>
      </c>
    </row>
    <row r="2340" spans="1:5" x14ac:dyDescent="0.25">
      <c r="A2340" s="173" t="s">
        <v>468</v>
      </c>
      <c r="B2340">
        <v>23345</v>
      </c>
      <c r="C2340" s="173" t="s">
        <v>2301</v>
      </c>
      <c r="D2340" s="173" t="s">
        <v>470</v>
      </c>
      <c r="E2340">
        <v>3</v>
      </c>
    </row>
    <row r="2341" spans="1:5" hidden="1" x14ac:dyDescent="0.25">
      <c r="A2341" s="173" t="s">
        <v>514</v>
      </c>
      <c r="B2341">
        <v>23419</v>
      </c>
      <c r="C2341" s="173" t="s">
        <v>2302</v>
      </c>
      <c r="D2341" s="173" t="s">
        <v>470</v>
      </c>
      <c r="E2341">
        <v>1</v>
      </c>
    </row>
    <row r="2342" spans="1:5" hidden="1" x14ac:dyDescent="0.25">
      <c r="A2342" s="173" t="s">
        <v>514</v>
      </c>
      <c r="B2342">
        <v>23419</v>
      </c>
      <c r="C2342" s="173" t="s">
        <v>2303</v>
      </c>
      <c r="D2342" s="173" t="s">
        <v>470</v>
      </c>
      <c r="E2342">
        <v>1</v>
      </c>
    </row>
    <row r="2343" spans="1:5" hidden="1" x14ac:dyDescent="0.25">
      <c r="A2343" s="173" t="s">
        <v>514</v>
      </c>
      <c r="B2343">
        <v>23419</v>
      </c>
      <c r="C2343" s="173" t="s">
        <v>2304</v>
      </c>
      <c r="D2343" s="173" t="s">
        <v>470</v>
      </c>
      <c r="E2343">
        <v>1</v>
      </c>
    </row>
    <row r="2344" spans="1:5" hidden="1" x14ac:dyDescent="0.25">
      <c r="A2344" s="173" t="s">
        <v>804</v>
      </c>
      <c r="B2344">
        <v>23422</v>
      </c>
      <c r="C2344" s="173" t="s">
        <v>2305</v>
      </c>
      <c r="D2344" s="173" t="s">
        <v>470</v>
      </c>
      <c r="E2344">
        <v>2</v>
      </c>
    </row>
    <row r="2345" spans="1:5" hidden="1" x14ac:dyDescent="0.25">
      <c r="A2345" s="173" t="s">
        <v>804</v>
      </c>
      <c r="B2345">
        <v>23422</v>
      </c>
      <c r="C2345" s="173" t="s">
        <v>2306</v>
      </c>
      <c r="D2345" s="173" t="s">
        <v>2307</v>
      </c>
      <c r="E2345">
        <v>2</v>
      </c>
    </row>
    <row r="2346" spans="1:5" hidden="1" x14ac:dyDescent="0.25">
      <c r="A2346" s="173" t="s">
        <v>804</v>
      </c>
      <c r="B2346">
        <v>23422</v>
      </c>
      <c r="C2346" s="173" t="s">
        <v>2306</v>
      </c>
      <c r="D2346" s="173" t="s">
        <v>470</v>
      </c>
      <c r="E2346">
        <v>1</v>
      </c>
    </row>
    <row r="2347" spans="1:5" hidden="1" x14ac:dyDescent="0.25">
      <c r="A2347" s="173" t="s">
        <v>804</v>
      </c>
      <c r="B2347">
        <v>23422</v>
      </c>
      <c r="C2347" s="173" t="s">
        <v>2308</v>
      </c>
      <c r="D2347" s="173" t="s">
        <v>470</v>
      </c>
      <c r="E2347">
        <v>1</v>
      </c>
    </row>
    <row r="2348" spans="1:5" hidden="1" x14ac:dyDescent="0.25">
      <c r="A2348" s="173" t="s">
        <v>804</v>
      </c>
      <c r="B2348">
        <v>23422</v>
      </c>
      <c r="C2348" s="173" t="s">
        <v>2308</v>
      </c>
      <c r="D2348" s="173" t="s">
        <v>2307</v>
      </c>
      <c r="E2348">
        <v>2</v>
      </c>
    </row>
    <row r="2349" spans="1:5" hidden="1" x14ac:dyDescent="0.25">
      <c r="A2349" s="173" t="s">
        <v>804</v>
      </c>
      <c r="B2349">
        <v>23422</v>
      </c>
      <c r="C2349" s="173" t="s">
        <v>2309</v>
      </c>
      <c r="D2349" s="173" t="s">
        <v>470</v>
      </c>
      <c r="E2349">
        <v>1</v>
      </c>
    </row>
    <row r="2350" spans="1:5" hidden="1" x14ac:dyDescent="0.25">
      <c r="A2350" s="173" t="s">
        <v>804</v>
      </c>
      <c r="B2350">
        <v>23422</v>
      </c>
      <c r="C2350" s="173" t="s">
        <v>2309</v>
      </c>
      <c r="D2350" s="173" t="s">
        <v>2307</v>
      </c>
      <c r="E2350">
        <v>2</v>
      </c>
    </row>
    <row r="2351" spans="1:5" hidden="1" x14ac:dyDescent="0.25">
      <c r="A2351" s="173" t="s">
        <v>804</v>
      </c>
      <c r="B2351">
        <v>23424</v>
      </c>
      <c r="C2351" s="173" t="s">
        <v>2310</v>
      </c>
      <c r="D2351" s="173" t="s">
        <v>470</v>
      </c>
      <c r="E2351">
        <v>1</v>
      </c>
    </row>
    <row r="2352" spans="1:5" hidden="1" x14ac:dyDescent="0.25">
      <c r="A2352" s="173" t="s">
        <v>804</v>
      </c>
      <c r="B2352">
        <v>23424</v>
      </c>
      <c r="C2352" s="173" t="s">
        <v>2311</v>
      </c>
      <c r="D2352" s="173" t="s">
        <v>470</v>
      </c>
      <c r="E2352">
        <v>1</v>
      </c>
    </row>
    <row r="2353" spans="1:5" hidden="1" x14ac:dyDescent="0.25">
      <c r="A2353" s="173" t="s">
        <v>804</v>
      </c>
      <c r="B2353">
        <v>23424</v>
      </c>
      <c r="C2353" s="173" t="s">
        <v>2312</v>
      </c>
      <c r="D2353" s="173" t="s">
        <v>470</v>
      </c>
      <c r="E2353">
        <v>1</v>
      </c>
    </row>
    <row r="2354" spans="1:5" hidden="1" x14ac:dyDescent="0.25">
      <c r="A2354" s="173" t="s">
        <v>804</v>
      </c>
      <c r="B2354">
        <v>23424</v>
      </c>
      <c r="C2354" s="173" t="s">
        <v>2313</v>
      </c>
      <c r="D2354" s="173" t="s">
        <v>470</v>
      </c>
      <c r="E2354">
        <v>1</v>
      </c>
    </row>
    <row r="2355" spans="1:5" hidden="1" x14ac:dyDescent="0.25">
      <c r="A2355" s="173" t="s">
        <v>804</v>
      </c>
      <c r="B2355">
        <v>23424</v>
      </c>
      <c r="C2355" s="173" t="s">
        <v>2314</v>
      </c>
      <c r="D2355" s="173" t="s">
        <v>470</v>
      </c>
      <c r="E2355">
        <v>1</v>
      </c>
    </row>
    <row r="2356" spans="1:5" x14ac:dyDescent="0.25">
      <c r="A2356" s="173" t="s">
        <v>468</v>
      </c>
      <c r="B2356">
        <v>23430</v>
      </c>
      <c r="C2356" s="173" t="s">
        <v>3738</v>
      </c>
      <c r="D2356" s="173" t="s">
        <v>470</v>
      </c>
      <c r="E2356">
        <v>1</v>
      </c>
    </row>
    <row r="2357" spans="1:5" x14ac:dyDescent="0.25">
      <c r="A2357" s="173" t="s">
        <v>468</v>
      </c>
      <c r="B2357">
        <v>23430</v>
      </c>
      <c r="C2357" s="173" t="s">
        <v>3739</v>
      </c>
      <c r="D2357" s="173" t="s">
        <v>470</v>
      </c>
      <c r="E2357">
        <v>2</v>
      </c>
    </row>
    <row r="2358" spans="1:5" x14ac:dyDescent="0.25">
      <c r="A2358" s="173" t="s">
        <v>468</v>
      </c>
      <c r="B2358">
        <v>23430</v>
      </c>
      <c r="C2358" s="173" t="s">
        <v>3740</v>
      </c>
      <c r="D2358" s="173" t="s">
        <v>470</v>
      </c>
      <c r="E2358">
        <v>1</v>
      </c>
    </row>
    <row r="2359" spans="1:5" x14ac:dyDescent="0.25">
      <c r="A2359" s="173" t="s">
        <v>468</v>
      </c>
      <c r="B2359">
        <v>23430</v>
      </c>
      <c r="C2359" s="173" t="s">
        <v>3741</v>
      </c>
      <c r="D2359" s="173" t="s">
        <v>470</v>
      </c>
      <c r="E2359">
        <v>1</v>
      </c>
    </row>
    <row r="2360" spans="1:5" hidden="1" x14ac:dyDescent="0.25">
      <c r="A2360" s="173" t="s">
        <v>514</v>
      </c>
      <c r="B2360">
        <v>23436</v>
      </c>
      <c r="C2360" s="173" t="s">
        <v>4798</v>
      </c>
      <c r="D2360" s="173" t="s">
        <v>470</v>
      </c>
      <c r="E2360">
        <v>1</v>
      </c>
    </row>
    <row r="2361" spans="1:5" hidden="1" x14ac:dyDescent="0.25">
      <c r="A2361" s="173" t="s">
        <v>514</v>
      </c>
      <c r="B2361">
        <v>23436</v>
      </c>
      <c r="C2361" s="173" t="s">
        <v>4799</v>
      </c>
      <c r="D2361" s="173" t="s">
        <v>470</v>
      </c>
      <c r="E2361">
        <v>1</v>
      </c>
    </row>
    <row r="2362" spans="1:5" hidden="1" x14ac:dyDescent="0.25">
      <c r="A2362" s="173" t="s">
        <v>514</v>
      </c>
      <c r="B2362">
        <v>23436</v>
      </c>
      <c r="C2362" s="173" t="s">
        <v>4800</v>
      </c>
      <c r="D2362" s="173" t="s">
        <v>470</v>
      </c>
      <c r="E2362">
        <v>1</v>
      </c>
    </row>
    <row r="2363" spans="1:5" hidden="1" x14ac:dyDescent="0.25">
      <c r="A2363" s="173" t="s">
        <v>514</v>
      </c>
      <c r="B2363">
        <v>23436</v>
      </c>
      <c r="C2363" s="173" t="s">
        <v>4801</v>
      </c>
      <c r="D2363" s="173" t="s">
        <v>470</v>
      </c>
      <c r="E2363">
        <v>1</v>
      </c>
    </row>
    <row r="2364" spans="1:5" x14ac:dyDescent="0.25">
      <c r="A2364" s="173" t="s">
        <v>468</v>
      </c>
      <c r="B2364">
        <v>23442</v>
      </c>
      <c r="C2364" s="173" t="s">
        <v>2315</v>
      </c>
      <c r="D2364" s="173" t="s">
        <v>470</v>
      </c>
      <c r="E2364">
        <v>2</v>
      </c>
    </row>
    <row r="2365" spans="1:5" x14ac:dyDescent="0.25">
      <c r="A2365" s="173" t="s">
        <v>468</v>
      </c>
      <c r="B2365">
        <v>23442</v>
      </c>
      <c r="C2365" s="173" t="s">
        <v>2316</v>
      </c>
      <c r="D2365" s="173" t="s">
        <v>470</v>
      </c>
      <c r="E2365">
        <v>3</v>
      </c>
    </row>
    <row r="2366" spans="1:5" x14ac:dyDescent="0.25">
      <c r="A2366" s="173" t="s">
        <v>468</v>
      </c>
      <c r="B2366">
        <v>23442</v>
      </c>
      <c r="C2366" s="173" t="s">
        <v>2317</v>
      </c>
      <c r="D2366" s="173" t="s">
        <v>470</v>
      </c>
      <c r="E2366">
        <v>2</v>
      </c>
    </row>
    <row r="2367" spans="1:5" x14ac:dyDescent="0.25">
      <c r="A2367" s="173" t="s">
        <v>468</v>
      </c>
      <c r="B2367">
        <v>23442</v>
      </c>
      <c r="C2367" s="173" t="s">
        <v>2317</v>
      </c>
      <c r="D2367" s="173" t="s">
        <v>470</v>
      </c>
      <c r="E2367">
        <v>1</v>
      </c>
    </row>
    <row r="2368" spans="1:5" x14ac:dyDescent="0.25">
      <c r="A2368" s="173" t="s">
        <v>468</v>
      </c>
      <c r="B2368">
        <v>23442</v>
      </c>
      <c r="C2368" s="173" t="s">
        <v>2318</v>
      </c>
      <c r="D2368" s="173" t="s">
        <v>470</v>
      </c>
      <c r="E2368">
        <v>3</v>
      </c>
    </row>
    <row r="2369" spans="1:5" hidden="1" x14ac:dyDescent="0.25">
      <c r="A2369" s="173" t="s">
        <v>804</v>
      </c>
      <c r="B2369">
        <v>23449</v>
      </c>
      <c r="C2369" s="173" t="s">
        <v>2319</v>
      </c>
      <c r="D2369" s="173" t="s">
        <v>470</v>
      </c>
      <c r="E2369">
        <v>2</v>
      </c>
    </row>
    <row r="2370" spans="1:5" hidden="1" x14ac:dyDescent="0.25">
      <c r="A2370" s="173" t="s">
        <v>804</v>
      </c>
      <c r="B2370">
        <v>23449</v>
      </c>
      <c r="C2370" s="173" t="s">
        <v>2320</v>
      </c>
      <c r="D2370" s="173" t="s">
        <v>470</v>
      </c>
      <c r="E2370">
        <v>2</v>
      </c>
    </row>
    <row r="2371" spans="1:5" hidden="1" x14ac:dyDescent="0.25">
      <c r="A2371" s="173" t="s">
        <v>804</v>
      </c>
      <c r="B2371">
        <v>23449</v>
      </c>
      <c r="C2371" s="173" t="s">
        <v>2321</v>
      </c>
      <c r="D2371" s="173" t="s">
        <v>470</v>
      </c>
      <c r="E2371">
        <v>2</v>
      </c>
    </row>
    <row r="2372" spans="1:5" hidden="1" x14ac:dyDescent="0.25">
      <c r="A2372" s="173" t="s">
        <v>804</v>
      </c>
      <c r="B2372">
        <v>23449</v>
      </c>
      <c r="C2372" s="173" t="s">
        <v>2322</v>
      </c>
      <c r="D2372" s="173" t="s">
        <v>470</v>
      </c>
      <c r="E2372">
        <v>2</v>
      </c>
    </row>
    <row r="2373" spans="1:5" hidden="1" x14ac:dyDescent="0.25">
      <c r="A2373" s="173" t="s">
        <v>804</v>
      </c>
      <c r="B2373">
        <v>23449</v>
      </c>
      <c r="C2373" s="173" t="s">
        <v>2323</v>
      </c>
      <c r="D2373" s="173" t="s">
        <v>470</v>
      </c>
      <c r="E2373">
        <v>2</v>
      </c>
    </row>
    <row r="2374" spans="1:5" hidden="1" x14ac:dyDescent="0.25">
      <c r="A2374" s="173" t="s">
        <v>514</v>
      </c>
      <c r="B2374">
        <v>23461</v>
      </c>
      <c r="C2374" s="173" t="s">
        <v>2324</v>
      </c>
      <c r="D2374" s="173" t="s">
        <v>470</v>
      </c>
      <c r="E2374">
        <v>1</v>
      </c>
    </row>
    <row r="2375" spans="1:5" hidden="1" x14ac:dyDescent="0.25">
      <c r="A2375" s="173" t="s">
        <v>514</v>
      </c>
      <c r="B2375">
        <v>23461</v>
      </c>
      <c r="C2375" s="173" t="s">
        <v>2325</v>
      </c>
      <c r="D2375" s="173" t="s">
        <v>470</v>
      </c>
      <c r="E2375">
        <v>1</v>
      </c>
    </row>
    <row r="2376" spans="1:5" hidden="1" x14ac:dyDescent="0.25">
      <c r="A2376" s="173" t="s">
        <v>514</v>
      </c>
      <c r="B2376">
        <v>23461</v>
      </c>
      <c r="C2376" s="173" t="s">
        <v>2326</v>
      </c>
      <c r="D2376" s="173" t="s">
        <v>470</v>
      </c>
      <c r="E2376">
        <v>1</v>
      </c>
    </row>
    <row r="2377" spans="1:5" hidden="1" x14ac:dyDescent="0.25">
      <c r="A2377" s="173" t="s">
        <v>514</v>
      </c>
      <c r="B2377">
        <v>23461</v>
      </c>
      <c r="C2377" s="173" t="s">
        <v>2327</v>
      </c>
      <c r="D2377" s="173" t="s">
        <v>470</v>
      </c>
      <c r="E2377">
        <v>1</v>
      </c>
    </row>
    <row r="2378" spans="1:5" hidden="1" x14ac:dyDescent="0.25">
      <c r="A2378" s="173" t="s">
        <v>514</v>
      </c>
      <c r="B2378">
        <v>23461</v>
      </c>
      <c r="C2378" s="173" t="s">
        <v>2328</v>
      </c>
      <c r="D2378" s="173" t="s">
        <v>470</v>
      </c>
      <c r="E2378">
        <v>1</v>
      </c>
    </row>
    <row r="2379" spans="1:5" hidden="1" x14ac:dyDescent="0.25">
      <c r="A2379" s="173" t="s">
        <v>514</v>
      </c>
      <c r="B2379">
        <v>23461</v>
      </c>
      <c r="C2379" s="173" t="s">
        <v>2329</v>
      </c>
      <c r="D2379" s="173" t="s">
        <v>470</v>
      </c>
      <c r="E2379">
        <v>1</v>
      </c>
    </row>
    <row r="2380" spans="1:5" hidden="1" x14ac:dyDescent="0.25">
      <c r="A2380" s="173" t="s">
        <v>514</v>
      </c>
      <c r="B2380">
        <v>23461</v>
      </c>
      <c r="C2380" s="173" t="s">
        <v>2330</v>
      </c>
      <c r="D2380" s="173" t="s">
        <v>470</v>
      </c>
      <c r="E2380">
        <v>1</v>
      </c>
    </row>
    <row r="2381" spans="1:5" hidden="1" x14ac:dyDescent="0.25">
      <c r="A2381" s="173" t="s">
        <v>1668</v>
      </c>
      <c r="B2381">
        <v>23463</v>
      </c>
      <c r="C2381" s="173" t="s">
        <v>2331</v>
      </c>
      <c r="D2381" s="173" t="s">
        <v>470</v>
      </c>
      <c r="E2381">
        <v>1</v>
      </c>
    </row>
    <row r="2382" spans="1:5" hidden="1" x14ac:dyDescent="0.25">
      <c r="A2382" s="173" t="s">
        <v>1668</v>
      </c>
      <c r="B2382">
        <v>23463</v>
      </c>
      <c r="C2382" s="173" t="s">
        <v>2332</v>
      </c>
      <c r="D2382" s="173" t="s">
        <v>470</v>
      </c>
      <c r="E2382">
        <v>1</v>
      </c>
    </row>
    <row r="2383" spans="1:5" hidden="1" x14ac:dyDescent="0.25">
      <c r="A2383" s="173" t="s">
        <v>1668</v>
      </c>
      <c r="B2383">
        <v>23463</v>
      </c>
      <c r="C2383" s="173" t="s">
        <v>2333</v>
      </c>
      <c r="D2383" s="173" t="s">
        <v>470</v>
      </c>
      <c r="E2383">
        <v>1</v>
      </c>
    </row>
    <row r="2384" spans="1:5" hidden="1" x14ac:dyDescent="0.25">
      <c r="A2384" s="173" t="s">
        <v>1668</v>
      </c>
      <c r="B2384">
        <v>23463</v>
      </c>
      <c r="C2384" s="173" t="s">
        <v>2334</v>
      </c>
      <c r="D2384" s="173" t="s">
        <v>470</v>
      </c>
      <c r="E2384">
        <v>1</v>
      </c>
    </row>
    <row r="2385" spans="1:5" x14ac:dyDescent="0.25">
      <c r="A2385" s="173" t="s">
        <v>468</v>
      </c>
      <c r="B2385">
        <v>23464</v>
      </c>
      <c r="C2385" s="173" t="s">
        <v>2335</v>
      </c>
      <c r="D2385" s="173" t="s">
        <v>470</v>
      </c>
      <c r="E2385">
        <v>2</v>
      </c>
    </row>
    <row r="2386" spans="1:5" x14ac:dyDescent="0.25">
      <c r="A2386" s="173" t="s">
        <v>468</v>
      </c>
      <c r="B2386">
        <v>23464</v>
      </c>
      <c r="C2386" s="173" t="s">
        <v>2336</v>
      </c>
      <c r="D2386" s="173" t="s">
        <v>470</v>
      </c>
      <c r="E2386">
        <v>2</v>
      </c>
    </row>
    <row r="2387" spans="1:5" x14ac:dyDescent="0.25">
      <c r="A2387" s="173" t="s">
        <v>468</v>
      </c>
      <c r="B2387">
        <v>23464</v>
      </c>
      <c r="C2387" s="173" t="s">
        <v>2337</v>
      </c>
      <c r="D2387" s="173" t="s">
        <v>470</v>
      </c>
      <c r="E2387">
        <v>2</v>
      </c>
    </row>
    <row r="2388" spans="1:5" x14ac:dyDescent="0.25">
      <c r="A2388" s="173" t="s">
        <v>468</v>
      </c>
      <c r="B2388">
        <v>23464</v>
      </c>
      <c r="C2388" s="173" t="s">
        <v>2338</v>
      </c>
      <c r="D2388" s="173" t="s">
        <v>470</v>
      </c>
      <c r="E2388">
        <v>2</v>
      </c>
    </row>
    <row r="2389" spans="1:5" x14ac:dyDescent="0.25">
      <c r="A2389" s="173" t="s">
        <v>468</v>
      </c>
      <c r="B2389">
        <v>23464</v>
      </c>
      <c r="C2389" s="173" t="s">
        <v>4802</v>
      </c>
      <c r="D2389" s="173" t="s">
        <v>470</v>
      </c>
      <c r="E2389">
        <v>2</v>
      </c>
    </row>
    <row r="2390" spans="1:5" x14ac:dyDescent="0.25">
      <c r="A2390" s="173" t="s">
        <v>468</v>
      </c>
      <c r="B2390">
        <v>23464</v>
      </c>
      <c r="C2390" s="173" t="s">
        <v>4803</v>
      </c>
      <c r="D2390" s="173" t="s">
        <v>470</v>
      </c>
      <c r="E2390">
        <v>2</v>
      </c>
    </row>
    <row r="2391" spans="1:5" hidden="1" x14ac:dyDescent="0.25">
      <c r="A2391" s="173" t="s">
        <v>804</v>
      </c>
      <c r="B2391">
        <v>23466</v>
      </c>
      <c r="C2391" s="173" t="s">
        <v>3742</v>
      </c>
      <c r="D2391" s="173" t="s">
        <v>470</v>
      </c>
      <c r="E2391">
        <v>1</v>
      </c>
    </row>
    <row r="2392" spans="1:5" hidden="1" x14ac:dyDescent="0.25">
      <c r="A2392" s="173" t="s">
        <v>804</v>
      </c>
      <c r="B2392">
        <v>23466</v>
      </c>
      <c r="C2392" s="173" t="s">
        <v>3743</v>
      </c>
      <c r="D2392" s="173" t="s">
        <v>470</v>
      </c>
      <c r="E2392">
        <v>1</v>
      </c>
    </row>
    <row r="2393" spans="1:5" hidden="1" x14ac:dyDescent="0.25">
      <c r="A2393" s="173" t="s">
        <v>804</v>
      </c>
      <c r="B2393">
        <v>23466</v>
      </c>
      <c r="C2393" s="173" t="s">
        <v>3744</v>
      </c>
      <c r="D2393" s="173" t="s">
        <v>470</v>
      </c>
      <c r="E2393">
        <v>1</v>
      </c>
    </row>
    <row r="2394" spans="1:5" hidden="1" x14ac:dyDescent="0.25">
      <c r="A2394" s="173" t="s">
        <v>804</v>
      </c>
      <c r="B2394">
        <v>23466</v>
      </c>
      <c r="C2394" s="173" t="s">
        <v>3745</v>
      </c>
      <c r="D2394" s="173" t="s">
        <v>470</v>
      </c>
      <c r="E2394">
        <v>1</v>
      </c>
    </row>
    <row r="2395" spans="1:5" x14ac:dyDescent="0.25">
      <c r="A2395" s="173" t="s">
        <v>468</v>
      </c>
      <c r="B2395">
        <v>23473</v>
      </c>
      <c r="C2395" s="173" t="s">
        <v>3746</v>
      </c>
      <c r="D2395" s="173" t="s">
        <v>470</v>
      </c>
      <c r="E2395">
        <v>2</v>
      </c>
    </row>
    <row r="2396" spans="1:5" x14ac:dyDescent="0.25">
      <c r="A2396" s="173" t="s">
        <v>468</v>
      </c>
      <c r="B2396">
        <v>23473</v>
      </c>
      <c r="C2396" s="173" t="s">
        <v>3747</v>
      </c>
      <c r="D2396" s="173" t="s">
        <v>470</v>
      </c>
      <c r="E2396">
        <v>2</v>
      </c>
    </row>
    <row r="2397" spans="1:5" x14ac:dyDescent="0.25">
      <c r="A2397" s="173" t="s">
        <v>468</v>
      </c>
      <c r="B2397">
        <v>23473</v>
      </c>
      <c r="C2397" s="173" t="s">
        <v>3748</v>
      </c>
      <c r="D2397" s="173" t="s">
        <v>470</v>
      </c>
      <c r="E2397">
        <v>2</v>
      </c>
    </row>
    <row r="2398" spans="1:5" x14ac:dyDescent="0.25">
      <c r="A2398" s="173" t="s">
        <v>468</v>
      </c>
      <c r="B2398">
        <v>23473</v>
      </c>
      <c r="C2398" s="173" t="s">
        <v>3749</v>
      </c>
      <c r="D2398" s="173" t="s">
        <v>470</v>
      </c>
      <c r="E2398">
        <v>2</v>
      </c>
    </row>
    <row r="2399" spans="1:5" x14ac:dyDescent="0.25">
      <c r="A2399" s="173" t="s">
        <v>468</v>
      </c>
      <c r="B2399">
        <v>23473</v>
      </c>
      <c r="C2399" s="173" t="s">
        <v>3750</v>
      </c>
      <c r="D2399" s="173" t="s">
        <v>470</v>
      </c>
      <c r="E2399">
        <v>2</v>
      </c>
    </row>
    <row r="2400" spans="1:5" x14ac:dyDescent="0.25">
      <c r="A2400" s="173" t="s">
        <v>468</v>
      </c>
      <c r="B2400">
        <v>23473</v>
      </c>
      <c r="C2400" s="173" t="s">
        <v>3751</v>
      </c>
      <c r="D2400" s="173" t="s">
        <v>470</v>
      </c>
      <c r="E2400">
        <v>2</v>
      </c>
    </row>
    <row r="2401" spans="1:5" hidden="1" x14ac:dyDescent="0.25">
      <c r="A2401" s="173" t="s">
        <v>804</v>
      </c>
      <c r="B2401">
        <v>23475</v>
      </c>
      <c r="C2401" s="173" t="s">
        <v>3752</v>
      </c>
      <c r="D2401" s="173" t="s">
        <v>470</v>
      </c>
      <c r="E2401">
        <v>1</v>
      </c>
    </row>
    <row r="2402" spans="1:5" hidden="1" x14ac:dyDescent="0.25">
      <c r="A2402" s="173" t="s">
        <v>804</v>
      </c>
      <c r="B2402">
        <v>23475</v>
      </c>
      <c r="C2402" s="173" t="s">
        <v>3753</v>
      </c>
      <c r="D2402" s="173" t="s">
        <v>470</v>
      </c>
      <c r="E2402">
        <v>1</v>
      </c>
    </row>
    <row r="2403" spans="1:5" hidden="1" x14ac:dyDescent="0.25">
      <c r="A2403" s="173" t="s">
        <v>804</v>
      </c>
      <c r="B2403">
        <v>23475</v>
      </c>
      <c r="C2403" s="173" t="s">
        <v>3754</v>
      </c>
      <c r="D2403" s="173" t="s">
        <v>470</v>
      </c>
      <c r="E2403">
        <v>1</v>
      </c>
    </row>
    <row r="2404" spans="1:5" hidden="1" x14ac:dyDescent="0.25">
      <c r="A2404" s="173" t="s">
        <v>804</v>
      </c>
      <c r="B2404">
        <v>23475</v>
      </c>
      <c r="C2404" s="173" t="s">
        <v>3755</v>
      </c>
      <c r="D2404" s="173" t="s">
        <v>470</v>
      </c>
      <c r="E2404">
        <v>1</v>
      </c>
    </row>
    <row r="2405" spans="1:5" hidden="1" x14ac:dyDescent="0.25">
      <c r="A2405" s="173" t="s">
        <v>804</v>
      </c>
      <c r="B2405">
        <v>23475</v>
      </c>
      <c r="C2405" s="173" t="s">
        <v>3756</v>
      </c>
      <c r="D2405" s="173" t="s">
        <v>470</v>
      </c>
      <c r="E2405">
        <v>1</v>
      </c>
    </row>
    <row r="2406" spans="1:5" hidden="1" x14ac:dyDescent="0.25">
      <c r="A2406" s="173" t="s">
        <v>804</v>
      </c>
      <c r="B2406">
        <v>23476</v>
      </c>
      <c r="C2406" s="173" t="s">
        <v>2339</v>
      </c>
      <c r="D2406" s="173" t="s">
        <v>470</v>
      </c>
      <c r="E2406">
        <v>1</v>
      </c>
    </row>
    <row r="2407" spans="1:5" hidden="1" x14ac:dyDescent="0.25">
      <c r="A2407" s="173" t="s">
        <v>804</v>
      </c>
      <c r="B2407">
        <v>23476</v>
      </c>
      <c r="C2407" s="173" t="s">
        <v>2339</v>
      </c>
      <c r="D2407" s="173" t="s">
        <v>470</v>
      </c>
      <c r="E2407">
        <v>2</v>
      </c>
    </row>
    <row r="2408" spans="1:5" hidden="1" x14ac:dyDescent="0.25">
      <c r="A2408" s="173" t="s">
        <v>804</v>
      </c>
      <c r="B2408">
        <v>23476</v>
      </c>
      <c r="C2408" s="173" t="s">
        <v>2340</v>
      </c>
      <c r="D2408" s="173" t="s">
        <v>470</v>
      </c>
      <c r="E2408">
        <v>2</v>
      </c>
    </row>
    <row r="2409" spans="1:5" hidden="1" x14ac:dyDescent="0.25">
      <c r="A2409" s="173" t="s">
        <v>804</v>
      </c>
      <c r="B2409">
        <v>23476</v>
      </c>
      <c r="C2409" s="173" t="s">
        <v>2340</v>
      </c>
      <c r="D2409" s="173" t="s">
        <v>470</v>
      </c>
      <c r="E2409">
        <v>1</v>
      </c>
    </row>
    <row r="2410" spans="1:5" hidden="1" x14ac:dyDescent="0.25">
      <c r="A2410" s="173" t="s">
        <v>804</v>
      </c>
      <c r="B2410">
        <v>23476</v>
      </c>
      <c r="C2410" s="173" t="s">
        <v>2341</v>
      </c>
      <c r="D2410" s="173" t="s">
        <v>470</v>
      </c>
      <c r="E2410">
        <v>2</v>
      </c>
    </row>
    <row r="2411" spans="1:5" hidden="1" x14ac:dyDescent="0.25">
      <c r="A2411" s="173" t="s">
        <v>804</v>
      </c>
      <c r="B2411">
        <v>23476</v>
      </c>
      <c r="C2411" s="173" t="s">
        <v>2341</v>
      </c>
      <c r="D2411" s="173" t="s">
        <v>470</v>
      </c>
      <c r="E2411">
        <v>1</v>
      </c>
    </row>
    <row r="2412" spans="1:5" hidden="1" x14ac:dyDescent="0.25">
      <c r="A2412" s="173" t="s">
        <v>804</v>
      </c>
      <c r="B2412">
        <v>23476</v>
      </c>
      <c r="C2412" s="173" t="s">
        <v>2342</v>
      </c>
      <c r="D2412" s="173" t="s">
        <v>470</v>
      </c>
      <c r="E2412">
        <v>1</v>
      </c>
    </row>
    <row r="2413" spans="1:5" hidden="1" x14ac:dyDescent="0.25">
      <c r="A2413" s="173" t="s">
        <v>804</v>
      </c>
      <c r="B2413">
        <v>23476</v>
      </c>
      <c r="C2413" s="173" t="s">
        <v>2342</v>
      </c>
      <c r="D2413" s="173" t="s">
        <v>470</v>
      </c>
      <c r="E2413">
        <v>2</v>
      </c>
    </row>
    <row r="2414" spans="1:5" x14ac:dyDescent="0.25">
      <c r="A2414" s="173" t="s">
        <v>468</v>
      </c>
      <c r="B2414">
        <v>23477</v>
      </c>
      <c r="C2414" s="173" t="s">
        <v>2343</v>
      </c>
      <c r="D2414" s="173" t="s">
        <v>470</v>
      </c>
      <c r="E2414">
        <v>1</v>
      </c>
    </row>
    <row r="2415" spans="1:5" x14ac:dyDescent="0.25">
      <c r="A2415" s="173" t="s">
        <v>468</v>
      </c>
      <c r="B2415">
        <v>23477</v>
      </c>
      <c r="C2415" s="173" t="s">
        <v>2344</v>
      </c>
      <c r="D2415" s="173" t="s">
        <v>470</v>
      </c>
      <c r="E2415">
        <v>1</v>
      </c>
    </row>
    <row r="2416" spans="1:5" x14ac:dyDescent="0.25">
      <c r="A2416" s="173" t="s">
        <v>468</v>
      </c>
      <c r="B2416">
        <v>23477</v>
      </c>
      <c r="C2416" s="173" t="s">
        <v>2345</v>
      </c>
      <c r="D2416" s="173" t="s">
        <v>470</v>
      </c>
      <c r="E2416">
        <v>1</v>
      </c>
    </row>
    <row r="2417" spans="1:5" x14ac:dyDescent="0.25">
      <c r="A2417" s="173" t="s">
        <v>468</v>
      </c>
      <c r="B2417">
        <v>23477</v>
      </c>
      <c r="C2417" s="173" t="s">
        <v>2346</v>
      </c>
      <c r="D2417" s="173" t="s">
        <v>470</v>
      </c>
      <c r="E2417">
        <v>1</v>
      </c>
    </row>
    <row r="2418" spans="1:5" x14ac:dyDescent="0.25">
      <c r="A2418" s="173" t="s">
        <v>468</v>
      </c>
      <c r="B2418">
        <v>23480</v>
      </c>
      <c r="C2418" s="173" t="s">
        <v>2347</v>
      </c>
      <c r="D2418" s="173" t="s">
        <v>470</v>
      </c>
      <c r="E2418">
        <v>1</v>
      </c>
    </row>
    <row r="2419" spans="1:5" x14ac:dyDescent="0.25">
      <c r="A2419" s="173" t="s">
        <v>468</v>
      </c>
      <c r="B2419">
        <v>23480</v>
      </c>
      <c r="C2419" s="173" t="s">
        <v>2348</v>
      </c>
      <c r="D2419" s="173" t="s">
        <v>470</v>
      </c>
      <c r="E2419">
        <v>1</v>
      </c>
    </row>
    <row r="2420" spans="1:5" x14ac:dyDescent="0.25">
      <c r="A2420" s="173" t="s">
        <v>468</v>
      </c>
      <c r="B2420">
        <v>23480</v>
      </c>
      <c r="C2420" s="173" t="s">
        <v>2349</v>
      </c>
      <c r="D2420" s="173" t="s">
        <v>470</v>
      </c>
      <c r="E2420">
        <v>1</v>
      </c>
    </row>
    <row r="2421" spans="1:5" x14ac:dyDescent="0.25">
      <c r="A2421" s="173" t="s">
        <v>468</v>
      </c>
      <c r="B2421">
        <v>23480</v>
      </c>
      <c r="C2421" s="173" t="s">
        <v>2350</v>
      </c>
      <c r="D2421" s="173" t="s">
        <v>470</v>
      </c>
      <c r="E2421">
        <v>1</v>
      </c>
    </row>
    <row r="2422" spans="1:5" x14ac:dyDescent="0.25">
      <c r="A2422" s="173" t="s">
        <v>468</v>
      </c>
      <c r="B2422">
        <v>23480</v>
      </c>
      <c r="C2422" s="173" t="s">
        <v>2351</v>
      </c>
      <c r="D2422" s="173" t="s">
        <v>470</v>
      </c>
      <c r="E2422">
        <v>1</v>
      </c>
    </row>
    <row r="2423" spans="1:5" hidden="1" x14ac:dyDescent="0.25">
      <c r="A2423" s="173" t="s">
        <v>804</v>
      </c>
      <c r="B2423">
        <v>23488</v>
      </c>
      <c r="C2423" s="173" t="s">
        <v>2352</v>
      </c>
      <c r="D2423" s="173" t="s">
        <v>470</v>
      </c>
      <c r="E2423">
        <v>1</v>
      </c>
    </row>
    <row r="2424" spans="1:5" hidden="1" x14ac:dyDescent="0.25">
      <c r="A2424" s="173" t="s">
        <v>804</v>
      </c>
      <c r="B2424">
        <v>23488</v>
      </c>
      <c r="C2424" s="173" t="s">
        <v>2353</v>
      </c>
      <c r="D2424" s="173" t="s">
        <v>470</v>
      </c>
      <c r="E2424">
        <v>1</v>
      </c>
    </row>
    <row r="2425" spans="1:5" hidden="1" x14ac:dyDescent="0.25">
      <c r="A2425" s="173" t="s">
        <v>804</v>
      </c>
      <c r="B2425">
        <v>23488</v>
      </c>
      <c r="C2425" s="173" t="s">
        <v>2354</v>
      </c>
      <c r="D2425" s="173" t="s">
        <v>470</v>
      </c>
      <c r="E2425">
        <v>1</v>
      </c>
    </row>
    <row r="2426" spans="1:5" hidden="1" x14ac:dyDescent="0.25">
      <c r="A2426" s="173" t="s">
        <v>804</v>
      </c>
      <c r="B2426">
        <v>23488</v>
      </c>
      <c r="C2426" s="173" t="s">
        <v>2355</v>
      </c>
      <c r="D2426" s="173" t="s">
        <v>470</v>
      </c>
      <c r="E2426">
        <v>1</v>
      </c>
    </row>
    <row r="2427" spans="1:5" hidden="1" x14ac:dyDescent="0.25">
      <c r="A2427" s="173" t="s">
        <v>804</v>
      </c>
      <c r="B2427">
        <v>23488</v>
      </c>
      <c r="C2427" s="173" t="s">
        <v>2356</v>
      </c>
      <c r="D2427" s="173" t="s">
        <v>470</v>
      </c>
      <c r="E2427">
        <v>1</v>
      </c>
    </row>
    <row r="2428" spans="1:5" hidden="1" x14ac:dyDescent="0.25">
      <c r="A2428" s="173" t="s">
        <v>804</v>
      </c>
      <c r="B2428">
        <v>23488</v>
      </c>
      <c r="C2428" s="173" t="s">
        <v>2357</v>
      </c>
      <c r="D2428" s="173" t="s">
        <v>470</v>
      </c>
      <c r="E2428">
        <v>1</v>
      </c>
    </row>
    <row r="2429" spans="1:5" hidden="1" x14ac:dyDescent="0.25">
      <c r="A2429" s="173" t="s">
        <v>804</v>
      </c>
      <c r="B2429">
        <v>23488</v>
      </c>
      <c r="C2429" s="173" t="s">
        <v>2358</v>
      </c>
      <c r="D2429" s="173" t="s">
        <v>470</v>
      </c>
      <c r="E2429">
        <v>1</v>
      </c>
    </row>
    <row r="2430" spans="1:5" hidden="1" x14ac:dyDescent="0.25">
      <c r="A2430" s="173" t="s">
        <v>804</v>
      </c>
      <c r="B2430">
        <v>23488</v>
      </c>
      <c r="C2430" s="173" t="s">
        <v>2359</v>
      </c>
      <c r="D2430" s="173" t="s">
        <v>470</v>
      </c>
      <c r="E2430">
        <v>1</v>
      </c>
    </row>
    <row r="2431" spans="1:5" hidden="1" x14ac:dyDescent="0.25">
      <c r="A2431" s="173" t="s">
        <v>804</v>
      </c>
      <c r="B2431">
        <v>23488</v>
      </c>
      <c r="C2431" s="173" t="s">
        <v>2360</v>
      </c>
      <c r="D2431" s="173" t="s">
        <v>470</v>
      </c>
      <c r="E2431">
        <v>1</v>
      </c>
    </row>
    <row r="2432" spans="1:5" hidden="1" x14ac:dyDescent="0.25">
      <c r="A2432" s="173" t="s">
        <v>804</v>
      </c>
      <c r="B2432">
        <v>23488</v>
      </c>
      <c r="C2432" s="173" t="s">
        <v>2361</v>
      </c>
      <c r="D2432" s="173" t="s">
        <v>470</v>
      </c>
      <c r="E2432">
        <v>1</v>
      </c>
    </row>
    <row r="2433" spans="1:5" hidden="1" x14ac:dyDescent="0.25">
      <c r="A2433" s="173" t="s">
        <v>804</v>
      </c>
      <c r="B2433">
        <v>23488</v>
      </c>
      <c r="C2433" s="173" t="s">
        <v>2362</v>
      </c>
      <c r="D2433" s="173" t="s">
        <v>470</v>
      </c>
      <c r="E2433">
        <v>1</v>
      </c>
    </row>
    <row r="2434" spans="1:5" hidden="1" x14ac:dyDescent="0.25">
      <c r="A2434" s="173" t="s">
        <v>804</v>
      </c>
      <c r="B2434">
        <v>23488</v>
      </c>
      <c r="C2434" s="173" t="s">
        <v>2363</v>
      </c>
      <c r="D2434" s="173" t="s">
        <v>470</v>
      </c>
      <c r="E2434">
        <v>1</v>
      </c>
    </row>
    <row r="2435" spans="1:5" hidden="1" x14ac:dyDescent="0.25">
      <c r="A2435" s="173" t="s">
        <v>804</v>
      </c>
      <c r="B2435">
        <v>23488</v>
      </c>
      <c r="C2435" s="173" t="s">
        <v>2364</v>
      </c>
      <c r="D2435" s="173" t="s">
        <v>470</v>
      </c>
      <c r="E2435">
        <v>1</v>
      </c>
    </row>
    <row r="2436" spans="1:5" hidden="1" x14ac:dyDescent="0.25">
      <c r="A2436" s="173" t="s">
        <v>804</v>
      </c>
      <c r="B2436">
        <v>23488</v>
      </c>
      <c r="C2436" s="173" t="s">
        <v>2365</v>
      </c>
      <c r="D2436" s="173" t="s">
        <v>470</v>
      </c>
      <c r="E2436">
        <v>1</v>
      </c>
    </row>
    <row r="2437" spans="1:5" hidden="1" x14ac:dyDescent="0.25">
      <c r="A2437" s="173" t="s">
        <v>804</v>
      </c>
      <c r="B2437">
        <v>23488</v>
      </c>
      <c r="C2437" s="173" t="s">
        <v>2366</v>
      </c>
      <c r="D2437" s="173" t="s">
        <v>470</v>
      </c>
      <c r="E2437">
        <v>1</v>
      </c>
    </row>
    <row r="2438" spans="1:5" hidden="1" x14ac:dyDescent="0.25">
      <c r="A2438" s="173" t="s">
        <v>804</v>
      </c>
      <c r="B2438">
        <v>23488</v>
      </c>
      <c r="C2438" s="173" t="s">
        <v>2367</v>
      </c>
      <c r="D2438" s="173" t="s">
        <v>470</v>
      </c>
      <c r="E2438">
        <v>1</v>
      </c>
    </row>
    <row r="2439" spans="1:5" hidden="1" x14ac:dyDescent="0.25">
      <c r="A2439" s="173" t="s">
        <v>804</v>
      </c>
      <c r="B2439">
        <v>23488</v>
      </c>
      <c r="C2439" s="173" t="s">
        <v>2368</v>
      </c>
      <c r="D2439" s="173" t="s">
        <v>470</v>
      </c>
      <c r="E2439">
        <v>1</v>
      </c>
    </row>
    <row r="2440" spans="1:5" hidden="1" x14ac:dyDescent="0.25">
      <c r="A2440" s="173" t="s">
        <v>804</v>
      </c>
      <c r="B2440">
        <v>23488</v>
      </c>
      <c r="C2440" s="173" t="s">
        <v>3757</v>
      </c>
      <c r="D2440" s="173" t="s">
        <v>470</v>
      </c>
      <c r="E2440">
        <v>1</v>
      </c>
    </row>
    <row r="2441" spans="1:5" hidden="1" x14ac:dyDescent="0.25">
      <c r="A2441" s="173" t="s">
        <v>804</v>
      </c>
      <c r="B2441">
        <v>23488</v>
      </c>
      <c r="C2441" s="173" t="s">
        <v>3758</v>
      </c>
      <c r="D2441" s="173" t="s">
        <v>470</v>
      </c>
      <c r="E2441">
        <v>1</v>
      </c>
    </row>
    <row r="2442" spans="1:5" hidden="1" x14ac:dyDescent="0.25">
      <c r="A2442" s="173" t="s">
        <v>1668</v>
      </c>
      <c r="B2442">
        <v>23490</v>
      </c>
      <c r="C2442" s="173" t="s">
        <v>2369</v>
      </c>
      <c r="D2442" s="173" t="s">
        <v>470</v>
      </c>
      <c r="E2442">
        <v>2</v>
      </c>
    </row>
    <row r="2443" spans="1:5" hidden="1" x14ac:dyDescent="0.25">
      <c r="A2443" s="173" t="s">
        <v>1668</v>
      </c>
      <c r="B2443">
        <v>23490</v>
      </c>
      <c r="C2443" s="173" t="s">
        <v>2370</v>
      </c>
      <c r="D2443" s="173" t="s">
        <v>470</v>
      </c>
      <c r="E2443">
        <v>2</v>
      </c>
    </row>
    <row r="2444" spans="1:5" hidden="1" x14ac:dyDescent="0.25">
      <c r="A2444" s="173" t="s">
        <v>1668</v>
      </c>
      <c r="B2444">
        <v>23490</v>
      </c>
      <c r="C2444" s="173" t="s">
        <v>2371</v>
      </c>
      <c r="D2444" s="173" t="s">
        <v>470</v>
      </c>
      <c r="E2444">
        <v>2</v>
      </c>
    </row>
    <row r="2445" spans="1:5" hidden="1" x14ac:dyDescent="0.25">
      <c r="A2445" s="173" t="s">
        <v>1668</v>
      </c>
      <c r="B2445">
        <v>23490</v>
      </c>
      <c r="C2445" s="173" t="s">
        <v>2372</v>
      </c>
      <c r="D2445" s="173" t="s">
        <v>470</v>
      </c>
      <c r="E2445">
        <v>2</v>
      </c>
    </row>
    <row r="2446" spans="1:5" hidden="1" x14ac:dyDescent="0.25">
      <c r="A2446" s="173" t="s">
        <v>1668</v>
      </c>
      <c r="B2446">
        <v>23490</v>
      </c>
      <c r="C2446" s="173" t="s">
        <v>2373</v>
      </c>
      <c r="D2446" s="173" t="s">
        <v>470</v>
      </c>
      <c r="E2446">
        <v>2</v>
      </c>
    </row>
    <row r="2447" spans="1:5" hidden="1" x14ac:dyDescent="0.25">
      <c r="A2447" s="173" t="s">
        <v>1668</v>
      </c>
      <c r="B2447">
        <v>23490</v>
      </c>
      <c r="C2447" s="173" t="s">
        <v>4804</v>
      </c>
      <c r="D2447" s="173" t="s">
        <v>470</v>
      </c>
      <c r="E2447">
        <v>2</v>
      </c>
    </row>
    <row r="2448" spans="1:5" hidden="1" x14ac:dyDescent="0.25">
      <c r="A2448" s="173" t="s">
        <v>1668</v>
      </c>
      <c r="B2448">
        <v>23490</v>
      </c>
      <c r="C2448" s="173" t="s">
        <v>4805</v>
      </c>
      <c r="D2448" s="173" t="s">
        <v>470</v>
      </c>
      <c r="E2448">
        <v>2</v>
      </c>
    </row>
    <row r="2449" spans="1:5" hidden="1" x14ac:dyDescent="0.25">
      <c r="A2449" s="173" t="s">
        <v>1668</v>
      </c>
      <c r="B2449">
        <v>23491</v>
      </c>
      <c r="C2449" s="173" t="s">
        <v>2374</v>
      </c>
      <c r="D2449" s="173" t="s">
        <v>470</v>
      </c>
      <c r="E2449">
        <v>1</v>
      </c>
    </row>
    <row r="2450" spans="1:5" hidden="1" x14ac:dyDescent="0.25">
      <c r="A2450" s="173" t="s">
        <v>1668</v>
      </c>
      <c r="B2450">
        <v>23491</v>
      </c>
      <c r="C2450" s="173" t="s">
        <v>2375</v>
      </c>
      <c r="D2450" s="173" t="s">
        <v>470</v>
      </c>
      <c r="E2450">
        <v>1</v>
      </c>
    </row>
    <row r="2451" spans="1:5" hidden="1" x14ac:dyDescent="0.25">
      <c r="A2451" s="173" t="s">
        <v>1668</v>
      </c>
      <c r="B2451">
        <v>23491</v>
      </c>
      <c r="C2451" s="173" t="s">
        <v>2376</v>
      </c>
      <c r="D2451" s="173" t="s">
        <v>470</v>
      </c>
      <c r="E2451">
        <v>1</v>
      </c>
    </row>
    <row r="2452" spans="1:5" hidden="1" x14ac:dyDescent="0.25">
      <c r="A2452" s="173" t="s">
        <v>1668</v>
      </c>
      <c r="B2452">
        <v>23491</v>
      </c>
      <c r="C2452" s="173" t="s">
        <v>2377</v>
      </c>
      <c r="D2452" s="173" t="s">
        <v>470</v>
      </c>
      <c r="E2452">
        <v>1</v>
      </c>
    </row>
    <row r="2453" spans="1:5" hidden="1" x14ac:dyDescent="0.25">
      <c r="A2453" s="173" t="s">
        <v>1668</v>
      </c>
      <c r="B2453">
        <v>23491</v>
      </c>
      <c r="C2453" s="173" t="s">
        <v>2378</v>
      </c>
      <c r="D2453" s="173" t="s">
        <v>470</v>
      </c>
      <c r="E2453">
        <v>1</v>
      </c>
    </row>
    <row r="2454" spans="1:5" hidden="1" x14ac:dyDescent="0.25">
      <c r="A2454" s="173" t="s">
        <v>804</v>
      </c>
      <c r="B2454">
        <v>23492</v>
      </c>
      <c r="C2454" s="173" t="s">
        <v>3759</v>
      </c>
      <c r="D2454" s="173" t="s">
        <v>470</v>
      </c>
      <c r="E2454">
        <v>1</v>
      </c>
    </row>
    <row r="2455" spans="1:5" hidden="1" x14ac:dyDescent="0.25">
      <c r="A2455" s="173" t="s">
        <v>804</v>
      </c>
      <c r="B2455">
        <v>23492</v>
      </c>
      <c r="C2455" s="173" t="s">
        <v>3760</v>
      </c>
      <c r="D2455" s="173" t="s">
        <v>470</v>
      </c>
      <c r="E2455">
        <v>1</v>
      </c>
    </row>
    <row r="2456" spans="1:5" hidden="1" x14ac:dyDescent="0.25">
      <c r="A2456" s="173" t="s">
        <v>804</v>
      </c>
      <c r="B2456">
        <v>23492</v>
      </c>
      <c r="C2456" s="173" t="s">
        <v>3761</v>
      </c>
      <c r="D2456" s="173" t="s">
        <v>470</v>
      </c>
      <c r="E2456">
        <v>1</v>
      </c>
    </row>
    <row r="2457" spans="1:5" hidden="1" x14ac:dyDescent="0.25">
      <c r="A2457" s="173" t="s">
        <v>804</v>
      </c>
      <c r="B2457">
        <v>23492</v>
      </c>
      <c r="C2457" s="173" t="s">
        <v>3762</v>
      </c>
      <c r="D2457" s="173" t="s">
        <v>470</v>
      </c>
      <c r="E2457">
        <v>1</v>
      </c>
    </row>
    <row r="2458" spans="1:5" hidden="1" x14ac:dyDescent="0.25">
      <c r="A2458" s="173" t="s">
        <v>804</v>
      </c>
      <c r="B2458">
        <v>23492</v>
      </c>
      <c r="C2458" s="173" t="s">
        <v>3763</v>
      </c>
      <c r="D2458" s="173" t="s">
        <v>470</v>
      </c>
      <c r="E2458">
        <v>1</v>
      </c>
    </row>
    <row r="2459" spans="1:5" hidden="1" x14ac:dyDescent="0.25">
      <c r="A2459" s="173" t="s">
        <v>804</v>
      </c>
      <c r="B2459">
        <v>23492</v>
      </c>
      <c r="C2459" s="173" t="s">
        <v>3764</v>
      </c>
      <c r="D2459" s="173" t="s">
        <v>470</v>
      </c>
      <c r="E2459">
        <v>1</v>
      </c>
    </row>
    <row r="2460" spans="1:5" hidden="1" x14ac:dyDescent="0.25">
      <c r="A2460" s="173" t="s">
        <v>804</v>
      </c>
      <c r="B2460">
        <v>23492</v>
      </c>
      <c r="C2460" s="173" t="s">
        <v>3765</v>
      </c>
      <c r="D2460" s="173" t="s">
        <v>470</v>
      </c>
      <c r="E2460">
        <v>1</v>
      </c>
    </row>
    <row r="2461" spans="1:5" hidden="1" x14ac:dyDescent="0.25">
      <c r="A2461" s="173" t="s">
        <v>804</v>
      </c>
      <c r="B2461">
        <v>23492</v>
      </c>
      <c r="C2461" s="173" t="s">
        <v>3766</v>
      </c>
      <c r="D2461" s="173" t="s">
        <v>470</v>
      </c>
      <c r="E2461">
        <v>1</v>
      </c>
    </row>
    <row r="2462" spans="1:5" hidden="1" x14ac:dyDescent="0.25">
      <c r="A2462" s="173" t="s">
        <v>804</v>
      </c>
      <c r="B2462">
        <v>23492</v>
      </c>
      <c r="C2462" s="173" t="s">
        <v>3767</v>
      </c>
      <c r="D2462" s="173" t="s">
        <v>470</v>
      </c>
      <c r="E2462">
        <v>1</v>
      </c>
    </row>
    <row r="2463" spans="1:5" hidden="1" x14ac:dyDescent="0.25">
      <c r="A2463" s="173" t="s">
        <v>804</v>
      </c>
      <c r="B2463">
        <v>23492</v>
      </c>
      <c r="C2463" s="173" t="s">
        <v>3768</v>
      </c>
      <c r="D2463" s="173" t="s">
        <v>470</v>
      </c>
      <c r="E2463">
        <v>1</v>
      </c>
    </row>
    <row r="2464" spans="1:5" hidden="1" x14ac:dyDescent="0.25">
      <c r="A2464" s="173" t="s">
        <v>804</v>
      </c>
      <c r="B2464">
        <v>23492</v>
      </c>
      <c r="C2464" s="173" t="s">
        <v>3769</v>
      </c>
      <c r="D2464" s="173" t="s">
        <v>470</v>
      </c>
      <c r="E2464">
        <v>1</v>
      </c>
    </row>
    <row r="2465" spans="1:5" hidden="1" x14ac:dyDescent="0.25">
      <c r="A2465" s="173" t="s">
        <v>1668</v>
      </c>
      <c r="B2465">
        <v>23558</v>
      </c>
      <c r="C2465" s="173" t="s">
        <v>2379</v>
      </c>
      <c r="D2465" s="173" t="s">
        <v>470</v>
      </c>
      <c r="E2465">
        <v>2</v>
      </c>
    </row>
    <row r="2466" spans="1:5" hidden="1" x14ac:dyDescent="0.25">
      <c r="A2466" s="173" t="s">
        <v>1668</v>
      </c>
      <c r="B2466">
        <v>23558</v>
      </c>
      <c r="C2466" s="173" t="s">
        <v>2380</v>
      </c>
      <c r="D2466" s="173" t="s">
        <v>470</v>
      </c>
      <c r="E2466">
        <v>2</v>
      </c>
    </row>
    <row r="2467" spans="1:5" hidden="1" x14ac:dyDescent="0.25">
      <c r="A2467" s="173" t="s">
        <v>1668</v>
      </c>
      <c r="B2467">
        <v>23558</v>
      </c>
      <c r="C2467" s="173" t="s">
        <v>2381</v>
      </c>
      <c r="D2467" s="173" t="s">
        <v>470</v>
      </c>
      <c r="E2467">
        <v>2</v>
      </c>
    </row>
    <row r="2468" spans="1:5" hidden="1" x14ac:dyDescent="0.25">
      <c r="A2468" s="173" t="s">
        <v>1668</v>
      </c>
      <c r="B2468">
        <v>23558</v>
      </c>
      <c r="C2468" s="173" t="s">
        <v>2382</v>
      </c>
      <c r="D2468" s="173" t="s">
        <v>470</v>
      </c>
      <c r="E2468">
        <v>2</v>
      </c>
    </row>
    <row r="2469" spans="1:5" hidden="1" x14ac:dyDescent="0.25">
      <c r="A2469" s="173" t="s">
        <v>1668</v>
      </c>
      <c r="B2469">
        <v>23558</v>
      </c>
      <c r="C2469" s="173" t="s">
        <v>2383</v>
      </c>
      <c r="D2469" s="173" t="s">
        <v>470</v>
      </c>
      <c r="E2469">
        <v>2</v>
      </c>
    </row>
    <row r="2470" spans="1:5" hidden="1" x14ac:dyDescent="0.25">
      <c r="A2470" s="173" t="s">
        <v>1668</v>
      </c>
      <c r="B2470">
        <v>23560</v>
      </c>
      <c r="C2470" s="173" t="s">
        <v>2384</v>
      </c>
      <c r="D2470" s="173" t="s">
        <v>470</v>
      </c>
      <c r="E2470">
        <v>2</v>
      </c>
    </row>
    <row r="2471" spans="1:5" hidden="1" x14ac:dyDescent="0.25">
      <c r="A2471" s="173" t="s">
        <v>1668</v>
      </c>
      <c r="B2471">
        <v>23560</v>
      </c>
      <c r="C2471" s="173" t="s">
        <v>2385</v>
      </c>
      <c r="D2471" s="173" t="s">
        <v>470</v>
      </c>
      <c r="E2471">
        <v>2</v>
      </c>
    </row>
    <row r="2472" spans="1:5" hidden="1" x14ac:dyDescent="0.25">
      <c r="A2472" s="173" t="s">
        <v>1668</v>
      </c>
      <c r="B2472">
        <v>23560</v>
      </c>
      <c r="C2472" s="173" t="s">
        <v>2386</v>
      </c>
      <c r="D2472" s="173" t="s">
        <v>470</v>
      </c>
      <c r="E2472">
        <v>2</v>
      </c>
    </row>
    <row r="2473" spans="1:5" hidden="1" x14ac:dyDescent="0.25">
      <c r="A2473" s="173" t="s">
        <v>1668</v>
      </c>
      <c r="B2473">
        <v>23560</v>
      </c>
      <c r="C2473" s="173" t="s">
        <v>2387</v>
      </c>
      <c r="D2473" s="173" t="s">
        <v>470</v>
      </c>
      <c r="E2473">
        <v>2</v>
      </c>
    </row>
    <row r="2474" spans="1:5" x14ac:dyDescent="0.25">
      <c r="A2474" s="173" t="s">
        <v>468</v>
      </c>
      <c r="B2474">
        <v>23562</v>
      </c>
      <c r="C2474" s="173" t="s">
        <v>2388</v>
      </c>
      <c r="D2474" s="173" t="s">
        <v>470</v>
      </c>
      <c r="E2474">
        <v>2</v>
      </c>
    </row>
    <row r="2475" spans="1:5" x14ac:dyDescent="0.25">
      <c r="A2475" s="173" t="s">
        <v>468</v>
      </c>
      <c r="B2475">
        <v>23562</v>
      </c>
      <c r="C2475" s="173" t="s">
        <v>2389</v>
      </c>
      <c r="D2475" s="173" t="s">
        <v>470</v>
      </c>
      <c r="E2475">
        <v>2</v>
      </c>
    </row>
    <row r="2476" spans="1:5" x14ac:dyDescent="0.25">
      <c r="A2476" s="173" t="s">
        <v>468</v>
      </c>
      <c r="B2476">
        <v>23562</v>
      </c>
      <c r="C2476" s="173" t="s">
        <v>2390</v>
      </c>
      <c r="D2476" s="173" t="s">
        <v>470</v>
      </c>
      <c r="E2476">
        <v>2</v>
      </c>
    </row>
    <row r="2477" spans="1:5" x14ac:dyDescent="0.25">
      <c r="A2477" s="173" t="s">
        <v>468</v>
      </c>
      <c r="B2477">
        <v>23562</v>
      </c>
      <c r="C2477" s="173" t="s">
        <v>2391</v>
      </c>
      <c r="D2477" s="173" t="s">
        <v>470</v>
      </c>
      <c r="E2477">
        <v>2</v>
      </c>
    </row>
    <row r="2478" spans="1:5" hidden="1" x14ac:dyDescent="0.25">
      <c r="A2478" s="173" t="s">
        <v>1668</v>
      </c>
      <c r="B2478">
        <v>23564</v>
      </c>
      <c r="C2478" s="173" t="s">
        <v>2392</v>
      </c>
      <c r="D2478" s="173" t="s">
        <v>470</v>
      </c>
      <c r="E2478">
        <v>2</v>
      </c>
    </row>
    <row r="2479" spans="1:5" hidden="1" x14ac:dyDescent="0.25">
      <c r="A2479" s="173" t="s">
        <v>1668</v>
      </c>
      <c r="B2479">
        <v>23564</v>
      </c>
      <c r="C2479" s="173" t="s">
        <v>2393</v>
      </c>
      <c r="D2479" s="173" t="s">
        <v>470</v>
      </c>
      <c r="E2479">
        <v>2</v>
      </c>
    </row>
    <row r="2480" spans="1:5" hidden="1" x14ac:dyDescent="0.25">
      <c r="A2480" s="173" t="s">
        <v>1668</v>
      </c>
      <c r="B2480">
        <v>23564</v>
      </c>
      <c r="C2480" s="173" t="s">
        <v>2394</v>
      </c>
      <c r="D2480" s="173" t="s">
        <v>470</v>
      </c>
      <c r="E2480">
        <v>2</v>
      </c>
    </row>
    <row r="2481" spans="1:5" hidden="1" x14ac:dyDescent="0.25">
      <c r="A2481" s="173" t="s">
        <v>1668</v>
      </c>
      <c r="B2481">
        <v>23564</v>
      </c>
      <c r="C2481" s="173" t="s">
        <v>2395</v>
      </c>
      <c r="D2481" s="173" t="s">
        <v>470</v>
      </c>
      <c r="E2481">
        <v>2</v>
      </c>
    </row>
    <row r="2482" spans="1:5" hidden="1" x14ac:dyDescent="0.25">
      <c r="A2482" s="173" t="s">
        <v>1668</v>
      </c>
      <c r="B2482">
        <v>23564</v>
      </c>
      <c r="C2482" s="173" t="s">
        <v>2396</v>
      </c>
      <c r="D2482" s="173" t="s">
        <v>470</v>
      </c>
      <c r="E2482">
        <v>2</v>
      </c>
    </row>
    <row r="2483" spans="1:5" hidden="1" x14ac:dyDescent="0.25">
      <c r="A2483" s="173" t="s">
        <v>1668</v>
      </c>
      <c r="B2483">
        <v>23564</v>
      </c>
      <c r="C2483" s="173" t="s">
        <v>2397</v>
      </c>
      <c r="D2483" s="173" t="s">
        <v>470</v>
      </c>
      <c r="E2483">
        <v>2</v>
      </c>
    </row>
    <row r="2484" spans="1:5" hidden="1" x14ac:dyDescent="0.25">
      <c r="A2484" s="173" t="s">
        <v>1668</v>
      </c>
      <c r="B2484">
        <v>23564</v>
      </c>
      <c r="C2484" s="173" t="s">
        <v>2398</v>
      </c>
      <c r="D2484" s="173" t="s">
        <v>470</v>
      </c>
      <c r="E2484">
        <v>2</v>
      </c>
    </row>
    <row r="2485" spans="1:5" x14ac:dyDescent="0.25">
      <c r="A2485" s="173" t="s">
        <v>468</v>
      </c>
      <c r="B2485">
        <v>25226</v>
      </c>
      <c r="C2485" s="173" t="s">
        <v>3770</v>
      </c>
      <c r="D2485" s="173" t="s">
        <v>470</v>
      </c>
      <c r="E2485">
        <v>1</v>
      </c>
    </row>
    <row r="2486" spans="1:5" x14ac:dyDescent="0.25">
      <c r="A2486" s="173" t="s">
        <v>468</v>
      </c>
      <c r="B2486">
        <v>25226</v>
      </c>
      <c r="C2486" s="173" t="s">
        <v>3771</v>
      </c>
      <c r="D2486" s="173" t="s">
        <v>470</v>
      </c>
      <c r="E2486">
        <v>1</v>
      </c>
    </row>
    <row r="2487" spans="1:5" x14ac:dyDescent="0.25">
      <c r="A2487" s="173" t="s">
        <v>468</v>
      </c>
      <c r="B2487">
        <v>25226</v>
      </c>
      <c r="C2487" s="173" t="s">
        <v>3772</v>
      </c>
      <c r="D2487" s="173" t="s">
        <v>470</v>
      </c>
      <c r="E2487">
        <v>1</v>
      </c>
    </row>
    <row r="2488" spans="1:5" x14ac:dyDescent="0.25">
      <c r="A2488" s="173" t="s">
        <v>468</v>
      </c>
      <c r="B2488">
        <v>25226</v>
      </c>
      <c r="C2488" s="173" t="s">
        <v>3773</v>
      </c>
      <c r="D2488" s="173" t="s">
        <v>470</v>
      </c>
      <c r="E2488">
        <v>1</v>
      </c>
    </row>
    <row r="2489" spans="1:5" x14ac:dyDescent="0.25">
      <c r="A2489" s="173" t="s">
        <v>468</v>
      </c>
      <c r="B2489">
        <v>25226</v>
      </c>
      <c r="C2489" s="173" t="s">
        <v>2481</v>
      </c>
      <c r="D2489" s="173" t="s">
        <v>470</v>
      </c>
      <c r="E2489">
        <v>1</v>
      </c>
    </row>
    <row r="2490" spans="1:5" x14ac:dyDescent="0.25">
      <c r="A2490" s="173" t="s">
        <v>468</v>
      </c>
      <c r="B2490">
        <v>25226</v>
      </c>
      <c r="C2490" s="173" t="s">
        <v>3774</v>
      </c>
      <c r="D2490" s="173" t="s">
        <v>470</v>
      </c>
      <c r="E2490">
        <v>1</v>
      </c>
    </row>
    <row r="2491" spans="1:5" x14ac:dyDescent="0.25">
      <c r="A2491" s="173" t="s">
        <v>468</v>
      </c>
      <c r="B2491">
        <v>25226</v>
      </c>
      <c r="C2491" s="173" t="s">
        <v>3126</v>
      </c>
      <c r="D2491" s="173" t="s">
        <v>470</v>
      </c>
      <c r="E2491">
        <v>1</v>
      </c>
    </row>
    <row r="2492" spans="1:5" x14ac:dyDescent="0.25">
      <c r="A2492" s="173" t="s">
        <v>468</v>
      </c>
      <c r="B2492">
        <v>25226</v>
      </c>
      <c r="C2492" s="173" t="s">
        <v>3775</v>
      </c>
      <c r="D2492" s="173" t="s">
        <v>470</v>
      </c>
      <c r="E2492">
        <v>1</v>
      </c>
    </row>
    <row r="2493" spans="1:5" x14ac:dyDescent="0.25">
      <c r="A2493" s="173" t="s">
        <v>468</v>
      </c>
      <c r="B2493">
        <v>25226</v>
      </c>
      <c r="C2493" s="173" t="s">
        <v>2423</v>
      </c>
      <c r="D2493" s="173" t="s">
        <v>470</v>
      </c>
      <c r="E2493">
        <v>1</v>
      </c>
    </row>
    <row r="2494" spans="1:5" x14ac:dyDescent="0.25">
      <c r="A2494" s="173" t="s">
        <v>468</v>
      </c>
      <c r="B2494">
        <v>25226</v>
      </c>
      <c r="C2494" s="173" t="s">
        <v>3776</v>
      </c>
      <c r="D2494" s="173" t="s">
        <v>470</v>
      </c>
      <c r="E2494">
        <v>1</v>
      </c>
    </row>
    <row r="2495" spans="1:5" x14ac:dyDescent="0.25">
      <c r="A2495" s="173" t="s">
        <v>468</v>
      </c>
      <c r="B2495">
        <v>25226</v>
      </c>
      <c r="C2495" s="173" t="s">
        <v>3127</v>
      </c>
      <c r="D2495" s="173" t="s">
        <v>470</v>
      </c>
      <c r="E2495">
        <v>1</v>
      </c>
    </row>
    <row r="2496" spans="1:5" x14ac:dyDescent="0.25">
      <c r="A2496" s="173" t="s">
        <v>468</v>
      </c>
      <c r="B2496">
        <v>25226</v>
      </c>
      <c r="C2496" s="173" t="s">
        <v>3777</v>
      </c>
      <c r="D2496" s="173" t="s">
        <v>470</v>
      </c>
      <c r="E2496">
        <v>1</v>
      </c>
    </row>
    <row r="2497" spans="1:5" x14ac:dyDescent="0.25">
      <c r="A2497" s="173" t="s">
        <v>468</v>
      </c>
      <c r="B2497">
        <v>25279</v>
      </c>
      <c r="C2497" s="173" t="s">
        <v>469</v>
      </c>
      <c r="D2497" s="173" t="s">
        <v>517</v>
      </c>
      <c r="E2497">
        <v>4</v>
      </c>
    </row>
    <row r="2498" spans="1:5" x14ac:dyDescent="0.25">
      <c r="A2498" s="173" t="s">
        <v>468</v>
      </c>
      <c r="B2498">
        <v>25279</v>
      </c>
      <c r="C2498" s="173" t="s">
        <v>3778</v>
      </c>
      <c r="D2498" s="173" t="s">
        <v>517</v>
      </c>
      <c r="E2498">
        <v>3</v>
      </c>
    </row>
    <row r="2499" spans="1:5" x14ac:dyDescent="0.25">
      <c r="A2499" s="173" t="s">
        <v>468</v>
      </c>
      <c r="B2499">
        <v>25279</v>
      </c>
      <c r="C2499" s="173" t="s">
        <v>3125</v>
      </c>
      <c r="D2499" s="173" t="s">
        <v>517</v>
      </c>
      <c r="E2499">
        <v>5</v>
      </c>
    </row>
    <row r="2500" spans="1:5" x14ac:dyDescent="0.25">
      <c r="A2500" s="173" t="s">
        <v>468</v>
      </c>
      <c r="B2500">
        <v>25279</v>
      </c>
      <c r="C2500" s="173" t="s">
        <v>3779</v>
      </c>
      <c r="D2500" s="173" t="s">
        <v>470</v>
      </c>
      <c r="E2500">
        <v>3</v>
      </c>
    </row>
    <row r="2501" spans="1:5" x14ac:dyDescent="0.25">
      <c r="A2501" s="173" t="s">
        <v>468</v>
      </c>
      <c r="B2501">
        <v>25279</v>
      </c>
      <c r="C2501" s="173" t="s">
        <v>2533</v>
      </c>
      <c r="D2501" s="173" t="s">
        <v>470</v>
      </c>
      <c r="E2501">
        <v>2</v>
      </c>
    </row>
    <row r="2502" spans="1:5" x14ac:dyDescent="0.25">
      <c r="A2502" s="173" t="s">
        <v>468</v>
      </c>
      <c r="B2502">
        <v>25279</v>
      </c>
      <c r="C2502" s="173" t="s">
        <v>479</v>
      </c>
      <c r="D2502" s="173" t="s">
        <v>470</v>
      </c>
      <c r="E2502">
        <v>2</v>
      </c>
    </row>
    <row r="2503" spans="1:5" x14ac:dyDescent="0.25">
      <c r="A2503" s="173" t="s">
        <v>468</v>
      </c>
      <c r="B2503">
        <v>25279</v>
      </c>
      <c r="C2503" s="173" t="s">
        <v>2548</v>
      </c>
      <c r="D2503" s="173" t="s">
        <v>470</v>
      </c>
      <c r="E2503">
        <v>3</v>
      </c>
    </row>
    <row r="2504" spans="1:5" x14ac:dyDescent="0.25">
      <c r="A2504" s="173" t="s">
        <v>468</v>
      </c>
      <c r="B2504">
        <v>25279</v>
      </c>
      <c r="C2504" s="173" t="s">
        <v>3770</v>
      </c>
      <c r="D2504" s="173" t="s">
        <v>517</v>
      </c>
      <c r="E2504">
        <v>5</v>
      </c>
    </row>
    <row r="2505" spans="1:5" x14ac:dyDescent="0.25">
      <c r="A2505" s="173" t="s">
        <v>468</v>
      </c>
      <c r="B2505">
        <v>25279</v>
      </c>
      <c r="C2505" s="173" t="s">
        <v>2473</v>
      </c>
      <c r="D2505" s="173" t="s">
        <v>470</v>
      </c>
      <c r="E2505">
        <v>3</v>
      </c>
    </row>
    <row r="2506" spans="1:5" x14ac:dyDescent="0.25">
      <c r="A2506" s="173" t="s">
        <v>468</v>
      </c>
      <c r="B2506">
        <v>25279</v>
      </c>
      <c r="C2506" s="173" t="s">
        <v>3780</v>
      </c>
      <c r="D2506" s="173" t="s">
        <v>517</v>
      </c>
      <c r="E2506">
        <v>4</v>
      </c>
    </row>
    <row r="2507" spans="1:5" x14ac:dyDescent="0.25">
      <c r="A2507" s="173" t="s">
        <v>468</v>
      </c>
      <c r="B2507">
        <v>25279</v>
      </c>
      <c r="C2507" s="173" t="s">
        <v>2406</v>
      </c>
      <c r="D2507" s="173" t="s">
        <v>470</v>
      </c>
      <c r="E2507">
        <v>2</v>
      </c>
    </row>
    <row r="2508" spans="1:5" x14ac:dyDescent="0.25">
      <c r="A2508" s="173" t="s">
        <v>468</v>
      </c>
      <c r="B2508">
        <v>25279</v>
      </c>
      <c r="C2508" s="173" t="s">
        <v>3781</v>
      </c>
      <c r="D2508" s="173" t="s">
        <v>470</v>
      </c>
      <c r="E2508">
        <v>3</v>
      </c>
    </row>
    <row r="2509" spans="1:5" x14ac:dyDescent="0.25">
      <c r="A2509" s="173" t="s">
        <v>468</v>
      </c>
      <c r="B2509">
        <v>25279</v>
      </c>
      <c r="C2509" s="173" t="s">
        <v>2408</v>
      </c>
      <c r="D2509" s="173" t="s">
        <v>470</v>
      </c>
      <c r="E2509">
        <v>2</v>
      </c>
    </row>
    <row r="2510" spans="1:5" x14ac:dyDescent="0.25">
      <c r="A2510" s="173" t="s">
        <v>468</v>
      </c>
      <c r="B2510">
        <v>25279</v>
      </c>
      <c r="C2510" s="173" t="s">
        <v>2409</v>
      </c>
      <c r="D2510" s="173" t="s">
        <v>517</v>
      </c>
      <c r="E2510">
        <v>5</v>
      </c>
    </row>
    <row r="2511" spans="1:5" x14ac:dyDescent="0.25">
      <c r="A2511" s="173" t="s">
        <v>468</v>
      </c>
      <c r="B2511">
        <v>25279</v>
      </c>
      <c r="C2511" s="173" t="s">
        <v>2477</v>
      </c>
      <c r="D2511" s="173" t="s">
        <v>517</v>
      </c>
      <c r="E2511">
        <v>3</v>
      </c>
    </row>
    <row r="2512" spans="1:5" x14ac:dyDescent="0.25">
      <c r="A2512" s="173" t="s">
        <v>468</v>
      </c>
      <c r="B2512">
        <v>25279</v>
      </c>
      <c r="C2512" s="173" t="s">
        <v>3782</v>
      </c>
      <c r="D2512" s="173" t="s">
        <v>517</v>
      </c>
      <c r="E2512">
        <v>5</v>
      </c>
    </row>
    <row r="2513" spans="1:5" x14ac:dyDescent="0.25">
      <c r="A2513" s="173" t="s">
        <v>468</v>
      </c>
      <c r="B2513">
        <v>25279</v>
      </c>
      <c r="C2513" s="173" t="s">
        <v>2478</v>
      </c>
      <c r="D2513" s="173" t="s">
        <v>517</v>
      </c>
      <c r="E2513">
        <v>4</v>
      </c>
    </row>
    <row r="2514" spans="1:5" x14ac:dyDescent="0.25">
      <c r="A2514" s="173" t="s">
        <v>468</v>
      </c>
      <c r="B2514">
        <v>25279</v>
      </c>
      <c r="C2514" s="173" t="s">
        <v>471</v>
      </c>
      <c r="D2514" s="173" t="s">
        <v>470</v>
      </c>
      <c r="E2514">
        <v>3</v>
      </c>
    </row>
    <row r="2515" spans="1:5" x14ac:dyDescent="0.25">
      <c r="A2515" s="173" t="s">
        <v>468</v>
      </c>
      <c r="B2515">
        <v>25279</v>
      </c>
      <c r="C2515" s="173" t="s">
        <v>2480</v>
      </c>
      <c r="D2515" s="173" t="s">
        <v>470</v>
      </c>
      <c r="E2515">
        <v>3</v>
      </c>
    </row>
    <row r="2516" spans="1:5" x14ac:dyDescent="0.25">
      <c r="A2516" s="173" t="s">
        <v>468</v>
      </c>
      <c r="B2516">
        <v>25279</v>
      </c>
      <c r="C2516" s="173" t="s">
        <v>3154</v>
      </c>
      <c r="D2516" s="173" t="s">
        <v>470</v>
      </c>
      <c r="E2516">
        <v>3</v>
      </c>
    </row>
    <row r="2517" spans="1:5" x14ac:dyDescent="0.25">
      <c r="A2517" s="173" t="s">
        <v>468</v>
      </c>
      <c r="B2517">
        <v>25279</v>
      </c>
      <c r="C2517" s="173" t="s">
        <v>3773</v>
      </c>
      <c r="D2517" s="173" t="s">
        <v>517</v>
      </c>
      <c r="E2517">
        <v>4</v>
      </c>
    </row>
    <row r="2518" spans="1:5" x14ac:dyDescent="0.25">
      <c r="A2518" s="173" t="s">
        <v>468</v>
      </c>
      <c r="B2518">
        <v>25279</v>
      </c>
      <c r="C2518" s="173" t="s">
        <v>3783</v>
      </c>
      <c r="D2518" s="173" t="s">
        <v>517</v>
      </c>
      <c r="E2518">
        <v>3</v>
      </c>
    </row>
    <row r="2519" spans="1:5" x14ac:dyDescent="0.25">
      <c r="A2519" s="173" t="s">
        <v>468</v>
      </c>
      <c r="B2519">
        <v>25279</v>
      </c>
      <c r="C2519" s="173" t="s">
        <v>3784</v>
      </c>
      <c r="D2519" s="173" t="s">
        <v>470</v>
      </c>
      <c r="E2519">
        <v>3</v>
      </c>
    </row>
    <row r="2520" spans="1:5" x14ac:dyDescent="0.25">
      <c r="A2520" s="173" t="s">
        <v>468</v>
      </c>
      <c r="B2520">
        <v>25279</v>
      </c>
      <c r="C2520" s="173" t="s">
        <v>3785</v>
      </c>
      <c r="D2520" s="173" t="s">
        <v>517</v>
      </c>
      <c r="E2520">
        <v>3</v>
      </c>
    </row>
    <row r="2521" spans="1:5" x14ac:dyDescent="0.25">
      <c r="A2521" s="173" t="s">
        <v>468</v>
      </c>
      <c r="B2521">
        <v>25279</v>
      </c>
      <c r="C2521" s="173" t="s">
        <v>2481</v>
      </c>
      <c r="D2521" s="173" t="s">
        <v>517</v>
      </c>
      <c r="E2521">
        <v>4</v>
      </c>
    </row>
    <row r="2522" spans="1:5" x14ac:dyDescent="0.25">
      <c r="A2522" s="173" t="s">
        <v>468</v>
      </c>
      <c r="B2522">
        <v>25279</v>
      </c>
      <c r="C2522" s="173" t="s">
        <v>3786</v>
      </c>
      <c r="D2522" s="173" t="s">
        <v>517</v>
      </c>
      <c r="E2522">
        <v>4</v>
      </c>
    </row>
    <row r="2523" spans="1:5" x14ac:dyDescent="0.25">
      <c r="A2523" s="173" t="s">
        <v>468</v>
      </c>
      <c r="B2523">
        <v>25279</v>
      </c>
      <c r="C2523" s="173" t="s">
        <v>3787</v>
      </c>
      <c r="D2523" s="173" t="s">
        <v>517</v>
      </c>
      <c r="E2523">
        <v>4</v>
      </c>
    </row>
    <row r="2524" spans="1:5" x14ac:dyDescent="0.25">
      <c r="A2524" s="173" t="s">
        <v>468</v>
      </c>
      <c r="B2524">
        <v>25279</v>
      </c>
      <c r="C2524" s="173" t="s">
        <v>3788</v>
      </c>
      <c r="D2524" s="173" t="s">
        <v>470</v>
      </c>
      <c r="E2524">
        <v>2</v>
      </c>
    </row>
    <row r="2525" spans="1:5" x14ac:dyDescent="0.25">
      <c r="A2525" s="173" t="s">
        <v>468</v>
      </c>
      <c r="B2525">
        <v>25279</v>
      </c>
      <c r="C2525" s="173" t="s">
        <v>3789</v>
      </c>
      <c r="D2525" s="173" t="s">
        <v>470</v>
      </c>
      <c r="E2525">
        <v>4</v>
      </c>
    </row>
    <row r="2526" spans="1:5" x14ac:dyDescent="0.25">
      <c r="A2526" s="173" t="s">
        <v>468</v>
      </c>
      <c r="B2526">
        <v>25279</v>
      </c>
      <c r="C2526" s="173" t="s">
        <v>3790</v>
      </c>
      <c r="D2526" s="173" t="s">
        <v>517</v>
      </c>
      <c r="E2526">
        <v>4</v>
      </c>
    </row>
    <row r="2527" spans="1:5" x14ac:dyDescent="0.25">
      <c r="A2527" s="173" t="s">
        <v>468</v>
      </c>
      <c r="B2527">
        <v>25279</v>
      </c>
      <c r="C2527" s="173" t="s">
        <v>2414</v>
      </c>
      <c r="D2527" s="173" t="s">
        <v>470</v>
      </c>
      <c r="E2527">
        <v>4</v>
      </c>
    </row>
    <row r="2528" spans="1:5" x14ac:dyDescent="0.25">
      <c r="A2528" s="173" t="s">
        <v>468</v>
      </c>
      <c r="B2528">
        <v>25279</v>
      </c>
      <c r="C2528" s="173" t="s">
        <v>3791</v>
      </c>
      <c r="D2528" s="173" t="s">
        <v>470</v>
      </c>
      <c r="E2528">
        <v>3</v>
      </c>
    </row>
    <row r="2529" spans="1:5" x14ac:dyDescent="0.25">
      <c r="A2529" s="173" t="s">
        <v>468</v>
      </c>
      <c r="B2529">
        <v>25279</v>
      </c>
      <c r="C2529" s="173" t="s">
        <v>3792</v>
      </c>
      <c r="D2529" s="173" t="s">
        <v>470</v>
      </c>
      <c r="E2529">
        <v>3</v>
      </c>
    </row>
    <row r="2530" spans="1:5" x14ac:dyDescent="0.25">
      <c r="A2530" s="173" t="s">
        <v>468</v>
      </c>
      <c r="B2530">
        <v>25279</v>
      </c>
      <c r="C2530" s="173" t="s">
        <v>3793</v>
      </c>
      <c r="D2530" s="173" t="s">
        <v>517</v>
      </c>
      <c r="E2530">
        <v>4</v>
      </c>
    </row>
    <row r="2531" spans="1:5" x14ac:dyDescent="0.25">
      <c r="A2531" s="173" t="s">
        <v>468</v>
      </c>
      <c r="B2531">
        <v>25279</v>
      </c>
      <c r="C2531" s="173" t="s">
        <v>2415</v>
      </c>
      <c r="D2531" s="173" t="s">
        <v>470</v>
      </c>
      <c r="E2531">
        <v>3</v>
      </c>
    </row>
    <row r="2532" spans="1:5" x14ac:dyDescent="0.25">
      <c r="A2532" s="173" t="s">
        <v>468</v>
      </c>
      <c r="B2532">
        <v>25279</v>
      </c>
      <c r="C2532" s="173" t="s">
        <v>3794</v>
      </c>
      <c r="D2532" s="173" t="s">
        <v>517</v>
      </c>
      <c r="E2532">
        <v>4</v>
      </c>
    </row>
    <row r="2533" spans="1:5" x14ac:dyDescent="0.25">
      <c r="A2533" s="173" t="s">
        <v>468</v>
      </c>
      <c r="B2533">
        <v>25279</v>
      </c>
      <c r="C2533" s="173" t="s">
        <v>3795</v>
      </c>
      <c r="D2533" s="173" t="s">
        <v>517</v>
      </c>
      <c r="E2533">
        <v>3</v>
      </c>
    </row>
    <row r="2534" spans="1:5" x14ac:dyDescent="0.25">
      <c r="A2534" s="173" t="s">
        <v>468</v>
      </c>
      <c r="B2534">
        <v>25279</v>
      </c>
      <c r="C2534" s="173" t="s">
        <v>3796</v>
      </c>
      <c r="D2534" s="173" t="s">
        <v>470</v>
      </c>
      <c r="E2534">
        <v>3</v>
      </c>
    </row>
    <row r="2535" spans="1:5" x14ac:dyDescent="0.25">
      <c r="A2535" s="173" t="s">
        <v>468</v>
      </c>
      <c r="B2535">
        <v>25279</v>
      </c>
      <c r="C2535" s="173" t="s">
        <v>2541</v>
      </c>
      <c r="D2535" s="173" t="s">
        <v>517</v>
      </c>
      <c r="E2535">
        <v>4</v>
      </c>
    </row>
    <row r="2536" spans="1:5" x14ac:dyDescent="0.25">
      <c r="A2536" s="173" t="s">
        <v>468</v>
      </c>
      <c r="B2536">
        <v>25279</v>
      </c>
      <c r="C2536" s="173" t="s">
        <v>3133</v>
      </c>
      <c r="D2536" s="173" t="s">
        <v>470</v>
      </c>
      <c r="E2536">
        <v>4</v>
      </c>
    </row>
    <row r="2537" spans="1:5" x14ac:dyDescent="0.25">
      <c r="A2537" s="173" t="s">
        <v>468</v>
      </c>
      <c r="B2537">
        <v>25279</v>
      </c>
      <c r="C2537" s="173" t="s">
        <v>3797</v>
      </c>
      <c r="D2537" s="173" t="s">
        <v>517</v>
      </c>
      <c r="E2537">
        <v>4</v>
      </c>
    </row>
    <row r="2538" spans="1:5" x14ac:dyDescent="0.25">
      <c r="A2538" s="173" t="s">
        <v>468</v>
      </c>
      <c r="B2538">
        <v>25279</v>
      </c>
      <c r="C2538" s="173" t="s">
        <v>712</v>
      </c>
      <c r="D2538" s="173" t="s">
        <v>470</v>
      </c>
      <c r="E2538">
        <v>3</v>
      </c>
    </row>
    <row r="2539" spans="1:5" x14ac:dyDescent="0.25">
      <c r="A2539" s="173" t="s">
        <v>468</v>
      </c>
      <c r="B2539">
        <v>25279</v>
      </c>
      <c r="C2539" s="173" t="s">
        <v>3798</v>
      </c>
      <c r="D2539" s="173" t="s">
        <v>517</v>
      </c>
      <c r="E2539">
        <v>4</v>
      </c>
    </row>
    <row r="2540" spans="1:5" x14ac:dyDescent="0.25">
      <c r="A2540" s="173" t="s">
        <v>468</v>
      </c>
      <c r="B2540">
        <v>25279</v>
      </c>
      <c r="C2540" s="173" t="s">
        <v>3799</v>
      </c>
      <c r="D2540" s="173" t="s">
        <v>517</v>
      </c>
      <c r="E2540">
        <v>4</v>
      </c>
    </row>
    <row r="2541" spans="1:5" x14ac:dyDescent="0.25">
      <c r="A2541" s="173" t="s">
        <v>468</v>
      </c>
      <c r="B2541">
        <v>25279</v>
      </c>
      <c r="C2541" s="173" t="s">
        <v>3800</v>
      </c>
      <c r="D2541" s="173" t="s">
        <v>470</v>
      </c>
      <c r="E2541">
        <v>3</v>
      </c>
    </row>
    <row r="2542" spans="1:5" x14ac:dyDescent="0.25">
      <c r="A2542" s="173" t="s">
        <v>468</v>
      </c>
      <c r="B2542">
        <v>25279</v>
      </c>
      <c r="C2542" s="173" t="s">
        <v>3801</v>
      </c>
      <c r="D2542" s="173" t="s">
        <v>517</v>
      </c>
      <c r="E2542">
        <v>4</v>
      </c>
    </row>
    <row r="2543" spans="1:5" x14ac:dyDescent="0.25">
      <c r="A2543" s="173" t="s">
        <v>468</v>
      </c>
      <c r="B2543">
        <v>25279</v>
      </c>
      <c r="C2543" s="173" t="s">
        <v>3802</v>
      </c>
      <c r="D2543" s="173" t="s">
        <v>517</v>
      </c>
      <c r="E2543">
        <v>4</v>
      </c>
    </row>
    <row r="2544" spans="1:5" x14ac:dyDescent="0.25">
      <c r="A2544" s="173" t="s">
        <v>468</v>
      </c>
      <c r="B2544">
        <v>25279</v>
      </c>
      <c r="C2544" s="173" t="s">
        <v>3803</v>
      </c>
      <c r="D2544" s="173" t="s">
        <v>517</v>
      </c>
      <c r="E2544">
        <v>3</v>
      </c>
    </row>
    <row r="2545" spans="1:5" x14ac:dyDescent="0.25">
      <c r="A2545" s="173" t="s">
        <v>468</v>
      </c>
      <c r="B2545">
        <v>25279</v>
      </c>
      <c r="C2545" s="173" t="s">
        <v>3804</v>
      </c>
      <c r="D2545" s="173" t="s">
        <v>517</v>
      </c>
      <c r="E2545">
        <v>4</v>
      </c>
    </row>
    <row r="2546" spans="1:5" x14ac:dyDescent="0.25">
      <c r="A2546" s="173" t="s">
        <v>468</v>
      </c>
      <c r="B2546">
        <v>25279</v>
      </c>
      <c r="C2546" s="173" t="s">
        <v>3805</v>
      </c>
      <c r="D2546" s="173" t="s">
        <v>517</v>
      </c>
      <c r="E2546">
        <v>3</v>
      </c>
    </row>
    <row r="2547" spans="1:5" x14ac:dyDescent="0.25">
      <c r="A2547" s="173" t="s">
        <v>468</v>
      </c>
      <c r="B2547">
        <v>25279</v>
      </c>
      <c r="C2547" s="173" t="s">
        <v>3806</v>
      </c>
      <c r="D2547" s="173" t="s">
        <v>517</v>
      </c>
      <c r="E2547">
        <v>4</v>
      </c>
    </row>
    <row r="2548" spans="1:5" x14ac:dyDescent="0.25">
      <c r="A2548" s="173" t="s">
        <v>468</v>
      </c>
      <c r="B2548">
        <v>25279</v>
      </c>
      <c r="C2548" s="173" t="s">
        <v>3807</v>
      </c>
      <c r="D2548" s="173" t="s">
        <v>517</v>
      </c>
      <c r="E2548">
        <v>4</v>
      </c>
    </row>
    <row r="2549" spans="1:5" x14ac:dyDescent="0.25">
      <c r="A2549" s="173" t="s">
        <v>468</v>
      </c>
      <c r="B2549">
        <v>25279</v>
      </c>
      <c r="C2549" s="173" t="s">
        <v>3808</v>
      </c>
      <c r="D2549" s="173" t="s">
        <v>517</v>
      </c>
      <c r="E2549">
        <v>3</v>
      </c>
    </row>
    <row r="2550" spans="1:5" x14ac:dyDescent="0.25">
      <c r="A2550" s="173" t="s">
        <v>468</v>
      </c>
      <c r="B2550">
        <v>25279</v>
      </c>
      <c r="C2550" s="173" t="s">
        <v>3532</v>
      </c>
      <c r="D2550" s="173" t="s">
        <v>517</v>
      </c>
      <c r="E2550">
        <v>4</v>
      </c>
    </row>
    <row r="2551" spans="1:5" x14ac:dyDescent="0.25">
      <c r="A2551" s="173" t="s">
        <v>468</v>
      </c>
      <c r="B2551">
        <v>25279</v>
      </c>
      <c r="C2551" s="173" t="s">
        <v>3809</v>
      </c>
      <c r="D2551" s="173" t="s">
        <v>517</v>
      </c>
      <c r="E2551">
        <v>4</v>
      </c>
    </row>
    <row r="2552" spans="1:5" x14ac:dyDescent="0.25">
      <c r="A2552" s="173" t="s">
        <v>468</v>
      </c>
      <c r="B2552">
        <v>25279</v>
      </c>
      <c r="C2552" s="173" t="s">
        <v>3810</v>
      </c>
      <c r="D2552" s="173" t="s">
        <v>470</v>
      </c>
      <c r="E2552">
        <v>4</v>
      </c>
    </row>
    <row r="2553" spans="1:5" x14ac:dyDescent="0.25">
      <c r="A2553" s="173" t="s">
        <v>468</v>
      </c>
      <c r="B2553">
        <v>25279</v>
      </c>
      <c r="C2553" s="173" t="s">
        <v>3811</v>
      </c>
      <c r="D2553" s="173" t="s">
        <v>470</v>
      </c>
      <c r="E2553">
        <v>2</v>
      </c>
    </row>
    <row r="2554" spans="1:5" x14ac:dyDescent="0.25">
      <c r="A2554" s="173" t="s">
        <v>468</v>
      </c>
      <c r="B2554">
        <v>25279</v>
      </c>
      <c r="C2554" s="173" t="s">
        <v>3812</v>
      </c>
      <c r="D2554" s="173" t="s">
        <v>517</v>
      </c>
      <c r="E2554">
        <v>4</v>
      </c>
    </row>
    <row r="2555" spans="1:5" x14ac:dyDescent="0.25">
      <c r="A2555" s="173" t="s">
        <v>468</v>
      </c>
      <c r="B2555">
        <v>25279</v>
      </c>
      <c r="C2555" s="173" t="s">
        <v>3813</v>
      </c>
      <c r="D2555" s="173" t="s">
        <v>470</v>
      </c>
      <c r="E2555">
        <v>2</v>
      </c>
    </row>
    <row r="2556" spans="1:5" x14ac:dyDescent="0.25">
      <c r="A2556" s="173" t="s">
        <v>468</v>
      </c>
      <c r="B2556">
        <v>25279</v>
      </c>
      <c r="C2556" s="173" t="s">
        <v>3814</v>
      </c>
      <c r="D2556" s="173" t="s">
        <v>517</v>
      </c>
      <c r="E2556">
        <v>5</v>
      </c>
    </row>
    <row r="2557" spans="1:5" x14ac:dyDescent="0.25">
      <c r="A2557" s="173" t="s">
        <v>468</v>
      </c>
      <c r="B2557">
        <v>25279</v>
      </c>
      <c r="C2557" s="173" t="s">
        <v>3815</v>
      </c>
      <c r="D2557" s="173" t="s">
        <v>470</v>
      </c>
      <c r="E2557">
        <v>2</v>
      </c>
    </row>
    <row r="2558" spans="1:5" x14ac:dyDescent="0.25">
      <c r="A2558" s="173" t="s">
        <v>468</v>
      </c>
      <c r="B2558">
        <v>25279</v>
      </c>
      <c r="C2558" s="173" t="s">
        <v>3816</v>
      </c>
      <c r="D2558" s="173" t="s">
        <v>517</v>
      </c>
      <c r="E2558">
        <v>4</v>
      </c>
    </row>
    <row r="2559" spans="1:5" x14ac:dyDescent="0.25">
      <c r="A2559" s="173" t="s">
        <v>468</v>
      </c>
      <c r="B2559">
        <v>25279</v>
      </c>
      <c r="C2559" s="173" t="s">
        <v>3817</v>
      </c>
      <c r="D2559" s="173" t="s">
        <v>517</v>
      </c>
      <c r="E2559">
        <v>4</v>
      </c>
    </row>
    <row r="2560" spans="1:5" x14ac:dyDescent="0.25">
      <c r="A2560" s="173" t="s">
        <v>468</v>
      </c>
      <c r="B2560">
        <v>25279</v>
      </c>
      <c r="C2560" s="173" t="s">
        <v>541</v>
      </c>
      <c r="D2560" s="173" t="s">
        <v>517</v>
      </c>
      <c r="E2560">
        <v>3</v>
      </c>
    </row>
    <row r="2561" spans="1:5" x14ac:dyDescent="0.25">
      <c r="A2561" s="173" t="s">
        <v>468</v>
      </c>
      <c r="B2561">
        <v>25279</v>
      </c>
      <c r="C2561" s="173" t="s">
        <v>3776</v>
      </c>
      <c r="D2561" s="173" t="s">
        <v>517</v>
      </c>
      <c r="E2561">
        <v>5</v>
      </c>
    </row>
    <row r="2562" spans="1:5" x14ac:dyDescent="0.25">
      <c r="A2562" s="173" t="s">
        <v>468</v>
      </c>
      <c r="B2562">
        <v>25279</v>
      </c>
      <c r="C2562" s="173" t="s">
        <v>2490</v>
      </c>
      <c r="D2562" s="173" t="s">
        <v>517</v>
      </c>
      <c r="E2562">
        <v>5</v>
      </c>
    </row>
    <row r="2563" spans="1:5" x14ac:dyDescent="0.25">
      <c r="A2563" s="173" t="s">
        <v>468</v>
      </c>
      <c r="B2563">
        <v>25279</v>
      </c>
      <c r="C2563" s="173" t="s">
        <v>3818</v>
      </c>
      <c r="D2563" s="173" t="s">
        <v>517</v>
      </c>
      <c r="E2563">
        <v>4</v>
      </c>
    </row>
    <row r="2564" spans="1:5" x14ac:dyDescent="0.25">
      <c r="A2564" s="173" t="s">
        <v>468</v>
      </c>
      <c r="B2564">
        <v>25279</v>
      </c>
      <c r="C2564" s="173" t="s">
        <v>3819</v>
      </c>
      <c r="D2564" s="173" t="s">
        <v>517</v>
      </c>
      <c r="E2564">
        <v>4</v>
      </c>
    </row>
    <row r="2565" spans="1:5" x14ac:dyDescent="0.25">
      <c r="A2565" s="173" t="s">
        <v>468</v>
      </c>
      <c r="B2565">
        <v>25279</v>
      </c>
      <c r="C2565" s="173" t="s">
        <v>3820</v>
      </c>
      <c r="D2565" s="173" t="s">
        <v>470</v>
      </c>
      <c r="E2565">
        <v>3</v>
      </c>
    </row>
    <row r="2566" spans="1:5" x14ac:dyDescent="0.25">
      <c r="A2566" s="173" t="s">
        <v>468</v>
      </c>
      <c r="B2566">
        <v>25279</v>
      </c>
      <c r="C2566" s="173" t="s">
        <v>3821</v>
      </c>
      <c r="D2566" s="173" t="s">
        <v>517</v>
      </c>
      <c r="E2566">
        <v>4</v>
      </c>
    </row>
    <row r="2567" spans="1:5" x14ac:dyDescent="0.25">
      <c r="A2567" s="173" t="s">
        <v>468</v>
      </c>
      <c r="B2567">
        <v>25279</v>
      </c>
      <c r="C2567" s="173" t="s">
        <v>3822</v>
      </c>
      <c r="D2567" s="173" t="s">
        <v>517</v>
      </c>
      <c r="E2567">
        <v>5</v>
      </c>
    </row>
    <row r="2568" spans="1:5" x14ac:dyDescent="0.25">
      <c r="A2568" s="173" t="s">
        <v>468</v>
      </c>
      <c r="B2568">
        <v>25279</v>
      </c>
      <c r="C2568" s="173" t="s">
        <v>3823</v>
      </c>
      <c r="D2568" s="173" t="s">
        <v>517</v>
      </c>
      <c r="E2568">
        <v>4</v>
      </c>
    </row>
    <row r="2569" spans="1:5" x14ac:dyDescent="0.25">
      <c r="A2569" s="173" t="s">
        <v>468</v>
      </c>
      <c r="B2569">
        <v>25279</v>
      </c>
      <c r="C2569" s="173" t="s">
        <v>3824</v>
      </c>
      <c r="D2569" s="173" t="s">
        <v>517</v>
      </c>
      <c r="E2569">
        <v>5</v>
      </c>
    </row>
    <row r="2570" spans="1:5" x14ac:dyDescent="0.25">
      <c r="A2570" s="173" t="s">
        <v>468</v>
      </c>
      <c r="B2570">
        <v>25279</v>
      </c>
      <c r="C2570" s="173" t="s">
        <v>3825</v>
      </c>
      <c r="D2570" s="173" t="s">
        <v>517</v>
      </c>
      <c r="E2570">
        <v>4</v>
      </c>
    </row>
    <row r="2571" spans="1:5" x14ac:dyDescent="0.25">
      <c r="A2571" s="173" t="s">
        <v>468</v>
      </c>
      <c r="B2571">
        <v>25279</v>
      </c>
      <c r="C2571" s="173" t="s">
        <v>3826</v>
      </c>
      <c r="D2571" s="173" t="s">
        <v>517</v>
      </c>
      <c r="E2571">
        <v>5</v>
      </c>
    </row>
    <row r="2572" spans="1:5" x14ac:dyDescent="0.25">
      <c r="A2572" s="173" t="s">
        <v>468</v>
      </c>
      <c r="B2572">
        <v>25279</v>
      </c>
      <c r="C2572" s="173" t="s">
        <v>3827</v>
      </c>
      <c r="D2572" s="173" t="s">
        <v>517</v>
      </c>
      <c r="E2572">
        <v>3</v>
      </c>
    </row>
    <row r="2573" spans="1:5" x14ac:dyDescent="0.25">
      <c r="A2573" s="173" t="s">
        <v>468</v>
      </c>
      <c r="B2573">
        <v>25279</v>
      </c>
      <c r="C2573" s="173" t="s">
        <v>3828</v>
      </c>
      <c r="D2573" s="173" t="s">
        <v>517</v>
      </c>
      <c r="E2573">
        <v>3</v>
      </c>
    </row>
    <row r="2574" spans="1:5" x14ac:dyDescent="0.25">
      <c r="A2574" s="173" t="s">
        <v>468</v>
      </c>
      <c r="B2574">
        <v>25279</v>
      </c>
      <c r="C2574" s="173" t="s">
        <v>3829</v>
      </c>
      <c r="D2574" s="173" t="s">
        <v>517</v>
      </c>
      <c r="E2574">
        <v>3</v>
      </c>
    </row>
    <row r="2575" spans="1:5" x14ac:dyDescent="0.25">
      <c r="A2575" s="173" t="s">
        <v>468</v>
      </c>
      <c r="B2575">
        <v>25279</v>
      </c>
      <c r="C2575" s="173" t="s">
        <v>3830</v>
      </c>
      <c r="D2575" s="173" t="s">
        <v>517</v>
      </c>
      <c r="E2575">
        <v>3</v>
      </c>
    </row>
    <row r="2576" spans="1:5" x14ac:dyDescent="0.25">
      <c r="A2576" s="173" t="s">
        <v>468</v>
      </c>
      <c r="B2576">
        <v>25279</v>
      </c>
      <c r="C2576" s="173" t="s">
        <v>3831</v>
      </c>
      <c r="D2576" s="173" t="s">
        <v>517</v>
      </c>
      <c r="E2576">
        <v>4</v>
      </c>
    </row>
    <row r="2577" spans="1:5" x14ac:dyDescent="0.25">
      <c r="A2577" s="173" t="s">
        <v>468</v>
      </c>
      <c r="B2577">
        <v>25279</v>
      </c>
      <c r="C2577" s="173" t="s">
        <v>3832</v>
      </c>
      <c r="D2577" s="173" t="s">
        <v>470</v>
      </c>
      <c r="E2577">
        <v>2</v>
      </c>
    </row>
    <row r="2578" spans="1:5" x14ac:dyDescent="0.25">
      <c r="A2578" s="173" t="s">
        <v>468</v>
      </c>
      <c r="B2578">
        <v>25279</v>
      </c>
      <c r="C2578" s="173" t="s">
        <v>3833</v>
      </c>
      <c r="D2578" s="173" t="s">
        <v>470</v>
      </c>
      <c r="E2578">
        <v>2</v>
      </c>
    </row>
    <row r="2579" spans="1:5" x14ac:dyDescent="0.25">
      <c r="A2579" s="173" t="s">
        <v>468</v>
      </c>
      <c r="B2579">
        <v>25279</v>
      </c>
      <c r="C2579" s="173" t="s">
        <v>3834</v>
      </c>
      <c r="D2579" s="173" t="s">
        <v>517</v>
      </c>
      <c r="E2579">
        <v>4</v>
      </c>
    </row>
    <row r="2580" spans="1:5" x14ac:dyDescent="0.25">
      <c r="A2580" s="173" t="s">
        <v>468</v>
      </c>
      <c r="B2580">
        <v>25279</v>
      </c>
      <c r="C2580" s="173" t="s">
        <v>3835</v>
      </c>
      <c r="D2580" s="173" t="s">
        <v>470</v>
      </c>
      <c r="E2580">
        <v>2</v>
      </c>
    </row>
    <row r="2581" spans="1:5" x14ac:dyDescent="0.25">
      <c r="A2581" s="173" t="s">
        <v>468</v>
      </c>
      <c r="B2581">
        <v>25279</v>
      </c>
      <c r="C2581" s="173" t="s">
        <v>3836</v>
      </c>
      <c r="D2581" s="173" t="s">
        <v>470</v>
      </c>
      <c r="E2581">
        <v>2</v>
      </c>
    </row>
    <row r="2582" spans="1:5" x14ac:dyDescent="0.25">
      <c r="A2582" s="173" t="s">
        <v>468</v>
      </c>
      <c r="B2582">
        <v>25279</v>
      </c>
      <c r="C2582" s="173" t="s">
        <v>3837</v>
      </c>
      <c r="D2582" s="173" t="s">
        <v>470</v>
      </c>
      <c r="E2582">
        <v>2</v>
      </c>
    </row>
    <row r="2583" spans="1:5" x14ac:dyDescent="0.25">
      <c r="A2583" s="173" t="s">
        <v>468</v>
      </c>
      <c r="B2583">
        <v>25279</v>
      </c>
      <c r="C2583" s="173" t="s">
        <v>2554</v>
      </c>
      <c r="D2583" s="173" t="s">
        <v>470</v>
      </c>
      <c r="E2583">
        <v>2</v>
      </c>
    </row>
    <row r="2584" spans="1:5" x14ac:dyDescent="0.25">
      <c r="A2584" s="173" t="s">
        <v>468</v>
      </c>
      <c r="B2584">
        <v>25279</v>
      </c>
      <c r="C2584" s="173" t="s">
        <v>3838</v>
      </c>
      <c r="D2584" s="173" t="s">
        <v>470</v>
      </c>
      <c r="E2584">
        <v>2</v>
      </c>
    </row>
    <row r="2585" spans="1:5" x14ac:dyDescent="0.25">
      <c r="A2585" s="173" t="s">
        <v>468</v>
      </c>
      <c r="B2585">
        <v>25279</v>
      </c>
      <c r="C2585" s="173" t="s">
        <v>3839</v>
      </c>
      <c r="D2585" s="173" t="s">
        <v>470</v>
      </c>
      <c r="E2585">
        <v>3</v>
      </c>
    </row>
    <row r="2586" spans="1:5" x14ac:dyDescent="0.25">
      <c r="A2586" s="173" t="s">
        <v>468</v>
      </c>
      <c r="B2586">
        <v>25279</v>
      </c>
      <c r="C2586" s="173" t="s">
        <v>3840</v>
      </c>
      <c r="D2586" s="173" t="s">
        <v>470</v>
      </c>
      <c r="E2586">
        <v>4</v>
      </c>
    </row>
    <row r="2587" spans="1:5" x14ac:dyDescent="0.25">
      <c r="A2587" s="173" t="s">
        <v>468</v>
      </c>
      <c r="B2587">
        <v>25279</v>
      </c>
      <c r="C2587" s="173" t="s">
        <v>3841</v>
      </c>
      <c r="D2587" s="173" t="s">
        <v>470</v>
      </c>
      <c r="E2587">
        <v>5</v>
      </c>
    </row>
    <row r="2588" spans="1:5" x14ac:dyDescent="0.25">
      <c r="A2588" s="173" t="s">
        <v>468</v>
      </c>
      <c r="B2588">
        <v>25279</v>
      </c>
      <c r="C2588" s="173" t="s">
        <v>3842</v>
      </c>
      <c r="D2588" s="173" t="s">
        <v>470</v>
      </c>
      <c r="E2588">
        <v>4</v>
      </c>
    </row>
    <row r="2589" spans="1:5" x14ac:dyDescent="0.25">
      <c r="A2589" s="173" t="s">
        <v>468</v>
      </c>
      <c r="B2589">
        <v>25279</v>
      </c>
      <c r="C2589" s="173" t="s">
        <v>3843</v>
      </c>
      <c r="D2589" s="173" t="s">
        <v>470</v>
      </c>
      <c r="E2589">
        <v>4</v>
      </c>
    </row>
    <row r="2590" spans="1:5" x14ac:dyDescent="0.25">
      <c r="A2590" s="173" t="s">
        <v>468</v>
      </c>
      <c r="B2590">
        <v>25279</v>
      </c>
      <c r="C2590" s="173" t="s">
        <v>3844</v>
      </c>
      <c r="D2590" s="173" t="s">
        <v>470</v>
      </c>
      <c r="E2590">
        <v>3</v>
      </c>
    </row>
    <row r="2591" spans="1:5" x14ac:dyDescent="0.25">
      <c r="A2591" s="173" t="s">
        <v>468</v>
      </c>
      <c r="B2591">
        <v>25279</v>
      </c>
      <c r="C2591" s="173" t="s">
        <v>3845</v>
      </c>
      <c r="D2591" s="173" t="s">
        <v>470</v>
      </c>
      <c r="E2591">
        <v>3</v>
      </c>
    </row>
    <row r="2592" spans="1:5" x14ac:dyDescent="0.25">
      <c r="A2592" s="173" t="s">
        <v>468</v>
      </c>
      <c r="B2592">
        <v>25279</v>
      </c>
      <c r="C2592" s="173" t="s">
        <v>3846</v>
      </c>
      <c r="D2592" s="173" t="s">
        <v>470</v>
      </c>
      <c r="E2592">
        <v>4</v>
      </c>
    </row>
    <row r="2593" spans="1:5" x14ac:dyDescent="0.25">
      <c r="A2593" s="173" t="s">
        <v>468</v>
      </c>
      <c r="B2593">
        <v>25279</v>
      </c>
      <c r="C2593" s="173" t="s">
        <v>3847</v>
      </c>
      <c r="D2593" s="173" t="s">
        <v>470</v>
      </c>
      <c r="E2593">
        <v>3</v>
      </c>
    </row>
    <row r="2594" spans="1:5" x14ac:dyDescent="0.25">
      <c r="A2594" s="173" t="s">
        <v>468</v>
      </c>
      <c r="B2594">
        <v>25279</v>
      </c>
      <c r="C2594" s="173" t="s">
        <v>3848</v>
      </c>
      <c r="D2594" s="173" t="s">
        <v>470</v>
      </c>
      <c r="E2594">
        <v>2</v>
      </c>
    </row>
    <row r="2595" spans="1:5" x14ac:dyDescent="0.25">
      <c r="A2595" s="173" t="s">
        <v>468</v>
      </c>
      <c r="B2595">
        <v>25279</v>
      </c>
      <c r="C2595" s="173" t="s">
        <v>510</v>
      </c>
      <c r="D2595" s="173" t="s">
        <v>470</v>
      </c>
      <c r="E2595">
        <v>2</v>
      </c>
    </row>
    <row r="2596" spans="1:5" x14ac:dyDescent="0.25">
      <c r="A2596" s="173" t="s">
        <v>468</v>
      </c>
      <c r="B2596">
        <v>25279</v>
      </c>
      <c r="C2596" s="173" t="s">
        <v>511</v>
      </c>
      <c r="D2596" s="173" t="s">
        <v>470</v>
      </c>
      <c r="E2596">
        <v>3</v>
      </c>
    </row>
    <row r="2597" spans="1:5" x14ac:dyDescent="0.25">
      <c r="A2597" s="173" t="s">
        <v>468</v>
      </c>
      <c r="B2597">
        <v>25279</v>
      </c>
      <c r="C2597" s="173" t="s">
        <v>3849</v>
      </c>
      <c r="D2597" s="173" t="s">
        <v>470</v>
      </c>
      <c r="E2597">
        <v>2</v>
      </c>
    </row>
    <row r="2598" spans="1:5" x14ac:dyDescent="0.25">
      <c r="A2598" s="173" t="s">
        <v>468</v>
      </c>
      <c r="B2598">
        <v>25279</v>
      </c>
      <c r="C2598" s="173" t="s">
        <v>3850</v>
      </c>
      <c r="D2598" s="173" t="s">
        <v>470</v>
      </c>
      <c r="E2598">
        <v>3</v>
      </c>
    </row>
    <row r="2599" spans="1:5" x14ac:dyDescent="0.25">
      <c r="A2599" s="173" t="s">
        <v>468</v>
      </c>
      <c r="B2599">
        <v>25279</v>
      </c>
      <c r="C2599" s="173" t="s">
        <v>3136</v>
      </c>
      <c r="D2599" s="173" t="s">
        <v>470</v>
      </c>
      <c r="E2599">
        <v>2</v>
      </c>
    </row>
    <row r="2600" spans="1:5" x14ac:dyDescent="0.25">
      <c r="A2600" s="173" t="s">
        <v>468</v>
      </c>
      <c r="B2600">
        <v>25279</v>
      </c>
      <c r="C2600" s="173" t="s">
        <v>3851</v>
      </c>
      <c r="D2600" s="173" t="s">
        <v>470</v>
      </c>
      <c r="E2600">
        <v>3</v>
      </c>
    </row>
    <row r="2601" spans="1:5" x14ac:dyDescent="0.25">
      <c r="A2601" s="173" t="s">
        <v>468</v>
      </c>
      <c r="B2601">
        <v>25279</v>
      </c>
      <c r="C2601" s="173" t="s">
        <v>3852</v>
      </c>
      <c r="D2601" s="173" t="s">
        <v>470</v>
      </c>
      <c r="E2601">
        <v>2</v>
      </c>
    </row>
    <row r="2602" spans="1:5" x14ac:dyDescent="0.25">
      <c r="A2602" s="173" t="s">
        <v>468</v>
      </c>
      <c r="B2602">
        <v>25279</v>
      </c>
      <c r="C2602" s="173" t="s">
        <v>3853</v>
      </c>
      <c r="D2602" s="173" t="s">
        <v>470</v>
      </c>
      <c r="E2602">
        <v>3</v>
      </c>
    </row>
    <row r="2603" spans="1:5" x14ac:dyDescent="0.25">
      <c r="A2603" s="173" t="s">
        <v>468</v>
      </c>
      <c r="B2603">
        <v>25279</v>
      </c>
      <c r="C2603" s="173" t="s">
        <v>2459</v>
      </c>
      <c r="D2603" s="173" t="s">
        <v>470</v>
      </c>
      <c r="E2603">
        <v>2</v>
      </c>
    </row>
    <row r="2604" spans="1:5" x14ac:dyDescent="0.25">
      <c r="A2604" s="173" t="s">
        <v>468</v>
      </c>
      <c r="B2604">
        <v>25279</v>
      </c>
      <c r="C2604" s="173" t="s">
        <v>3854</v>
      </c>
      <c r="D2604" s="173" t="s">
        <v>470</v>
      </c>
      <c r="E2604">
        <v>3</v>
      </c>
    </row>
    <row r="2605" spans="1:5" x14ac:dyDescent="0.25">
      <c r="A2605" s="173" t="s">
        <v>468</v>
      </c>
      <c r="B2605">
        <v>25279</v>
      </c>
      <c r="C2605" s="173" t="s">
        <v>3855</v>
      </c>
      <c r="D2605" s="173" t="s">
        <v>470</v>
      </c>
      <c r="E2605">
        <v>3</v>
      </c>
    </row>
    <row r="2606" spans="1:5" x14ac:dyDescent="0.25">
      <c r="A2606" s="173" t="s">
        <v>468</v>
      </c>
      <c r="B2606">
        <v>25279</v>
      </c>
      <c r="C2606" s="173" t="s">
        <v>3139</v>
      </c>
      <c r="D2606" s="173" t="s">
        <v>470</v>
      </c>
      <c r="E2606">
        <v>2</v>
      </c>
    </row>
    <row r="2607" spans="1:5" x14ac:dyDescent="0.25">
      <c r="A2607" s="173" t="s">
        <v>468</v>
      </c>
      <c r="B2607">
        <v>25279</v>
      </c>
      <c r="C2607" s="173" t="s">
        <v>3856</v>
      </c>
      <c r="D2607" s="173" t="s">
        <v>470</v>
      </c>
      <c r="E2607">
        <v>2</v>
      </c>
    </row>
    <row r="2608" spans="1:5" x14ac:dyDescent="0.25">
      <c r="A2608" s="173" t="s">
        <v>468</v>
      </c>
      <c r="B2608">
        <v>25279</v>
      </c>
      <c r="C2608" s="173" t="s">
        <v>3857</v>
      </c>
      <c r="D2608" s="173" t="s">
        <v>470</v>
      </c>
      <c r="E2608">
        <v>2</v>
      </c>
    </row>
    <row r="2609" spans="1:5" x14ac:dyDescent="0.25">
      <c r="A2609" s="173" t="s">
        <v>468</v>
      </c>
      <c r="B2609">
        <v>25279</v>
      </c>
      <c r="C2609" s="173" t="s">
        <v>3858</v>
      </c>
      <c r="D2609" s="173" t="s">
        <v>470</v>
      </c>
      <c r="E2609">
        <v>2</v>
      </c>
    </row>
    <row r="2610" spans="1:5" x14ac:dyDescent="0.25">
      <c r="A2610" s="173" t="s">
        <v>468</v>
      </c>
      <c r="B2610">
        <v>25279</v>
      </c>
      <c r="C2610" s="173" t="s">
        <v>3859</v>
      </c>
      <c r="D2610" s="173" t="s">
        <v>470</v>
      </c>
      <c r="E2610">
        <v>2</v>
      </c>
    </row>
    <row r="2611" spans="1:5" x14ac:dyDescent="0.25">
      <c r="A2611" s="173" t="s">
        <v>468</v>
      </c>
      <c r="B2611">
        <v>25279</v>
      </c>
      <c r="C2611" s="173" t="s">
        <v>3860</v>
      </c>
      <c r="D2611" s="173" t="s">
        <v>470</v>
      </c>
      <c r="E2611">
        <v>2</v>
      </c>
    </row>
    <row r="2612" spans="1:5" x14ac:dyDescent="0.25">
      <c r="A2612" s="173" t="s">
        <v>468</v>
      </c>
      <c r="B2612">
        <v>25279</v>
      </c>
      <c r="C2612" s="173" t="s">
        <v>3861</v>
      </c>
      <c r="D2612" s="173" t="s">
        <v>470</v>
      </c>
      <c r="E2612">
        <v>2</v>
      </c>
    </row>
    <row r="2613" spans="1:5" x14ac:dyDescent="0.25">
      <c r="A2613" s="173" t="s">
        <v>468</v>
      </c>
      <c r="B2613">
        <v>25279</v>
      </c>
      <c r="C2613" s="173" t="s">
        <v>3862</v>
      </c>
      <c r="D2613" s="173" t="s">
        <v>470</v>
      </c>
      <c r="E2613">
        <v>2</v>
      </c>
    </row>
    <row r="2614" spans="1:5" x14ac:dyDescent="0.25">
      <c r="A2614" s="173" t="s">
        <v>468</v>
      </c>
      <c r="B2614">
        <v>25279</v>
      </c>
      <c r="C2614" s="173" t="s">
        <v>3863</v>
      </c>
      <c r="D2614" s="173" t="s">
        <v>470</v>
      </c>
      <c r="E2614">
        <v>2</v>
      </c>
    </row>
    <row r="2615" spans="1:5" x14ac:dyDescent="0.25">
      <c r="A2615" s="173" t="s">
        <v>468</v>
      </c>
      <c r="B2615">
        <v>25279</v>
      </c>
      <c r="C2615" s="173" t="s">
        <v>3864</v>
      </c>
      <c r="D2615" s="173" t="s">
        <v>470</v>
      </c>
      <c r="E2615">
        <v>2</v>
      </c>
    </row>
    <row r="2616" spans="1:5" x14ac:dyDescent="0.25">
      <c r="A2616" s="173" t="s">
        <v>468</v>
      </c>
      <c r="B2616">
        <v>25279</v>
      </c>
      <c r="C2616" s="173" t="s">
        <v>3865</v>
      </c>
      <c r="D2616" s="173" t="s">
        <v>470</v>
      </c>
      <c r="E2616">
        <v>2</v>
      </c>
    </row>
    <row r="2617" spans="1:5" x14ac:dyDescent="0.25">
      <c r="A2617" s="173" t="s">
        <v>468</v>
      </c>
      <c r="B2617">
        <v>25279</v>
      </c>
      <c r="C2617" s="173" t="s">
        <v>3866</v>
      </c>
      <c r="D2617" s="173" t="s">
        <v>470</v>
      </c>
      <c r="E2617">
        <v>2</v>
      </c>
    </row>
    <row r="2618" spans="1:5" x14ac:dyDescent="0.25">
      <c r="A2618" s="173" t="s">
        <v>468</v>
      </c>
      <c r="B2618">
        <v>25279</v>
      </c>
      <c r="C2618" s="173" t="s">
        <v>3867</v>
      </c>
      <c r="D2618" s="173" t="s">
        <v>470</v>
      </c>
      <c r="E2618">
        <v>2</v>
      </c>
    </row>
    <row r="2619" spans="1:5" x14ac:dyDescent="0.25">
      <c r="A2619" s="173" t="s">
        <v>468</v>
      </c>
      <c r="B2619">
        <v>25279</v>
      </c>
      <c r="C2619" s="173" t="s">
        <v>3868</v>
      </c>
      <c r="D2619" s="173" t="s">
        <v>470</v>
      </c>
      <c r="E2619">
        <v>2</v>
      </c>
    </row>
    <row r="2620" spans="1:5" x14ac:dyDescent="0.25">
      <c r="A2620" s="173" t="s">
        <v>468</v>
      </c>
      <c r="B2620">
        <v>25279</v>
      </c>
      <c r="C2620" s="173" t="s">
        <v>3869</v>
      </c>
      <c r="D2620" s="173" t="s">
        <v>470</v>
      </c>
      <c r="E2620">
        <v>2</v>
      </c>
    </row>
    <row r="2621" spans="1:5" x14ac:dyDescent="0.25">
      <c r="A2621" s="173" t="s">
        <v>468</v>
      </c>
      <c r="B2621">
        <v>25279</v>
      </c>
      <c r="C2621" s="173" t="s">
        <v>3870</v>
      </c>
      <c r="D2621" s="173" t="s">
        <v>470</v>
      </c>
      <c r="E2621">
        <v>2</v>
      </c>
    </row>
    <row r="2622" spans="1:5" x14ac:dyDescent="0.25">
      <c r="A2622" s="173" t="s">
        <v>468</v>
      </c>
      <c r="B2622">
        <v>25279</v>
      </c>
      <c r="C2622" s="173" t="s">
        <v>3871</v>
      </c>
      <c r="D2622" s="173" t="s">
        <v>470</v>
      </c>
      <c r="E2622">
        <v>4</v>
      </c>
    </row>
    <row r="2623" spans="1:5" x14ac:dyDescent="0.25">
      <c r="A2623" s="173" t="s">
        <v>468</v>
      </c>
      <c r="B2623">
        <v>25279</v>
      </c>
      <c r="C2623" s="173" t="s">
        <v>3872</v>
      </c>
      <c r="D2623" s="173" t="s">
        <v>470</v>
      </c>
      <c r="E2623">
        <v>2</v>
      </c>
    </row>
    <row r="2624" spans="1:5" x14ac:dyDescent="0.25">
      <c r="A2624" s="173" t="s">
        <v>468</v>
      </c>
      <c r="B2624">
        <v>25279</v>
      </c>
      <c r="C2624" s="173" t="s">
        <v>3873</v>
      </c>
      <c r="D2624" s="173" t="s">
        <v>470</v>
      </c>
      <c r="E2624">
        <v>2</v>
      </c>
    </row>
    <row r="2625" spans="1:5" x14ac:dyDescent="0.25">
      <c r="A2625" s="173" t="s">
        <v>468</v>
      </c>
      <c r="B2625">
        <v>25279</v>
      </c>
      <c r="C2625" s="173" t="s">
        <v>3874</v>
      </c>
      <c r="D2625" s="173" t="s">
        <v>470</v>
      </c>
      <c r="E2625">
        <v>4</v>
      </c>
    </row>
    <row r="2626" spans="1:5" x14ac:dyDescent="0.25">
      <c r="A2626" s="173" t="s">
        <v>468</v>
      </c>
      <c r="B2626">
        <v>25279</v>
      </c>
      <c r="C2626" s="173" t="s">
        <v>3875</v>
      </c>
      <c r="D2626" s="173" t="s">
        <v>470</v>
      </c>
      <c r="E2626">
        <v>2</v>
      </c>
    </row>
    <row r="2627" spans="1:5" x14ac:dyDescent="0.25">
      <c r="A2627" s="173" t="s">
        <v>468</v>
      </c>
      <c r="B2627">
        <v>25279</v>
      </c>
      <c r="C2627" s="173" t="s">
        <v>3876</v>
      </c>
      <c r="D2627" s="173" t="s">
        <v>470</v>
      </c>
      <c r="E2627">
        <v>2</v>
      </c>
    </row>
    <row r="2628" spans="1:5" x14ac:dyDescent="0.25">
      <c r="A2628" s="173" t="s">
        <v>468</v>
      </c>
      <c r="B2628">
        <v>25279</v>
      </c>
      <c r="C2628" s="173" t="s">
        <v>462</v>
      </c>
      <c r="D2628" s="173" t="s">
        <v>470</v>
      </c>
      <c r="E2628">
        <v>2</v>
      </c>
    </row>
    <row r="2629" spans="1:5" x14ac:dyDescent="0.25">
      <c r="A2629" s="173" t="s">
        <v>468</v>
      </c>
      <c r="B2629">
        <v>25279</v>
      </c>
      <c r="C2629" s="173" t="s">
        <v>3877</v>
      </c>
      <c r="D2629" s="173" t="s">
        <v>470</v>
      </c>
      <c r="E2629">
        <v>3</v>
      </c>
    </row>
    <row r="2630" spans="1:5" x14ac:dyDescent="0.25">
      <c r="A2630" s="173" t="s">
        <v>468</v>
      </c>
      <c r="B2630">
        <v>25279</v>
      </c>
      <c r="C2630" s="173" t="s">
        <v>3878</v>
      </c>
      <c r="D2630" s="173" t="s">
        <v>470</v>
      </c>
      <c r="E2630">
        <v>2</v>
      </c>
    </row>
    <row r="2631" spans="1:5" x14ac:dyDescent="0.25">
      <c r="A2631" s="173" t="s">
        <v>468</v>
      </c>
      <c r="B2631">
        <v>25279</v>
      </c>
      <c r="C2631" s="173" t="s">
        <v>3879</v>
      </c>
      <c r="D2631" s="173" t="s">
        <v>470</v>
      </c>
      <c r="E2631">
        <v>2</v>
      </c>
    </row>
    <row r="2632" spans="1:5" x14ac:dyDescent="0.25">
      <c r="A2632" s="173" t="s">
        <v>468</v>
      </c>
      <c r="B2632">
        <v>25279</v>
      </c>
      <c r="C2632" s="173" t="s">
        <v>3880</v>
      </c>
      <c r="D2632" s="173" t="s">
        <v>470</v>
      </c>
      <c r="E2632">
        <v>2</v>
      </c>
    </row>
    <row r="2633" spans="1:5" x14ac:dyDescent="0.25">
      <c r="A2633" s="173" t="s">
        <v>468</v>
      </c>
      <c r="B2633">
        <v>25279</v>
      </c>
      <c r="C2633" s="173" t="s">
        <v>3881</v>
      </c>
      <c r="D2633" s="173" t="s">
        <v>470</v>
      </c>
      <c r="E2633">
        <v>2</v>
      </c>
    </row>
    <row r="2634" spans="1:5" x14ac:dyDescent="0.25">
      <c r="A2634" s="173" t="s">
        <v>468</v>
      </c>
      <c r="B2634">
        <v>25279</v>
      </c>
      <c r="C2634" s="173" t="s">
        <v>3882</v>
      </c>
      <c r="D2634" s="173" t="s">
        <v>470</v>
      </c>
      <c r="E2634">
        <v>2</v>
      </c>
    </row>
    <row r="2635" spans="1:5" x14ac:dyDescent="0.25">
      <c r="A2635" s="173" t="s">
        <v>468</v>
      </c>
      <c r="B2635">
        <v>25279</v>
      </c>
      <c r="C2635" s="173" t="s">
        <v>3883</v>
      </c>
      <c r="D2635" s="173" t="s">
        <v>470</v>
      </c>
      <c r="E2635">
        <v>4</v>
      </c>
    </row>
    <row r="2636" spans="1:5" x14ac:dyDescent="0.25">
      <c r="A2636" s="173" t="s">
        <v>468</v>
      </c>
      <c r="B2636">
        <v>25279</v>
      </c>
      <c r="C2636" s="173" t="s">
        <v>3884</v>
      </c>
      <c r="D2636" s="173" t="s">
        <v>470</v>
      </c>
      <c r="E2636">
        <v>4</v>
      </c>
    </row>
    <row r="2637" spans="1:5" x14ac:dyDescent="0.25">
      <c r="A2637" s="173" t="s">
        <v>468</v>
      </c>
      <c r="B2637">
        <v>25279</v>
      </c>
      <c r="C2637" s="173" t="s">
        <v>3885</v>
      </c>
      <c r="D2637" s="173" t="s">
        <v>470</v>
      </c>
      <c r="E2637">
        <v>3</v>
      </c>
    </row>
    <row r="2638" spans="1:5" x14ac:dyDescent="0.25">
      <c r="A2638" s="173" t="s">
        <v>468</v>
      </c>
      <c r="B2638">
        <v>25279</v>
      </c>
      <c r="C2638" s="173" t="s">
        <v>3886</v>
      </c>
      <c r="D2638" s="173" t="s">
        <v>470</v>
      </c>
      <c r="E2638">
        <v>2</v>
      </c>
    </row>
    <row r="2639" spans="1:5" x14ac:dyDescent="0.25">
      <c r="A2639" s="173" t="s">
        <v>468</v>
      </c>
      <c r="B2639">
        <v>25279</v>
      </c>
      <c r="C2639" s="173" t="s">
        <v>3887</v>
      </c>
      <c r="D2639" s="173" t="s">
        <v>470</v>
      </c>
      <c r="E2639">
        <v>2</v>
      </c>
    </row>
    <row r="2640" spans="1:5" x14ac:dyDescent="0.25">
      <c r="A2640" s="173" t="s">
        <v>468</v>
      </c>
      <c r="B2640">
        <v>25279</v>
      </c>
      <c r="C2640" s="173" t="s">
        <v>3888</v>
      </c>
      <c r="D2640" s="173" t="s">
        <v>470</v>
      </c>
      <c r="E2640">
        <v>2</v>
      </c>
    </row>
    <row r="2641" spans="1:5" x14ac:dyDescent="0.25">
      <c r="A2641" s="173" t="s">
        <v>468</v>
      </c>
      <c r="B2641">
        <v>25279</v>
      </c>
      <c r="C2641" s="173" t="s">
        <v>3889</v>
      </c>
      <c r="D2641" s="173" t="s">
        <v>470</v>
      </c>
      <c r="E2641">
        <v>2</v>
      </c>
    </row>
    <row r="2642" spans="1:5" x14ac:dyDescent="0.25">
      <c r="A2642" s="173" t="s">
        <v>468</v>
      </c>
      <c r="B2642">
        <v>25279</v>
      </c>
      <c r="C2642" s="173" t="s">
        <v>3890</v>
      </c>
      <c r="D2642" s="173" t="s">
        <v>470</v>
      </c>
      <c r="E2642">
        <v>2</v>
      </c>
    </row>
    <row r="2643" spans="1:5" x14ac:dyDescent="0.25">
      <c r="A2643" s="173" t="s">
        <v>468</v>
      </c>
      <c r="B2643">
        <v>25279</v>
      </c>
      <c r="C2643" s="173" t="s">
        <v>3891</v>
      </c>
      <c r="D2643" s="173" t="s">
        <v>470</v>
      </c>
      <c r="E2643">
        <v>3</v>
      </c>
    </row>
    <row r="2644" spans="1:5" x14ac:dyDescent="0.25">
      <c r="A2644" s="173" t="s">
        <v>468</v>
      </c>
      <c r="B2644">
        <v>25279</v>
      </c>
      <c r="C2644" s="173" t="s">
        <v>3892</v>
      </c>
      <c r="D2644" s="173" t="s">
        <v>470</v>
      </c>
      <c r="E2644">
        <v>3</v>
      </c>
    </row>
    <row r="2645" spans="1:5" x14ac:dyDescent="0.25">
      <c r="A2645" s="173" t="s">
        <v>468</v>
      </c>
      <c r="B2645">
        <v>25279</v>
      </c>
      <c r="C2645" s="173" t="s">
        <v>3893</v>
      </c>
      <c r="D2645" s="173" t="s">
        <v>470</v>
      </c>
      <c r="E2645">
        <v>3</v>
      </c>
    </row>
    <row r="2646" spans="1:5" x14ac:dyDescent="0.25">
      <c r="A2646" s="173" t="s">
        <v>468</v>
      </c>
      <c r="B2646">
        <v>25279</v>
      </c>
      <c r="C2646" s="173" t="s">
        <v>3894</v>
      </c>
      <c r="D2646" s="173" t="s">
        <v>470</v>
      </c>
      <c r="E2646">
        <v>3</v>
      </c>
    </row>
    <row r="2647" spans="1:5" x14ac:dyDescent="0.25">
      <c r="A2647" s="173" t="s">
        <v>468</v>
      </c>
      <c r="B2647">
        <v>25279</v>
      </c>
      <c r="C2647" s="173" t="s">
        <v>3895</v>
      </c>
      <c r="D2647" s="173" t="s">
        <v>470</v>
      </c>
      <c r="E2647">
        <v>2</v>
      </c>
    </row>
    <row r="2648" spans="1:5" x14ac:dyDescent="0.25">
      <c r="A2648" s="173" t="s">
        <v>468</v>
      </c>
      <c r="B2648">
        <v>25279</v>
      </c>
      <c r="C2648" s="173" t="s">
        <v>3896</v>
      </c>
      <c r="D2648" s="173" t="s">
        <v>470</v>
      </c>
      <c r="E2648">
        <v>2</v>
      </c>
    </row>
    <row r="2649" spans="1:5" x14ac:dyDescent="0.25">
      <c r="A2649" s="173" t="s">
        <v>468</v>
      </c>
      <c r="B2649">
        <v>25279</v>
      </c>
      <c r="C2649" s="173" t="s">
        <v>3897</v>
      </c>
      <c r="D2649" s="173" t="s">
        <v>470</v>
      </c>
      <c r="E2649">
        <v>2</v>
      </c>
    </row>
    <row r="2650" spans="1:5" x14ac:dyDescent="0.25">
      <c r="A2650" s="173" t="s">
        <v>468</v>
      </c>
      <c r="B2650">
        <v>25279</v>
      </c>
      <c r="C2650" s="173" t="s">
        <v>3525</v>
      </c>
      <c r="D2650" s="173" t="s">
        <v>470</v>
      </c>
      <c r="E2650">
        <v>2</v>
      </c>
    </row>
    <row r="2651" spans="1:5" x14ac:dyDescent="0.25">
      <c r="A2651" s="173" t="s">
        <v>468</v>
      </c>
      <c r="B2651">
        <v>25279</v>
      </c>
      <c r="C2651" s="173" t="s">
        <v>3898</v>
      </c>
      <c r="D2651" s="173" t="s">
        <v>470</v>
      </c>
      <c r="E2651">
        <v>2</v>
      </c>
    </row>
    <row r="2652" spans="1:5" x14ac:dyDescent="0.25">
      <c r="A2652" s="173" t="s">
        <v>468</v>
      </c>
      <c r="B2652">
        <v>25279</v>
      </c>
      <c r="C2652" s="173" t="s">
        <v>3899</v>
      </c>
      <c r="D2652" s="173" t="s">
        <v>470</v>
      </c>
      <c r="E2652">
        <v>3</v>
      </c>
    </row>
    <row r="2653" spans="1:5" x14ac:dyDescent="0.25">
      <c r="A2653" s="173" t="s">
        <v>468</v>
      </c>
      <c r="B2653">
        <v>25279</v>
      </c>
      <c r="C2653" s="173" t="s">
        <v>3900</v>
      </c>
      <c r="D2653" s="173" t="s">
        <v>470</v>
      </c>
      <c r="E2653">
        <v>2</v>
      </c>
    </row>
    <row r="2654" spans="1:5" x14ac:dyDescent="0.25">
      <c r="A2654" s="173" t="s">
        <v>468</v>
      </c>
      <c r="B2654">
        <v>25279</v>
      </c>
      <c r="C2654" s="173" t="s">
        <v>3901</v>
      </c>
      <c r="D2654" s="173" t="s">
        <v>470</v>
      </c>
      <c r="E2654">
        <v>3</v>
      </c>
    </row>
    <row r="2655" spans="1:5" x14ac:dyDescent="0.25">
      <c r="A2655" s="173" t="s">
        <v>468</v>
      </c>
      <c r="B2655">
        <v>25279</v>
      </c>
      <c r="C2655" s="173" t="s">
        <v>3902</v>
      </c>
      <c r="D2655" s="173" t="s">
        <v>470</v>
      </c>
      <c r="E2655">
        <v>3</v>
      </c>
    </row>
    <row r="2656" spans="1:5" x14ac:dyDescent="0.25">
      <c r="A2656" s="173" t="s">
        <v>468</v>
      </c>
      <c r="B2656">
        <v>25279</v>
      </c>
      <c r="C2656" s="173" t="s">
        <v>3903</v>
      </c>
      <c r="D2656" s="173" t="s">
        <v>470</v>
      </c>
      <c r="E2656">
        <v>3</v>
      </c>
    </row>
    <row r="2657" spans="1:5" x14ac:dyDescent="0.25">
      <c r="A2657" s="173" t="s">
        <v>468</v>
      </c>
      <c r="B2657">
        <v>25279</v>
      </c>
      <c r="C2657" s="173" t="s">
        <v>459</v>
      </c>
      <c r="D2657" s="173" t="s">
        <v>470</v>
      </c>
      <c r="E2657">
        <v>3</v>
      </c>
    </row>
    <row r="2658" spans="1:5" x14ac:dyDescent="0.25">
      <c r="A2658" s="173" t="s">
        <v>468</v>
      </c>
      <c r="B2658">
        <v>25279</v>
      </c>
      <c r="C2658" s="173" t="s">
        <v>3904</v>
      </c>
      <c r="D2658" s="173" t="s">
        <v>470</v>
      </c>
      <c r="E2658">
        <v>3</v>
      </c>
    </row>
    <row r="2659" spans="1:5" x14ac:dyDescent="0.25">
      <c r="A2659" s="173" t="s">
        <v>468</v>
      </c>
      <c r="B2659">
        <v>25279</v>
      </c>
      <c r="C2659" s="173" t="s">
        <v>3905</v>
      </c>
      <c r="D2659" s="173" t="s">
        <v>470</v>
      </c>
      <c r="E2659">
        <v>3</v>
      </c>
    </row>
    <row r="2660" spans="1:5" x14ac:dyDescent="0.25">
      <c r="A2660" s="173" t="s">
        <v>468</v>
      </c>
      <c r="B2660">
        <v>25279</v>
      </c>
      <c r="C2660" s="173" t="s">
        <v>3906</v>
      </c>
      <c r="D2660" s="173" t="s">
        <v>470</v>
      </c>
      <c r="E2660">
        <v>3</v>
      </c>
    </row>
    <row r="2661" spans="1:5" x14ac:dyDescent="0.25">
      <c r="A2661" s="173" t="s">
        <v>468</v>
      </c>
      <c r="B2661">
        <v>25279</v>
      </c>
      <c r="C2661" s="173" t="s">
        <v>3907</v>
      </c>
      <c r="D2661" s="173" t="s">
        <v>470</v>
      </c>
      <c r="E2661">
        <v>3</v>
      </c>
    </row>
    <row r="2662" spans="1:5" x14ac:dyDescent="0.25">
      <c r="A2662" s="173" t="s">
        <v>468</v>
      </c>
      <c r="B2662">
        <v>25279</v>
      </c>
      <c r="C2662" s="173" t="s">
        <v>3908</v>
      </c>
      <c r="D2662" s="173" t="s">
        <v>470</v>
      </c>
      <c r="E2662">
        <v>3</v>
      </c>
    </row>
    <row r="2663" spans="1:5" x14ac:dyDescent="0.25">
      <c r="A2663" s="173" t="s">
        <v>468</v>
      </c>
      <c r="B2663">
        <v>25279</v>
      </c>
      <c r="C2663" s="173" t="s">
        <v>457</v>
      </c>
      <c r="D2663" s="173" t="s">
        <v>470</v>
      </c>
      <c r="E2663">
        <v>3</v>
      </c>
    </row>
    <row r="2664" spans="1:5" x14ac:dyDescent="0.25">
      <c r="A2664" s="173" t="s">
        <v>468</v>
      </c>
      <c r="B2664">
        <v>25279</v>
      </c>
      <c r="C2664" s="173" t="s">
        <v>458</v>
      </c>
      <c r="D2664" s="173" t="s">
        <v>470</v>
      </c>
      <c r="E2664">
        <v>2</v>
      </c>
    </row>
    <row r="2665" spans="1:5" x14ac:dyDescent="0.25">
      <c r="A2665" s="173" t="s">
        <v>468</v>
      </c>
      <c r="B2665">
        <v>25279</v>
      </c>
      <c r="C2665" s="173" t="s">
        <v>3909</v>
      </c>
      <c r="D2665" s="173" t="s">
        <v>470</v>
      </c>
      <c r="E2665">
        <v>3</v>
      </c>
    </row>
    <row r="2666" spans="1:5" x14ac:dyDescent="0.25">
      <c r="A2666" s="173" t="s">
        <v>468</v>
      </c>
      <c r="B2666">
        <v>25279</v>
      </c>
      <c r="C2666" s="173" t="s">
        <v>456</v>
      </c>
      <c r="D2666" s="173" t="s">
        <v>470</v>
      </c>
      <c r="E2666">
        <v>4</v>
      </c>
    </row>
    <row r="2667" spans="1:5" x14ac:dyDescent="0.25">
      <c r="A2667" s="173" t="s">
        <v>468</v>
      </c>
      <c r="B2667">
        <v>25279</v>
      </c>
      <c r="C2667" s="173" t="s">
        <v>3502</v>
      </c>
      <c r="D2667" s="173" t="s">
        <v>470</v>
      </c>
      <c r="E2667">
        <v>2</v>
      </c>
    </row>
    <row r="2668" spans="1:5" x14ac:dyDescent="0.25">
      <c r="A2668" s="173" t="s">
        <v>468</v>
      </c>
      <c r="B2668">
        <v>25373</v>
      </c>
      <c r="C2668" s="173" t="s">
        <v>3202</v>
      </c>
      <c r="D2668" s="173" t="s">
        <v>470</v>
      </c>
      <c r="E2668">
        <v>2</v>
      </c>
    </row>
    <row r="2669" spans="1:5" x14ac:dyDescent="0.25">
      <c r="A2669" s="173" t="s">
        <v>468</v>
      </c>
      <c r="B2669">
        <v>25373</v>
      </c>
      <c r="C2669" s="173" t="s">
        <v>3910</v>
      </c>
      <c r="D2669" s="173" t="s">
        <v>470</v>
      </c>
      <c r="E2669">
        <v>2</v>
      </c>
    </row>
    <row r="2670" spans="1:5" x14ac:dyDescent="0.25">
      <c r="A2670" s="173" t="s">
        <v>468</v>
      </c>
      <c r="B2670">
        <v>25373</v>
      </c>
      <c r="C2670" s="173" t="s">
        <v>3911</v>
      </c>
      <c r="D2670" s="173" t="s">
        <v>470</v>
      </c>
      <c r="E2670">
        <v>4</v>
      </c>
    </row>
    <row r="2671" spans="1:5" x14ac:dyDescent="0.25">
      <c r="A2671" s="173" t="s">
        <v>468</v>
      </c>
      <c r="B2671">
        <v>25373</v>
      </c>
      <c r="C2671" s="173" t="s">
        <v>3912</v>
      </c>
      <c r="D2671" s="173" t="s">
        <v>470</v>
      </c>
      <c r="E2671">
        <v>2</v>
      </c>
    </row>
    <row r="2672" spans="1:5" x14ac:dyDescent="0.25">
      <c r="A2672" s="173" t="s">
        <v>468</v>
      </c>
      <c r="B2672">
        <v>25373</v>
      </c>
      <c r="C2672" s="173" t="s">
        <v>2400</v>
      </c>
      <c r="D2672" s="173" t="s">
        <v>470</v>
      </c>
      <c r="E2672">
        <v>4</v>
      </c>
    </row>
    <row r="2673" spans="1:5" x14ac:dyDescent="0.25">
      <c r="A2673" s="173" t="s">
        <v>468</v>
      </c>
      <c r="B2673">
        <v>25373</v>
      </c>
      <c r="C2673" s="173" t="s">
        <v>3913</v>
      </c>
      <c r="D2673" s="173" t="s">
        <v>470</v>
      </c>
      <c r="E2673">
        <v>2</v>
      </c>
    </row>
    <row r="2674" spans="1:5" x14ac:dyDescent="0.25">
      <c r="A2674" s="173" t="s">
        <v>468</v>
      </c>
      <c r="B2674">
        <v>25373</v>
      </c>
      <c r="C2674" s="173" t="s">
        <v>3914</v>
      </c>
      <c r="D2674" s="173" t="s">
        <v>470</v>
      </c>
      <c r="E2674">
        <v>3</v>
      </c>
    </row>
    <row r="2675" spans="1:5" x14ac:dyDescent="0.25">
      <c r="A2675" s="173" t="s">
        <v>468</v>
      </c>
      <c r="B2675">
        <v>25373</v>
      </c>
      <c r="C2675" s="173" t="s">
        <v>3915</v>
      </c>
      <c r="D2675" s="173" t="s">
        <v>470</v>
      </c>
      <c r="E2675">
        <v>4</v>
      </c>
    </row>
    <row r="2676" spans="1:5" x14ac:dyDescent="0.25">
      <c r="A2676" s="173" t="s">
        <v>468</v>
      </c>
      <c r="B2676">
        <v>25373</v>
      </c>
      <c r="C2676" s="173" t="s">
        <v>3916</v>
      </c>
      <c r="D2676" s="173" t="s">
        <v>517</v>
      </c>
      <c r="E2676">
        <v>4</v>
      </c>
    </row>
    <row r="2677" spans="1:5" x14ac:dyDescent="0.25">
      <c r="A2677" s="173" t="s">
        <v>468</v>
      </c>
      <c r="B2677">
        <v>25373</v>
      </c>
      <c r="C2677" s="173" t="s">
        <v>3916</v>
      </c>
      <c r="D2677" s="173" t="s">
        <v>470</v>
      </c>
      <c r="E2677">
        <v>1</v>
      </c>
    </row>
    <row r="2678" spans="1:5" x14ac:dyDescent="0.25">
      <c r="A2678" s="173" t="s">
        <v>468</v>
      </c>
      <c r="B2678">
        <v>25373</v>
      </c>
      <c r="C2678" s="173" t="s">
        <v>3125</v>
      </c>
      <c r="D2678" s="173" t="s">
        <v>470</v>
      </c>
      <c r="E2678">
        <v>3</v>
      </c>
    </row>
    <row r="2679" spans="1:5" x14ac:dyDescent="0.25">
      <c r="A2679" s="173" t="s">
        <v>468</v>
      </c>
      <c r="B2679">
        <v>25373</v>
      </c>
      <c r="C2679" s="173" t="s">
        <v>3917</v>
      </c>
      <c r="D2679" s="173" t="s">
        <v>470</v>
      </c>
      <c r="E2679">
        <v>2</v>
      </c>
    </row>
    <row r="2680" spans="1:5" x14ac:dyDescent="0.25">
      <c r="A2680" s="173" t="s">
        <v>468</v>
      </c>
      <c r="B2680">
        <v>25373</v>
      </c>
      <c r="C2680" s="173" t="s">
        <v>479</v>
      </c>
      <c r="D2680" s="173" t="s">
        <v>470</v>
      </c>
      <c r="E2680">
        <v>1</v>
      </c>
    </row>
    <row r="2681" spans="1:5" x14ac:dyDescent="0.25">
      <c r="A2681" s="173" t="s">
        <v>468</v>
      </c>
      <c r="B2681">
        <v>25373</v>
      </c>
      <c r="C2681" s="173" t="s">
        <v>3918</v>
      </c>
      <c r="D2681" s="173" t="s">
        <v>470</v>
      </c>
      <c r="E2681">
        <v>5</v>
      </c>
    </row>
    <row r="2682" spans="1:5" x14ac:dyDescent="0.25">
      <c r="A2682" s="173" t="s">
        <v>468</v>
      </c>
      <c r="B2682">
        <v>25373</v>
      </c>
      <c r="C2682" s="173" t="s">
        <v>482</v>
      </c>
      <c r="D2682" s="173" t="s">
        <v>470</v>
      </c>
      <c r="E2682">
        <v>3</v>
      </c>
    </row>
    <row r="2683" spans="1:5" x14ac:dyDescent="0.25">
      <c r="A2683" s="173" t="s">
        <v>468</v>
      </c>
      <c r="B2683">
        <v>25373</v>
      </c>
      <c r="C2683" s="173" t="s">
        <v>2477</v>
      </c>
      <c r="D2683" s="173" t="s">
        <v>470</v>
      </c>
      <c r="E2683">
        <v>1</v>
      </c>
    </row>
    <row r="2684" spans="1:5" x14ac:dyDescent="0.25">
      <c r="A2684" s="173" t="s">
        <v>468</v>
      </c>
      <c r="B2684">
        <v>25373</v>
      </c>
      <c r="C2684" s="173" t="s">
        <v>2536</v>
      </c>
      <c r="D2684" s="173" t="s">
        <v>470</v>
      </c>
      <c r="E2684">
        <v>3</v>
      </c>
    </row>
    <row r="2685" spans="1:5" x14ac:dyDescent="0.25">
      <c r="A2685" s="173" t="s">
        <v>468</v>
      </c>
      <c r="B2685">
        <v>25373</v>
      </c>
      <c r="C2685" s="173" t="s">
        <v>3157</v>
      </c>
      <c r="D2685" s="173" t="s">
        <v>470</v>
      </c>
      <c r="E2685">
        <v>4</v>
      </c>
    </row>
    <row r="2686" spans="1:5" x14ac:dyDescent="0.25">
      <c r="A2686" s="173" t="s">
        <v>468</v>
      </c>
      <c r="B2686">
        <v>25373</v>
      </c>
      <c r="C2686" s="173" t="s">
        <v>484</v>
      </c>
      <c r="D2686" s="173" t="s">
        <v>470</v>
      </c>
      <c r="E2686">
        <v>2</v>
      </c>
    </row>
    <row r="2687" spans="1:5" x14ac:dyDescent="0.25">
      <c r="A2687" s="173" t="s">
        <v>468</v>
      </c>
      <c r="B2687">
        <v>25373</v>
      </c>
      <c r="C2687" s="173" t="s">
        <v>2537</v>
      </c>
      <c r="D2687" s="173" t="s">
        <v>470</v>
      </c>
      <c r="E2687">
        <v>4</v>
      </c>
    </row>
    <row r="2688" spans="1:5" x14ac:dyDescent="0.25">
      <c r="A2688" s="173" t="s">
        <v>468</v>
      </c>
      <c r="B2688">
        <v>25373</v>
      </c>
      <c r="C2688" s="173" t="s">
        <v>2538</v>
      </c>
      <c r="D2688" s="173" t="s">
        <v>470</v>
      </c>
      <c r="E2688">
        <v>4</v>
      </c>
    </row>
    <row r="2689" spans="1:5" x14ac:dyDescent="0.25">
      <c r="A2689" s="173" t="s">
        <v>468</v>
      </c>
      <c r="B2689">
        <v>25373</v>
      </c>
      <c r="C2689" s="173" t="s">
        <v>617</v>
      </c>
      <c r="D2689" s="173" t="s">
        <v>470</v>
      </c>
      <c r="E2689">
        <v>3</v>
      </c>
    </row>
    <row r="2690" spans="1:5" x14ac:dyDescent="0.25">
      <c r="A2690" s="173" t="s">
        <v>468</v>
      </c>
      <c r="B2690">
        <v>25373</v>
      </c>
      <c r="C2690" s="173" t="s">
        <v>3919</v>
      </c>
      <c r="D2690" s="173" t="s">
        <v>470</v>
      </c>
      <c r="E2690">
        <v>2</v>
      </c>
    </row>
    <row r="2691" spans="1:5" x14ac:dyDescent="0.25">
      <c r="A2691" s="173" t="s">
        <v>468</v>
      </c>
      <c r="B2691">
        <v>25373</v>
      </c>
      <c r="C2691" s="173" t="s">
        <v>3920</v>
      </c>
      <c r="D2691" s="173" t="s">
        <v>470</v>
      </c>
      <c r="E2691">
        <v>4</v>
      </c>
    </row>
    <row r="2692" spans="1:5" x14ac:dyDescent="0.25">
      <c r="A2692" s="173" t="s">
        <v>468</v>
      </c>
      <c r="B2692">
        <v>25373</v>
      </c>
      <c r="C2692" s="173" t="s">
        <v>523</v>
      </c>
      <c r="D2692" s="173" t="s">
        <v>470</v>
      </c>
      <c r="E2692">
        <v>3</v>
      </c>
    </row>
    <row r="2693" spans="1:5" x14ac:dyDescent="0.25">
      <c r="A2693" s="173" t="s">
        <v>468</v>
      </c>
      <c r="B2693">
        <v>25373</v>
      </c>
      <c r="C2693" s="173" t="s">
        <v>2540</v>
      </c>
      <c r="D2693" s="173" t="s">
        <v>470</v>
      </c>
      <c r="E2693">
        <v>4</v>
      </c>
    </row>
    <row r="2694" spans="1:5" x14ac:dyDescent="0.25">
      <c r="A2694" s="173" t="s">
        <v>468</v>
      </c>
      <c r="B2694">
        <v>25373</v>
      </c>
      <c r="C2694" s="173" t="s">
        <v>486</v>
      </c>
      <c r="D2694" s="173" t="s">
        <v>470</v>
      </c>
      <c r="E2694">
        <v>3</v>
      </c>
    </row>
    <row r="2695" spans="1:5" x14ac:dyDescent="0.25">
      <c r="A2695" s="173" t="s">
        <v>468</v>
      </c>
      <c r="B2695">
        <v>25373</v>
      </c>
      <c r="C2695" s="173" t="s">
        <v>487</v>
      </c>
      <c r="D2695" s="173" t="s">
        <v>470</v>
      </c>
      <c r="E2695">
        <v>3</v>
      </c>
    </row>
    <row r="2696" spans="1:5" x14ac:dyDescent="0.25">
      <c r="A2696" s="173" t="s">
        <v>468</v>
      </c>
      <c r="B2696">
        <v>25373</v>
      </c>
      <c r="C2696" s="173" t="s">
        <v>709</v>
      </c>
      <c r="D2696" s="173" t="s">
        <v>470</v>
      </c>
      <c r="E2696">
        <v>4</v>
      </c>
    </row>
    <row r="2697" spans="1:5" x14ac:dyDescent="0.25">
      <c r="A2697" s="173" t="s">
        <v>468</v>
      </c>
      <c r="B2697">
        <v>25373</v>
      </c>
      <c r="C2697" s="173" t="s">
        <v>3921</v>
      </c>
      <c r="D2697" s="173" t="s">
        <v>470</v>
      </c>
      <c r="E2697">
        <v>4</v>
      </c>
    </row>
    <row r="2698" spans="1:5" x14ac:dyDescent="0.25">
      <c r="A2698" s="173" t="s">
        <v>468</v>
      </c>
      <c r="B2698">
        <v>25373</v>
      </c>
      <c r="C2698" s="173" t="s">
        <v>3922</v>
      </c>
      <c r="D2698" s="173" t="s">
        <v>470</v>
      </c>
      <c r="E2698">
        <v>4</v>
      </c>
    </row>
    <row r="2699" spans="1:5" x14ac:dyDescent="0.25">
      <c r="A2699" s="173" t="s">
        <v>468</v>
      </c>
      <c r="B2699">
        <v>25373</v>
      </c>
      <c r="C2699" s="173" t="s">
        <v>3923</v>
      </c>
      <c r="D2699" s="173" t="s">
        <v>470</v>
      </c>
      <c r="E2699">
        <v>3</v>
      </c>
    </row>
    <row r="2700" spans="1:5" x14ac:dyDescent="0.25">
      <c r="A2700" s="173" t="s">
        <v>468</v>
      </c>
      <c r="B2700">
        <v>25373</v>
      </c>
      <c r="C2700" s="173" t="s">
        <v>3924</v>
      </c>
      <c r="D2700" s="173" t="s">
        <v>470</v>
      </c>
      <c r="E2700">
        <v>1</v>
      </c>
    </row>
    <row r="2701" spans="1:5" x14ac:dyDescent="0.25">
      <c r="A2701" s="173" t="s">
        <v>468</v>
      </c>
      <c r="B2701">
        <v>25373</v>
      </c>
      <c r="C2701" s="173" t="s">
        <v>495</v>
      </c>
      <c r="D2701" s="173" t="s">
        <v>470</v>
      </c>
      <c r="E2701">
        <v>1</v>
      </c>
    </row>
    <row r="2702" spans="1:5" x14ac:dyDescent="0.25">
      <c r="A2702" s="173" t="s">
        <v>468</v>
      </c>
      <c r="B2702">
        <v>25373</v>
      </c>
      <c r="C2702" s="173" t="s">
        <v>3925</v>
      </c>
      <c r="D2702" s="173" t="s">
        <v>470</v>
      </c>
      <c r="E2702">
        <v>5</v>
      </c>
    </row>
    <row r="2703" spans="1:5" x14ac:dyDescent="0.25">
      <c r="A2703" s="173" t="s">
        <v>468</v>
      </c>
      <c r="B2703">
        <v>25373</v>
      </c>
      <c r="C2703" s="173" t="s">
        <v>497</v>
      </c>
      <c r="D2703" s="173" t="s">
        <v>470</v>
      </c>
      <c r="E2703">
        <v>1</v>
      </c>
    </row>
    <row r="2704" spans="1:5" x14ac:dyDescent="0.25">
      <c r="A2704" s="173" t="s">
        <v>468</v>
      </c>
      <c r="B2704">
        <v>25373</v>
      </c>
      <c r="C2704" s="173" t="s">
        <v>3926</v>
      </c>
      <c r="D2704" s="173" t="s">
        <v>470</v>
      </c>
      <c r="E2704">
        <v>2</v>
      </c>
    </row>
    <row r="2705" spans="1:5" x14ac:dyDescent="0.25">
      <c r="A2705" s="173" t="s">
        <v>468</v>
      </c>
      <c r="B2705">
        <v>25373</v>
      </c>
      <c r="C2705" s="173" t="s">
        <v>498</v>
      </c>
      <c r="D2705" s="173" t="s">
        <v>470</v>
      </c>
      <c r="E2705">
        <v>4</v>
      </c>
    </row>
    <row r="2706" spans="1:5" x14ac:dyDescent="0.25">
      <c r="A2706" s="173" t="s">
        <v>468</v>
      </c>
      <c r="B2706">
        <v>25373</v>
      </c>
      <c r="C2706" s="173" t="s">
        <v>2543</v>
      </c>
      <c r="D2706" s="173" t="s">
        <v>470</v>
      </c>
      <c r="E2706">
        <v>4</v>
      </c>
    </row>
    <row r="2707" spans="1:5" x14ac:dyDescent="0.25">
      <c r="A2707" s="173" t="s">
        <v>468</v>
      </c>
      <c r="B2707">
        <v>25373</v>
      </c>
      <c r="C2707" s="173" t="s">
        <v>3927</v>
      </c>
      <c r="D2707" s="173" t="s">
        <v>470</v>
      </c>
      <c r="E2707">
        <v>4</v>
      </c>
    </row>
    <row r="2708" spans="1:5" x14ac:dyDescent="0.25">
      <c r="A2708" s="173" t="s">
        <v>468</v>
      </c>
      <c r="B2708">
        <v>25373</v>
      </c>
      <c r="C2708" s="173" t="s">
        <v>500</v>
      </c>
      <c r="D2708" s="173" t="s">
        <v>470</v>
      </c>
      <c r="E2708">
        <v>1</v>
      </c>
    </row>
    <row r="2709" spans="1:5" x14ac:dyDescent="0.25">
      <c r="A2709" s="173" t="s">
        <v>468</v>
      </c>
      <c r="B2709">
        <v>25373</v>
      </c>
      <c r="C2709" s="173" t="s">
        <v>719</v>
      </c>
      <c r="D2709" s="173" t="s">
        <v>470</v>
      </c>
      <c r="E2709">
        <v>4</v>
      </c>
    </row>
    <row r="2710" spans="1:5" x14ac:dyDescent="0.25">
      <c r="A2710" s="173" t="s">
        <v>468</v>
      </c>
      <c r="B2710">
        <v>25373</v>
      </c>
      <c r="C2710" s="173" t="s">
        <v>780</v>
      </c>
      <c r="D2710" s="173" t="s">
        <v>470</v>
      </c>
      <c r="E2710">
        <v>2</v>
      </c>
    </row>
    <row r="2711" spans="1:5" x14ac:dyDescent="0.25">
      <c r="A2711" s="173" t="s">
        <v>468</v>
      </c>
      <c r="B2711">
        <v>25373</v>
      </c>
      <c r="C2711" s="173" t="s">
        <v>3928</v>
      </c>
      <c r="D2711" s="173" t="s">
        <v>470</v>
      </c>
      <c r="E2711">
        <v>4</v>
      </c>
    </row>
    <row r="2712" spans="1:5" x14ac:dyDescent="0.25">
      <c r="A2712" s="173" t="s">
        <v>468</v>
      </c>
      <c r="B2712">
        <v>25373</v>
      </c>
      <c r="C2712" s="173" t="s">
        <v>501</v>
      </c>
      <c r="D2712" s="173" t="s">
        <v>470</v>
      </c>
      <c r="E2712">
        <v>4</v>
      </c>
    </row>
    <row r="2713" spans="1:5" x14ac:dyDescent="0.25">
      <c r="A2713" s="173" t="s">
        <v>468</v>
      </c>
      <c r="B2713">
        <v>25373</v>
      </c>
      <c r="C2713" s="173" t="s">
        <v>3929</v>
      </c>
      <c r="D2713" s="173" t="s">
        <v>470</v>
      </c>
      <c r="E2713">
        <v>4</v>
      </c>
    </row>
    <row r="2714" spans="1:5" x14ac:dyDescent="0.25">
      <c r="A2714" s="173" t="s">
        <v>468</v>
      </c>
      <c r="B2714">
        <v>25373</v>
      </c>
      <c r="C2714" s="173" t="s">
        <v>502</v>
      </c>
      <c r="D2714" s="173" t="s">
        <v>470</v>
      </c>
      <c r="E2714">
        <v>4</v>
      </c>
    </row>
    <row r="2715" spans="1:5" x14ac:dyDescent="0.25">
      <c r="A2715" s="173" t="s">
        <v>468</v>
      </c>
      <c r="B2715">
        <v>25373</v>
      </c>
      <c r="C2715" s="173" t="s">
        <v>3930</v>
      </c>
      <c r="D2715" s="173" t="s">
        <v>470</v>
      </c>
      <c r="E2715">
        <v>4</v>
      </c>
    </row>
    <row r="2716" spans="1:5" x14ac:dyDescent="0.25">
      <c r="A2716" s="173" t="s">
        <v>468</v>
      </c>
      <c r="B2716">
        <v>25373</v>
      </c>
      <c r="C2716" s="173" t="s">
        <v>781</v>
      </c>
      <c r="D2716" s="173" t="s">
        <v>470</v>
      </c>
      <c r="E2716">
        <v>4</v>
      </c>
    </row>
    <row r="2717" spans="1:5" x14ac:dyDescent="0.25">
      <c r="A2717" s="173" t="s">
        <v>468</v>
      </c>
      <c r="B2717">
        <v>25373</v>
      </c>
      <c r="C2717" s="173" t="s">
        <v>3127</v>
      </c>
      <c r="D2717" s="173" t="s">
        <v>470</v>
      </c>
      <c r="E2717">
        <v>4</v>
      </c>
    </row>
    <row r="2718" spans="1:5" x14ac:dyDescent="0.25">
      <c r="A2718" s="173" t="s">
        <v>468</v>
      </c>
      <c r="B2718">
        <v>25373</v>
      </c>
      <c r="C2718" s="173" t="s">
        <v>3931</v>
      </c>
      <c r="D2718" s="173" t="s">
        <v>470</v>
      </c>
      <c r="E2718">
        <v>2</v>
      </c>
    </row>
    <row r="2719" spans="1:5" x14ac:dyDescent="0.25">
      <c r="A2719" s="173" t="s">
        <v>468</v>
      </c>
      <c r="B2719">
        <v>25373</v>
      </c>
      <c r="C2719" s="173" t="s">
        <v>545</v>
      </c>
      <c r="D2719" s="173" t="s">
        <v>470</v>
      </c>
      <c r="E2719">
        <v>2</v>
      </c>
    </row>
    <row r="2720" spans="1:5" x14ac:dyDescent="0.25">
      <c r="A2720" s="173" t="s">
        <v>468</v>
      </c>
      <c r="B2720">
        <v>25373</v>
      </c>
      <c r="C2720" s="173" t="s">
        <v>3932</v>
      </c>
      <c r="D2720" s="173" t="s">
        <v>470</v>
      </c>
      <c r="E2720">
        <v>5</v>
      </c>
    </row>
    <row r="2721" spans="1:5" x14ac:dyDescent="0.25">
      <c r="A2721" s="173" t="s">
        <v>468</v>
      </c>
      <c r="B2721">
        <v>25373</v>
      </c>
      <c r="C2721" s="173" t="s">
        <v>3933</v>
      </c>
      <c r="D2721" s="173" t="s">
        <v>470</v>
      </c>
      <c r="E2721">
        <v>5</v>
      </c>
    </row>
    <row r="2722" spans="1:5" x14ac:dyDescent="0.25">
      <c r="A2722" s="173" t="s">
        <v>468</v>
      </c>
      <c r="B2722">
        <v>25373</v>
      </c>
      <c r="C2722" s="173" t="s">
        <v>546</v>
      </c>
      <c r="D2722" s="173" t="s">
        <v>470</v>
      </c>
      <c r="E2722">
        <v>4</v>
      </c>
    </row>
    <row r="2723" spans="1:5" x14ac:dyDescent="0.25">
      <c r="A2723" s="173" t="s">
        <v>468</v>
      </c>
      <c r="B2723">
        <v>25373</v>
      </c>
      <c r="C2723" s="173" t="s">
        <v>3934</v>
      </c>
      <c r="D2723" s="173" t="s">
        <v>470</v>
      </c>
      <c r="E2723">
        <v>5</v>
      </c>
    </row>
    <row r="2724" spans="1:5" x14ac:dyDescent="0.25">
      <c r="A2724" s="173" t="s">
        <v>468</v>
      </c>
      <c r="B2724">
        <v>25373</v>
      </c>
      <c r="C2724" s="173" t="s">
        <v>3935</v>
      </c>
      <c r="D2724" s="173" t="s">
        <v>470</v>
      </c>
      <c r="E2724">
        <v>3</v>
      </c>
    </row>
    <row r="2725" spans="1:5" x14ac:dyDescent="0.25">
      <c r="A2725" s="173" t="s">
        <v>468</v>
      </c>
      <c r="B2725">
        <v>25373</v>
      </c>
      <c r="C2725" s="173" t="s">
        <v>3936</v>
      </c>
      <c r="D2725" s="173" t="s">
        <v>470</v>
      </c>
      <c r="E2725">
        <v>4</v>
      </c>
    </row>
    <row r="2726" spans="1:5" x14ac:dyDescent="0.25">
      <c r="A2726" s="173" t="s">
        <v>468</v>
      </c>
      <c r="B2726">
        <v>25373</v>
      </c>
      <c r="C2726" s="173" t="s">
        <v>3937</v>
      </c>
      <c r="D2726" s="173" t="s">
        <v>470</v>
      </c>
      <c r="E2726">
        <v>3</v>
      </c>
    </row>
    <row r="2727" spans="1:5" x14ac:dyDescent="0.25">
      <c r="A2727" s="173" t="s">
        <v>468</v>
      </c>
      <c r="B2727">
        <v>25373</v>
      </c>
      <c r="C2727" s="173" t="s">
        <v>3938</v>
      </c>
      <c r="D2727" s="173" t="s">
        <v>470</v>
      </c>
      <c r="E2727">
        <v>2</v>
      </c>
    </row>
    <row r="2728" spans="1:5" x14ac:dyDescent="0.25">
      <c r="A2728" s="173" t="s">
        <v>468</v>
      </c>
      <c r="B2728">
        <v>25373</v>
      </c>
      <c r="C2728" s="173" t="s">
        <v>3939</v>
      </c>
      <c r="D2728" s="173" t="s">
        <v>470</v>
      </c>
      <c r="E2728">
        <v>2</v>
      </c>
    </row>
    <row r="2729" spans="1:5" x14ac:dyDescent="0.25">
      <c r="A2729" s="173" t="s">
        <v>468</v>
      </c>
      <c r="B2729">
        <v>25373</v>
      </c>
      <c r="C2729" s="173" t="s">
        <v>3940</v>
      </c>
      <c r="D2729" s="173" t="s">
        <v>470</v>
      </c>
      <c r="E2729">
        <v>2</v>
      </c>
    </row>
    <row r="2730" spans="1:5" x14ac:dyDescent="0.25">
      <c r="A2730" s="173" t="s">
        <v>468</v>
      </c>
      <c r="B2730">
        <v>25373</v>
      </c>
      <c r="C2730" s="173" t="s">
        <v>3941</v>
      </c>
      <c r="D2730" s="173" t="s">
        <v>470</v>
      </c>
      <c r="E2730">
        <v>2</v>
      </c>
    </row>
    <row r="2731" spans="1:5" x14ac:dyDescent="0.25">
      <c r="A2731" s="173" t="s">
        <v>468</v>
      </c>
      <c r="B2731">
        <v>25373</v>
      </c>
      <c r="C2731" s="173" t="s">
        <v>3942</v>
      </c>
      <c r="D2731" s="173" t="s">
        <v>470</v>
      </c>
      <c r="E2731">
        <v>5</v>
      </c>
    </row>
    <row r="2732" spans="1:5" x14ac:dyDescent="0.25">
      <c r="A2732" s="173" t="s">
        <v>468</v>
      </c>
      <c r="B2732">
        <v>25373</v>
      </c>
      <c r="C2732" s="173" t="s">
        <v>3943</v>
      </c>
      <c r="D2732" s="173" t="s">
        <v>470</v>
      </c>
      <c r="E2732">
        <v>3</v>
      </c>
    </row>
    <row r="2733" spans="1:5" x14ac:dyDescent="0.25">
      <c r="A2733" s="173" t="s">
        <v>468</v>
      </c>
      <c r="B2733">
        <v>25373</v>
      </c>
      <c r="C2733" s="173" t="s">
        <v>3944</v>
      </c>
      <c r="D2733" s="173" t="s">
        <v>470</v>
      </c>
      <c r="E2733">
        <v>3</v>
      </c>
    </row>
    <row r="2734" spans="1:5" x14ac:dyDescent="0.25">
      <c r="A2734" s="173" t="s">
        <v>468</v>
      </c>
      <c r="B2734">
        <v>25373</v>
      </c>
      <c r="C2734" s="173" t="s">
        <v>3945</v>
      </c>
      <c r="D2734" s="173" t="s">
        <v>470</v>
      </c>
      <c r="E2734">
        <v>3</v>
      </c>
    </row>
    <row r="2735" spans="1:5" x14ac:dyDescent="0.25">
      <c r="A2735" s="173" t="s">
        <v>468</v>
      </c>
      <c r="B2735">
        <v>25373</v>
      </c>
      <c r="C2735" s="173" t="s">
        <v>3946</v>
      </c>
      <c r="D2735" s="173" t="s">
        <v>470</v>
      </c>
      <c r="E2735">
        <v>4</v>
      </c>
    </row>
    <row r="2736" spans="1:5" x14ac:dyDescent="0.25">
      <c r="A2736" s="173" t="s">
        <v>468</v>
      </c>
      <c r="B2736">
        <v>25373</v>
      </c>
      <c r="C2736" s="173" t="s">
        <v>508</v>
      </c>
      <c r="D2736" s="173" t="s">
        <v>470</v>
      </c>
      <c r="E2736">
        <v>4</v>
      </c>
    </row>
    <row r="2737" spans="1:5" x14ac:dyDescent="0.25">
      <c r="A2737" s="173" t="s">
        <v>468</v>
      </c>
      <c r="B2737">
        <v>25373</v>
      </c>
      <c r="C2737" s="173" t="s">
        <v>3947</v>
      </c>
      <c r="D2737" s="173" t="s">
        <v>470</v>
      </c>
      <c r="E2737">
        <v>4</v>
      </c>
    </row>
    <row r="2738" spans="1:5" x14ac:dyDescent="0.25">
      <c r="A2738" s="173" t="s">
        <v>468</v>
      </c>
      <c r="B2738">
        <v>25373</v>
      </c>
      <c r="C2738" s="173" t="s">
        <v>3948</v>
      </c>
      <c r="D2738" s="173" t="s">
        <v>470</v>
      </c>
      <c r="E2738">
        <v>5</v>
      </c>
    </row>
    <row r="2739" spans="1:5" x14ac:dyDescent="0.25">
      <c r="A2739" s="173" t="s">
        <v>468</v>
      </c>
      <c r="B2739">
        <v>25373</v>
      </c>
      <c r="C2739" s="173" t="s">
        <v>3949</v>
      </c>
      <c r="D2739" s="173" t="s">
        <v>470</v>
      </c>
      <c r="E2739">
        <v>4</v>
      </c>
    </row>
    <row r="2740" spans="1:5" x14ac:dyDescent="0.25">
      <c r="A2740" s="173" t="s">
        <v>468</v>
      </c>
      <c r="B2740">
        <v>25373</v>
      </c>
      <c r="C2740" s="173" t="s">
        <v>509</v>
      </c>
      <c r="D2740" s="173" t="s">
        <v>470</v>
      </c>
      <c r="E2740">
        <v>3</v>
      </c>
    </row>
    <row r="2741" spans="1:5" x14ac:dyDescent="0.25">
      <c r="A2741" s="173" t="s">
        <v>468</v>
      </c>
      <c r="B2741">
        <v>25373</v>
      </c>
      <c r="C2741" s="173" t="s">
        <v>3950</v>
      </c>
      <c r="D2741" s="173" t="s">
        <v>470</v>
      </c>
      <c r="E2741">
        <v>3</v>
      </c>
    </row>
    <row r="2742" spans="1:5" x14ac:dyDescent="0.25">
      <c r="A2742" s="173" t="s">
        <v>468</v>
      </c>
      <c r="B2742">
        <v>25373</v>
      </c>
      <c r="C2742" s="173" t="s">
        <v>3951</v>
      </c>
      <c r="D2742" s="173" t="s">
        <v>470</v>
      </c>
      <c r="E2742">
        <v>4</v>
      </c>
    </row>
    <row r="2743" spans="1:5" x14ac:dyDescent="0.25">
      <c r="A2743" s="173" t="s">
        <v>468</v>
      </c>
      <c r="B2743">
        <v>25373</v>
      </c>
      <c r="C2743" s="173" t="s">
        <v>3952</v>
      </c>
      <c r="D2743" s="173" t="s">
        <v>470</v>
      </c>
      <c r="E2743">
        <v>3</v>
      </c>
    </row>
    <row r="2744" spans="1:5" x14ac:dyDescent="0.25">
      <c r="A2744" s="173" t="s">
        <v>468</v>
      </c>
      <c r="B2744">
        <v>25373</v>
      </c>
      <c r="C2744" s="173" t="s">
        <v>3953</v>
      </c>
      <c r="D2744" s="173" t="s">
        <v>470</v>
      </c>
      <c r="E2744">
        <v>3</v>
      </c>
    </row>
    <row r="2745" spans="1:5" x14ac:dyDescent="0.25">
      <c r="A2745" s="173" t="s">
        <v>468</v>
      </c>
      <c r="B2745">
        <v>25373</v>
      </c>
      <c r="C2745" s="173" t="s">
        <v>3954</v>
      </c>
      <c r="D2745" s="173" t="s">
        <v>470</v>
      </c>
      <c r="E2745">
        <v>3</v>
      </c>
    </row>
    <row r="2746" spans="1:5" x14ac:dyDescent="0.25">
      <c r="A2746" s="173" t="s">
        <v>468</v>
      </c>
      <c r="B2746">
        <v>25373</v>
      </c>
      <c r="C2746" s="173" t="s">
        <v>3955</v>
      </c>
      <c r="D2746" s="173" t="s">
        <v>470</v>
      </c>
      <c r="E2746">
        <v>3</v>
      </c>
    </row>
    <row r="2747" spans="1:5" x14ac:dyDescent="0.25">
      <c r="A2747" s="173" t="s">
        <v>468</v>
      </c>
      <c r="B2747">
        <v>25373</v>
      </c>
      <c r="C2747" s="173" t="s">
        <v>3956</v>
      </c>
      <c r="D2747" s="173" t="s">
        <v>470</v>
      </c>
      <c r="E2747">
        <v>4</v>
      </c>
    </row>
    <row r="2748" spans="1:5" x14ac:dyDescent="0.25">
      <c r="A2748" s="173" t="s">
        <v>468</v>
      </c>
      <c r="B2748">
        <v>25373</v>
      </c>
      <c r="C2748" s="173" t="s">
        <v>3957</v>
      </c>
      <c r="D2748" s="173" t="s">
        <v>470</v>
      </c>
      <c r="E2748">
        <v>4</v>
      </c>
    </row>
    <row r="2749" spans="1:5" x14ac:dyDescent="0.25">
      <c r="A2749" s="173" t="s">
        <v>468</v>
      </c>
      <c r="B2749">
        <v>25373</v>
      </c>
      <c r="C2749" s="173" t="s">
        <v>3958</v>
      </c>
      <c r="D2749" s="173" t="s">
        <v>470</v>
      </c>
      <c r="E2749">
        <v>4</v>
      </c>
    </row>
    <row r="2750" spans="1:5" x14ac:dyDescent="0.25">
      <c r="A2750" s="173" t="s">
        <v>468</v>
      </c>
      <c r="B2750">
        <v>25373</v>
      </c>
      <c r="C2750" s="173" t="s">
        <v>3959</v>
      </c>
      <c r="D2750" s="173" t="s">
        <v>470</v>
      </c>
      <c r="E2750">
        <v>4</v>
      </c>
    </row>
    <row r="2751" spans="1:5" x14ac:dyDescent="0.25">
      <c r="A2751" s="173" t="s">
        <v>468</v>
      </c>
      <c r="B2751">
        <v>25373</v>
      </c>
      <c r="C2751" s="173" t="s">
        <v>3960</v>
      </c>
      <c r="D2751" s="173" t="s">
        <v>470</v>
      </c>
      <c r="E2751">
        <v>4</v>
      </c>
    </row>
    <row r="2752" spans="1:5" x14ac:dyDescent="0.25">
      <c r="A2752" s="173" t="s">
        <v>468</v>
      </c>
      <c r="B2752">
        <v>25373</v>
      </c>
      <c r="C2752" s="173" t="s">
        <v>3961</v>
      </c>
      <c r="D2752" s="173" t="s">
        <v>470</v>
      </c>
      <c r="E2752">
        <v>4</v>
      </c>
    </row>
    <row r="2753" spans="1:5" x14ac:dyDescent="0.25">
      <c r="A2753" s="173" t="s">
        <v>468</v>
      </c>
      <c r="B2753">
        <v>25373</v>
      </c>
      <c r="C2753" s="173" t="s">
        <v>3962</v>
      </c>
      <c r="D2753" s="173" t="s">
        <v>470</v>
      </c>
      <c r="E2753">
        <v>3</v>
      </c>
    </row>
    <row r="2754" spans="1:5" x14ac:dyDescent="0.25">
      <c r="A2754" s="173" t="s">
        <v>468</v>
      </c>
      <c r="B2754">
        <v>25373</v>
      </c>
      <c r="C2754" s="173" t="s">
        <v>3963</v>
      </c>
      <c r="D2754" s="173" t="s">
        <v>470</v>
      </c>
      <c r="E2754">
        <v>3</v>
      </c>
    </row>
    <row r="2755" spans="1:5" x14ac:dyDescent="0.25">
      <c r="A2755" s="173" t="s">
        <v>468</v>
      </c>
      <c r="B2755">
        <v>25373</v>
      </c>
      <c r="C2755" s="173" t="s">
        <v>3964</v>
      </c>
      <c r="D2755" s="173" t="s">
        <v>470</v>
      </c>
      <c r="E2755">
        <v>3</v>
      </c>
    </row>
    <row r="2756" spans="1:5" x14ac:dyDescent="0.25">
      <c r="A2756" s="173" t="s">
        <v>468</v>
      </c>
      <c r="B2756">
        <v>25373</v>
      </c>
      <c r="C2756" s="173" t="s">
        <v>3965</v>
      </c>
      <c r="D2756" s="173" t="s">
        <v>470</v>
      </c>
      <c r="E2756">
        <v>4</v>
      </c>
    </row>
    <row r="2757" spans="1:5" x14ac:dyDescent="0.25">
      <c r="A2757" s="173" t="s">
        <v>468</v>
      </c>
      <c r="B2757">
        <v>25373</v>
      </c>
      <c r="C2757" s="173" t="s">
        <v>3966</v>
      </c>
      <c r="D2757" s="173" t="s">
        <v>470</v>
      </c>
      <c r="E2757">
        <v>4</v>
      </c>
    </row>
    <row r="2758" spans="1:5" x14ac:dyDescent="0.25">
      <c r="A2758" s="173" t="s">
        <v>468</v>
      </c>
      <c r="B2758">
        <v>25373</v>
      </c>
      <c r="C2758" s="173" t="s">
        <v>3967</v>
      </c>
      <c r="D2758" s="173" t="s">
        <v>470</v>
      </c>
      <c r="E2758">
        <v>5</v>
      </c>
    </row>
    <row r="2759" spans="1:5" x14ac:dyDescent="0.25">
      <c r="A2759" s="173" t="s">
        <v>468</v>
      </c>
      <c r="B2759">
        <v>25431</v>
      </c>
      <c r="C2759" s="173" t="s">
        <v>3968</v>
      </c>
      <c r="D2759" s="173" t="s">
        <v>470</v>
      </c>
      <c r="E2759">
        <v>4</v>
      </c>
    </row>
    <row r="2760" spans="1:5" x14ac:dyDescent="0.25">
      <c r="A2760" s="173" t="s">
        <v>468</v>
      </c>
      <c r="B2760">
        <v>25431</v>
      </c>
      <c r="C2760" s="173" t="s">
        <v>3969</v>
      </c>
      <c r="D2760" s="173" t="s">
        <v>470</v>
      </c>
      <c r="E2760">
        <v>4</v>
      </c>
    </row>
    <row r="2761" spans="1:5" x14ac:dyDescent="0.25">
      <c r="A2761" s="173" t="s">
        <v>468</v>
      </c>
      <c r="B2761">
        <v>25431</v>
      </c>
      <c r="C2761" s="173" t="s">
        <v>2400</v>
      </c>
      <c r="D2761" s="173" t="s">
        <v>470</v>
      </c>
      <c r="E2761">
        <v>4</v>
      </c>
    </row>
    <row r="2762" spans="1:5" x14ac:dyDescent="0.25">
      <c r="A2762" s="173" t="s">
        <v>468</v>
      </c>
      <c r="B2762">
        <v>25431</v>
      </c>
      <c r="C2762" s="173" t="s">
        <v>3970</v>
      </c>
      <c r="D2762" s="173" t="s">
        <v>470</v>
      </c>
      <c r="E2762">
        <v>4</v>
      </c>
    </row>
    <row r="2763" spans="1:5" x14ac:dyDescent="0.25">
      <c r="A2763" s="173" t="s">
        <v>468</v>
      </c>
      <c r="B2763">
        <v>25431</v>
      </c>
      <c r="C2763" s="173" t="s">
        <v>3971</v>
      </c>
      <c r="D2763" s="173" t="s">
        <v>517</v>
      </c>
      <c r="E2763">
        <v>4</v>
      </c>
    </row>
    <row r="2764" spans="1:5" x14ac:dyDescent="0.25">
      <c r="A2764" s="173" t="s">
        <v>468</v>
      </c>
      <c r="B2764">
        <v>25431</v>
      </c>
      <c r="C2764" s="173" t="s">
        <v>3917</v>
      </c>
      <c r="D2764" s="173" t="s">
        <v>470</v>
      </c>
      <c r="E2764">
        <v>2</v>
      </c>
    </row>
    <row r="2765" spans="1:5" x14ac:dyDescent="0.25">
      <c r="A2765" s="173" t="s">
        <v>468</v>
      </c>
      <c r="B2765">
        <v>25431</v>
      </c>
      <c r="C2765" s="173" t="s">
        <v>3972</v>
      </c>
      <c r="D2765" s="173" t="s">
        <v>470</v>
      </c>
      <c r="E2765">
        <v>4</v>
      </c>
    </row>
    <row r="2766" spans="1:5" x14ac:dyDescent="0.25">
      <c r="A2766" s="173" t="s">
        <v>468</v>
      </c>
      <c r="B2766">
        <v>25431</v>
      </c>
      <c r="C2766" s="173" t="s">
        <v>3972</v>
      </c>
      <c r="D2766" s="173" t="s">
        <v>470</v>
      </c>
      <c r="E2766">
        <v>2</v>
      </c>
    </row>
    <row r="2767" spans="1:5" x14ac:dyDescent="0.25">
      <c r="A2767" s="173" t="s">
        <v>468</v>
      </c>
      <c r="B2767">
        <v>25431</v>
      </c>
      <c r="C2767" s="173" t="s">
        <v>3973</v>
      </c>
      <c r="D2767" s="173" t="s">
        <v>470</v>
      </c>
      <c r="E2767">
        <v>4</v>
      </c>
    </row>
    <row r="2768" spans="1:5" x14ac:dyDescent="0.25">
      <c r="A2768" s="173" t="s">
        <v>468</v>
      </c>
      <c r="B2768">
        <v>25431</v>
      </c>
      <c r="C2768" s="173" t="s">
        <v>3973</v>
      </c>
      <c r="D2768" s="173" t="s">
        <v>517</v>
      </c>
      <c r="E2768">
        <v>1</v>
      </c>
    </row>
    <row r="2769" spans="1:5" x14ac:dyDescent="0.25">
      <c r="A2769" s="173" t="s">
        <v>468</v>
      </c>
      <c r="B2769">
        <v>25431</v>
      </c>
      <c r="C2769" s="173" t="s">
        <v>483</v>
      </c>
      <c r="D2769" s="173" t="s">
        <v>470</v>
      </c>
      <c r="E2769">
        <v>2</v>
      </c>
    </row>
    <row r="2770" spans="1:5" x14ac:dyDescent="0.25">
      <c r="A2770" s="173" t="s">
        <v>468</v>
      </c>
      <c r="B2770">
        <v>25431</v>
      </c>
      <c r="C2770" s="173" t="s">
        <v>2536</v>
      </c>
      <c r="D2770" s="173" t="s">
        <v>470</v>
      </c>
      <c r="E2770">
        <v>2</v>
      </c>
    </row>
    <row r="2771" spans="1:5" x14ac:dyDescent="0.25">
      <c r="A2771" s="173" t="s">
        <v>468</v>
      </c>
      <c r="B2771">
        <v>25431</v>
      </c>
      <c r="C2771" s="173" t="s">
        <v>471</v>
      </c>
      <c r="D2771" s="173" t="s">
        <v>470</v>
      </c>
      <c r="E2771">
        <v>2</v>
      </c>
    </row>
    <row r="2772" spans="1:5" x14ac:dyDescent="0.25">
      <c r="A2772" s="173" t="s">
        <v>468</v>
      </c>
      <c r="B2772">
        <v>25431</v>
      </c>
      <c r="C2772" s="173" t="s">
        <v>2480</v>
      </c>
      <c r="D2772" s="173" t="s">
        <v>470</v>
      </c>
      <c r="E2772">
        <v>2</v>
      </c>
    </row>
    <row r="2773" spans="1:5" x14ac:dyDescent="0.25">
      <c r="A2773" s="173" t="s">
        <v>468</v>
      </c>
      <c r="B2773">
        <v>25431</v>
      </c>
      <c r="C2773" s="173" t="s">
        <v>3974</v>
      </c>
      <c r="D2773" s="173" t="s">
        <v>470</v>
      </c>
      <c r="E2773">
        <v>2</v>
      </c>
    </row>
    <row r="2774" spans="1:5" x14ac:dyDescent="0.25">
      <c r="A2774" s="173" t="s">
        <v>468</v>
      </c>
      <c r="B2774">
        <v>25431</v>
      </c>
      <c r="C2774" s="173" t="s">
        <v>3974</v>
      </c>
      <c r="D2774" s="173" t="s">
        <v>470</v>
      </c>
      <c r="E2774">
        <v>4</v>
      </c>
    </row>
    <row r="2775" spans="1:5" x14ac:dyDescent="0.25">
      <c r="A2775" s="173" t="s">
        <v>468</v>
      </c>
      <c r="B2775">
        <v>25431</v>
      </c>
      <c r="C2775" s="173" t="s">
        <v>2539</v>
      </c>
      <c r="D2775" s="173" t="s">
        <v>470</v>
      </c>
      <c r="E2775">
        <v>2</v>
      </c>
    </row>
    <row r="2776" spans="1:5" x14ac:dyDescent="0.25">
      <c r="A2776" s="173" t="s">
        <v>468</v>
      </c>
      <c r="B2776">
        <v>25431</v>
      </c>
      <c r="C2776" s="173" t="s">
        <v>2539</v>
      </c>
      <c r="D2776" s="173" t="s">
        <v>470</v>
      </c>
      <c r="E2776">
        <v>3</v>
      </c>
    </row>
    <row r="2777" spans="1:5" x14ac:dyDescent="0.25">
      <c r="A2777" s="173" t="s">
        <v>468</v>
      </c>
      <c r="B2777">
        <v>25431</v>
      </c>
      <c r="C2777" s="173" t="s">
        <v>489</v>
      </c>
      <c r="D2777" s="173" t="s">
        <v>470</v>
      </c>
      <c r="E2777">
        <v>2</v>
      </c>
    </row>
    <row r="2778" spans="1:5" x14ac:dyDescent="0.25">
      <c r="A2778" s="173" t="s">
        <v>468</v>
      </c>
      <c r="B2778">
        <v>25431</v>
      </c>
      <c r="C2778" s="173" t="s">
        <v>2417</v>
      </c>
      <c r="D2778" s="173" t="s">
        <v>470</v>
      </c>
      <c r="E2778">
        <v>6</v>
      </c>
    </row>
    <row r="2779" spans="1:5" x14ac:dyDescent="0.25">
      <c r="A2779" s="173" t="s">
        <v>468</v>
      </c>
      <c r="B2779">
        <v>25431</v>
      </c>
      <c r="C2779" s="173" t="s">
        <v>2483</v>
      </c>
      <c r="D2779" s="173" t="s">
        <v>470</v>
      </c>
      <c r="E2779">
        <v>2</v>
      </c>
    </row>
    <row r="2780" spans="1:5" x14ac:dyDescent="0.25">
      <c r="A2780" s="173" t="s">
        <v>468</v>
      </c>
      <c r="B2780">
        <v>25431</v>
      </c>
      <c r="C2780" s="173" t="s">
        <v>2484</v>
      </c>
      <c r="D2780" s="173" t="s">
        <v>470</v>
      </c>
      <c r="E2780">
        <v>3</v>
      </c>
    </row>
    <row r="2781" spans="1:5" x14ac:dyDescent="0.25">
      <c r="A2781" s="173" t="s">
        <v>468</v>
      </c>
      <c r="B2781">
        <v>25431</v>
      </c>
      <c r="C2781" s="173" t="s">
        <v>2484</v>
      </c>
      <c r="D2781" s="173" t="s">
        <v>470</v>
      </c>
      <c r="E2781">
        <v>2</v>
      </c>
    </row>
    <row r="2782" spans="1:5" x14ac:dyDescent="0.25">
      <c r="A2782" s="173" t="s">
        <v>468</v>
      </c>
      <c r="B2782">
        <v>25431</v>
      </c>
      <c r="C2782" s="173" t="s">
        <v>3795</v>
      </c>
      <c r="D2782" s="173" t="s">
        <v>470</v>
      </c>
      <c r="E2782">
        <v>2</v>
      </c>
    </row>
    <row r="2783" spans="1:5" x14ac:dyDescent="0.25">
      <c r="A2783" s="173" t="s">
        <v>468</v>
      </c>
      <c r="B2783">
        <v>25431</v>
      </c>
      <c r="C2783" s="173" t="s">
        <v>3975</v>
      </c>
      <c r="D2783" s="173" t="s">
        <v>517</v>
      </c>
      <c r="E2783">
        <v>1</v>
      </c>
    </row>
    <row r="2784" spans="1:5" x14ac:dyDescent="0.25">
      <c r="A2784" s="173" t="s">
        <v>468</v>
      </c>
      <c r="B2784">
        <v>25431</v>
      </c>
      <c r="C2784" s="173" t="s">
        <v>3975</v>
      </c>
      <c r="D2784" s="173" t="s">
        <v>470</v>
      </c>
      <c r="E2784">
        <v>4</v>
      </c>
    </row>
    <row r="2785" spans="1:5" x14ac:dyDescent="0.25">
      <c r="A2785" s="173" t="s">
        <v>468</v>
      </c>
      <c r="B2785">
        <v>25431</v>
      </c>
      <c r="C2785" s="173" t="s">
        <v>712</v>
      </c>
      <c r="D2785" s="173" t="s">
        <v>517</v>
      </c>
      <c r="E2785">
        <v>5</v>
      </c>
    </row>
    <row r="2786" spans="1:5" x14ac:dyDescent="0.25">
      <c r="A2786" s="173" t="s">
        <v>468</v>
      </c>
      <c r="B2786">
        <v>25431</v>
      </c>
      <c r="C2786" s="173" t="s">
        <v>3976</v>
      </c>
      <c r="D2786" s="173" t="s">
        <v>470</v>
      </c>
      <c r="E2786">
        <v>2</v>
      </c>
    </row>
    <row r="2787" spans="1:5" x14ac:dyDescent="0.25">
      <c r="A2787" s="173" t="s">
        <v>468</v>
      </c>
      <c r="B2787">
        <v>25431</v>
      </c>
      <c r="C2787" s="173" t="s">
        <v>3976</v>
      </c>
      <c r="D2787" s="173" t="s">
        <v>470</v>
      </c>
      <c r="E2787">
        <v>3</v>
      </c>
    </row>
    <row r="2788" spans="1:5" x14ac:dyDescent="0.25">
      <c r="A2788" s="173" t="s">
        <v>468</v>
      </c>
      <c r="B2788">
        <v>25431</v>
      </c>
      <c r="C2788" s="173" t="s">
        <v>3977</v>
      </c>
      <c r="D2788" s="173" t="s">
        <v>470</v>
      </c>
      <c r="E2788">
        <v>5</v>
      </c>
    </row>
    <row r="2789" spans="1:5" x14ac:dyDescent="0.25">
      <c r="A2789" s="173" t="s">
        <v>468</v>
      </c>
      <c r="B2789">
        <v>25431</v>
      </c>
      <c r="C2789" s="173" t="s">
        <v>534</v>
      </c>
      <c r="D2789" s="173" t="s">
        <v>470</v>
      </c>
      <c r="E2789">
        <v>3</v>
      </c>
    </row>
    <row r="2790" spans="1:5" x14ac:dyDescent="0.25">
      <c r="A2790" s="173" t="s">
        <v>468</v>
      </c>
      <c r="B2790">
        <v>25431</v>
      </c>
      <c r="C2790" s="173" t="s">
        <v>3809</v>
      </c>
      <c r="D2790" s="173" t="s">
        <v>517</v>
      </c>
      <c r="E2790">
        <v>4</v>
      </c>
    </row>
    <row r="2791" spans="1:5" x14ac:dyDescent="0.25">
      <c r="A2791" s="173" t="s">
        <v>468</v>
      </c>
      <c r="B2791">
        <v>25431</v>
      </c>
      <c r="C2791" s="173" t="s">
        <v>3978</v>
      </c>
      <c r="D2791" s="173" t="s">
        <v>470</v>
      </c>
      <c r="E2791">
        <v>4</v>
      </c>
    </row>
    <row r="2792" spans="1:5" x14ac:dyDescent="0.25">
      <c r="A2792" s="173" t="s">
        <v>468</v>
      </c>
      <c r="B2792">
        <v>25431</v>
      </c>
      <c r="C2792" s="173" t="s">
        <v>3978</v>
      </c>
      <c r="D2792" s="173" t="s">
        <v>470</v>
      </c>
      <c r="E2792">
        <v>2</v>
      </c>
    </row>
    <row r="2793" spans="1:5" x14ac:dyDescent="0.25">
      <c r="A2793" s="173" t="s">
        <v>468</v>
      </c>
      <c r="B2793">
        <v>25431</v>
      </c>
      <c r="C2793" s="173" t="s">
        <v>3979</v>
      </c>
      <c r="D2793" s="173" t="s">
        <v>470</v>
      </c>
      <c r="E2793">
        <v>4</v>
      </c>
    </row>
    <row r="2794" spans="1:5" x14ac:dyDescent="0.25">
      <c r="A2794" s="173" t="s">
        <v>468</v>
      </c>
      <c r="B2794">
        <v>25431</v>
      </c>
      <c r="C2794" s="173" t="s">
        <v>3979</v>
      </c>
      <c r="D2794" s="173" t="s">
        <v>470</v>
      </c>
      <c r="E2794">
        <v>2</v>
      </c>
    </row>
    <row r="2795" spans="1:5" x14ac:dyDescent="0.25">
      <c r="A2795" s="173" t="s">
        <v>468</v>
      </c>
      <c r="B2795">
        <v>25431</v>
      </c>
      <c r="C2795" s="173" t="s">
        <v>3980</v>
      </c>
      <c r="D2795" s="173" t="s">
        <v>470</v>
      </c>
      <c r="E2795">
        <v>4</v>
      </c>
    </row>
    <row r="2796" spans="1:5" x14ac:dyDescent="0.25">
      <c r="A2796" s="173" t="s">
        <v>468</v>
      </c>
      <c r="B2796">
        <v>25431</v>
      </c>
      <c r="C2796" s="173" t="s">
        <v>3980</v>
      </c>
      <c r="D2796" s="173" t="s">
        <v>470</v>
      </c>
      <c r="E2796">
        <v>2</v>
      </c>
    </row>
    <row r="2797" spans="1:5" x14ac:dyDescent="0.25">
      <c r="A2797" s="173" t="s">
        <v>468</v>
      </c>
      <c r="B2797">
        <v>25431</v>
      </c>
      <c r="C2797" s="173" t="s">
        <v>3981</v>
      </c>
      <c r="D2797" s="173" t="s">
        <v>470</v>
      </c>
      <c r="E2797">
        <v>4</v>
      </c>
    </row>
    <row r="2798" spans="1:5" x14ac:dyDescent="0.25">
      <c r="A2798" s="173" t="s">
        <v>468</v>
      </c>
      <c r="B2798">
        <v>25431</v>
      </c>
      <c r="C2798" s="173" t="s">
        <v>3982</v>
      </c>
      <c r="D2798" s="173" t="s">
        <v>517</v>
      </c>
      <c r="E2798">
        <v>4</v>
      </c>
    </row>
    <row r="2799" spans="1:5" x14ac:dyDescent="0.25">
      <c r="A2799" s="173" t="s">
        <v>468</v>
      </c>
      <c r="B2799">
        <v>25431</v>
      </c>
      <c r="C2799" s="173" t="s">
        <v>3983</v>
      </c>
      <c r="D2799" s="173" t="s">
        <v>470</v>
      </c>
      <c r="E2799">
        <v>2</v>
      </c>
    </row>
    <row r="2800" spans="1:5" x14ac:dyDescent="0.25">
      <c r="A2800" s="173" t="s">
        <v>468</v>
      </c>
      <c r="B2800">
        <v>25431</v>
      </c>
      <c r="C2800" s="173" t="s">
        <v>3983</v>
      </c>
      <c r="D2800" s="173" t="s">
        <v>470</v>
      </c>
      <c r="E2800">
        <v>4</v>
      </c>
    </row>
    <row r="2801" spans="1:5" x14ac:dyDescent="0.25">
      <c r="A2801" s="173" t="s">
        <v>468</v>
      </c>
      <c r="B2801">
        <v>25431</v>
      </c>
      <c r="C2801" s="173" t="s">
        <v>3984</v>
      </c>
      <c r="D2801" s="173" t="s">
        <v>517</v>
      </c>
      <c r="E2801">
        <v>4</v>
      </c>
    </row>
    <row r="2802" spans="1:5" x14ac:dyDescent="0.25">
      <c r="A2802" s="173" t="s">
        <v>468</v>
      </c>
      <c r="B2802">
        <v>25431</v>
      </c>
      <c r="C2802" s="173" t="s">
        <v>720</v>
      </c>
      <c r="D2802" s="173" t="s">
        <v>470</v>
      </c>
      <c r="E2802">
        <v>6</v>
      </c>
    </row>
    <row r="2803" spans="1:5" x14ac:dyDescent="0.25">
      <c r="A2803" s="173" t="s">
        <v>468</v>
      </c>
      <c r="B2803">
        <v>25431</v>
      </c>
      <c r="C2803" s="173" t="s">
        <v>3985</v>
      </c>
      <c r="D2803" s="173" t="s">
        <v>470</v>
      </c>
      <c r="E2803">
        <v>4</v>
      </c>
    </row>
    <row r="2804" spans="1:5" x14ac:dyDescent="0.25">
      <c r="A2804" s="173" t="s">
        <v>468</v>
      </c>
      <c r="B2804">
        <v>25431</v>
      </c>
      <c r="C2804" s="173" t="s">
        <v>3985</v>
      </c>
      <c r="D2804" s="173" t="s">
        <v>470</v>
      </c>
      <c r="E2804">
        <v>2</v>
      </c>
    </row>
    <row r="2805" spans="1:5" x14ac:dyDescent="0.25">
      <c r="A2805" s="173" t="s">
        <v>468</v>
      </c>
      <c r="B2805">
        <v>25431</v>
      </c>
      <c r="C2805" s="173" t="s">
        <v>3986</v>
      </c>
      <c r="D2805" s="173" t="s">
        <v>470</v>
      </c>
      <c r="E2805">
        <v>2</v>
      </c>
    </row>
    <row r="2806" spans="1:5" x14ac:dyDescent="0.25">
      <c r="A2806" s="173" t="s">
        <v>468</v>
      </c>
      <c r="B2806">
        <v>25431</v>
      </c>
      <c r="C2806" s="173" t="s">
        <v>2423</v>
      </c>
      <c r="D2806" s="173" t="s">
        <v>470</v>
      </c>
      <c r="E2806">
        <v>2</v>
      </c>
    </row>
    <row r="2807" spans="1:5" x14ac:dyDescent="0.25">
      <c r="A2807" s="173" t="s">
        <v>468</v>
      </c>
      <c r="B2807">
        <v>25431</v>
      </c>
      <c r="C2807" s="173" t="s">
        <v>3987</v>
      </c>
      <c r="D2807" s="173" t="s">
        <v>517</v>
      </c>
      <c r="E2807">
        <v>1</v>
      </c>
    </row>
    <row r="2808" spans="1:5" x14ac:dyDescent="0.25">
      <c r="A2808" s="173" t="s">
        <v>468</v>
      </c>
      <c r="B2808">
        <v>25431</v>
      </c>
      <c r="C2808" s="173" t="s">
        <v>3987</v>
      </c>
      <c r="D2808" s="173" t="s">
        <v>470</v>
      </c>
      <c r="E2808">
        <v>4</v>
      </c>
    </row>
    <row r="2809" spans="1:5" x14ac:dyDescent="0.25">
      <c r="A2809" s="173" t="s">
        <v>468</v>
      </c>
      <c r="B2809">
        <v>25431</v>
      </c>
      <c r="C2809" s="173" t="s">
        <v>3988</v>
      </c>
      <c r="D2809" s="173" t="s">
        <v>470</v>
      </c>
      <c r="E2809">
        <v>4</v>
      </c>
    </row>
    <row r="2810" spans="1:5" x14ac:dyDescent="0.25">
      <c r="A2810" s="173" t="s">
        <v>468</v>
      </c>
      <c r="B2810">
        <v>25431</v>
      </c>
      <c r="C2810" s="173" t="s">
        <v>3988</v>
      </c>
      <c r="D2810" s="173" t="s">
        <v>517</v>
      </c>
      <c r="E2810">
        <v>1</v>
      </c>
    </row>
    <row r="2811" spans="1:5" x14ac:dyDescent="0.25">
      <c r="A2811" s="173" t="s">
        <v>468</v>
      </c>
      <c r="B2811">
        <v>25431</v>
      </c>
      <c r="C2811" s="173" t="s">
        <v>3989</v>
      </c>
      <c r="D2811" s="173" t="s">
        <v>470</v>
      </c>
      <c r="E2811">
        <v>4</v>
      </c>
    </row>
    <row r="2812" spans="1:5" x14ac:dyDescent="0.25">
      <c r="A2812" s="173" t="s">
        <v>468</v>
      </c>
      <c r="B2812">
        <v>25431</v>
      </c>
      <c r="C2812" s="173" t="s">
        <v>3990</v>
      </c>
      <c r="D2812" s="173" t="s">
        <v>470</v>
      </c>
      <c r="E2812">
        <v>4</v>
      </c>
    </row>
    <row r="2813" spans="1:5" x14ac:dyDescent="0.25">
      <c r="A2813" s="173" t="s">
        <v>468</v>
      </c>
      <c r="B2813">
        <v>25431</v>
      </c>
      <c r="C2813" s="173" t="s">
        <v>3991</v>
      </c>
      <c r="D2813" s="173" t="s">
        <v>517</v>
      </c>
      <c r="E2813">
        <v>5</v>
      </c>
    </row>
    <row r="2814" spans="1:5" x14ac:dyDescent="0.25">
      <c r="A2814" s="173" t="s">
        <v>468</v>
      </c>
      <c r="B2814">
        <v>25431</v>
      </c>
      <c r="C2814" s="173" t="s">
        <v>3992</v>
      </c>
      <c r="D2814" s="173" t="s">
        <v>517</v>
      </c>
      <c r="E2814">
        <v>5</v>
      </c>
    </row>
    <row r="2815" spans="1:5" x14ac:dyDescent="0.25">
      <c r="A2815" s="173" t="s">
        <v>468</v>
      </c>
      <c r="B2815">
        <v>25431</v>
      </c>
      <c r="C2815" s="173" t="s">
        <v>3993</v>
      </c>
      <c r="D2815" s="173" t="s">
        <v>517</v>
      </c>
      <c r="E2815">
        <v>5</v>
      </c>
    </row>
    <row r="2816" spans="1:5" x14ac:dyDescent="0.25">
      <c r="A2816" s="173" t="s">
        <v>468</v>
      </c>
      <c r="B2816">
        <v>25431</v>
      </c>
      <c r="C2816" s="173" t="s">
        <v>631</v>
      </c>
      <c r="D2816" s="173" t="s">
        <v>517</v>
      </c>
      <c r="E2816">
        <v>5</v>
      </c>
    </row>
    <row r="2817" spans="1:5" x14ac:dyDescent="0.25">
      <c r="A2817" s="173" t="s">
        <v>468</v>
      </c>
      <c r="B2817">
        <v>25431</v>
      </c>
      <c r="C2817" s="173" t="s">
        <v>3994</v>
      </c>
      <c r="D2817" s="173" t="s">
        <v>470</v>
      </c>
      <c r="E2817">
        <v>4</v>
      </c>
    </row>
    <row r="2818" spans="1:5" x14ac:dyDescent="0.25">
      <c r="A2818" s="173" t="s">
        <v>468</v>
      </c>
      <c r="B2818">
        <v>25431</v>
      </c>
      <c r="C2818" s="173" t="s">
        <v>3995</v>
      </c>
      <c r="D2818" s="173" t="s">
        <v>470</v>
      </c>
      <c r="E2818">
        <v>5</v>
      </c>
    </row>
    <row r="2819" spans="1:5" x14ac:dyDescent="0.25">
      <c r="A2819" s="173" t="s">
        <v>468</v>
      </c>
      <c r="B2819">
        <v>25431</v>
      </c>
      <c r="C2819" s="173" t="s">
        <v>3996</v>
      </c>
      <c r="D2819" s="173" t="s">
        <v>517</v>
      </c>
      <c r="E2819">
        <v>1</v>
      </c>
    </row>
    <row r="2820" spans="1:5" x14ac:dyDescent="0.25">
      <c r="A2820" s="173" t="s">
        <v>468</v>
      </c>
      <c r="B2820">
        <v>25431</v>
      </c>
      <c r="C2820" s="173" t="s">
        <v>3996</v>
      </c>
      <c r="D2820" s="173" t="s">
        <v>470</v>
      </c>
      <c r="E2820">
        <v>4</v>
      </c>
    </row>
    <row r="2821" spans="1:5" x14ac:dyDescent="0.25">
      <c r="A2821" s="173" t="s">
        <v>468</v>
      </c>
      <c r="B2821">
        <v>25431</v>
      </c>
      <c r="C2821" s="173" t="s">
        <v>3997</v>
      </c>
      <c r="D2821" s="173" t="s">
        <v>470</v>
      </c>
      <c r="E2821">
        <v>5</v>
      </c>
    </row>
    <row r="2822" spans="1:5" x14ac:dyDescent="0.25">
      <c r="A2822" s="173" t="s">
        <v>468</v>
      </c>
      <c r="B2822">
        <v>25431</v>
      </c>
      <c r="C2822" s="173" t="s">
        <v>3997</v>
      </c>
      <c r="D2822" s="173" t="s">
        <v>517</v>
      </c>
      <c r="E2822">
        <v>1</v>
      </c>
    </row>
    <row r="2823" spans="1:5" x14ac:dyDescent="0.25">
      <c r="A2823" s="173" t="s">
        <v>468</v>
      </c>
      <c r="B2823">
        <v>25431</v>
      </c>
      <c r="C2823" s="173" t="s">
        <v>3998</v>
      </c>
      <c r="D2823" s="173" t="s">
        <v>470</v>
      </c>
      <c r="E2823">
        <v>4</v>
      </c>
    </row>
    <row r="2824" spans="1:5" x14ac:dyDescent="0.25">
      <c r="A2824" s="173" t="s">
        <v>468</v>
      </c>
      <c r="B2824">
        <v>25431</v>
      </c>
      <c r="C2824" s="173" t="s">
        <v>3999</v>
      </c>
      <c r="D2824" s="173" t="s">
        <v>517</v>
      </c>
      <c r="E2824">
        <v>1</v>
      </c>
    </row>
    <row r="2825" spans="1:5" x14ac:dyDescent="0.25">
      <c r="A2825" s="173" t="s">
        <v>468</v>
      </c>
      <c r="B2825">
        <v>25431</v>
      </c>
      <c r="C2825" s="173" t="s">
        <v>3999</v>
      </c>
      <c r="D2825" s="173" t="s">
        <v>470</v>
      </c>
      <c r="E2825">
        <v>3</v>
      </c>
    </row>
    <row r="2826" spans="1:5" x14ac:dyDescent="0.25">
      <c r="A2826" s="173" t="s">
        <v>468</v>
      </c>
      <c r="B2826">
        <v>25431</v>
      </c>
      <c r="C2826" s="173" t="s">
        <v>3155</v>
      </c>
      <c r="D2826" s="173" t="s">
        <v>517</v>
      </c>
      <c r="E2826">
        <v>1</v>
      </c>
    </row>
    <row r="2827" spans="1:5" x14ac:dyDescent="0.25">
      <c r="A2827" s="173" t="s">
        <v>468</v>
      </c>
      <c r="B2827">
        <v>25431</v>
      </c>
      <c r="C2827" s="173" t="s">
        <v>3155</v>
      </c>
      <c r="D2827" s="173" t="s">
        <v>470</v>
      </c>
      <c r="E2827">
        <v>4</v>
      </c>
    </row>
    <row r="2828" spans="1:5" x14ac:dyDescent="0.25">
      <c r="A2828" s="173" t="s">
        <v>468</v>
      </c>
      <c r="B2828">
        <v>25431</v>
      </c>
      <c r="C2828" s="173" t="s">
        <v>4000</v>
      </c>
      <c r="D2828" s="173" t="s">
        <v>517</v>
      </c>
      <c r="E2828">
        <v>1</v>
      </c>
    </row>
    <row r="2829" spans="1:5" x14ac:dyDescent="0.25">
      <c r="A2829" s="173" t="s">
        <v>468</v>
      </c>
      <c r="B2829">
        <v>25431</v>
      </c>
      <c r="C2829" s="173" t="s">
        <v>4000</v>
      </c>
      <c r="D2829" s="173" t="s">
        <v>470</v>
      </c>
      <c r="E2829">
        <v>5</v>
      </c>
    </row>
    <row r="2830" spans="1:5" x14ac:dyDescent="0.25">
      <c r="A2830" s="173" t="s">
        <v>468</v>
      </c>
      <c r="B2830">
        <v>25431</v>
      </c>
      <c r="C2830" s="173" t="s">
        <v>4001</v>
      </c>
      <c r="D2830" s="173" t="s">
        <v>517</v>
      </c>
      <c r="E2830">
        <v>1</v>
      </c>
    </row>
    <row r="2831" spans="1:5" x14ac:dyDescent="0.25">
      <c r="A2831" s="173" t="s">
        <v>468</v>
      </c>
      <c r="B2831">
        <v>25431</v>
      </c>
      <c r="C2831" s="173" t="s">
        <v>4001</v>
      </c>
      <c r="D2831" s="173" t="s">
        <v>470</v>
      </c>
      <c r="E2831">
        <v>5</v>
      </c>
    </row>
    <row r="2832" spans="1:5" x14ac:dyDescent="0.25">
      <c r="A2832" s="173" t="s">
        <v>468</v>
      </c>
      <c r="B2832">
        <v>25431</v>
      </c>
      <c r="C2832" s="173" t="s">
        <v>4002</v>
      </c>
      <c r="D2832" s="173" t="s">
        <v>470</v>
      </c>
      <c r="E2832">
        <v>6</v>
      </c>
    </row>
    <row r="2833" spans="1:5" x14ac:dyDescent="0.25">
      <c r="A2833" s="173" t="s">
        <v>468</v>
      </c>
      <c r="B2833">
        <v>25431</v>
      </c>
      <c r="C2833" s="173" t="s">
        <v>4003</v>
      </c>
      <c r="D2833" s="173" t="s">
        <v>470</v>
      </c>
      <c r="E2833">
        <v>5</v>
      </c>
    </row>
    <row r="2834" spans="1:5" x14ac:dyDescent="0.25">
      <c r="A2834" s="173" t="s">
        <v>468</v>
      </c>
      <c r="B2834">
        <v>25431</v>
      </c>
      <c r="C2834" s="173" t="s">
        <v>4003</v>
      </c>
      <c r="D2834" s="173" t="s">
        <v>517</v>
      </c>
      <c r="E2834">
        <v>1</v>
      </c>
    </row>
    <row r="2835" spans="1:5" x14ac:dyDescent="0.25">
      <c r="A2835" s="173" t="s">
        <v>468</v>
      </c>
      <c r="B2835">
        <v>25431</v>
      </c>
      <c r="C2835" s="173" t="s">
        <v>4004</v>
      </c>
      <c r="D2835" s="173" t="s">
        <v>517</v>
      </c>
      <c r="E2835">
        <v>1</v>
      </c>
    </row>
    <row r="2836" spans="1:5" x14ac:dyDescent="0.25">
      <c r="A2836" s="173" t="s">
        <v>468</v>
      </c>
      <c r="B2836">
        <v>25431</v>
      </c>
      <c r="C2836" s="173" t="s">
        <v>4004</v>
      </c>
      <c r="D2836" s="173" t="s">
        <v>470</v>
      </c>
      <c r="E2836">
        <v>4</v>
      </c>
    </row>
    <row r="2837" spans="1:5" x14ac:dyDescent="0.25">
      <c r="A2837" s="173" t="s">
        <v>468</v>
      </c>
      <c r="B2837">
        <v>25431</v>
      </c>
      <c r="C2837" s="173" t="s">
        <v>4005</v>
      </c>
      <c r="D2837" s="173" t="s">
        <v>517</v>
      </c>
      <c r="E2837">
        <v>1</v>
      </c>
    </row>
    <row r="2838" spans="1:5" x14ac:dyDescent="0.25">
      <c r="A2838" s="173" t="s">
        <v>468</v>
      </c>
      <c r="B2838">
        <v>25431</v>
      </c>
      <c r="C2838" s="173" t="s">
        <v>4005</v>
      </c>
      <c r="D2838" s="173" t="s">
        <v>470</v>
      </c>
      <c r="E2838">
        <v>5</v>
      </c>
    </row>
    <row r="2839" spans="1:5" x14ac:dyDescent="0.25">
      <c r="A2839" s="173" t="s">
        <v>468</v>
      </c>
      <c r="B2839">
        <v>25431</v>
      </c>
      <c r="C2839" s="173" t="s">
        <v>4006</v>
      </c>
      <c r="D2839" s="173" t="s">
        <v>470</v>
      </c>
      <c r="E2839">
        <v>5</v>
      </c>
    </row>
    <row r="2840" spans="1:5" x14ac:dyDescent="0.25">
      <c r="A2840" s="173" t="s">
        <v>468</v>
      </c>
      <c r="B2840">
        <v>25431</v>
      </c>
      <c r="C2840" s="173" t="s">
        <v>4006</v>
      </c>
      <c r="D2840" s="173" t="s">
        <v>517</v>
      </c>
      <c r="E2840">
        <v>1</v>
      </c>
    </row>
    <row r="2841" spans="1:5" x14ac:dyDescent="0.25">
      <c r="A2841" s="173" t="s">
        <v>468</v>
      </c>
      <c r="B2841">
        <v>25431</v>
      </c>
      <c r="C2841" s="173" t="s">
        <v>4007</v>
      </c>
      <c r="D2841" s="173" t="s">
        <v>470</v>
      </c>
      <c r="E2841">
        <v>6</v>
      </c>
    </row>
    <row r="2842" spans="1:5" x14ac:dyDescent="0.25">
      <c r="A2842" s="173" t="s">
        <v>468</v>
      </c>
      <c r="B2842">
        <v>25431</v>
      </c>
      <c r="C2842" s="173" t="s">
        <v>4008</v>
      </c>
      <c r="D2842" s="173" t="s">
        <v>517</v>
      </c>
      <c r="E2842">
        <v>1</v>
      </c>
    </row>
    <row r="2843" spans="1:5" x14ac:dyDescent="0.25">
      <c r="A2843" s="173" t="s">
        <v>468</v>
      </c>
      <c r="B2843">
        <v>25431</v>
      </c>
      <c r="C2843" s="173" t="s">
        <v>4008</v>
      </c>
      <c r="D2843" s="173" t="s">
        <v>470</v>
      </c>
      <c r="E2843">
        <v>4</v>
      </c>
    </row>
    <row r="2844" spans="1:5" x14ac:dyDescent="0.25">
      <c r="A2844" s="173" t="s">
        <v>468</v>
      </c>
      <c r="B2844">
        <v>25431</v>
      </c>
      <c r="C2844" s="173" t="s">
        <v>4009</v>
      </c>
      <c r="D2844" s="173" t="s">
        <v>517</v>
      </c>
      <c r="E2844">
        <v>1</v>
      </c>
    </row>
    <row r="2845" spans="1:5" x14ac:dyDescent="0.25">
      <c r="A2845" s="173" t="s">
        <v>468</v>
      </c>
      <c r="B2845">
        <v>25431</v>
      </c>
      <c r="C2845" s="173" t="s">
        <v>4009</v>
      </c>
      <c r="D2845" s="173" t="s">
        <v>470</v>
      </c>
      <c r="E2845">
        <v>4</v>
      </c>
    </row>
    <row r="2846" spans="1:5" x14ac:dyDescent="0.25">
      <c r="A2846" s="173" t="s">
        <v>468</v>
      </c>
      <c r="B2846">
        <v>25431</v>
      </c>
      <c r="C2846" s="173" t="s">
        <v>3942</v>
      </c>
      <c r="D2846" s="173" t="s">
        <v>517</v>
      </c>
      <c r="E2846">
        <v>1</v>
      </c>
    </row>
    <row r="2847" spans="1:5" x14ac:dyDescent="0.25">
      <c r="A2847" s="173" t="s">
        <v>468</v>
      </c>
      <c r="B2847">
        <v>25431</v>
      </c>
      <c r="C2847" s="173" t="s">
        <v>3942</v>
      </c>
      <c r="D2847" s="173" t="s">
        <v>470</v>
      </c>
      <c r="E2847">
        <v>5</v>
      </c>
    </row>
    <row r="2848" spans="1:5" x14ac:dyDescent="0.25">
      <c r="A2848" s="173" t="s">
        <v>468</v>
      </c>
      <c r="B2848">
        <v>25431</v>
      </c>
      <c r="C2848" s="173" t="s">
        <v>4010</v>
      </c>
      <c r="D2848" s="173" t="s">
        <v>517</v>
      </c>
      <c r="E2848">
        <v>1</v>
      </c>
    </row>
    <row r="2849" spans="1:5" x14ac:dyDescent="0.25">
      <c r="A2849" s="173" t="s">
        <v>468</v>
      </c>
      <c r="B2849">
        <v>25431</v>
      </c>
      <c r="C2849" s="173" t="s">
        <v>4010</v>
      </c>
      <c r="D2849" s="173" t="s">
        <v>470</v>
      </c>
      <c r="E2849">
        <v>3</v>
      </c>
    </row>
    <row r="2850" spans="1:5" x14ac:dyDescent="0.25">
      <c r="A2850" s="173" t="s">
        <v>468</v>
      </c>
      <c r="B2850">
        <v>25431</v>
      </c>
      <c r="C2850" s="173" t="s">
        <v>4011</v>
      </c>
      <c r="D2850" s="173" t="s">
        <v>470</v>
      </c>
      <c r="E2850">
        <v>6</v>
      </c>
    </row>
    <row r="2851" spans="1:5" x14ac:dyDescent="0.25">
      <c r="A2851" s="173" t="s">
        <v>468</v>
      </c>
      <c r="B2851">
        <v>25431</v>
      </c>
      <c r="C2851" s="173" t="s">
        <v>4012</v>
      </c>
      <c r="D2851" s="173" t="s">
        <v>470</v>
      </c>
      <c r="E2851">
        <v>6</v>
      </c>
    </row>
    <row r="2852" spans="1:5" x14ac:dyDescent="0.25">
      <c r="A2852" s="173" t="s">
        <v>468</v>
      </c>
      <c r="B2852">
        <v>25431</v>
      </c>
      <c r="C2852" s="173" t="s">
        <v>4013</v>
      </c>
      <c r="D2852" s="173" t="s">
        <v>470</v>
      </c>
      <c r="E2852">
        <v>6</v>
      </c>
    </row>
    <row r="2853" spans="1:5" x14ac:dyDescent="0.25">
      <c r="A2853" s="173" t="s">
        <v>468</v>
      </c>
      <c r="B2853">
        <v>25431</v>
      </c>
      <c r="C2853" s="173" t="s">
        <v>2462</v>
      </c>
      <c r="D2853" s="173" t="s">
        <v>470</v>
      </c>
      <c r="E2853">
        <v>1</v>
      </c>
    </row>
    <row r="2854" spans="1:5" x14ac:dyDescent="0.25">
      <c r="A2854" s="173" t="s">
        <v>468</v>
      </c>
      <c r="B2854">
        <v>25431</v>
      </c>
      <c r="C2854" s="173" t="s">
        <v>4014</v>
      </c>
      <c r="D2854" s="173" t="s">
        <v>470</v>
      </c>
      <c r="E2854">
        <v>1</v>
      </c>
    </row>
    <row r="2855" spans="1:5" x14ac:dyDescent="0.25">
      <c r="A2855" s="173" t="s">
        <v>468</v>
      </c>
      <c r="B2855">
        <v>25431</v>
      </c>
      <c r="C2855" s="173" t="s">
        <v>4015</v>
      </c>
      <c r="D2855" s="173" t="s">
        <v>470</v>
      </c>
      <c r="E2855">
        <v>1</v>
      </c>
    </row>
    <row r="2856" spans="1:5" x14ac:dyDescent="0.25">
      <c r="A2856" s="173" t="s">
        <v>468</v>
      </c>
      <c r="B2856">
        <v>25431</v>
      </c>
      <c r="C2856" s="173" t="s">
        <v>4016</v>
      </c>
      <c r="D2856" s="173" t="s">
        <v>470</v>
      </c>
      <c r="E2856">
        <v>1</v>
      </c>
    </row>
    <row r="2857" spans="1:5" x14ac:dyDescent="0.25">
      <c r="A2857" s="173" t="s">
        <v>468</v>
      </c>
      <c r="B2857">
        <v>25431</v>
      </c>
      <c r="C2857" s="173" t="s">
        <v>4017</v>
      </c>
      <c r="D2857" s="173" t="s">
        <v>470</v>
      </c>
      <c r="E2857">
        <v>1</v>
      </c>
    </row>
    <row r="2858" spans="1:5" x14ac:dyDescent="0.25">
      <c r="A2858" s="173" t="s">
        <v>468</v>
      </c>
      <c r="B2858">
        <v>25431</v>
      </c>
      <c r="C2858" s="173" t="s">
        <v>4018</v>
      </c>
      <c r="D2858" s="173" t="s">
        <v>470</v>
      </c>
      <c r="E2858">
        <v>1</v>
      </c>
    </row>
    <row r="2859" spans="1:5" x14ac:dyDescent="0.25">
      <c r="A2859" s="173" t="s">
        <v>468</v>
      </c>
      <c r="B2859">
        <v>25431</v>
      </c>
      <c r="C2859" s="173" t="s">
        <v>4019</v>
      </c>
      <c r="D2859" s="173" t="s">
        <v>470</v>
      </c>
      <c r="E2859">
        <v>1</v>
      </c>
    </row>
    <row r="2860" spans="1:5" x14ac:dyDescent="0.25">
      <c r="A2860" s="173" t="s">
        <v>468</v>
      </c>
      <c r="B2860">
        <v>25431</v>
      </c>
      <c r="C2860" s="173" t="s">
        <v>4020</v>
      </c>
      <c r="D2860" s="173" t="s">
        <v>470</v>
      </c>
      <c r="E2860">
        <v>1</v>
      </c>
    </row>
    <row r="2861" spans="1:5" x14ac:dyDescent="0.25">
      <c r="A2861" s="173" t="s">
        <v>468</v>
      </c>
      <c r="B2861">
        <v>25431</v>
      </c>
      <c r="C2861" s="173" t="s">
        <v>4021</v>
      </c>
      <c r="D2861" s="173" t="s">
        <v>470</v>
      </c>
      <c r="E2861">
        <v>5</v>
      </c>
    </row>
    <row r="2862" spans="1:5" x14ac:dyDescent="0.25">
      <c r="A2862" s="173" t="s">
        <v>468</v>
      </c>
      <c r="B2862">
        <v>25431</v>
      </c>
      <c r="C2862" s="173" t="s">
        <v>4022</v>
      </c>
      <c r="D2862" s="173" t="s">
        <v>470</v>
      </c>
      <c r="E2862">
        <v>5</v>
      </c>
    </row>
    <row r="2863" spans="1:5" x14ac:dyDescent="0.25">
      <c r="A2863" s="173" t="s">
        <v>468</v>
      </c>
      <c r="B2863">
        <v>25431</v>
      </c>
      <c r="C2863" s="173" t="s">
        <v>4023</v>
      </c>
      <c r="D2863" s="173" t="s">
        <v>470</v>
      </c>
      <c r="E2863">
        <v>5</v>
      </c>
    </row>
    <row r="2864" spans="1:5" x14ac:dyDescent="0.25">
      <c r="A2864" s="173" t="s">
        <v>468</v>
      </c>
      <c r="B2864">
        <v>25431</v>
      </c>
      <c r="C2864" s="173" t="s">
        <v>4024</v>
      </c>
      <c r="D2864" s="173" t="s">
        <v>470</v>
      </c>
      <c r="E2864">
        <v>5</v>
      </c>
    </row>
    <row r="2865" spans="1:5" x14ac:dyDescent="0.25">
      <c r="A2865" s="173" t="s">
        <v>468</v>
      </c>
      <c r="B2865">
        <v>25431</v>
      </c>
      <c r="C2865" s="173" t="s">
        <v>4025</v>
      </c>
      <c r="D2865" s="173" t="s">
        <v>470</v>
      </c>
      <c r="E2865">
        <v>5</v>
      </c>
    </row>
    <row r="2866" spans="1:5" x14ac:dyDescent="0.25">
      <c r="A2866" s="173" t="s">
        <v>468</v>
      </c>
      <c r="B2866">
        <v>25431</v>
      </c>
      <c r="C2866" s="173" t="s">
        <v>4026</v>
      </c>
      <c r="D2866" s="173" t="s">
        <v>470</v>
      </c>
      <c r="E2866">
        <v>4</v>
      </c>
    </row>
    <row r="2867" spans="1:5" x14ac:dyDescent="0.25">
      <c r="A2867" s="173" t="s">
        <v>468</v>
      </c>
      <c r="B2867">
        <v>25431</v>
      </c>
      <c r="C2867" s="173" t="s">
        <v>4027</v>
      </c>
      <c r="D2867" s="173" t="s">
        <v>470</v>
      </c>
      <c r="E2867">
        <v>4</v>
      </c>
    </row>
    <row r="2868" spans="1:5" x14ac:dyDescent="0.25">
      <c r="A2868" s="173" t="s">
        <v>468</v>
      </c>
      <c r="B2868">
        <v>25431</v>
      </c>
      <c r="C2868" s="173" t="s">
        <v>4028</v>
      </c>
      <c r="D2868" s="173" t="s">
        <v>470</v>
      </c>
      <c r="E2868">
        <v>4</v>
      </c>
    </row>
    <row r="2869" spans="1:5" x14ac:dyDescent="0.25">
      <c r="A2869" s="173" t="s">
        <v>468</v>
      </c>
      <c r="B2869">
        <v>25431</v>
      </c>
      <c r="C2869" s="173" t="s">
        <v>4029</v>
      </c>
      <c r="D2869" s="173" t="s">
        <v>470</v>
      </c>
      <c r="E2869">
        <v>4</v>
      </c>
    </row>
    <row r="2870" spans="1:5" x14ac:dyDescent="0.25">
      <c r="A2870" s="173" t="s">
        <v>468</v>
      </c>
      <c r="B2870">
        <v>25431</v>
      </c>
      <c r="C2870" s="173" t="s">
        <v>4030</v>
      </c>
      <c r="D2870" s="173" t="s">
        <v>470</v>
      </c>
      <c r="E2870">
        <v>4</v>
      </c>
    </row>
    <row r="2871" spans="1:5" x14ac:dyDescent="0.25">
      <c r="A2871" s="173" t="s">
        <v>468</v>
      </c>
      <c r="B2871">
        <v>25431</v>
      </c>
      <c r="C2871" s="173" t="s">
        <v>4031</v>
      </c>
      <c r="D2871" s="173" t="s">
        <v>470</v>
      </c>
      <c r="E2871">
        <v>5</v>
      </c>
    </row>
    <row r="2872" spans="1:5" x14ac:dyDescent="0.25">
      <c r="A2872" s="173" t="s">
        <v>468</v>
      </c>
      <c r="B2872">
        <v>25431</v>
      </c>
      <c r="C2872" s="173" t="s">
        <v>4032</v>
      </c>
      <c r="D2872" s="173" t="s">
        <v>470</v>
      </c>
      <c r="E2872">
        <v>5</v>
      </c>
    </row>
    <row r="2873" spans="1:5" x14ac:dyDescent="0.25">
      <c r="A2873" s="173" t="s">
        <v>468</v>
      </c>
      <c r="B2873">
        <v>25431</v>
      </c>
      <c r="C2873" s="173" t="s">
        <v>4033</v>
      </c>
      <c r="D2873" s="173" t="s">
        <v>470</v>
      </c>
      <c r="E2873">
        <v>5</v>
      </c>
    </row>
    <row r="2874" spans="1:5" x14ac:dyDescent="0.25">
      <c r="A2874" s="173" t="s">
        <v>468</v>
      </c>
      <c r="B2874">
        <v>25431</v>
      </c>
      <c r="C2874" s="173" t="s">
        <v>4034</v>
      </c>
      <c r="D2874" s="173" t="s">
        <v>470</v>
      </c>
      <c r="E2874">
        <v>5</v>
      </c>
    </row>
    <row r="2875" spans="1:5" x14ac:dyDescent="0.25">
      <c r="A2875" s="173" t="s">
        <v>468</v>
      </c>
      <c r="B2875">
        <v>25431</v>
      </c>
      <c r="C2875" s="173" t="s">
        <v>4035</v>
      </c>
      <c r="D2875" s="173" t="s">
        <v>470</v>
      </c>
      <c r="E2875">
        <v>5</v>
      </c>
    </row>
    <row r="2876" spans="1:5" x14ac:dyDescent="0.25">
      <c r="A2876" s="173" t="s">
        <v>468</v>
      </c>
      <c r="B2876">
        <v>25431</v>
      </c>
      <c r="C2876" s="173" t="s">
        <v>4036</v>
      </c>
      <c r="D2876" s="173" t="s">
        <v>470</v>
      </c>
      <c r="E2876">
        <v>2</v>
      </c>
    </row>
    <row r="2877" spans="1:5" x14ac:dyDescent="0.25">
      <c r="A2877" s="173" t="s">
        <v>468</v>
      </c>
      <c r="B2877">
        <v>25431</v>
      </c>
      <c r="C2877" s="173" t="s">
        <v>4037</v>
      </c>
      <c r="D2877" s="173" t="s">
        <v>470</v>
      </c>
      <c r="E2877">
        <v>2</v>
      </c>
    </row>
    <row r="2878" spans="1:5" x14ac:dyDescent="0.25">
      <c r="A2878" s="173" t="s">
        <v>468</v>
      </c>
      <c r="B2878">
        <v>25431</v>
      </c>
      <c r="C2878" s="173" t="s">
        <v>4038</v>
      </c>
      <c r="D2878" s="173" t="s">
        <v>470</v>
      </c>
      <c r="E2878">
        <v>1</v>
      </c>
    </row>
    <row r="2879" spans="1:5" x14ac:dyDescent="0.25">
      <c r="A2879" s="173" t="s">
        <v>468</v>
      </c>
      <c r="B2879">
        <v>25431</v>
      </c>
      <c r="C2879" s="173" t="s">
        <v>4039</v>
      </c>
      <c r="D2879" s="173" t="s">
        <v>470</v>
      </c>
      <c r="E2879">
        <v>1</v>
      </c>
    </row>
    <row r="2880" spans="1:5" x14ac:dyDescent="0.25">
      <c r="A2880" s="173" t="s">
        <v>468</v>
      </c>
      <c r="B2880">
        <v>25431</v>
      </c>
      <c r="C2880" s="173" t="s">
        <v>4040</v>
      </c>
      <c r="D2880" s="173" t="s">
        <v>470</v>
      </c>
      <c r="E2880">
        <v>5</v>
      </c>
    </row>
    <row r="2881" spans="1:5" x14ac:dyDescent="0.25">
      <c r="A2881" s="173" t="s">
        <v>468</v>
      </c>
      <c r="B2881">
        <v>25431</v>
      </c>
      <c r="C2881" s="173" t="s">
        <v>4041</v>
      </c>
      <c r="D2881" s="173" t="s">
        <v>470</v>
      </c>
      <c r="E2881">
        <v>5</v>
      </c>
    </row>
    <row r="2882" spans="1:5" x14ac:dyDescent="0.25">
      <c r="A2882" s="173" t="s">
        <v>468</v>
      </c>
      <c r="B2882">
        <v>25431</v>
      </c>
      <c r="C2882" s="173" t="s">
        <v>4042</v>
      </c>
      <c r="D2882" s="173" t="s">
        <v>470</v>
      </c>
      <c r="E2882">
        <v>5</v>
      </c>
    </row>
    <row r="2883" spans="1:5" x14ac:dyDescent="0.25">
      <c r="A2883" s="173" t="s">
        <v>468</v>
      </c>
      <c r="B2883">
        <v>25431</v>
      </c>
      <c r="C2883" s="173" t="s">
        <v>4043</v>
      </c>
      <c r="D2883" s="173" t="s">
        <v>470</v>
      </c>
      <c r="E2883">
        <v>5</v>
      </c>
    </row>
    <row r="2884" spans="1:5" x14ac:dyDescent="0.25">
      <c r="A2884" s="173" t="s">
        <v>468</v>
      </c>
      <c r="B2884">
        <v>25431</v>
      </c>
      <c r="C2884" s="173" t="s">
        <v>4044</v>
      </c>
      <c r="D2884" s="173" t="s">
        <v>470</v>
      </c>
      <c r="E2884">
        <v>5</v>
      </c>
    </row>
    <row r="2885" spans="1:5" x14ac:dyDescent="0.25">
      <c r="A2885" s="173" t="s">
        <v>468</v>
      </c>
      <c r="B2885">
        <v>25431</v>
      </c>
      <c r="C2885" s="173" t="s">
        <v>4045</v>
      </c>
      <c r="D2885" s="173" t="s">
        <v>470</v>
      </c>
      <c r="E2885">
        <v>5</v>
      </c>
    </row>
    <row r="2886" spans="1:5" x14ac:dyDescent="0.25">
      <c r="A2886" s="173" t="s">
        <v>468</v>
      </c>
      <c r="B2886">
        <v>25431</v>
      </c>
      <c r="C2886" s="173" t="s">
        <v>442</v>
      </c>
      <c r="D2886" s="173" t="s">
        <v>470</v>
      </c>
      <c r="E2886">
        <v>8</v>
      </c>
    </row>
    <row r="2887" spans="1:5" x14ac:dyDescent="0.25">
      <c r="A2887" s="173" t="s">
        <v>468</v>
      </c>
      <c r="B2887">
        <v>25431</v>
      </c>
      <c r="C2887" s="173" t="s">
        <v>4046</v>
      </c>
      <c r="D2887" s="173" t="s">
        <v>470</v>
      </c>
      <c r="E2887">
        <v>8</v>
      </c>
    </row>
    <row r="2888" spans="1:5" x14ac:dyDescent="0.25">
      <c r="A2888" s="173" t="s">
        <v>468</v>
      </c>
      <c r="B2888">
        <v>25431</v>
      </c>
      <c r="C2888" s="173" t="s">
        <v>3500</v>
      </c>
      <c r="D2888" s="173" t="s">
        <v>470</v>
      </c>
      <c r="E2888">
        <v>7</v>
      </c>
    </row>
    <row r="2889" spans="1:5" x14ac:dyDescent="0.25">
      <c r="A2889" s="173" t="s">
        <v>468</v>
      </c>
      <c r="B2889">
        <v>25431</v>
      </c>
      <c r="C2889" s="173" t="s">
        <v>4047</v>
      </c>
      <c r="D2889" s="173" t="s">
        <v>470</v>
      </c>
      <c r="E2889">
        <v>7</v>
      </c>
    </row>
    <row r="2890" spans="1:5" x14ac:dyDescent="0.25">
      <c r="A2890" s="173" t="s">
        <v>468</v>
      </c>
      <c r="B2890">
        <v>25431</v>
      </c>
      <c r="C2890" s="173" t="s">
        <v>4048</v>
      </c>
      <c r="D2890" s="173" t="s">
        <v>470</v>
      </c>
      <c r="E2890">
        <v>5</v>
      </c>
    </row>
    <row r="2891" spans="1:5" x14ac:dyDescent="0.25">
      <c r="A2891" s="173" t="s">
        <v>468</v>
      </c>
      <c r="B2891">
        <v>25431</v>
      </c>
      <c r="C2891" s="173" t="s">
        <v>3499</v>
      </c>
      <c r="D2891" s="173" t="s">
        <v>470</v>
      </c>
      <c r="E2891">
        <v>6</v>
      </c>
    </row>
    <row r="2892" spans="1:5" x14ac:dyDescent="0.25">
      <c r="A2892" s="173" t="s">
        <v>468</v>
      </c>
      <c r="B2892">
        <v>25431</v>
      </c>
      <c r="C2892" s="173" t="s">
        <v>4049</v>
      </c>
      <c r="D2892" s="173" t="s">
        <v>470</v>
      </c>
      <c r="E2892">
        <v>5</v>
      </c>
    </row>
    <row r="2893" spans="1:5" x14ac:dyDescent="0.25">
      <c r="A2893" s="173" t="s">
        <v>468</v>
      </c>
      <c r="B2893">
        <v>25431</v>
      </c>
      <c r="C2893" s="173" t="s">
        <v>3501</v>
      </c>
      <c r="D2893" s="173" t="s">
        <v>470</v>
      </c>
      <c r="E2893">
        <v>7</v>
      </c>
    </row>
    <row r="2894" spans="1:5" x14ac:dyDescent="0.25">
      <c r="A2894" s="173" t="s">
        <v>468</v>
      </c>
      <c r="B2894">
        <v>25431</v>
      </c>
      <c r="C2894" s="173" t="s">
        <v>440</v>
      </c>
      <c r="D2894" s="173" t="s">
        <v>470</v>
      </c>
      <c r="E2894">
        <v>7</v>
      </c>
    </row>
    <row r="2895" spans="1:5" x14ac:dyDescent="0.25">
      <c r="A2895" s="173" t="s">
        <v>468</v>
      </c>
      <c r="B2895">
        <v>25431</v>
      </c>
      <c r="C2895" s="173" t="s">
        <v>4050</v>
      </c>
      <c r="D2895" s="173" t="s">
        <v>470</v>
      </c>
      <c r="E2895">
        <v>6</v>
      </c>
    </row>
    <row r="2896" spans="1:5" x14ac:dyDescent="0.25">
      <c r="A2896" s="173" t="s">
        <v>468</v>
      </c>
      <c r="B2896">
        <v>25479</v>
      </c>
      <c r="C2896" s="173" t="s">
        <v>2399</v>
      </c>
      <c r="D2896" s="173" t="s">
        <v>517</v>
      </c>
      <c r="E2896">
        <v>4</v>
      </c>
    </row>
    <row r="2897" spans="1:5" x14ac:dyDescent="0.25">
      <c r="A2897" s="173" t="s">
        <v>468</v>
      </c>
      <c r="B2897">
        <v>25479</v>
      </c>
      <c r="C2897" s="173" t="s">
        <v>2400</v>
      </c>
      <c r="D2897" s="173" t="s">
        <v>517</v>
      </c>
      <c r="E2897">
        <v>6</v>
      </c>
    </row>
    <row r="2898" spans="1:5" x14ac:dyDescent="0.25">
      <c r="A2898" s="173" t="s">
        <v>468</v>
      </c>
      <c r="B2898">
        <v>25479</v>
      </c>
      <c r="C2898" s="173" t="s">
        <v>2401</v>
      </c>
      <c r="D2898" s="173" t="s">
        <v>517</v>
      </c>
      <c r="E2898">
        <v>6</v>
      </c>
    </row>
    <row r="2899" spans="1:5" x14ac:dyDescent="0.25">
      <c r="A2899" s="173" t="s">
        <v>468</v>
      </c>
      <c r="B2899">
        <v>25479</v>
      </c>
      <c r="C2899" s="173" t="s">
        <v>2402</v>
      </c>
      <c r="D2899" s="173" t="s">
        <v>517</v>
      </c>
      <c r="E2899">
        <v>5</v>
      </c>
    </row>
    <row r="2900" spans="1:5" x14ac:dyDescent="0.25">
      <c r="A2900" s="173" t="s">
        <v>468</v>
      </c>
      <c r="B2900">
        <v>25479</v>
      </c>
      <c r="C2900" s="173" t="s">
        <v>2403</v>
      </c>
      <c r="D2900" s="173" t="s">
        <v>517</v>
      </c>
      <c r="E2900">
        <v>6</v>
      </c>
    </row>
    <row r="2901" spans="1:5" x14ac:dyDescent="0.25">
      <c r="A2901" s="173" t="s">
        <v>468</v>
      </c>
      <c r="B2901">
        <v>25479</v>
      </c>
      <c r="C2901" s="173" t="s">
        <v>2404</v>
      </c>
      <c r="D2901" s="173" t="s">
        <v>517</v>
      </c>
      <c r="E2901">
        <v>6</v>
      </c>
    </row>
    <row r="2902" spans="1:5" x14ac:dyDescent="0.25">
      <c r="A2902" s="173" t="s">
        <v>468</v>
      </c>
      <c r="B2902">
        <v>25479</v>
      </c>
      <c r="C2902" s="173" t="s">
        <v>2405</v>
      </c>
      <c r="D2902" s="173" t="s">
        <v>517</v>
      </c>
      <c r="E2902">
        <v>3</v>
      </c>
    </row>
    <row r="2903" spans="1:5" x14ac:dyDescent="0.25">
      <c r="A2903" s="173" t="s">
        <v>468</v>
      </c>
      <c r="B2903">
        <v>25479</v>
      </c>
      <c r="C2903" s="173" t="s">
        <v>2406</v>
      </c>
      <c r="D2903" s="173" t="s">
        <v>517</v>
      </c>
      <c r="E2903">
        <v>3</v>
      </c>
    </row>
    <row r="2904" spans="1:5" x14ac:dyDescent="0.25">
      <c r="A2904" s="173" t="s">
        <v>468</v>
      </c>
      <c r="B2904">
        <v>25479</v>
      </c>
      <c r="C2904" s="173" t="s">
        <v>483</v>
      </c>
      <c r="D2904" s="173" t="s">
        <v>470</v>
      </c>
      <c r="E2904">
        <v>4</v>
      </c>
    </row>
    <row r="2905" spans="1:5" x14ac:dyDescent="0.25">
      <c r="A2905" s="173" t="s">
        <v>468</v>
      </c>
      <c r="B2905">
        <v>25479</v>
      </c>
      <c r="C2905" s="173" t="s">
        <v>2407</v>
      </c>
      <c r="D2905" s="173" t="s">
        <v>517</v>
      </c>
      <c r="E2905">
        <v>5</v>
      </c>
    </row>
    <row r="2906" spans="1:5" x14ac:dyDescent="0.25">
      <c r="A2906" s="173" t="s">
        <v>468</v>
      </c>
      <c r="B2906">
        <v>25479</v>
      </c>
      <c r="C2906" s="173" t="s">
        <v>2408</v>
      </c>
      <c r="D2906" s="173" t="s">
        <v>517</v>
      </c>
      <c r="E2906">
        <v>3</v>
      </c>
    </row>
    <row r="2907" spans="1:5" x14ac:dyDescent="0.25">
      <c r="A2907" s="173" t="s">
        <v>468</v>
      </c>
      <c r="B2907">
        <v>25479</v>
      </c>
      <c r="C2907" s="173" t="s">
        <v>2409</v>
      </c>
      <c r="D2907" s="173" t="s">
        <v>517</v>
      </c>
      <c r="E2907">
        <v>4</v>
      </c>
    </row>
    <row r="2908" spans="1:5" x14ac:dyDescent="0.25">
      <c r="A2908" s="173" t="s">
        <v>468</v>
      </c>
      <c r="B2908">
        <v>25479</v>
      </c>
      <c r="C2908" s="173" t="s">
        <v>2410</v>
      </c>
      <c r="D2908" s="173" t="s">
        <v>517</v>
      </c>
      <c r="E2908">
        <v>4</v>
      </c>
    </row>
    <row r="2909" spans="1:5" x14ac:dyDescent="0.25">
      <c r="A2909" s="173" t="s">
        <v>468</v>
      </c>
      <c r="B2909">
        <v>25479</v>
      </c>
      <c r="C2909" s="173" t="s">
        <v>2411</v>
      </c>
      <c r="D2909" s="173" t="s">
        <v>470</v>
      </c>
      <c r="E2909">
        <v>4</v>
      </c>
    </row>
    <row r="2910" spans="1:5" x14ac:dyDescent="0.25">
      <c r="A2910" s="173" t="s">
        <v>468</v>
      </c>
      <c r="B2910">
        <v>25479</v>
      </c>
      <c r="C2910" s="173" t="s">
        <v>2412</v>
      </c>
      <c r="D2910" s="173" t="s">
        <v>470</v>
      </c>
      <c r="E2910">
        <v>3</v>
      </c>
    </row>
    <row r="2911" spans="1:5" x14ac:dyDescent="0.25">
      <c r="A2911" s="173" t="s">
        <v>468</v>
      </c>
      <c r="B2911">
        <v>25479</v>
      </c>
      <c r="C2911" s="173" t="s">
        <v>2413</v>
      </c>
      <c r="D2911" s="173" t="s">
        <v>517</v>
      </c>
      <c r="E2911">
        <v>4</v>
      </c>
    </row>
    <row r="2912" spans="1:5" x14ac:dyDescent="0.25">
      <c r="A2912" s="173" t="s">
        <v>468</v>
      </c>
      <c r="B2912">
        <v>25479</v>
      </c>
      <c r="C2912" s="173" t="s">
        <v>2414</v>
      </c>
      <c r="D2912" s="173" t="s">
        <v>517</v>
      </c>
      <c r="E2912">
        <v>6</v>
      </c>
    </row>
    <row r="2913" spans="1:5" x14ac:dyDescent="0.25">
      <c r="A2913" s="173" t="s">
        <v>468</v>
      </c>
      <c r="B2913">
        <v>25479</v>
      </c>
      <c r="C2913" s="173" t="s">
        <v>526</v>
      </c>
      <c r="D2913" s="173" t="s">
        <v>470</v>
      </c>
      <c r="E2913">
        <v>8</v>
      </c>
    </row>
    <row r="2914" spans="1:5" x14ac:dyDescent="0.25">
      <c r="A2914" s="173" t="s">
        <v>468</v>
      </c>
      <c r="B2914">
        <v>25479</v>
      </c>
      <c r="C2914" s="173" t="s">
        <v>2415</v>
      </c>
      <c r="D2914" s="173" t="s">
        <v>517</v>
      </c>
      <c r="E2914">
        <v>6</v>
      </c>
    </row>
    <row r="2915" spans="1:5" x14ac:dyDescent="0.25">
      <c r="A2915" s="173" t="s">
        <v>468</v>
      </c>
      <c r="B2915">
        <v>25479</v>
      </c>
      <c r="C2915" s="173" t="s">
        <v>2416</v>
      </c>
      <c r="D2915" s="173" t="s">
        <v>517</v>
      </c>
      <c r="E2915">
        <v>4</v>
      </c>
    </row>
    <row r="2916" spans="1:5" x14ac:dyDescent="0.25">
      <c r="A2916" s="173" t="s">
        <v>468</v>
      </c>
      <c r="B2916">
        <v>25479</v>
      </c>
      <c r="C2916" s="173" t="s">
        <v>2417</v>
      </c>
      <c r="D2916" s="173" t="s">
        <v>470</v>
      </c>
      <c r="E2916">
        <v>8</v>
      </c>
    </row>
    <row r="2917" spans="1:5" x14ac:dyDescent="0.25">
      <c r="A2917" s="173" t="s">
        <v>468</v>
      </c>
      <c r="B2917">
        <v>25479</v>
      </c>
      <c r="C2917" s="173" t="s">
        <v>2418</v>
      </c>
      <c r="D2917" s="173" t="s">
        <v>517</v>
      </c>
      <c r="E2917">
        <v>5</v>
      </c>
    </row>
    <row r="2918" spans="1:5" x14ac:dyDescent="0.25">
      <c r="A2918" s="173" t="s">
        <v>468</v>
      </c>
      <c r="B2918">
        <v>25479</v>
      </c>
      <c r="C2918" s="173" t="s">
        <v>4051</v>
      </c>
      <c r="D2918" s="173" t="s">
        <v>470</v>
      </c>
      <c r="E2918">
        <v>6</v>
      </c>
    </row>
    <row r="2919" spans="1:5" x14ac:dyDescent="0.25">
      <c r="A2919" s="173" t="s">
        <v>468</v>
      </c>
      <c r="B2919">
        <v>25479</v>
      </c>
      <c r="C2919" s="173" t="s">
        <v>2419</v>
      </c>
      <c r="D2919" s="173" t="s">
        <v>470</v>
      </c>
      <c r="E2919">
        <v>6</v>
      </c>
    </row>
    <row r="2920" spans="1:5" x14ac:dyDescent="0.25">
      <c r="A2920" s="173" t="s">
        <v>468</v>
      </c>
      <c r="B2920">
        <v>25479</v>
      </c>
      <c r="C2920" s="173" t="s">
        <v>490</v>
      </c>
      <c r="D2920" s="173" t="s">
        <v>517</v>
      </c>
      <c r="E2920">
        <v>4</v>
      </c>
    </row>
    <row r="2921" spans="1:5" x14ac:dyDescent="0.25">
      <c r="A2921" s="173" t="s">
        <v>468</v>
      </c>
      <c r="B2921">
        <v>25479</v>
      </c>
      <c r="C2921" s="173" t="s">
        <v>495</v>
      </c>
      <c r="D2921" s="173" t="s">
        <v>470</v>
      </c>
      <c r="E2921">
        <v>4</v>
      </c>
    </row>
    <row r="2922" spans="1:5" x14ac:dyDescent="0.25">
      <c r="A2922" s="173" t="s">
        <v>468</v>
      </c>
      <c r="B2922">
        <v>25479</v>
      </c>
      <c r="C2922" s="173" t="s">
        <v>624</v>
      </c>
      <c r="D2922" s="173" t="s">
        <v>517</v>
      </c>
      <c r="E2922">
        <v>4</v>
      </c>
    </row>
    <row r="2923" spans="1:5" x14ac:dyDescent="0.25">
      <c r="A2923" s="173" t="s">
        <v>468</v>
      </c>
      <c r="B2923">
        <v>25479</v>
      </c>
      <c r="C2923" s="173" t="s">
        <v>2420</v>
      </c>
      <c r="D2923" s="173" t="s">
        <v>517</v>
      </c>
      <c r="E2923">
        <v>7</v>
      </c>
    </row>
    <row r="2924" spans="1:5" x14ac:dyDescent="0.25">
      <c r="A2924" s="173" t="s">
        <v>468</v>
      </c>
      <c r="B2924">
        <v>25479</v>
      </c>
      <c r="C2924" s="173" t="s">
        <v>715</v>
      </c>
      <c r="D2924" s="173" t="s">
        <v>517</v>
      </c>
      <c r="E2924">
        <v>7</v>
      </c>
    </row>
    <row r="2925" spans="1:5" x14ac:dyDescent="0.25">
      <c r="A2925" s="173" t="s">
        <v>468</v>
      </c>
      <c r="B2925">
        <v>25479</v>
      </c>
      <c r="C2925" s="173" t="s">
        <v>2421</v>
      </c>
      <c r="D2925" s="173" t="s">
        <v>517</v>
      </c>
      <c r="E2925">
        <v>4</v>
      </c>
    </row>
    <row r="2926" spans="1:5" x14ac:dyDescent="0.25">
      <c r="A2926" s="173" t="s">
        <v>468</v>
      </c>
      <c r="B2926">
        <v>25479</v>
      </c>
      <c r="C2926" s="173" t="s">
        <v>2421</v>
      </c>
      <c r="D2926" s="173" t="s">
        <v>470</v>
      </c>
      <c r="E2926">
        <v>1</v>
      </c>
    </row>
    <row r="2927" spans="1:5" x14ac:dyDescent="0.25">
      <c r="A2927" s="173" t="s">
        <v>468</v>
      </c>
      <c r="B2927">
        <v>25479</v>
      </c>
      <c r="C2927" s="173" t="s">
        <v>2422</v>
      </c>
      <c r="D2927" s="173" t="s">
        <v>470</v>
      </c>
      <c r="E2927">
        <v>3</v>
      </c>
    </row>
    <row r="2928" spans="1:5" x14ac:dyDescent="0.25">
      <c r="A2928" s="173" t="s">
        <v>468</v>
      </c>
      <c r="B2928">
        <v>25479</v>
      </c>
      <c r="C2928" s="173" t="s">
        <v>2423</v>
      </c>
      <c r="D2928" s="173" t="s">
        <v>470</v>
      </c>
      <c r="E2928">
        <v>3</v>
      </c>
    </row>
    <row r="2929" spans="1:5" x14ac:dyDescent="0.25">
      <c r="A2929" s="173" t="s">
        <v>468</v>
      </c>
      <c r="B2929">
        <v>25479</v>
      </c>
      <c r="C2929" s="173" t="s">
        <v>505</v>
      </c>
      <c r="D2929" s="173" t="s">
        <v>517</v>
      </c>
      <c r="E2929">
        <v>5</v>
      </c>
    </row>
    <row r="2930" spans="1:5" x14ac:dyDescent="0.25">
      <c r="A2930" s="173" t="s">
        <v>468</v>
      </c>
      <c r="B2930">
        <v>25479</v>
      </c>
      <c r="C2930" s="173" t="s">
        <v>2424</v>
      </c>
      <c r="D2930" s="173" t="s">
        <v>517</v>
      </c>
      <c r="E2930">
        <v>6</v>
      </c>
    </row>
    <row r="2931" spans="1:5" x14ac:dyDescent="0.25">
      <c r="A2931" s="173" t="s">
        <v>468</v>
      </c>
      <c r="B2931">
        <v>25479</v>
      </c>
      <c r="C2931" s="173" t="s">
        <v>2425</v>
      </c>
      <c r="D2931" s="173" t="s">
        <v>517</v>
      </c>
      <c r="E2931">
        <v>5</v>
      </c>
    </row>
    <row r="2932" spans="1:5" x14ac:dyDescent="0.25">
      <c r="A2932" s="173" t="s">
        <v>468</v>
      </c>
      <c r="B2932">
        <v>25479</v>
      </c>
      <c r="C2932" s="173" t="s">
        <v>2426</v>
      </c>
      <c r="D2932" s="173" t="s">
        <v>517</v>
      </c>
      <c r="E2932">
        <v>5</v>
      </c>
    </row>
    <row r="2933" spans="1:5" x14ac:dyDescent="0.25">
      <c r="A2933" s="173" t="s">
        <v>468</v>
      </c>
      <c r="B2933">
        <v>25479</v>
      </c>
      <c r="C2933" s="173" t="s">
        <v>2427</v>
      </c>
      <c r="D2933" s="173" t="s">
        <v>517</v>
      </c>
      <c r="E2933">
        <v>6</v>
      </c>
    </row>
    <row r="2934" spans="1:5" x14ac:dyDescent="0.25">
      <c r="A2934" s="173" t="s">
        <v>468</v>
      </c>
      <c r="B2934">
        <v>25479</v>
      </c>
      <c r="C2934" s="173" t="s">
        <v>2428</v>
      </c>
      <c r="D2934" s="173" t="s">
        <v>517</v>
      </c>
      <c r="E2934">
        <v>7</v>
      </c>
    </row>
    <row r="2935" spans="1:5" x14ac:dyDescent="0.25">
      <c r="A2935" s="173" t="s">
        <v>468</v>
      </c>
      <c r="B2935">
        <v>25479</v>
      </c>
      <c r="C2935" s="173" t="s">
        <v>2429</v>
      </c>
      <c r="D2935" s="173" t="s">
        <v>517</v>
      </c>
      <c r="E2935">
        <v>5</v>
      </c>
    </row>
    <row r="2936" spans="1:5" x14ac:dyDescent="0.25">
      <c r="A2936" s="173" t="s">
        <v>468</v>
      </c>
      <c r="B2936">
        <v>25479</v>
      </c>
      <c r="C2936" s="173" t="s">
        <v>2430</v>
      </c>
      <c r="D2936" s="173" t="s">
        <v>517</v>
      </c>
      <c r="E2936">
        <v>3</v>
      </c>
    </row>
    <row r="2937" spans="1:5" x14ac:dyDescent="0.25">
      <c r="A2937" s="173" t="s">
        <v>468</v>
      </c>
      <c r="B2937">
        <v>25479</v>
      </c>
      <c r="C2937" s="173" t="s">
        <v>474</v>
      </c>
      <c r="D2937" s="173" t="s">
        <v>470</v>
      </c>
      <c r="E2937">
        <v>3</v>
      </c>
    </row>
    <row r="2938" spans="1:5" x14ac:dyDescent="0.25">
      <c r="A2938" s="173" t="s">
        <v>468</v>
      </c>
      <c r="B2938">
        <v>25479</v>
      </c>
      <c r="C2938" s="173" t="s">
        <v>2431</v>
      </c>
      <c r="D2938" s="173" t="s">
        <v>470</v>
      </c>
      <c r="E2938">
        <v>3</v>
      </c>
    </row>
    <row r="2939" spans="1:5" x14ac:dyDescent="0.25">
      <c r="A2939" s="173" t="s">
        <v>468</v>
      </c>
      <c r="B2939">
        <v>25479</v>
      </c>
      <c r="C2939" s="173" t="s">
        <v>2432</v>
      </c>
      <c r="D2939" s="173" t="s">
        <v>517</v>
      </c>
      <c r="E2939">
        <v>6</v>
      </c>
    </row>
    <row r="2940" spans="1:5" x14ac:dyDescent="0.25">
      <c r="A2940" s="173" t="s">
        <v>468</v>
      </c>
      <c r="B2940">
        <v>25479</v>
      </c>
      <c r="C2940" s="173" t="s">
        <v>2433</v>
      </c>
      <c r="D2940" s="173" t="s">
        <v>470</v>
      </c>
      <c r="E2940">
        <v>4</v>
      </c>
    </row>
    <row r="2941" spans="1:5" x14ac:dyDescent="0.25">
      <c r="A2941" s="173" t="s">
        <v>468</v>
      </c>
      <c r="B2941">
        <v>25479</v>
      </c>
      <c r="C2941" s="173" t="s">
        <v>2434</v>
      </c>
      <c r="D2941" s="173" t="s">
        <v>517</v>
      </c>
      <c r="E2941">
        <v>6</v>
      </c>
    </row>
    <row r="2942" spans="1:5" x14ac:dyDescent="0.25">
      <c r="A2942" s="173" t="s">
        <v>468</v>
      </c>
      <c r="B2942">
        <v>25479</v>
      </c>
      <c r="C2942" s="173" t="s">
        <v>2435</v>
      </c>
      <c r="D2942" s="173" t="s">
        <v>517</v>
      </c>
      <c r="E2942">
        <v>5</v>
      </c>
    </row>
    <row r="2943" spans="1:5" x14ac:dyDescent="0.25">
      <c r="A2943" s="173" t="s">
        <v>468</v>
      </c>
      <c r="B2943">
        <v>25479</v>
      </c>
      <c r="C2943" s="173" t="s">
        <v>2436</v>
      </c>
      <c r="D2943" s="173" t="s">
        <v>517</v>
      </c>
      <c r="E2943">
        <v>5</v>
      </c>
    </row>
    <row r="2944" spans="1:5" x14ac:dyDescent="0.25">
      <c r="A2944" s="173" t="s">
        <v>468</v>
      </c>
      <c r="B2944">
        <v>25479</v>
      </c>
      <c r="C2944" s="173" t="s">
        <v>2437</v>
      </c>
      <c r="D2944" s="173" t="s">
        <v>517</v>
      </c>
      <c r="E2944">
        <v>5</v>
      </c>
    </row>
    <row r="2945" spans="1:5" x14ac:dyDescent="0.25">
      <c r="A2945" s="173" t="s">
        <v>468</v>
      </c>
      <c r="B2945">
        <v>25479</v>
      </c>
      <c r="C2945" s="173" t="s">
        <v>2438</v>
      </c>
      <c r="D2945" s="173" t="s">
        <v>470</v>
      </c>
      <c r="E2945">
        <v>5</v>
      </c>
    </row>
    <row r="2946" spans="1:5" x14ac:dyDescent="0.25">
      <c r="A2946" s="173" t="s">
        <v>468</v>
      </c>
      <c r="B2946">
        <v>25479</v>
      </c>
      <c r="C2946" s="173" t="s">
        <v>2439</v>
      </c>
      <c r="D2946" s="173" t="s">
        <v>470</v>
      </c>
      <c r="E2946">
        <v>5</v>
      </c>
    </row>
    <row r="2947" spans="1:5" x14ac:dyDescent="0.25">
      <c r="A2947" s="173" t="s">
        <v>468</v>
      </c>
      <c r="B2947">
        <v>25479</v>
      </c>
      <c r="C2947" s="173" t="s">
        <v>936</v>
      </c>
      <c r="D2947" s="173" t="s">
        <v>470</v>
      </c>
      <c r="E2947">
        <v>4</v>
      </c>
    </row>
    <row r="2948" spans="1:5" x14ac:dyDescent="0.25">
      <c r="A2948" s="173" t="s">
        <v>468</v>
      </c>
      <c r="B2948">
        <v>25479</v>
      </c>
      <c r="C2948" s="173" t="s">
        <v>2440</v>
      </c>
      <c r="D2948" s="173" t="s">
        <v>517</v>
      </c>
      <c r="E2948">
        <v>7</v>
      </c>
    </row>
    <row r="2949" spans="1:5" x14ac:dyDescent="0.25">
      <c r="A2949" s="173" t="s">
        <v>468</v>
      </c>
      <c r="B2949">
        <v>25479</v>
      </c>
      <c r="C2949" s="173" t="s">
        <v>2441</v>
      </c>
      <c r="D2949" s="173" t="s">
        <v>517</v>
      </c>
      <c r="E2949">
        <v>5</v>
      </c>
    </row>
    <row r="2950" spans="1:5" x14ac:dyDescent="0.25">
      <c r="A2950" s="173" t="s">
        <v>468</v>
      </c>
      <c r="B2950">
        <v>25479</v>
      </c>
      <c r="C2950" s="173" t="s">
        <v>2442</v>
      </c>
      <c r="D2950" s="173" t="s">
        <v>517</v>
      </c>
      <c r="E2950">
        <v>6</v>
      </c>
    </row>
    <row r="2951" spans="1:5" x14ac:dyDescent="0.25">
      <c r="A2951" s="173" t="s">
        <v>468</v>
      </c>
      <c r="B2951">
        <v>25479</v>
      </c>
      <c r="C2951" s="173" t="s">
        <v>2443</v>
      </c>
      <c r="D2951" s="173" t="s">
        <v>517</v>
      </c>
      <c r="E2951">
        <v>5</v>
      </c>
    </row>
    <row r="2952" spans="1:5" x14ac:dyDescent="0.25">
      <c r="A2952" s="173" t="s">
        <v>468</v>
      </c>
      <c r="B2952">
        <v>25479</v>
      </c>
      <c r="C2952" s="173" t="s">
        <v>2444</v>
      </c>
      <c r="D2952" s="173" t="s">
        <v>517</v>
      </c>
      <c r="E2952">
        <v>5</v>
      </c>
    </row>
    <row r="2953" spans="1:5" x14ac:dyDescent="0.25">
      <c r="A2953" s="173" t="s">
        <v>468</v>
      </c>
      <c r="B2953">
        <v>25479</v>
      </c>
      <c r="C2953" s="173" t="s">
        <v>2445</v>
      </c>
      <c r="D2953" s="173" t="s">
        <v>470</v>
      </c>
      <c r="E2953">
        <v>3</v>
      </c>
    </row>
    <row r="2954" spans="1:5" x14ac:dyDescent="0.25">
      <c r="A2954" s="173" t="s">
        <v>468</v>
      </c>
      <c r="B2954">
        <v>25479</v>
      </c>
      <c r="C2954" s="173" t="s">
        <v>2446</v>
      </c>
      <c r="D2954" s="173" t="s">
        <v>517</v>
      </c>
      <c r="E2954">
        <v>6</v>
      </c>
    </row>
    <row r="2955" spans="1:5" x14ac:dyDescent="0.25">
      <c r="A2955" s="173" t="s">
        <v>468</v>
      </c>
      <c r="B2955">
        <v>25479</v>
      </c>
      <c r="C2955" s="173" t="s">
        <v>2447</v>
      </c>
      <c r="D2955" s="173" t="s">
        <v>517</v>
      </c>
      <c r="E2955">
        <v>6</v>
      </c>
    </row>
    <row r="2956" spans="1:5" x14ac:dyDescent="0.25">
      <c r="A2956" s="173" t="s">
        <v>468</v>
      </c>
      <c r="B2956">
        <v>25479</v>
      </c>
      <c r="C2956" s="173" t="s">
        <v>2448</v>
      </c>
      <c r="D2956" s="173" t="s">
        <v>517</v>
      </c>
      <c r="E2956">
        <v>6</v>
      </c>
    </row>
    <row r="2957" spans="1:5" x14ac:dyDescent="0.25">
      <c r="A2957" s="173" t="s">
        <v>468</v>
      </c>
      <c r="B2957">
        <v>25479</v>
      </c>
      <c r="C2957" s="173" t="s">
        <v>2449</v>
      </c>
      <c r="D2957" s="173" t="s">
        <v>517</v>
      </c>
      <c r="E2957">
        <v>6</v>
      </c>
    </row>
    <row r="2958" spans="1:5" x14ac:dyDescent="0.25">
      <c r="A2958" s="173" t="s">
        <v>468</v>
      </c>
      <c r="B2958">
        <v>25479</v>
      </c>
      <c r="C2958" s="173" t="s">
        <v>2450</v>
      </c>
      <c r="D2958" s="173" t="s">
        <v>517</v>
      </c>
      <c r="E2958">
        <v>6</v>
      </c>
    </row>
    <row r="2959" spans="1:5" x14ac:dyDescent="0.25">
      <c r="A2959" s="173" t="s">
        <v>468</v>
      </c>
      <c r="B2959">
        <v>25479</v>
      </c>
      <c r="C2959" s="173" t="s">
        <v>2451</v>
      </c>
      <c r="D2959" s="173" t="s">
        <v>517</v>
      </c>
      <c r="E2959">
        <v>6</v>
      </c>
    </row>
    <row r="2960" spans="1:5" x14ac:dyDescent="0.25">
      <c r="A2960" s="173" t="s">
        <v>468</v>
      </c>
      <c r="B2960">
        <v>25479</v>
      </c>
      <c r="C2960" s="173" t="s">
        <v>2452</v>
      </c>
      <c r="D2960" s="173" t="s">
        <v>517</v>
      </c>
      <c r="E2960">
        <v>6</v>
      </c>
    </row>
    <row r="2961" spans="1:5" x14ac:dyDescent="0.25">
      <c r="A2961" s="173" t="s">
        <v>468</v>
      </c>
      <c r="B2961">
        <v>25479</v>
      </c>
      <c r="C2961" s="173" t="s">
        <v>2453</v>
      </c>
      <c r="D2961" s="173" t="s">
        <v>470</v>
      </c>
      <c r="E2961">
        <v>4</v>
      </c>
    </row>
    <row r="2962" spans="1:5" x14ac:dyDescent="0.25">
      <c r="A2962" s="173" t="s">
        <v>468</v>
      </c>
      <c r="B2962">
        <v>25479</v>
      </c>
      <c r="C2962" s="173" t="s">
        <v>2454</v>
      </c>
      <c r="D2962" s="173" t="s">
        <v>470</v>
      </c>
      <c r="E2962">
        <v>4</v>
      </c>
    </row>
    <row r="2963" spans="1:5" x14ac:dyDescent="0.25">
      <c r="A2963" s="173" t="s">
        <v>468</v>
      </c>
      <c r="B2963">
        <v>25479</v>
      </c>
      <c r="C2963" s="173" t="s">
        <v>2455</v>
      </c>
      <c r="D2963" s="173" t="s">
        <v>470</v>
      </c>
      <c r="E2963">
        <v>4</v>
      </c>
    </row>
    <row r="2964" spans="1:5" x14ac:dyDescent="0.25">
      <c r="A2964" s="173" t="s">
        <v>468</v>
      </c>
      <c r="B2964">
        <v>25479</v>
      </c>
      <c r="C2964" s="173" t="s">
        <v>2456</v>
      </c>
      <c r="D2964" s="173" t="s">
        <v>470</v>
      </c>
      <c r="E2964">
        <v>5</v>
      </c>
    </row>
    <row r="2965" spans="1:5" x14ac:dyDescent="0.25">
      <c r="A2965" s="173" t="s">
        <v>468</v>
      </c>
      <c r="B2965">
        <v>25479</v>
      </c>
      <c r="C2965" s="173" t="s">
        <v>2457</v>
      </c>
      <c r="D2965" s="173" t="s">
        <v>470</v>
      </c>
      <c r="E2965">
        <v>4</v>
      </c>
    </row>
    <row r="2966" spans="1:5" x14ac:dyDescent="0.25">
      <c r="A2966" s="173" t="s">
        <v>468</v>
      </c>
      <c r="B2966">
        <v>25479</v>
      </c>
      <c r="C2966" s="173" t="s">
        <v>2458</v>
      </c>
      <c r="D2966" s="173" t="s">
        <v>470</v>
      </c>
      <c r="E2966">
        <v>5</v>
      </c>
    </row>
    <row r="2967" spans="1:5" x14ac:dyDescent="0.25">
      <c r="A2967" s="173" t="s">
        <v>468</v>
      </c>
      <c r="B2967">
        <v>25479</v>
      </c>
      <c r="C2967" s="173" t="s">
        <v>2459</v>
      </c>
      <c r="D2967" s="173" t="s">
        <v>470</v>
      </c>
      <c r="E2967">
        <v>5</v>
      </c>
    </row>
    <row r="2968" spans="1:5" x14ac:dyDescent="0.25">
      <c r="A2968" s="173" t="s">
        <v>468</v>
      </c>
      <c r="B2968">
        <v>25479</v>
      </c>
      <c r="C2968" s="173" t="s">
        <v>2460</v>
      </c>
      <c r="D2968" s="173" t="s">
        <v>470</v>
      </c>
      <c r="E2968">
        <v>5</v>
      </c>
    </row>
    <row r="2969" spans="1:5" x14ac:dyDescent="0.25">
      <c r="A2969" s="173" t="s">
        <v>468</v>
      </c>
      <c r="B2969">
        <v>25479</v>
      </c>
      <c r="C2969" s="173" t="s">
        <v>2461</v>
      </c>
      <c r="D2969" s="173" t="s">
        <v>470</v>
      </c>
      <c r="E2969">
        <v>4</v>
      </c>
    </row>
    <row r="2970" spans="1:5" x14ac:dyDescent="0.25">
      <c r="A2970" s="173" t="s">
        <v>468</v>
      </c>
      <c r="B2970">
        <v>25479</v>
      </c>
      <c r="C2970" s="173" t="s">
        <v>2462</v>
      </c>
      <c r="D2970" s="173" t="s">
        <v>470</v>
      </c>
      <c r="E2970">
        <v>3</v>
      </c>
    </row>
    <row r="2971" spans="1:5" x14ac:dyDescent="0.25">
      <c r="A2971" s="173" t="s">
        <v>468</v>
      </c>
      <c r="B2971">
        <v>25479</v>
      </c>
      <c r="C2971" s="173" t="s">
        <v>2463</v>
      </c>
      <c r="D2971" s="173" t="s">
        <v>470</v>
      </c>
      <c r="E2971">
        <v>8</v>
      </c>
    </row>
    <row r="2972" spans="1:5" x14ac:dyDescent="0.25">
      <c r="A2972" s="173" t="s">
        <v>468</v>
      </c>
      <c r="B2972">
        <v>25479</v>
      </c>
      <c r="C2972" s="173" t="s">
        <v>2464</v>
      </c>
      <c r="D2972" s="173" t="s">
        <v>470</v>
      </c>
      <c r="E2972">
        <v>6</v>
      </c>
    </row>
    <row r="2973" spans="1:5" x14ac:dyDescent="0.25">
      <c r="A2973" s="173" t="s">
        <v>468</v>
      </c>
      <c r="B2973">
        <v>25479</v>
      </c>
      <c r="C2973" s="173" t="s">
        <v>2465</v>
      </c>
      <c r="D2973" s="173" t="s">
        <v>470</v>
      </c>
      <c r="E2973">
        <v>6</v>
      </c>
    </row>
    <row r="2974" spans="1:5" x14ac:dyDescent="0.25">
      <c r="A2974" s="173" t="s">
        <v>468</v>
      </c>
      <c r="B2974">
        <v>25479</v>
      </c>
      <c r="C2974" s="173" t="s">
        <v>2466</v>
      </c>
      <c r="D2974" s="173" t="s">
        <v>470</v>
      </c>
      <c r="E2974">
        <v>6</v>
      </c>
    </row>
    <row r="2975" spans="1:5" x14ac:dyDescent="0.25">
      <c r="A2975" s="173" t="s">
        <v>468</v>
      </c>
      <c r="B2975">
        <v>25479</v>
      </c>
      <c r="C2975" s="173" t="s">
        <v>2467</v>
      </c>
      <c r="D2975" s="173" t="s">
        <v>470</v>
      </c>
      <c r="E2975">
        <v>6</v>
      </c>
    </row>
    <row r="2976" spans="1:5" x14ac:dyDescent="0.25">
      <c r="A2976" s="173" t="s">
        <v>468</v>
      </c>
      <c r="B2976">
        <v>25479</v>
      </c>
      <c r="C2976" s="173" t="s">
        <v>2468</v>
      </c>
      <c r="D2976" s="173" t="s">
        <v>470</v>
      </c>
      <c r="E2976">
        <v>6</v>
      </c>
    </row>
    <row r="2977" spans="1:5" x14ac:dyDescent="0.25">
      <c r="A2977" s="173" t="s">
        <v>468</v>
      </c>
      <c r="B2977">
        <v>25479</v>
      </c>
      <c r="C2977" s="173" t="s">
        <v>2469</v>
      </c>
      <c r="D2977" s="173" t="s">
        <v>470</v>
      </c>
      <c r="E2977">
        <v>6</v>
      </c>
    </row>
    <row r="2978" spans="1:5" x14ac:dyDescent="0.25">
      <c r="A2978" s="173" t="s">
        <v>468</v>
      </c>
      <c r="B2978">
        <v>25483</v>
      </c>
      <c r="C2978" s="173" t="s">
        <v>478</v>
      </c>
      <c r="D2978" s="173" t="s">
        <v>470</v>
      </c>
      <c r="E2978">
        <v>1</v>
      </c>
    </row>
    <row r="2979" spans="1:5" x14ac:dyDescent="0.25">
      <c r="A2979" s="173" t="s">
        <v>468</v>
      </c>
      <c r="B2979">
        <v>25483</v>
      </c>
      <c r="C2979" s="173" t="s">
        <v>2470</v>
      </c>
      <c r="D2979" s="173" t="s">
        <v>470</v>
      </c>
      <c r="E2979">
        <v>6</v>
      </c>
    </row>
    <row r="2980" spans="1:5" x14ac:dyDescent="0.25">
      <c r="A2980" s="173" t="s">
        <v>468</v>
      </c>
      <c r="B2980">
        <v>25483</v>
      </c>
      <c r="C2980" s="173" t="s">
        <v>2471</v>
      </c>
      <c r="D2980" s="173" t="s">
        <v>470</v>
      </c>
      <c r="E2980">
        <v>6</v>
      </c>
    </row>
    <row r="2981" spans="1:5" x14ac:dyDescent="0.25">
      <c r="A2981" s="173" t="s">
        <v>468</v>
      </c>
      <c r="B2981">
        <v>25483</v>
      </c>
      <c r="C2981" s="173" t="s">
        <v>2472</v>
      </c>
      <c r="D2981" s="173" t="s">
        <v>517</v>
      </c>
      <c r="E2981">
        <v>4</v>
      </c>
    </row>
    <row r="2982" spans="1:5" x14ac:dyDescent="0.25">
      <c r="A2982" s="173" t="s">
        <v>468</v>
      </c>
      <c r="B2982">
        <v>25483</v>
      </c>
      <c r="C2982" s="173" t="s">
        <v>2473</v>
      </c>
      <c r="D2982" s="173" t="s">
        <v>517</v>
      </c>
      <c r="E2982">
        <v>5</v>
      </c>
    </row>
    <row r="2983" spans="1:5" x14ac:dyDescent="0.25">
      <c r="A2983" s="173" t="s">
        <v>468</v>
      </c>
      <c r="B2983">
        <v>25483</v>
      </c>
      <c r="C2983" s="173" t="s">
        <v>2474</v>
      </c>
      <c r="D2983" s="173" t="s">
        <v>470</v>
      </c>
      <c r="E2983">
        <v>6</v>
      </c>
    </row>
    <row r="2984" spans="1:5" x14ac:dyDescent="0.25">
      <c r="A2984" s="173" t="s">
        <v>468</v>
      </c>
      <c r="B2984">
        <v>25483</v>
      </c>
      <c r="C2984" s="173" t="s">
        <v>2475</v>
      </c>
      <c r="D2984" s="173" t="s">
        <v>2257</v>
      </c>
      <c r="E2984">
        <v>2</v>
      </c>
    </row>
    <row r="2985" spans="1:5" x14ac:dyDescent="0.25">
      <c r="A2985" s="173" t="s">
        <v>468</v>
      </c>
      <c r="B2985">
        <v>25483</v>
      </c>
      <c r="C2985" s="173" t="s">
        <v>2475</v>
      </c>
      <c r="D2985" s="173" t="s">
        <v>470</v>
      </c>
      <c r="E2985">
        <v>5</v>
      </c>
    </row>
    <row r="2986" spans="1:5" x14ac:dyDescent="0.25">
      <c r="A2986" s="173" t="s">
        <v>468</v>
      </c>
      <c r="B2986">
        <v>25483</v>
      </c>
      <c r="C2986" s="173" t="s">
        <v>481</v>
      </c>
      <c r="D2986" s="173" t="s">
        <v>517</v>
      </c>
      <c r="E2986">
        <v>3</v>
      </c>
    </row>
    <row r="2987" spans="1:5" x14ac:dyDescent="0.25">
      <c r="A2987" s="173" t="s">
        <v>468</v>
      </c>
      <c r="B2987">
        <v>25483</v>
      </c>
      <c r="C2987" s="173" t="s">
        <v>483</v>
      </c>
      <c r="D2987" s="173" t="s">
        <v>470</v>
      </c>
      <c r="E2987">
        <v>6</v>
      </c>
    </row>
    <row r="2988" spans="1:5" x14ac:dyDescent="0.25">
      <c r="A2988" s="173" t="s">
        <v>468</v>
      </c>
      <c r="B2988">
        <v>25483</v>
      </c>
      <c r="C2988" s="173" t="s">
        <v>1071</v>
      </c>
      <c r="D2988" s="173" t="s">
        <v>470</v>
      </c>
      <c r="E2988">
        <v>1</v>
      </c>
    </row>
    <row r="2989" spans="1:5" x14ac:dyDescent="0.25">
      <c r="A2989" s="173" t="s">
        <v>468</v>
      </c>
      <c r="B2989">
        <v>25483</v>
      </c>
      <c r="C2989" s="173" t="s">
        <v>2476</v>
      </c>
      <c r="D2989" s="173" t="s">
        <v>2257</v>
      </c>
      <c r="E2989">
        <v>2</v>
      </c>
    </row>
    <row r="2990" spans="1:5" x14ac:dyDescent="0.25">
      <c r="A2990" s="173" t="s">
        <v>468</v>
      </c>
      <c r="B2990">
        <v>25483</v>
      </c>
      <c r="C2990" s="173" t="s">
        <v>2476</v>
      </c>
      <c r="D2990" s="173" t="s">
        <v>470</v>
      </c>
      <c r="E2990">
        <v>5</v>
      </c>
    </row>
    <row r="2991" spans="1:5" x14ac:dyDescent="0.25">
      <c r="A2991" s="173" t="s">
        <v>468</v>
      </c>
      <c r="B2991">
        <v>25483</v>
      </c>
      <c r="C2991" s="173" t="s">
        <v>2408</v>
      </c>
      <c r="D2991" s="173" t="s">
        <v>517</v>
      </c>
      <c r="E2991">
        <v>3</v>
      </c>
    </row>
    <row r="2992" spans="1:5" x14ac:dyDescent="0.25">
      <c r="A2992" s="173" t="s">
        <v>468</v>
      </c>
      <c r="B2992">
        <v>25483</v>
      </c>
      <c r="C2992" s="173" t="s">
        <v>2477</v>
      </c>
      <c r="D2992" s="173" t="s">
        <v>470</v>
      </c>
      <c r="E2992">
        <v>1</v>
      </c>
    </row>
    <row r="2993" spans="1:5" x14ac:dyDescent="0.25">
      <c r="A2993" s="173" t="s">
        <v>468</v>
      </c>
      <c r="B2993">
        <v>25483</v>
      </c>
      <c r="C2993" s="173" t="s">
        <v>2478</v>
      </c>
      <c r="D2993" s="173" t="s">
        <v>470</v>
      </c>
      <c r="E2993">
        <v>1</v>
      </c>
    </row>
    <row r="2994" spans="1:5" x14ac:dyDescent="0.25">
      <c r="A2994" s="173" t="s">
        <v>468</v>
      </c>
      <c r="B2994">
        <v>25483</v>
      </c>
      <c r="C2994" s="173" t="s">
        <v>2479</v>
      </c>
      <c r="D2994" s="173" t="s">
        <v>517</v>
      </c>
      <c r="E2994">
        <v>4</v>
      </c>
    </row>
    <row r="2995" spans="1:5" x14ac:dyDescent="0.25">
      <c r="A2995" s="173" t="s">
        <v>468</v>
      </c>
      <c r="B2995">
        <v>25483</v>
      </c>
      <c r="C2995" s="173" t="s">
        <v>2480</v>
      </c>
      <c r="D2995" s="173" t="s">
        <v>517</v>
      </c>
      <c r="E2995">
        <v>4</v>
      </c>
    </row>
    <row r="2996" spans="1:5" x14ac:dyDescent="0.25">
      <c r="A2996" s="173" t="s">
        <v>468</v>
      </c>
      <c r="B2996">
        <v>25483</v>
      </c>
      <c r="C2996" s="173" t="s">
        <v>933</v>
      </c>
      <c r="D2996" s="173" t="s">
        <v>517</v>
      </c>
      <c r="E2996">
        <v>3</v>
      </c>
    </row>
    <row r="2997" spans="1:5" x14ac:dyDescent="0.25">
      <c r="A2997" s="173" t="s">
        <v>468</v>
      </c>
      <c r="B2997">
        <v>25483</v>
      </c>
      <c r="C2997" s="173" t="s">
        <v>933</v>
      </c>
      <c r="D2997" s="173" t="s">
        <v>517</v>
      </c>
      <c r="E2997">
        <v>2</v>
      </c>
    </row>
    <row r="2998" spans="1:5" x14ac:dyDescent="0.25">
      <c r="A2998" s="173" t="s">
        <v>468</v>
      </c>
      <c r="B2998">
        <v>25483</v>
      </c>
      <c r="C2998" s="173" t="s">
        <v>2481</v>
      </c>
      <c r="D2998" s="173" t="s">
        <v>470</v>
      </c>
      <c r="E2998">
        <v>6</v>
      </c>
    </row>
    <row r="2999" spans="1:5" x14ac:dyDescent="0.25">
      <c r="A2999" s="173" t="s">
        <v>468</v>
      </c>
      <c r="B2999">
        <v>25483</v>
      </c>
      <c r="C2999" s="173" t="s">
        <v>2482</v>
      </c>
      <c r="D2999" s="173" t="s">
        <v>517</v>
      </c>
      <c r="E2999">
        <v>5</v>
      </c>
    </row>
    <row r="3000" spans="1:5" x14ac:dyDescent="0.25">
      <c r="A3000" s="173" t="s">
        <v>468</v>
      </c>
      <c r="B3000">
        <v>25483</v>
      </c>
      <c r="C3000" s="173" t="s">
        <v>489</v>
      </c>
      <c r="D3000" s="173" t="s">
        <v>517</v>
      </c>
      <c r="E3000">
        <v>5</v>
      </c>
    </row>
    <row r="3001" spans="1:5" x14ac:dyDescent="0.25">
      <c r="A3001" s="173" t="s">
        <v>468</v>
      </c>
      <c r="B3001">
        <v>25483</v>
      </c>
      <c r="C3001" s="173" t="s">
        <v>2417</v>
      </c>
      <c r="D3001" s="173" t="s">
        <v>470</v>
      </c>
      <c r="E3001">
        <v>1</v>
      </c>
    </row>
    <row r="3002" spans="1:5" x14ac:dyDescent="0.25">
      <c r="A3002" s="173" t="s">
        <v>468</v>
      </c>
      <c r="B3002">
        <v>25483</v>
      </c>
      <c r="C3002" s="173" t="s">
        <v>2483</v>
      </c>
      <c r="D3002" s="173" t="s">
        <v>470</v>
      </c>
      <c r="E3002">
        <v>6</v>
      </c>
    </row>
    <row r="3003" spans="1:5" x14ac:dyDescent="0.25">
      <c r="A3003" s="173" t="s">
        <v>468</v>
      </c>
      <c r="B3003">
        <v>25483</v>
      </c>
      <c r="C3003" s="173" t="s">
        <v>2484</v>
      </c>
      <c r="D3003" s="173" t="s">
        <v>470</v>
      </c>
      <c r="E3003">
        <v>6</v>
      </c>
    </row>
    <row r="3004" spans="1:5" x14ac:dyDescent="0.25">
      <c r="A3004" s="173" t="s">
        <v>468</v>
      </c>
      <c r="B3004">
        <v>25483</v>
      </c>
      <c r="C3004" s="173" t="s">
        <v>2485</v>
      </c>
      <c r="D3004" s="173" t="s">
        <v>517</v>
      </c>
      <c r="E3004">
        <v>4</v>
      </c>
    </row>
    <row r="3005" spans="1:5" x14ac:dyDescent="0.25">
      <c r="A3005" s="173" t="s">
        <v>468</v>
      </c>
      <c r="B3005">
        <v>25483</v>
      </c>
      <c r="C3005" s="173" t="s">
        <v>2486</v>
      </c>
      <c r="D3005" s="173" t="s">
        <v>517</v>
      </c>
      <c r="E3005">
        <v>5</v>
      </c>
    </row>
    <row r="3006" spans="1:5" x14ac:dyDescent="0.25">
      <c r="A3006" s="173" t="s">
        <v>468</v>
      </c>
      <c r="B3006">
        <v>25483</v>
      </c>
      <c r="C3006" s="173" t="s">
        <v>2487</v>
      </c>
      <c r="D3006" s="173" t="s">
        <v>470</v>
      </c>
      <c r="E3006">
        <v>7</v>
      </c>
    </row>
    <row r="3007" spans="1:5" x14ac:dyDescent="0.25">
      <c r="A3007" s="173" t="s">
        <v>468</v>
      </c>
      <c r="B3007">
        <v>25483</v>
      </c>
      <c r="C3007" s="173" t="s">
        <v>2488</v>
      </c>
      <c r="D3007" s="173" t="s">
        <v>470</v>
      </c>
      <c r="E3007">
        <v>6</v>
      </c>
    </row>
    <row r="3008" spans="1:5" x14ac:dyDescent="0.25">
      <c r="A3008" s="173" t="s">
        <v>468</v>
      </c>
      <c r="B3008">
        <v>25483</v>
      </c>
      <c r="C3008" s="173" t="s">
        <v>2489</v>
      </c>
      <c r="D3008" s="173" t="s">
        <v>470</v>
      </c>
      <c r="E3008">
        <v>7</v>
      </c>
    </row>
    <row r="3009" spans="1:5" x14ac:dyDescent="0.25">
      <c r="A3009" s="173" t="s">
        <v>468</v>
      </c>
      <c r="B3009">
        <v>25483</v>
      </c>
      <c r="C3009" s="173" t="s">
        <v>2490</v>
      </c>
      <c r="D3009" s="173" t="s">
        <v>470</v>
      </c>
      <c r="E3009">
        <v>6</v>
      </c>
    </row>
    <row r="3010" spans="1:5" x14ac:dyDescent="0.25">
      <c r="A3010" s="173" t="s">
        <v>468</v>
      </c>
      <c r="B3010">
        <v>25483</v>
      </c>
      <c r="C3010" s="173" t="s">
        <v>2490</v>
      </c>
      <c r="D3010" s="173" t="s">
        <v>2257</v>
      </c>
      <c r="E3010">
        <v>2</v>
      </c>
    </row>
    <row r="3011" spans="1:5" x14ac:dyDescent="0.25">
      <c r="A3011" s="173" t="s">
        <v>468</v>
      </c>
      <c r="B3011">
        <v>25483</v>
      </c>
      <c r="C3011" s="173" t="s">
        <v>2491</v>
      </c>
      <c r="D3011" s="173" t="s">
        <v>517</v>
      </c>
      <c r="E3011">
        <v>7</v>
      </c>
    </row>
    <row r="3012" spans="1:5" x14ac:dyDescent="0.25">
      <c r="A3012" s="173" t="s">
        <v>468</v>
      </c>
      <c r="B3012">
        <v>25483</v>
      </c>
      <c r="C3012" s="173" t="s">
        <v>2492</v>
      </c>
      <c r="D3012" s="173" t="s">
        <v>517</v>
      </c>
      <c r="E3012">
        <v>4</v>
      </c>
    </row>
    <row r="3013" spans="1:5" x14ac:dyDescent="0.25">
      <c r="A3013" s="173" t="s">
        <v>468</v>
      </c>
      <c r="B3013">
        <v>25483</v>
      </c>
      <c r="C3013" s="173" t="s">
        <v>2493</v>
      </c>
      <c r="D3013" s="173" t="s">
        <v>517</v>
      </c>
      <c r="E3013">
        <v>4</v>
      </c>
    </row>
    <row r="3014" spans="1:5" x14ac:dyDescent="0.25">
      <c r="A3014" s="173" t="s">
        <v>468</v>
      </c>
      <c r="B3014">
        <v>25483</v>
      </c>
      <c r="C3014" s="173" t="s">
        <v>2494</v>
      </c>
      <c r="D3014" s="173" t="s">
        <v>517</v>
      </c>
      <c r="E3014">
        <v>5</v>
      </c>
    </row>
    <row r="3015" spans="1:5" x14ac:dyDescent="0.25">
      <c r="A3015" s="173" t="s">
        <v>468</v>
      </c>
      <c r="B3015">
        <v>25483</v>
      </c>
      <c r="C3015" s="173" t="s">
        <v>2494</v>
      </c>
      <c r="D3015" s="173" t="s">
        <v>517</v>
      </c>
      <c r="E3015">
        <v>2</v>
      </c>
    </row>
    <row r="3016" spans="1:5" x14ac:dyDescent="0.25">
      <c r="A3016" s="173" t="s">
        <v>468</v>
      </c>
      <c r="B3016">
        <v>25483</v>
      </c>
      <c r="C3016" s="173" t="s">
        <v>2495</v>
      </c>
      <c r="D3016" s="173" t="s">
        <v>517</v>
      </c>
      <c r="E3016">
        <v>6</v>
      </c>
    </row>
    <row r="3017" spans="1:5" x14ac:dyDescent="0.25">
      <c r="A3017" s="173" t="s">
        <v>468</v>
      </c>
      <c r="B3017">
        <v>25483</v>
      </c>
      <c r="C3017" s="173" t="s">
        <v>2496</v>
      </c>
      <c r="D3017" s="173" t="s">
        <v>517</v>
      </c>
      <c r="E3017">
        <v>5</v>
      </c>
    </row>
    <row r="3018" spans="1:5" x14ac:dyDescent="0.25">
      <c r="A3018" s="173" t="s">
        <v>468</v>
      </c>
      <c r="B3018">
        <v>25483</v>
      </c>
      <c r="C3018" s="173" t="s">
        <v>2497</v>
      </c>
      <c r="D3018" s="173" t="s">
        <v>517</v>
      </c>
      <c r="E3018">
        <v>6</v>
      </c>
    </row>
    <row r="3019" spans="1:5" x14ac:dyDescent="0.25">
      <c r="A3019" s="173" t="s">
        <v>468</v>
      </c>
      <c r="B3019">
        <v>25483</v>
      </c>
      <c r="C3019" s="173" t="s">
        <v>2498</v>
      </c>
      <c r="D3019" s="173" t="s">
        <v>517</v>
      </c>
      <c r="E3019">
        <v>3</v>
      </c>
    </row>
    <row r="3020" spans="1:5" x14ac:dyDescent="0.25">
      <c r="A3020" s="173" t="s">
        <v>468</v>
      </c>
      <c r="B3020">
        <v>25483</v>
      </c>
      <c r="C3020" s="173" t="s">
        <v>507</v>
      </c>
      <c r="D3020" s="173" t="s">
        <v>517</v>
      </c>
      <c r="E3020">
        <v>4</v>
      </c>
    </row>
    <row r="3021" spans="1:5" x14ac:dyDescent="0.25">
      <c r="A3021" s="173" t="s">
        <v>468</v>
      </c>
      <c r="B3021">
        <v>25483</v>
      </c>
      <c r="C3021" s="173" t="s">
        <v>2499</v>
      </c>
      <c r="D3021" s="173" t="s">
        <v>517</v>
      </c>
      <c r="E3021">
        <v>4</v>
      </c>
    </row>
    <row r="3022" spans="1:5" x14ac:dyDescent="0.25">
      <c r="A3022" s="173" t="s">
        <v>468</v>
      </c>
      <c r="B3022">
        <v>25483</v>
      </c>
      <c r="C3022" s="173" t="s">
        <v>2500</v>
      </c>
      <c r="D3022" s="173" t="s">
        <v>517</v>
      </c>
      <c r="E3022">
        <v>7</v>
      </c>
    </row>
    <row r="3023" spans="1:5" x14ac:dyDescent="0.25">
      <c r="A3023" s="173" t="s">
        <v>468</v>
      </c>
      <c r="B3023">
        <v>25483</v>
      </c>
      <c r="C3023" s="173" t="s">
        <v>2501</v>
      </c>
      <c r="D3023" s="173" t="s">
        <v>470</v>
      </c>
      <c r="E3023">
        <v>6</v>
      </c>
    </row>
    <row r="3024" spans="1:5" x14ac:dyDescent="0.25">
      <c r="A3024" s="173" t="s">
        <v>468</v>
      </c>
      <c r="B3024">
        <v>25483</v>
      </c>
      <c r="C3024" s="173" t="s">
        <v>2502</v>
      </c>
      <c r="D3024" s="173" t="s">
        <v>470</v>
      </c>
      <c r="E3024">
        <v>6</v>
      </c>
    </row>
    <row r="3025" spans="1:5" x14ac:dyDescent="0.25">
      <c r="A3025" s="173" t="s">
        <v>468</v>
      </c>
      <c r="B3025">
        <v>25483</v>
      </c>
      <c r="C3025" s="173" t="s">
        <v>2503</v>
      </c>
      <c r="D3025" s="173" t="s">
        <v>470</v>
      </c>
      <c r="E3025">
        <v>6</v>
      </c>
    </row>
    <row r="3026" spans="1:5" x14ac:dyDescent="0.25">
      <c r="A3026" s="173" t="s">
        <v>468</v>
      </c>
      <c r="B3026">
        <v>25483</v>
      </c>
      <c r="C3026" s="173" t="s">
        <v>2504</v>
      </c>
      <c r="D3026" s="173" t="s">
        <v>470</v>
      </c>
      <c r="E3026">
        <v>6</v>
      </c>
    </row>
    <row r="3027" spans="1:5" x14ac:dyDescent="0.25">
      <c r="A3027" s="173" t="s">
        <v>468</v>
      </c>
      <c r="B3027">
        <v>25483</v>
      </c>
      <c r="C3027" s="173" t="s">
        <v>2505</v>
      </c>
      <c r="D3027" s="173" t="s">
        <v>470</v>
      </c>
      <c r="E3027">
        <v>4</v>
      </c>
    </row>
    <row r="3028" spans="1:5" x14ac:dyDescent="0.25">
      <c r="A3028" s="173" t="s">
        <v>468</v>
      </c>
      <c r="B3028">
        <v>25483</v>
      </c>
      <c r="C3028" s="173" t="s">
        <v>2506</v>
      </c>
      <c r="D3028" s="173" t="s">
        <v>470</v>
      </c>
      <c r="E3028">
        <v>4</v>
      </c>
    </row>
    <row r="3029" spans="1:5" x14ac:dyDescent="0.25">
      <c r="A3029" s="173" t="s">
        <v>468</v>
      </c>
      <c r="B3029">
        <v>25483</v>
      </c>
      <c r="C3029" s="173" t="s">
        <v>2507</v>
      </c>
      <c r="D3029" s="173" t="s">
        <v>470</v>
      </c>
      <c r="E3029">
        <v>6</v>
      </c>
    </row>
    <row r="3030" spans="1:5" x14ac:dyDescent="0.25">
      <c r="A3030" s="173" t="s">
        <v>468</v>
      </c>
      <c r="B3030">
        <v>25483</v>
      </c>
      <c r="C3030" s="173" t="s">
        <v>2508</v>
      </c>
      <c r="D3030" s="173" t="s">
        <v>470</v>
      </c>
      <c r="E3030">
        <v>5</v>
      </c>
    </row>
    <row r="3031" spans="1:5" x14ac:dyDescent="0.25">
      <c r="A3031" s="173" t="s">
        <v>468</v>
      </c>
      <c r="B3031">
        <v>25483</v>
      </c>
      <c r="C3031" s="173" t="s">
        <v>2508</v>
      </c>
      <c r="D3031" s="173" t="s">
        <v>2257</v>
      </c>
      <c r="E3031">
        <v>2</v>
      </c>
    </row>
    <row r="3032" spans="1:5" x14ac:dyDescent="0.25">
      <c r="A3032" s="173" t="s">
        <v>468</v>
      </c>
      <c r="B3032">
        <v>25483</v>
      </c>
      <c r="C3032" s="173" t="s">
        <v>2509</v>
      </c>
      <c r="D3032" s="173" t="s">
        <v>2257</v>
      </c>
      <c r="E3032">
        <v>2</v>
      </c>
    </row>
    <row r="3033" spans="1:5" x14ac:dyDescent="0.25">
      <c r="A3033" s="173" t="s">
        <v>468</v>
      </c>
      <c r="B3033">
        <v>25483</v>
      </c>
      <c r="C3033" s="173" t="s">
        <v>2509</v>
      </c>
      <c r="D3033" s="173" t="s">
        <v>470</v>
      </c>
      <c r="E3033">
        <v>5</v>
      </c>
    </row>
    <row r="3034" spans="1:5" x14ac:dyDescent="0.25">
      <c r="A3034" s="173" t="s">
        <v>468</v>
      </c>
      <c r="B3034">
        <v>25483</v>
      </c>
      <c r="C3034" s="173" t="s">
        <v>2510</v>
      </c>
      <c r="D3034" s="173" t="s">
        <v>470</v>
      </c>
      <c r="E3034">
        <v>5</v>
      </c>
    </row>
    <row r="3035" spans="1:5" x14ac:dyDescent="0.25">
      <c r="A3035" s="173" t="s">
        <v>468</v>
      </c>
      <c r="B3035">
        <v>25483</v>
      </c>
      <c r="C3035" s="173" t="s">
        <v>2510</v>
      </c>
      <c r="D3035" s="173" t="s">
        <v>2257</v>
      </c>
      <c r="E3035">
        <v>2</v>
      </c>
    </row>
    <row r="3036" spans="1:5" x14ac:dyDescent="0.25">
      <c r="A3036" s="173" t="s">
        <v>468</v>
      </c>
      <c r="B3036">
        <v>25483</v>
      </c>
      <c r="C3036" s="173" t="s">
        <v>2511</v>
      </c>
      <c r="D3036" s="173" t="s">
        <v>470</v>
      </c>
      <c r="E3036">
        <v>2</v>
      </c>
    </row>
    <row r="3037" spans="1:5" x14ac:dyDescent="0.25">
      <c r="A3037" s="173" t="s">
        <v>468</v>
      </c>
      <c r="B3037">
        <v>25483</v>
      </c>
      <c r="C3037" s="173" t="s">
        <v>2512</v>
      </c>
      <c r="D3037" s="173" t="s">
        <v>470</v>
      </c>
      <c r="E3037">
        <v>2</v>
      </c>
    </row>
    <row r="3038" spans="1:5" x14ac:dyDescent="0.25">
      <c r="A3038" s="173" t="s">
        <v>468</v>
      </c>
      <c r="B3038">
        <v>25483</v>
      </c>
      <c r="C3038" s="173" t="s">
        <v>2513</v>
      </c>
      <c r="D3038" s="173" t="s">
        <v>470</v>
      </c>
      <c r="E3038">
        <v>2</v>
      </c>
    </row>
    <row r="3039" spans="1:5" x14ac:dyDescent="0.25">
      <c r="A3039" s="173" t="s">
        <v>468</v>
      </c>
      <c r="B3039">
        <v>25483</v>
      </c>
      <c r="C3039" s="173" t="s">
        <v>2514</v>
      </c>
      <c r="D3039" s="173" t="s">
        <v>470</v>
      </c>
      <c r="E3039">
        <v>6</v>
      </c>
    </row>
    <row r="3040" spans="1:5" x14ac:dyDescent="0.25">
      <c r="A3040" s="173" t="s">
        <v>468</v>
      </c>
      <c r="B3040">
        <v>25483</v>
      </c>
      <c r="C3040" s="173" t="s">
        <v>2515</v>
      </c>
      <c r="D3040" s="173" t="s">
        <v>470</v>
      </c>
      <c r="E3040">
        <v>7</v>
      </c>
    </row>
    <row r="3041" spans="1:5" x14ac:dyDescent="0.25">
      <c r="A3041" s="173" t="s">
        <v>468</v>
      </c>
      <c r="B3041">
        <v>25483</v>
      </c>
      <c r="C3041" s="173" t="s">
        <v>2516</v>
      </c>
      <c r="D3041" s="173" t="s">
        <v>470</v>
      </c>
      <c r="E3041">
        <v>6</v>
      </c>
    </row>
    <row r="3042" spans="1:5" x14ac:dyDescent="0.25">
      <c r="A3042" s="173" t="s">
        <v>468</v>
      </c>
      <c r="B3042">
        <v>25483</v>
      </c>
      <c r="C3042" s="173" t="s">
        <v>2517</v>
      </c>
      <c r="D3042" s="173" t="s">
        <v>470</v>
      </c>
      <c r="E3042">
        <v>5</v>
      </c>
    </row>
    <row r="3043" spans="1:5" x14ac:dyDescent="0.25">
      <c r="A3043" s="173" t="s">
        <v>468</v>
      </c>
      <c r="B3043">
        <v>25483</v>
      </c>
      <c r="C3043" s="173" t="s">
        <v>2518</v>
      </c>
      <c r="D3043" s="173" t="s">
        <v>470</v>
      </c>
      <c r="E3043">
        <v>5</v>
      </c>
    </row>
    <row r="3044" spans="1:5" x14ac:dyDescent="0.25">
      <c r="A3044" s="173" t="s">
        <v>468</v>
      </c>
      <c r="B3044">
        <v>25483</v>
      </c>
      <c r="C3044" s="173" t="s">
        <v>2519</v>
      </c>
      <c r="D3044" s="173" t="s">
        <v>470</v>
      </c>
      <c r="E3044">
        <v>2</v>
      </c>
    </row>
    <row r="3045" spans="1:5" x14ac:dyDescent="0.25">
      <c r="A3045" s="173" t="s">
        <v>468</v>
      </c>
      <c r="B3045">
        <v>25483</v>
      </c>
      <c r="C3045" s="173" t="s">
        <v>2519</v>
      </c>
      <c r="D3045" s="173" t="s">
        <v>470</v>
      </c>
      <c r="E3045">
        <v>7</v>
      </c>
    </row>
    <row r="3046" spans="1:5" x14ac:dyDescent="0.25">
      <c r="A3046" s="173" t="s">
        <v>468</v>
      </c>
      <c r="B3046">
        <v>25483</v>
      </c>
      <c r="C3046" s="173" t="s">
        <v>2520</v>
      </c>
      <c r="D3046" s="173" t="s">
        <v>470</v>
      </c>
      <c r="E3046">
        <v>7</v>
      </c>
    </row>
    <row r="3047" spans="1:5" x14ac:dyDescent="0.25">
      <c r="A3047" s="173" t="s">
        <v>468</v>
      </c>
      <c r="B3047">
        <v>25483</v>
      </c>
      <c r="C3047" s="173" t="s">
        <v>2520</v>
      </c>
      <c r="D3047" s="173" t="s">
        <v>470</v>
      </c>
      <c r="E3047">
        <v>2</v>
      </c>
    </row>
    <row r="3048" spans="1:5" x14ac:dyDescent="0.25">
      <c r="A3048" s="173" t="s">
        <v>468</v>
      </c>
      <c r="B3048">
        <v>25483</v>
      </c>
      <c r="C3048" s="173" t="s">
        <v>2521</v>
      </c>
      <c r="D3048" s="173" t="s">
        <v>470</v>
      </c>
      <c r="E3048">
        <v>2</v>
      </c>
    </row>
    <row r="3049" spans="1:5" x14ac:dyDescent="0.25">
      <c r="A3049" s="173" t="s">
        <v>468</v>
      </c>
      <c r="B3049">
        <v>25483</v>
      </c>
      <c r="C3049" s="173" t="s">
        <v>2522</v>
      </c>
      <c r="D3049" s="173" t="s">
        <v>470</v>
      </c>
      <c r="E3049">
        <v>2</v>
      </c>
    </row>
    <row r="3050" spans="1:5" x14ac:dyDescent="0.25">
      <c r="A3050" s="173" t="s">
        <v>468</v>
      </c>
      <c r="B3050">
        <v>25483</v>
      </c>
      <c r="C3050" s="173" t="s">
        <v>2523</v>
      </c>
      <c r="D3050" s="173" t="s">
        <v>470</v>
      </c>
      <c r="E3050">
        <v>2</v>
      </c>
    </row>
    <row r="3051" spans="1:5" x14ac:dyDescent="0.25">
      <c r="A3051" s="173" t="s">
        <v>468</v>
      </c>
      <c r="B3051">
        <v>25483</v>
      </c>
      <c r="C3051" s="173" t="s">
        <v>2524</v>
      </c>
      <c r="D3051" s="173" t="s">
        <v>470</v>
      </c>
      <c r="E3051">
        <v>2</v>
      </c>
    </row>
    <row r="3052" spans="1:5" x14ac:dyDescent="0.25">
      <c r="A3052" s="173" t="s">
        <v>468</v>
      </c>
      <c r="B3052">
        <v>25483</v>
      </c>
      <c r="C3052" s="173" t="s">
        <v>2525</v>
      </c>
      <c r="D3052" s="173" t="s">
        <v>470</v>
      </c>
      <c r="E3052">
        <v>2</v>
      </c>
    </row>
    <row r="3053" spans="1:5" x14ac:dyDescent="0.25">
      <c r="A3053" s="173" t="s">
        <v>468</v>
      </c>
      <c r="B3053">
        <v>25483</v>
      </c>
      <c r="C3053" s="173" t="s">
        <v>2526</v>
      </c>
      <c r="D3053" s="173" t="s">
        <v>470</v>
      </c>
      <c r="E3053">
        <v>7</v>
      </c>
    </row>
    <row r="3054" spans="1:5" x14ac:dyDescent="0.25">
      <c r="A3054" s="173" t="s">
        <v>468</v>
      </c>
      <c r="B3054">
        <v>25483</v>
      </c>
      <c r="C3054" s="173" t="s">
        <v>2527</v>
      </c>
      <c r="D3054" s="173" t="s">
        <v>470</v>
      </c>
      <c r="E3054">
        <v>7</v>
      </c>
    </row>
    <row r="3055" spans="1:5" x14ac:dyDescent="0.25">
      <c r="A3055" s="173" t="s">
        <v>468</v>
      </c>
      <c r="B3055">
        <v>25483</v>
      </c>
      <c r="C3055" s="173" t="s">
        <v>2528</v>
      </c>
      <c r="D3055" s="173" t="s">
        <v>470</v>
      </c>
      <c r="E3055">
        <v>7</v>
      </c>
    </row>
    <row r="3056" spans="1:5" x14ac:dyDescent="0.25">
      <c r="A3056" s="173" t="s">
        <v>468</v>
      </c>
      <c r="B3056">
        <v>25483</v>
      </c>
      <c r="C3056" s="173" t="s">
        <v>2529</v>
      </c>
      <c r="D3056" s="173" t="s">
        <v>470</v>
      </c>
      <c r="E3056">
        <v>8</v>
      </c>
    </row>
    <row r="3057" spans="1:5" x14ac:dyDescent="0.25">
      <c r="A3057" s="173" t="s">
        <v>468</v>
      </c>
      <c r="B3057">
        <v>25483</v>
      </c>
      <c r="C3057" s="173" t="s">
        <v>2530</v>
      </c>
      <c r="D3057" s="173" t="s">
        <v>470</v>
      </c>
      <c r="E3057">
        <v>8</v>
      </c>
    </row>
    <row r="3058" spans="1:5" x14ac:dyDescent="0.25">
      <c r="A3058" s="173" t="s">
        <v>468</v>
      </c>
      <c r="B3058">
        <v>25483</v>
      </c>
      <c r="C3058" s="173" t="s">
        <v>2531</v>
      </c>
      <c r="D3058" s="173" t="s">
        <v>470</v>
      </c>
      <c r="E3058">
        <v>5</v>
      </c>
    </row>
    <row r="3059" spans="1:5" x14ac:dyDescent="0.25">
      <c r="A3059" s="173" t="s">
        <v>468</v>
      </c>
      <c r="B3059">
        <v>25483</v>
      </c>
      <c r="C3059" s="173" t="s">
        <v>2532</v>
      </c>
      <c r="D3059" s="173" t="s">
        <v>470</v>
      </c>
      <c r="E3059">
        <v>5</v>
      </c>
    </row>
    <row r="3060" spans="1:5" hidden="1" x14ac:dyDescent="0.25">
      <c r="A3060" s="173" t="s">
        <v>514</v>
      </c>
      <c r="B3060">
        <v>25770</v>
      </c>
      <c r="C3060" s="173" t="s">
        <v>4052</v>
      </c>
      <c r="D3060" s="173" t="s">
        <v>470</v>
      </c>
      <c r="E3060">
        <v>1</v>
      </c>
    </row>
    <row r="3061" spans="1:5" hidden="1" x14ac:dyDescent="0.25">
      <c r="A3061" s="173" t="s">
        <v>514</v>
      </c>
      <c r="B3061">
        <v>25770</v>
      </c>
      <c r="C3061" s="173" t="s">
        <v>2534</v>
      </c>
      <c r="D3061" s="173" t="s">
        <v>470</v>
      </c>
      <c r="E3061">
        <v>1</v>
      </c>
    </row>
    <row r="3062" spans="1:5" hidden="1" x14ac:dyDescent="0.25">
      <c r="A3062" s="173" t="s">
        <v>514</v>
      </c>
      <c r="B3062">
        <v>25770</v>
      </c>
      <c r="C3062" s="173" t="s">
        <v>4053</v>
      </c>
      <c r="D3062" s="173" t="s">
        <v>470</v>
      </c>
      <c r="E3062">
        <v>1</v>
      </c>
    </row>
    <row r="3063" spans="1:5" hidden="1" x14ac:dyDescent="0.25">
      <c r="A3063" s="173" t="s">
        <v>514</v>
      </c>
      <c r="B3063">
        <v>25770</v>
      </c>
      <c r="C3063" s="173" t="s">
        <v>2557</v>
      </c>
      <c r="D3063" s="173" t="s">
        <v>470</v>
      </c>
      <c r="E3063">
        <v>1</v>
      </c>
    </row>
    <row r="3064" spans="1:5" hidden="1" x14ac:dyDescent="0.25">
      <c r="A3064" s="173" t="s">
        <v>514</v>
      </c>
      <c r="B3064">
        <v>25770</v>
      </c>
      <c r="C3064" s="173" t="s">
        <v>3166</v>
      </c>
      <c r="D3064" s="173" t="s">
        <v>470</v>
      </c>
      <c r="E3064">
        <v>1</v>
      </c>
    </row>
    <row r="3065" spans="1:5" hidden="1" x14ac:dyDescent="0.25">
      <c r="A3065" s="173" t="s">
        <v>514</v>
      </c>
      <c r="B3065">
        <v>25770</v>
      </c>
      <c r="C3065" s="173" t="s">
        <v>4054</v>
      </c>
      <c r="D3065" s="173" t="s">
        <v>470</v>
      </c>
      <c r="E3065">
        <v>1</v>
      </c>
    </row>
    <row r="3066" spans="1:5" hidden="1" x14ac:dyDescent="0.25">
      <c r="A3066" s="173" t="s">
        <v>514</v>
      </c>
      <c r="B3066">
        <v>25770</v>
      </c>
      <c r="C3066" s="173" t="s">
        <v>4055</v>
      </c>
      <c r="D3066" s="173" t="s">
        <v>470</v>
      </c>
      <c r="E3066">
        <v>1</v>
      </c>
    </row>
    <row r="3067" spans="1:5" hidden="1" x14ac:dyDescent="0.25">
      <c r="A3067" s="173" t="s">
        <v>514</v>
      </c>
      <c r="B3067">
        <v>25770</v>
      </c>
      <c r="C3067" s="173" t="s">
        <v>4056</v>
      </c>
      <c r="D3067" s="173" t="s">
        <v>470</v>
      </c>
      <c r="E3067">
        <v>1</v>
      </c>
    </row>
    <row r="3068" spans="1:5" hidden="1" x14ac:dyDescent="0.25">
      <c r="A3068" s="173" t="s">
        <v>514</v>
      </c>
      <c r="B3068">
        <v>25770</v>
      </c>
      <c r="C3068" s="173" t="s">
        <v>4057</v>
      </c>
      <c r="D3068" s="173" t="s">
        <v>470</v>
      </c>
      <c r="E3068">
        <v>1</v>
      </c>
    </row>
    <row r="3069" spans="1:5" x14ac:dyDescent="0.25">
      <c r="A3069" s="173" t="s">
        <v>468</v>
      </c>
      <c r="B3069">
        <v>26481</v>
      </c>
      <c r="C3069" s="173" t="s">
        <v>324</v>
      </c>
      <c r="D3069" s="173" t="s">
        <v>470</v>
      </c>
      <c r="E3069">
        <v>2</v>
      </c>
    </row>
    <row r="3070" spans="1:5" x14ac:dyDescent="0.25">
      <c r="A3070" s="173" t="s">
        <v>468</v>
      </c>
      <c r="B3070">
        <v>26481</v>
      </c>
      <c r="C3070" s="173" t="s">
        <v>2546</v>
      </c>
      <c r="D3070" s="173" t="s">
        <v>470</v>
      </c>
      <c r="E3070">
        <v>2</v>
      </c>
    </row>
    <row r="3071" spans="1:5" x14ac:dyDescent="0.25">
      <c r="A3071" s="173" t="s">
        <v>468</v>
      </c>
      <c r="B3071">
        <v>26481</v>
      </c>
      <c r="C3071" s="173" t="s">
        <v>2547</v>
      </c>
      <c r="D3071" s="173" t="s">
        <v>470</v>
      </c>
      <c r="E3071">
        <v>2</v>
      </c>
    </row>
    <row r="3072" spans="1:5" x14ac:dyDescent="0.25">
      <c r="A3072" s="173" t="s">
        <v>468</v>
      </c>
      <c r="B3072">
        <v>26519</v>
      </c>
      <c r="C3072" s="173" t="s">
        <v>2548</v>
      </c>
      <c r="D3072" s="173" t="s">
        <v>470</v>
      </c>
      <c r="E3072">
        <v>1</v>
      </c>
    </row>
    <row r="3073" spans="1:5" x14ac:dyDescent="0.25">
      <c r="A3073" s="173" t="s">
        <v>468</v>
      </c>
      <c r="B3073">
        <v>26519</v>
      </c>
      <c r="C3073" s="173" t="s">
        <v>616</v>
      </c>
      <c r="D3073" s="173" t="s">
        <v>470</v>
      </c>
      <c r="E3073">
        <v>1</v>
      </c>
    </row>
    <row r="3074" spans="1:5" x14ac:dyDescent="0.25">
      <c r="A3074" s="173" t="s">
        <v>468</v>
      </c>
      <c r="B3074">
        <v>26519</v>
      </c>
      <c r="C3074" s="173" t="s">
        <v>2549</v>
      </c>
      <c r="D3074" s="173" t="s">
        <v>470</v>
      </c>
      <c r="E3074">
        <v>1</v>
      </c>
    </row>
    <row r="3075" spans="1:5" x14ac:dyDescent="0.25">
      <c r="A3075" s="173" t="s">
        <v>468</v>
      </c>
      <c r="B3075">
        <v>26519</v>
      </c>
      <c r="C3075" s="173" t="s">
        <v>2550</v>
      </c>
      <c r="D3075" s="173" t="s">
        <v>470</v>
      </c>
      <c r="E3075">
        <v>1</v>
      </c>
    </row>
    <row r="3076" spans="1:5" x14ac:dyDescent="0.25">
      <c r="A3076" s="173" t="s">
        <v>468</v>
      </c>
      <c r="B3076">
        <v>26519</v>
      </c>
      <c r="C3076" s="173" t="s">
        <v>2551</v>
      </c>
      <c r="D3076" s="173" t="s">
        <v>470</v>
      </c>
      <c r="E3076">
        <v>1</v>
      </c>
    </row>
    <row r="3077" spans="1:5" x14ac:dyDescent="0.25">
      <c r="A3077" s="173" t="s">
        <v>468</v>
      </c>
      <c r="B3077">
        <v>26519</v>
      </c>
      <c r="C3077" s="173" t="s">
        <v>2552</v>
      </c>
      <c r="D3077" s="173" t="s">
        <v>470</v>
      </c>
      <c r="E3077">
        <v>1</v>
      </c>
    </row>
    <row r="3078" spans="1:5" x14ac:dyDescent="0.25">
      <c r="A3078" s="173" t="s">
        <v>468</v>
      </c>
      <c r="B3078">
        <v>26519</v>
      </c>
      <c r="C3078" s="173" t="s">
        <v>2553</v>
      </c>
      <c r="D3078" s="173" t="s">
        <v>470</v>
      </c>
      <c r="E3078">
        <v>1</v>
      </c>
    </row>
    <row r="3079" spans="1:5" x14ac:dyDescent="0.25">
      <c r="A3079" s="173" t="s">
        <v>468</v>
      </c>
      <c r="B3079">
        <v>26519</v>
      </c>
      <c r="C3079" s="173" t="s">
        <v>2554</v>
      </c>
      <c r="D3079" s="173" t="s">
        <v>470</v>
      </c>
      <c r="E3079">
        <v>1</v>
      </c>
    </row>
    <row r="3080" spans="1:5" x14ac:dyDescent="0.25">
      <c r="A3080" s="173" t="s">
        <v>468</v>
      </c>
      <c r="B3080">
        <v>26519</v>
      </c>
      <c r="C3080" s="173" t="s">
        <v>2555</v>
      </c>
      <c r="D3080" s="173" t="s">
        <v>470</v>
      </c>
      <c r="E3080">
        <v>1</v>
      </c>
    </row>
    <row r="3081" spans="1:5" x14ac:dyDescent="0.25">
      <c r="A3081" s="173" t="s">
        <v>468</v>
      </c>
      <c r="B3081">
        <v>26519</v>
      </c>
      <c r="C3081" s="173" t="s">
        <v>2451</v>
      </c>
      <c r="D3081" s="173" t="s">
        <v>470</v>
      </c>
      <c r="E3081">
        <v>1</v>
      </c>
    </row>
    <row r="3082" spans="1:5" x14ac:dyDescent="0.25">
      <c r="A3082" s="173" t="s">
        <v>468</v>
      </c>
      <c r="B3082">
        <v>26519</v>
      </c>
      <c r="C3082" s="173" t="s">
        <v>2556</v>
      </c>
      <c r="D3082" s="173" t="s">
        <v>470</v>
      </c>
      <c r="E3082">
        <v>1</v>
      </c>
    </row>
    <row r="3083" spans="1:5" x14ac:dyDescent="0.25">
      <c r="A3083" s="173" t="s">
        <v>468</v>
      </c>
      <c r="B3083">
        <v>26519</v>
      </c>
      <c r="C3083" s="173" t="s">
        <v>2557</v>
      </c>
      <c r="D3083" s="173" t="s">
        <v>470</v>
      </c>
      <c r="E3083">
        <v>1</v>
      </c>
    </row>
    <row r="3084" spans="1:5" x14ac:dyDescent="0.25">
      <c r="A3084" s="173" t="s">
        <v>468</v>
      </c>
      <c r="B3084">
        <v>26519</v>
      </c>
      <c r="C3084" s="173" t="s">
        <v>2558</v>
      </c>
      <c r="D3084" s="173" t="s">
        <v>470</v>
      </c>
      <c r="E3084">
        <v>1</v>
      </c>
    </row>
    <row r="3085" spans="1:5" x14ac:dyDescent="0.25">
      <c r="A3085" s="173" t="s">
        <v>468</v>
      </c>
      <c r="B3085">
        <v>26519</v>
      </c>
      <c r="C3085" s="173" t="s">
        <v>2559</v>
      </c>
      <c r="D3085" s="173" t="s">
        <v>470</v>
      </c>
      <c r="E3085">
        <v>1</v>
      </c>
    </row>
    <row r="3086" spans="1:5" x14ac:dyDescent="0.25">
      <c r="A3086" s="173" t="s">
        <v>468</v>
      </c>
      <c r="B3086">
        <v>26519</v>
      </c>
      <c r="C3086" s="173" t="s">
        <v>2560</v>
      </c>
      <c r="D3086" s="173" t="s">
        <v>470</v>
      </c>
      <c r="E3086">
        <v>1</v>
      </c>
    </row>
    <row r="3087" spans="1:5" x14ac:dyDescent="0.25">
      <c r="A3087" s="173" t="s">
        <v>468</v>
      </c>
      <c r="B3087">
        <v>26519</v>
      </c>
      <c r="C3087" s="173" t="s">
        <v>2561</v>
      </c>
      <c r="D3087" s="173" t="s">
        <v>470</v>
      </c>
      <c r="E3087">
        <v>1</v>
      </c>
    </row>
    <row r="3088" spans="1:5" x14ac:dyDescent="0.25">
      <c r="A3088" s="173" t="s">
        <v>468</v>
      </c>
      <c r="B3088">
        <v>26519</v>
      </c>
      <c r="C3088" s="173" t="s">
        <v>2562</v>
      </c>
      <c r="D3088" s="173" t="s">
        <v>470</v>
      </c>
      <c r="E3088">
        <v>1</v>
      </c>
    </row>
    <row r="3089" spans="1:5" x14ac:dyDescent="0.25">
      <c r="A3089" s="173" t="s">
        <v>468</v>
      </c>
      <c r="B3089">
        <v>26519</v>
      </c>
      <c r="C3089" s="173" t="s">
        <v>2563</v>
      </c>
      <c r="D3089" s="173" t="s">
        <v>470</v>
      </c>
      <c r="E3089">
        <v>1</v>
      </c>
    </row>
    <row r="3090" spans="1:5" x14ac:dyDescent="0.25">
      <c r="A3090" s="173" t="s">
        <v>468</v>
      </c>
      <c r="B3090">
        <v>26519</v>
      </c>
      <c r="C3090" s="173" t="s">
        <v>2564</v>
      </c>
      <c r="D3090" s="173" t="s">
        <v>470</v>
      </c>
      <c r="E3090">
        <v>1</v>
      </c>
    </row>
    <row r="3091" spans="1:5" x14ac:dyDescent="0.25">
      <c r="A3091" s="173" t="s">
        <v>468</v>
      </c>
      <c r="B3091">
        <v>26519</v>
      </c>
      <c r="C3091" s="173" t="s">
        <v>2565</v>
      </c>
      <c r="D3091" s="173" t="s">
        <v>470</v>
      </c>
      <c r="E3091">
        <v>1</v>
      </c>
    </row>
    <row r="3092" spans="1:5" x14ac:dyDescent="0.25">
      <c r="A3092" s="173" t="s">
        <v>468</v>
      </c>
      <c r="B3092">
        <v>26519</v>
      </c>
      <c r="C3092" s="173" t="s">
        <v>2566</v>
      </c>
      <c r="D3092" s="173" t="s">
        <v>470</v>
      </c>
      <c r="E3092">
        <v>1</v>
      </c>
    </row>
    <row r="3093" spans="1:5" x14ac:dyDescent="0.25">
      <c r="A3093" s="173" t="s">
        <v>468</v>
      </c>
      <c r="B3093">
        <v>26519</v>
      </c>
      <c r="C3093" s="173" t="s">
        <v>2567</v>
      </c>
      <c r="D3093" s="173" t="s">
        <v>470</v>
      </c>
      <c r="E3093">
        <v>1</v>
      </c>
    </row>
    <row r="3094" spans="1:5" x14ac:dyDescent="0.25">
      <c r="A3094" s="173" t="s">
        <v>468</v>
      </c>
      <c r="B3094">
        <v>26519</v>
      </c>
      <c r="C3094" s="173" t="s">
        <v>2568</v>
      </c>
      <c r="D3094" s="173" t="s">
        <v>470</v>
      </c>
      <c r="E3094">
        <v>1</v>
      </c>
    </row>
    <row r="3095" spans="1:5" x14ac:dyDescent="0.25">
      <c r="A3095" s="173" t="s">
        <v>468</v>
      </c>
      <c r="B3095">
        <v>26519</v>
      </c>
      <c r="C3095" s="173" t="s">
        <v>2569</v>
      </c>
      <c r="D3095" s="173" t="s">
        <v>470</v>
      </c>
      <c r="E3095">
        <v>1</v>
      </c>
    </row>
    <row r="3096" spans="1:5" x14ac:dyDescent="0.25">
      <c r="A3096" s="173" t="s">
        <v>468</v>
      </c>
      <c r="B3096">
        <v>26519</v>
      </c>
      <c r="C3096" s="173" t="s">
        <v>2570</v>
      </c>
      <c r="D3096" s="173" t="s">
        <v>470</v>
      </c>
      <c r="E3096">
        <v>1</v>
      </c>
    </row>
    <row r="3097" spans="1:5" x14ac:dyDescent="0.25">
      <c r="A3097" s="173" t="s">
        <v>468</v>
      </c>
      <c r="B3097">
        <v>26519</v>
      </c>
      <c r="C3097" s="173" t="s">
        <v>2571</v>
      </c>
      <c r="D3097" s="173" t="s">
        <v>470</v>
      </c>
      <c r="E3097">
        <v>1</v>
      </c>
    </row>
    <row r="3098" spans="1:5" x14ac:dyDescent="0.25">
      <c r="A3098" s="173" t="s">
        <v>468</v>
      </c>
      <c r="B3098">
        <v>26571</v>
      </c>
      <c r="C3098" s="173" t="s">
        <v>3771</v>
      </c>
      <c r="D3098" s="173" t="s">
        <v>470</v>
      </c>
      <c r="E3098">
        <v>1</v>
      </c>
    </row>
    <row r="3099" spans="1:5" x14ac:dyDescent="0.25">
      <c r="A3099" s="173" t="s">
        <v>468</v>
      </c>
      <c r="B3099">
        <v>26571</v>
      </c>
      <c r="C3099" s="173" t="s">
        <v>481</v>
      </c>
      <c r="D3099" s="173" t="s">
        <v>470</v>
      </c>
      <c r="E3099">
        <v>2</v>
      </c>
    </row>
    <row r="3100" spans="1:5" x14ac:dyDescent="0.25">
      <c r="A3100" s="173" t="s">
        <v>468</v>
      </c>
      <c r="B3100">
        <v>26571</v>
      </c>
      <c r="C3100" s="173" t="s">
        <v>2406</v>
      </c>
      <c r="D3100" s="173" t="s">
        <v>470</v>
      </c>
      <c r="E3100">
        <v>2</v>
      </c>
    </row>
    <row r="3101" spans="1:5" x14ac:dyDescent="0.25">
      <c r="A3101" s="173" t="s">
        <v>468</v>
      </c>
      <c r="B3101">
        <v>26571</v>
      </c>
      <c r="C3101" s="173" t="s">
        <v>3158</v>
      </c>
      <c r="D3101" s="173" t="s">
        <v>470</v>
      </c>
      <c r="E3101">
        <v>2</v>
      </c>
    </row>
    <row r="3102" spans="1:5" x14ac:dyDescent="0.25">
      <c r="A3102" s="173" t="s">
        <v>468</v>
      </c>
      <c r="B3102">
        <v>26571</v>
      </c>
      <c r="C3102" s="173" t="s">
        <v>3788</v>
      </c>
      <c r="D3102" s="173" t="s">
        <v>470</v>
      </c>
      <c r="E3102">
        <v>2</v>
      </c>
    </row>
    <row r="3103" spans="1:5" x14ac:dyDescent="0.25">
      <c r="A3103" s="173" t="s">
        <v>468</v>
      </c>
      <c r="B3103">
        <v>26571</v>
      </c>
      <c r="C3103" s="173" t="s">
        <v>4058</v>
      </c>
      <c r="D3103" s="173" t="s">
        <v>470</v>
      </c>
      <c r="E3103">
        <v>2</v>
      </c>
    </row>
    <row r="3104" spans="1:5" x14ac:dyDescent="0.25">
      <c r="A3104" s="173" t="s">
        <v>468</v>
      </c>
      <c r="B3104">
        <v>26571</v>
      </c>
      <c r="C3104" s="173" t="s">
        <v>4059</v>
      </c>
      <c r="D3104" s="173" t="s">
        <v>470</v>
      </c>
      <c r="E3104">
        <v>2</v>
      </c>
    </row>
    <row r="3105" spans="1:5" x14ac:dyDescent="0.25">
      <c r="A3105" s="173" t="s">
        <v>468</v>
      </c>
      <c r="B3105">
        <v>26571</v>
      </c>
      <c r="C3105" s="173" t="s">
        <v>4060</v>
      </c>
      <c r="D3105" s="173" t="s">
        <v>470</v>
      </c>
      <c r="E3105">
        <v>2</v>
      </c>
    </row>
    <row r="3106" spans="1:5" x14ac:dyDescent="0.25">
      <c r="A3106" s="173" t="s">
        <v>468</v>
      </c>
      <c r="B3106">
        <v>26571</v>
      </c>
      <c r="C3106" s="173" t="s">
        <v>3837</v>
      </c>
      <c r="D3106" s="173" t="s">
        <v>470</v>
      </c>
      <c r="E3106">
        <v>2</v>
      </c>
    </row>
    <row r="3107" spans="1:5" x14ac:dyDescent="0.25">
      <c r="A3107" s="173" t="s">
        <v>468</v>
      </c>
      <c r="B3107">
        <v>26571</v>
      </c>
      <c r="C3107" s="173" t="s">
        <v>3138</v>
      </c>
      <c r="D3107" s="173" t="s">
        <v>470</v>
      </c>
      <c r="E3107">
        <v>2</v>
      </c>
    </row>
    <row r="3108" spans="1:5" x14ac:dyDescent="0.25">
      <c r="A3108" s="173" t="s">
        <v>468</v>
      </c>
      <c r="B3108">
        <v>26571</v>
      </c>
      <c r="C3108" s="173" t="s">
        <v>4061</v>
      </c>
      <c r="D3108" s="173" t="s">
        <v>470</v>
      </c>
      <c r="E3108">
        <v>2</v>
      </c>
    </row>
    <row r="3109" spans="1:5" x14ac:dyDescent="0.25">
      <c r="A3109" s="173" t="s">
        <v>468</v>
      </c>
      <c r="B3109">
        <v>26571</v>
      </c>
      <c r="C3109" s="173" t="s">
        <v>3143</v>
      </c>
      <c r="D3109" s="173" t="s">
        <v>470</v>
      </c>
      <c r="E3109">
        <v>2</v>
      </c>
    </row>
    <row r="3110" spans="1:5" x14ac:dyDescent="0.25">
      <c r="A3110" s="173" t="s">
        <v>468</v>
      </c>
      <c r="B3110">
        <v>26571</v>
      </c>
      <c r="C3110" s="173" t="s">
        <v>4062</v>
      </c>
      <c r="D3110" s="173" t="s">
        <v>470</v>
      </c>
      <c r="E3110">
        <v>2</v>
      </c>
    </row>
    <row r="3111" spans="1:5" x14ac:dyDescent="0.25">
      <c r="A3111" s="173" t="s">
        <v>468</v>
      </c>
      <c r="B3111">
        <v>26571</v>
      </c>
      <c r="C3111" s="173" t="s">
        <v>4063</v>
      </c>
      <c r="D3111" s="173" t="s">
        <v>470</v>
      </c>
      <c r="E3111">
        <v>2</v>
      </c>
    </row>
    <row r="3112" spans="1:5" x14ac:dyDescent="0.25">
      <c r="A3112" s="173" t="s">
        <v>468</v>
      </c>
      <c r="B3112">
        <v>26571</v>
      </c>
      <c r="C3112" s="173" t="s">
        <v>4064</v>
      </c>
      <c r="D3112" s="173" t="s">
        <v>470</v>
      </c>
      <c r="E3112">
        <v>2</v>
      </c>
    </row>
    <row r="3113" spans="1:5" x14ac:dyDescent="0.25">
      <c r="A3113" s="173" t="s">
        <v>468</v>
      </c>
      <c r="B3113">
        <v>26571</v>
      </c>
      <c r="C3113" s="173" t="s">
        <v>4065</v>
      </c>
      <c r="D3113" s="173" t="s">
        <v>470</v>
      </c>
      <c r="E3113">
        <v>2</v>
      </c>
    </row>
    <row r="3114" spans="1:5" x14ac:dyDescent="0.25">
      <c r="A3114" s="173" t="s">
        <v>468</v>
      </c>
      <c r="B3114">
        <v>26571</v>
      </c>
      <c r="C3114" s="173" t="s">
        <v>4066</v>
      </c>
      <c r="D3114" s="173" t="s">
        <v>470</v>
      </c>
      <c r="E3114">
        <v>2</v>
      </c>
    </row>
    <row r="3115" spans="1:5" x14ac:dyDescent="0.25">
      <c r="A3115" s="173" t="s">
        <v>468</v>
      </c>
      <c r="B3115">
        <v>26571</v>
      </c>
      <c r="C3115" s="173" t="s">
        <v>4067</v>
      </c>
      <c r="D3115" s="173" t="s">
        <v>470</v>
      </c>
      <c r="E3115">
        <v>2</v>
      </c>
    </row>
    <row r="3116" spans="1:5" x14ac:dyDescent="0.25">
      <c r="A3116" s="173" t="s">
        <v>468</v>
      </c>
      <c r="B3116">
        <v>26571</v>
      </c>
      <c r="C3116" s="173" t="s">
        <v>4068</v>
      </c>
      <c r="D3116" s="173" t="s">
        <v>470</v>
      </c>
      <c r="E3116">
        <v>2</v>
      </c>
    </row>
    <row r="3117" spans="1:5" x14ac:dyDescent="0.25">
      <c r="A3117" s="173" t="s">
        <v>468</v>
      </c>
      <c r="B3117">
        <v>26571</v>
      </c>
      <c r="C3117" s="173" t="s">
        <v>4069</v>
      </c>
      <c r="D3117" s="173" t="s">
        <v>470</v>
      </c>
      <c r="E3117">
        <v>2</v>
      </c>
    </row>
    <row r="3118" spans="1:5" x14ac:dyDescent="0.25">
      <c r="A3118" s="173" t="s">
        <v>468</v>
      </c>
      <c r="B3118">
        <v>26571</v>
      </c>
      <c r="C3118" s="173" t="s">
        <v>4070</v>
      </c>
      <c r="D3118" s="173" t="s">
        <v>470</v>
      </c>
      <c r="E3118">
        <v>2</v>
      </c>
    </row>
    <row r="3119" spans="1:5" x14ac:dyDescent="0.25">
      <c r="A3119" s="173" t="s">
        <v>468</v>
      </c>
      <c r="B3119">
        <v>26571</v>
      </c>
      <c r="C3119" s="173" t="s">
        <v>4071</v>
      </c>
      <c r="D3119" s="173" t="s">
        <v>470</v>
      </c>
      <c r="E3119">
        <v>2</v>
      </c>
    </row>
    <row r="3120" spans="1:5" x14ac:dyDescent="0.25">
      <c r="A3120" s="173" t="s">
        <v>468</v>
      </c>
      <c r="B3120">
        <v>26571</v>
      </c>
      <c r="C3120" s="173" t="s">
        <v>4072</v>
      </c>
      <c r="D3120" s="173" t="s">
        <v>470</v>
      </c>
      <c r="E3120">
        <v>2</v>
      </c>
    </row>
    <row r="3121" spans="1:5" x14ac:dyDescent="0.25">
      <c r="A3121" s="173" t="s">
        <v>468</v>
      </c>
      <c r="B3121">
        <v>26571</v>
      </c>
      <c r="C3121" s="173" t="s">
        <v>4073</v>
      </c>
      <c r="D3121" s="173" t="s">
        <v>470</v>
      </c>
      <c r="E3121">
        <v>2</v>
      </c>
    </row>
    <row r="3122" spans="1:5" x14ac:dyDescent="0.25">
      <c r="A3122" s="173" t="s">
        <v>468</v>
      </c>
      <c r="B3122">
        <v>26571</v>
      </c>
      <c r="C3122" s="173" t="s">
        <v>4074</v>
      </c>
      <c r="D3122" s="173" t="s">
        <v>470</v>
      </c>
      <c r="E3122">
        <v>2</v>
      </c>
    </row>
    <row r="3123" spans="1:5" x14ac:dyDescent="0.25">
      <c r="A3123" s="173" t="s">
        <v>468</v>
      </c>
      <c r="B3123">
        <v>26571</v>
      </c>
      <c r="C3123" s="173" t="s">
        <v>4075</v>
      </c>
      <c r="D3123" s="173" t="s">
        <v>470</v>
      </c>
      <c r="E3123">
        <v>2</v>
      </c>
    </row>
    <row r="3124" spans="1:5" x14ac:dyDescent="0.25">
      <c r="A3124" s="173" t="s">
        <v>468</v>
      </c>
      <c r="B3124">
        <v>26571</v>
      </c>
      <c r="C3124" s="173" t="s">
        <v>4076</v>
      </c>
      <c r="D3124" s="173" t="s">
        <v>470</v>
      </c>
      <c r="E3124">
        <v>2</v>
      </c>
    </row>
    <row r="3125" spans="1:5" x14ac:dyDescent="0.25">
      <c r="A3125" s="173" t="s">
        <v>468</v>
      </c>
      <c r="B3125">
        <v>26571</v>
      </c>
      <c r="C3125" s="173" t="s">
        <v>4077</v>
      </c>
      <c r="D3125" s="173" t="s">
        <v>470</v>
      </c>
      <c r="E3125">
        <v>2</v>
      </c>
    </row>
    <row r="3126" spans="1:5" x14ac:dyDescent="0.25">
      <c r="A3126" s="173" t="s">
        <v>468</v>
      </c>
      <c r="B3126">
        <v>26571</v>
      </c>
      <c r="C3126" s="173" t="s">
        <v>4078</v>
      </c>
      <c r="D3126" s="173" t="s">
        <v>470</v>
      </c>
      <c r="E3126">
        <v>2</v>
      </c>
    </row>
    <row r="3127" spans="1:5" x14ac:dyDescent="0.25">
      <c r="A3127" s="173" t="s">
        <v>468</v>
      </c>
      <c r="B3127">
        <v>26571</v>
      </c>
      <c r="C3127" s="173" t="s">
        <v>4079</v>
      </c>
      <c r="D3127" s="173" t="s">
        <v>470</v>
      </c>
      <c r="E3127">
        <v>2</v>
      </c>
    </row>
    <row r="3128" spans="1:5" x14ac:dyDescent="0.25">
      <c r="A3128" s="173" t="s">
        <v>468</v>
      </c>
      <c r="B3128">
        <v>26571</v>
      </c>
      <c r="C3128" s="173" t="s">
        <v>4080</v>
      </c>
      <c r="D3128" s="173" t="s">
        <v>470</v>
      </c>
      <c r="E3128">
        <v>3</v>
      </c>
    </row>
    <row r="3129" spans="1:5" x14ac:dyDescent="0.25">
      <c r="A3129" s="173" t="s">
        <v>468</v>
      </c>
      <c r="B3129">
        <v>26571</v>
      </c>
      <c r="C3129" s="173" t="s">
        <v>4081</v>
      </c>
      <c r="D3129" s="173" t="s">
        <v>470</v>
      </c>
      <c r="E3129">
        <v>3</v>
      </c>
    </row>
    <row r="3130" spans="1:5" x14ac:dyDescent="0.25">
      <c r="A3130" s="173" t="s">
        <v>468</v>
      </c>
      <c r="B3130">
        <v>26571</v>
      </c>
      <c r="C3130" s="173" t="s">
        <v>4082</v>
      </c>
      <c r="D3130" s="173" t="s">
        <v>470</v>
      </c>
      <c r="E3130">
        <v>3</v>
      </c>
    </row>
    <row r="3131" spans="1:5" x14ac:dyDescent="0.25">
      <c r="A3131" s="173" t="s">
        <v>468</v>
      </c>
      <c r="B3131">
        <v>26571</v>
      </c>
      <c r="C3131" s="173" t="s">
        <v>4083</v>
      </c>
      <c r="D3131" s="173" t="s">
        <v>470</v>
      </c>
      <c r="E3131">
        <v>2</v>
      </c>
    </row>
    <row r="3132" spans="1:5" x14ac:dyDescent="0.25">
      <c r="A3132" s="173" t="s">
        <v>468</v>
      </c>
      <c r="B3132">
        <v>26571</v>
      </c>
      <c r="C3132" s="173" t="s">
        <v>4084</v>
      </c>
      <c r="D3132" s="173" t="s">
        <v>470</v>
      </c>
      <c r="E3132">
        <v>2</v>
      </c>
    </row>
    <row r="3133" spans="1:5" x14ac:dyDescent="0.25">
      <c r="A3133" s="173" t="s">
        <v>468</v>
      </c>
      <c r="B3133">
        <v>26571</v>
      </c>
      <c r="C3133" s="173" t="s">
        <v>4085</v>
      </c>
      <c r="D3133" s="173" t="s">
        <v>470</v>
      </c>
      <c r="E3133">
        <v>2</v>
      </c>
    </row>
    <row r="3134" spans="1:5" x14ac:dyDescent="0.25">
      <c r="A3134" s="173" t="s">
        <v>468</v>
      </c>
      <c r="B3134">
        <v>26571</v>
      </c>
      <c r="C3134" s="173" t="s">
        <v>4086</v>
      </c>
      <c r="D3134" s="173" t="s">
        <v>470</v>
      </c>
      <c r="E3134">
        <v>3</v>
      </c>
    </row>
    <row r="3135" spans="1:5" x14ac:dyDescent="0.25">
      <c r="A3135" s="173" t="s">
        <v>468</v>
      </c>
      <c r="B3135">
        <v>26571</v>
      </c>
      <c r="C3135" s="173" t="s">
        <v>4087</v>
      </c>
      <c r="D3135" s="173" t="s">
        <v>470</v>
      </c>
      <c r="E3135">
        <v>3</v>
      </c>
    </row>
    <row r="3136" spans="1:5" x14ac:dyDescent="0.25">
      <c r="A3136" s="173" t="s">
        <v>468</v>
      </c>
      <c r="B3136">
        <v>26571</v>
      </c>
      <c r="C3136" s="173" t="s">
        <v>4088</v>
      </c>
      <c r="D3136" s="173" t="s">
        <v>470</v>
      </c>
      <c r="E3136">
        <v>4</v>
      </c>
    </row>
    <row r="3137" spans="1:5" x14ac:dyDescent="0.25">
      <c r="A3137" s="173" t="s">
        <v>468</v>
      </c>
      <c r="B3137">
        <v>26571</v>
      </c>
      <c r="C3137" s="173" t="s">
        <v>4089</v>
      </c>
      <c r="D3137" s="173" t="s">
        <v>470</v>
      </c>
      <c r="E3137">
        <v>3</v>
      </c>
    </row>
    <row r="3138" spans="1:5" x14ac:dyDescent="0.25">
      <c r="A3138" s="173" t="s">
        <v>468</v>
      </c>
      <c r="B3138">
        <v>26571</v>
      </c>
      <c r="C3138" s="173" t="s">
        <v>4090</v>
      </c>
      <c r="D3138" s="173" t="s">
        <v>470</v>
      </c>
      <c r="E3138">
        <v>3</v>
      </c>
    </row>
    <row r="3139" spans="1:5" x14ac:dyDescent="0.25">
      <c r="A3139" s="173" t="s">
        <v>468</v>
      </c>
      <c r="B3139">
        <v>26571</v>
      </c>
      <c r="C3139" s="173" t="s">
        <v>4091</v>
      </c>
      <c r="D3139" s="173" t="s">
        <v>470</v>
      </c>
      <c r="E3139">
        <v>3</v>
      </c>
    </row>
    <row r="3140" spans="1:5" x14ac:dyDescent="0.25">
      <c r="A3140" s="173" t="s">
        <v>468</v>
      </c>
      <c r="B3140">
        <v>26571</v>
      </c>
      <c r="C3140" s="173" t="s">
        <v>4092</v>
      </c>
      <c r="D3140" s="173" t="s">
        <v>470</v>
      </c>
      <c r="E3140">
        <v>3</v>
      </c>
    </row>
    <row r="3141" spans="1:5" x14ac:dyDescent="0.25">
      <c r="A3141" s="173" t="s">
        <v>468</v>
      </c>
      <c r="B3141">
        <v>26571</v>
      </c>
      <c r="C3141" s="173" t="s">
        <v>4093</v>
      </c>
      <c r="D3141" s="173" t="s">
        <v>470</v>
      </c>
      <c r="E3141">
        <v>3</v>
      </c>
    </row>
    <row r="3142" spans="1:5" x14ac:dyDescent="0.25">
      <c r="A3142" s="173" t="s">
        <v>468</v>
      </c>
      <c r="B3142">
        <v>26571</v>
      </c>
      <c r="C3142" s="173" t="s">
        <v>4094</v>
      </c>
      <c r="D3142" s="173" t="s">
        <v>470</v>
      </c>
      <c r="E3142">
        <v>3</v>
      </c>
    </row>
    <row r="3143" spans="1:5" x14ac:dyDescent="0.25">
      <c r="A3143" s="173" t="s">
        <v>468</v>
      </c>
      <c r="B3143">
        <v>26571</v>
      </c>
      <c r="C3143" s="173" t="s">
        <v>4095</v>
      </c>
      <c r="D3143" s="173" t="s">
        <v>470</v>
      </c>
      <c r="E3143">
        <v>3</v>
      </c>
    </row>
    <row r="3144" spans="1:5" x14ac:dyDescent="0.25">
      <c r="A3144" s="173" t="s">
        <v>468</v>
      </c>
      <c r="B3144">
        <v>26571</v>
      </c>
      <c r="C3144" s="173" t="s">
        <v>4096</v>
      </c>
      <c r="D3144" s="173" t="s">
        <v>470</v>
      </c>
      <c r="E3144">
        <v>3</v>
      </c>
    </row>
    <row r="3145" spans="1:5" x14ac:dyDescent="0.25">
      <c r="A3145" s="173" t="s">
        <v>468</v>
      </c>
      <c r="B3145">
        <v>26571</v>
      </c>
      <c r="C3145" s="173" t="s">
        <v>4097</v>
      </c>
      <c r="D3145" s="173" t="s">
        <v>470</v>
      </c>
      <c r="E3145">
        <v>3</v>
      </c>
    </row>
    <row r="3146" spans="1:5" x14ac:dyDescent="0.25">
      <c r="A3146" s="173" t="s">
        <v>468</v>
      </c>
      <c r="B3146">
        <v>26571</v>
      </c>
      <c r="C3146" s="173" t="s">
        <v>4098</v>
      </c>
      <c r="D3146" s="173" t="s">
        <v>470</v>
      </c>
      <c r="E3146">
        <v>3</v>
      </c>
    </row>
    <row r="3147" spans="1:5" x14ac:dyDescent="0.25">
      <c r="A3147" s="173" t="s">
        <v>468</v>
      </c>
      <c r="B3147">
        <v>26571</v>
      </c>
      <c r="C3147" s="173" t="s">
        <v>4099</v>
      </c>
      <c r="D3147" s="173" t="s">
        <v>470</v>
      </c>
      <c r="E3147">
        <v>3</v>
      </c>
    </row>
    <row r="3148" spans="1:5" x14ac:dyDescent="0.25">
      <c r="A3148" s="173" t="s">
        <v>468</v>
      </c>
      <c r="B3148">
        <v>26571</v>
      </c>
      <c r="C3148" s="173" t="s">
        <v>4100</v>
      </c>
      <c r="D3148" s="173" t="s">
        <v>470</v>
      </c>
      <c r="E3148">
        <v>3</v>
      </c>
    </row>
    <row r="3149" spans="1:5" x14ac:dyDescent="0.25">
      <c r="A3149" s="173" t="s">
        <v>468</v>
      </c>
      <c r="B3149">
        <v>26571</v>
      </c>
      <c r="C3149" s="173" t="s">
        <v>4101</v>
      </c>
      <c r="D3149" s="173" t="s">
        <v>470</v>
      </c>
      <c r="E3149">
        <v>3</v>
      </c>
    </row>
    <row r="3150" spans="1:5" x14ac:dyDescent="0.25">
      <c r="A3150" s="173" t="s">
        <v>468</v>
      </c>
      <c r="B3150">
        <v>26571</v>
      </c>
      <c r="C3150" s="173" t="s">
        <v>4102</v>
      </c>
      <c r="D3150" s="173" t="s">
        <v>470</v>
      </c>
      <c r="E3150">
        <v>3</v>
      </c>
    </row>
    <row r="3151" spans="1:5" x14ac:dyDescent="0.25">
      <c r="A3151" s="173" t="s">
        <v>468</v>
      </c>
      <c r="B3151">
        <v>26571</v>
      </c>
      <c r="C3151" s="173" t="s">
        <v>4103</v>
      </c>
      <c r="D3151" s="173" t="s">
        <v>470</v>
      </c>
      <c r="E3151">
        <v>3</v>
      </c>
    </row>
    <row r="3152" spans="1:5" x14ac:dyDescent="0.25">
      <c r="A3152" s="173" t="s">
        <v>468</v>
      </c>
      <c r="B3152">
        <v>26571</v>
      </c>
      <c r="C3152" s="173" t="s">
        <v>4104</v>
      </c>
      <c r="D3152" s="173" t="s">
        <v>470</v>
      </c>
      <c r="E3152">
        <v>3</v>
      </c>
    </row>
    <row r="3153" spans="1:5" x14ac:dyDescent="0.25">
      <c r="A3153" s="173" t="s">
        <v>468</v>
      </c>
      <c r="B3153">
        <v>26571</v>
      </c>
      <c r="C3153" s="173" t="s">
        <v>4105</v>
      </c>
      <c r="D3153" s="173" t="s">
        <v>470</v>
      </c>
      <c r="E3153">
        <v>3</v>
      </c>
    </row>
    <row r="3154" spans="1:5" x14ac:dyDescent="0.25">
      <c r="A3154" s="173" t="s">
        <v>468</v>
      </c>
      <c r="B3154">
        <v>26571</v>
      </c>
      <c r="C3154" s="173" t="s">
        <v>4106</v>
      </c>
      <c r="D3154" s="173" t="s">
        <v>470</v>
      </c>
      <c r="E3154">
        <v>3</v>
      </c>
    </row>
    <row r="3155" spans="1:5" x14ac:dyDescent="0.25">
      <c r="A3155" s="173" t="s">
        <v>468</v>
      </c>
      <c r="B3155">
        <v>26571</v>
      </c>
      <c r="C3155" s="173" t="s">
        <v>4107</v>
      </c>
      <c r="D3155" s="173" t="s">
        <v>470</v>
      </c>
      <c r="E3155">
        <v>4</v>
      </c>
    </row>
    <row r="3156" spans="1:5" x14ac:dyDescent="0.25">
      <c r="A3156" s="173" t="s">
        <v>468</v>
      </c>
      <c r="B3156">
        <v>26571</v>
      </c>
      <c r="C3156" s="173" t="s">
        <v>4108</v>
      </c>
      <c r="D3156" s="173" t="s">
        <v>470</v>
      </c>
      <c r="E3156">
        <v>4</v>
      </c>
    </row>
    <row r="3157" spans="1:5" x14ac:dyDescent="0.25">
      <c r="A3157" s="173" t="s">
        <v>468</v>
      </c>
      <c r="B3157">
        <v>26571</v>
      </c>
      <c r="C3157" s="173" t="s">
        <v>4109</v>
      </c>
      <c r="D3157" s="173" t="s">
        <v>470</v>
      </c>
      <c r="E3157">
        <v>3</v>
      </c>
    </row>
    <row r="3158" spans="1:5" x14ac:dyDescent="0.25">
      <c r="A3158" s="173" t="s">
        <v>468</v>
      </c>
      <c r="B3158">
        <v>26571</v>
      </c>
      <c r="C3158" s="173" t="s">
        <v>4110</v>
      </c>
      <c r="D3158" s="173" t="s">
        <v>470</v>
      </c>
      <c r="E3158">
        <v>3</v>
      </c>
    </row>
    <row r="3159" spans="1:5" x14ac:dyDescent="0.25">
      <c r="A3159" s="173" t="s">
        <v>468</v>
      </c>
      <c r="B3159">
        <v>26571</v>
      </c>
      <c r="C3159" s="173" t="s">
        <v>4111</v>
      </c>
      <c r="D3159" s="173" t="s">
        <v>470</v>
      </c>
      <c r="E3159">
        <v>3</v>
      </c>
    </row>
    <row r="3160" spans="1:5" x14ac:dyDescent="0.25">
      <c r="A3160" s="173" t="s">
        <v>468</v>
      </c>
      <c r="B3160">
        <v>26571</v>
      </c>
      <c r="C3160" s="173" t="s">
        <v>4112</v>
      </c>
      <c r="D3160" s="173" t="s">
        <v>470</v>
      </c>
      <c r="E3160">
        <v>5</v>
      </c>
    </row>
    <row r="3161" spans="1:5" x14ac:dyDescent="0.25">
      <c r="A3161" s="173" t="s">
        <v>468</v>
      </c>
      <c r="B3161">
        <v>26571</v>
      </c>
      <c r="C3161" s="173" t="s">
        <v>4113</v>
      </c>
      <c r="D3161" s="173" t="s">
        <v>470</v>
      </c>
      <c r="E3161">
        <v>4</v>
      </c>
    </row>
    <row r="3162" spans="1:5" x14ac:dyDescent="0.25">
      <c r="A3162" s="173" t="s">
        <v>468</v>
      </c>
      <c r="B3162">
        <v>26571</v>
      </c>
      <c r="C3162" s="173" t="s">
        <v>4114</v>
      </c>
      <c r="D3162" s="173" t="s">
        <v>470</v>
      </c>
      <c r="E3162">
        <v>5</v>
      </c>
    </row>
    <row r="3163" spans="1:5" x14ac:dyDescent="0.25">
      <c r="A3163" s="173" t="s">
        <v>468</v>
      </c>
      <c r="B3163">
        <v>26571</v>
      </c>
      <c r="C3163" s="173" t="s">
        <v>4115</v>
      </c>
      <c r="D3163" s="173" t="s">
        <v>470</v>
      </c>
      <c r="E3163">
        <v>4</v>
      </c>
    </row>
    <row r="3164" spans="1:5" x14ac:dyDescent="0.25">
      <c r="A3164" s="173" t="s">
        <v>468</v>
      </c>
      <c r="B3164">
        <v>26571</v>
      </c>
      <c r="C3164" s="173" t="s">
        <v>4116</v>
      </c>
      <c r="D3164" s="173" t="s">
        <v>470</v>
      </c>
      <c r="E3164">
        <v>3</v>
      </c>
    </row>
    <row r="3165" spans="1:5" x14ac:dyDescent="0.25">
      <c r="A3165" s="173" t="s">
        <v>468</v>
      </c>
      <c r="B3165">
        <v>26571</v>
      </c>
      <c r="C3165" s="173" t="s">
        <v>4117</v>
      </c>
      <c r="D3165" s="173" t="s">
        <v>470</v>
      </c>
      <c r="E3165">
        <v>3</v>
      </c>
    </row>
    <row r="3166" spans="1:5" x14ac:dyDescent="0.25">
      <c r="A3166" s="173" t="s">
        <v>468</v>
      </c>
      <c r="B3166">
        <v>26571</v>
      </c>
      <c r="C3166" s="173" t="s">
        <v>4118</v>
      </c>
      <c r="D3166" s="173" t="s">
        <v>470</v>
      </c>
      <c r="E3166">
        <v>3</v>
      </c>
    </row>
    <row r="3167" spans="1:5" x14ac:dyDescent="0.25">
      <c r="A3167" s="173" t="s">
        <v>468</v>
      </c>
      <c r="B3167">
        <v>26571</v>
      </c>
      <c r="C3167" s="173" t="s">
        <v>4119</v>
      </c>
      <c r="D3167" s="173" t="s">
        <v>470</v>
      </c>
      <c r="E3167">
        <v>3</v>
      </c>
    </row>
    <row r="3168" spans="1:5" x14ac:dyDescent="0.25">
      <c r="A3168" s="173" t="s">
        <v>468</v>
      </c>
      <c r="B3168">
        <v>26571</v>
      </c>
      <c r="C3168" s="173" t="s">
        <v>4120</v>
      </c>
      <c r="D3168" s="173" t="s">
        <v>470</v>
      </c>
      <c r="E3168">
        <v>3</v>
      </c>
    </row>
    <row r="3169" spans="1:5" x14ac:dyDescent="0.25">
      <c r="A3169" s="173" t="s">
        <v>468</v>
      </c>
      <c r="B3169">
        <v>26571</v>
      </c>
      <c r="C3169" s="173" t="s">
        <v>4121</v>
      </c>
      <c r="D3169" s="173" t="s">
        <v>470</v>
      </c>
      <c r="E3169">
        <v>3</v>
      </c>
    </row>
    <row r="3170" spans="1:5" x14ac:dyDescent="0.25">
      <c r="A3170" s="173" t="s">
        <v>468</v>
      </c>
      <c r="B3170">
        <v>26571</v>
      </c>
      <c r="C3170" s="173" t="s">
        <v>4122</v>
      </c>
      <c r="D3170" s="173" t="s">
        <v>470</v>
      </c>
      <c r="E3170">
        <v>4</v>
      </c>
    </row>
    <row r="3171" spans="1:5" x14ac:dyDescent="0.25">
      <c r="A3171" s="173" t="s">
        <v>468</v>
      </c>
      <c r="B3171">
        <v>26571</v>
      </c>
      <c r="C3171" s="173" t="s">
        <v>3503</v>
      </c>
      <c r="D3171" s="173" t="s">
        <v>470</v>
      </c>
      <c r="E3171">
        <v>4</v>
      </c>
    </row>
    <row r="3172" spans="1:5" x14ac:dyDescent="0.25">
      <c r="A3172" s="173" t="s">
        <v>468</v>
      </c>
      <c r="B3172">
        <v>26571</v>
      </c>
      <c r="C3172" s="173" t="s">
        <v>4123</v>
      </c>
      <c r="D3172" s="173" t="s">
        <v>470</v>
      </c>
      <c r="E3172">
        <v>4</v>
      </c>
    </row>
    <row r="3173" spans="1:5" x14ac:dyDescent="0.25">
      <c r="A3173" s="173" t="s">
        <v>468</v>
      </c>
      <c r="B3173">
        <v>26571</v>
      </c>
      <c r="C3173" s="173" t="s">
        <v>4124</v>
      </c>
      <c r="D3173" s="173" t="s">
        <v>470</v>
      </c>
      <c r="E3173">
        <v>3</v>
      </c>
    </row>
    <row r="3174" spans="1:5" x14ac:dyDescent="0.25">
      <c r="A3174" s="173" t="s">
        <v>468</v>
      </c>
      <c r="B3174">
        <v>26571</v>
      </c>
      <c r="C3174" s="173" t="s">
        <v>4125</v>
      </c>
      <c r="D3174" s="173" t="s">
        <v>470</v>
      </c>
      <c r="E3174">
        <v>3</v>
      </c>
    </row>
    <row r="3175" spans="1:5" x14ac:dyDescent="0.25">
      <c r="A3175" s="173" t="s">
        <v>468</v>
      </c>
      <c r="B3175">
        <v>26603</v>
      </c>
      <c r="C3175" s="173" t="s">
        <v>3777</v>
      </c>
      <c r="D3175" s="173" t="s">
        <v>470</v>
      </c>
      <c r="E3175">
        <v>1</v>
      </c>
    </row>
    <row r="3176" spans="1:5" x14ac:dyDescent="0.25">
      <c r="A3176" s="173" t="s">
        <v>468</v>
      </c>
      <c r="B3176">
        <v>26622</v>
      </c>
      <c r="C3176" s="173" t="s">
        <v>2572</v>
      </c>
      <c r="D3176" s="173" t="s">
        <v>470</v>
      </c>
      <c r="E3176">
        <v>2</v>
      </c>
    </row>
    <row r="3177" spans="1:5" x14ac:dyDescent="0.25">
      <c r="A3177" s="173" t="s">
        <v>468</v>
      </c>
      <c r="B3177">
        <v>26622</v>
      </c>
      <c r="C3177" s="173" t="s">
        <v>2573</v>
      </c>
      <c r="D3177" s="173" t="s">
        <v>470</v>
      </c>
      <c r="E3177">
        <v>2</v>
      </c>
    </row>
    <row r="3178" spans="1:5" x14ac:dyDescent="0.25">
      <c r="A3178" s="173" t="s">
        <v>468</v>
      </c>
      <c r="B3178">
        <v>26622</v>
      </c>
      <c r="C3178" s="173" t="s">
        <v>2574</v>
      </c>
      <c r="D3178" s="173" t="s">
        <v>470</v>
      </c>
      <c r="E3178">
        <v>2</v>
      </c>
    </row>
    <row r="3179" spans="1:5" x14ac:dyDescent="0.25">
      <c r="A3179" s="173" t="s">
        <v>468</v>
      </c>
      <c r="B3179">
        <v>26622</v>
      </c>
      <c r="C3179" s="173" t="s">
        <v>2575</v>
      </c>
      <c r="D3179" s="173" t="s">
        <v>470</v>
      </c>
      <c r="E3179">
        <v>2</v>
      </c>
    </row>
    <row r="3180" spans="1:5" x14ac:dyDescent="0.25">
      <c r="A3180" s="173" t="s">
        <v>468</v>
      </c>
      <c r="B3180">
        <v>26622</v>
      </c>
      <c r="C3180" s="173" t="s">
        <v>2576</v>
      </c>
      <c r="D3180" s="173" t="s">
        <v>470</v>
      </c>
      <c r="E3180">
        <v>2</v>
      </c>
    </row>
    <row r="3181" spans="1:5" x14ac:dyDescent="0.25">
      <c r="A3181" s="173" t="s">
        <v>468</v>
      </c>
      <c r="B3181">
        <v>26622</v>
      </c>
      <c r="C3181" s="173" t="s">
        <v>2577</v>
      </c>
      <c r="D3181" s="173" t="s">
        <v>470</v>
      </c>
      <c r="E3181">
        <v>2</v>
      </c>
    </row>
    <row r="3182" spans="1:5" x14ac:dyDescent="0.25">
      <c r="A3182" s="173" t="s">
        <v>468</v>
      </c>
      <c r="B3182">
        <v>26622</v>
      </c>
      <c r="C3182" s="173" t="s">
        <v>2578</v>
      </c>
      <c r="D3182" s="173" t="s">
        <v>470</v>
      </c>
      <c r="E3182">
        <v>2</v>
      </c>
    </row>
    <row r="3183" spans="1:5" x14ac:dyDescent="0.25">
      <c r="A3183" s="173" t="s">
        <v>468</v>
      </c>
      <c r="B3183">
        <v>26622</v>
      </c>
      <c r="C3183" s="173" t="s">
        <v>2579</v>
      </c>
      <c r="D3183" s="173" t="s">
        <v>470</v>
      </c>
      <c r="E3183">
        <v>2</v>
      </c>
    </row>
    <row r="3184" spans="1:5" x14ac:dyDescent="0.25">
      <c r="A3184" s="173" t="s">
        <v>468</v>
      </c>
      <c r="B3184">
        <v>26622</v>
      </c>
      <c r="C3184" s="173" t="s">
        <v>2580</v>
      </c>
      <c r="D3184" s="173" t="s">
        <v>470</v>
      </c>
      <c r="E3184">
        <v>2</v>
      </c>
    </row>
    <row r="3185" spans="1:5" x14ac:dyDescent="0.25">
      <c r="A3185" s="173" t="s">
        <v>468</v>
      </c>
      <c r="B3185">
        <v>26622</v>
      </c>
      <c r="C3185" s="173" t="s">
        <v>2581</v>
      </c>
      <c r="D3185" s="173" t="s">
        <v>470</v>
      </c>
      <c r="E3185">
        <v>2</v>
      </c>
    </row>
    <row r="3186" spans="1:5" x14ac:dyDescent="0.25">
      <c r="A3186" s="173" t="s">
        <v>468</v>
      </c>
      <c r="B3186">
        <v>26622</v>
      </c>
      <c r="C3186" s="173" t="s">
        <v>2582</v>
      </c>
      <c r="D3186" s="173" t="s">
        <v>470</v>
      </c>
      <c r="E3186">
        <v>2</v>
      </c>
    </row>
    <row r="3187" spans="1:5" x14ac:dyDescent="0.25">
      <c r="A3187" s="173" t="s">
        <v>468</v>
      </c>
      <c r="B3187">
        <v>26622</v>
      </c>
      <c r="C3187" s="173" t="s">
        <v>2583</v>
      </c>
      <c r="D3187" s="173" t="s">
        <v>470</v>
      </c>
      <c r="E3187">
        <v>2</v>
      </c>
    </row>
    <row r="3188" spans="1:5" x14ac:dyDescent="0.25">
      <c r="A3188" s="173" t="s">
        <v>468</v>
      </c>
      <c r="B3188">
        <v>26622</v>
      </c>
      <c r="C3188" s="173" t="s">
        <v>2584</v>
      </c>
      <c r="D3188" s="173" t="s">
        <v>470</v>
      </c>
      <c r="E3188">
        <v>2</v>
      </c>
    </row>
    <row r="3189" spans="1:5" x14ac:dyDescent="0.25">
      <c r="A3189" s="173" t="s">
        <v>468</v>
      </c>
      <c r="B3189">
        <v>26622</v>
      </c>
      <c r="C3189" s="173" t="s">
        <v>2585</v>
      </c>
      <c r="D3189" s="173" t="s">
        <v>470</v>
      </c>
      <c r="E3189">
        <v>2</v>
      </c>
    </row>
    <row r="3190" spans="1:5" x14ac:dyDescent="0.25">
      <c r="A3190" s="173" t="s">
        <v>468</v>
      </c>
      <c r="B3190">
        <v>26622</v>
      </c>
      <c r="C3190" s="173" t="s">
        <v>2586</v>
      </c>
      <c r="D3190" s="173" t="s">
        <v>470</v>
      </c>
      <c r="E3190">
        <v>2</v>
      </c>
    </row>
    <row r="3191" spans="1:5" x14ac:dyDescent="0.25">
      <c r="A3191" s="173" t="s">
        <v>468</v>
      </c>
      <c r="B3191">
        <v>26622</v>
      </c>
      <c r="C3191" s="173" t="s">
        <v>2587</v>
      </c>
      <c r="D3191" s="173" t="s">
        <v>470</v>
      </c>
      <c r="E3191">
        <v>2</v>
      </c>
    </row>
    <row r="3192" spans="1:5" x14ac:dyDescent="0.25">
      <c r="A3192" s="173" t="s">
        <v>468</v>
      </c>
      <c r="B3192">
        <v>26622</v>
      </c>
      <c r="C3192" s="173" t="s">
        <v>2588</v>
      </c>
      <c r="D3192" s="173" t="s">
        <v>470</v>
      </c>
      <c r="E3192">
        <v>2</v>
      </c>
    </row>
    <row r="3193" spans="1:5" x14ac:dyDescent="0.25">
      <c r="A3193" s="173" t="s">
        <v>468</v>
      </c>
      <c r="B3193">
        <v>26622</v>
      </c>
      <c r="C3193" s="173" t="s">
        <v>2589</v>
      </c>
      <c r="D3193" s="173" t="s">
        <v>470</v>
      </c>
      <c r="E3193">
        <v>2</v>
      </c>
    </row>
    <row r="3194" spans="1:5" x14ac:dyDescent="0.25">
      <c r="A3194" s="173" t="s">
        <v>468</v>
      </c>
      <c r="B3194">
        <v>26622</v>
      </c>
      <c r="C3194" s="173" t="s">
        <v>2590</v>
      </c>
      <c r="D3194" s="173" t="s">
        <v>470</v>
      </c>
      <c r="E3194">
        <v>2</v>
      </c>
    </row>
    <row r="3195" spans="1:5" x14ac:dyDescent="0.25">
      <c r="A3195" s="173" t="s">
        <v>468</v>
      </c>
      <c r="B3195">
        <v>26622</v>
      </c>
      <c r="C3195" s="173" t="s">
        <v>2591</v>
      </c>
      <c r="D3195" s="173" t="s">
        <v>470</v>
      </c>
      <c r="E3195">
        <v>2</v>
      </c>
    </row>
    <row r="3196" spans="1:5" x14ac:dyDescent="0.25">
      <c r="A3196" s="173" t="s">
        <v>468</v>
      </c>
      <c r="B3196">
        <v>26622</v>
      </c>
      <c r="C3196" s="173" t="s">
        <v>2592</v>
      </c>
      <c r="D3196" s="173" t="s">
        <v>470</v>
      </c>
      <c r="E3196">
        <v>3</v>
      </c>
    </row>
    <row r="3197" spans="1:5" x14ac:dyDescent="0.25">
      <c r="A3197" s="173" t="s">
        <v>468</v>
      </c>
      <c r="B3197">
        <v>26622</v>
      </c>
      <c r="C3197" s="173" t="s">
        <v>2593</v>
      </c>
      <c r="D3197" s="173" t="s">
        <v>470</v>
      </c>
      <c r="E3197">
        <v>2</v>
      </c>
    </row>
    <row r="3198" spans="1:5" x14ac:dyDescent="0.25">
      <c r="A3198" s="173" t="s">
        <v>468</v>
      </c>
      <c r="B3198">
        <v>26622</v>
      </c>
      <c r="C3198" s="173" t="s">
        <v>2594</v>
      </c>
      <c r="D3198" s="173" t="s">
        <v>470</v>
      </c>
      <c r="E3198">
        <v>2</v>
      </c>
    </row>
    <row r="3199" spans="1:5" x14ac:dyDescent="0.25">
      <c r="A3199" s="173" t="s">
        <v>468</v>
      </c>
      <c r="B3199">
        <v>26622</v>
      </c>
      <c r="C3199" s="173" t="s">
        <v>2595</v>
      </c>
      <c r="D3199" s="173" t="s">
        <v>470</v>
      </c>
      <c r="E3199">
        <v>2</v>
      </c>
    </row>
    <row r="3200" spans="1:5" x14ac:dyDescent="0.25">
      <c r="A3200" s="173" t="s">
        <v>468</v>
      </c>
      <c r="B3200">
        <v>26622</v>
      </c>
      <c r="C3200" s="173" t="s">
        <v>2596</v>
      </c>
      <c r="D3200" s="173" t="s">
        <v>470</v>
      </c>
      <c r="E3200">
        <v>2</v>
      </c>
    </row>
    <row r="3201" spans="1:5" x14ac:dyDescent="0.25">
      <c r="A3201" s="173" t="s">
        <v>468</v>
      </c>
      <c r="B3201">
        <v>26622</v>
      </c>
      <c r="C3201" s="173" t="s">
        <v>2597</v>
      </c>
      <c r="D3201" s="173" t="s">
        <v>470</v>
      </c>
      <c r="E3201">
        <v>2</v>
      </c>
    </row>
    <row r="3202" spans="1:5" x14ac:dyDescent="0.25">
      <c r="A3202" s="173" t="s">
        <v>468</v>
      </c>
      <c r="B3202">
        <v>26622</v>
      </c>
      <c r="C3202" s="173" t="s">
        <v>2598</v>
      </c>
      <c r="D3202" s="173" t="s">
        <v>470</v>
      </c>
      <c r="E3202">
        <v>2</v>
      </c>
    </row>
    <row r="3203" spans="1:5" x14ac:dyDescent="0.25">
      <c r="A3203" s="173" t="s">
        <v>468</v>
      </c>
      <c r="B3203">
        <v>26622</v>
      </c>
      <c r="C3203" s="173" t="s">
        <v>2599</v>
      </c>
      <c r="D3203" s="173" t="s">
        <v>470</v>
      </c>
      <c r="E3203">
        <v>2</v>
      </c>
    </row>
    <row r="3204" spans="1:5" x14ac:dyDescent="0.25">
      <c r="A3204" s="173" t="s">
        <v>468</v>
      </c>
      <c r="B3204">
        <v>26622</v>
      </c>
      <c r="C3204" s="173" t="s">
        <v>2600</v>
      </c>
      <c r="D3204" s="173" t="s">
        <v>470</v>
      </c>
      <c r="E3204">
        <v>2</v>
      </c>
    </row>
    <row r="3205" spans="1:5" x14ac:dyDescent="0.25">
      <c r="A3205" s="173" t="s">
        <v>468</v>
      </c>
      <c r="B3205">
        <v>26622</v>
      </c>
      <c r="C3205" s="173" t="s">
        <v>2601</v>
      </c>
      <c r="D3205" s="173" t="s">
        <v>470</v>
      </c>
      <c r="E3205">
        <v>2</v>
      </c>
    </row>
    <row r="3206" spans="1:5" x14ac:dyDescent="0.25">
      <c r="A3206" s="173" t="s">
        <v>468</v>
      </c>
      <c r="B3206">
        <v>26622</v>
      </c>
      <c r="C3206" s="173" t="s">
        <v>2602</v>
      </c>
      <c r="D3206" s="173" t="s">
        <v>470</v>
      </c>
      <c r="E3206">
        <v>2</v>
      </c>
    </row>
    <row r="3207" spans="1:5" x14ac:dyDescent="0.25">
      <c r="A3207" s="173" t="s">
        <v>468</v>
      </c>
      <c r="B3207">
        <v>26622</v>
      </c>
      <c r="C3207" s="173" t="s">
        <v>2603</v>
      </c>
      <c r="D3207" s="173" t="s">
        <v>470</v>
      </c>
      <c r="E3207">
        <v>2</v>
      </c>
    </row>
    <row r="3208" spans="1:5" x14ac:dyDescent="0.25">
      <c r="A3208" s="173" t="s">
        <v>468</v>
      </c>
      <c r="B3208">
        <v>26622</v>
      </c>
      <c r="C3208" s="173" t="s">
        <v>2604</v>
      </c>
      <c r="D3208" s="173" t="s">
        <v>470</v>
      </c>
      <c r="E3208">
        <v>2</v>
      </c>
    </row>
    <row r="3209" spans="1:5" x14ac:dyDescent="0.25">
      <c r="A3209" s="173" t="s">
        <v>468</v>
      </c>
      <c r="B3209">
        <v>26622</v>
      </c>
      <c r="C3209" s="173" t="s">
        <v>2605</v>
      </c>
      <c r="D3209" s="173" t="s">
        <v>470</v>
      </c>
      <c r="E3209">
        <v>2</v>
      </c>
    </row>
    <row r="3210" spans="1:5" x14ac:dyDescent="0.25">
      <c r="A3210" s="173" t="s">
        <v>468</v>
      </c>
      <c r="B3210">
        <v>26622</v>
      </c>
      <c r="C3210" s="173" t="s">
        <v>2606</v>
      </c>
      <c r="D3210" s="173" t="s">
        <v>470</v>
      </c>
      <c r="E3210">
        <v>2</v>
      </c>
    </row>
    <row r="3211" spans="1:5" hidden="1" x14ac:dyDescent="0.25">
      <c r="A3211" s="173" t="s">
        <v>1668</v>
      </c>
      <c r="B3211">
        <v>26748</v>
      </c>
      <c r="C3211" s="173" t="s">
        <v>2533</v>
      </c>
      <c r="D3211" s="173" t="s">
        <v>470</v>
      </c>
      <c r="E3211">
        <v>1</v>
      </c>
    </row>
    <row r="3212" spans="1:5" hidden="1" x14ac:dyDescent="0.25">
      <c r="A3212" s="173" t="s">
        <v>1668</v>
      </c>
      <c r="B3212">
        <v>26748</v>
      </c>
      <c r="C3212" s="173" t="s">
        <v>2477</v>
      </c>
      <c r="D3212" s="173" t="s">
        <v>470</v>
      </c>
      <c r="E3212">
        <v>1</v>
      </c>
    </row>
    <row r="3213" spans="1:5" hidden="1" x14ac:dyDescent="0.25">
      <c r="A3213" s="173" t="s">
        <v>1668</v>
      </c>
      <c r="B3213">
        <v>26748</v>
      </c>
      <c r="C3213" s="173" t="s">
        <v>2537</v>
      </c>
      <c r="D3213" s="173" t="s">
        <v>470</v>
      </c>
      <c r="E3213">
        <v>1</v>
      </c>
    </row>
    <row r="3214" spans="1:5" hidden="1" x14ac:dyDescent="0.25">
      <c r="A3214" s="173" t="s">
        <v>1668</v>
      </c>
      <c r="B3214">
        <v>26748</v>
      </c>
      <c r="C3214" s="173" t="s">
        <v>617</v>
      </c>
      <c r="D3214" s="173" t="s">
        <v>470</v>
      </c>
      <c r="E3214">
        <v>1</v>
      </c>
    </row>
    <row r="3215" spans="1:5" hidden="1" x14ac:dyDescent="0.25">
      <c r="A3215" s="173" t="s">
        <v>1668</v>
      </c>
      <c r="B3215">
        <v>26748</v>
      </c>
      <c r="C3215" s="173" t="s">
        <v>2483</v>
      </c>
      <c r="D3215" s="173" t="s">
        <v>470</v>
      </c>
      <c r="E3215">
        <v>1</v>
      </c>
    </row>
    <row r="3216" spans="1:5" hidden="1" x14ac:dyDescent="0.25">
      <c r="A3216" s="173" t="s">
        <v>1668</v>
      </c>
      <c r="B3216">
        <v>26748</v>
      </c>
      <c r="C3216" s="173" t="s">
        <v>2484</v>
      </c>
      <c r="D3216" s="173" t="s">
        <v>470</v>
      </c>
      <c r="E3216">
        <v>1</v>
      </c>
    </row>
    <row r="3217" spans="1:5" hidden="1" x14ac:dyDescent="0.25">
      <c r="A3217" s="173" t="s">
        <v>1668</v>
      </c>
      <c r="B3217">
        <v>26748</v>
      </c>
      <c r="C3217" s="173" t="s">
        <v>4126</v>
      </c>
      <c r="D3217" s="173" t="s">
        <v>470</v>
      </c>
      <c r="E3217">
        <v>1</v>
      </c>
    </row>
    <row r="3218" spans="1:5" hidden="1" x14ac:dyDescent="0.25">
      <c r="A3218" s="173" t="s">
        <v>1668</v>
      </c>
      <c r="B3218">
        <v>26748</v>
      </c>
      <c r="C3218" s="173" t="s">
        <v>4127</v>
      </c>
      <c r="D3218" s="173" t="s">
        <v>470</v>
      </c>
      <c r="E3218">
        <v>1</v>
      </c>
    </row>
    <row r="3219" spans="1:5" hidden="1" x14ac:dyDescent="0.25">
      <c r="A3219" s="173" t="s">
        <v>1668</v>
      </c>
      <c r="B3219">
        <v>26748</v>
      </c>
      <c r="C3219" s="173" t="s">
        <v>4128</v>
      </c>
      <c r="D3219" s="173" t="s">
        <v>470</v>
      </c>
      <c r="E3219">
        <v>1</v>
      </c>
    </row>
    <row r="3220" spans="1:5" hidden="1" x14ac:dyDescent="0.25">
      <c r="A3220" s="173" t="s">
        <v>1668</v>
      </c>
      <c r="B3220">
        <v>26748</v>
      </c>
      <c r="C3220" s="173" t="s">
        <v>4129</v>
      </c>
      <c r="D3220" s="173" t="s">
        <v>470</v>
      </c>
      <c r="E3220">
        <v>1</v>
      </c>
    </row>
    <row r="3221" spans="1:5" hidden="1" x14ac:dyDescent="0.25">
      <c r="A3221" s="173" t="s">
        <v>1668</v>
      </c>
      <c r="B3221">
        <v>26748</v>
      </c>
      <c r="C3221" s="173" t="s">
        <v>4130</v>
      </c>
      <c r="D3221" s="173" t="s">
        <v>470</v>
      </c>
      <c r="E3221">
        <v>1</v>
      </c>
    </row>
    <row r="3222" spans="1:5" hidden="1" x14ac:dyDescent="0.25">
      <c r="A3222" s="173" t="s">
        <v>1668</v>
      </c>
      <c r="B3222">
        <v>26748</v>
      </c>
      <c r="C3222" s="173" t="s">
        <v>4131</v>
      </c>
      <c r="D3222" s="173" t="s">
        <v>470</v>
      </c>
      <c r="E3222">
        <v>1</v>
      </c>
    </row>
    <row r="3223" spans="1:5" hidden="1" x14ac:dyDescent="0.25">
      <c r="A3223" s="173" t="s">
        <v>1668</v>
      </c>
      <c r="B3223">
        <v>26748</v>
      </c>
      <c r="C3223" s="173" t="s">
        <v>4132</v>
      </c>
      <c r="D3223" s="173" t="s">
        <v>470</v>
      </c>
      <c r="E3223">
        <v>1</v>
      </c>
    </row>
    <row r="3224" spans="1:5" hidden="1" x14ac:dyDescent="0.25">
      <c r="A3224" s="173" t="s">
        <v>1668</v>
      </c>
      <c r="B3224">
        <v>26748</v>
      </c>
      <c r="C3224" s="173" t="s">
        <v>4133</v>
      </c>
      <c r="D3224" s="173" t="s">
        <v>470</v>
      </c>
      <c r="E3224">
        <v>1</v>
      </c>
    </row>
    <row r="3225" spans="1:5" hidden="1" x14ac:dyDescent="0.25">
      <c r="A3225" s="173" t="s">
        <v>1668</v>
      </c>
      <c r="B3225">
        <v>26748</v>
      </c>
      <c r="C3225" s="173" t="s">
        <v>4134</v>
      </c>
      <c r="D3225" s="173" t="s">
        <v>470</v>
      </c>
      <c r="E3225">
        <v>1</v>
      </c>
    </row>
    <row r="3226" spans="1:5" hidden="1" x14ac:dyDescent="0.25">
      <c r="A3226" s="173" t="s">
        <v>1668</v>
      </c>
      <c r="B3226">
        <v>26748</v>
      </c>
      <c r="C3226" s="173" t="s">
        <v>4135</v>
      </c>
      <c r="D3226" s="173" t="s">
        <v>470</v>
      </c>
      <c r="E3226">
        <v>1</v>
      </c>
    </row>
    <row r="3227" spans="1:5" hidden="1" x14ac:dyDescent="0.25">
      <c r="A3227" s="173" t="s">
        <v>1668</v>
      </c>
      <c r="B3227">
        <v>26748</v>
      </c>
      <c r="C3227" s="173" t="s">
        <v>4136</v>
      </c>
      <c r="D3227" s="173" t="s">
        <v>470</v>
      </c>
      <c r="E3227">
        <v>1</v>
      </c>
    </row>
    <row r="3228" spans="1:5" hidden="1" x14ac:dyDescent="0.25">
      <c r="A3228" s="173" t="s">
        <v>1668</v>
      </c>
      <c r="B3228">
        <v>26748</v>
      </c>
      <c r="C3228" s="173" t="s">
        <v>4137</v>
      </c>
      <c r="D3228" s="173" t="s">
        <v>470</v>
      </c>
      <c r="E3228">
        <v>1</v>
      </c>
    </row>
    <row r="3229" spans="1:5" hidden="1" x14ac:dyDescent="0.25">
      <c r="A3229" s="173" t="s">
        <v>1668</v>
      </c>
      <c r="B3229">
        <v>26748</v>
      </c>
      <c r="C3229" s="173" t="s">
        <v>4138</v>
      </c>
      <c r="D3229" s="173" t="s">
        <v>470</v>
      </c>
      <c r="E3229">
        <v>1</v>
      </c>
    </row>
    <row r="3230" spans="1:5" hidden="1" x14ac:dyDescent="0.25">
      <c r="A3230" s="173" t="s">
        <v>1668</v>
      </c>
      <c r="B3230">
        <v>26748</v>
      </c>
      <c r="C3230" s="173" t="s">
        <v>4139</v>
      </c>
      <c r="D3230" s="173" t="s">
        <v>470</v>
      </c>
      <c r="E3230">
        <v>1</v>
      </c>
    </row>
    <row r="3231" spans="1:5" hidden="1" x14ac:dyDescent="0.25">
      <c r="A3231" s="173" t="s">
        <v>1668</v>
      </c>
      <c r="B3231">
        <v>26748</v>
      </c>
      <c r="C3231" s="173" t="s">
        <v>4140</v>
      </c>
      <c r="D3231" s="173" t="s">
        <v>470</v>
      </c>
      <c r="E3231">
        <v>1</v>
      </c>
    </row>
    <row r="3232" spans="1:5" hidden="1" x14ac:dyDescent="0.25">
      <c r="A3232" s="173" t="s">
        <v>1668</v>
      </c>
      <c r="B3232">
        <v>26748</v>
      </c>
      <c r="C3232" s="173" t="s">
        <v>4141</v>
      </c>
      <c r="D3232" s="173" t="s">
        <v>470</v>
      </c>
      <c r="E3232">
        <v>1</v>
      </c>
    </row>
    <row r="3233" spans="1:5" hidden="1" x14ac:dyDescent="0.25">
      <c r="A3233" s="173" t="s">
        <v>1668</v>
      </c>
      <c r="B3233">
        <v>26748</v>
      </c>
      <c r="C3233" s="173" t="s">
        <v>4142</v>
      </c>
      <c r="D3233" s="173" t="s">
        <v>470</v>
      </c>
      <c r="E3233">
        <v>1</v>
      </c>
    </row>
    <row r="3234" spans="1:5" hidden="1" x14ac:dyDescent="0.25">
      <c r="A3234" s="173" t="s">
        <v>1668</v>
      </c>
      <c r="B3234">
        <v>26748</v>
      </c>
      <c r="C3234" s="173" t="s">
        <v>4143</v>
      </c>
      <c r="D3234" s="173" t="s">
        <v>470</v>
      </c>
      <c r="E3234">
        <v>1</v>
      </c>
    </row>
    <row r="3235" spans="1:5" hidden="1" x14ac:dyDescent="0.25">
      <c r="A3235" s="173" t="s">
        <v>1668</v>
      </c>
      <c r="B3235">
        <v>26748</v>
      </c>
      <c r="C3235" s="173" t="s">
        <v>4144</v>
      </c>
      <c r="D3235" s="173" t="s">
        <v>470</v>
      </c>
      <c r="E3235">
        <v>1</v>
      </c>
    </row>
    <row r="3236" spans="1:5" hidden="1" x14ac:dyDescent="0.25">
      <c r="A3236" s="173" t="s">
        <v>1668</v>
      </c>
      <c r="B3236">
        <v>26748</v>
      </c>
      <c r="C3236" s="173" t="s">
        <v>4145</v>
      </c>
      <c r="D3236" s="173" t="s">
        <v>470</v>
      </c>
      <c r="E3236">
        <v>1</v>
      </c>
    </row>
    <row r="3237" spans="1:5" hidden="1" x14ac:dyDescent="0.25">
      <c r="A3237" s="173" t="s">
        <v>1668</v>
      </c>
      <c r="B3237">
        <v>26748</v>
      </c>
      <c r="C3237" s="173" t="s">
        <v>4146</v>
      </c>
      <c r="D3237" s="173" t="s">
        <v>470</v>
      </c>
      <c r="E3237">
        <v>1</v>
      </c>
    </row>
    <row r="3238" spans="1:5" x14ac:dyDescent="0.25">
      <c r="A3238" s="173" t="s">
        <v>468</v>
      </c>
      <c r="B3238">
        <v>26790</v>
      </c>
      <c r="C3238" s="173" t="s">
        <v>4147</v>
      </c>
      <c r="D3238" s="173" t="s">
        <v>470</v>
      </c>
      <c r="E3238">
        <v>5</v>
      </c>
    </row>
    <row r="3239" spans="1:5" x14ac:dyDescent="0.25">
      <c r="A3239" s="173" t="s">
        <v>468</v>
      </c>
      <c r="B3239">
        <v>26790</v>
      </c>
      <c r="C3239" s="173" t="s">
        <v>4148</v>
      </c>
      <c r="D3239" s="173" t="s">
        <v>470</v>
      </c>
      <c r="E3239">
        <v>6</v>
      </c>
    </row>
    <row r="3240" spans="1:5" x14ac:dyDescent="0.25">
      <c r="A3240" s="173" t="s">
        <v>468</v>
      </c>
      <c r="B3240">
        <v>26790</v>
      </c>
      <c r="C3240" s="173" t="s">
        <v>4149</v>
      </c>
      <c r="D3240" s="173" t="s">
        <v>470</v>
      </c>
      <c r="E3240">
        <v>5</v>
      </c>
    </row>
    <row r="3241" spans="1:5" x14ac:dyDescent="0.25">
      <c r="A3241" s="173" t="s">
        <v>468</v>
      </c>
      <c r="B3241">
        <v>26790</v>
      </c>
      <c r="C3241" s="173" t="s">
        <v>4150</v>
      </c>
      <c r="D3241" s="173" t="s">
        <v>470</v>
      </c>
      <c r="E3241">
        <v>5</v>
      </c>
    </row>
    <row r="3242" spans="1:5" x14ac:dyDescent="0.25">
      <c r="A3242" s="173" t="s">
        <v>468</v>
      </c>
      <c r="B3242">
        <v>26790</v>
      </c>
      <c r="C3242" s="173" t="s">
        <v>4151</v>
      </c>
      <c r="D3242" s="173" t="s">
        <v>470</v>
      </c>
      <c r="E3242">
        <v>2</v>
      </c>
    </row>
    <row r="3243" spans="1:5" x14ac:dyDescent="0.25">
      <c r="A3243" s="173" t="s">
        <v>468</v>
      </c>
      <c r="B3243">
        <v>26790</v>
      </c>
      <c r="C3243" s="173" t="s">
        <v>4152</v>
      </c>
      <c r="D3243" s="173" t="s">
        <v>470</v>
      </c>
      <c r="E3243">
        <v>5</v>
      </c>
    </row>
    <row r="3244" spans="1:5" x14ac:dyDescent="0.25">
      <c r="A3244" s="173" t="s">
        <v>468</v>
      </c>
      <c r="B3244">
        <v>26790</v>
      </c>
      <c r="C3244" s="173" t="s">
        <v>4153</v>
      </c>
      <c r="D3244" s="173" t="s">
        <v>470</v>
      </c>
      <c r="E3244">
        <v>6</v>
      </c>
    </row>
    <row r="3245" spans="1:5" x14ac:dyDescent="0.25">
      <c r="A3245" s="173" t="s">
        <v>468</v>
      </c>
      <c r="B3245">
        <v>26790</v>
      </c>
      <c r="C3245" s="173" t="s">
        <v>4154</v>
      </c>
      <c r="D3245" s="173" t="s">
        <v>470</v>
      </c>
      <c r="E3245">
        <v>6</v>
      </c>
    </row>
    <row r="3246" spans="1:5" x14ac:dyDescent="0.25">
      <c r="A3246" s="173" t="s">
        <v>468</v>
      </c>
      <c r="B3246">
        <v>26790</v>
      </c>
      <c r="C3246" s="173" t="s">
        <v>4155</v>
      </c>
      <c r="D3246" s="173" t="s">
        <v>470</v>
      </c>
      <c r="E3246">
        <v>6</v>
      </c>
    </row>
    <row r="3247" spans="1:5" x14ac:dyDescent="0.25">
      <c r="A3247" s="173" t="s">
        <v>468</v>
      </c>
      <c r="B3247">
        <v>26790</v>
      </c>
      <c r="C3247" s="173" t="s">
        <v>4156</v>
      </c>
      <c r="D3247" s="173" t="s">
        <v>470</v>
      </c>
      <c r="E3247">
        <v>6</v>
      </c>
    </row>
    <row r="3248" spans="1:5" x14ac:dyDescent="0.25">
      <c r="A3248" s="173" t="s">
        <v>468</v>
      </c>
      <c r="B3248">
        <v>26975</v>
      </c>
      <c r="C3248" s="173" t="s">
        <v>2607</v>
      </c>
      <c r="D3248" s="173" t="s">
        <v>470</v>
      </c>
      <c r="E3248">
        <v>1</v>
      </c>
    </row>
    <row r="3249" spans="1:5" x14ac:dyDescent="0.25">
      <c r="A3249" s="173" t="s">
        <v>468</v>
      </c>
      <c r="B3249">
        <v>26975</v>
      </c>
      <c r="C3249" s="173" t="s">
        <v>2608</v>
      </c>
      <c r="D3249" s="173" t="s">
        <v>470</v>
      </c>
      <c r="E3249">
        <v>1</v>
      </c>
    </row>
    <row r="3250" spans="1:5" x14ac:dyDescent="0.25">
      <c r="A3250" s="173" t="s">
        <v>468</v>
      </c>
      <c r="B3250">
        <v>26975</v>
      </c>
      <c r="C3250" s="173" t="s">
        <v>2609</v>
      </c>
      <c r="D3250" s="173" t="s">
        <v>470</v>
      </c>
      <c r="E3250">
        <v>1</v>
      </c>
    </row>
    <row r="3251" spans="1:5" x14ac:dyDescent="0.25">
      <c r="A3251" s="173" t="s">
        <v>468</v>
      </c>
      <c r="B3251">
        <v>26975</v>
      </c>
      <c r="C3251" s="173" t="s">
        <v>2610</v>
      </c>
      <c r="D3251" s="173" t="s">
        <v>470</v>
      </c>
      <c r="E3251">
        <v>1</v>
      </c>
    </row>
    <row r="3252" spans="1:5" x14ac:dyDescent="0.25">
      <c r="A3252" s="173" t="s">
        <v>468</v>
      </c>
      <c r="B3252">
        <v>26975</v>
      </c>
      <c r="C3252" s="173" t="s">
        <v>2611</v>
      </c>
      <c r="D3252" s="173" t="s">
        <v>470</v>
      </c>
      <c r="E3252">
        <v>1</v>
      </c>
    </row>
    <row r="3253" spans="1:5" x14ac:dyDescent="0.25">
      <c r="A3253" s="173" t="s">
        <v>468</v>
      </c>
      <c r="B3253">
        <v>26975</v>
      </c>
      <c r="C3253" s="173" t="s">
        <v>2612</v>
      </c>
      <c r="D3253" s="173" t="s">
        <v>470</v>
      </c>
      <c r="E3253">
        <v>1</v>
      </c>
    </row>
    <row r="3254" spans="1:5" x14ac:dyDescent="0.25">
      <c r="A3254" s="173" t="s">
        <v>468</v>
      </c>
      <c r="B3254">
        <v>26975</v>
      </c>
      <c r="C3254" s="173" t="s">
        <v>2613</v>
      </c>
      <c r="D3254" s="173" t="s">
        <v>470</v>
      </c>
      <c r="E3254">
        <v>1</v>
      </c>
    </row>
    <row r="3255" spans="1:5" x14ac:dyDescent="0.25">
      <c r="A3255" s="173" t="s">
        <v>468</v>
      </c>
      <c r="B3255">
        <v>26975</v>
      </c>
      <c r="C3255" s="173" t="s">
        <v>2614</v>
      </c>
      <c r="D3255" s="173" t="s">
        <v>470</v>
      </c>
      <c r="E3255">
        <v>1</v>
      </c>
    </row>
    <row r="3256" spans="1:5" x14ac:dyDescent="0.25">
      <c r="A3256" s="173" t="s">
        <v>468</v>
      </c>
      <c r="B3256">
        <v>26975</v>
      </c>
      <c r="C3256" s="173" t="s">
        <v>2615</v>
      </c>
      <c r="D3256" s="173" t="s">
        <v>470</v>
      </c>
      <c r="E3256">
        <v>1</v>
      </c>
    </row>
    <row r="3257" spans="1:5" x14ac:dyDescent="0.25">
      <c r="A3257" s="173" t="s">
        <v>468</v>
      </c>
      <c r="B3257">
        <v>26975</v>
      </c>
      <c r="C3257" s="173" t="s">
        <v>2616</v>
      </c>
      <c r="D3257" s="173" t="s">
        <v>470</v>
      </c>
      <c r="E3257">
        <v>1</v>
      </c>
    </row>
    <row r="3258" spans="1:5" x14ac:dyDescent="0.25">
      <c r="A3258" s="173" t="s">
        <v>468</v>
      </c>
      <c r="B3258">
        <v>26975</v>
      </c>
      <c r="C3258" s="173" t="s">
        <v>2617</v>
      </c>
      <c r="D3258" s="173" t="s">
        <v>470</v>
      </c>
      <c r="E3258">
        <v>1</v>
      </c>
    </row>
    <row r="3259" spans="1:5" x14ac:dyDescent="0.25">
      <c r="A3259" s="173" t="s">
        <v>468</v>
      </c>
      <c r="B3259">
        <v>26975</v>
      </c>
      <c r="C3259" s="173" t="s">
        <v>2618</v>
      </c>
      <c r="D3259" s="173" t="s">
        <v>470</v>
      </c>
      <c r="E3259">
        <v>1</v>
      </c>
    </row>
    <row r="3260" spans="1:5" x14ac:dyDescent="0.25">
      <c r="A3260" s="173" t="s">
        <v>468</v>
      </c>
      <c r="B3260">
        <v>26975</v>
      </c>
      <c r="C3260" s="173" t="s">
        <v>2619</v>
      </c>
      <c r="D3260" s="173" t="s">
        <v>470</v>
      </c>
      <c r="E3260">
        <v>1</v>
      </c>
    </row>
    <row r="3261" spans="1:5" x14ac:dyDescent="0.25">
      <c r="A3261" s="173" t="s">
        <v>468</v>
      </c>
      <c r="B3261">
        <v>26975</v>
      </c>
      <c r="C3261" s="173" t="s">
        <v>2620</v>
      </c>
      <c r="D3261" s="173" t="s">
        <v>470</v>
      </c>
      <c r="E3261">
        <v>1</v>
      </c>
    </row>
    <row r="3262" spans="1:5" x14ac:dyDescent="0.25">
      <c r="A3262" s="173" t="s">
        <v>468</v>
      </c>
      <c r="B3262">
        <v>26975</v>
      </c>
      <c r="C3262" s="173" t="s">
        <v>2621</v>
      </c>
      <c r="D3262" s="173" t="s">
        <v>470</v>
      </c>
      <c r="E3262">
        <v>1</v>
      </c>
    </row>
    <row r="3263" spans="1:5" x14ac:dyDescent="0.25">
      <c r="A3263" s="173" t="s">
        <v>468</v>
      </c>
      <c r="B3263">
        <v>26983</v>
      </c>
      <c r="C3263" s="173" t="s">
        <v>2622</v>
      </c>
      <c r="D3263" s="173" t="s">
        <v>470</v>
      </c>
      <c r="E3263">
        <v>1</v>
      </c>
    </row>
    <row r="3264" spans="1:5" x14ac:dyDescent="0.25">
      <c r="A3264" s="173" t="s">
        <v>468</v>
      </c>
      <c r="B3264">
        <v>26983</v>
      </c>
      <c r="C3264" s="173" t="s">
        <v>2623</v>
      </c>
      <c r="D3264" s="173" t="s">
        <v>470</v>
      </c>
      <c r="E3264">
        <v>1</v>
      </c>
    </row>
    <row r="3265" spans="1:5" x14ac:dyDescent="0.25">
      <c r="A3265" s="173" t="s">
        <v>468</v>
      </c>
      <c r="B3265">
        <v>26983</v>
      </c>
      <c r="C3265" s="173" t="s">
        <v>2624</v>
      </c>
      <c r="D3265" s="173" t="s">
        <v>470</v>
      </c>
      <c r="E3265">
        <v>1</v>
      </c>
    </row>
    <row r="3266" spans="1:5" x14ac:dyDescent="0.25">
      <c r="A3266" s="173" t="s">
        <v>468</v>
      </c>
      <c r="B3266">
        <v>26983</v>
      </c>
      <c r="C3266" s="173" t="s">
        <v>2625</v>
      </c>
      <c r="D3266" s="173" t="s">
        <v>470</v>
      </c>
      <c r="E3266">
        <v>1</v>
      </c>
    </row>
    <row r="3267" spans="1:5" x14ac:dyDescent="0.25">
      <c r="A3267" s="173" t="s">
        <v>468</v>
      </c>
      <c r="B3267">
        <v>26983</v>
      </c>
      <c r="C3267" s="173" t="s">
        <v>2626</v>
      </c>
      <c r="D3267" s="173" t="s">
        <v>470</v>
      </c>
      <c r="E3267">
        <v>1</v>
      </c>
    </row>
    <row r="3268" spans="1:5" x14ac:dyDescent="0.25">
      <c r="A3268" s="173" t="s">
        <v>468</v>
      </c>
      <c r="B3268">
        <v>26983</v>
      </c>
      <c r="C3268" s="173" t="s">
        <v>2627</v>
      </c>
      <c r="D3268" s="173" t="s">
        <v>470</v>
      </c>
      <c r="E3268">
        <v>1</v>
      </c>
    </row>
    <row r="3269" spans="1:5" x14ac:dyDescent="0.25">
      <c r="A3269" s="173" t="s">
        <v>468</v>
      </c>
      <c r="B3269">
        <v>26983</v>
      </c>
      <c r="C3269" s="173" t="s">
        <v>2628</v>
      </c>
      <c r="D3269" s="173" t="s">
        <v>470</v>
      </c>
      <c r="E3269">
        <v>1</v>
      </c>
    </row>
    <row r="3270" spans="1:5" x14ac:dyDescent="0.25">
      <c r="A3270" s="173" t="s">
        <v>468</v>
      </c>
      <c r="B3270">
        <v>26983</v>
      </c>
      <c r="C3270" s="173" t="s">
        <v>2629</v>
      </c>
      <c r="D3270" s="173" t="s">
        <v>470</v>
      </c>
      <c r="E3270">
        <v>1</v>
      </c>
    </row>
    <row r="3271" spans="1:5" x14ac:dyDescent="0.25">
      <c r="A3271" s="173" t="s">
        <v>468</v>
      </c>
      <c r="B3271">
        <v>26983</v>
      </c>
      <c r="C3271" s="173" t="s">
        <v>2630</v>
      </c>
      <c r="D3271" s="173" t="s">
        <v>470</v>
      </c>
      <c r="E3271">
        <v>1</v>
      </c>
    </row>
    <row r="3272" spans="1:5" x14ac:dyDescent="0.25">
      <c r="A3272" s="173" t="s">
        <v>468</v>
      </c>
      <c r="B3272">
        <v>26983</v>
      </c>
      <c r="C3272" s="173" t="s">
        <v>2631</v>
      </c>
      <c r="D3272" s="173" t="s">
        <v>470</v>
      </c>
      <c r="E3272">
        <v>1</v>
      </c>
    </row>
    <row r="3273" spans="1:5" x14ac:dyDescent="0.25">
      <c r="A3273" s="173" t="s">
        <v>468</v>
      </c>
      <c r="B3273">
        <v>26983</v>
      </c>
      <c r="C3273" s="173" t="s">
        <v>2632</v>
      </c>
      <c r="D3273" s="173" t="s">
        <v>470</v>
      </c>
      <c r="E3273">
        <v>1</v>
      </c>
    </row>
    <row r="3274" spans="1:5" x14ac:dyDescent="0.25">
      <c r="A3274" s="173" t="s">
        <v>468</v>
      </c>
      <c r="B3274">
        <v>26983</v>
      </c>
      <c r="C3274" s="173" t="s">
        <v>2633</v>
      </c>
      <c r="D3274" s="173" t="s">
        <v>470</v>
      </c>
      <c r="E3274">
        <v>1</v>
      </c>
    </row>
    <row r="3275" spans="1:5" x14ac:dyDescent="0.25">
      <c r="A3275" s="173" t="s">
        <v>468</v>
      </c>
      <c r="B3275">
        <v>26983</v>
      </c>
      <c r="C3275" s="173" t="s">
        <v>2634</v>
      </c>
      <c r="D3275" s="173" t="s">
        <v>470</v>
      </c>
      <c r="E3275">
        <v>1</v>
      </c>
    </row>
    <row r="3276" spans="1:5" x14ac:dyDescent="0.25">
      <c r="A3276" s="173" t="s">
        <v>468</v>
      </c>
      <c r="B3276">
        <v>26983</v>
      </c>
      <c r="C3276" s="173" t="s">
        <v>2634</v>
      </c>
      <c r="D3276" s="173" t="s">
        <v>470</v>
      </c>
      <c r="E3276">
        <v>2</v>
      </c>
    </row>
    <row r="3277" spans="1:5" x14ac:dyDescent="0.25">
      <c r="A3277" s="173" t="s">
        <v>468</v>
      </c>
      <c r="B3277">
        <v>26983</v>
      </c>
      <c r="C3277" s="173" t="s">
        <v>2635</v>
      </c>
      <c r="D3277" s="173" t="s">
        <v>470</v>
      </c>
      <c r="E3277">
        <v>1</v>
      </c>
    </row>
    <row r="3278" spans="1:5" x14ac:dyDescent="0.25">
      <c r="A3278" s="173" t="s">
        <v>468</v>
      </c>
      <c r="B3278">
        <v>26983</v>
      </c>
      <c r="C3278" s="173" t="s">
        <v>2636</v>
      </c>
      <c r="D3278" s="173" t="s">
        <v>470</v>
      </c>
      <c r="E3278">
        <v>1</v>
      </c>
    </row>
    <row r="3279" spans="1:5" x14ac:dyDescent="0.25">
      <c r="A3279" s="173" t="s">
        <v>468</v>
      </c>
      <c r="B3279">
        <v>26983</v>
      </c>
      <c r="C3279" s="173" t="s">
        <v>2637</v>
      </c>
      <c r="D3279" s="173" t="s">
        <v>470</v>
      </c>
      <c r="E3279">
        <v>1</v>
      </c>
    </row>
    <row r="3280" spans="1:5" x14ac:dyDescent="0.25">
      <c r="A3280" s="173" t="s">
        <v>468</v>
      </c>
      <c r="B3280">
        <v>26983</v>
      </c>
      <c r="C3280" s="173" t="s">
        <v>2638</v>
      </c>
      <c r="D3280" s="173" t="s">
        <v>470</v>
      </c>
      <c r="E3280">
        <v>1</v>
      </c>
    </row>
    <row r="3281" spans="1:5" x14ac:dyDescent="0.25">
      <c r="A3281" s="173" t="s">
        <v>468</v>
      </c>
      <c r="B3281">
        <v>26983</v>
      </c>
      <c r="C3281" s="173" t="s">
        <v>2639</v>
      </c>
      <c r="D3281" s="173" t="s">
        <v>470</v>
      </c>
      <c r="E3281">
        <v>1</v>
      </c>
    </row>
    <row r="3282" spans="1:5" x14ac:dyDescent="0.25">
      <c r="A3282" s="173" t="s">
        <v>468</v>
      </c>
      <c r="B3282">
        <v>26983</v>
      </c>
      <c r="C3282" s="173" t="s">
        <v>2640</v>
      </c>
      <c r="D3282" s="173" t="s">
        <v>470</v>
      </c>
      <c r="E3282">
        <v>1</v>
      </c>
    </row>
    <row r="3283" spans="1:5" x14ac:dyDescent="0.25">
      <c r="A3283" s="173" t="s">
        <v>468</v>
      </c>
      <c r="B3283">
        <v>26983</v>
      </c>
      <c r="C3283" s="173" t="s">
        <v>2641</v>
      </c>
      <c r="D3283" s="173" t="s">
        <v>470</v>
      </c>
      <c r="E3283">
        <v>1</v>
      </c>
    </row>
    <row r="3284" spans="1:5" x14ac:dyDescent="0.25">
      <c r="A3284" s="173" t="s">
        <v>468</v>
      </c>
      <c r="B3284">
        <v>26983</v>
      </c>
      <c r="C3284" s="173" t="s">
        <v>2642</v>
      </c>
      <c r="D3284" s="173" t="s">
        <v>470</v>
      </c>
      <c r="E3284">
        <v>1</v>
      </c>
    </row>
    <row r="3285" spans="1:5" x14ac:dyDescent="0.25">
      <c r="A3285" s="173" t="s">
        <v>468</v>
      </c>
      <c r="B3285">
        <v>26983</v>
      </c>
      <c r="C3285" s="173" t="s">
        <v>2643</v>
      </c>
      <c r="D3285" s="173" t="s">
        <v>470</v>
      </c>
      <c r="E3285">
        <v>1</v>
      </c>
    </row>
    <row r="3286" spans="1:5" x14ac:dyDescent="0.25">
      <c r="A3286" s="173" t="s">
        <v>468</v>
      </c>
      <c r="B3286">
        <v>26983</v>
      </c>
      <c r="C3286" s="173" t="s">
        <v>2644</v>
      </c>
      <c r="D3286" s="173" t="s">
        <v>470</v>
      </c>
      <c r="E3286">
        <v>1</v>
      </c>
    </row>
    <row r="3287" spans="1:5" x14ac:dyDescent="0.25">
      <c r="A3287" s="173" t="s">
        <v>468</v>
      </c>
      <c r="B3287">
        <v>26983</v>
      </c>
      <c r="C3287" s="173" t="s">
        <v>2645</v>
      </c>
      <c r="D3287" s="173" t="s">
        <v>470</v>
      </c>
      <c r="E3287">
        <v>1</v>
      </c>
    </row>
    <row r="3288" spans="1:5" x14ac:dyDescent="0.25">
      <c r="A3288" s="173" t="s">
        <v>468</v>
      </c>
      <c r="B3288">
        <v>26983</v>
      </c>
      <c r="C3288" s="173" t="s">
        <v>2646</v>
      </c>
      <c r="D3288" s="173" t="s">
        <v>470</v>
      </c>
      <c r="E3288">
        <v>1</v>
      </c>
    </row>
    <row r="3289" spans="1:5" x14ac:dyDescent="0.25">
      <c r="A3289" s="173" t="s">
        <v>468</v>
      </c>
      <c r="B3289">
        <v>26983</v>
      </c>
      <c r="C3289" s="173" t="s">
        <v>2647</v>
      </c>
      <c r="D3289" s="173" t="s">
        <v>470</v>
      </c>
      <c r="E3289">
        <v>1</v>
      </c>
    </row>
    <row r="3290" spans="1:5" x14ac:dyDescent="0.25">
      <c r="A3290" s="173" t="s">
        <v>468</v>
      </c>
      <c r="B3290">
        <v>27011</v>
      </c>
      <c r="C3290" s="173" t="s">
        <v>4157</v>
      </c>
      <c r="D3290" s="173" t="s">
        <v>470</v>
      </c>
      <c r="E3290">
        <v>2</v>
      </c>
    </row>
    <row r="3291" spans="1:5" x14ac:dyDescent="0.25">
      <c r="A3291" s="173" t="s">
        <v>468</v>
      </c>
      <c r="B3291">
        <v>27011</v>
      </c>
      <c r="C3291" s="173" t="s">
        <v>4158</v>
      </c>
      <c r="D3291" s="173" t="s">
        <v>470</v>
      </c>
      <c r="E3291">
        <v>1</v>
      </c>
    </row>
    <row r="3292" spans="1:5" x14ac:dyDescent="0.25">
      <c r="A3292" s="173" t="s">
        <v>468</v>
      </c>
      <c r="B3292">
        <v>27011</v>
      </c>
      <c r="C3292" s="173" t="s">
        <v>4159</v>
      </c>
      <c r="D3292" s="173" t="s">
        <v>470</v>
      </c>
      <c r="E3292">
        <v>2</v>
      </c>
    </row>
    <row r="3293" spans="1:5" x14ac:dyDescent="0.25">
      <c r="A3293" s="173" t="s">
        <v>468</v>
      </c>
      <c r="B3293">
        <v>27011</v>
      </c>
      <c r="C3293" s="173" t="s">
        <v>4160</v>
      </c>
      <c r="D3293" s="173" t="s">
        <v>470</v>
      </c>
      <c r="E3293">
        <v>2</v>
      </c>
    </row>
    <row r="3294" spans="1:5" x14ac:dyDescent="0.25">
      <c r="A3294" s="173" t="s">
        <v>468</v>
      </c>
      <c r="B3294">
        <v>27011</v>
      </c>
      <c r="C3294" s="173" t="s">
        <v>4161</v>
      </c>
      <c r="D3294" s="173" t="s">
        <v>470</v>
      </c>
      <c r="E3294">
        <v>1</v>
      </c>
    </row>
    <row r="3295" spans="1:5" x14ac:dyDescent="0.25">
      <c r="A3295" s="173" t="s">
        <v>468</v>
      </c>
      <c r="B3295">
        <v>27011</v>
      </c>
      <c r="C3295" s="173" t="s">
        <v>433</v>
      </c>
      <c r="D3295" s="173" t="s">
        <v>470</v>
      </c>
      <c r="E3295">
        <v>2</v>
      </c>
    </row>
    <row r="3296" spans="1:5" x14ac:dyDescent="0.25">
      <c r="A3296" s="173" t="s">
        <v>468</v>
      </c>
      <c r="B3296">
        <v>27011</v>
      </c>
      <c r="C3296" s="173" t="s">
        <v>4162</v>
      </c>
      <c r="D3296" s="173" t="s">
        <v>470</v>
      </c>
      <c r="E3296">
        <v>1</v>
      </c>
    </row>
    <row r="3297" spans="1:5" x14ac:dyDescent="0.25">
      <c r="A3297" s="173" t="s">
        <v>468</v>
      </c>
      <c r="B3297">
        <v>27011</v>
      </c>
      <c r="C3297" s="173" t="s">
        <v>4163</v>
      </c>
      <c r="D3297" s="173" t="s">
        <v>470</v>
      </c>
      <c r="E3297">
        <v>2</v>
      </c>
    </row>
    <row r="3298" spans="1:5" x14ac:dyDescent="0.25">
      <c r="A3298" s="173" t="s">
        <v>468</v>
      </c>
      <c r="B3298">
        <v>27011</v>
      </c>
      <c r="C3298" s="173" t="s">
        <v>4164</v>
      </c>
      <c r="D3298" s="173" t="s">
        <v>470</v>
      </c>
      <c r="E3298">
        <v>1</v>
      </c>
    </row>
    <row r="3299" spans="1:5" x14ac:dyDescent="0.25">
      <c r="A3299" s="173" t="s">
        <v>468</v>
      </c>
      <c r="B3299">
        <v>27011</v>
      </c>
      <c r="C3299" s="173" t="s">
        <v>4165</v>
      </c>
      <c r="D3299" s="173" t="s">
        <v>470</v>
      </c>
      <c r="E3299">
        <v>1</v>
      </c>
    </row>
    <row r="3300" spans="1:5" x14ac:dyDescent="0.25">
      <c r="A3300" s="173" t="s">
        <v>468</v>
      </c>
      <c r="B3300">
        <v>27011</v>
      </c>
      <c r="C3300" s="173" t="s">
        <v>4166</v>
      </c>
      <c r="D3300" s="173" t="s">
        <v>470</v>
      </c>
      <c r="E3300">
        <v>2</v>
      </c>
    </row>
    <row r="3301" spans="1:5" x14ac:dyDescent="0.25">
      <c r="A3301" s="173" t="s">
        <v>468</v>
      </c>
      <c r="B3301">
        <v>27011</v>
      </c>
      <c r="C3301" s="173" t="s">
        <v>4167</v>
      </c>
      <c r="D3301" s="173" t="s">
        <v>470</v>
      </c>
      <c r="E3301">
        <v>1</v>
      </c>
    </row>
    <row r="3302" spans="1:5" x14ac:dyDescent="0.25">
      <c r="A3302" s="173" t="s">
        <v>468</v>
      </c>
      <c r="B3302">
        <v>27011</v>
      </c>
      <c r="C3302" s="173" t="s">
        <v>4168</v>
      </c>
      <c r="D3302" s="173" t="s">
        <v>470</v>
      </c>
      <c r="E3302">
        <v>1</v>
      </c>
    </row>
    <row r="3303" spans="1:5" x14ac:dyDescent="0.25">
      <c r="A3303" s="173" t="s">
        <v>468</v>
      </c>
      <c r="B3303">
        <v>27011</v>
      </c>
      <c r="C3303" s="173" t="s">
        <v>4169</v>
      </c>
      <c r="D3303" s="173" t="s">
        <v>470</v>
      </c>
      <c r="E3303">
        <v>1</v>
      </c>
    </row>
    <row r="3304" spans="1:5" x14ac:dyDescent="0.25">
      <c r="A3304" s="173" t="s">
        <v>468</v>
      </c>
      <c r="B3304">
        <v>27011</v>
      </c>
      <c r="C3304" s="173" t="s">
        <v>4170</v>
      </c>
      <c r="D3304" s="173" t="s">
        <v>470</v>
      </c>
      <c r="E3304">
        <v>1</v>
      </c>
    </row>
    <row r="3305" spans="1:5" x14ac:dyDescent="0.25">
      <c r="A3305" s="173" t="s">
        <v>468</v>
      </c>
      <c r="B3305">
        <v>27011</v>
      </c>
      <c r="C3305" s="173" t="s">
        <v>4171</v>
      </c>
      <c r="D3305" s="173" t="s">
        <v>470</v>
      </c>
      <c r="E3305">
        <v>1</v>
      </c>
    </row>
    <row r="3306" spans="1:5" x14ac:dyDescent="0.25">
      <c r="A3306" s="173" t="s">
        <v>468</v>
      </c>
      <c r="B3306">
        <v>27011</v>
      </c>
      <c r="C3306" s="173" t="s">
        <v>4172</v>
      </c>
      <c r="D3306" s="173" t="s">
        <v>470</v>
      </c>
      <c r="E3306">
        <v>1</v>
      </c>
    </row>
    <row r="3307" spans="1:5" x14ac:dyDescent="0.25">
      <c r="A3307" s="173" t="s">
        <v>468</v>
      </c>
      <c r="B3307">
        <v>27011</v>
      </c>
      <c r="C3307" s="173" t="s">
        <v>4173</v>
      </c>
      <c r="D3307" s="173" t="s">
        <v>470</v>
      </c>
      <c r="E3307">
        <v>1</v>
      </c>
    </row>
    <row r="3308" spans="1:5" x14ac:dyDescent="0.25">
      <c r="A3308" s="173" t="s">
        <v>468</v>
      </c>
      <c r="B3308">
        <v>27011</v>
      </c>
      <c r="C3308" s="173" t="s">
        <v>4174</v>
      </c>
      <c r="D3308" s="173" t="s">
        <v>470</v>
      </c>
      <c r="E3308">
        <v>1</v>
      </c>
    </row>
    <row r="3309" spans="1:5" x14ac:dyDescent="0.25">
      <c r="A3309" s="173" t="s">
        <v>468</v>
      </c>
      <c r="B3309">
        <v>27011</v>
      </c>
      <c r="C3309" s="173" t="s">
        <v>4175</v>
      </c>
      <c r="D3309" s="173" t="s">
        <v>470</v>
      </c>
      <c r="E3309">
        <v>2</v>
      </c>
    </row>
    <row r="3310" spans="1:5" x14ac:dyDescent="0.25">
      <c r="A3310" s="173" t="s">
        <v>468</v>
      </c>
      <c r="B3310">
        <v>27011</v>
      </c>
      <c r="C3310" s="173" t="s">
        <v>4176</v>
      </c>
      <c r="D3310" s="173" t="s">
        <v>470</v>
      </c>
      <c r="E3310">
        <v>1</v>
      </c>
    </row>
    <row r="3311" spans="1:5" x14ac:dyDescent="0.25">
      <c r="A3311" s="173" t="s">
        <v>468</v>
      </c>
      <c r="B3311">
        <v>27011</v>
      </c>
      <c r="C3311" s="173" t="s">
        <v>4177</v>
      </c>
      <c r="D3311" s="173" t="s">
        <v>470</v>
      </c>
      <c r="E3311">
        <v>1</v>
      </c>
    </row>
    <row r="3312" spans="1:5" x14ac:dyDescent="0.25">
      <c r="A3312" s="173" t="s">
        <v>468</v>
      </c>
      <c r="B3312">
        <v>27011</v>
      </c>
      <c r="C3312" s="173" t="s">
        <v>4178</v>
      </c>
      <c r="D3312" s="173" t="s">
        <v>470</v>
      </c>
      <c r="E3312">
        <v>2</v>
      </c>
    </row>
    <row r="3313" spans="1:5" x14ac:dyDescent="0.25">
      <c r="A3313" s="173" t="s">
        <v>468</v>
      </c>
      <c r="B3313">
        <v>27011</v>
      </c>
      <c r="C3313" s="173" t="s">
        <v>4179</v>
      </c>
      <c r="D3313" s="173" t="s">
        <v>470</v>
      </c>
      <c r="E3313">
        <v>1</v>
      </c>
    </row>
    <row r="3314" spans="1:5" x14ac:dyDescent="0.25">
      <c r="A3314" s="173" t="s">
        <v>468</v>
      </c>
      <c r="B3314">
        <v>27011</v>
      </c>
      <c r="C3314" s="173" t="s">
        <v>4180</v>
      </c>
      <c r="D3314" s="173" t="s">
        <v>470</v>
      </c>
      <c r="E3314">
        <v>1</v>
      </c>
    </row>
    <row r="3315" spans="1:5" x14ac:dyDescent="0.25">
      <c r="A3315" s="173" t="s">
        <v>468</v>
      </c>
      <c r="B3315">
        <v>27011</v>
      </c>
      <c r="C3315" s="173" t="s">
        <v>4181</v>
      </c>
      <c r="D3315" s="173" t="s">
        <v>470</v>
      </c>
      <c r="E3315">
        <v>1</v>
      </c>
    </row>
    <row r="3316" spans="1:5" x14ac:dyDescent="0.25">
      <c r="A3316" s="173" t="s">
        <v>468</v>
      </c>
      <c r="B3316">
        <v>27011</v>
      </c>
      <c r="C3316" s="173" t="s">
        <v>432</v>
      </c>
      <c r="D3316" s="173" t="s">
        <v>470</v>
      </c>
      <c r="E3316">
        <v>2</v>
      </c>
    </row>
    <row r="3317" spans="1:5" x14ac:dyDescent="0.25">
      <c r="A3317" s="173" t="s">
        <v>468</v>
      </c>
      <c r="B3317">
        <v>27011</v>
      </c>
      <c r="C3317" s="173" t="s">
        <v>3522</v>
      </c>
      <c r="D3317" s="173" t="s">
        <v>470</v>
      </c>
      <c r="E3317">
        <v>2</v>
      </c>
    </row>
    <row r="3318" spans="1:5" x14ac:dyDescent="0.25">
      <c r="A3318" s="173" t="s">
        <v>468</v>
      </c>
      <c r="B3318">
        <v>27011</v>
      </c>
      <c r="C3318" s="173" t="s">
        <v>4182</v>
      </c>
      <c r="D3318" s="173" t="s">
        <v>470</v>
      </c>
      <c r="E3318">
        <v>2</v>
      </c>
    </row>
    <row r="3319" spans="1:5" x14ac:dyDescent="0.25">
      <c r="A3319" s="173" t="s">
        <v>468</v>
      </c>
      <c r="B3319">
        <v>27011</v>
      </c>
      <c r="C3319" s="173" t="s">
        <v>434</v>
      </c>
      <c r="D3319" s="173" t="s">
        <v>470</v>
      </c>
      <c r="E3319">
        <v>3</v>
      </c>
    </row>
    <row r="3320" spans="1:5" x14ac:dyDescent="0.25">
      <c r="A3320" s="173" t="s">
        <v>468</v>
      </c>
      <c r="B3320">
        <v>27011</v>
      </c>
      <c r="C3320" s="173" t="s">
        <v>4183</v>
      </c>
      <c r="D3320" s="173" t="s">
        <v>470</v>
      </c>
      <c r="E3320">
        <v>3</v>
      </c>
    </row>
    <row r="3321" spans="1:5" x14ac:dyDescent="0.25">
      <c r="A3321" s="173" t="s">
        <v>468</v>
      </c>
      <c r="B3321">
        <v>27011</v>
      </c>
      <c r="C3321" s="173" t="s">
        <v>430</v>
      </c>
      <c r="D3321" s="173" t="s">
        <v>470</v>
      </c>
      <c r="E3321">
        <v>3</v>
      </c>
    </row>
    <row r="3322" spans="1:5" x14ac:dyDescent="0.25">
      <c r="A3322" s="173" t="s">
        <v>468</v>
      </c>
      <c r="B3322">
        <v>27012</v>
      </c>
      <c r="C3322" s="173" t="s">
        <v>2648</v>
      </c>
      <c r="D3322" s="173" t="s">
        <v>470</v>
      </c>
      <c r="E3322">
        <v>3</v>
      </c>
    </row>
    <row r="3323" spans="1:5" x14ac:dyDescent="0.25">
      <c r="A3323" s="173" t="s">
        <v>468</v>
      </c>
      <c r="B3323">
        <v>27012</v>
      </c>
      <c r="C3323" s="173" t="s">
        <v>2649</v>
      </c>
      <c r="D3323" s="173" t="s">
        <v>470</v>
      </c>
      <c r="E3323">
        <v>3</v>
      </c>
    </row>
    <row r="3324" spans="1:5" x14ac:dyDescent="0.25">
      <c r="A3324" s="173" t="s">
        <v>468</v>
      </c>
      <c r="B3324">
        <v>27012</v>
      </c>
      <c r="C3324" s="173" t="s">
        <v>2650</v>
      </c>
      <c r="D3324" s="173" t="s">
        <v>470</v>
      </c>
      <c r="E3324">
        <v>3</v>
      </c>
    </row>
    <row r="3325" spans="1:5" x14ac:dyDescent="0.25">
      <c r="A3325" s="173" t="s">
        <v>468</v>
      </c>
      <c r="B3325">
        <v>27012</v>
      </c>
      <c r="C3325" s="173" t="s">
        <v>2651</v>
      </c>
      <c r="D3325" s="173" t="s">
        <v>470</v>
      </c>
      <c r="E3325">
        <v>3</v>
      </c>
    </row>
    <row r="3326" spans="1:5" x14ac:dyDescent="0.25">
      <c r="A3326" s="173" t="s">
        <v>468</v>
      </c>
      <c r="B3326">
        <v>27012</v>
      </c>
      <c r="C3326" s="173" t="s">
        <v>2652</v>
      </c>
      <c r="D3326" s="173" t="s">
        <v>470</v>
      </c>
      <c r="E3326">
        <v>2</v>
      </c>
    </row>
    <row r="3327" spans="1:5" x14ac:dyDescent="0.25">
      <c r="A3327" s="173" t="s">
        <v>468</v>
      </c>
      <c r="B3327">
        <v>27012</v>
      </c>
      <c r="C3327" s="173" t="s">
        <v>2653</v>
      </c>
      <c r="D3327" s="173" t="s">
        <v>470</v>
      </c>
      <c r="E3327">
        <v>3</v>
      </c>
    </row>
    <row r="3328" spans="1:5" x14ac:dyDescent="0.25">
      <c r="A3328" s="173" t="s">
        <v>468</v>
      </c>
      <c r="B3328">
        <v>27012</v>
      </c>
      <c r="C3328" s="173" t="s">
        <v>2654</v>
      </c>
      <c r="D3328" s="173" t="s">
        <v>470</v>
      </c>
      <c r="E3328">
        <v>3</v>
      </c>
    </row>
    <row r="3329" spans="1:5" x14ac:dyDescent="0.25">
      <c r="A3329" s="173" t="s">
        <v>468</v>
      </c>
      <c r="B3329">
        <v>27012</v>
      </c>
      <c r="C3329" s="173" t="s">
        <v>2655</v>
      </c>
      <c r="D3329" s="173" t="s">
        <v>470</v>
      </c>
      <c r="E3329">
        <v>3</v>
      </c>
    </row>
    <row r="3330" spans="1:5" x14ac:dyDescent="0.25">
      <c r="A3330" s="173" t="s">
        <v>468</v>
      </c>
      <c r="B3330">
        <v>27012</v>
      </c>
      <c r="C3330" s="173" t="s">
        <v>2656</v>
      </c>
      <c r="D3330" s="173" t="s">
        <v>470</v>
      </c>
      <c r="E3330">
        <v>3</v>
      </c>
    </row>
    <row r="3331" spans="1:5" x14ac:dyDescent="0.25">
      <c r="A3331" s="173" t="s">
        <v>468</v>
      </c>
      <c r="B3331">
        <v>27012</v>
      </c>
      <c r="C3331" s="173" t="s">
        <v>2657</v>
      </c>
      <c r="D3331" s="173" t="s">
        <v>470</v>
      </c>
      <c r="E3331">
        <v>2</v>
      </c>
    </row>
    <row r="3332" spans="1:5" x14ac:dyDescent="0.25">
      <c r="A3332" s="173" t="s">
        <v>468</v>
      </c>
      <c r="B3332">
        <v>27012</v>
      </c>
      <c r="C3332" s="173" t="s">
        <v>2658</v>
      </c>
      <c r="D3332" s="173" t="s">
        <v>470</v>
      </c>
      <c r="E3332">
        <v>2</v>
      </c>
    </row>
    <row r="3333" spans="1:5" x14ac:dyDescent="0.25">
      <c r="A3333" s="173" t="s">
        <v>468</v>
      </c>
      <c r="B3333">
        <v>27012</v>
      </c>
      <c r="C3333" s="173" t="s">
        <v>2659</v>
      </c>
      <c r="D3333" s="173" t="s">
        <v>470</v>
      </c>
      <c r="E3333">
        <v>2</v>
      </c>
    </row>
    <row r="3334" spans="1:5" x14ac:dyDescent="0.25">
      <c r="A3334" s="173" t="s">
        <v>468</v>
      </c>
      <c r="B3334">
        <v>27012</v>
      </c>
      <c r="C3334" s="173" t="s">
        <v>2660</v>
      </c>
      <c r="D3334" s="173" t="s">
        <v>470</v>
      </c>
      <c r="E3334">
        <v>5</v>
      </c>
    </row>
    <row r="3335" spans="1:5" x14ac:dyDescent="0.25">
      <c r="A3335" s="173" t="s">
        <v>468</v>
      </c>
      <c r="B3335">
        <v>27012</v>
      </c>
      <c r="C3335" s="173" t="s">
        <v>2661</v>
      </c>
      <c r="D3335" s="173" t="s">
        <v>470</v>
      </c>
      <c r="E3335">
        <v>4</v>
      </c>
    </row>
    <row r="3336" spans="1:5" x14ac:dyDescent="0.25">
      <c r="A3336" s="173" t="s">
        <v>468</v>
      </c>
      <c r="B3336">
        <v>27012</v>
      </c>
      <c r="C3336" s="173" t="s">
        <v>2662</v>
      </c>
      <c r="D3336" s="173" t="s">
        <v>470</v>
      </c>
      <c r="E3336">
        <v>4</v>
      </c>
    </row>
    <row r="3337" spans="1:5" x14ac:dyDescent="0.25">
      <c r="A3337" s="173" t="s">
        <v>468</v>
      </c>
      <c r="B3337">
        <v>27012</v>
      </c>
      <c r="C3337" s="173" t="s">
        <v>2663</v>
      </c>
      <c r="D3337" s="173" t="s">
        <v>470</v>
      </c>
      <c r="E3337">
        <v>4</v>
      </c>
    </row>
    <row r="3338" spans="1:5" x14ac:dyDescent="0.25">
      <c r="A3338" s="173" t="s">
        <v>468</v>
      </c>
      <c r="B3338">
        <v>27012</v>
      </c>
      <c r="C3338" s="173" t="s">
        <v>2664</v>
      </c>
      <c r="D3338" s="173" t="s">
        <v>470</v>
      </c>
      <c r="E3338">
        <v>4</v>
      </c>
    </row>
    <row r="3339" spans="1:5" x14ac:dyDescent="0.25">
      <c r="A3339" s="173" t="s">
        <v>468</v>
      </c>
      <c r="B3339">
        <v>27012</v>
      </c>
      <c r="C3339" s="173" t="s">
        <v>2665</v>
      </c>
      <c r="D3339" s="173" t="s">
        <v>470</v>
      </c>
      <c r="E3339">
        <v>4</v>
      </c>
    </row>
    <row r="3340" spans="1:5" x14ac:dyDescent="0.25">
      <c r="A3340" s="173" t="s">
        <v>468</v>
      </c>
      <c r="B3340">
        <v>27012</v>
      </c>
      <c r="C3340" s="173" t="s">
        <v>2666</v>
      </c>
      <c r="D3340" s="173" t="s">
        <v>470</v>
      </c>
      <c r="E3340">
        <v>3</v>
      </c>
    </row>
    <row r="3341" spans="1:5" x14ac:dyDescent="0.25">
      <c r="A3341" s="173" t="s">
        <v>468</v>
      </c>
      <c r="B3341">
        <v>27012</v>
      </c>
      <c r="C3341" s="173" t="s">
        <v>2667</v>
      </c>
      <c r="D3341" s="173" t="s">
        <v>470</v>
      </c>
      <c r="E3341">
        <v>3</v>
      </c>
    </row>
    <row r="3342" spans="1:5" x14ac:dyDescent="0.25">
      <c r="A3342" s="173" t="s">
        <v>468</v>
      </c>
      <c r="B3342">
        <v>27012</v>
      </c>
      <c r="C3342" s="173" t="s">
        <v>2668</v>
      </c>
      <c r="D3342" s="173" t="s">
        <v>470</v>
      </c>
      <c r="E3342">
        <v>3</v>
      </c>
    </row>
    <row r="3343" spans="1:5" x14ac:dyDescent="0.25">
      <c r="A3343" s="173" t="s">
        <v>468</v>
      </c>
      <c r="B3343">
        <v>27012</v>
      </c>
      <c r="C3343" s="173" t="s">
        <v>2669</v>
      </c>
      <c r="D3343" s="173" t="s">
        <v>470</v>
      </c>
      <c r="E3343">
        <v>2</v>
      </c>
    </row>
    <row r="3344" spans="1:5" x14ac:dyDescent="0.25">
      <c r="A3344" s="173" t="s">
        <v>468</v>
      </c>
      <c r="B3344">
        <v>27012</v>
      </c>
      <c r="C3344" s="173" t="s">
        <v>2670</v>
      </c>
      <c r="D3344" s="173" t="s">
        <v>470</v>
      </c>
      <c r="E3344">
        <v>2</v>
      </c>
    </row>
    <row r="3345" spans="1:5" x14ac:dyDescent="0.25">
      <c r="A3345" s="173" t="s">
        <v>468</v>
      </c>
      <c r="B3345">
        <v>27012</v>
      </c>
      <c r="C3345" s="173" t="s">
        <v>2671</v>
      </c>
      <c r="D3345" s="173" t="s">
        <v>470</v>
      </c>
      <c r="E3345">
        <v>2</v>
      </c>
    </row>
    <row r="3346" spans="1:5" x14ac:dyDescent="0.25">
      <c r="A3346" s="173" t="s">
        <v>468</v>
      </c>
      <c r="B3346">
        <v>27012</v>
      </c>
      <c r="C3346" s="173" t="s">
        <v>2672</v>
      </c>
      <c r="D3346" s="173" t="s">
        <v>470</v>
      </c>
      <c r="E3346">
        <v>3</v>
      </c>
    </row>
    <row r="3347" spans="1:5" x14ac:dyDescent="0.25">
      <c r="A3347" s="173" t="s">
        <v>468</v>
      </c>
      <c r="B3347">
        <v>27012</v>
      </c>
      <c r="C3347" s="173" t="s">
        <v>2673</v>
      </c>
      <c r="D3347" s="173" t="s">
        <v>470</v>
      </c>
      <c r="E3347">
        <v>3</v>
      </c>
    </row>
    <row r="3348" spans="1:5" x14ac:dyDescent="0.25">
      <c r="A3348" s="173" t="s">
        <v>468</v>
      </c>
      <c r="B3348">
        <v>27012</v>
      </c>
      <c r="C3348" s="173" t="s">
        <v>2674</v>
      </c>
      <c r="D3348" s="173" t="s">
        <v>470</v>
      </c>
      <c r="E3348">
        <v>3</v>
      </c>
    </row>
    <row r="3349" spans="1:5" x14ac:dyDescent="0.25">
      <c r="A3349" s="173" t="s">
        <v>468</v>
      </c>
      <c r="B3349">
        <v>27012</v>
      </c>
      <c r="C3349" s="173" t="s">
        <v>312</v>
      </c>
      <c r="D3349" s="173" t="s">
        <v>470</v>
      </c>
      <c r="E3349">
        <v>3</v>
      </c>
    </row>
    <row r="3350" spans="1:5" x14ac:dyDescent="0.25">
      <c r="A3350" s="173" t="s">
        <v>468</v>
      </c>
      <c r="B3350">
        <v>27012</v>
      </c>
      <c r="C3350" s="173" t="s">
        <v>2675</v>
      </c>
      <c r="D3350" s="173" t="s">
        <v>470</v>
      </c>
      <c r="E3350">
        <v>3</v>
      </c>
    </row>
    <row r="3351" spans="1:5" x14ac:dyDescent="0.25">
      <c r="A3351" s="173" t="s">
        <v>468</v>
      </c>
      <c r="B3351">
        <v>27012</v>
      </c>
      <c r="C3351" s="173" t="s">
        <v>2676</v>
      </c>
      <c r="D3351" s="173" t="s">
        <v>470</v>
      </c>
      <c r="E3351">
        <v>3</v>
      </c>
    </row>
    <row r="3352" spans="1:5" x14ac:dyDescent="0.25">
      <c r="A3352" s="173" t="s">
        <v>468</v>
      </c>
      <c r="B3352">
        <v>27012</v>
      </c>
      <c r="C3352" s="173" t="s">
        <v>329</v>
      </c>
      <c r="D3352" s="173" t="s">
        <v>470</v>
      </c>
      <c r="E3352">
        <v>3</v>
      </c>
    </row>
    <row r="3353" spans="1:5" x14ac:dyDescent="0.25">
      <c r="A3353" s="173" t="s">
        <v>468</v>
      </c>
      <c r="B3353">
        <v>27012</v>
      </c>
      <c r="C3353" s="173" t="s">
        <v>2677</v>
      </c>
      <c r="D3353" s="173" t="s">
        <v>470</v>
      </c>
      <c r="E3353">
        <v>3</v>
      </c>
    </row>
    <row r="3354" spans="1:5" x14ac:dyDescent="0.25">
      <c r="A3354" s="173" t="s">
        <v>468</v>
      </c>
      <c r="B3354">
        <v>27012</v>
      </c>
      <c r="C3354" s="173" t="s">
        <v>2678</v>
      </c>
      <c r="D3354" s="173" t="s">
        <v>470</v>
      </c>
      <c r="E3354">
        <v>3</v>
      </c>
    </row>
    <row r="3355" spans="1:5" x14ac:dyDescent="0.25">
      <c r="A3355" s="173" t="s">
        <v>468</v>
      </c>
      <c r="B3355">
        <v>27012</v>
      </c>
      <c r="C3355" s="173" t="s">
        <v>303</v>
      </c>
      <c r="D3355" s="173" t="s">
        <v>470</v>
      </c>
      <c r="E3355">
        <v>3</v>
      </c>
    </row>
    <row r="3356" spans="1:5" x14ac:dyDescent="0.25">
      <c r="A3356" s="173" t="s">
        <v>468</v>
      </c>
      <c r="B3356">
        <v>27012</v>
      </c>
      <c r="C3356" s="173" t="s">
        <v>2679</v>
      </c>
      <c r="D3356" s="173" t="s">
        <v>470</v>
      </c>
      <c r="E3356">
        <v>3</v>
      </c>
    </row>
    <row r="3357" spans="1:5" x14ac:dyDescent="0.25">
      <c r="A3357" s="173" t="s">
        <v>468</v>
      </c>
      <c r="B3357">
        <v>27012</v>
      </c>
      <c r="C3357" s="173" t="s">
        <v>2680</v>
      </c>
      <c r="D3357" s="173" t="s">
        <v>470</v>
      </c>
      <c r="E3357">
        <v>3</v>
      </c>
    </row>
    <row r="3358" spans="1:5" x14ac:dyDescent="0.25">
      <c r="A3358" s="173" t="s">
        <v>468</v>
      </c>
      <c r="B3358">
        <v>27012</v>
      </c>
      <c r="C3358" s="173" t="s">
        <v>305</v>
      </c>
      <c r="D3358" s="173" t="s">
        <v>470</v>
      </c>
      <c r="E3358">
        <v>3</v>
      </c>
    </row>
    <row r="3359" spans="1:5" x14ac:dyDescent="0.25">
      <c r="A3359" s="173" t="s">
        <v>468</v>
      </c>
      <c r="B3359">
        <v>27012</v>
      </c>
      <c r="C3359" s="173" t="s">
        <v>2681</v>
      </c>
      <c r="D3359" s="173" t="s">
        <v>470</v>
      </c>
      <c r="E3359">
        <v>3</v>
      </c>
    </row>
    <row r="3360" spans="1:5" x14ac:dyDescent="0.25">
      <c r="A3360" s="173" t="s">
        <v>468</v>
      </c>
      <c r="B3360">
        <v>27036</v>
      </c>
      <c r="C3360" s="173" t="s">
        <v>4184</v>
      </c>
      <c r="D3360" s="173" t="s">
        <v>470</v>
      </c>
      <c r="E3360">
        <v>4</v>
      </c>
    </row>
    <row r="3361" spans="1:5" x14ac:dyDescent="0.25">
      <c r="A3361" s="173" t="s">
        <v>468</v>
      </c>
      <c r="B3361">
        <v>27036</v>
      </c>
      <c r="C3361" s="173" t="s">
        <v>4185</v>
      </c>
      <c r="D3361" s="173" t="s">
        <v>470</v>
      </c>
      <c r="E3361">
        <v>4</v>
      </c>
    </row>
    <row r="3362" spans="1:5" x14ac:dyDescent="0.25">
      <c r="A3362" s="173" t="s">
        <v>468</v>
      </c>
      <c r="B3362">
        <v>27036</v>
      </c>
      <c r="C3362" s="173" t="s">
        <v>4186</v>
      </c>
      <c r="D3362" s="173" t="s">
        <v>470</v>
      </c>
      <c r="E3362">
        <v>4</v>
      </c>
    </row>
    <row r="3363" spans="1:5" x14ac:dyDescent="0.25">
      <c r="A3363" s="173" t="s">
        <v>468</v>
      </c>
      <c r="B3363">
        <v>27036</v>
      </c>
      <c r="C3363" s="173" t="s">
        <v>4187</v>
      </c>
      <c r="D3363" s="173" t="s">
        <v>470</v>
      </c>
      <c r="E3363">
        <v>4</v>
      </c>
    </row>
    <row r="3364" spans="1:5" x14ac:dyDescent="0.25">
      <c r="A3364" s="173" t="s">
        <v>468</v>
      </c>
      <c r="B3364">
        <v>27036</v>
      </c>
      <c r="C3364" s="173" t="s">
        <v>4188</v>
      </c>
      <c r="D3364" s="173" t="s">
        <v>470</v>
      </c>
      <c r="E3364">
        <v>4</v>
      </c>
    </row>
    <row r="3365" spans="1:5" x14ac:dyDescent="0.25">
      <c r="A3365" s="173" t="s">
        <v>468</v>
      </c>
      <c r="B3365">
        <v>27036</v>
      </c>
      <c r="C3365" s="173" t="s">
        <v>4189</v>
      </c>
      <c r="D3365" s="173" t="s">
        <v>470</v>
      </c>
      <c r="E3365">
        <v>4</v>
      </c>
    </row>
    <row r="3366" spans="1:5" x14ac:dyDescent="0.25">
      <c r="A3366" s="173" t="s">
        <v>468</v>
      </c>
      <c r="B3366">
        <v>27036</v>
      </c>
      <c r="C3366" s="173" t="s">
        <v>4190</v>
      </c>
      <c r="D3366" s="173" t="s">
        <v>470</v>
      </c>
      <c r="E3366">
        <v>4</v>
      </c>
    </row>
    <row r="3367" spans="1:5" x14ac:dyDescent="0.25">
      <c r="A3367" s="173" t="s">
        <v>468</v>
      </c>
      <c r="B3367">
        <v>27036</v>
      </c>
      <c r="C3367" s="173" t="s">
        <v>4191</v>
      </c>
      <c r="D3367" s="173" t="s">
        <v>470</v>
      </c>
      <c r="E3367">
        <v>4</v>
      </c>
    </row>
    <row r="3368" spans="1:5" x14ac:dyDescent="0.25">
      <c r="A3368" s="173" t="s">
        <v>468</v>
      </c>
      <c r="B3368">
        <v>27036</v>
      </c>
      <c r="C3368" s="173" t="s">
        <v>4192</v>
      </c>
      <c r="D3368" s="173" t="s">
        <v>470</v>
      </c>
      <c r="E3368">
        <v>4</v>
      </c>
    </row>
    <row r="3369" spans="1:5" x14ac:dyDescent="0.25">
      <c r="A3369" s="173" t="s">
        <v>468</v>
      </c>
      <c r="B3369">
        <v>27036</v>
      </c>
      <c r="C3369" s="173" t="s">
        <v>4193</v>
      </c>
      <c r="D3369" s="173" t="s">
        <v>470</v>
      </c>
      <c r="E3369">
        <v>6</v>
      </c>
    </row>
    <row r="3370" spans="1:5" x14ac:dyDescent="0.25">
      <c r="A3370" s="173" t="s">
        <v>468</v>
      </c>
      <c r="B3370">
        <v>27036</v>
      </c>
      <c r="C3370" s="173" t="s">
        <v>4194</v>
      </c>
      <c r="D3370" s="173" t="s">
        <v>470</v>
      </c>
      <c r="E3370">
        <v>4</v>
      </c>
    </row>
    <row r="3371" spans="1:5" x14ac:dyDescent="0.25">
      <c r="A3371" s="173" t="s">
        <v>468</v>
      </c>
      <c r="B3371">
        <v>27036</v>
      </c>
      <c r="C3371" s="173" t="s">
        <v>4195</v>
      </c>
      <c r="D3371" s="173" t="s">
        <v>470</v>
      </c>
      <c r="E3371">
        <v>4</v>
      </c>
    </row>
    <row r="3372" spans="1:5" x14ac:dyDescent="0.25">
      <c r="A3372" s="173" t="s">
        <v>468</v>
      </c>
      <c r="B3372">
        <v>27036</v>
      </c>
      <c r="C3372" s="173" t="s">
        <v>4196</v>
      </c>
      <c r="D3372" s="173" t="s">
        <v>470</v>
      </c>
      <c r="E3372">
        <v>4</v>
      </c>
    </row>
    <row r="3373" spans="1:5" x14ac:dyDescent="0.25">
      <c r="A3373" s="173" t="s">
        <v>468</v>
      </c>
      <c r="B3373">
        <v>27036</v>
      </c>
      <c r="C3373" s="173" t="s">
        <v>4197</v>
      </c>
      <c r="D3373" s="173" t="s">
        <v>470</v>
      </c>
      <c r="E3373">
        <v>4</v>
      </c>
    </row>
    <row r="3374" spans="1:5" x14ac:dyDescent="0.25">
      <c r="A3374" s="173" t="s">
        <v>468</v>
      </c>
      <c r="B3374">
        <v>27036</v>
      </c>
      <c r="C3374" s="173" t="s">
        <v>4198</v>
      </c>
      <c r="D3374" s="173" t="s">
        <v>470</v>
      </c>
      <c r="E3374">
        <v>4</v>
      </c>
    </row>
    <row r="3375" spans="1:5" x14ac:dyDescent="0.25">
      <c r="A3375" s="173" t="s">
        <v>468</v>
      </c>
      <c r="B3375">
        <v>27036</v>
      </c>
      <c r="C3375" s="173" t="s">
        <v>4199</v>
      </c>
      <c r="D3375" s="173" t="s">
        <v>470</v>
      </c>
      <c r="E3375">
        <v>4</v>
      </c>
    </row>
    <row r="3376" spans="1:5" x14ac:dyDescent="0.25">
      <c r="A3376" s="173" t="s">
        <v>468</v>
      </c>
      <c r="B3376">
        <v>27036</v>
      </c>
      <c r="C3376" s="173" t="s">
        <v>4200</v>
      </c>
      <c r="D3376" s="173" t="s">
        <v>470</v>
      </c>
      <c r="E3376">
        <v>4</v>
      </c>
    </row>
    <row r="3377" spans="1:5" x14ac:dyDescent="0.25">
      <c r="A3377" s="173" t="s">
        <v>468</v>
      </c>
      <c r="B3377">
        <v>27036</v>
      </c>
      <c r="C3377" s="173" t="s">
        <v>4201</v>
      </c>
      <c r="D3377" s="173" t="s">
        <v>470</v>
      </c>
      <c r="E3377">
        <v>6</v>
      </c>
    </row>
    <row r="3378" spans="1:5" x14ac:dyDescent="0.25">
      <c r="A3378" s="173" t="s">
        <v>468</v>
      </c>
      <c r="B3378">
        <v>27036</v>
      </c>
      <c r="C3378" s="173" t="s">
        <v>4202</v>
      </c>
      <c r="D3378" s="173" t="s">
        <v>470</v>
      </c>
      <c r="E3378">
        <v>6</v>
      </c>
    </row>
    <row r="3379" spans="1:5" x14ac:dyDescent="0.25">
      <c r="A3379" s="173" t="s">
        <v>468</v>
      </c>
      <c r="B3379">
        <v>27036</v>
      </c>
      <c r="C3379" s="173" t="s">
        <v>4203</v>
      </c>
      <c r="D3379" s="173" t="s">
        <v>470</v>
      </c>
      <c r="E3379">
        <v>4</v>
      </c>
    </row>
    <row r="3380" spans="1:5" x14ac:dyDescent="0.25">
      <c r="A3380" s="173" t="s">
        <v>468</v>
      </c>
      <c r="B3380">
        <v>27036</v>
      </c>
      <c r="C3380" s="173" t="s">
        <v>4204</v>
      </c>
      <c r="D3380" s="173" t="s">
        <v>470</v>
      </c>
      <c r="E3380">
        <v>4</v>
      </c>
    </row>
    <row r="3381" spans="1:5" x14ac:dyDescent="0.25">
      <c r="A3381" s="173" t="s">
        <v>468</v>
      </c>
      <c r="B3381">
        <v>27036</v>
      </c>
      <c r="C3381" s="173" t="s">
        <v>4205</v>
      </c>
      <c r="D3381" s="173" t="s">
        <v>470</v>
      </c>
      <c r="E3381">
        <v>4</v>
      </c>
    </row>
    <row r="3382" spans="1:5" x14ac:dyDescent="0.25">
      <c r="A3382" s="173" t="s">
        <v>468</v>
      </c>
      <c r="B3382">
        <v>27036</v>
      </c>
      <c r="C3382" s="173" t="s">
        <v>4206</v>
      </c>
      <c r="D3382" s="173" t="s">
        <v>470</v>
      </c>
      <c r="E3382">
        <v>4</v>
      </c>
    </row>
    <row r="3383" spans="1:5" x14ac:dyDescent="0.25">
      <c r="A3383" s="173" t="s">
        <v>468</v>
      </c>
      <c r="B3383">
        <v>27036</v>
      </c>
      <c r="C3383" s="173" t="s">
        <v>4207</v>
      </c>
      <c r="D3383" s="173" t="s">
        <v>470</v>
      </c>
      <c r="E3383">
        <v>4</v>
      </c>
    </row>
    <row r="3384" spans="1:5" x14ac:dyDescent="0.25">
      <c r="A3384" s="173" t="s">
        <v>468</v>
      </c>
      <c r="B3384">
        <v>27036</v>
      </c>
      <c r="C3384" s="173" t="s">
        <v>4208</v>
      </c>
      <c r="D3384" s="173" t="s">
        <v>470</v>
      </c>
      <c r="E3384">
        <v>5</v>
      </c>
    </row>
    <row r="3385" spans="1:5" x14ac:dyDescent="0.25">
      <c r="A3385" s="173" t="s">
        <v>468</v>
      </c>
      <c r="B3385">
        <v>27036</v>
      </c>
      <c r="C3385" s="173" t="s">
        <v>4209</v>
      </c>
      <c r="D3385" s="173" t="s">
        <v>470</v>
      </c>
      <c r="E3385">
        <v>5</v>
      </c>
    </row>
    <row r="3386" spans="1:5" x14ac:dyDescent="0.25">
      <c r="A3386" s="173" t="s">
        <v>468</v>
      </c>
      <c r="B3386">
        <v>27036</v>
      </c>
      <c r="C3386" s="173" t="s">
        <v>4210</v>
      </c>
      <c r="D3386" s="173" t="s">
        <v>470</v>
      </c>
      <c r="E3386">
        <v>5</v>
      </c>
    </row>
    <row r="3387" spans="1:5" x14ac:dyDescent="0.25">
      <c r="A3387" s="173" t="s">
        <v>468</v>
      </c>
      <c r="B3387">
        <v>27036</v>
      </c>
      <c r="C3387" s="173" t="s">
        <v>4211</v>
      </c>
      <c r="D3387" s="173" t="s">
        <v>470</v>
      </c>
      <c r="E3387">
        <v>3</v>
      </c>
    </row>
    <row r="3388" spans="1:5" x14ac:dyDescent="0.25">
      <c r="A3388" s="173" t="s">
        <v>468</v>
      </c>
      <c r="B3388">
        <v>27036</v>
      </c>
      <c r="C3388" s="173" t="s">
        <v>4212</v>
      </c>
      <c r="D3388" s="173" t="s">
        <v>470</v>
      </c>
      <c r="E3388">
        <v>3</v>
      </c>
    </row>
    <row r="3389" spans="1:5" x14ac:dyDescent="0.25">
      <c r="A3389" s="173" t="s">
        <v>468</v>
      </c>
      <c r="B3389">
        <v>27036</v>
      </c>
      <c r="C3389" s="173" t="s">
        <v>4213</v>
      </c>
      <c r="D3389" s="173" t="s">
        <v>470</v>
      </c>
      <c r="E3389">
        <v>3</v>
      </c>
    </row>
    <row r="3390" spans="1:5" x14ac:dyDescent="0.25">
      <c r="A3390" s="173" t="s">
        <v>468</v>
      </c>
      <c r="B3390">
        <v>27036</v>
      </c>
      <c r="C3390" s="173" t="s">
        <v>4214</v>
      </c>
      <c r="D3390" s="173" t="s">
        <v>470</v>
      </c>
      <c r="E3390">
        <v>3</v>
      </c>
    </row>
    <row r="3391" spans="1:5" x14ac:dyDescent="0.25">
      <c r="A3391" s="173" t="s">
        <v>468</v>
      </c>
      <c r="B3391">
        <v>27036</v>
      </c>
      <c r="C3391" s="173" t="s">
        <v>4215</v>
      </c>
      <c r="D3391" s="173" t="s">
        <v>470</v>
      </c>
      <c r="E3391">
        <v>4</v>
      </c>
    </row>
    <row r="3392" spans="1:5" x14ac:dyDescent="0.25">
      <c r="A3392" s="173" t="s">
        <v>468</v>
      </c>
      <c r="B3392">
        <v>27036</v>
      </c>
      <c r="C3392" s="173" t="s">
        <v>4216</v>
      </c>
      <c r="D3392" s="173" t="s">
        <v>470</v>
      </c>
      <c r="E3392">
        <v>1</v>
      </c>
    </row>
    <row r="3393" spans="1:5" x14ac:dyDescent="0.25">
      <c r="A3393" s="173" t="s">
        <v>468</v>
      </c>
      <c r="B3393">
        <v>27036</v>
      </c>
      <c r="C3393" s="173" t="s">
        <v>4217</v>
      </c>
      <c r="D3393" s="173" t="s">
        <v>470</v>
      </c>
      <c r="E3393">
        <v>4</v>
      </c>
    </row>
    <row r="3394" spans="1:5" x14ac:dyDescent="0.25">
      <c r="A3394" s="173" t="s">
        <v>468</v>
      </c>
      <c r="B3394">
        <v>27036</v>
      </c>
      <c r="C3394" s="173" t="s">
        <v>4218</v>
      </c>
      <c r="D3394" s="173" t="s">
        <v>470</v>
      </c>
      <c r="E3394">
        <v>5</v>
      </c>
    </row>
    <row r="3395" spans="1:5" x14ac:dyDescent="0.25">
      <c r="A3395" s="173" t="s">
        <v>468</v>
      </c>
      <c r="B3395">
        <v>27036</v>
      </c>
      <c r="C3395" s="173" t="s">
        <v>4219</v>
      </c>
      <c r="D3395" s="173" t="s">
        <v>470</v>
      </c>
      <c r="E3395">
        <v>5</v>
      </c>
    </row>
    <row r="3396" spans="1:5" x14ac:dyDescent="0.25">
      <c r="A3396" s="173" t="s">
        <v>468</v>
      </c>
      <c r="B3396">
        <v>27036</v>
      </c>
      <c r="C3396" s="173" t="s">
        <v>4220</v>
      </c>
      <c r="D3396" s="173" t="s">
        <v>470</v>
      </c>
      <c r="E3396">
        <v>5</v>
      </c>
    </row>
    <row r="3397" spans="1:5" x14ac:dyDescent="0.25">
      <c r="A3397" s="173" t="s">
        <v>468</v>
      </c>
      <c r="B3397">
        <v>27036</v>
      </c>
      <c r="C3397" s="173" t="s">
        <v>4221</v>
      </c>
      <c r="D3397" s="173" t="s">
        <v>470</v>
      </c>
      <c r="E3397">
        <v>5</v>
      </c>
    </row>
    <row r="3398" spans="1:5" x14ac:dyDescent="0.25">
      <c r="A3398" s="173" t="s">
        <v>468</v>
      </c>
      <c r="B3398">
        <v>27036</v>
      </c>
      <c r="C3398" s="173" t="s">
        <v>4222</v>
      </c>
      <c r="D3398" s="173" t="s">
        <v>470</v>
      </c>
      <c r="E3398">
        <v>2</v>
      </c>
    </row>
    <row r="3399" spans="1:5" x14ac:dyDescent="0.25">
      <c r="A3399" s="173" t="s">
        <v>468</v>
      </c>
      <c r="B3399">
        <v>27036</v>
      </c>
      <c r="C3399" s="173" t="s">
        <v>4223</v>
      </c>
      <c r="D3399" s="173" t="s">
        <v>470</v>
      </c>
      <c r="E3399">
        <v>2</v>
      </c>
    </row>
    <row r="3400" spans="1:5" x14ac:dyDescent="0.25">
      <c r="A3400" s="173" t="s">
        <v>468</v>
      </c>
      <c r="B3400">
        <v>27036</v>
      </c>
      <c r="C3400" s="173" t="s">
        <v>4224</v>
      </c>
      <c r="D3400" s="173" t="s">
        <v>470</v>
      </c>
      <c r="E3400">
        <v>2</v>
      </c>
    </row>
    <row r="3401" spans="1:5" x14ac:dyDescent="0.25">
      <c r="A3401" s="173" t="s">
        <v>468</v>
      </c>
      <c r="B3401">
        <v>27036</v>
      </c>
      <c r="C3401" s="173" t="s">
        <v>4225</v>
      </c>
      <c r="D3401" s="173" t="s">
        <v>470</v>
      </c>
      <c r="E3401">
        <v>2</v>
      </c>
    </row>
    <row r="3402" spans="1:5" x14ac:dyDescent="0.25">
      <c r="A3402" s="173" t="s">
        <v>468</v>
      </c>
      <c r="B3402">
        <v>27036</v>
      </c>
      <c r="C3402" s="173" t="s">
        <v>4226</v>
      </c>
      <c r="D3402" s="173" t="s">
        <v>470</v>
      </c>
      <c r="E3402">
        <v>2</v>
      </c>
    </row>
    <row r="3403" spans="1:5" x14ac:dyDescent="0.25">
      <c r="A3403" s="173" t="s">
        <v>468</v>
      </c>
      <c r="B3403">
        <v>27036</v>
      </c>
      <c r="C3403" s="173" t="s">
        <v>4227</v>
      </c>
      <c r="D3403" s="173" t="s">
        <v>470</v>
      </c>
      <c r="E3403">
        <v>2</v>
      </c>
    </row>
    <row r="3404" spans="1:5" x14ac:dyDescent="0.25">
      <c r="A3404" s="173" t="s">
        <v>468</v>
      </c>
      <c r="B3404">
        <v>27040</v>
      </c>
      <c r="C3404" s="173" t="s">
        <v>2682</v>
      </c>
      <c r="D3404" s="173" t="s">
        <v>470</v>
      </c>
      <c r="E3404">
        <v>1</v>
      </c>
    </row>
    <row r="3405" spans="1:5" x14ac:dyDescent="0.25">
      <c r="A3405" s="173" t="s">
        <v>468</v>
      </c>
      <c r="B3405">
        <v>27040</v>
      </c>
      <c r="C3405" s="173" t="s">
        <v>2683</v>
      </c>
      <c r="D3405" s="173" t="s">
        <v>470</v>
      </c>
      <c r="E3405">
        <v>1</v>
      </c>
    </row>
    <row r="3406" spans="1:5" x14ac:dyDescent="0.25">
      <c r="A3406" s="173" t="s">
        <v>468</v>
      </c>
      <c r="B3406">
        <v>27040</v>
      </c>
      <c r="C3406" s="173" t="s">
        <v>2684</v>
      </c>
      <c r="D3406" s="173" t="s">
        <v>470</v>
      </c>
      <c r="E3406">
        <v>1</v>
      </c>
    </row>
    <row r="3407" spans="1:5" x14ac:dyDescent="0.25">
      <c r="A3407" s="173" t="s">
        <v>468</v>
      </c>
      <c r="B3407">
        <v>27040</v>
      </c>
      <c r="C3407" s="173" t="s">
        <v>2685</v>
      </c>
      <c r="D3407" s="173" t="s">
        <v>470</v>
      </c>
      <c r="E3407">
        <v>1</v>
      </c>
    </row>
    <row r="3408" spans="1:5" x14ac:dyDescent="0.25">
      <c r="A3408" s="173" t="s">
        <v>468</v>
      </c>
      <c r="B3408">
        <v>27040</v>
      </c>
      <c r="C3408" s="173" t="s">
        <v>359</v>
      </c>
      <c r="D3408" s="173" t="s">
        <v>470</v>
      </c>
      <c r="E3408">
        <v>2</v>
      </c>
    </row>
    <row r="3409" spans="1:5" x14ac:dyDescent="0.25">
      <c r="A3409" s="173" t="s">
        <v>468</v>
      </c>
      <c r="B3409">
        <v>27040</v>
      </c>
      <c r="C3409" s="173" t="s">
        <v>361</v>
      </c>
      <c r="D3409" s="173" t="s">
        <v>470</v>
      </c>
      <c r="E3409">
        <v>1</v>
      </c>
    </row>
    <row r="3410" spans="1:5" x14ac:dyDescent="0.25">
      <c r="A3410" s="173" t="s">
        <v>468</v>
      </c>
      <c r="B3410">
        <v>27040</v>
      </c>
      <c r="C3410" s="173" t="s">
        <v>358</v>
      </c>
      <c r="D3410" s="173" t="s">
        <v>470</v>
      </c>
      <c r="E3410">
        <v>1</v>
      </c>
    </row>
    <row r="3411" spans="1:5" x14ac:dyDescent="0.25">
      <c r="A3411" s="173" t="s">
        <v>468</v>
      </c>
      <c r="B3411">
        <v>27040</v>
      </c>
      <c r="C3411" s="173" t="s">
        <v>2686</v>
      </c>
      <c r="D3411" s="173" t="s">
        <v>470</v>
      </c>
      <c r="E3411">
        <v>2</v>
      </c>
    </row>
    <row r="3412" spans="1:5" x14ac:dyDescent="0.25">
      <c r="A3412" s="173" t="s">
        <v>468</v>
      </c>
      <c r="B3412">
        <v>27040</v>
      </c>
      <c r="C3412" s="173" t="s">
        <v>2687</v>
      </c>
      <c r="D3412" s="173" t="s">
        <v>470</v>
      </c>
      <c r="E3412">
        <v>1</v>
      </c>
    </row>
    <row r="3413" spans="1:5" x14ac:dyDescent="0.25">
      <c r="A3413" s="173" t="s">
        <v>468</v>
      </c>
      <c r="B3413">
        <v>27040</v>
      </c>
      <c r="C3413" s="173" t="s">
        <v>2688</v>
      </c>
      <c r="D3413" s="173" t="s">
        <v>470</v>
      </c>
      <c r="E3413">
        <v>2</v>
      </c>
    </row>
    <row r="3414" spans="1:5" x14ac:dyDescent="0.25">
      <c r="A3414" s="173" t="s">
        <v>468</v>
      </c>
      <c r="B3414">
        <v>27040</v>
      </c>
      <c r="C3414" s="173" t="s">
        <v>2689</v>
      </c>
      <c r="D3414" s="173" t="s">
        <v>470</v>
      </c>
      <c r="E3414">
        <v>1</v>
      </c>
    </row>
    <row r="3415" spans="1:5" x14ac:dyDescent="0.25">
      <c r="A3415" s="173" t="s">
        <v>468</v>
      </c>
      <c r="B3415">
        <v>27040</v>
      </c>
      <c r="C3415" s="173" t="s">
        <v>2690</v>
      </c>
      <c r="D3415" s="173" t="s">
        <v>470</v>
      </c>
      <c r="E3415">
        <v>1</v>
      </c>
    </row>
    <row r="3416" spans="1:5" x14ac:dyDescent="0.25">
      <c r="A3416" s="173" t="s">
        <v>468</v>
      </c>
      <c r="B3416">
        <v>27040</v>
      </c>
      <c r="C3416" s="173" t="s">
        <v>2691</v>
      </c>
      <c r="D3416" s="173" t="s">
        <v>470</v>
      </c>
      <c r="E3416">
        <v>1</v>
      </c>
    </row>
    <row r="3417" spans="1:5" x14ac:dyDescent="0.25">
      <c r="A3417" s="173" t="s">
        <v>468</v>
      </c>
      <c r="B3417">
        <v>27040</v>
      </c>
      <c r="C3417" s="173" t="s">
        <v>2692</v>
      </c>
      <c r="D3417" s="173" t="s">
        <v>470</v>
      </c>
      <c r="E3417">
        <v>1</v>
      </c>
    </row>
    <row r="3418" spans="1:5" x14ac:dyDescent="0.25">
      <c r="A3418" s="173" t="s">
        <v>468</v>
      </c>
      <c r="B3418">
        <v>27040</v>
      </c>
      <c r="C3418" s="173" t="s">
        <v>2693</v>
      </c>
      <c r="D3418" s="173" t="s">
        <v>470</v>
      </c>
      <c r="E3418">
        <v>1</v>
      </c>
    </row>
    <row r="3419" spans="1:5" x14ac:dyDescent="0.25">
      <c r="A3419" s="173" t="s">
        <v>468</v>
      </c>
      <c r="B3419">
        <v>27040</v>
      </c>
      <c r="C3419" s="173" t="s">
        <v>2694</v>
      </c>
      <c r="D3419" s="173" t="s">
        <v>470</v>
      </c>
      <c r="E3419">
        <v>1</v>
      </c>
    </row>
    <row r="3420" spans="1:5" x14ac:dyDescent="0.25">
      <c r="A3420" s="173" t="s">
        <v>468</v>
      </c>
      <c r="B3420">
        <v>27040</v>
      </c>
      <c r="C3420" s="173" t="s">
        <v>2695</v>
      </c>
      <c r="D3420" s="173" t="s">
        <v>470</v>
      </c>
      <c r="E3420">
        <v>1</v>
      </c>
    </row>
    <row r="3421" spans="1:5" x14ac:dyDescent="0.25">
      <c r="A3421" s="173" t="s">
        <v>468</v>
      </c>
      <c r="B3421">
        <v>27040</v>
      </c>
      <c r="C3421" s="173" t="s">
        <v>2696</v>
      </c>
      <c r="D3421" s="173" t="s">
        <v>470</v>
      </c>
      <c r="E3421">
        <v>1</v>
      </c>
    </row>
    <row r="3422" spans="1:5" x14ac:dyDescent="0.25">
      <c r="A3422" s="173" t="s">
        <v>468</v>
      </c>
      <c r="B3422">
        <v>27040</v>
      </c>
      <c r="C3422" s="173" t="s">
        <v>2697</v>
      </c>
      <c r="D3422" s="173" t="s">
        <v>470</v>
      </c>
      <c r="E3422">
        <v>2</v>
      </c>
    </row>
    <row r="3423" spans="1:5" x14ac:dyDescent="0.25">
      <c r="A3423" s="173" t="s">
        <v>468</v>
      </c>
      <c r="B3423">
        <v>27040</v>
      </c>
      <c r="C3423" s="173" t="s">
        <v>2698</v>
      </c>
      <c r="D3423" s="173" t="s">
        <v>470</v>
      </c>
      <c r="E3423">
        <v>1</v>
      </c>
    </row>
    <row r="3424" spans="1:5" x14ac:dyDescent="0.25">
      <c r="A3424" s="173" t="s">
        <v>468</v>
      </c>
      <c r="B3424">
        <v>27040</v>
      </c>
      <c r="C3424" s="173" t="s">
        <v>362</v>
      </c>
      <c r="D3424" s="173" t="s">
        <v>470</v>
      </c>
      <c r="E3424">
        <v>1</v>
      </c>
    </row>
    <row r="3425" spans="1:5" x14ac:dyDescent="0.25">
      <c r="A3425" s="173" t="s">
        <v>468</v>
      </c>
      <c r="B3425">
        <v>27040</v>
      </c>
      <c r="C3425" s="173" t="s">
        <v>2699</v>
      </c>
      <c r="D3425" s="173" t="s">
        <v>470</v>
      </c>
      <c r="E3425">
        <v>1</v>
      </c>
    </row>
    <row r="3426" spans="1:5" x14ac:dyDescent="0.25">
      <c r="A3426" s="173" t="s">
        <v>468</v>
      </c>
      <c r="B3426">
        <v>27040</v>
      </c>
      <c r="C3426" s="173" t="s">
        <v>2700</v>
      </c>
      <c r="D3426" s="173" t="s">
        <v>470</v>
      </c>
      <c r="E3426">
        <v>1</v>
      </c>
    </row>
    <row r="3427" spans="1:5" x14ac:dyDescent="0.25">
      <c r="A3427" s="173" t="s">
        <v>468</v>
      </c>
      <c r="B3427">
        <v>27040</v>
      </c>
      <c r="C3427" s="173" t="s">
        <v>2701</v>
      </c>
      <c r="D3427" s="173" t="s">
        <v>470</v>
      </c>
      <c r="E3427">
        <v>1</v>
      </c>
    </row>
    <row r="3428" spans="1:5" x14ac:dyDescent="0.25">
      <c r="A3428" s="173" t="s">
        <v>468</v>
      </c>
      <c r="B3428">
        <v>27040</v>
      </c>
      <c r="C3428" s="173" t="s">
        <v>363</v>
      </c>
      <c r="D3428" s="173" t="s">
        <v>470</v>
      </c>
      <c r="E3428">
        <v>1</v>
      </c>
    </row>
    <row r="3429" spans="1:5" x14ac:dyDescent="0.25">
      <c r="A3429" s="173" t="s">
        <v>468</v>
      </c>
      <c r="B3429">
        <v>27040</v>
      </c>
      <c r="C3429" s="173" t="s">
        <v>364</v>
      </c>
      <c r="D3429" s="173" t="s">
        <v>470</v>
      </c>
      <c r="E3429">
        <v>1</v>
      </c>
    </row>
    <row r="3430" spans="1:5" x14ac:dyDescent="0.25">
      <c r="A3430" s="173" t="s">
        <v>468</v>
      </c>
      <c r="B3430">
        <v>27040</v>
      </c>
      <c r="C3430" s="173" t="s">
        <v>2702</v>
      </c>
      <c r="D3430" s="173" t="s">
        <v>470</v>
      </c>
      <c r="E3430">
        <v>1</v>
      </c>
    </row>
    <row r="3431" spans="1:5" x14ac:dyDescent="0.25">
      <c r="A3431" s="173" t="s">
        <v>468</v>
      </c>
      <c r="B3431">
        <v>27040</v>
      </c>
      <c r="C3431" s="173" t="s">
        <v>2703</v>
      </c>
      <c r="D3431" s="173" t="s">
        <v>470</v>
      </c>
      <c r="E3431">
        <v>1</v>
      </c>
    </row>
    <row r="3432" spans="1:5" x14ac:dyDescent="0.25">
      <c r="A3432" s="173" t="s">
        <v>468</v>
      </c>
      <c r="B3432">
        <v>27045</v>
      </c>
      <c r="C3432" s="173" t="s">
        <v>2704</v>
      </c>
      <c r="D3432" s="173" t="s">
        <v>470</v>
      </c>
      <c r="E3432">
        <v>2</v>
      </c>
    </row>
    <row r="3433" spans="1:5" x14ac:dyDescent="0.25">
      <c r="A3433" s="173" t="s">
        <v>468</v>
      </c>
      <c r="B3433">
        <v>27045</v>
      </c>
      <c r="C3433" s="173" t="s">
        <v>2705</v>
      </c>
      <c r="D3433" s="173" t="s">
        <v>470</v>
      </c>
      <c r="E3433">
        <v>1</v>
      </c>
    </row>
    <row r="3434" spans="1:5" x14ac:dyDescent="0.25">
      <c r="A3434" s="173" t="s">
        <v>468</v>
      </c>
      <c r="B3434">
        <v>27045</v>
      </c>
      <c r="C3434" s="173" t="s">
        <v>2706</v>
      </c>
      <c r="D3434" s="173" t="s">
        <v>470</v>
      </c>
      <c r="E3434">
        <v>1</v>
      </c>
    </row>
    <row r="3435" spans="1:5" x14ac:dyDescent="0.25">
      <c r="A3435" s="173" t="s">
        <v>468</v>
      </c>
      <c r="B3435">
        <v>27045</v>
      </c>
      <c r="C3435" s="173" t="s">
        <v>2707</v>
      </c>
      <c r="D3435" s="173" t="s">
        <v>470</v>
      </c>
      <c r="E3435">
        <v>1</v>
      </c>
    </row>
    <row r="3436" spans="1:5" x14ac:dyDescent="0.25">
      <c r="A3436" s="173" t="s">
        <v>468</v>
      </c>
      <c r="B3436">
        <v>27045</v>
      </c>
      <c r="C3436" s="173" t="s">
        <v>2708</v>
      </c>
      <c r="D3436" s="173" t="s">
        <v>470</v>
      </c>
      <c r="E3436">
        <v>1</v>
      </c>
    </row>
    <row r="3437" spans="1:5" x14ac:dyDescent="0.25">
      <c r="A3437" s="173" t="s">
        <v>468</v>
      </c>
      <c r="B3437">
        <v>27045</v>
      </c>
      <c r="C3437" s="173" t="s">
        <v>2709</v>
      </c>
      <c r="D3437" s="173" t="s">
        <v>470</v>
      </c>
      <c r="E3437">
        <v>2</v>
      </c>
    </row>
    <row r="3438" spans="1:5" x14ac:dyDescent="0.25">
      <c r="A3438" s="173" t="s">
        <v>468</v>
      </c>
      <c r="B3438">
        <v>27045</v>
      </c>
      <c r="C3438" s="173" t="s">
        <v>2710</v>
      </c>
      <c r="D3438" s="173" t="s">
        <v>470</v>
      </c>
      <c r="E3438">
        <v>1</v>
      </c>
    </row>
    <row r="3439" spans="1:5" x14ac:dyDescent="0.25">
      <c r="A3439" s="173" t="s">
        <v>468</v>
      </c>
      <c r="B3439">
        <v>27045</v>
      </c>
      <c r="C3439" s="173" t="s">
        <v>2711</v>
      </c>
      <c r="D3439" s="173" t="s">
        <v>470</v>
      </c>
      <c r="E3439">
        <v>1</v>
      </c>
    </row>
    <row r="3440" spans="1:5" x14ac:dyDescent="0.25">
      <c r="A3440" s="173" t="s">
        <v>468</v>
      </c>
      <c r="B3440">
        <v>27045</v>
      </c>
      <c r="C3440" s="173" t="s">
        <v>2712</v>
      </c>
      <c r="D3440" s="173" t="s">
        <v>470</v>
      </c>
      <c r="E3440">
        <v>2</v>
      </c>
    </row>
    <row r="3441" spans="1:5" x14ac:dyDescent="0.25">
      <c r="A3441" s="173" t="s">
        <v>468</v>
      </c>
      <c r="B3441">
        <v>27045</v>
      </c>
      <c r="C3441" s="173" t="s">
        <v>2713</v>
      </c>
      <c r="D3441" s="173" t="s">
        <v>470</v>
      </c>
      <c r="E3441">
        <v>2</v>
      </c>
    </row>
    <row r="3442" spans="1:5" x14ac:dyDescent="0.25">
      <c r="A3442" s="173" t="s">
        <v>468</v>
      </c>
      <c r="B3442">
        <v>27045</v>
      </c>
      <c r="C3442" s="173" t="s">
        <v>2714</v>
      </c>
      <c r="D3442" s="173" t="s">
        <v>470</v>
      </c>
      <c r="E3442">
        <v>1</v>
      </c>
    </row>
    <row r="3443" spans="1:5" x14ac:dyDescent="0.25">
      <c r="A3443" s="173" t="s">
        <v>468</v>
      </c>
      <c r="B3443">
        <v>27045</v>
      </c>
      <c r="C3443" s="173" t="s">
        <v>2715</v>
      </c>
      <c r="D3443" s="173" t="s">
        <v>470</v>
      </c>
      <c r="E3443">
        <v>1</v>
      </c>
    </row>
    <row r="3444" spans="1:5" x14ac:dyDescent="0.25">
      <c r="A3444" s="173" t="s">
        <v>468</v>
      </c>
      <c r="B3444">
        <v>27045</v>
      </c>
      <c r="C3444" s="173" t="s">
        <v>2716</v>
      </c>
      <c r="D3444" s="173" t="s">
        <v>470</v>
      </c>
      <c r="E3444">
        <v>1</v>
      </c>
    </row>
    <row r="3445" spans="1:5" x14ac:dyDescent="0.25">
      <c r="A3445" s="173" t="s">
        <v>468</v>
      </c>
      <c r="B3445">
        <v>27045</v>
      </c>
      <c r="C3445" s="173" t="s">
        <v>2717</v>
      </c>
      <c r="D3445" s="173" t="s">
        <v>470</v>
      </c>
      <c r="E3445">
        <v>1</v>
      </c>
    </row>
    <row r="3446" spans="1:5" x14ac:dyDescent="0.25">
      <c r="A3446" s="173" t="s">
        <v>468</v>
      </c>
      <c r="B3446">
        <v>27045</v>
      </c>
      <c r="C3446" s="173" t="s">
        <v>2718</v>
      </c>
      <c r="D3446" s="173" t="s">
        <v>470</v>
      </c>
      <c r="E3446">
        <v>1</v>
      </c>
    </row>
    <row r="3447" spans="1:5" x14ac:dyDescent="0.25">
      <c r="A3447" s="173" t="s">
        <v>468</v>
      </c>
      <c r="B3447">
        <v>27045</v>
      </c>
      <c r="C3447" s="173" t="s">
        <v>2719</v>
      </c>
      <c r="D3447" s="173" t="s">
        <v>470</v>
      </c>
      <c r="E3447">
        <v>1</v>
      </c>
    </row>
    <row r="3448" spans="1:5" x14ac:dyDescent="0.25">
      <c r="A3448" s="173" t="s">
        <v>468</v>
      </c>
      <c r="B3448">
        <v>27046</v>
      </c>
      <c r="C3448" s="173" t="s">
        <v>351</v>
      </c>
      <c r="D3448" s="173" t="s">
        <v>470</v>
      </c>
      <c r="E3448">
        <v>1</v>
      </c>
    </row>
    <row r="3449" spans="1:5" x14ac:dyDescent="0.25">
      <c r="A3449" s="173" t="s">
        <v>468</v>
      </c>
      <c r="B3449">
        <v>27046</v>
      </c>
      <c r="C3449" s="173" t="s">
        <v>2720</v>
      </c>
      <c r="D3449" s="173" t="s">
        <v>470</v>
      </c>
      <c r="E3449">
        <v>1</v>
      </c>
    </row>
    <row r="3450" spans="1:5" x14ac:dyDescent="0.25">
      <c r="A3450" s="173" t="s">
        <v>468</v>
      </c>
      <c r="B3450">
        <v>27046</v>
      </c>
      <c r="C3450" s="173" t="s">
        <v>2721</v>
      </c>
      <c r="D3450" s="173" t="s">
        <v>470</v>
      </c>
      <c r="E3450">
        <v>1</v>
      </c>
    </row>
    <row r="3451" spans="1:5" x14ac:dyDescent="0.25">
      <c r="A3451" s="173" t="s">
        <v>468</v>
      </c>
      <c r="B3451">
        <v>27046</v>
      </c>
      <c r="C3451" s="173" t="s">
        <v>2722</v>
      </c>
      <c r="D3451" s="173" t="s">
        <v>470</v>
      </c>
      <c r="E3451">
        <v>1</v>
      </c>
    </row>
    <row r="3452" spans="1:5" x14ac:dyDescent="0.25">
      <c r="A3452" s="173" t="s">
        <v>468</v>
      </c>
      <c r="B3452">
        <v>27046</v>
      </c>
      <c r="C3452" s="173" t="s">
        <v>2723</v>
      </c>
      <c r="D3452" s="173" t="s">
        <v>470</v>
      </c>
      <c r="E3452">
        <v>1</v>
      </c>
    </row>
    <row r="3453" spans="1:5" x14ac:dyDescent="0.25">
      <c r="A3453" s="173" t="s">
        <v>468</v>
      </c>
      <c r="B3453">
        <v>27046</v>
      </c>
      <c r="C3453" s="173" t="s">
        <v>352</v>
      </c>
      <c r="D3453" s="173" t="s">
        <v>470</v>
      </c>
      <c r="E3453">
        <v>1</v>
      </c>
    </row>
    <row r="3454" spans="1:5" x14ac:dyDescent="0.25">
      <c r="A3454" s="173" t="s">
        <v>468</v>
      </c>
      <c r="B3454">
        <v>27046</v>
      </c>
      <c r="C3454" s="173" t="s">
        <v>353</v>
      </c>
      <c r="D3454" s="173" t="s">
        <v>470</v>
      </c>
      <c r="E3454">
        <v>1</v>
      </c>
    </row>
    <row r="3455" spans="1:5" x14ac:dyDescent="0.25">
      <c r="A3455" s="173" t="s">
        <v>468</v>
      </c>
      <c r="B3455">
        <v>27046</v>
      </c>
      <c r="C3455" s="173" t="s">
        <v>356</v>
      </c>
      <c r="D3455" s="173" t="s">
        <v>470</v>
      </c>
      <c r="E3455">
        <v>1</v>
      </c>
    </row>
    <row r="3456" spans="1:5" x14ac:dyDescent="0.25">
      <c r="A3456" s="173" t="s">
        <v>468</v>
      </c>
      <c r="B3456">
        <v>27114</v>
      </c>
      <c r="C3456" s="173" t="s">
        <v>4228</v>
      </c>
      <c r="D3456" s="173" t="s">
        <v>470</v>
      </c>
      <c r="E3456">
        <v>5</v>
      </c>
    </row>
    <row r="3457" spans="1:5" x14ac:dyDescent="0.25">
      <c r="A3457" s="173" t="s">
        <v>468</v>
      </c>
      <c r="B3457">
        <v>27114</v>
      </c>
      <c r="C3457" s="173" t="s">
        <v>4229</v>
      </c>
      <c r="D3457" s="173" t="s">
        <v>470</v>
      </c>
      <c r="E3457">
        <v>5</v>
      </c>
    </row>
    <row r="3458" spans="1:5" x14ac:dyDescent="0.25">
      <c r="A3458" s="173" t="s">
        <v>468</v>
      </c>
      <c r="B3458">
        <v>27114</v>
      </c>
      <c r="C3458" s="173" t="s">
        <v>4230</v>
      </c>
      <c r="D3458" s="173" t="s">
        <v>470</v>
      </c>
      <c r="E3458">
        <v>1</v>
      </c>
    </row>
    <row r="3459" spans="1:5" x14ac:dyDescent="0.25">
      <c r="A3459" s="173" t="s">
        <v>468</v>
      </c>
      <c r="B3459">
        <v>27114</v>
      </c>
      <c r="C3459" s="173" t="s">
        <v>4231</v>
      </c>
      <c r="D3459" s="173" t="s">
        <v>470</v>
      </c>
      <c r="E3459">
        <v>1</v>
      </c>
    </row>
    <row r="3460" spans="1:5" x14ac:dyDescent="0.25">
      <c r="A3460" s="173" t="s">
        <v>468</v>
      </c>
      <c r="B3460">
        <v>27114</v>
      </c>
      <c r="C3460" s="173" t="s">
        <v>4232</v>
      </c>
      <c r="D3460" s="173" t="s">
        <v>470</v>
      </c>
      <c r="E3460">
        <v>2</v>
      </c>
    </row>
    <row r="3461" spans="1:5" x14ac:dyDescent="0.25">
      <c r="A3461" s="173" t="s">
        <v>468</v>
      </c>
      <c r="B3461">
        <v>27114</v>
      </c>
      <c r="C3461" s="173" t="s">
        <v>4233</v>
      </c>
      <c r="D3461" s="173" t="s">
        <v>470</v>
      </c>
      <c r="E3461">
        <v>2</v>
      </c>
    </row>
    <row r="3462" spans="1:5" x14ac:dyDescent="0.25">
      <c r="A3462" s="173" t="s">
        <v>468</v>
      </c>
      <c r="B3462">
        <v>27114</v>
      </c>
      <c r="C3462" s="173" t="s">
        <v>4234</v>
      </c>
      <c r="D3462" s="173" t="s">
        <v>470</v>
      </c>
      <c r="E3462">
        <v>2</v>
      </c>
    </row>
    <row r="3463" spans="1:5" x14ac:dyDescent="0.25">
      <c r="A3463" s="173" t="s">
        <v>468</v>
      </c>
      <c r="B3463">
        <v>27114</v>
      </c>
      <c r="C3463" s="173" t="s">
        <v>4235</v>
      </c>
      <c r="D3463" s="173" t="s">
        <v>470</v>
      </c>
      <c r="E3463">
        <v>2</v>
      </c>
    </row>
    <row r="3464" spans="1:5" x14ac:dyDescent="0.25">
      <c r="A3464" s="173" t="s">
        <v>468</v>
      </c>
      <c r="B3464">
        <v>27114</v>
      </c>
      <c r="C3464" s="173" t="s">
        <v>4236</v>
      </c>
      <c r="D3464" s="173" t="s">
        <v>470</v>
      </c>
      <c r="E3464">
        <v>1</v>
      </c>
    </row>
    <row r="3465" spans="1:5" x14ac:dyDescent="0.25">
      <c r="A3465" s="173" t="s">
        <v>468</v>
      </c>
      <c r="B3465">
        <v>27114</v>
      </c>
      <c r="C3465" s="173" t="s">
        <v>4237</v>
      </c>
      <c r="D3465" s="173" t="s">
        <v>470</v>
      </c>
      <c r="E3465">
        <v>1</v>
      </c>
    </row>
    <row r="3466" spans="1:5" x14ac:dyDescent="0.25">
      <c r="A3466" s="173" t="s">
        <v>468</v>
      </c>
      <c r="B3466">
        <v>27114</v>
      </c>
      <c r="C3466" s="173" t="s">
        <v>4238</v>
      </c>
      <c r="D3466" s="173" t="s">
        <v>470</v>
      </c>
      <c r="E3466">
        <v>7</v>
      </c>
    </row>
    <row r="3467" spans="1:5" x14ac:dyDescent="0.25">
      <c r="A3467" s="173" t="s">
        <v>468</v>
      </c>
      <c r="B3467">
        <v>27114</v>
      </c>
      <c r="C3467" s="173" t="s">
        <v>4239</v>
      </c>
      <c r="D3467" s="173" t="s">
        <v>470</v>
      </c>
      <c r="E3467">
        <v>7</v>
      </c>
    </row>
    <row r="3468" spans="1:5" x14ac:dyDescent="0.25">
      <c r="A3468" s="173" t="s">
        <v>468</v>
      </c>
      <c r="B3468">
        <v>27114</v>
      </c>
      <c r="C3468" s="173" t="s">
        <v>4240</v>
      </c>
      <c r="D3468" s="173" t="s">
        <v>470</v>
      </c>
      <c r="E3468">
        <v>6</v>
      </c>
    </row>
    <row r="3469" spans="1:5" x14ac:dyDescent="0.25">
      <c r="A3469" s="173" t="s">
        <v>468</v>
      </c>
      <c r="B3469">
        <v>27114</v>
      </c>
      <c r="C3469" s="173" t="s">
        <v>4241</v>
      </c>
      <c r="D3469" s="173" t="s">
        <v>470</v>
      </c>
      <c r="E3469">
        <v>6</v>
      </c>
    </row>
    <row r="3470" spans="1:5" x14ac:dyDescent="0.25">
      <c r="A3470" s="173" t="s">
        <v>468</v>
      </c>
      <c r="B3470">
        <v>27114</v>
      </c>
      <c r="C3470" s="173" t="s">
        <v>4242</v>
      </c>
      <c r="D3470" s="173" t="s">
        <v>470</v>
      </c>
      <c r="E3470">
        <v>7</v>
      </c>
    </row>
    <row r="3471" spans="1:5" x14ac:dyDescent="0.25">
      <c r="A3471" s="173" t="s">
        <v>468</v>
      </c>
      <c r="B3471">
        <v>27114</v>
      </c>
      <c r="C3471" s="173" t="s">
        <v>4243</v>
      </c>
      <c r="D3471" s="173" t="s">
        <v>470</v>
      </c>
      <c r="E3471">
        <v>7</v>
      </c>
    </row>
    <row r="3472" spans="1:5" x14ac:dyDescent="0.25">
      <c r="A3472" s="173" t="s">
        <v>468</v>
      </c>
      <c r="B3472">
        <v>27114</v>
      </c>
      <c r="C3472" s="173" t="s">
        <v>4244</v>
      </c>
      <c r="D3472" s="173" t="s">
        <v>470</v>
      </c>
      <c r="E3472">
        <v>6</v>
      </c>
    </row>
    <row r="3473" spans="1:5" x14ac:dyDescent="0.25">
      <c r="A3473" s="173" t="s">
        <v>468</v>
      </c>
      <c r="B3473">
        <v>27114</v>
      </c>
      <c r="C3473" s="173" t="s">
        <v>4245</v>
      </c>
      <c r="D3473" s="173" t="s">
        <v>470</v>
      </c>
      <c r="E3473">
        <v>7</v>
      </c>
    </row>
    <row r="3474" spans="1:5" x14ac:dyDescent="0.25">
      <c r="A3474" s="173" t="s">
        <v>468</v>
      </c>
      <c r="B3474">
        <v>27114</v>
      </c>
      <c r="C3474" s="173" t="s">
        <v>4246</v>
      </c>
      <c r="D3474" s="173" t="s">
        <v>470</v>
      </c>
      <c r="E3474">
        <v>2</v>
      </c>
    </row>
    <row r="3475" spans="1:5" x14ac:dyDescent="0.25">
      <c r="A3475" s="173" t="s">
        <v>468</v>
      </c>
      <c r="B3475">
        <v>27114</v>
      </c>
      <c r="C3475" s="173" t="s">
        <v>4247</v>
      </c>
      <c r="D3475" s="173" t="s">
        <v>470</v>
      </c>
      <c r="E3475">
        <v>2</v>
      </c>
    </row>
    <row r="3476" spans="1:5" x14ac:dyDescent="0.25">
      <c r="A3476" s="173" t="s">
        <v>468</v>
      </c>
      <c r="B3476">
        <v>27114</v>
      </c>
      <c r="C3476" s="173" t="s">
        <v>4248</v>
      </c>
      <c r="D3476" s="173" t="s">
        <v>470</v>
      </c>
      <c r="E3476">
        <v>2</v>
      </c>
    </row>
    <row r="3477" spans="1:5" x14ac:dyDescent="0.25">
      <c r="A3477" s="173" t="s">
        <v>468</v>
      </c>
      <c r="B3477">
        <v>27114</v>
      </c>
      <c r="C3477" s="173" t="s">
        <v>4249</v>
      </c>
      <c r="D3477" s="173" t="s">
        <v>470</v>
      </c>
      <c r="E3477">
        <v>2</v>
      </c>
    </row>
    <row r="3478" spans="1:5" x14ac:dyDescent="0.25">
      <c r="A3478" s="173" t="s">
        <v>468</v>
      </c>
      <c r="B3478">
        <v>27114</v>
      </c>
      <c r="C3478" s="173" t="s">
        <v>4250</v>
      </c>
      <c r="D3478" s="173" t="s">
        <v>470</v>
      </c>
      <c r="E3478">
        <v>2</v>
      </c>
    </row>
    <row r="3479" spans="1:5" x14ac:dyDescent="0.25">
      <c r="A3479" s="173" t="s">
        <v>468</v>
      </c>
      <c r="B3479">
        <v>27114</v>
      </c>
      <c r="C3479" s="173" t="s">
        <v>4251</v>
      </c>
      <c r="D3479" s="173" t="s">
        <v>470</v>
      </c>
      <c r="E3479">
        <v>2</v>
      </c>
    </row>
    <row r="3480" spans="1:5" x14ac:dyDescent="0.25">
      <c r="A3480" s="173" t="s">
        <v>468</v>
      </c>
      <c r="B3480">
        <v>27114</v>
      </c>
      <c r="C3480" s="173" t="s">
        <v>4252</v>
      </c>
      <c r="D3480" s="173" t="s">
        <v>470</v>
      </c>
      <c r="E3480">
        <v>1</v>
      </c>
    </row>
    <row r="3481" spans="1:5" x14ac:dyDescent="0.25">
      <c r="A3481" s="173" t="s">
        <v>468</v>
      </c>
      <c r="B3481">
        <v>27114</v>
      </c>
      <c r="C3481" s="173" t="s">
        <v>4253</v>
      </c>
      <c r="D3481" s="173" t="s">
        <v>470</v>
      </c>
      <c r="E3481">
        <v>1</v>
      </c>
    </row>
    <row r="3482" spans="1:5" x14ac:dyDescent="0.25">
      <c r="A3482" s="173" t="s">
        <v>468</v>
      </c>
      <c r="B3482">
        <v>27114</v>
      </c>
      <c r="C3482" s="173" t="s">
        <v>4254</v>
      </c>
      <c r="D3482" s="173" t="s">
        <v>470</v>
      </c>
      <c r="E3482">
        <v>1</v>
      </c>
    </row>
    <row r="3483" spans="1:5" x14ac:dyDescent="0.25">
      <c r="A3483" s="173" t="s">
        <v>468</v>
      </c>
      <c r="B3483">
        <v>27114</v>
      </c>
      <c r="C3483" s="173" t="s">
        <v>4255</v>
      </c>
      <c r="D3483" s="173" t="s">
        <v>470</v>
      </c>
      <c r="E3483">
        <v>1</v>
      </c>
    </row>
    <row r="3484" spans="1:5" x14ac:dyDescent="0.25">
      <c r="A3484" s="173" t="s">
        <v>468</v>
      </c>
      <c r="B3484">
        <v>27114</v>
      </c>
      <c r="C3484" s="173" t="s">
        <v>4256</v>
      </c>
      <c r="D3484" s="173" t="s">
        <v>470</v>
      </c>
      <c r="E3484">
        <v>2</v>
      </c>
    </row>
    <row r="3485" spans="1:5" x14ac:dyDescent="0.25">
      <c r="A3485" s="173" t="s">
        <v>468</v>
      </c>
      <c r="B3485">
        <v>27114</v>
      </c>
      <c r="C3485" s="173" t="s">
        <v>4257</v>
      </c>
      <c r="D3485" s="173" t="s">
        <v>470</v>
      </c>
      <c r="E3485">
        <v>2</v>
      </c>
    </row>
    <row r="3486" spans="1:5" x14ac:dyDescent="0.25">
      <c r="A3486" s="173" t="s">
        <v>468</v>
      </c>
      <c r="B3486">
        <v>27114</v>
      </c>
      <c r="C3486" s="173" t="s">
        <v>4258</v>
      </c>
      <c r="D3486" s="173" t="s">
        <v>470</v>
      </c>
      <c r="E3486">
        <v>2</v>
      </c>
    </row>
    <row r="3487" spans="1:5" x14ac:dyDescent="0.25">
      <c r="A3487" s="173" t="s">
        <v>468</v>
      </c>
      <c r="B3487">
        <v>27114</v>
      </c>
      <c r="C3487" s="173" t="s">
        <v>4259</v>
      </c>
      <c r="D3487" s="173" t="s">
        <v>470</v>
      </c>
      <c r="E3487">
        <v>2</v>
      </c>
    </row>
    <row r="3488" spans="1:5" x14ac:dyDescent="0.25">
      <c r="A3488" s="173" t="s">
        <v>468</v>
      </c>
      <c r="B3488">
        <v>27114</v>
      </c>
      <c r="C3488" s="173" t="s">
        <v>4260</v>
      </c>
      <c r="D3488" s="173" t="s">
        <v>470</v>
      </c>
      <c r="E3488">
        <v>2</v>
      </c>
    </row>
    <row r="3489" spans="1:5" x14ac:dyDescent="0.25">
      <c r="A3489" s="173" t="s">
        <v>468</v>
      </c>
      <c r="B3489">
        <v>27182</v>
      </c>
      <c r="C3489" s="173" t="s">
        <v>4261</v>
      </c>
      <c r="D3489" s="173" t="s">
        <v>470</v>
      </c>
      <c r="E3489">
        <v>2</v>
      </c>
    </row>
    <row r="3490" spans="1:5" x14ac:dyDescent="0.25">
      <c r="A3490" s="173" t="s">
        <v>468</v>
      </c>
      <c r="B3490">
        <v>27182</v>
      </c>
      <c r="C3490" s="173" t="s">
        <v>4262</v>
      </c>
      <c r="D3490" s="173" t="s">
        <v>470</v>
      </c>
      <c r="E3490">
        <v>2</v>
      </c>
    </row>
    <row r="3491" spans="1:5" x14ac:dyDescent="0.25">
      <c r="A3491" s="173" t="s">
        <v>468</v>
      </c>
      <c r="B3491">
        <v>27182</v>
      </c>
      <c r="C3491" s="173" t="s">
        <v>4263</v>
      </c>
      <c r="D3491" s="173" t="s">
        <v>470</v>
      </c>
      <c r="E3491">
        <v>2</v>
      </c>
    </row>
    <row r="3492" spans="1:5" x14ac:dyDescent="0.25">
      <c r="A3492" s="173" t="s">
        <v>468</v>
      </c>
      <c r="B3492">
        <v>27182</v>
      </c>
      <c r="C3492" s="173" t="s">
        <v>4264</v>
      </c>
      <c r="D3492" s="173" t="s">
        <v>470</v>
      </c>
      <c r="E3492">
        <v>2</v>
      </c>
    </row>
    <row r="3493" spans="1:5" x14ac:dyDescent="0.25">
      <c r="A3493" s="173" t="s">
        <v>468</v>
      </c>
      <c r="B3493">
        <v>27182</v>
      </c>
      <c r="C3493" s="173" t="s">
        <v>4265</v>
      </c>
      <c r="D3493" s="173" t="s">
        <v>470</v>
      </c>
      <c r="E3493">
        <v>2</v>
      </c>
    </row>
    <row r="3494" spans="1:5" x14ac:dyDescent="0.25">
      <c r="A3494" s="173" t="s">
        <v>468</v>
      </c>
      <c r="B3494">
        <v>27182</v>
      </c>
      <c r="C3494" s="173" t="s">
        <v>4266</v>
      </c>
      <c r="D3494" s="173" t="s">
        <v>470</v>
      </c>
      <c r="E3494">
        <v>2</v>
      </c>
    </row>
    <row r="3495" spans="1:5" x14ac:dyDescent="0.25">
      <c r="A3495" s="173" t="s">
        <v>468</v>
      </c>
      <c r="B3495">
        <v>27182</v>
      </c>
      <c r="C3495" s="173" t="s">
        <v>4267</v>
      </c>
      <c r="D3495" s="173" t="s">
        <v>470</v>
      </c>
      <c r="E3495">
        <v>3</v>
      </c>
    </row>
    <row r="3496" spans="1:5" x14ac:dyDescent="0.25">
      <c r="A3496" s="173" t="s">
        <v>468</v>
      </c>
      <c r="B3496">
        <v>27182</v>
      </c>
      <c r="C3496" s="173" t="s">
        <v>4268</v>
      </c>
      <c r="D3496" s="173" t="s">
        <v>470</v>
      </c>
      <c r="E3496">
        <v>2</v>
      </c>
    </row>
    <row r="3497" spans="1:5" x14ac:dyDescent="0.25">
      <c r="A3497" s="173" t="s">
        <v>468</v>
      </c>
      <c r="B3497">
        <v>27182</v>
      </c>
      <c r="C3497" s="173" t="s">
        <v>4269</v>
      </c>
      <c r="D3497" s="173" t="s">
        <v>470</v>
      </c>
      <c r="E3497">
        <v>2</v>
      </c>
    </row>
    <row r="3498" spans="1:5" x14ac:dyDescent="0.25">
      <c r="A3498" s="173" t="s">
        <v>468</v>
      </c>
      <c r="B3498">
        <v>27182</v>
      </c>
      <c r="C3498" s="173" t="s">
        <v>4270</v>
      </c>
      <c r="D3498" s="173" t="s">
        <v>470</v>
      </c>
      <c r="E3498">
        <v>2</v>
      </c>
    </row>
    <row r="3499" spans="1:5" x14ac:dyDescent="0.25">
      <c r="A3499" s="173" t="s">
        <v>468</v>
      </c>
      <c r="B3499">
        <v>27182</v>
      </c>
      <c r="C3499" s="173" t="s">
        <v>4271</v>
      </c>
      <c r="D3499" s="173" t="s">
        <v>470</v>
      </c>
      <c r="E3499">
        <v>2</v>
      </c>
    </row>
    <row r="3500" spans="1:5" x14ac:dyDescent="0.25">
      <c r="A3500" s="173" t="s">
        <v>468</v>
      </c>
      <c r="B3500">
        <v>27182</v>
      </c>
      <c r="C3500" s="173" t="s">
        <v>4272</v>
      </c>
      <c r="D3500" s="173" t="s">
        <v>470</v>
      </c>
      <c r="E3500">
        <v>2</v>
      </c>
    </row>
    <row r="3501" spans="1:5" x14ac:dyDescent="0.25">
      <c r="A3501" s="173" t="s">
        <v>468</v>
      </c>
      <c r="B3501">
        <v>27182</v>
      </c>
      <c r="C3501" s="173" t="s">
        <v>4273</v>
      </c>
      <c r="D3501" s="173" t="s">
        <v>470</v>
      </c>
      <c r="E3501">
        <v>2</v>
      </c>
    </row>
    <row r="3502" spans="1:5" x14ac:dyDescent="0.25">
      <c r="A3502" s="173" t="s">
        <v>468</v>
      </c>
      <c r="B3502">
        <v>27182</v>
      </c>
      <c r="C3502" s="173" t="s">
        <v>4274</v>
      </c>
      <c r="D3502" s="173" t="s">
        <v>470</v>
      </c>
      <c r="E3502">
        <v>2</v>
      </c>
    </row>
    <row r="3503" spans="1:5" x14ac:dyDescent="0.25">
      <c r="A3503" s="173" t="s">
        <v>468</v>
      </c>
      <c r="B3503">
        <v>27182</v>
      </c>
      <c r="C3503" s="173" t="s">
        <v>4275</v>
      </c>
      <c r="D3503" s="173" t="s">
        <v>470</v>
      </c>
      <c r="E3503">
        <v>2</v>
      </c>
    </row>
    <row r="3504" spans="1:5" x14ac:dyDescent="0.25">
      <c r="A3504" s="173" t="s">
        <v>468</v>
      </c>
      <c r="B3504">
        <v>27182</v>
      </c>
      <c r="C3504" s="173" t="s">
        <v>4276</v>
      </c>
      <c r="D3504" s="173" t="s">
        <v>470</v>
      </c>
      <c r="E3504">
        <v>2</v>
      </c>
    </row>
    <row r="3505" spans="1:5" x14ac:dyDescent="0.25">
      <c r="A3505" s="173" t="s">
        <v>468</v>
      </c>
      <c r="B3505">
        <v>27182</v>
      </c>
      <c r="C3505" s="173" t="s">
        <v>4277</v>
      </c>
      <c r="D3505" s="173" t="s">
        <v>470</v>
      </c>
      <c r="E3505">
        <v>2</v>
      </c>
    </row>
    <row r="3506" spans="1:5" x14ac:dyDescent="0.25">
      <c r="A3506" s="173" t="s">
        <v>468</v>
      </c>
      <c r="B3506">
        <v>27182</v>
      </c>
      <c r="C3506" s="173" t="s">
        <v>4278</v>
      </c>
      <c r="D3506" s="173" t="s">
        <v>470</v>
      </c>
      <c r="E3506">
        <v>2</v>
      </c>
    </row>
    <row r="3507" spans="1:5" x14ac:dyDescent="0.25">
      <c r="A3507" s="173" t="s">
        <v>468</v>
      </c>
      <c r="B3507">
        <v>27214</v>
      </c>
      <c r="C3507" s="173" t="s">
        <v>4279</v>
      </c>
      <c r="D3507" s="173" t="s">
        <v>470</v>
      </c>
      <c r="E3507">
        <v>1</v>
      </c>
    </row>
    <row r="3508" spans="1:5" x14ac:dyDescent="0.25">
      <c r="A3508" s="173" t="s">
        <v>468</v>
      </c>
      <c r="B3508">
        <v>27214</v>
      </c>
      <c r="C3508" s="173" t="s">
        <v>4280</v>
      </c>
      <c r="D3508" s="173" t="s">
        <v>470</v>
      </c>
      <c r="E3508">
        <v>1</v>
      </c>
    </row>
    <row r="3509" spans="1:5" x14ac:dyDescent="0.25">
      <c r="A3509" s="173" t="s">
        <v>468</v>
      </c>
      <c r="B3509">
        <v>27214</v>
      </c>
      <c r="C3509" s="173" t="s">
        <v>4281</v>
      </c>
      <c r="D3509" s="173" t="s">
        <v>470</v>
      </c>
      <c r="E3509">
        <v>1</v>
      </c>
    </row>
    <row r="3510" spans="1:5" x14ac:dyDescent="0.25">
      <c r="A3510" s="173" t="s">
        <v>468</v>
      </c>
      <c r="B3510">
        <v>27214</v>
      </c>
      <c r="C3510" s="173" t="s">
        <v>4282</v>
      </c>
      <c r="D3510" s="173" t="s">
        <v>470</v>
      </c>
      <c r="E3510">
        <v>1</v>
      </c>
    </row>
    <row r="3511" spans="1:5" x14ac:dyDescent="0.25">
      <c r="A3511" s="173" t="s">
        <v>468</v>
      </c>
      <c r="B3511">
        <v>27214</v>
      </c>
      <c r="C3511" s="173" t="s">
        <v>4283</v>
      </c>
      <c r="D3511" s="173" t="s">
        <v>470</v>
      </c>
      <c r="E3511">
        <v>1</v>
      </c>
    </row>
    <row r="3512" spans="1:5" x14ac:dyDescent="0.25">
      <c r="A3512" s="173" t="s">
        <v>468</v>
      </c>
      <c r="B3512">
        <v>27214</v>
      </c>
      <c r="C3512" s="173" t="s">
        <v>4284</v>
      </c>
      <c r="D3512" s="173" t="s">
        <v>470</v>
      </c>
      <c r="E3512">
        <v>1</v>
      </c>
    </row>
    <row r="3513" spans="1:5" x14ac:dyDescent="0.25">
      <c r="A3513" s="173" t="s">
        <v>468</v>
      </c>
      <c r="B3513">
        <v>27214</v>
      </c>
      <c r="C3513" s="173" t="s">
        <v>4285</v>
      </c>
      <c r="D3513" s="173" t="s">
        <v>470</v>
      </c>
      <c r="E3513">
        <v>1</v>
      </c>
    </row>
    <row r="3514" spans="1:5" x14ac:dyDescent="0.25">
      <c r="A3514" s="173" t="s">
        <v>468</v>
      </c>
      <c r="B3514">
        <v>27214</v>
      </c>
      <c r="C3514" s="173" t="s">
        <v>4286</v>
      </c>
      <c r="D3514" s="173" t="s">
        <v>470</v>
      </c>
      <c r="E3514">
        <v>4</v>
      </c>
    </row>
    <row r="3515" spans="1:5" x14ac:dyDescent="0.25">
      <c r="A3515" s="173" t="s">
        <v>468</v>
      </c>
      <c r="B3515">
        <v>27214</v>
      </c>
      <c r="C3515" s="173" t="s">
        <v>4287</v>
      </c>
      <c r="D3515" s="173" t="s">
        <v>470</v>
      </c>
      <c r="E3515">
        <v>4</v>
      </c>
    </row>
    <row r="3516" spans="1:5" x14ac:dyDescent="0.25">
      <c r="A3516" s="173" t="s">
        <v>468</v>
      </c>
      <c r="B3516">
        <v>27214</v>
      </c>
      <c r="C3516" s="173" t="s">
        <v>4288</v>
      </c>
      <c r="D3516" s="173" t="s">
        <v>470</v>
      </c>
      <c r="E3516">
        <v>4</v>
      </c>
    </row>
    <row r="3517" spans="1:5" x14ac:dyDescent="0.25">
      <c r="A3517" s="173" t="s">
        <v>468</v>
      </c>
      <c r="B3517">
        <v>27214</v>
      </c>
      <c r="C3517" s="173" t="s">
        <v>4289</v>
      </c>
      <c r="D3517" s="173" t="s">
        <v>470</v>
      </c>
      <c r="E3517">
        <v>4</v>
      </c>
    </row>
    <row r="3518" spans="1:5" x14ac:dyDescent="0.25">
      <c r="A3518" s="173" t="s">
        <v>468</v>
      </c>
      <c r="B3518">
        <v>27214</v>
      </c>
      <c r="C3518" s="173" t="s">
        <v>4290</v>
      </c>
      <c r="D3518" s="173" t="s">
        <v>470</v>
      </c>
      <c r="E3518">
        <v>4</v>
      </c>
    </row>
    <row r="3519" spans="1:5" x14ac:dyDescent="0.25">
      <c r="A3519" s="173" t="s">
        <v>468</v>
      </c>
      <c r="B3519">
        <v>27214</v>
      </c>
      <c r="C3519" s="173" t="s">
        <v>3512</v>
      </c>
      <c r="D3519" s="173" t="s">
        <v>470</v>
      </c>
      <c r="E3519">
        <v>4</v>
      </c>
    </row>
    <row r="3520" spans="1:5" x14ac:dyDescent="0.25">
      <c r="A3520" s="173" t="s">
        <v>468</v>
      </c>
      <c r="B3520">
        <v>27214</v>
      </c>
      <c r="C3520" s="173" t="s">
        <v>4291</v>
      </c>
      <c r="D3520" s="173" t="s">
        <v>470</v>
      </c>
      <c r="E3520">
        <v>4</v>
      </c>
    </row>
    <row r="3521" spans="1:5" x14ac:dyDescent="0.25">
      <c r="A3521" s="173" t="s">
        <v>468</v>
      </c>
      <c r="B3521">
        <v>27214</v>
      </c>
      <c r="C3521" s="173" t="s">
        <v>3514</v>
      </c>
      <c r="D3521" s="173" t="s">
        <v>470</v>
      </c>
      <c r="E3521">
        <v>4</v>
      </c>
    </row>
    <row r="3522" spans="1:5" x14ac:dyDescent="0.25">
      <c r="A3522" s="173" t="s">
        <v>468</v>
      </c>
      <c r="B3522">
        <v>27214</v>
      </c>
      <c r="C3522" s="173" t="s">
        <v>378</v>
      </c>
      <c r="D3522" s="173" t="s">
        <v>470</v>
      </c>
      <c r="E3522">
        <v>1</v>
      </c>
    </row>
    <row r="3523" spans="1:5" x14ac:dyDescent="0.25">
      <c r="A3523" s="173" t="s">
        <v>468</v>
      </c>
      <c r="B3523">
        <v>27214</v>
      </c>
      <c r="C3523" s="173" t="s">
        <v>380</v>
      </c>
      <c r="D3523" s="173" t="s">
        <v>470</v>
      </c>
      <c r="E3523">
        <v>1</v>
      </c>
    </row>
    <row r="3524" spans="1:5" x14ac:dyDescent="0.25">
      <c r="A3524" s="173" t="s">
        <v>468</v>
      </c>
      <c r="B3524">
        <v>27214</v>
      </c>
      <c r="C3524" s="173" t="s">
        <v>4292</v>
      </c>
      <c r="D3524" s="173" t="s">
        <v>470</v>
      </c>
      <c r="E3524">
        <v>1</v>
      </c>
    </row>
    <row r="3525" spans="1:5" x14ac:dyDescent="0.25">
      <c r="A3525" s="173" t="s">
        <v>468</v>
      </c>
      <c r="B3525">
        <v>27214</v>
      </c>
      <c r="C3525" s="173" t="s">
        <v>3507</v>
      </c>
      <c r="D3525" s="173" t="s">
        <v>470</v>
      </c>
      <c r="E3525">
        <v>1</v>
      </c>
    </row>
    <row r="3526" spans="1:5" x14ac:dyDescent="0.25">
      <c r="A3526" s="173" t="s">
        <v>468</v>
      </c>
      <c r="B3526">
        <v>27214</v>
      </c>
      <c r="C3526" s="173" t="s">
        <v>379</v>
      </c>
      <c r="D3526" s="173" t="s">
        <v>470</v>
      </c>
      <c r="E3526">
        <v>1</v>
      </c>
    </row>
    <row r="3527" spans="1:5" x14ac:dyDescent="0.25">
      <c r="A3527" s="173" t="s">
        <v>468</v>
      </c>
      <c r="B3527">
        <v>27217</v>
      </c>
      <c r="C3527" s="173" t="s">
        <v>4806</v>
      </c>
      <c r="D3527" s="173" t="s">
        <v>470</v>
      </c>
      <c r="E3527">
        <v>4</v>
      </c>
    </row>
    <row r="3528" spans="1:5" x14ac:dyDescent="0.25">
      <c r="A3528" s="173" t="s">
        <v>468</v>
      </c>
      <c r="B3528">
        <v>27217</v>
      </c>
      <c r="C3528" s="173" t="s">
        <v>4807</v>
      </c>
      <c r="D3528" s="173" t="s">
        <v>470</v>
      </c>
      <c r="E3528">
        <v>4</v>
      </c>
    </row>
    <row r="3529" spans="1:5" x14ac:dyDescent="0.25">
      <c r="A3529" s="173" t="s">
        <v>468</v>
      </c>
      <c r="B3529">
        <v>27217</v>
      </c>
      <c r="C3529" s="173" t="s">
        <v>4808</v>
      </c>
      <c r="D3529" s="173" t="s">
        <v>470</v>
      </c>
      <c r="E3529">
        <v>3</v>
      </c>
    </row>
    <row r="3530" spans="1:5" x14ac:dyDescent="0.25">
      <c r="A3530" s="173" t="s">
        <v>468</v>
      </c>
      <c r="B3530">
        <v>27217</v>
      </c>
      <c r="C3530" s="173" t="s">
        <v>4809</v>
      </c>
      <c r="D3530" s="173" t="s">
        <v>470</v>
      </c>
      <c r="E3530">
        <v>3</v>
      </c>
    </row>
    <row r="3531" spans="1:5" x14ac:dyDescent="0.25">
      <c r="A3531" s="173" t="s">
        <v>468</v>
      </c>
      <c r="B3531">
        <v>27217</v>
      </c>
      <c r="C3531" s="173" t="s">
        <v>4810</v>
      </c>
      <c r="D3531" s="173" t="s">
        <v>470</v>
      </c>
      <c r="E3531">
        <v>3</v>
      </c>
    </row>
    <row r="3532" spans="1:5" x14ac:dyDescent="0.25">
      <c r="A3532" s="173" t="s">
        <v>468</v>
      </c>
      <c r="B3532">
        <v>27217</v>
      </c>
      <c r="C3532" s="173" t="s">
        <v>4811</v>
      </c>
      <c r="D3532" s="173" t="s">
        <v>470</v>
      </c>
      <c r="E3532">
        <v>3</v>
      </c>
    </row>
    <row r="3533" spans="1:5" x14ac:dyDescent="0.25">
      <c r="A3533" s="173" t="s">
        <v>468</v>
      </c>
      <c r="B3533">
        <v>27217</v>
      </c>
      <c r="C3533" s="173" t="s">
        <v>4812</v>
      </c>
      <c r="D3533" s="173" t="s">
        <v>470</v>
      </c>
      <c r="E3533">
        <v>3</v>
      </c>
    </row>
    <row r="3534" spans="1:5" x14ac:dyDescent="0.25">
      <c r="A3534" s="173" t="s">
        <v>468</v>
      </c>
      <c r="B3534">
        <v>27217</v>
      </c>
      <c r="C3534" s="173" t="s">
        <v>4813</v>
      </c>
      <c r="D3534" s="173" t="s">
        <v>470</v>
      </c>
      <c r="E3534">
        <v>2</v>
      </c>
    </row>
    <row r="3535" spans="1:5" x14ac:dyDescent="0.25">
      <c r="A3535" s="173" t="s">
        <v>468</v>
      </c>
      <c r="B3535">
        <v>27217</v>
      </c>
      <c r="C3535" s="173" t="s">
        <v>4814</v>
      </c>
      <c r="D3535" s="173" t="s">
        <v>470</v>
      </c>
      <c r="E3535">
        <v>2</v>
      </c>
    </row>
    <row r="3536" spans="1:5" x14ac:dyDescent="0.25">
      <c r="A3536" s="173" t="s">
        <v>468</v>
      </c>
      <c r="B3536">
        <v>27217</v>
      </c>
      <c r="C3536" s="173" t="s">
        <v>4815</v>
      </c>
      <c r="D3536" s="173" t="s">
        <v>470</v>
      </c>
      <c r="E3536">
        <v>3</v>
      </c>
    </row>
    <row r="3537" spans="1:5" x14ac:dyDescent="0.25">
      <c r="A3537" s="173" t="s">
        <v>468</v>
      </c>
      <c r="B3537">
        <v>27217</v>
      </c>
      <c r="C3537" s="173" t="s">
        <v>4816</v>
      </c>
      <c r="D3537" s="173" t="s">
        <v>470</v>
      </c>
      <c r="E3537">
        <v>2</v>
      </c>
    </row>
    <row r="3538" spans="1:5" x14ac:dyDescent="0.25">
      <c r="A3538" s="173" t="s">
        <v>468</v>
      </c>
      <c r="B3538">
        <v>27217</v>
      </c>
      <c r="C3538" s="173" t="s">
        <v>4817</v>
      </c>
      <c r="D3538" s="173" t="s">
        <v>470</v>
      </c>
      <c r="E3538">
        <v>2</v>
      </c>
    </row>
    <row r="3539" spans="1:5" x14ac:dyDescent="0.25">
      <c r="A3539" s="173" t="s">
        <v>468</v>
      </c>
      <c r="B3539">
        <v>27217</v>
      </c>
      <c r="C3539" s="173" t="s">
        <v>4818</v>
      </c>
      <c r="D3539" s="173" t="s">
        <v>470</v>
      </c>
      <c r="E3539">
        <v>2</v>
      </c>
    </row>
    <row r="3540" spans="1:5" x14ac:dyDescent="0.25">
      <c r="A3540" s="173" t="s">
        <v>468</v>
      </c>
      <c r="B3540">
        <v>27217</v>
      </c>
      <c r="C3540" s="173" t="s">
        <v>4819</v>
      </c>
      <c r="D3540" s="173" t="s">
        <v>470</v>
      </c>
      <c r="E3540">
        <v>2</v>
      </c>
    </row>
    <row r="3541" spans="1:5" x14ac:dyDescent="0.25">
      <c r="A3541" s="173" t="s">
        <v>468</v>
      </c>
      <c r="B3541">
        <v>27217</v>
      </c>
      <c r="C3541" s="173" t="s">
        <v>4820</v>
      </c>
      <c r="D3541" s="173" t="s">
        <v>470</v>
      </c>
      <c r="E3541">
        <v>2</v>
      </c>
    </row>
    <row r="3542" spans="1:5" x14ac:dyDescent="0.25">
      <c r="A3542" s="173" t="s">
        <v>468</v>
      </c>
      <c r="B3542">
        <v>27217</v>
      </c>
      <c r="C3542" s="173" t="s">
        <v>4821</v>
      </c>
      <c r="D3542" s="173" t="s">
        <v>470</v>
      </c>
      <c r="E3542">
        <v>2</v>
      </c>
    </row>
    <row r="3543" spans="1:5" x14ac:dyDescent="0.25">
      <c r="A3543" s="173" t="s">
        <v>468</v>
      </c>
      <c r="B3543">
        <v>27217</v>
      </c>
      <c r="C3543" s="173" t="s">
        <v>4822</v>
      </c>
      <c r="D3543" s="173" t="s">
        <v>470</v>
      </c>
      <c r="E3543">
        <v>3</v>
      </c>
    </row>
    <row r="3544" spans="1:5" x14ac:dyDescent="0.25">
      <c r="A3544" s="173" t="s">
        <v>468</v>
      </c>
      <c r="B3544">
        <v>27217</v>
      </c>
      <c r="C3544" s="173" t="s">
        <v>4823</v>
      </c>
      <c r="D3544" s="173" t="s">
        <v>470</v>
      </c>
      <c r="E3544">
        <v>3</v>
      </c>
    </row>
    <row r="3545" spans="1:5" x14ac:dyDescent="0.25">
      <c r="A3545" s="173" t="s">
        <v>468</v>
      </c>
      <c r="B3545">
        <v>27220</v>
      </c>
      <c r="C3545" s="173" t="s">
        <v>4293</v>
      </c>
      <c r="D3545" s="173" t="s">
        <v>470</v>
      </c>
      <c r="E3545">
        <v>5</v>
      </c>
    </row>
    <row r="3546" spans="1:5" x14ac:dyDescent="0.25">
      <c r="A3546" s="173" t="s">
        <v>468</v>
      </c>
      <c r="B3546">
        <v>27220</v>
      </c>
      <c r="C3546" s="173" t="s">
        <v>4294</v>
      </c>
      <c r="D3546" s="173" t="s">
        <v>470</v>
      </c>
      <c r="E3546">
        <v>5</v>
      </c>
    </row>
    <row r="3547" spans="1:5" x14ac:dyDescent="0.25">
      <c r="A3547" s="173" t="s">
        <v>468</v>
      </c>
      <c r="B3547">
        <v>27220</v>
      </c>
      <c r="C3547" s="173" t="s">
        <v>4295</v>
      </c>
      <c r="D3547" s="173" t="s">
        <v>470</v>
      </c>
      <c r="E3547">
        <v>3</v>
      </c>
    </row>
    <row r="3548" spans="1:5" x14ac:dyDescent="0.25">
      <c r="A3548" s="173" t="s">
        <v>468</v>
      </c>
      <c r="B3548">
        <v>27220</v>
      </c>
      <c r="C3548" s="173" t="s">
        <v>4296</v>
      </c>
      <c r="D3548" s="173" t="s">
        <v>470</v>
      </c>
      <c r="E3548">
        <v>2</v>
      </c>
    </row>
    <row r="3549" spans="1:5" x14ac:dyDescent="0.25">
      <c r="A3549" s="173" t="s">
        <v>468</v>
      </c>
      <c r="B3549">
        <v>27220</v>
      </c>
      <c r="C3549" s="173" t="s">
        <v>4297</v>
      </c>
      <c r="D3549" s="173" t="s">
        <v>470</v>
      </c>
      <c r="E3549">
        <v>3</v>
      </c>
    </row>
    <row r="3550" spans="1:5" x14ac:dyDescent="0.25">
      <c r="A3550" s="173" t="s">
        <v>468</v>
      </c>
      <c r="B3550">
        <v>27220</v>
      </c>
      <c r="C3550" s="173" t="s">
        <v>4298</v>
      </c>
      <c r="D3550" s="173" t="s">
        <v>470</v>
      </c>
      <c r="E3550">
        <v>5</v>
      </c>
    </row>
    <row r="3551" spans="1:5" x14ac:dyDescent="0.25">
      <c r="A3551" s="173" t="s">
        <v>468</v>
      </c>
      <c r="B3551">
        <v>27220</v>
      </c>
      <c r="C3551" s="173" t="s">
        <v>4299</v>
      </c>
      <c r="D3551" s="173" t="s">
        <v>470</v>
      </c>
      <c r="E3551">
        <v>4</v>
      </c>
    </row>
    <row r="3552" spans="1:5" x14ac:dyDescent="0.25">
      <c r="A3552" s="173" t="s">
        <v>468</v>
      </c>
      <c r="B3552">
        <v>27220</v>
      </c>
      <c r="C3552" s="173" t="s">
        <v>4300</v>
      </c>
      <c r="D3552" s="173" t="s">
        <v>470</v>
      </c>
      <c r="E3552">
        <v>4</v>
      </c>
    </row>
    <row r="3553" spans="1:5" x14ac:dyDescent="0.25">
      <c r="A3553" s="173" t="s">
        <v>468</v>
      </c>
      <c r="B3553">
        <v>27220</v>
      </c>
      <c r="C3553" s="173" t="s">
        <v>4301</v>
      </c>
      <c r="D3553" s="173" t="s">
        <v>470</v>
      </c>
      <c r="E3553">
        <v>4</v>
      </c>
    </row>
    <row r="3554" spans="1:5" x14ac:dyDescent="0.25">
      <c r="A3554" s="173" t="s">
        <v>468</v>
      </c>
      <c r="B3554">
        <v>27220</v>
      </c>
      <c r="C3554" s="173" t="s">
        <v>4302</v>
      </c>
      <c r="D3554" s="173" t="s">
        <v>470</v>
      </c>
      <c r="E3554">
        <v>4</v>
      </c>
    </row>
    <row r="3555" spans="1:5" x14ac:dyDescent="0.25">
      <c r="A3555" s="173" t="s">
        <v>468</v>
      </c>
      <c r="B3555">
        <v>27220</v>
      </c>
      <c r="C3555" s="173" t="s">
        <v>4303</v>
      </c>
      <c r="D3555" s="173" t="s">
        <v>470</v>
      </c>
      <c r="E3555">
        <v>4</v>
      </c>
    </row>
    <row r="3556" spans="1:5" x14ac:dyDescent="0.25">
      <c r="A3556" s="173" t="s">
        <v>468</v>
      </c>
      <c r="B3556">
        <v>27220</v>
      </c>
      <c r="C3556" s="173" t="s">
        <v>4304</v>
      </c>
      <c r="D3556" s="173" t="s">
        <v>470</v>
      </c>
      <c r="E3556">
        <v>4</v>
      </c>
    </row>
    <row r="3557" spans="1:5" x14ac:dyDescent="0.25">
      <c r="A3557" s="173" t="s">
        <v>468</v>
      </c>
      <c r="B3557">
        <v>27220</v>
      </c>
      <c r="C3557" s="173" t="s">
        <v>4305</v>
      </c>
      <c r="D3557" s="173" t="s">
        <v>470</v>
      </c>
      <c r="E3557">
        <v>4</v>
      </c>
    </row>
    <row r="3558" spans="1:5" x14ac:dyDescent="0.25">
      <c r="A3558" s="173" t="s">
        <v>468</v>
      </c>
      <c r="B3558">
        <v>27220</v>
      </c>
      <c r="C3558" s="173" t="s">
        <v>4306</v>
      </c>
      <c r="D3558" s="173" t="s">
        <v>470</v>
      </c>
      <c r="E3558">
        <v>4</v>
      </c>
    </row>
    <row r="3559" spans="1:5" x14ac:dyDescent="0.25">
      <c r="A3559" s="173" t="s">
        <v>468</v>
      </c>
      <c r="B3559">
        <v>27220</v>
      </c>
      <c r="C3559" s="173" t="s">
        <v>4307</v>
      </c>
      <c r="D3559" s="173" t="s">
        <v>470</v>
      </c>
      <c r="E3559">
        <v>4</v>
      </c>
    </row>
    <row r="3560" spans="1:5" x14ac:dyDescent="0.25">
      <c r="A3560" s="173" t="s">
        <v>468</v>
      </c>
      <c r="B3560">
        <v>27220</v>
      </c>
      <c r="C3560" s="173" t="s">
        <v>4308</v>
      </c>
      <c r="D3560" s="173" t="s">
        <v>470</v>
      </c>
      <c r="E3560">
        <v>4</v>
      </c>
    </row>
    <row r="3561" spans="1:5" x14ac:dyDescent="0.25">
      <c r="A3561" s="173" t="s">
        <v>468</v>
      </c>
      <c r="B3561">
        <v>27220</v>
      </c>
      <c r="C3561" s="173" t="s">
        <v>4309</v>
      </c>
      <c r="D3561" s="173" t="s">
        <v>470</v>
      </c>
      <c r="E3561">
        <v>4</v>
      </c>
    </row>
    <row r="3562" spans="1:5" x14ac:dyDescent="0.25">
      <c r="A3562" s="173" t="s">
        <v>468</v>
      </c>
      <c r="B3562">
        <v>27220</v>
      </c>
      <c r="C3562" s="173" t="s">
        <v>4310</v>
      </c>
      <c r="D3562" s="173" t="s">
        <v>470</v>
      </c>
      <c r="E3562">
        <v>4</v>
      </c>
    </row>
    <row r="3563" spans="1:5" x14ac:dyDescent="0.25">
      <c r="A3563" s="173" t="s">
        <v>468</v>
      </c>
      <c r="B3563">
        <v>27220</v>
      </c>
      <c r="C3563" s="173" t="s">
        <v>4311</v>
      </c>
      <c r="D3563" s="173" t="s">
        <v>470</v>
      </c>
      <c r="E3563">
        <v>3</v>
      </c>
    </row>
    <row r="3564" spans="1:5" x14ac:dyDescent="0.25">
      <c r="A3564" s="173" t="s">
        <v>468</v>
      </c>
      <c r="B3564">
        <v>27220</v>
      </c>
      <c r="C3564" s="173" t="s">
        <v>4312</v>
      </c>
      <c r="D3564" s="173" t="s">
        <v>470</v>
      </c>
      <c r="E3564">
        <v>3</v>
      </c>
    </row>
    <row r="3565" spans="1:5" x14ac:dyDescent="0.25">
      <c r="A3565" s="173" t="s">
        <v>468</v>
      </c>
      <c r="B3565">
        <v>27220</v>
      </c>
      <c r="C3565" s="173" t="s">
        <v>4313</v>
      </c>
      <c r="D3565" s="173" t="s">
        <v>470</v>
      </c>
      <c r="E3565">
        <v>3</v>
      </c>
    </row>
    <row r="3566" spans="1:5" x14ac:dyDescent="0.25">
      <c r="A3566" s="173" t="s">
        <v>468</v>
      </c>
      <c r="B3566">
        <v>27220</v>
      </c>
      <c r="C3566" s="173" t="s">
        <v>4314</v>
      </c>
      <c r="D3566" s="173" t="s">
        <v>470</v>
      </c>
      <c r="E3566">
        <v>3</v>
      </c>
    </row>
    <row r="3567" spans="1:5" x14ac:dyDescent="0.25">
      <c r="A3567" s="173" t="s">
        <v>468</v>
      </c>
      <c r="B3567">
        <v>27220</v>
      </c>
      <c r="C3567" s="173" t="s">
        <v>4315</v>
      </c>
      <c r="D3567" s="173" t="s">
        <v>470</v>
      </c>
      <c r="E3567">
        <v>3</v>
      </c>
    </row>
    <row r="3568" spans="1:5" x14ac:dyDescent="0.25">
      <c r="A3568" s="173" t="s">
        <v>468</v>
      </c>
      <c r="B3568">
        <v>27220</v>
      </c>
      <c r="C3568" s="173" t="s">
        <v>3506</v>
      </c>
      <c r="D3568" s="173" t="s">
        <v>470</v>
      </c>
      <c r="E3568">
        <v>6</v>
      </c>
    </row>
    <row r="3569" spans="1:5" x14ac:dyDescent="0.25">
      <c r="A3569" s="173" t="s">
        <v>468</v>
      </c>
      <c r="B3569">
        <v>27220</v>
      </c>
      <c r="C3569" s="173" t="s">
        <v>3505</v>
      </c>
      <c r="D3569" s="173" t="s">
        <v>470</v>
      </c>
      <c r="E3569">
        <v>4</v>
      </c>
    </row>
    <row r="3570" spans="1:5" x14ac:dyDescent="0.25">
      <c r="A3570" s="173" t="s">
        <v>468</v>
      </c>
      <c r="B3570">
        <v>27220</v>
      </c>
      <c r="C3570" s="173" t="s">
        <v>4316</v>
      </c>
      <c r="D3570" s="173" t="s">
        <v>470</v>
      </c>
      <c r="E3570">
        <v>3</v>
      </c>
    </row>
    <row r="3571" spans="1:5" x14ac:dyDescent="0.25">
      <c r="A3571" s="173" t="s">
        <v>468</v>
      </c>
      <c r="B3571">
        <v>27220</v>
      </c>
      <c r="C3571" s="173" t="s">
        <v>3504</v>
      </c>
      <c r="D3571" s="173" t="s">
        <v>470</v>
      </c>
      <c r="E3571">
        <v>4</v>
      </c>
    </row>
    <row r="3572" spans="1:5" x14ac:dyDescent="0.25">
      <c r="A3572" s="173" t="s">
        <v>468</v>
      </c>
      <c r="B3572">
        <v>27220</v>
      </c>
      <c r="C3572" s="173" t="s">
        <v>4317</v>
      </c>
      <c r="D3572" s="173" t="s">
        <v>470</v>
      </c>
      <c r="E3572">
        <v>3</v>
      </c>
    </row>
    <row r="3573" spans="1:5" x14ac:dyDescent="0.25">
      <c r="A3573" s="173" t="s">
        <v>468</v>
      </c>
      <c r="B3573">
        <v>27230</v>
      </c>
      <c r="C3573" s="173" t="s">
        <v>2724</v>
      </c>
      <c r="D3573" s="173" t="s">
        <v>470</v>
      </c>
      <c r="E3573">
        <v>1</v>
      </c>
    </row>
    <row r="3574" spans="1:5" x14ac:dyDescent="0.25">
      <c r="A3574" s="173" t="s">
        <v>468</v>
      </c>
      <c r="B3574">
        <v>27230</v>
      </c>
      <c r="C3574" s="173" t="s">
        <v>308</v>
      </c>
      <c r="D3574" s="173" t="s">
        <v>470</v>
      </c>
      <c r="E3574">
        <v>1</v>
      </c>
    </row>
    <row r="3575" spans="1:5" x14ac:dyDescent="0.25">
      <c r="A3575" s="173" t="s">
        <v>468</v>
      </c>
      <c r="B3575">
        <v>27230</v>
      </c>
      <c r="C3575" s="173" t="s">
        <v>2725</v>
      </c>
      <c r="D3575" s="173" t="s">
        <v>470</v>
      </c>
      <c r="E3575">
        <v>1</v>
      </c>
    </row>
    <row r="3576" spans="1:5" x14ac:dyDescent="0.25">
      <c r="A3576" s="173" t="s">
        <v>468</v>
      </c>
      <c r="B3576">
        <v>27230</v>
      </c>
      <c r="C3576" s="173" t="s">
        <v>2726</v>
      </c>
      <c r="D3576" s="173" t="s">
        <v>470</v>
      </c>
      <c r="E3576">
        <v>1</v>
      </c>
    </row>
    <row r="3577" spans="1:5" x14ac:dyDescent="0.25">
      <c r="A3577" s="173" t="s">
        <v>468</v>
      </c>
      <c r="B3577">
        <v>27230</v>
      </c>
      <c r="C3577" s="173" t="s">
        <v>2727</v>
      </c>
      <c r="D3577" s="173" t="s">
        <v>470</v>
      </c>
      <c r="E3577">
        <v>1</v>
      </c>
    </row>
    <row r="3578" spans="1:5" x14ac:dyDescent="0.25">
      <c r="A3578" s="173" t="s">
        <v>468</v>
      </c>
      <c r="B3578">
        <v>27230</v>
      </c>
      <c r="C3578" s="173" t="s">
        <v>2728</v>
      </c>
      <c r="D3578" s="173" t="s">
        <v>470</v>
      </c>
      <c r="E3578">
        <v>1</v>
      </c>
    </row>
    <row r="3579" spans="1:5" x14ac:dyDescent="0.25">
      <c r="A3579" s="173" t="s">
        <v>468</v>
      </c>
      <c r="B3579">
        <v>27230</v>
      </c>
      <c r="C3579" s="173" t="s">
        <v>2729</v>
      </c>
      <c r="D3579" s="173" t="s">
        <v>470</v>
      </c>
      <c r="E3579">
        <v>1</v>
      </c>
    </row>
    <row r="3580" spans="1:5" x14ac:dyDescent="0.25">
      <c r="A3580" s="173" t="s">
        <v>468</v>
      </c>
      <c r="B3580">
        <v>27230</v>
      </c>
      <c r="C3580" s="173" t="s">
        <v>2730</v>
      </c>
      <c r="D3580" s="173" t="s">
        <v>470</v>
      </c>
      <c r="E3580">
        <v>1</v>
      </c>
    </row>
    <row r="3581" spans="1:5" x14ac:dyDescent="0.25">
      <c r="A3581" s="173" t="s">
        <v>468</v>
      </c>
      <c r="B3581">
        <v>27230</v>
      </c>
      <c r="C3581" s="173" t="s">
        <v>2731</v>
      </c>
      <c r="D3581" s="173" t="s">
        <v>470</v>
      </c>
      <c r="E3581">
        <v>1</v>
      </c>
    </row>
    <row r="3582" spans="1:5" x14ac:dyDescent="0.25">
      <c r="A3582" s="173" t="s">
        <v>468</v>
      </c>
      <c r="B3582">
        <v>27230</v>
      </c>
      <c r="C3582" s="173" t="s">
        <v>2732</v>
      </c>
      <c r="D3582" s="173" t="s">
        <v>470</v>
      </c>
      <c r="E3582">
        <v>1</v>
      </c>
    </row>
    <row r="3583" spans="1:5" x14ac:dyDescent="0.25">
      <c r="A3583" s="173" t="s">
        <v>468</v>
      </c>
      <c r="B3583">
        <v>27230</v>
      </c>
      <c r="C3583" s="173" t="s">
        <v>2733</v>
      </c>
      <c r="D3583" s="173" t="s">
        <v>470</v>
      </c>
      <c r="E3583">
        <v>1</v>
      </c>
    </row>
    <row r="3584" spans="1:5" x14ac:dyDescent="0.25">
      <c r="A3584" s="173" t="s">
        <v>468</v>
      </c>
      <c r="B3584">
        <v>27230</v>
      </c>
      <c r="C3584" s="173" t="s">
        <v>2734</v>
      </c>
      <c r="D3584" s="173" t="s">
        <v>470</v>
      </c>
      <c r="E3584">
        <v>1</v>
      </c>
    </row>
    <row r="3585" spans="1:5" x14ac:dyDescent="0.25">
      <c r="A3585" s="173" t="s">
        <v>468</v>
      </c>
      <c r="B3585">
        <v>27230</v>
      </c>
      <c r="C3585" s="173" t="s">
        <v>2735</v>
      </c>
      <c r="D3585" s="173" t="s">
        <v>470</v>
      </c>
      <c r="E3585">
        <v>1</v>
      </c>
    </row>
    <row r="3586" spans="1:5" x14ac:dyDescent="0.25">
      <c r="A3586" s="173" t="s">
        <v>468</v>
      </c>
      <c r="B3586">
        <v>27230</v>
      </c>
      <c r="C3586" s="173" t="s">
        <v>2736</v>
      </c>
      <c r="D3586" s="173" t="s">
        <v>470</v>
      </c>
      <c r="E3586">
        <v>2</v>
      </c>
    </row>
    <row r="3587" spans="1:5" x14ac:dyDescent="0.25">
      <c r="A3587" s="173" t="s">
        <v>468</v>
      </c>
      <c r="B3587">
        <v>27230</v>
      </c>
      <c r="C3587" s="173" t="s">
        <v>2736</v>
      </c>
      <c r="D3587" s="173" t="s">
        <v>470</v>
      </c>
      <c r="E3587">
        <v>1</v>
      </c>
    </row>
    <row r="3588" spans="1:5" x14ac:dyDescent="0.25">
      <c r="A3588" s="173" t="s">
        <v>468</v>
      </c>
      <c r="B3588">
        <v>27230</v>
      </c>
      <c r="C3588" s="173" t="s">
        <v>2737</v>
      </c>
      <c r="D3588" s="173" t="s">
        <v>470</v>
      </c>
      <c r="E3588">
        <v>2</v>
      </c>
    </row>
    <row r="3589" spans="1:5" x14ac:dyDescent="0.25">
      <c r="A3589" s="173" t="s">
        <v>468</v>
      </c>
      <c r="B3589">
        <v>27230</v>
      </c>
      <c r="C3589" s="173" t="s">
        <v>2737</v>
      </c>
      <c r="D3589" s="173" t="s">
        <v>470</v>
      </c>
      <c r="E3589">
        <v>1</v>
      </c>
    </row>
    <row r="3590" spans="1:5" x14ac:dyDescent="0.25">
      <c r="A3590" s="173" t="s">
        <v>468</v>
      </c>
      <c r="B3590">
        <v>27241</v>
      </c>
      <c r="C3590" s="173" t="s">
        <v>4824</v>
      </c>
      <c r="D3590" s="173" t="s">
        <v>470</v>
      </c>
      <c r="E3590">
        <v>2</v>
      </c>
    </row>
    <row r="3591" spans="1:5" x14ac:dyDescent="0.25">
      <c r="A3591" s="173" t="s">
        <v>468</v>
      </c>
      <c r="B3591">
        <v>27241</v>
      </c>
      <c r="C3591" s="173" t="s">
        <v>4824</v>
      </c>
      <c r="D3591" s="173" t="s">
        <v>470</v>
      </c>
      <c r="E3591">
        <v>1</v>
      </c>
    </row>
    <row r="3592" spans="1:5" x14ac:dyDescent="0.25">
      <c r="A3592" s="173" t="s">
        <v>468</v>
      </c>
      <c r="B3592">
        <v>27241</v>
      </c>
      <c r="C3592" s="173" t="s">
        <v>4825</v>
      </c>
      <c r="D3592" s="173" t="s">
        <v>470</v>
      </c>
      <c r="E3592">
        <v>1</v>
      </c>
    </row>
    <row r="3593" spans="1:5" x14ac:dyDescent="0.25">
      <c r="A3593" s="173" t="s">
        <v>468</v>
      </c>
      <c r="B3593">
        <v>27241</v>
      </c>
      <c r="C3593" s="173" t="s">
        <v>4826</v>
      </c>
      <c r="D3593" s="173" t="s">
        <v>470</v>
      </c>
      <c r="E3593">
        <v>1</v>
      </c>
    </row>
    <row r="3594" spans="1:5" x14ac:dyDescent="0.25">
      <c r="A3594" s="173" t="s">
        <v>468</v>
      </c>
      <c r="B3594">
        <v>27241</v>
      </c>
      <c r="C3594" s="173" t="s">
        <v>4827</v>
      </c>
      <c r="D3594" s="173" t="s">
        <v>470</v>
      </c>
      <c r="E3594">
        <v>1</v>
      </c>
    </row>
    <row r="3595" spans="1:5" x14ac:dyDescent="0.25">
      <c r="A3595" s="173" t="s">
        <v>468</v>
      </c>
      <c r="B3595">
        <v>27241</v>
      </c>
      <c r="C3595" s="173" t="s">
        <v>4828</v>
      </c>
      <c r="D3595" s="173" t="s">
        <v>470</v>
      </c>
      <c r="E3595">
        <v>1</v>
      </c>
    </row>
    <row r="3596" spans="1:5" x14ac:dyDescent="0.25">
      <c r="A3596" s="173" t="s">
        <v>468</v>
      </c>
      <c r="B3596">
        <v>27241</v>
      </c>
      <c r="C3596" s="173" t="s">
        <v>4829</v>
      </c>
      <c r="D3596" s="173" t="s">
        <v>470</v>
      </c>
      <c r="E3596">
        <v>1</v>
      </c>
    </row>
    <row r="3597" spans="1:5" x14ac:dyDescent="0.25">
      <c r="A3597" s="173" t="s">
        <v>468</v>
      </c>
      <c r="B3597">
        <v>27241</v>
      </c>
      <c r="C3597" s="173" t="s">
        <v>4830</v>
      </c>
      <c r="D3597" s="173" t="s">
        <v>470</v>
      </c>
      <c r="E3597">
        <v>1</v>
      </c>
    </row>
    <row r="3598" spans="1:5" x14ac:dyDescent="0.25">
      <c r="A3598" s="173" t="s">
        <v>468</v>
      </c>
      <c r="B3598">
        <v>27241</v>
      </c>
      <c r="C3598" s="173" t="s">
        <v>4831</v>
      </c>
      <c r="D3598" s="173" t="s">
        <v>470</v>
      </c>
      <c r="E3598">
        <v>1</v>
      </c>
    </row>
    <row r="3599" spans="1:5" x14ac:dyDescent="0.25">
      <c r="A3599" s="173" t="s">
        <v>468</v>
      </c>
      <c r="B3599">
        <v>27241</v>
      </c>
      <c r="C3599" s="173" t="s">
        <v>4832</v>
      </c>
      <c r="D3599" s="173" t="s">
        <v>470</v>
      </c>
      <c r="E3599">
        <v>1</v>
      </c>
    </row>
    <row r="3600" spans="1:5" x14ac:dyDescent="0.25">
      <c r="A3600" s="173" t="s">
        <v>468</v>
      </c>
      <c r="B3600">
        <v>27241</v>
      </c>
      <c r="C3600" s="173" t="s">
        <v>4833</v>
      </c>
      <c r="D3600" s="173" t="s">
        <v>470</v>
      </c>
      <c r="E3600">
        <v>2</v>
      </c>
    </row>
    <row r="3601" spans="1:5" x14ac:dyDescent="0.25">
      <c r="A3601" s="173" t="s">
        <v>468</v>
      </c>
      <c r="B3601">
        <v>27241</v>
      </c>
      <c r="C3601" s="173" t="s">
        <v>4834</v>
      </c>
      <c r="D3601" s="173" t="s">
        <v>470</v>
      </c>
      <c r="E3601">
        <v>2</v>
      </c>
    </row>
    <row r="3602" spans="1:5" x14ac:dyDescent="0.25">
      <c r="A3602" s="173" t="s">
        <v>468</v>
      </c>
      <c r="B3602">
        <v>27241</v>
      </c>
      <c r="C3602" s="173" t="s">
        <v>4835</v>
      </c>
      <c r="D3602" s="173" t="s">
        <v>470</v>
      </c>
      <c r="E3602">
        <v>1</v>
      </c>
    </row>
    <row r="3603" spans="1:5" x14ac:dyDescent="0.25">
      <c r="A3603" s="173" t="s">
        <v>468</v>
      </c>
      <c r="B3603">
        <v>27247</v>
      </c>
      <c r="C3603" s="173" t="s">
        <v>2738</v>
      </c>
      <c r="D3603" s="173" t="s">
        <v>470</v>
      </c>
      <c r="E3603">
        <v>6</v>
      </c>
    </row>
    <row r="3604" spans="1:5" x14ac:dyDescent="0.25">
      <c r="A3604" s="173" t="s">
        <v>468</v>
      </c>
      <c r="B3604">
        <v>27247</v>
      </c>
      <c r="C3604" s="173" t="s">
        <v>2739</v>
      </c>
      <c r="D3604" s="173" t="s">
        <v>470</v>
      </c>
      <c r="E3604">
        <v>6</v>
      </c>
    </row>
    <row r="3605" spans="1:5" x14ac:dyDescent="0.25">
      <c r="A3605" s="173" t="s">
        <v>468</v>
      </c>
      <c r="B3605">
        <v>27247</v>
      </c>
      <c r="C3605" s="173" t="s">
        <v>2740</v>
      </c>
      <c r="D3605" s="173" t="s">
        <v>470</v>
      </c>
      <c r="E3605">
        <v>6</v>
      </c>
    </row>
    <row r="3606" spans="1:5" x14ac:dyDescent="0.25">
      <c r="A3606" s="173" t="s">
        <v>468</v>
      </c>
      <c r="B3606">
        <v>27247</v>
      </c>
      <c r="C3606" s="173" t="s">
        <v>2741</v>
      </c>
      <c r="D3606" s="173" t="s">
        <v>470</v>
      </c>
      <c r="E3606">
        <v>6</v>
      </c>
    </row>
    <row r="3607" spans="1:5" x14ac:dyDescent="0.25">
      <c r="A3607" s="173" t="s">
        <v>468</v>
      </c>
      <c r="B3607">
        <v>27247</v>
      </c>
      <c r="C3607" s="173" t="s">
        <v>2742</v>
      </c>
      <c r="D3607" s="173" t="s">
        <v>470</v>
      </c>
      <c r="E3607">
        <v>6</v>
      </c>
    </row>
    <row r="3608" spans="1:5" x14ac:dyDescent="0.25">
      <c r="A3608" s="173" t="s">
        <v>468</v>
      </c>
      <c r="B3608">
        <v>27247</v>
      </c>
      <c r="C3608" s="173" t="s">
        <v>2743</v>
      </c>
      <c r="D3608" s="173" t="s">
        <v>470</v>
      </c>
      <c r="E3608">
        <v>6</v>
      </c>
    </row>
    <row r="3609" spans="1:5" x14ac:dyDescent="0.25">
      <c r="A3609" s="173" t="s">
        <v>468</v>
      </c>
      <c r="B3609">
        <v>27247</v>
      </c>
      <c r="C3609" s="173" t="s">
        <v>2744</v>
      </c>
      <c r="D3609" s="173" t="s">
        <v>470</v>
      </c>
      <c r="E3609">
        <v>6</v>
      </c>
    </row>
    <row r="3610" spans="1:5" x14ac:dyDescent="0.25">
      <c r="A3610" s="173" t="s">
        <v>468</v>
      </c>
      <c r="B3610">
        <v>27247</v>
      </c>
      <c r="C3610" s="173" t="s">
        <v>2745</v>
      </c>
      <c r="D3610" s="173" t="s">
        <v>470</v>
      </c>
      <c r="E3610">
        <v>6</v>
      </c>
    </row>
    <row r="3611" spans="1:5" x14ac:dyDescent="0.25">
      <c r="A3611" s="173" t="s">
        <v>468</v>
      </c>
      <c r="B3611">
        <v>27247</v>
      </c>
      <c r="C3611" s="173" t="s">
        <v>2746</v>
      </c>
      <c r="D3611" s="173" t="s">
        <v>470</v>
      </c>
      <c r="E3611">
        <v>6</v>
      </c>
    </row>
    <row r="3612" spans="1:5" x14ac:dyDescent="0.25">
      <c r="A3612" s="173" t="s">
        <v>468</v>
      </c>
      <c r="B3612">
        <v>27247</v>
      </c>
      <c r="C3612" s="173" t="s">
        <v>2747</v>
      </c>
      <c r="D3612" s="173" t="s">
        <v>470</v>
      </c>
      <c r="E3612">
        <v>5</v>
      </c>
    </row>
    <row r="3613" spans="1:5" x14ac:dyDescent="0.25">
      <c r="A3613" s="173" t="s">
        <v>468</v>
      </c>
      <c r="B3613">
        <v>27247</v>
      </c>
      <c r="C3613" s="173" t="s">
        <v>2748</v>
      </c>
      <c r="D3613" s="173" t="s">
        <v>470</v>
      </c>
      <c r="E3613">
        <v>6</v>
      </c>
    </row>
    <row r="3614" spans="1:5" x14ac:dyDescent="0.25">
      <c r="A3614" s="173" t="s">
        <v>468</v>
      </c>
      <c r="B3614">
        <v>27247</v>
      </c>
      <c r="C3614" s="173" t="s">
        <v>2749</v>
      </c>
      <c r="D3614" s="173" t="s">
        <v>470</v>
      </c>
      <c r="E3614">
        <v>6</v>
      </c>
    </row>
    <row r="3615" spans="1:5" x14ac:dyDescent="0.25">
      <c r="A3615" s="173" t="s">
        <v>468</v>
      </c>
      <c r="B3615">
        <v>27247</v>
      </c>
      <c r="C3615" s="173" t="s">
        <v>2750</v>
      </c>
      <c r="D3615" s="173" t="s">
        <v>470</v>
      </c>
      <c r="E3615">
        <v>6</v>
      </c>
    </row>
    <row r="3616" spans="1:5" x14ac:dyDescent="0.25">
      <c r="A3616" s="173" t="s">
        <v>468</v>
      </c>
      <c r="B3616">
        <v>27247</v>
      </c>
      <c r="C3616" s="173" t="s">
        <v>2751</v>
      </c>
      <c r="D3616" s="173" t="s">
        <v>470</v>
      </c>
      <c r="E3616">
        <v>6</v>
      </c>
    </row>
    <row r="3617" spans="1:5" x14ac:dyDescent="0.25">
      <c r="A3617" s="173" t="s">
        <v>468</v>
      </c>
      <c r="B3617">
        <v>27247</v>
      </c>
      <c r="C3617" s="173" t="s">
        <v>2752</v>
      </c>
      <c r="D3617" s="173" t="s">
        <v>470</v>
      </c>
      <c r="E3617">
        <v>6</v>
      </c>
    </row>
    <row r="3618" spans="1:5" x14ac:dyDescent="0.25">
      <c r="A3618" s="173" t="s">
        <v>468</v>
      </c>
      <c r="B3618">
        <v>27247</v>
      </c>
      <c r="C3618" s="173" t="s">
        <v>2753</v>
      </c>
      <c r="D3618" s="173" t="s">
        <v>470</v>
      </c>
      <c r="E3618">
        <v>6</v>
      </c>
    </row>
    <row r="3619" spans="1:5" x14ac:dyDescent="0.25">
      <c r="A3619" s="173" t="s">
        <v>468</v>
      </c>
      <c r="B3619">
        <v>27247</v>
      </c>
      <c r="C3619" s="173" t="s">
        <v>2754</v>
      </c>
      <c r="D3619" s="173" t="s">
        <v>470</v>
      </c>
      <c r="E3619">
        <v>6</v>
      </c>
    </row>
    <row r="3620" spans="1:5" x14ac:dyDescent="0.25">
      <c r="A3620" s="173" t="s">
        <v>468</v>
      </c>
      <c r="B3620">
        <v>27247</v>
      </c>
      <c r="C3620" s="173" t="s">
        <v>2755</v>
      </c>
      <c r="D3620" s="173" t="s">
        <v>470</v>
      </c>
      <c r="E3620">
        <v>6</v>
      </c>
    </row>
    <row r="3621" spans="1:5" x14ac:dyDescent="0.25">
      <c r="A3621" s="173" t="s">
        <v>468</v>
      </c>
      <c r="B3621">
        <v>27247</v>
      </c>
      <c r="C3621" s="173" t="s">
        <v>2756</v>
      </c>
      <c r="D3621" s="173" t="s">
        <v>470</v>
      </c>
      <c r="E3621">
        <v>1</v>
      </c>
    </row>
    <row r="3622" spans="1:5" x14ac:dyDescent="0.25">
      <c r="A3622" s="173" t="s">
        <v>468</v>
      </c>
      <c r="B3622">
        <v>27247</v>
      </c>
      <c r="C3622" s="173" t="s">
        <v>2757</v>
      </c>
      <c r="D3622" s="173" t="s">
        <v>470</v>
      </c>
      <c r="E3622">
        <v>1</v>
      </c>
    </row>
    <row r="3623" spans="1:5" x14ac:dyDescent="0.25">
      <c r="A3623" s="173" t="s">
        <v>468</v>
      </c>
      <c r="B3623">
        <v>27247</v>
      </c>
      <c r="C3623" s="173" t="s">
        <v>2758</v>
      </c>
      <c r="D3623" s="173" t="s">
        <v>470</v>
      </c>
      <c r="E3623">
        <v>1</v>
      </c>
    </row>
    <row r="3624" spans="1:5" x14ac:dyDescent="0.25">
      <c r="A3624" s="173" t="s">
        <v>468</v>
      </c>
      <c r="B3624">
        <v>27247</v>
      </c>
      <c r="C3624" s="173" t="s">
        <v>2759</v>
      </c>
      <c r="D3624" s="173" t="s">
        <v>470</v>
      </c>
      <c r="E3624">
        <v>1</v>
      </c>
    </row>
    <row r="3625" spans="1:5" x14ac:dyDescent="0.25">
      <c r="A3625" s="173" t="s">
        <v>468</v>
      </c>
      <c r="B3625">
        <v>27247</v>
      </c>
      <c r="C3625" s="173" t="s">
        <v>2760</v>
      </c>
      <c r="D3625" s="173" t="s">
        <v>470</v>
      </c>
      <c r="E3625">
        <v>1</v>
      </c>
    </row>
    <row r="3626" spans="1:5" x14ac:dyDescent="0.25">
      <c r="A3626" s="173" t="s">
        <v>468</v>
      </c>
      <c r="B3626">
        <v>27247</v>
      </c>
      <c r="C3626" s="173" t="s">
        <v>2761</v>
      </c>
      <c r="D3626" s="173" t="s">
        <v>470</v>
      </c>
      <c r="E3626">
        <v>1</v>
      </c>
    </row>
    <row r="3627" spans="1:5" x14ac:dyDescent="0.25">
      <c r="A3627" s="173" t="s">
        <v>468</v>
      </c>
      <c r="B3627">
        <v>27248</v>
      </c>
      <c r="C3627" s="173" t="s">
        <v>2762</v>
      </c>
      <c r="D3627" s="173" t="s">
        <v>470</v>
      </c>
      <c r="E3627">
        <v>2</v>
      </c>
    </row>
    <row r="3628" spans="1:5" x14ac:dyDescent="0.25">
      <c r="A3628" s="173" t="s">
        <v>468</v>
      </c>
      <c r="B3628">
        <v>27248</v>
      </c>
      <c r="C3628" s="173" t="s">
        <v>2763</v>
      </c>
      <c r="D3628" s="173" t="s">
        <v>470</v>
      </c>
      <c r="E3628">
        <v>2</v>
      </c>
    </row>
    <row r="3629" spans="1:5" x14ac:dyDescent="0.25">
      <c r="A3629" s="173" t="s">
        <v>468</v>
      </c>
      <c r="B3629">
        <v>27248</v>
      </c>
      <c r="C3629" s="173" t="s">
        <v>2764</v>
      </c>
      <c r="D3629" s="173" t="s">
        <v>470</v>
      </c>
      <c r="E3629">
        <v>2</v>
      </c>
    </row>
    <row r="3630" spans="1:5" x14ac:dyDescent="0.25">
      <c r="A3630" s="173" t="s">
        <v>468</v>
      </c>
      <c r="B3630">
        <v>27248</v>
      </c>
      <c r="C3630" s="173" t="s">
        <v>2765</v>
      </c>
      <c r="D3630" s="173" t="s">
        <v>470</v>
      </c>
      <c r="E3630">
        <v>1</v>
      </c>
    </row>
    <row r="3631" spans="1:5" x14ac:dyDescent="0.25">
      <c r="A3631" s="173" t="s">
        <v>468</v>
      </c>
      <c r="B3631">
        <v>27248</v>
      </c>
      <c r="C3631" s="173" t="s">
        <v>2766</v>
      </c>
      <c r="D3631" s="173" t="s">
        <v>470</v>
      </c>
      <c r="E3631">
        <v>1</v>
      </c>
    </row>
    <row r="3632" spans="1:5" x14ac:dyDescent="0.25">
      <c r="A3632" s="173" t="s">
        <v>468</v>
      </c>
      <c r="B3632">
        <v>27248</v>
      </c>
      <c r="C3632" s="173" t="s">
        <v>2767</v>
      </c>
      <c r="D3632" s="173" t="s">
        <v>470</v>
      </c>
      <c r="E3632">
        <v>2</v>
      </c>
    </row>
    <row r="3633" spans="1:5" x14ac:dyDescent="0.25">
      <c r="A3633" s="173" t="s">
        <v>468</v>
      </c>
      <c r="B3633">
        <v>27248</v>
      </c>
      <c r="C3633" s="173" t="s">
        <v>2768</v>
      </c>
      <c r="D3633" s="173" t="s">
        <v>470</v>
      </c>
      <c r="E3633">
        <v>2</v>
      </c>
    </row>
    <row r="3634" spans="1:5" x14ac:dyDescent="0.25">
      <c r="A3634" s="173" t="s">
        <v>468</v>
      </c>
      <c r="B3634">
        <v>27248</v>
      </c>
      <c r="C3634" s="173" t="s">
        <v>2769</v>
      </c>
      <c r="D3634" s="173" t="s">
        <v>470</v>
      </c>
      <c r="E3634">
        <v>2</v>
      </c>
    </row>
    <row r="3635" spans="1:5" x14ac:dyDescent="0.25">
      <c r="A3635" s="173" t="s">
        <v>468</v>
      </c>
      <c r="B3635">
        <v>27248</v>
      </c>
      <c r="C3635" s="173" t="s">
        <v>2770</v>
      </c>
      <c r="D3635" s="173" t="s">
        <v>470</v>
      </c>
      <c r="E3635">
        <v>2</v>
      </c>
    </row>
    <row r="3636" spans="1:5" x14ac:dyDescent="0.25">
      <c r="A3636" s="173" t="s">
        <v>468</v>
      </c>
      <c r="B3636">
        <v>27248</v>
      </c>
      <c r="C3636" s="173" t="s">
        <v>2771</v>
      </c>
      <c r="D3636" s="173" t="s">
        <v>470</v>
      </c>
      <c r="E3636">
        <v>2</v>
      </c>
    </row>
    <row r="3637" spans="1:5" x14ac:dyDescent="0.25">
      <c r="A3637" s="173" t="s">
        <v>468</v>
      </c>
      <c r="B3637">
        <v>27248</v>
      </c>
      <c r="C3637" s="173" t="s">
        <v>2772</v>
      </c>
      <c r="D3637" s="173" t="s">
        <v>470</v>
      </c>
      <c r="E3637">
        <v>2</v>
      </c>
    </row>
    <row r="3638" spans="1:5" x14ac:dyDescent="0.25">
      <c r="A3638" s="173" t="s">
        <v>468</v>
      </c>
      <c r="B3638">
        <v>27248</v>
      </c>
      <c r="C3638" s="173" t="s">
        <v>2773</v>
      </c>
      <c r="D3638" s="173" t="s">
        <v>470</v>
      </c>
      <c r="E3638">
        <v>2</v>
      </c>
    </row>
    <row r="3639" spans="1:5" x14ac:dyDescent="0.25">
      <c r="A3639" s="173" t="s">
        <v>468</v>
      </c>
      <c r="B3639">
        <v>27248</v>
      </c>
      <c r="C3639" s="173" t="s">
        <v>2774</v>
      </c>
      <c r="D3639" s="173" t="s">
        <v>470</v>
      </c>
      <c r="E3639">
        <v>2</v>
      </c>
    </row>
    <row r="3640" spans="1:5" x14ac:dyDescent="0.25">
      <c r="A3640" s="173" t="s">
        <v>468</v>
      </c>
      <c r="B3640">
        <v>27248</v>
      </c>
      <c r="C3640" s="173" t="s">
        <v>2775</v>
      </c>
      <c r="D3640" s="173" t="s">
        <v>470</v>
      </c>
      <c r="E3640">
        <v>2</v>
      </c>
    </row>
    <row r="3641" spans="1:5" x14ac:dyDescent="0.25">
      <c r="A3641" s="173" t="s">
        <v>468</v>
      </c>
      <c r="B3641">
        <v>27248</v>
      </c>
      <c r="C3641" s="173" t="s">
        <v>2776</v>
      </c>
      <c r="D3641" s="173" t="s">
        <v>470</v>
      </c>
      <c r="E3641">
        <v>2</v>
      </c>
    </row>
    <row r="3642" spans="1:5" x14ac:dyDescent="0.25">
      <c r="A3642" s="173" t="s">
        <v>468</v>
      </c>
      <c r="B3642">
        <v>27248</v>
      </c>
      <c r="C3642" s="173" t="s">
        <v>2777</v>
      </c>
      <c r="D3642" s="173" t="s">
        <v>470</v>
      </c>
      <c r="E3642">
        <v>2</v>
      </c>
    </row>
    <row r="3643" spans="1:5" x14ac:dyDescent="0.25">
      <c r="A3643" s="173" t="s">
        <v>468</v>
      </c>
      <c r="B3643">
        <v>27248</v>
      </c>
      <c r="C3643" s="173" t="s">
        <v>2778</v>
      </c>
      <c r="D3643" s="173" t="s">
        <v>470</v>
      </c>
      <c r="E3643">
        <v>2</v>
      </c>
    </row>
    <row r="3644" spans="1:5" x14ac:dyDescent="0.25">
      <c r="A3644" s="173" t="s">
        <v>468</v>
      </c>
      <c r="B3644">
        <v>27248</v>
      </c>
      <c r="C3644" s="173" t="s">
        <v>2779</v>
      </c>
      <c r="D3644" s="173" t="s">
        <v>470</v>
      </c>
      <c r="E3644">
        <v>2</v>
      </c>
    </row>
    <row r="3645" spans="1:5" x14ac:dyDescent="0.25">
      <c r="A3645" s="173" t="s">
        <v>468</v>
      </c>
      <c r="B3645">
        <v>27248</v>
      </c>
      <c r="C3645" s="173" t="s">
        <v>2780</v>
      </c>
      <c r="D3645" s="173" t="s">
        <v>470</v>
      </c>
      <c r="E3645">
        <v>3</v>
      </c>
    </row>
    <row r="3646" spans="1:5" x14ac:dyDescent="0.25">
      <c r="A3646" s="173" t="s">
        <v>468</v>
      </c>
      <c r="B3646">
        <v>27248</v>
      </c>
      <c r="C3646" s="173" t="s">
        <v>2781</v>
      </c>
      <c r="D3646" s="173" t="s">
        <v>470</v>
      </c>
      <c r="E3646">
        <v>2</v>
      </c>
    </row>
    <row r="3647" spans="1:5" x14ac:dyDescent="0.25">
      <c r="A3647" s="173" t="s">
        <v>468</v>
      </c>
      <c r="B3647">
        <v>27248</v>
      </c>
      <c r="C3647" s="173" t="s">
        <v>2782</v>
      </c>
      <c r="D3647" s="173" t="s">
        <v>470</v>
      </c>
      <c r="E3647">
        <v>2</v>
      </c>
    </row>
    <row r="3648" spans="1:5" x14ac:dyDescent="0.25">
      <c r="A3648" s="173" t="s">
        <v>468</v>
      </c>
      <c r="B3648">
        <v>27248</v>
      </c>
      <c r="C3648" s="173" t="s">
        <v>2783</v>
      </c>
      <c r="D3648" s="173" t="s">
        <v>470</v>
      </c>
      <c r="E3648">
        <v>2</v>
      </c>
    </row>
    <row r="3649" spans="1:5" x14ac:dyDescent="0.25">
      <c r="A3649" s="173" t="s">
        <v>468</v>
      </c>
      <c r="B3649">
        <v>27248</v>
      </c>
      <c r="C3649" s="173" t="s">
        <v>2784</v>
      </c>
      <c r="D3649" s="173" t="s">
        <v>470</v>
      </c>
      <c r="E3649">
        <v>2</v>
      </c>
    </row>
    <row r="3650" spans="1:5" x14ac:dyDescent="0.25">
      <c r="A3650" s="173" t="s">
        <v>468</v>
      </c>
      <c r="B3650">
        <v>27248</v>
      </c>
      <c r="C3650" s="173" t="s">
        <v>2785</v>
      </c>
      <c r="D3650" s="173" t="s">
        <v>470</v>
      </c>
      <c r="E3650">
        <v>2</v>
      </c>
    </row>
    <row r="3651" spans="1:5" x14ac:dyDescent="0.25">
      <c r="A3651" s="173" t="s">
        <v>468</v>
      </c>
      <c r="B3651">
        <v>27268</v>
      </c>
      <c r="C3651" s="173" t="s">
        <v>4836</v>
      </c>
      <c r="D3651" s="173" t="s">
        <v>470</v>
      </c>
      <c r="E3651">
        <v>1</v>
      </c>
    </row>
    <row r="3652" spans="1:5" x14ac:dyDescent="0.25">
      <c r="A3652" s="173" t="s">
        <v>468</v>
      </c>
      <c r="B3652">
        <v>27268</v>
      </c>
      <c r="C3652" s="173" t="s">
        <v>4837</v>
      </c>
      <c r="D3652" s="173" t="s">
        <v>470</v>
      </c>
      <c r="E3652">
        <v>1</v>
      </c>
    </row>
    <row r="3653" spans="1:5" x14ac:dyDescent="0.25">
      <c r="A3653" s="173" t="s">
        <v>468</v>
      </c>
      <c r="B3653">
        <v>27268</v>
      </c>
      <c r="C3653" s="173" t="s">
        <v>4838</v>
      </c>
      <c r="D3653" s="173" t="s">
        <v>470</v>
      </c>
      <c r="E3653">
        <v>1</v>
      </c>
    </row>
    <row r="3654" spans="1:5" x14ac:dyDescent="0.25">
      <c r="A3654" s="173" t="s">
        <v>468</v>
      </c>
      <c r="B3654">
        <v>27268</v>
      </c>
      <c r="C3654" s="173" t="s">
        <v>4839</v>
      </c>
      <c r="D3654" s="173" t="s">
        <v>470</v>
      </c>
      <c r="E3654">
        <v>2</v>
      </c>
    </row>
    <row r="3655" spans="1:5" x14ac:dyDescent="0.25">
      <c r="A3655" s="173" t="s">
        <v>468</v>
      </c>
      <c r="B3655">
        <v>27268</v>
      </c>
      <c r="C3655" s="173" t="s">
        <v>4840</v>
      </c>
      <c r="D3655" s="173" t="s">
        <v>470</v>
      </c>
      <c r="E3655">
        <v>1</v>
      </c>
    </row>
    <row r="3656" spans="1:5" x14ac:dyDescent="0.25">
      <c r="A3656" s="173" t="s">
        <v>468</v>
      </c>
      <c r="B3656">
        <v>27268</v>
      </c>
      <c r="C3656" s="173" t="s">
        <v>4841</v>
      </c>
      <c r="D3656" s="173" t="s">
        <v>470</v>
      </c>
      <c r="E3656">
        <v>1</v>
      </c>
    </row>
    <row r="3657" spans="1:5" x14ac:dyDescent="0.25">
      <c r="A3657" s="173" t="s">
        <v>468</v>
      </c>
      <c r="B3657">
        <v>27268</v>
      </c>
      <c r="C3657" s="173" t="s">
        <v>4842</v>
      </c>
      <c r="D3657" s="173" t="s">
        <v>470</v>
      </c>
      <c r="E3657">
        <v>1</v>
      </c>
    </row>
    <row r="3658" spans="1:5" x14ac:dyDescent="0.25">
      <c r="A3658" s="173" t="s">
        <v>468</v>
      </c>
      <c r="B3658">
        <v>27268</v>
      </c>
      <c r="C3658" s="173" t="s">
        <v>4843</v>
      </c>
      <c r="D3658" s="173" t="s">
        <v>470</v>
      </c>
      <c r="E3658">
        <v>2</v>
      </c>
    </row>
    <row r="3659" spans="1:5" x14ac:dyDescent="0.25">
      <c r="A3659" s="173" t="s">
        <v>468</v>
      </c>
      <c r="B3659">
        <v>27268</v>
      </c>
      <c r="C3659" s="173" t="s">
        <v>4844</v>
      </c>
      <c r="D3659" s="173" t="s">
        <v>470</v>
      </c>
      <c r="E3659">
        <v>1</v>
      </c>
    </row>
    <row r="3660" spans="1:5" x14ac:dyDescent="0.25">
      <c r="A3660" s="173" t="s">
        <v>468</v>
      </c>
      <c r="B3660">
        <v>27268</v>
      </c>
      <c r="C3660" s="173" t="s">
        <v>4845</v>
      </c>
      <c r="D3660" s="173" t="s">
        <v>470</v>
      </c>
      <c r="E3660">
        <v>1</v>
      </c>
    </row>
    <row r="3661" spans="1:5" x14ac:dyDescent="0.25">
      <c r="A3661" s="173" t="s">
        <v>468</v>
      </c>
      <c r="B3661">
        <v>27268</v>
      </c>
      <c r="C3661" s="173" t="s">
        <v>4846</v>
      </c>
      <c r="D3661" s="173" t="s">
        <v>470</v>
      </c>
      <c r="E3661">
        <v>1</v>
      </c>
    </row>
    <row r="3662" spans="1:5" x14ac:dyDescent="0.25">
      <c r="A3662" s="173" t="s">
        <v>468</v>
      </c>
      <c r="B3662">
        <v>27268</v>
      </c>
      <c r="C3662" s="173" t="s">
        <v>4847</v>
      </c>
      <c r="D3662" s="173" t="s">
        <v>470</v>
      </c>
      <c r="E3662">
        <v>1</v>
      </c>
    </row>
    <row r="3663" spans="1:5" x14ac:dyDescent="0.25">
      <c r="A3663" s="173" t="s">
        <v>468</v>
      </c>
      <c r="B3663">
        <v>27273</v>
      </c>
      <c r="C3663" s="173" t="s">
        <v>2786</v>
      </c>
      <c r="D3663" s="173" t="s">
        <v>470</v>
      </c>
      <c r="E3663">
        <v>3</v>
      </c>
    </row>
    <row r="3664" spans="1:5" x14ac:dyDescent="0.25">
      <c r="A3664" s="173" t="s">
        <v>468</v>
      </c>
      <c r="B3664">
        <v>27273</v>
      </c>
      <c r="C3664" s="173" t="s">
        <v>2787</v>
      </c>
      <c r="D3664" s="173" t="s">
        <v>470</v>
      </c>
      <c r="E3664">
        <v>3</v>
      </c>
    </row>
    <row r="3665" spans="1:5" x14ac:dyDescent="0.25">
      <c r="A3665" s="173" t="s">
        <v>468</v>
      </c>
      <c r="B3665">
        <v>27273</v>
      </c>
      <c r="C3665" s="173" t="s">
        <v>2788</v>
      </c>
      <c r="D3665" s="173" t="s">
        <v>470</v>
      </c>
      <c r="E3665">
        <v>3</v>
      </c>
    </row>
    <row r="3666" spans="1:5" x14ac:dyDescent="0.25">
      <c r="A3666" s="173" t="s">
        <v>468</v>
      </c>
      <c r="B3666">
        <v>27273</v>
      </c>
      <c r="C3666" s="173" t="s">
        <v>2789</v>
      </c>
      <c r="D3666" s="173" t="s">
        <v>470</v>
      </c>
      <c r="E3666">
        <v>3</v>
      </c>
    </row>
    <row r="3667" spans="1:5" x14ac:dyDescent="0.25">
      <c r="A3667" s="173" t="s">
        <v>468</v>
      </c>
      <c r="B3667">
        <v>27273</v>
      </c>
      <c r="C3667" s="173" t="s">
        <v>2790</v>
      </c>
      <c r="D3667" s="173" t="s">
        <v>470</v>
      </c>
      <c r="E3667">
        <v>5</v>
      </c>
    </row>
    <row r="3668" spans="1:5" x14ac:dyDescent="0.25">
      <c r="A3668" s="173" t="s">
        <v>468</v>
      </c>
      <c r="B3668">
        <v>27273</v>
      </c>
      <c r="C3668" s="173" t="s">
        <v>2791</v>
      </c>
      <c r="D3668" s="173" t="s">
        <v>470</v>
      </c>
      <c r="E3668">
        <v>5</v>
      </c>
    </row>
    <row r="3669" spans="1:5" x14ac:dyDescent="0.25">
      <c r="A3669" s="173" t="s">
        <v>468</v>
      </c>
      <c r="B3669">
        <v>27273</v>
      </c>
      <c r="C3669" s="173" t="s">
        <v>2792</v>
      </c>
      <c r="D3669" s="173" t="s">
        <v>470</v>
      </c>
      <c r="E3669">
        <v>6</v>
      </c>
    </row>
    <row r="3670" spans="1:5" x14ac:dyDescent="0.25">
      <c r="A3670" s="173" t="s">
        <v>468</v>
      </c>
      <c r="B3670">
        <v>27273</v>
      </c>
      <c r="C3670" s="173" t="s">
        <v>2793</v>
      </c>
      <c r="D3670" s="173" t="s">
        <v>470</v>
      </c>
      <c r="E3670">
        <v>5</v>
      </c>
    </row>
    <row r="3671" spans="1:5" x14ac:dyDescent="0.25">
      <c r="A3671" s="173" t="s">
        <v>468</v>
      </c>
      <c r="B3671">
        <v>27273</v>
      </c>
      <c r="C3671" s="173" t="s">
        <v>2794</v>
      </c>
      <c r="D3671" s="173" t="s">
        <v>470</v>
      </c>
      <c r="E3671">
        <v>5</v>
      </c>
    </row>
    <row r="3672" spans="1:5" x14ac:dyDescent="0.25">
      <c r="A3672" s="173" t="s">
        <v>468</v>
      </c>
      <c r="B3672">
        <v>27275</v>
      </c>
      <c r="C3672" s="173" t="s">
        <v>4848</v>
      </c>
      <c r="D3672" s="173" t="s">
        <v>470</v>
      </c>
      <c r="E3672">
        <v>2</v>
      </c>
    </row>
    <row r="3673" spans="1:5" x14ac:dyDescent="0.25">
      <c r="A3673" s="173" t="s">
        <v>468</v>
      </c>
      <c r="B3673">
        <v>27275</v>
      </c>
      <c r="C3673" s="173" t="s">
        <v>4849</v>
      </c>
      <c r="D3673" s="173" t="s">
        <v>470</v>
      </c>
      <c r="E3673">
        <v>1</v>
      </c>
    </row>
    <row r="3674" spans="1:5" x14ac:dyDescent="0.25">
      <c r="A3674" s="173" t="s">
        <v>468</v>
      </c>
      <c r="B3674">
        <v>27275</v>
      </c>
      <c r="C3674" s="173" t="s">
        <v>4850</v>
      </c>
      <c r="D3674" s="173" t="s">
        <v>470</v>
      </c>
      <c r="E3674">
        <v>1</v>
      </c>
    </row>
    <row r="3675" spans="1:5" x14ac:dyDescent="0.25">
      <c r="A3675" s="173" t="s">
        <v>468</v>
      </c>
      <c r="B3675">
        <v>27275</v>
      </c>
      <c r="C3675" s="173" t="s">
        <v>4851</v>
      </c>
      <c r="D3675" s="173" t="s">
        <v>470</v>
      </c>
      <c r="E3675">
        <v>1</v>
      </c>
    </row>
    <row r="3676" spans="1:5" x14ac:dyDescent="0.25">
      <c r="A3676" s="173" t="s">
        <v>468</v>
      </c>
      <c r="B3676">
        <v>27275</v>
      </c>
      <c r="C3676" s="173" t="s">
        <v>4852</v>
      </c>
      <c r="D3676" s="173" t="s">
        <v>470</v>
      </c>
      <c r="E3676">
        <v>1</v>
      </c>
    </row>
    <row r="3677" spans="1:5" x14ac:dyDescent="0.25">
      <c r="A3677" s="173" t="s">
        <v>468</v>
      </c>
      <c r="B3677">
        <v>27275</v>
      </c>
      <c r="C3677" s="173" t="s">
        <v>4853</v>
      </c>
      <c r="D3677" s="173" t="s">
        <v>470</v>
      </c>
      <c r="E3677">
        <v>1</v>
      </c>
    </row>
    <row r="3678" spans="1:5" x14ac:dyDescent="0.25">
      <c r="A3678" s="173" t="s">
        <v>468</v>
      </c>
      <c r="B3678">
        <v>27275</v>
      </c>
      <c r="C3678" s="173" t="s">
        <v>4854</v>
      </c>
      <c r="D3678" s="173" t="s">
        <v>470</v>
      </c>
      <c r="E3678">
        <v>3</v>
      </c>
    </row>
    <row r="3679" spans="1:5" x14ac:dyDescent="0.25">
      <c r="A3679" s="173" t="s">
        <v>468</v>
      </c>
      <c r="B3679">
        <v>27275</v>
      </c>
      <c r="C3679" s="173" t="s">
        <v>4855</v>
      </c>
      <c r="D3679" s="173" t="s">
        <v>470</v>
      </c>
      <c r="E3679">
        <v>3</v>
      </c>
    </row>
    <row r="3680" spans="1:5" x14ac:dyDescent="0.25">
      <c r="A3680" s="173" t="s">
        <v>468</v>
      </c>
      <c r="B3680">
        <v>27275</v>
      </c>
      <c r="C3680" s="173" t="s">
        <v>4856</v>
      </c>
      <c r="D3680" s="173" t="s">
        <v>470</v>
      </c>
      <c r="E3680">
        <v>3</v>
      </c>
    </row>
    <row r="3681" spans="1:5" x14ac:dyDescent="0.25">
      <c r="A3681" s="173" t="s">
        <v>468</v>
      </c>
      <c r="B3681">
        <v>27277</v>
      </c>
      <c r="C3681" s="173" t="s">
        <v>4318</v>
      </c>
      <c r="D3681" s="173" t="s">
        <v>470</v>
      </c>
      <c r="E3681">
        <v>6</v>
      </c>
    </row>
    <row r="3682" spans="1:5" x14ac:dyDescent="0.25">
      <c r="A3682" s="173" t="s">
        <v>468</v>
      </c>
      <c r="B3682">
        <v>27277</v>
      </c>
      <c r="C3682" s="173" t="s">
        <v>4319</v>
      </c>
      <c r="D3682" s="173" t="s">
        <v>470</v>
      </c>
      <c r="E3682">
        <v>6</v>
      </c>
    </row>
    <row r="3683" spans="1:5" x14ac:dyDescent="0.25">
      <c r="A3683" s="173" t="s">
        <v>468</v>
      </c>
      <c r="B3683">
        <v>27277</v>
      </c>
      <c r="C3683" s="173" t="s">
        <v>4320</v>
      </c>
      <c r="D3683" s="173" t="s">
        <v>470</v>
      </c>
      <c r="E3683">
        <v>5</v>
      </c>
    </row>
    <row r="3684" spans="1:5" x14ac:dyDescent="0.25">
      <c r="A3684" s="173" t="s">
        <v>468</v>
      </c>
      <c r="B3684">
        <v>27277</v>
      </c>
      <c r="C3684" s="173" t="s">
        <v>4321</v>
      </c>
      <c r="D3684" s="173" t="s">
        <v>470</v>
      </c>
      <c r="E3684">
        <v>5</v>
      </c>
    </row>
    <row r="3685" spans="1:5" x14ac:dyDescent="0.25">
      <c r="A3685" s="173" t="s">
        <v>468</v>
      </c>
      <c r="B3685">
        <v>27277</v>
      </c>
      <c r="C3685" s="173" t="s">
        <v>4322</v>
      </c>
      <c r="D3685" s="173" t="s">
        <v>470</v>
      </c>
      <c r="E3685">
        <v>5</v>
      </c>
    </row>
    <row r="3686" spans="1:5" x14ac:dyDescent="0.25">
      <c r="A3686" s="173" t="s">
        <v>468</v>
      </c>
      <c r="B3686">
        <v>27277</v>
      </c>
      <c r="C3686" s="173" t="s">
        <v>4323</v>
      </c>
      <c r="D3686" s="173" t="s">
        <v>470</v>
      </c>
      <c r="E3686">
        <v>5</v>
      </c>
    </row>
    <row r="3687" spans="1:5" x14ac:dyDescent="0.25">
      <c r="A3687" s="173" t="s">
        <v>468</v>
      </c>
      <c r="B3687">
        <v>27277</v>
      </c>
      <c r="C3687" s="173" t="s">
        <v>4324</v>
      </c>
      <c r="D3687" s="173" t="s">
        <v>470</v>
      </c>
      <c r="E3687">
        <v>6</v>
      </c>
    </row>
    <row r="3688" spans="1:5" x14ac:dyDescent="0.25">
      <c r="A3688" s="173" t="s">
        <v>468</v>
      </c>
      <c r="B3688">
        <v>27277</v>
      </c>
      <c r="C3688" s="173" t="s">
        <v>4325</v>
      </c>
      <c r="D3688" s="173" t="s">
        <v>470</v>
      </c>
      <c r="E3688">
        <v>6</v>
      </c>
    </row>
    <row r="3689" spans="1:5" x14ac:dyDescent="0.25">
      <c r="A3689" s="173" t="s">
        <v>468</v>
      </c>
      <c r="B3689">
        <v>27277</v>
      </c>
      <c r="C3689" s="173" t="s">
        <v>4326</v>
      </c>
      <c r="D3689" s="173" t="s">
        <v>470</v>
      </c>
      <c r="E3689">
        <v>6</v>
      </c>
    </row>
    <row r="3690" spans="1:5" x14ac:dyDescent="0.25">
      <c r="A3690" s="173" t="s">
        <v>468</v>
      </c>
      <c r="B3690">
        <v>27277</v>
      </c>
      <c r="C3690" s="173" t="s">
        <v>4327</v>
      </c>
      <c r="D3690" s="173" t="s">
        <v>470</v>
      </c>
      <c r="E3690">
        <v>6</v>
      </c>
    </row>
    <row r="3691" spans="1:5" x14ac:dyDescent="0.25">
      <c r="A3691" s="173" t="s">
        <v>468</v>
      </c>
      <c r="B3691">
        <v>27277</v>
      </c>
      <c r="C3691" s="173" t="s">
        <v>4328</v>
      </c>
      <c r="D3691" s="173" t="s">
        <v>470</v>
      </c>
      <c r="E3691">
        <v>1</v>
      </c>
    </row>
    <row r="3692" spans="1:5" x14ac:dyDescent="0.25">
      <c r="A3692" s="173" t="s">
        <v>468</v>
      </c>
      <c r="B3692">
        <v>27277</v>
      </c>
      <c r="C3692" s="173" t="s">
        <v>4329</v>
      </c>
      <c r="D3692" s="173" t="s">
        <v>470</v>
      </c>
      <c r="E3692">
        <v>6</v>
      </c>
    </row>
    <row r="3693" spans="1:5" x14ac:dyDescent="0.25">
      <c r="A3693" s="173" t="s">
        <v>468</v>
      </c>
      <c r="B3693">
        <v>27277</v>
      </c>
      <c r="C3693" s="173" t="s">
        <v>4330</v>
      </c>
      <c r="D3693" s="173" t="s">
        <v>470</v>
      </c>
      <c r="E3693">
        <v>6</v>
      </c>
    </row>
    <row r="3694" spans="1:5" x14ac:dyDescent="0.25">
      <c r="A3694" s="173" t="s">
        <v>468</v>
      </c>
      <c r="B3694">
        <v>27277</v>
      </c>
      <c r="C3694" s="173" t="s">
        <v>4331</v>
      </c>
      <c r="D3694" s="173" t="s">
        <v>470</v>
      </c>
      <c r="E3694">
        <v>6</v>
      </c>
    </row>
    <row r="3695" spans="1:5" x14ac:dyDescent="0.25">
      <c r="A3695" s="173" t="s">
        <v>468</v>
      </c>
      <c r="B3695">
        <v>27277</v>
      </c>
      <c r="C3695" s="173" t="s">
        <v>4332</v>
      </c>
      <c r="D3695" s="173" t="s">
        <v>470</v>
      </c>
      <c r="E3695">
        <v>6</v>
      </c>
    </row>
    <row r="3696" spans="1:5" x14ac:dyDescent="0.25">
      <c r="A3696" s="173" t="s">
        <v>468</v>
      </c>
      <c r="B3696">
        <v>27277</v>
      </c>
      <c r="C3696" s="173" t="s">
        <v>4333</v>
      </c>
      <c r="D3696" s="173" t="s">
        <v>470</v>
      </c>
      <c r="E3696">
        <v>1</v>
      </c>
    </row>
    <row r="3697" spans="1:5" x14ac:dyDescent="0.25">
      <c r="A3697" s="173" t="s">
        <v>468</v>
      </c>
      <c r="B3697">
        <v>27277</v>
      </c>
      <c r="C3697" s="173" t="s">
        <v>4334</v>
      </c>
      <c r="D3697" s="173" t="s">
        <v>470</v>
      </c>
      <c r="E3697">
        <v>1</v>
      </c>
    </row>
    <row r="3698" spans="1:5" x14ac:dyDescent="0.25">
      <c r="A3698" s="173" t="s">
        <v>468</v>
      </c>
      <c r="B3698">
        <v>27277</v>
      </c>
      <c r="C3698" s="173" t="s">
        <v>4335</v>
      </c>
      <c r="D3698" s="173" t="s">
        <v>470</v>
      </c>
      <c r="E3698">
        <v>1</v>
      </c>
    </row>
    <row r="3699" spans="1:5" x14ac:dyDescent="0.25">
      <c r="A3699" s="173" t="s">
        <v>468</v>
      </c>
      <c r="B3699">
        <v>27277</v>
      </c>
      <c r="C3699" s="173" t="s">
        <v>4336</v>
      </c>
      <c r="D3699" s="173" t="s">
        <v>470</v>
      </c>
      <c r="E3699">
        <v>1</v>
      </c>
    </row>
    <row r="3700" spans="1:5" x14ac:dyDescent="0.25">
      <c r="A3700" s="173" t="s">
        <v>468</v>
      </c>
      <c r="B3700">
        <v>27277</v>
      </c>
      <c r="C3700" s="173" t="s">
        <v>4337</v>
      </c>
      <c r="D3700" s="173" t="s">
        <v>470</v>
      </c>
      <c r="E3700">
        <v>1</v>
      </c>
    </row>
    <row r="3701" spans="1:5" x14ac:dyDescent="0.25">
      <c r="A3701" s="173" t="s">
        <v>468</v>
      </c>
      <c r="B3701">
        <v>27277</v>
      </c>
      <c r="C3701" s="173" t="s">
        <v>4338</v>
      </c>
      <c r="D3701" s="173" t="s">
        <v>470</v>
      </c>
      <c r="E3701">
        <v>1</v>
      </c>
    </row>
    <row r="3702" spans="1:5" x14ac:dyDescent="0.25">
      <c r="A3702" s="173" t="s">
        <v>468</v>
      </c>
      <c r="B3702">
        <v>27277</v>
      </c>
      <c r="C3702" s="173" t="s">
        <v>4339</v>
      </c>
      <c r="D3702" s="173" t="s">
        <v>470</v>
      </c>
      <c r="E3702">
        <v>1</v>
      </c>
    </row>
    <row r="3703" spans="1:5" x14ac:dyDescent="0.25">
      <c r="A3703" s="173" t="s">
        <v>468</v>
      </c>
      <c r="B3703">
        <v>27296</v>
      </c>
      <c r="C3703" s="173" t="s">
        <v>2795</v>
      </c>
      <c r="D3703" s="173" t="s">
        <v>470</v>
      </c>
      <c r="E3703">
        <v>2</v>
      </c>
    </row>
    <row r="3704" spans="1:5" x14ac:dyDescent="0.25">
      <c r="A3704" s="173" t="s">
        <v>468</v>
      </c>
      <c r="B3704">
        <v>27296</v>
      </c>
      <c r="C3704" s="173" t="s">
        <v>2796</v>
      </c>
      <c r="D3704" s="173" t="s">
        <v>470</v>
      </c>
      <c r="E3704">
        <v>2</v>
      </c>
    </row>
    <row r="3705" spans="1:5" x14ac:dyDescent="0.25">
      <c r="A3705" s="173" t="s">
        <v>468</v>
      </c>
      <c r="B3705">
        <v>27296</v>
      </c>
      <c r="C3705" s="173" t="s">
        <v>2797</v>
      </c>
      <c r="D3705" s="173" t="s">
        <v>470</v>
      </c>
      <c r="E3705">
        <v>2</v>
      </c>
    </row>
    <row r="3706" spans="1:5" x14ac:dyDescent="0.25">
      <c r="A3706" s="173" t="s">
        <v>468</v>
      </c>
      <c r="B3706">
        <v>27296</v>
      </c>
      <c r="C3706" s="173" t="s">
        <v>2798</v>
      </c>
      <c r="D3706" s="173" t="s">
        <v>470</v>
      </c>
      <c r="E3706">
        <v>2</v>
      </c>
    </row>
    <row r="3707" spans="1:5" x14ac:dyDescent="0.25">
      <c r="A3707" s="173" t="s">
        <v>468</v>
      </c>
      <c r="B3707">
        <v>27307</v>
      </c>
      <c r="C3707" s="173" t="s">
        <v>4857</v>
      </c>
      <c r="D3707" s="173" t="s">
        <v>470</v>
      </c>
      <c r="E3707">
        <v>2</v>
      </c>
    </row>
    <row r="3708" spans="1:5" x14ac:dyDescent="0.25">
      <c r="A3708" s="173" t="s">
        <v>468</v>
      </c>
      <c r="B3708">
        <v>27307</v>
      </c>
      <c r="C3708" s="173" t="s">
        <v>4858</v>
      </c>
      <c r="D3708" s="173" t="s">
        <v>470</v>
      </c>
      <c r="E3708">
        <v>2</v>
      </c>
    </row>
    <row r="3709" spans="1:5" x14ac:dyDescent="0.25">
      <c r="A3709" s="173" t="s">
        <v>468</v>
      </c>
      <c r="B3709">
        <v>27307</v>
      </c>
      <c r="C3709" s="173" t="s">
        <v>4859</v>
      </c>
      <c r="D3709" s="173" t="s">
        <v>470</v>
      </c>
      <c r="E3709">
        <v>2</v>
      </c>
    </row>
    <row r="3710" spans="1:5" x14ac:dyDescent="0.25">
      <c r="A3710" s="173" t="s">
        <v>468</v>
      </c>
      <c r="B3710">
        <v>27321</v>
      </c>
      <c r="C3710" s="173" t="s">
        <v>4340</v>
      </c>
      <c r="D3710" s="173" t="s">
        <v>470</v>
      </c>
      <c r="E3710">
        <v>2</v>
      </c>
    </row>
    <row r="3711" spans="1:5" x14ac:dyDescent="0.25">
      <c r="A3711" s="173" t="s">
        <v>468</v>
      </c>
      <c r="B3711">
        <v>27321</v>
      </c>
      <c r="C3711" s="173" t="s">
        <v>4341</v>
      </c>
      <c r="D3711" s="173" t="s">
        <v>470</v>
      </c>
      <c r="E3711">
        <v>2</v>
      </c>
    </row>
    <row r="3712" spans="1:5" x14ac:dyDescent="0.25">
      <c r="A3712" s="173" t="s">
        <v>468</v>
      </c>
      <c r="B3712">
        <v>27321</v>
      </c>
      <c r="C3712" s="173" t="s">
        <v>4342</v>
      </c>
      <c r="D3712" s="173" t="s">
        <v>470</v>
      </c>
      <c r="E3712">
        <v>2</v>
      </c>
    </row>
    <row r="3713" spans="1:5" x14ac:dyDescent="0.25">
      <c r="A3713" s="173" t="s">
        <v>468</v>
      </c>
      <c r="B3713">
        <v>27321</v>
      </c>
      <c r="C3713" s="173" t="s">
        <v>4343</v>
      </c>
      <c r="D3713" s="173" t="s">
        <v>470</v>
      </c>
      <c r="E3713">
        <v>2</v>
      </c>
    </row>
    <row r="3714" spans="1:5" x14ac:dyDescent="0.25">
      <c r="A3714" s="173" t="s">
        <v>468</v>
      </c>
      <c r="B3714">
        <v>27321</v>
      </c>
      <c r="C3714" s="173" t="s">
        <v>4344</v>
      </c>
      <c r="D3714" s="173" t="s">
        <v>470</v>
      </c>
      <c r="E3714">
        <v>2</v>
      </c>
    </row>
    <row r="3715" spans="1:5" x14ac:dyDescent="0.25">
      <c r="A3715" s="173" t="s">
        <v>468</v>
      </c>
      <c r="B3715">
        <v>27321</v>
      </c>
      <c r="C3715" s="173" t="s">
        <v>4345</v>
      </c>
      <c r="D3715" s="173" t="s">
        <v>470</v>
      </c>
      <c r="E3715">
        <v>2</v>
      </c>
    </row>
    <row r="3716" spans="1:5" x14ac:dyDescent="0.25">
      <c r="A3716" s="173" t="s">
        <v>468</v>
      </c>
      <c r="B3716">
        <v>27321</v>
      </c>
      <c r="C3716" s="173" t="s">
        <v>4346</v>
      </c>
      <c r="D3716" s="173" t="s">
        <v>470</v>
      </c>
      <c r="E3716">
        <v>2</v>
      </c>
    </row>
    <row r="3717" spans="1:5" x14ac:dyDescent="0.25">
      <c r="A3717" s="173" t="s">
        <v>468</v>
      </c>
      <c r="B3717">
        <v>27321</v>
      </c>
      <c r="C3717" s="173" t="s">
        <v>4347</v>
      </c>
      <c r="D3717" s="173" t="s">
        <v>470</v>
      </c>
      <c r="E3717">
        <v>2</v>
      </c>
    </row>
    <row r="3718" spans="1:5" x14ac:dyDescent="0.25">
      <c r="A3718" s="173" t="s">
        <v>468</v>
      </c>
      <c r="B3718">
        <v>27321</v>
      </c>
      <c r="C3718" s="173" t="s">
        <v>4348</v>
      </c>
      <c r="D3718" s="173" t="s">
        <v>470</v>
      </c>
      <c r="E3718">
        <v>2</v>
      </c>
    </row>
    <row r="3719" spans="1:5" x14ac:dyDescent="0.25">
      <c r="A3719" s="173" t="s">
        <v>468</v>
      </c>
      <c r="B3719">
        <v>27321</v>
      </c>
      <c r="C3719" s="173" t="s">
        <v>4349</v>
      </c>
      <c r="D3719" s="173" t="s">
        <v>470</v>
      </c>
      <c r="E3719">
        <v>2</v>
      </c>
    </row>
    <row r="3720" spans="1:5" x14ac:dyDescent="0.25">
      <c r="A3720" s="173" t="s">
        <v>468</v>
      </c>
      <c r="B3720">
        <v>27321</v>
      </c>
      <c r="C3720" s="173" t="s">
        <v>4350</v>
      </c>
      <c r="D3720" s="173" t="s">
        <v>470</v>
      </c>
      <c r="E3720">
        <v>2</v>
      </c>
    </row>
    <row r="3721" spans="1:5" x14ac:dyDescent="0.25">
      <c r="A3721" s="173" t="s">
        <v>468</v>
      </c>
      <c r="B3721">
        <v>27321</v>
      </c>
      <c r="C3721" s="173" t="s">
        <v>4351</v>
      </c>
      <c r="D3721" s="173" t="s">
        <v>470</v>
      </c>
      <c r="E3721">
        <v>2</v>
      </c>
    </row>
    <row r="3722" spans="1:5" x14ac:dyDescent="0.25">
      <c r="A3722" s="173" t="s">
        <v>468</v>
      </c>
      <c r="B3722">
        <v>27321</v>
      </c>
      <c r="C3722" s="173" t="s">
        <v>4352</v>
      </c>
      <c r="D3722" s="173" t="s">
        <v>470</v>
      </c>
      <c r="E3722">
        <v>2</v>
      </c>
    </row>
    <row r="3723" spans="1:5" x14ac:dyDescent="0.25">
      <c r="A3723" s="173" t="s">
        <v>468</v>
      </c>
      <c r="B3723">
        <v>27321</v>
      </c>
      <c r="C3723" s="173" t="s">
        <v>4353</v>
      </c>
      <c r="D3723" s="173" t="s">
        <v>470</v>
      </c>
      <c r="E3723">
        <v>2</v>
      </c>
    </row>
    <row r="3724" spans="1:5" x14ac:dyDescent="0.25">
      <c r="A3724" s="173" t="s">
        <v>468</v>
      </c>
      <c r="B3724">
        <v>27321</v>
      </c>
      <c r="C3724" s="173" t="s">
        <v>4354</v>
      </c>
      <c r="D3724" s="173" t="s">
        <v>470</v>
      </c>
      <c r="E3724">
        <v>2</v>
      </c>
    </row>
    <row r="3725" spans="1:5" x14ac:dyDescent="0.25">
      <c r="A3725" s="173" t="s">
        <v>468</v>
      </c>
      <c r="B3725">
        <v>27321</v>
      </c>
      <c r="C3725" s="173" t="s">
        <v>4355</v>
      </c>
      <c r="D3725" s="173" t="s">
        <v>470</v>
      </c>
      <c r="E3725">
        <v>2</v>
      </c>
    </row>
    <row r="3726" spans="1:5" x14ac:dyDescent="0.25">
      <c r="A3726" s="173" t="s">
        <v>468</v>
      </c>
      <c r="B3726">
        <v>27321</v>
      </c>
      <c r="C3726" s="173" t="s">
        <v>4356</v>
      </c>
      <c r="D3726" s="173" t="s">
        <v>470</v>
      </c>
      <c r="E3726">
        <v>2</v>
      </c>
    </row>
    <row r="3727" spans="1:5" x14ac:dyDescent="0.25">
      <c r="A3727" s="173" t="s">
        <v>468</v>
      </c>
      <c r="B3727">
        <v>27321</v>
      </c>
      <c r="C3727" s="173" t="s">
        <v>4357</v>
      </c>
      <c r="D3727" s="173" t="s">
        <v>470</v>
      </c>
      <c r="E3727">
        <v>2</v>
      </c>
    </row>
    <row r="3728" spans="1:5" x14ac:dyDescent="0.25">
      <c r="A3728" s="173" t="s">
        <v>468</v>
      </c>
      <c r="B3728">
        <v>27321</v>
      </c>
      <c r="C3728" s="173" t="s">
        <v>4358</v>
      </c>
      <c r="D3728" s="173" t="s">
        <v>470</v>
      </c>
      <c r="E3728">
        <v>2</v>
      </c>
    </row>
    <row r="3729" spans="1:5" x14ac:dyDescent="0.25">
      <c r="A3729" s="173" t="s">
        <v>468</v>
      </c>
      <c r="B3729">
        <v>27321</v>
      </c>
      <c r="C3729" s="173" t="s">
        <v>4359</v>
      </c>
      <c r="D3729" s="173" t="s">
        <v>470</v>
      </c>
      <c r="E3729">
        <v>2</v>
      </c>
    </row>
    <row r="3730" spans="1:5" x14ac:dyDescent="0.25">
      <c r="A3730" s="173" t="s">
        <v>468</v>
      </c>
      <c r="B3730">
        <v>27321</v>
      </c>
      <c r="C3730" s="173" t="s">
        <v>4360</v>
      </c>
      <c r="D3730" s="173" t="s">
        <v>470</v>
      </c>
      <c r="E3730">
        <v>2</v>
      </c>
    </row>
    <row r="3731" spans="1:5" x14ac:dyDescent="0.25">
      <c r="A3731" s="173" t="s">
        <v>468</v>
      </c>
      <c r="B3731">
        <v>27321</v>
      </c>
      <c r="C3731" s="173" t="s">
        <v>4361</v>
      </c>
      <c r="D3731" s="173" t="s">
        <v>470</v>
      </c>
      <c r="E3731">
        <v>2</v>
      </c>
    </row>
    <row r="3732" spans="1:5" x14ac:dyDescent="0.25">
      <c r="A3732" s="173" t="s">
        <v>468</v>
      </c>
      <c r="B3732">
        <v>27321</v>
      </c>
      <c r="C3732" s="173" t="s">
        <v>4362</v>
      </c>
      <c r="D3732" s="173" t="s">
        <v>470</v>
      </c>
      <c r="E3732">
        <v>2</v>
      </c>
    </row>
    <row r="3733" spans="1:5" x14ac:dyDescent="0.25">
      <c r="A3733" s="173" t="s">
        <v>468</v>
      </c>
      <c r="B3733">
        <v>27321</v>
      </c>
      <c r="C3733" s="173" t="s">
        <v>4363</v>
      </c>
      <c r="D3733" s="173" t="s">
        <v>470</v>
      </c>
      <c r="E3733">
        <v>2</v>
      </c>
    </row>
    <row r="3734" spans="1:5" x14ac:dyDescent="0.25">
      <c r="A3734" s="173" t="s">
        <v>468</v>
      </c>
      <c r="B3734">
        <v>27321</v>
      </c>
      <c r="C3734" s="173" t="s">
        <v>330</v>
      </c>
      <c r="D3734" s="173" t="s">
        <v>470</v>
      </c>
      <c r="E3734">
        <v>3</v>
      </c>
    </row>
    <row r="3735" spans="1:5" x14ac:dyDescent="0.25">
      <c r="A3735" s="173" t="s">
        <v>468</v>
      </c>
      <c r="B3735">
        <v>27321</v>
      </c>
      <c r="C3735" s="173" t="s">
        <v>306</v>
      </c>
      <c r="D3735" s="173" t="s">
        <v>470</v>
      </c>
      <c r="E3735">
        <v>3</v>
      </c>
    </row>
    <row r="3736" spans="1:5" x14ac:dyDescent="0.25">
      <c r="A3736" s="173" t="s">
        <v>468</v>
      </c>
      <c r="B3736">
        <v>27321</v>
      </c>
      <c r="C3736" s="173" t="s">
        <v>317</v>
      </c>
      <c r="D3736" s="173" t="s">
        <v>470</v>
      </c>
      <c r="E3736">
        <v>3</v>
      </c>
    </row>
    <row r="3737" spans="1:5" x14ac:dyDescent="0.25">
      <c r="A3737" s="173" t="s">
        <v>468</v>
      </c>
      <c r="B3737">
        <v>27321</v>
      </c>
      <c r="C3737" s="173" t="s">
        <v>326</v>
      </c>
      <c r="D3737" s="173" t="s">
        <v>470</v>
      </c>
      <c r="E3737">
        <v>3</v>
      </c>
    </row>
    <row r="3738" spans="1:5" x14ac:dyDescent="0.25">
      <c r="A3738" s="173" t="s">
        <v>468</v>
      </c>
      <c r="B3738">
        <v>27321</v>
      </c>
      <c r="C3738" s="173" t="s">
        <v>4364</v>
      </c>
      <c r="D3738" s="173" t="s">
        <v>470</v>
      </c>
      <c r="E3738">
        <v>2</v>
      </c>
    </row>
    <row r="3739" spans="1:5" x14ac:dyDescent="0.25">
      <c r="A3739" s="173" t="s">
        <v>468</v>
      </c>
      <c r="B3739">
        <v>27321</v>
      </c>
      <c r="C3739" s="173" t="s">
        <v>4365</v>
      </c>
      <c r="D3739" s="173" t="s">
        <v>470</v>
      </c>
      <c r="E3739">
        <v>1</v>
      </c>
    </row>
    <row r="3740" spans="1:5" x14ac:dyDescent="0.25">
      <c r="A3740" s="173" t="s">
        <v>468</v>
      </c>
      <c r="B3740">
        <v>27321</v>
      </c>
      <c r="C3740" s="173" t="s">
        <v>316</v>
      </c>
      <c r="D3740" s="173" t="s">
        <v>470</v>
      </c>
      <c r="E3740">
        <v>1</v>
      </c>
    </row>
    <row r="3741" spans="1:5" x14ac:dyDescent="0.25">
      <c r="A3741" s="173" t="s">
        <v>468</v>
      </c>
      <c r="B3741">
        <v>27321</v>
      </c>
      <c r="C3741" s="173" t="s">
        <v>327</v>
      </c>
      <c r="D3741" s="173" t="s">
        <v>470</v>
      </c>
      <c r="E3741">
        <v>3</v>
      </c>
    </row>
    <row r="3742" spans="1:5" x14ac:dyDescent="0.25">
      <c r="A3742" s="173" t="s">
        <v>468</v>
      </c>
      <c r="B3742">
        <v>27321</v>
      </c>
      <c r="C3742" s="173" t="s">
        <v>318</v>
      </c>
      <c r="D3742" s="173" t="s">
        <v>470</v>
      </c>
      <c r="E3742">
        <v>3</v>
      </c>
    </row>
    <row r="3743" spans="1:5" x14ac:dyDescent="0.25">
      <c r="A3743" s="173" t="s">
        <v>468</v>
      </c>
      <c r="B3743">
        <v>27321</v>
      </c>
      <c r="C3743" s="173" t="s">
        <v>314</v>
      </c>
      <c r="D3743" s="173" t="s">
        <v>470</v>
      </c>
      <c r="E3743">
        <v>3</v>
      </c>
    </row>
    <row r="3744" spans="1:5" x14ac:dyDescent="0.25">
      <c r="A3744" s="173" t="s">
        <v>468</v>
      </c>
      <c r="B3744">
        <v>27321</v>
      </c>
      <c r="C3744" s="173" t="s">
        <v>4366</v>
      </c>
      <c r="D3744" s="173" t="s">
        <v>470</v>
      </c>
      <c r="E3744">
        <v>2</v>
      </c>
    </row>
    <row r="3745" spans="1:5" x14ac:dyDescent="0.25">
      <c r="A3745" s="173" t="s">
        <v>468</v>
      </c>
      <c r="B3745">
        <v>27321</v>
      </c>
      <c r="C3745" s="173" t="s">
        <v>4367</v>
      </c>
      <c r="D3745" s="173" t="s">
        <v>470</v>
      </c>
      <c r="E3745">
        <v>2</v>
      </c>
    </row>
    <row r="3746" spans="1:5" x14ac:dyDescent="0.25">
      <c r="A3746" s="173" t="s">
        <v>468</v>
      </c>
      <c r="B3746">
        <v>27321</v>
      </c>
      <c r="C3746" s="173" t="s">
        <v>4368</v>
      </c>
      <c r="D3746" s="173" t="s">
        <v>470</v>
      </c>
      <c r="E3746">
        <v>2</v>
      </c>
    </row>
    <row r="3747" spans="1:5" x14ac:dyDescent="0.25">
      <c r="A3747" s="173" t="s">
        <v>468</v>
      </c>
      <c r="B3747">
        <v>27321</v>
      </c>
      <c r="C3747" s="173" t="s">
        <v>4369</v>
      </c>
      <c r="D3747" s="173" t="s">
        <v>470</v>
      </c>
      <c r="E3747">
        <v>2</v>
      </c>
    </row>
    <row r="3748" spans="1:5" x14ac:dyDescent="0.25">
      <c r="A3748" s="173" t="s">
        <v>468</v>
      </c>
      <c r="B3748">
        <v>27321</v>
      </c>
      <c r="C3748" s="173" t="s">
        <v>4370</v>
      </c>
      <c r="D3748" s="173" t="s">
        <v>470</v>
      </c>
      <c r="E3748">
        <v>2</v>
      </c>
    </row>
    <row r="3749" spans="1:5" x14ac:dyDescent="0.25">
      <c r="A3749" s="173" t="s">
        <v>468</v>
      </c>
      <c r="B3749">
        <v>27321</v>
      </c>
      <c r="C3749" s="173" t="s">
        <v>4860</v>
      </c>
      <c r="D3749" s="173" t="s">
        <v>470</v>
      </c>
      <c r="E3749">
        <v>2</v>
      </c>
    </row>
    <row r="3750" spans="1:5" x14ac:dyDescent="0.25">
      <c r="A3750" s="173" t="s">
        <v>468</v>
      </c>
      <c r="B3750">
        <v>27321</v>
      </c>
      <c r="C3750" s="173" t="s">
        <v>4861</v>
      </c>
      <c r="D3750" s="173" t="s">
        <v>470</v>
      </c>
      <c r="E3750">
        <v>2</v>
      </c>
    </row>
    <row r="3751" spans="1:5" x14ac:dyDescent="0.25">
      <c r="A3751" s="173" t="s">
        <v>468</v>
      </c>
      <c r="B3751">
        <v>27383</v>
      </c>
      <c r="C3751" s="173" t="s">
        <v>4340</v>
      </c>
      <c r="D3751" s="173" t="s">
        <v>470</v>
      </c>
      <c r="E3751">
        <v>3</v>
      </c>
    </row>
    <row r="3752" spans="1:5" x14ac:dyDescent="0.25">
      <c r="A3752" s="173" t="s">
        <v>468</v>
      </c>
      <c r="B3752">
        <v>27383</v>
      </c>
      <c r="C3752" s="173" t="s">
        <v>4345</v>
      </c>
      <c r="D3752" s="173" t="s">
        <v>470</v>
      </c>
      <c r="E3752">
        <v>2</v>
      </c>
    </row>
    <row r="3753" spans="1:5" x14ac:dyDescent="0.25">
      <c r="A3753" s="173" t="s">
        <v>468</v>
      </c>
      <c r="B3753">
        <v>27383</v>
      </c>
      <c r="C3753" s="173" t="s">
        <v>4349</v>
      </c>
      <c r="D3753" s="173" t="s">
        <v>470</v>
      </c>
      <c r="E3753">
        <v>2</v>
      </c>
    </row>
    <row r="3754" spans="1:5" x14ac:dyDescent="0.25">
      <c r="A3754" s="173" t="s">
        <v>468</v>
      </c>
      <c r="B3754">
        <v>27383</v>
      </c>
      <c r="C3754" s="173" t="s">
        <v>4351</v>
      </c>
      <c r="D3754" s="173" t="s">
        <v>470</v>
      </c>
      <c r="E3754">
        <v>3</v>
      </c>
    </row>
    <row r="3755" spans="1:5" x14ac:dyDescent="0.25">
      <c r="A3755" s="173" t="s">
        <v>468</v>
      </c>
      <c r="B3755">
        <v>27383</v>
      </c>
      <c r="C3755" s="173" t="s">
        <v>4354</v>
      </c>
      <c r="D3755" s="173" t="s">
        <v>470</v>
      </c>
      <c r="E3755">
        <v>3</v>
      </c>
    </row>
    <row r="3756" spans="1:5" x14ac:dyDescent="0.25">
      <c r="A3756" s="173" t="s">
        <v>468</v>
      </c>
      <c r="B3756">
        <v>27383</v>
      </c>
      <c r="C3756" s="173" t="s">
        <v>3496</v>
      </c>
      <c r="D3756" s="173" t="s">
        <v>470</v>
      </c>
      <c r="E3756">
        <v>3</v>
      </c>
    </row>
    <row r="3757" spans="1:5" x14ac:dyDescent="0.25">
      <c r="A3757" s="173" t="s">
        <v>468</v>
      </c>
      <c r="B3757">
        <v>27383</v>
      </c>
      <c r="C3757" s="173" t="s">
        <v>4371</v>
      </c>
      <c r="D3757" s="173" t="s">
        <v>470</v>
      </c>
      <c r="E3757">
        <v>3</v>
      </c>
    </row>
    <row r="3758" spans="1:5" x14ac:dyDescent="0.25">
      <c r="A3758" s="173" t="s">
        <v>468</v>
      </c>
      <c r="B3758">
        <v>27383</v>
      </c>
      <c r="C3758" s="173" t="s">
        <v>4372</v>
      </c>
      <c r="D3758" s="173" t="s">
        <v>470</v>
      </c>
      <c r="E3758">
        <v>3</v>
      </c>
    </row>
    <row r="3759" spans="1:5" x14ac:dyDescent="0.25">
      <c r="A3759" s="173" t="s">
        <v>468</v>
      </c>
      <c r="B3759">
        <v>27383</v>
      </c>
      <c r="C3759" s="173" t="s">
        <v>309</v>
      </c>
      <c r="D3759" s="173" t="s">
        <v>470</v>
      </c>
      <c r="E3759">
        <v>3</v>
      </c>
    </row>
    <row r="3760" spans="1:5" x14ac:dyDescent="0.25">
      <c r="A3760" s="173" t="s">
        <v>468</v>
      </c>
      <c r="B3760">
        <v>27383</v>
      </c>
      <c r="C3760" s="173" t="s">
        <v>4373</v>
      </c>
      <c r="D3760" s="173" t="s">
        <v>470</v>
      </c>
      <c r="E3760">
        <v>3</v>
      </c>
    </row>
    <row r="3761" spans="1:5" x14ac:dyDescent="0.25">
      <c r="A3761" s="173" t="s">
        <v>468</v>
      </c>
      <c r="B3761">
        <v>27383</v>
      </c>
      <c r="C3761" s="173" t="s">
        <v>310</v>
      </c>
      <c r="D3761" s="173" t="s">
        <v>470</v>
      </c>
      <c r="E3761">
        <v>3</v>
      </c>
    </row>
    <row r="3762" spans="1:5" x14ac:dyDescent="0.25">
      <c r="A3762" s="173" t="s">
        <v>468</v>
      </c>
      <c r="B3762">
        <v>27383</v>
      </c>
      <c r="C3762" s="173" t="s">
        <v>4374</v>
      </c>
      <c r="D3762" s="173" t="s">
        <v>470</v>
      </c>
      <c r="E3762">
        <v>3</v>
      </c>
    </row>
    <row r="3763" spans="1:5" x14ac:dyDescent="0.25">
      <c r="A3763" s="173" t="s">
        <v>468</v>
      </c>
      <c r="B3763">
        <v>27388</v>
      </c>
      <c r="C3763" s="173" t="s">
        <v>2799</v>
      </c>
      <c r="D3763" s="173" t="s">
        <v>470</v>
      </c>
      <c r="E3763">
        <v>6</v>
      </c>
    </row>
    <row r="3764" spans="1:5" x14ac:dyDescent="0.25">
      <c r="A3764" s="173" t="s">
        <v>468</v>
      </c>
      <c r="B3764">
        <v>27388</v>
      </c>
      <c r="C3764" s="173" t="s">
        <v>2800</v>
      </c>
      <c r="D3764" s="173" t="s">
        <v>470</v>
      </c>
      <c r="E3764">
        <v>6</v>
      </c>
    </row>
    <row r="3765" spans="1:5" x14ac:dyDescent="0.25">
      <c r="A3765" s="173" t="s">
        <v>468</v>
      </c>
      <c r="B3765">
        <v>27388</v>
      </c>
      <c r="C3765" s="173" t="s">
        <v>2801</v>
      </c>
      <c r="D3765" s="173" t="s">
        <v>470</v>
      </c>
      <c r="E3765">
        <v>6</v>
      </c>
    </row>
    <row r="3766" spans="1:5" x14ac:dyDescent="0.25">
      <c r="A3766" s="173" t="s">
        <v>468</v>
      </c>
      <c r="B3766">
        <v>27388</v>
      </c>
      <c r="C3766" s="173" t="s">
        <v>2802</v>
      </c>
      <c r="D3766" s="173" t="s">
        <v>470</v>
      </c>
      <c r="E3766">
        <v>6</v>
      </c>
    </row>
    <row r="3767" spans="1:5" x14ac:dyDescent="0.25">
      <c r="A3767" s="173" t="s">
        <v>468</v>
      </c>
      <c r="B3767">
        <v>27388</v>
      </c>
      <c r="C3767" s="173" t="s">
        <v>2803</v>
      </c>
      <c r="D3767" s="173" t="s">
        <v>470</v>
      </c>
      <c r="E3767">
        <v>6</v>
      </c>
    </row>
    <row r="3768" spans="1:5" x14ac:dyDescent="0.25">
      <c r="A3768" s="173" t="s">
        <v>468</v>
      </c>
      <c r="B3768">
        <v>27388</v>
      </c>
      <c r="C3768" s="173" t="s">
        <v>2804</v>
      </c>
      <c r="D3768" s="173" t="s">
        <v>470</v>
      </c>
      <c r="E3768">
        <v>6</v>
      </c>
    </row>
    <row r="3769" spans="1:5" x14ac:dyDescent="0.25">
      <c r="A3769" s="173" t="s">
        <v>468</v>
      </c>
      <c r="B3769">
        <v>27388</v>
      </c>
      <c r="C3769" s="173" t="s">
        <v>2805</v>
      </c>
      <c r="D3769" s="173" t="s">
        <v>470</v>
      </c>
      <c r="E3769">
        <v>7</v>
      </c>
    </row>
    <row r="3770" spans="1:5" x14ac:dyDescent="0.25">
      <c r="A3770" s="173" t="s">
        <v>468</v>
      </c>
      <c r="B3770">
        <v>27388</v>
      </c>
      <c r="C3770" s="173" t="s">
        <v>2806</v>
      </c>
      <c r="D3770" s="173" t="s">
        <v>470</v>
      </c>
      <c r="E3770">
        <v>6</v>
      </c>
    </row>
    <row r="3771" spans="1:5" x14ac:dyDescent="0.25">
      <c r="A3771" s="173" t="s">
        <v>468</v>
      </c>
      <c r="B3771">
        <v>27388</v>
      </c>
      <c r="C3771" s="173" t="s">
        <v>2807</v>
      </c>
      <c r="D3771" s="173" t="s">
        <v>470</v>
      </c>
      <c r="E3771">
        <v>6</v>
      </c>
    </row>
    <row r="3772" spans="1:5" x14ac:dyDescent="0.25">
      <c r="A3772" s="173" t="s">
        <v>468</v>
      </c>
      <c r="B3772">
        <v>27388</v>
      </c>
      <c r="C3772" s="173" t="s">
        <v>2808</v>
      </c>
      <c r="D3772" s="173" t="s">
        <v>470</v>
      </c>
      <c r="E3772">
        <v>6</v>
      </c>
    </row>
    <row r="3773" spans="1:5" x14ac:dyDescent="0.25">
      <c r="A3773" s="173" t="s">
        <v>468</v>
      </c>
      <c r="B3773">
        <v>27388</v>
      </c>
      <c r="C3773" s="173" t="s">
        <v>2809</v>
      </c>
      <c r="D3773" s="173" t="s">
        <v>470</v>
      </c>
      <c r="E3773">
        <v>6</v>
      </c>
    </row>
    <row r="3774" spans="1:5" x14ac:dyDescent="0.25">
      <c r="A3774" s="173" t="s">
        <v>468</v>
      </c>
      <c r="B3774">
        <v>27388</v>
      </c>
      <c r="C3774" s="173" t="s">
        <v>2810</v>
      </c>
      <c r="D3774" s="173" t="s">
        <v>470</v>
      </c>
      <c r="E3774">
        <v>6</v>
      </c>
    </row>
    <row r="3775" spans="1:5" x14ac:dyDescent="0.25">
      <c r="A3775" s="173" t="s">
        <v>468</v>
      </c>
      <c r="B3775">
        <v>27388</v>
      </c>
      <c r="C3775" s="173" t="s">
        <v>2811</v>
      </c>
      <c r="D3775" s="173" t="s">
        <v>470</v>
      </c>
      <c r="E3775">
        <v>6</v>
      </c>
    </row>
    <row r="3776" spans="1:5" x14ac:dyDescent="0.25">
      <c r="A3776" s="173" t="s">
        <v>468</v>
      </c>
      <c r="B3776">
        <v>27388</v>
      </c>
      <c r="C3776" s="173" t="s">
        <v>438</v>
      </c>
      <c r="D3776" s="173" t="s">
        <v>470</v>
      </c>
      <c r="E3776">
        <v>6</v>
      </c>
    </row>
    <row r="3777" spans="1:5" x14ac:dyDescent="0.25">
      <c r="A3777" s="173" t="s">
        <v>468</v>
      </c>
      <c r="B3777">
        <v>27388</v>
      </c>
      <c r="C3777" s="173" t="s">
        <v>437</v>
      </c>
      <c r="D3777" s="173" t="s">
        <v>470</v>
      </c>
      <c r="E3777">
        <v>6</v>
      </c>
    </row>
    <row r="3778" spans="1:5" x14ac:dyDescent="0.25">
      <c r="A3778" s="173" t="s">
        <v>468</v>
      </c>
      <c r="B3778">
        <v>27388</v>
      </c>
      <c r="C3778" s="173" t="s">
        <v>2812</v>
      </c>
      <c r="D3778" s="173" t="s">
        <v>470</v>
      </c>
      <c r="E3778">
        <v>6</v>
      </c>
    </row>
    <row r="3779" spans="1:5" x14ac:dyDescent="0.25">
      <c r="A3779" s="173" t="s">
        <v>468</v>
      </c>
      <c r="B3779">
        <v>27388</v>
      </c>
      <c r="C3779" s="173" t="s">
        <v>2813</v>
      </c>
      <c r="D3779" s="173" t="s">
        <v>470</v>
      </c>
      <c r="E3779">
        <v>6</v>
      </c>
    </row>
    <row r="3780" spans="1:5" x14ac:dyDescent="0.25">
      <c r="A3780" s="173" t="s">
        <v>468</v>
      </c>
      <c r="B3780">
        <v>27395</v>
      </c>
      <c r="C3780" s="173" t="s">
        <v>4375</v>
      </c>
      <c r="D3780" s="173" t="s">
        <v>470</v>
      </c>
      <c r="E3780">
        <v>3</v>
      </c>
    </row>
    <row r="3781" spans="1:5" x14ac:dyDescent="0.25">
      <c r="A3781" s="173" t="s">
        <v>468</v>
      </c>
      <c r="B3781">
        <v>27395</v>
      </c>
      <c r="C3781" s="173" t="s">
        <v>4376</v>
      </c>
      <c r="D3781" s="173" t="s">
        <v>470</v>
      </c>
      <c r="E3781">
        <v>2</v>
      </c>
    </row>
    <row r="3782" spans="1:5" x14ac:dyDescent="0.25">
      <c r="A3782" s="173" t="s">
        <v>468</v>
      </c>
      <c r="B3782">
        <v>27395</v>
      </c>
      <c r="C3782" s="173" t="s">
        <v>4377</v>
      </c>
      <c r="D3782" s="173" t="s">
        <v>470</v>
      </c>
      <c r="E3782">
        <v>2</v>
      </c>
    </row>
    <row r="3783" spans="1:5" x14ac:dyDescent="0.25">
      <c r="A3783" s="173" t="s">
        <v>468</v>
      </c>
      <c r="B3783">
        <v>27395</v>
      </c>
      <c r="C3783" s="173" t="s">
        <v>4378</v>
      </c>
      <c r="D3783" s="173" t="s">
        <v>470</v>
      </c>
      <c r="E3783">
        <v>2</v>
      </c>
    </row>
    <row r="3784" spans="1:5" x14ac:dyDescent="0.25">
      <c r="A3784" s="173" t="s">
        <v>468</v>
      </c>
      <c r="B3784">
        <v>27395</v>
      </c>
      <c r="C3784" s="173" t="s">
        <v>4379</v>
      </c>
      <c r="D3784" s="173" t="s">
        <v>470</v>
      </c>
      <c r="E3784">
        <v>2</v>
      </c>
    </row>
    <row r="3785" spans="1:5" x14ac:dyDescent="0.25">
      <c r="A3785" s="173" t="s">
        <v>468</v>
      </c>
      <c r="B3785">
        <v>27395</v>
      </c>
      <c r="C3785" s="173" t="s">
        <v>4380</v>
      </c>
      <c r="D3785" s="173" t="s">
        <v>470</v>
      </c>
      <c r="E3785">
        <v>3</v>
      </c>
    </row>
    <row r="3786" spans="1:5" x14ac:dyDescent="0.25">
      <c r="A3786" s="173" t="s">
        <v>468</v>
      </c>
      <c r="B3786">
        <v>27395</v>
      </c>
      <c r="C3786" s="173" t="s">
        <v>4381</v>
      </c>
      <c r="D3786" s="173" t="s">
        <v>470</v>
      </c>
      <c r="E3786">
        <v>2</v>
      </c>
    </row>
    <row r="3787" spans="1:5" x14ac:dyDescent="0.25">
      <c r="A3787" s="173" t="s">
        <v>468</v>
      </c>
      <c r="B3787">
        <v>27395</v>
      </c>
      <c r="C3787" s="173" t="s">
        <v>4382</v>
      </c>
      <c r="D3787" s="173" t="s">
        <v>470</v>
      </c>
      <c r="E3787">
        <v>2</v>
      </c>
    </row>
    <row r="3788" spans="1:5" x14ac:dyDescent="0.25">
      <c r="A3788" s="173" t="s">
        <v>468</v>
      </c>
      <c r="B3788">
        <v>27395</v>
      </c>
      <c r="C3788" s="173" t="s">
        <v>4383</v>
      </c>
      <c r="D3788" s="173" t="s">
        <v>470</v>
      </c>
      <c r="E3788">
        <v>3</v>
      </c>
    </row>
    <row r="3789" spans="1:5" x14ac:dyDescent="0.25">
      <c r="A3789" s="173" t="s">
        <v>468</v>
      </c>
      <c r="B3789">
        <v>27395</v>
      </c>
      <c r="C3789" s="173" t="s">
        <v>4384</v>
      </c>
      <c r="D3789" s="173" t="s">
        <v>470</v>
      </c>
      <c r="E3789">
        <v>3</v>
      </c>
    </row>
    <row r="3790" spans="1:5" x14ac:dyDescent="0.25">
      <c r="A3790" s="173" t="s">
        <v>468</v>
      </c>
      <c r="B3790">
        <v>27395</v>
      </c>
      <c r="C3790" s="173" t="s">
        <v>4385</v>
      </c>
      <c r="D3790" s="173" t="s">
        <v>470</v>
      </c>
      <c r="E3790">
        <v>2</v>
      </c>
    </row>
    <row r="3791" spans="1:5" x14ac:dyDescent="0.25">
      <c r="A3791" s="173" t="s">
        <v>468</v>
      </c>
      <c r="B3791">
        <v>27395</v>
      </c>
      <c r="C3791" s="173" t="s">
        <v>4386</v>
      </c>
      <c r="D3791" s="173" t="s">
        <v>470</v>
      </c>
      <c r="E3791">
        <v>3</v>
      </c>
    </row>
    <row r="3792" spans="1:5" x14ac:dyDescent="0.25">
      <c r="A3792" s="173" t="s">
        <v>468</v>
      </c>
      <c r="B3792">
        <v>27398</v>
      </c>
      <c r="C3792" s="173" t="s">
        <v>2814</v>
      </c>
      <c r="D3792" s="173" t="s">
        <v>470</v>
      </c>
      <c r="E3792">
        <v>1</v>
      </c>
    </row>
    <row r="3793" spans="1:5" x14ac:dyDescent="0.25">
      <c r="A3793" s="173" t="s">
        <v>468</v>
      </c>
      <c r="B3793">
        <v>27398</v>
      </c>
      <c r="C3793" s="173" t="s">
        <v>2815</v>
      </c>
      <c r="D3793" s="173" t="s">
        <v>470</v>
      </c>
      <c r="E3793">
        <v>1</v>
      </c>
    </row>
    <row r="3794" spans="1:5" x14ac:dyDescent="0.25">
      <c r="A3794" s="173" t="s">
        <v>468</v>
      </c>
      <c r="B3794">
        <v>27398</v>
      </c>
      <c r="C3794" s="173" t="s">
        <v>2816</v>
      </c>
      <c r="D3794" s="173" t="s">
        <v>470</v>
      </c>
      <c r="E3794">
        <v>1</v>
      </c>
    </row>
    <row r="3795" spans="1:5" x14ac:dyDescent="0.25">
      <c r="A3795" s="173" t="s">
        <v>468</v>
      </c>
      <c r="B3795">
        <v>27398</v>
      </c>
      <c r="C3795" s="173" t="s">
        <v>2817</v>
      </c>
      <c r="D3795" s="173" t="s">
        <v>470</v>
      </c>
      <c r="E3795">
        <v>1</v>
      </c>
    </row>
    <row r="3796" spans="1:5" x14ac:dyDescent="0.25">
      <c r="A3796" s="173" t="s">
        <v>468</v>
      </c>
      <c r="B3796">
        <v>27398</v>
      </c>
      <c r="C3796" s="173" t="s">
        <v>2818</v>
      </c>
      <c r="D3796" s="173" t="s">
        <v>470</v>
      </c>
      <c r="E3796">
        <v>1</v>
      </c>
    </row>
    <row r="3797" spans="1:5" x14ac:dyDescent="0.25">
      <c r="A3797" s="173" t="s">
        <v>468</v>
      </c>
      <c r="B3797">
        <v>27398</v>
      </c>
      <c r="C3797" s="173" t="s">
        <v>2819</v>
      </c>
      <c r="D3797" s="173" t="s">
        <v>470</v>
      </c>
      <c r="E3797">
        <v>1</v>
      </c>
    </row>
    <row r="3798" spans="1:5" x14ac:dyDescent="0.25">
      <c r="A3798" s="173" t="s">
        <v>468</v>
      </c>
      <c r="B3798">
        <v>27398</v>
      </c>
      <c r="C3798" s="173" t="s">
        <v>2820</v>
      </c>
      <c r="D3798" s="173" t="s">
        <v>470</v>
      </c>
      <c r="E3798">
        <v>1</v>
      </c>
    </row>
    <row r="3799" spans="1:5" x14ac:dyDescent="0.25">
      <c r="A3799" s="173" t="s">
        <v>468</v>
      </c>
      <c r="B3799">
        <v>27398</v>
      </c>
      <c r="C3799" s="173" t="s">
        <v>2821</v>
      </c>
      <c r="D3799" s="173" t="s">
        <v>470</v>
      </c>
      <c r="E3799">
        <v>1</v>
      </c>
    </row>
    <row r="3800" spans="1:5" x14ac:dyDescent="0.25">
      <c r="A3800" s="173" t="s">
        <v>468</v>
      </c>
      <c r="B3800">
        <v>27398</v>
      </c>
      <c r="C3800" s="173" t="s">
        <v>2822</v>
      </c>
      <c r="D3800" s="173" t="s">
        <v>470</v>
      </c>
      <c r="E3800">
        <v>1</v>
      </c>
    </row>
    <row r="3801" spans="1:5" x14ac:dyDescent="0.25">
      <c r="A3801" s="173" t="s">
        <v>468</v>
      </c>
      <c r="B3801">
        <v>27398</v>
      </c>
      <c r="C3801" s="173" t="s">
        <v>2823</v>
      </c>
      <c r="D3801" s="173" t="s">
        <v>470</v>
      </c>
      <c r="E3801">
        <v>1</v>
      </c>
    </row>
    <row r="3802" spans="1:5" x14ac:dyDescent="0.25">
      <c r="A3802" s="173" t="s">
        <v>468</v>
      </c>
      <c r="B3802">
        <v>27398</v>
      </c>
      <c r="C3802" s="173" t="s">
        <v>2824</v>
      </c>
      <c r="D3802" s="173" t="s">
        <v>470</v>
      </c>
      <c r="E3802">
        <v>1</v>
      </c>
    </row>
    <row r="3803" spans="1:5" x14ac:dyDescent="0.25">
      <c r="A3803" s="173" t="s">
        <v>468</v>
      </c>
      <c r="B3803">
        <v>27398</v>
      </c>
      <c r="C3803" s="173" t="s">
        <v>2825</v>
      </c>
      <c r="D3803" s="173" t="s">
        <v>470</v>
      </c>
      <c r="E3803">
        <v>1</v>
      </c>
    </row>
    <row r="3804" spans="1:5" x14ac:dyDescent="0.25">
      <c r="A3804" s="173" t="s">
        <v>468</v>
      </c>
      <c r="B3804">
        <v>27398</v>
      </c>
      <c r="C3804" s="173" t="s">
        <v>2826</v>
      </c>
      <c r="D3804" s="173" t="s">
        <v>470</v>
      </c>
      <c r="E3804">
        <v>1</v>
      </c>
    </row>
    <row r="3805" spans="1:5" x14ac:dyDescent="0.25">
      <c r="A3805" s="173" t="s">
        <v>468</v>
      </c>
      <c r="B3805">
        <v>27398</v>
      </c>
      <c r="C3805" s="173" t="s">
        <v>2827</v>
      </c>
      <c r="D3805" s="173" t="s">
        <v>470</v>
      </c>
      <c r="E3805">
        <v>1</v>
      </c>
    </row>
    <row r="3806" spans="1:5" x14ac:dyDescent="0.25">
      <c r="A3806" s="173" t="s">
        <v>468</v>
      </c>
      <c r="B3806">
        <v>27401</v>
      </c>
      <c r="C3806" s="173" t="s">
        <v>4862</v>
      </c>
      <c r="D3806" s="173" t="s">
        <v>470</v>
      </c>
      <c r="E3806">
        <v>1</v>
      </c>
    </row>
    <row r="3807" spans="1:5" x14ac:dyDescent="0.25">
      <c r="A3807" s="173" t="s">
        <v>468</v>
      </c>
      <c r="B3807">
        <v>27401</v>
      </c>
      <c r="C3807" s="173" t="s">
        <v>4863</v>
      </c>
      <c r="D3807" s="173" t="s">
        <v>470</v>
      </c>
      <c r="E3807">
        <v>1</v>
      </c>
    </row>
    <row r="3808" spans="1:5" x14ac:dyDescent="0.25">
      <c r="A3808" s="173" t="s">
        <v>468</v>
      </c>
      <c r="B3808">
        <v>27401</v>
      </c>
      <c r="C3808" s="173" t="s">
        <v>4864</v>
      </c>
      <c r="D3808" s="173" t="s">
        <v>470</v>
      </c>
      <c r="E3808">
        <v>1</v>
      </c>
    </row>
    <row r="3809" spans="1:5" x14ac:dyDescent="0.25">
      <c r="A3809" s="173" t="s">
        <v>468</v>
      </c>
      <c r="B3809">
        <v>27401</v>
      </c>
      <c r="C3809" s="173" t="s">
        <v>4865</v>
      </c>
      <c r="D3809" s="173" t="s">
        <v>470</v>
      </c>
      <c r="E3809">
        <v>1</v>
      </c>
    </row>
    <row r="3810" spans="1:5" x14ac:dyDescent="0.25">
      <c r="A3810" s="173" t="s">
        <v>468</v>
      </c>
      <c r="B3810">
        <v>27401</v>
      </c>
      <c r="C3810" s="173" t="s">
        <v>4866</v>
      </c>
      <c r="D3810" s="173" t="s">
        <v>470</v>
      </c>
      <c r="E3810">
        <v>1</v>
      </c>
    </row>
    <row r="3811" spans="1:5" x14ac:dyDescent="0.25">
      <c r="A3811" s="173" t="s">
        <v>468</v>
      </c>
      <c r="B3811">
        <v>27401</v>
      </c>
      <c r="C3811" s="173" t="s">
        <v>4867</v>
      </c>
      <c r="D3811" s="173" t="s">
        <v>470</v>
      </c>
      <c r="E3811">
        <v>1</v>
      </c>
    </row>
    <row r="3812" spans="1:5" x14ac:dyDescent="0.25">
      <c r="A3812" s="173" t="s">
        <v>468</v>
      </c>
      <c r="B3812">
        <v>27401</v>
      </c>
      <c r="C3812" s="173" t="s">
        <v>4868</v>
      </c>
      <c r="D3812" s="173" t="s">
        <v>470</v>
      </c>
      <c r="E3812">
        <v>1</v>
      </c>
    </row>
    <row r="3813" spans="1:5" x14ac:dyDescent="0.25">
      <c r="A3813" s="173" t="s">
        <v>468</v>
      </c>
      <c r="B3813">
        <v>27401</v>
      </c>
      <c r="C3813" s="173" t="s">
        <v>4869</v>
      </c>
      <c r="D3813" s="173" t="s">
        <v>470</v>
      </c>
      <c r="E3813">
        <v>1</v>
      </c>
    </row>
    <row r="3814" spans="1:5" x14ac:dyDescent="0.25">
      <c r="A3814" s="173" t="s">
        <v>468</v>
      </c>
      <c r="B3814">
        <v>27402</v>
      </c>
      <c r="C3814" s="173" t="s">
        <v>2828</v>
      </c>
      <c r="D3814" s="173" t="s">
        <v>470</v>
      </c>
      <c r="E3814">
        <v>1</v>
      </c>
    </row>
    <row r="3815" spans="1:5" x14ac:dyDescent="0.25">
      <c r="A3815" s="173" t="s">
        <v>468</v>
      </c>
      <c r="B3815">
        <v>27402</v>
      </c>
      <c r="C3815" s="173" t="s">
        <v>2829</v>
      </c>
      <c r="D3815" s="173" t="s">
        <v>470</v>
      </c>
      <c r="E3815">
        <v>1</v>
      </c>
    </row>
    <row r="3816" spans="1:5" x14ac:dyDescent="0.25">
      <c r="A3816" s="173" t="s">
        <v>468</v>
      </c>
      <c r="B3816">
        <v>27402</v>
      </c>
      <c r="C3816" s="173" t="s">
        <v>2830</v>
      </c>
      <c r="D3816" s="173" t="s">
        <v>470</v>
      </c>
      <c r="E3816">
        <v>1</v>
      </c>
    </row>
    <row r="3817" spans="1:5" x14ac:dyDescent="0.25">
      <c r="A3817" s="173" t="s">
        <v>468</v>
      </c>
      <c r="B3817">
        <v>27402</v>
      </c>
      <c r="C3817" s="173" t="s">
        <v>2831</v>
      </c>
      <c r="D3817" s="173" t="s">
        <v>470</v>
      </c>
      <c r="E3817">
        <v>1</v>
      </c>
    </row>
    <row r="3818" spans="1:5" x14ac:dyDescent="0.25">
      <c r="A3818" s="173" t="s">
        <v>468</v>
      </c>
      <c r="B3818">
        <v>27402</v>
      </c>
      <c r="C3818" s="173" t="s">
        <v>2832</v>
      </c>
      <c r="D3818" s="173" t="s">
        <v>470</v>
      </c>
      <c r="E3818">
        <v>1</v>
      </c>
    </row>
    <row r="3819" spans="1:5" x14ac:dyDescent="0.25">
      <c r="A3819" s="173" t="s">
        <v>468</v>
      </c>
      <c r="B3819">
        <v>27402</v>
      </c>
      <c r="C3819" s="173" t="s">
        <v>2833</v>
      </c>
      <c r="D3819" s="173" t="s">
        <v>470</v>
      </c>
      <c r="E3819">
        <v>1</v>
      </c>
    </row>
    <row r="3820" spans="1:5" x14ac:dyDescent="0.25">
      <c r="A3820" s="173" t="s">
        <v>468</v>
      </c>
      <c r="B3820">
        <v>27402</v>
      </c>
      <c r="C3820" s="173" t="s">
        <v>2834</v>
      </c>
      <c r="D3820" s="173" t="s">
        <v>470</v>
      </c>
      <c r="E3820">
        <v>1</v>
      </c>
    </row>
    <row r="3821" spans="1:5" x14ac:dyDescent="0.25">
      <c r="A3821" s="173" t="s">
        <v>468</v>
      </c>
      <c r="B3821">
        <v>27402</v>
      </c>
      <c r="C3821" s="173" t="s">
        <v>2835</v>
      </c>
      <c r="D3821" s="173" t="s">
        <v>470</v>
      </c>
      <c r="E3821">
        <v>1</v>
      </c>
    </row>
    <row r="3822" spans="1:5" x14ac:dyDescent="0.25">
      <c r="A3822" s="173" t="s">
        <v>468</v>
      </c>
      <c r="B3822">
        <v>27402</v>
      </c>
      <c r="C3822" s="173" t="s">
        <v>2836</v>
      </c>
      <c r="D3822" s="173" t="s">
        <v>470</v>
      </c>
      <c r="E3822">
        <v>1</v>
      </c>
    </row>
    <row r="3823" spans="1:5" x14ac:dyDescent="0.25">
      <c r="A3823" s="173" t="s">
        <v>468</v>
      </c>
      <c r="B3823">
        <v>27402</v>
      </c>
      <c r="C3823" s="173" t="s">
        <v>2837</v>
      </c>
      <c r="D3823" s="173" t="s">
        <v>470</v>
      </c>
      <c r="E3823">
        <v>1</v>
      </c>
    </row>
    <row r="3824" spans="1:5" x14ac:dyDescent="0.25">
      <c r="A3824" s="173" t="s">
        <v>468</v>
      </c>
      <c r="B3824">
        <v>27402</v>
      </c>
      <c r="C3824" s="173" t="s">
        <v>2838</v>
      </c>
      <c r="D3824" s="173" t="s">
        <v>470</v>
      </c>
      <c r="E3824">
        <v>1</v>
      </c>
    </row>
    <row r="3825" spans="1:5" x14ac:dyDescent="0.25">
      <c r="A3825" s="173" t="s">
        <v>468</v>
      </c>
      <c r="B3825">
        <v>27402</v>
      </c>
      <c r="C3825" s="173" t="s">
        <v>2839</v>
      </c>
      <c r="D3825" s="173" t="s">
        <v>470</v>
      </c>
      <c r="E3825">
        <v>1</v>
      </c>
    </row>
    <row r="3826" spans="1:5" x14ac:dyDescent="0.25">
      <c r="A3826" s="173" t="s">
        <v>468</v>
      </c>
      <c r="B3826">
        <v>27402</v>
      </c>
      <c r="C3826" s="173" t="s">
        <v>2840</v>
      </c>
      <c r="D3826" s="173" t="s">
        <v>470</v>
      </c>
      <c r="E3826">
        <v>1</v>
      </c>
    </row>
    <row r="3827" spans="1:5" x14ac:dyDescent="0.25">
      <c r="A3827" s="173" t="s">
        <v>468</v>
      </c>
      <c r="B3827">
        <v>27403</v>
      </c>
      <c r="C3827" s="173" t="s">
        <v>4870</v>
      </c>
      <c r="D3827" s="173" t="s">
        <v>470</v>
      </c>
      <c r="E3827">
        <v>1</v>
      </c>
    </row>
    <row r="3828" spans="1:5" x14ac:dyDescent="0.25">
      <c r="A3828" s="173" t="s">
        <v>468</v>
      </c>
      <c r="B3828">
        <v>27403</v>
      </c>
      <c r="C3828" s="173" t="s">
        <v>4871</v>
      </c>
      <c r="D3828" s="173" t="s">
        <v>470</v>
      </c>
      <c r="E3828">
        <v>1</v>
      </c>
    </row>
    <row r="3829" spans="1:5" x14ac:dyDescent="0.25">
      <c r="A3829" s="173" t="s">
        <v>468</v>
      </c>
      <c r="B3829">
        <v>27403</v>
      </c>
      <c r="C3829" s="173" t="s">
        <v>4872</v>
      </c>
      <c r="D3829" s="173" t="s">
        <v>470</v>
      </c>
      <c r="E3829">
        <v>1</v>
      </c>
    </row>
    <row r="3830" spans="1:5" x14ac:dyDescent="0.25">
      <c r="A3830" s="173" t="s">
        <v>468</v>
      </c>
      <c r="B3830">
        <v>27403</v>
      </c>
      <c r="C3830" s="173" t="s">
        <v>4873</v>
      </c>
      <c r="D3830" s="173" t="s">
        <v>470</v>
      </c>
      <c r="E3830">
        <v>1</v>
      </c>
    </row>
    <row r="3831" spans="1:5" x14ac:dyDescent="0.25">
      <c r="A3831" s="173" t="s">
        <v>468</v>
      </c>
      <c r="B3831">
        <v>27403</v>
      </c>
      <c r="C3831" s="173" t="s">
        <v>4874</v>
      </c>
      <c r="D3831" s="173" t="s">
        <v>470</v>
      </c>
      <c r="E3831">
        <v>1</v>
      </c>
    </row>
    <row r="3832" spans="1:5" x14ac:dyDescent="0.25">
      <c r="A3832" s="173" t="s">
        <v>468</v>
      </c>
      <c r="B3832">
        <v>27403</v>
      </c>
      <c r="C3832" s="173" t="s">
        <v>4875</v>
      </c>
      <c r="D3832" s="173" t="s">
        <v>470</v>
      </c>
      <c r="E3832">
        <v>1</v>
      </c>
    </row>
    <row r="3833" spans="1:5" x14ac:dyDescent="0.25">
      <c r="A3833" s="173" t="s">
        <v>468</v>
      </c>
      <c r="B3833">
        <v>27403</v>
      </c>
      <c r="C3833" s="173" t="s">
        <v>4876</v>
      </c>
      <c r="D3833" s="173" t="s">
        <v>470</v>
      </c>
      <c r="E3833">
        <v>1</v>
      </c>
    </row>
    <row r="3834" spans="1:5" x14ac:dyDescent="0.25">
      <c r="A3834" s="173" t="s">
        <v>468</v>
      </c>
      <c r="B3834">
        <v>27403</v>
      </c>
      <c r="C3834" s="173" t="s">
        <v>4877</v>
      </c>
      <c r="D3834" s="173" t="s">
        <v>470</v>
      </c>
      <c r="E3834">
        <v>1</v>
      </c>
    </row>
    <row r="3835" spans="1:5" x14ac:dyDescent="0.25">
      <c r="A3835" s="173" t="s">
        <v>468</v>
      </c>
      <c r="B3835">
        <v>27403</v>
      </c>
      <c r="C3835" s="173" t="s">
        <v>4878</v>
      </c>
      <c r="D3835" s="173" t="s">
        <v>470</v>
      </c>
      <c r="E3835">
        <v>1</v>
      </c>
    </row>
    <row r="3836" spans="1:5" x14ac:dyDescent="0.25">
      <c r="A3836" s="173" t="s">
        <v>468</v>
      </c>
      <c r="B3836">
        <v>27403</v>
      </c>
      <c r="C3836" s="173" t="s">
        <v>4879</v>
      </c>
      <c r="D3836" s="173" t="s">
        <v>470</v>
      </c>
      <c r="E3836">
        <v>1</v>
      </c>
    </row>
    <row r="3837" spans="1:5" x14ac:dyDescent="0.25">
      <c r="A3837" s="173" t="s">
        <v>468</v>
      </c>
      <c r="B3837">
        <v>27417</v>
      </c>
      <c r="C3837" s="173" t="s">
        <v>2841</v>
      </c>
      <c r="D3837" s="173" t="s">
        <v>470</v>
      </c>
      <c r="E3837">
        <v>1</v>
      </c>
    </row>
    <row r="3838" spans="1:5" x14ac:dyDescent="0.25">
      <c r="A3838" s="173" t="s">
        <v>468</v>
      </c>
      <c r="B3838">
        <v>27417</v>
      </c>
      <c r="C3838" s="173" t="s">
        <v>336</v>
      </c>
      <c r="D3838" s="173" t="s">
        <v>470</v>
      </c>
      <c r="E3838">
        <v>1</v>
      </c>
    </row>
    <row r="3839" spans="1:5" x14ac:dyDescent="0.25">
      <c r="A3839" s="173" t="s">
        <v>468</v>
      </c>
      <c r="B3839">
        <v>27417</v>
      </c>
      <c r="C3839" s="173" t="s">
        <v>2842</v>
      </c>
      <c r="D3839" s="173" t="s">
        <v>470</v>
      </c>
      <c r="E3839">
        <v>1</v>
      </c>
    </row>
    <row r="3840" spans="1:5" x14ac:dyDescent="0.25">
      <c r="A3840" s="173" t="s">
        <v>468</v>
      </c>
      <c r="B3840">
        <v>27417</v>
      </c>
      <c r="C3840" s="173" t="s">
        <v>2843</v>
      </c>
      <c r="D3840" s="173" t="s">
        <v>470</v>
      </c>
      <c r="E3840">
        <v>1</v>
      </c>
    </row>
    <row r="3841" spans="1:5" x14ac:dyDescent="0.25">
      <c r="A3841" s="173" t="s">
        <v>468</v>
      </c>
      <c r="B3841">
        <v>27417</v>
      </c>
      <c r="C3841" s="173" t="s">
        <v>2844</v>
      </c>
      <c r="D3841" s="173" t="s">
        <v>470</v>
      </c>
      <c r="E3841">
        <v>1</v>
      </c>
    </row>
    <row r="3842" spans="1:5" x14ac:dyDescent="0.25">
      <c r="A3842" s="173" t="s">
        <v>468</v>
      </c>
      <c r="B3842">
        <v>27417</v>
      </c>
      <c r="C3842" s="173" t="s">
        <v>2845</v>
      </c>
      <c r="D3842" s="173" t="s">
        <v>470</v>
      </c>
      <c r="E3842">
        <v>1</v>
      </c>
    </row>
    <row r="3843" spans="1:5" x14ac:dyDescent="0.25">
      <c r="A3843" s="173" t="s">
        <v>468</v>
      </c>
      <c r="B3843">
        <v>27417</v>
      </c>
      <c r="C3843" s="173" t="s">
        <v>2846</v>
      </c>
      <c r="D3843" s="173" t="s">
        <v>470</v>
      </c>
      <c r="E3843">
        <v>1</v>
      </c>
    </row>
    <row r="3844" spans="1:5" x14ac:dyDescent="0.25">
      <c r="A3844" s="173" t="s">
        <v>468</v>
      </c>
      <c r="B3844">
        <v>27417</v>
      </c>
      <c r="C3844" s="173" t="s">
        <v>2847</v>
      </c>
      <c r="D3844" s="173" t="s">
        <v>470</v>
      </c>
      <c r="E3844">
        <v>1</v>
      </c>
    </row>
    <row r="3845" spans="1:5" x14ac:dyDescent="0.25">
      <c r="A3845" s="173" t="s">
        <v>468</v>
      </c>
      <c r="B3845">
        <v>27417</v>
      </c>
      <c r="C3845" s="173" t="s">
        <v>2848</v>
      </c>
      <c r="D3845" s="173" t="s">
        <v>470</v>
      </c>
      <c r="E3845">
        <v>1</v>
      </c>
    </row>
    <row r="3846" spans="1:5" x14ac:dyDescent="0.25">
      <c r="A3846" s="173" t="s">
        <v>468</v>
      </c>
      <c r="B3846">
        <v>27417</v>
      </c>
      <c r="C3846" s="173" t="s">
        <v>2849</v>
      </c>
      <c r="D3846" s="173" t="s">
        <v>470</v>
      </c>
      <c r="E3846">
        <v>1</v>
      </c>
    </row>
    <row r="3847" spans="1:5" x14ac:dyDescent="0.25">
      <c r="A3847" s="173" t="s">
        <v>468</v>
      </c>
      <c r="B3847">
        <v>27421</v>
      </c>
      <c r="C3847" s="173" t="s">
        <v>2850</v>
      </c>
      <c r="D3847" s="173" t="s">
        <v>470</v>
      </c>
      <c r="E3847">
        <v>1</v>
      </c>
    </row>
    <row r="3848" spans="1:5" x14ac:dyDescent="0.25">
      <c r="A3848" s="173" t="s">
        <v>468</v>
      </c>
      <c r="B3848">
        <v>27421</v>
      </c>
      <c r="C3848" s="173" t="s">
        <v>2851</v>
      </c>
      <c r="D3848" s="173" t="s">
        <v>470</v>
      </c>
      <c r="E3848">
        <v>1</v>
      </c>
    </row>
    <row r="3849" spans="1:5" x14ac:dyDescent="0.25">
      <c r="A3849" s="173" t="s">
        <v>468</v>
      </c>
      <c r="B3849">
        <v>27421</v>
      </c>
      <c r="C3849" s="173" t="s">
        <v>2852</v>
      </c>
      <c r="D3849" s="173" t="s">
        <v>470</v>
      </c>
      <c r="E3849">
        <v>1</v>
      </c>
    </row>
    <row r="3850" spans="1:5" x14ac:dyDescent="0.25">
      <c r="A3850" s="173" t="s">
        <v>468</v>
      </c>
      <c r="B3850">
        <v>27421</v>
      </c>
      <c r="C3850" s="173" t="s">
        <v>2853</v>
      </c>
      <c r="D3850" s="173" t="s">
        <v>470</v>
      </c>
      <c r="E3850">
        <v>1</v>
      </c>
    </row>
    <row r="3851" spans="1:5" x14ac:dyDescent="0.25">
      <c r="A3851" s="173" t="s">
        <v>468</v>
      </c>
      <c r="B3851">
        <v>27421</v>
      </c>
      <c r="C3851" s="173" t="s">
        <v>2854</v>
      </c>
      <c r="D3851" s="173" t="s">
        <v>470</v>
      </c>
      <c r="E3851">
        <v>1</v>
      </c>
    </row>
    <row r="3852" spans="1:5" x14ac:dyDescent="0.25">
      <c r="A3852" s="173" t="s">
        <v>468</v>
      </c>
      <c r="B3852">
        <v>27421</v>
      </c>
      <c r="C3852" s="173" t="s">
        <v>2855</v>
      </c>
      <c r="D3852" s="173" t="s">
        <v>470</v>
      </c>
      <c r="E3852">
        <v>1</v>
      </c>
    </row>
    <row r="3853" spans="1:5" x14ac:dyDescent="0.25">
      <c r="A3853" s="173" t="s">
        <v>468</v>
      </c>
      <c r="B3853">
        <v>27421</v>
      </c>
      <c r="C3853" s="173" t="s">
        <v>2856</v>
      </c>
      <c r="D3853" s="173" t="s">
        <v>470</v>
      </c>
      <c r="E3853">
        <v>1</v>
      </c>
    </row>
    <row r="3854" spans="1:5" x14ac:dyDescent="0.25">
      <c r="A3854" s="173" t="s">
        <v>468</v>
      </c>
      <c r="B3854">
        <v>27428</v>
      </c>
      <c r="C3854" s="173" t="s">
        <v>4387</v>
      </c>
      <c r="D3854" s="173" t="s">
        <v>470</v>
      </c>
      <c r="E3854">
        <v>1</v>
      </c>
    </row>
    <row r="3855" spans="1:5" x14ac:dyDescent="0.25">
      <c r="A3855" s="173" t="s">
        <v>468</v>
      </c>
      <c r="B3855">
        <v>27428</v>
      </c>
      <c r="C3855" s="173" t="s">
        <v>4388</v>
      </c>
      <c r="D3855" s="173" t="s">
        <v>470</v>
      </c>
      <c r="E3855">
        <v>1</v>
      </c>
    </row>
    <row r="3856" spans="1:5" x14ac:dyDescent="0.25">
      <c r="A3856" s="173" t="s">
        <v>468</v>
      </c>
      <c r="B3856">
        <v>27428</v>
      </c>
      <c r="C3856" s="173" t="s">
        <v>4389</v>
      </c>
      <c r="D3856" s="173" t="s">
        <v>470</v>
      </c>
      <c r="E3856">
        <v>1</v>
      </c>
    </row>
    <row r="3857" spans="1:5" x14ac:dyDescent="0.25">
      <c r="A3857" s="173" t="s">
        <v>468</v>
      </c>
      <c r="B3857">
        <v>27428</v>
      </c>
      <c r="C3857" s="173" t="s">
        <v>4390</v>
      </c>
      <c r="D3857" s="173" t="s">
        <v>470</v>
      </c>
      <c r="E3857">
        <v>1</v>
      </c>
    </row>
    <row r="3858" spans="1:5" x14ac:dyDescent="0.25">
      <c r="A3858" s="173" t="s">
        <v>468</v>
      </c>
      <c r="B3858">
        <v>27428</v>
      </c>
      <c r="C3858" s="173" t="s">
        <v>4391</v>
      </c>
      <c r="D3858" s="173" t="s">
        <v>470</v>
      </c>
      <c r="E3858">
        <v>1</v>
      </c>
    </row>
    <row r="3859" spans="1:5" x14ac:dyDescent="0.25">
      <c r="A3859" s="173" t="s">
        <v>468</v>
      </c>
      <c r="B3859">
        <v>27428</v>
      </c>
      <c r="C3859" s="173" t="s">
        <v>4392</v>
      </c>
      <c r="D3859" s="173" t="s">
        <v>470</v>
      </c>
      <c r="E3859">
        <v>1</v>
      </c>
    </row>
    <row r="3860" spans="1:5" x14ac:dyDescent="0.25">
      <c r="A3860" s="173" t="s">
        <v>468</v>
      </c>
      <c r="B3860">
        <v>27438</v>
      </c>
      <c r="C3860" s="173" t="s">
        <v>2857</v>
      </c>
      <c r="D3860" s="173" t="s">
        <v>470</v>
      </c>
      <c r="E3860">
        <v>3</v>
      </c>
    </row>
    <row r="3861" spans="1:5" x14ac:dyDescent="0.25">
      <c r="A3861" s="173" t="s">
        <v>468</v>
      </c>
      <c r="B3861">
        <v>27438</v>
      </c>
      <c r="C3861" s="173" t="s">
        <v>2858</v>
      </c>
      <c r="D3861" s="173" t="s">
        <v>470</v>
      </c>
      <c r="E3861">
        <v>3</v>
      </c>
    </row>
    <row r="3862" spans="1:5" x14ac:dyDescent="0.25">
      <c r="A3862" s="173" t="s">
        <v>468</v>
      </c>
      <c r="B3862">
        <v>27438</v>
      </c>
      <c r="C3862" s="173" t="s">
        <v>2859</v>
      </c>
      <c r="D3862" s="173" t="s">
        <v>470</v>
      </c>
      <c r="E3862">
        <v>3</v>
      </c>
    </row>
    <row r="3863" spans="1:5" x14ac:dyDescent="0.25">
      <c r="A3863" s="173" t="s">
        <v>468</v>
      </c>
      <c r="B3863">
        <v>27438</v>
      </c>
      <c r="C3863" s="173" t="s">
        <v>2860</v>
      </c>
      <c r="D3863" s="173" t="s">
        <v>470</v>
      </c>
      <c r="E3863">
        <v>3</v>
      </c>
    </row>
    <row r="3864" spans="1:5" x14ac:dyDescent="0.25">
      <c r="A3864" s="173" t="s">
        <v>468</v>
      </c>
      <c r="B3864">
        <v>27453</v>
      </c>
      <c r="C3864" s="173" t="s">
        <v>367</v>
      </c>
      <c r="D3864" s="173" t="s">
        <v>470</v>
      </c>
      <c r="E3864">
        <v>1</v>
      </c>
    </row>
    <row r="3865" spans="1:5" x14ac:dyDescent="0.25">
      <c r="A3865" s="173" t="s">
        <v>468</v>
      </c>
      <c r="B3865">
        <v>27453</v>
      </c>
      <c r="C3865" s="173" t="s">
        <v>2861</v>
      </c>
      <c r="D3865" s="173" t="s">
        <v>470</v>
      </c>
      <c r="E3865">
        <v>1</v>
      </c>
    </row>
    <row r="3866" spans="1:5" x14ac:dyDescent="0.25">
      <c r="A3866" s="173" t="s">
        <v>468</v>
      </c>
      <c r="B3866">
        <v>27453</v>
      </c>
      <c r="C3866" s="173" t="s">
        <v>2862</v>
      </c>
      <c r="D3866" s="173" t="s">
        <v>470</v>
      </c>
      <c r="E3866">
        <v>3</v>
      </c>
    </row>
    <row r="3867" spans="1:5" x14ac:dyDescent="0.25">
      <c r="A3867" s="173" t="s">
        <v>468</v>
      </c>
      <c r="B3867">
        <v>27453</v>
      </c>
      <c r="C3867" s="173" t="s">
        <v>2863</v>
      </c>
      <c r="D3867" s="173" t="s">
        <v>470</v>
      </c>
      <c r="E3867">
        <v>2</v>
      </c>
    </row>
    <row r="3868" spans="1:5" x14ac:dyDescent="0.25">
      <c r="A3868" s="173" t="s">
        <v>468</v>
      </c>
      <c r="B3868">
        <v>27453</v>
      </c>
      <c r="C3868" s="173" t="s">
        <v>2864</v>
      </c>
      <c r="D3868" s="173" t="s">
        <v>470</v>
      </c>
      <c r="E3868">
        <v>2</v>
      </c>
    </row>
    <row r="3869" spans="1:5" x14ac:dyDescent="0.25">
      <c r="A3869" s="173" t="s">
        <v>468</v>
      </c>
      <c r="B3869">
        <v>27470</v>
      </c>
      <c r="C3869" s="173" t="s">
        <v>446</v>
      </c>
      <c r="D3869" s="173" t="s">
        <v>470</v>
      </c>
      <c r="E3869">
        <v>2</v>
      </c>
    </row>
    <row r="3870" spans="1:5" x14ac:dyDescent="0.25">
      <c r="A3870" s="173" t="s">
        <v>468</v>
      </c>
      <c r="B3870">
        <v>27470</v>
      </c>
      <c r="C3870" s="173" t="s">
        <v>446</v>
      </c>
      <c r="D3870" s="173" t="s">
        <v>470</v>
      </c>
      <c r="E3870">
        <v>5</v>
      </c>
    </row>
    <row r="3871" spans="1:5" x14ac:dyDescent="0.25">
      <c r="A3871" s="173" t="s">
        <v>468</v>
      </c>
      <c r="B3871">
        <v>27470</v>
      </c>
      <c r="C3871" s="173" t="s">
        <v>445</v>
      </c>
      <c r="D3871" s="173" t="s">
        <v>470</v>
      </c>
      <c r="E3871">
        <v>2</v>
      </c>
    </row>
    <row r="3872" spans="1:5" x14ac:dyDescent="0.25">
      <c r="A3872" s="173" t="s">
        <v>468</v>
      </c>
      <c r="B3872">
        <v>27470</v>
      </c>
      <c r="C3872" s="173" t="s">
        <v>445</v>
      </c>
      <c r="D3872" s="173" t="s">
        <v>470</v>
      </c>
      <c r="E3872">
        <v>5</v>
      </c>
    </row>
    <row r="3873" spans="1:5" x14ac:dyDescent="0.25">
      <c r="A3873" s="173" t="s">
        <v>468</v>
      </c>
      <c r="B3873">
        <v>27470</v>
      </c>
      <c r="C3873" s="173" t="s">
        <v>3524</v>
      </c>
      <c r="D3873" s="173" t="s">
        <v>470</v>
      </c>
      <c r="E3873">
        <v>2</v>
      </c>
    </row>
    <row r="3874" spans="1:5" x14ac:dyDescent="0.25">
      <c r="A3874" s="173" t="s">
        <v>468</v>
      </c>
      <c r="B3874">
        <v>27470</v>
      </c>
      <c r="C3874" s="173" t="s">
        <v>3524</v>
      </c>
      <c r="D3874" s="173" t="s">
        <v>470</v>
      </c>
      <c r="E3874">
        <v>5</v>
      </c>
    </row>
    <row r="3875" spans="1:5" x14ac:dyDescent="0.25">
      <c r="A3875" s="173" t="s">
        <v>468</v>
      </c>
      <c r="B3875">
        <v>27470</v>
      </c>
      <c r="C3875" s="173" t="s">
        <v>447</v>
      </c>
      <c r="D3875" s="173" t="s">
        <v>470</v>
      </c>
      <c r="E3875">
        <v>3</v>
      </c>
    </row>
    <row r="3876" spans="1:5" x14ac:dyDescent="0.25">
      <c r="A3876" s="173" t="s">
        <v>468</v>
      </c>
      <c r="B3876">
        <v>27470</v>
      </c>
      <c r="C3876" s="173" t="s">
        <v>449</v>
      </c>
      <c r="D3876" s="173" t="s">
        <v>470</v>
      </c>
      <c r="E3876">
        <v>3</v>
      </c>
    </row>
    <row r="3877" spans="1:5" x14ac:dyDescent="0.25">
      <c r="A3877" s="173" t="s">
        <v>468</v>
      </c>
      <c r="B3877">
        <v>27470</v>
      </c>
      <c r="C3877" s="173" t="s">
        <v>448</v>
      </c>
      <c r="D3877" s="173" t="s">
        <v>470</v>
      </c>
      <c r="E3877">
        <v>3</v>
      </c>
    </row>
    <row r="3878" spans="1:5" x14ac:dyDescent="0.25">
      <c r="A3878" s="173" t="s">
        <v>468</v>
      </c>
      <c r="B3878">
        <v>27476</v>
      </c>
      <c r="C3878" s="173" t="s">
        <v>2865</v>
      </c>
      <c r="D3878" s="173" t="s">
        <v>470</v>
      </c>
      <c r="E3878">
        <v>6</v>
      </c>
    </row>
    <row r="3879" spans="1:5" x14ac:dyDescent="0.25">
      <c r="A3879" s="173" t="s">
        <v>468</v>
      </c>
      <c r="B3879">
        <v>27476</v>
      </c>
      <c r="C3879" s="173" t="s">
        <v>2866</v>
      </c>
      <c r="D3879" s="173" t="s">
        <v>470</v>
      </c>
      <c r="E3879">
        <v>6</v>
      </c>
    </row>
    <row r="3880" spans="1:5" x14ac:dyDescent="0.25">
      <c r="A3880" s="173" t="s">
        <v>468</v>
      </c>
      <c r="B3880">
        <v>27476</v>
      </c>
      <c r="C3880" s="173" t="s">
        <v>2867</v>
      </c>
      <c r="D3880" s="173" t="s">
        <v>470</v>
      </c>
      <c r="E3880">
        <v>7</v>
      </c>
    </row>
    <row r="3881" spans="1:5" x14ac:dyDescent="0.25">
      <c r="A3881" s="173" t="s">
        <v>468</v>
      </c>
      <c r="B3881">
        <v>27476</v>
      </c>
      <c r="C3881" s="173" t="s">
        <v>2868</v>
      </c>
      <c r="D3881" s="173" t="s">
        <v>470</v>
      </c>
      <c r="E3881">
        <v>6</v>
      </c>
    </row>
    <row r="3882" spans="1:5" x14ac:dyDescent="0.25">
      <c r="A3882" s="173" t="s">
        <v>468</v>
      </c>
      <c r="B3882">
        <v>27492</v>
      </c>
      <c r="C3882" s="173" t="s">
        <v>2869</v>
      </c>
      <c r="D3882" s="173" t="s">
        <v>470</v>
      </c>
      <c r="E3882">
        <v>1</v>
      </c>
    </row>
    <row r="3883" spans="1:5" x14ac:dyDescent="0.25">
      <c r="A3883" s="173" t="s">
        <v>468</v>
      </c>
      <c r="B3883">
        <v>27492</v>
      </c>
      <c r="C3883" s="173" t="s">
        <v>2870</v>
      </c>
      <c r="D3883" s="173" t="s">
        <v>470</v>
      </c>
      <c r="E3883">
        <v>1</v>
      </c>
    </row>
    <row r="3884" spans="1:5" x14ac:dyDescent="0.25">
      <c r="A3884" s="173" t="s">
        <v>468</v>
      </c>
      <c r="B3884">
        <v>27492</v>
      </c>
      <c r="C3884" s="173" t="s">
        <v>2871</v>
      </c>
      <c r="D3884" s="173" t="s">
        <v>470</v>
      </c>
      <c r="E3884">
        <v>1</v>
      </c>
    </row>
    <row r="3885" spans="1:5" x14ac:dyDescent="0.25">
      <c r="A3885" s="173" t="s">
        <v>468</v>
      </c>
      <c r="B3885">
        <v>27492</v>
      </c>
      <c r="C3885" s="173" t="s">
        <v>2872</v>
      </c>
      <c r="D3885" s="173" t="s">
        <v>470</v>
      </c>
      <c r="E3885">
        <v>1</v>
      </c>
    </row>
    <row r="3886" spans="1:5" x14ac:dyDescent="0.25">
      <c r="A3886" s="173" t="s">
        <v>468</v>
      </c>
      <c r="B3886">
        <v>27492</v>
      </c>
      <c r="C3886" s="173" t="s">
        <v>2873</v>
      </c>
      <c r="D3886" s="173" t="s">
        <v>470</v>
      </c>
      <c r="E3886">
        <v>1</v>
      </c>
    </row>
    <row r="3887" spans="1:5" x14ac:dyDescent="0.25">
      <c r="A3887" s="173" t="s">
        <v>468</v>
      </c>
      <c r="B3887">
        <v>27492</v>
      </c>
      <c r="C3887" s="173" t="s">
        <v>2874</v>
      </c>
      <c r="D3887" s="173" t="s">
        <v>470</v>
      </c>
      <c r="E3887">
        <v>1</v>
      </c>
    </row>
    <row r="3888" spans="1:5" x14ac:dyDescent="0.25">
      <c r="A3888" s="173" t="s">
        <v>468</v>
      </c>
      <c r="B3888">
        <v>27501</v>
      </c>
      <c r="C3888" s="173" t="s">
        <v>2875</v>
      </c>
      <c r="D3888" s="173" t="s">
        <v>470</v>
      </c>
      <c r="E3888">
        <v>6</v>
      </c>
    </row>
    <row r="3889" spans="1:5" x14ac:dyDescent="0.25">
      <c r="A3889" s="173" t="s">
        <v>468</v>
      </c>
      <c r="B3889">
        <v>27501</v>
      </c>
      <c r="C3889" s="173" t="s">
        <v>2876</v>
      </c>
      <c r="D3889" s="173" t="s">
        <v>470</v>
      </c>
      <c r="E3889">
        <v>6</v>
      </c>
    </row>
    <row r="3890" spans="1:5" x14ac:dyDescent="0.25">
      <c r="A3890" s="173" t="s">
        <v>468</v>
      </c>
      <c r="B3890">
        <v>27501</v>
      </c>
      <c r="C3890" s="173" t="s">
        <v>2877</v>
      </c>
      <c r="D3890" s="173" t="s">
        <v>470</v>
      </c>
      <c r="E3890">
        <v>7</v>
      </c>
    </row>
    <row r="3891" spans="1:5" x14ac:dyDescent="0.25">
      <c r="A3891" s="173" t="s">
        <v>468</v>
      </c>
      <c r="B3891">
        <v>27501</v>
      </c>
      <c r="C3891" s="173" t="s">
        <v>2878</v>
      </c>
      <c r="D3891" s="173" t="s">
        <v>470</v>
      </c>
      <c r="E3891">
        <v>7</v>
      </c>
    </row>
    <row r="3892" spans="1:5" x14ac:dyDescent="0.25">
      <c r="A3892" s="173" t="s">
        <v>468</v>
      </c>
      <c r="B3892">
        <v>27504</v>
      </c>
      <c r="C3892" s="173" t="s">
        <v>2879</v>
      </c>
      <c r="D3892" s="173" t="s">
        <v>470</v>
      </c>
      <c r="E3892">
        <v>1</v>
      </c>
    </row>
    <row r="3893" spans="1:5" x14ac:dyDescent="0.25">
      <c r="A3893" s="173" t="s">
        <v>468</v>
      </c>
      <c r="B3893">
        <v>27504</v>
      </c>
      <c r="C3893" s="173" t="s">
        <v>321</v>
      </c>
      <c r="D3893" s="173" t="s">
        <v>470</v>
      </c>
      <c r="E3893">
        <v>1</v>
      </c>
    </row>
    <row r="3894" spans="1:5" x14ac:dyDescent="0.25">
      <c r="A3894" s="173" t="s">
        <v>468</v>
      </c>
      <c r="B3894">
        <v>27504</v>
      </c>
      <c r="C3894" s="173" t="s">
        <v>2880</v>
      </c>
      <c r="D3894" s="173" t="s">
        <v>470</v>
      </c>
      <c r="E3894">
        <v>2</v>
      </c>
    </row>
    <row r="3895" spans="1:5" x14ac:dyDescent="0.25">
      <c r="A3895" s="173" t="s">
        <v>468</v>
      </c>
      <c r="B3895">
        <v>27504</v>
      </c>
      <c r="C3895" s="173" t="s">
        <v>2881</v>
      </c>
      <c r="D3895" s="173" t="s">
        <v>470</v>
      </c>
      <c r="E3895">
        <v>3</v>
      </c>
    </row>
    <row r="3896" spans="1:5" x14ac:dyDescent="0.25">
      <c r="A3896" s="173" t="s">
        <v>468</v>
      </c>
      <c r="B3896">
        <v>27504</v>
      </c>
      <c r="C3896" s="173" t="s">
        <v>320</v>
      </c>
      <c r="D3896" s="173" t="s">
        <v>470</v>
      </c>
      <c r="E3896">
        <v>2</v>
      </c>
    </row>
    <row r="3897" spans="1:5" x14ac:dyDescent="0.25">
      <c r="A3897" s="173" t="s">
        <v>468</v>
      </c>
      <c r="B3897">
        <v>27504</v>
      </c>
      <c r="C3897" s="173" t="s">
        <v>2882</v>
      </c>
      <c r="D3897" s="173" t="s">
        <v>470</v>
      </c>
      <c r="E3897">
        <v>2</v>
      </c>
    </row>
    <row r="3898" spans="1:5" x14ac:dyDescent="0.25">
      <c r="A3898" s="173" t="s">
        <v>468</v>
      </c>
      <c r="B3898">
        <v>27505</v>
      </c>
      <c r="C3898" s="173" t="s">
        <v>2883</v>
      </c>
      <c r="D3898" s="173" t="s">
        <v>470</v>
      </c>
      <c r="E3898">
        <v>1</v>
      </c>
    </row>
    <row r="3899" spans="1:5" x14ac:dyDescent="0.25">
      <c r="A3899" s="173" t="s">
        <v>468</v>
      </c>
      <c r="B3899">
        <v>27505</v>
      </c>
      <c r="C3899" s="173" t="s">
        <v>2884</v>
      </c>
      <c r="D3899" s="173" t="s">
        <v>470</v>
      </c>
      <c r="E3899">
        <v>1</v>
      </c>
    </row>
    <row r="3900" spans="1:5" hidden="1" x14ac:dyDescent="0.25">
      <c r="A3900" s="173" t="s">
        <v>1668</v>
      </c>
      <c r="B3900">
        <v>27507</v>
      </c>
      <c r="C3900" s="173" t="s">
        <v>2885</v>
      </c>
      <c r="D3900" s="173" t="s">
        <v>470</v>
      </c>
      <c r="E3900">
        <v>2</v>
      </c>
    </row>
    <row r="3901" spans="1:5" hidden="1" x14ac:dyDescent="0.25">
      <c r="A3901" s="173" t="s">
        <v>1668</v>
      </c>
      <c r="B3901">
        <v>27507</v>
      </c>
      <c r="C3901" s="173" t="s">
        <v>2886</v>
      </c>
      <c r="D3901" s="173" t="s">
        <v>470</v>
      </c>
      <c r="E3901">
        <v>2</v>
      </c>
    </row>
    <row r="3902" spans="1:5" hidden="1" x14ac:dyDescent="0.25">
      <c r="A3902" s="173" t="s">
        <v>1668</v>
      </c>
      <c r="B3902">
        <v>27507</v>
      </c>
      <c r="C3902" s="173" t="s">
        <v>2887</v>
      </c>
      <c r="D3902" s="173" t="s">
        <v>470</v>
      </c>
      <c r="E3902">
        <v>2</v>
      </c>
    </row>
    <row r="3903" spans="1:5" hidden="1" x14ac:dyDescent="0.25">
      <c r="A3903" s="173" t="s">
        <v>1668</v>
      </c>
      <c r="B3903">
        <v>27507</v>
      </c>
      <c r="C3903" s="173" t="s">
        <v>2888</v>
      </c>
      <c r="D3903" s="173" t="s">
        <v>470</v>
      </c>
      <c r="E3903">
        <v>2</v>
      </c>
    </row>
    <row r="3904" spans="1:5" hidden="1" x14ac:dyDescent="0.25">
      <c r="A3904" s="173" t="s">
        <v>1668</v>
      </c>
      <c r="B3904">
        <v>27507</v>
      </c>
      <c r="C3904" s="173" t="s">
        <v>4393</v>
      </c>
      <c r="D3904" s="173" t="s">
        <v>470</v>
      </c>
      <c r="E3904">
        <v>1</v>
      </c>
    </row>
    <row r="3905" spans="1:5" hidden="1" x14ac:dyDescent="0.25">
      <c r="A3905" s="173" t="s">
        <v>1668</v>
      </c>
      <c r="B3905">
        <v>27507</v>
      </c>
      <c r="C3905" s="173" t="s">
        <v>4394</v>
      </c>
      <c r="D3905" s="173" t="s">
        <v>470</v>
      </c>
      <c r="E3905">
        <v>1</v>
      </c>
    </row>
    <row r="3906" spans="1:5" hidden="1" x14ac:dyDescent="0.25">
      <c r="A3906" s="173" t="s">
        <v>1668</v>
      </c>
      <c r="B3906">
        <v>27507</v>
      </c>
      <c r="C3906" s="173" t="s">
        <v>4395</v>
      </c>
      <c r="D3906" s="173" t="s">
        <v>470</v>
      </c>
      <c r="E3906">
        <v>1</v>
      </c>
    </row>
    <row r="3907" spans="1:5" hidden="1" x14ac:dyDescent="0.25">
      <c r="A3907" s="173" t="s">
        <v>1668</v>
      </c>
      <c r="B3907">
        <v>27507</v>
      </c>
      <c r="C3907" s="173" t="s">
        <v>4396</v>
      </c>
      <c r="D3907" s="173" t="s">
        <v>470</v>
      </c>
      <c r="E3907">
        <v>1</v>
      </c>
    </row>
    <row r="3908" spans="1:5" x14ac:dyDescent="0.25">
      <c r="A3908" s="173" t="s">
        <v>468</v>
      </c>
      <c r="B3908">
        <v>27513</v>
      </c>
      <c r="C3908" s="173" t="s">
        <v>2889</v>
      </c>
      <c r="D3908" s="173" t="s">
        <v>470</v>
      </c>
      <c r="E3908">
        <v>3</v>
      </c>
    </row>
    <row r="3909" spans="1:5" x14ac:dyDescent="0.25">
      <c r="A3909" s="173" t="s">
        <v>468</v>
      </c>
      <c r="B3909">
        <v>27513</v>
      </c>
      <c r="C3909" s="173" t="s">
        <v>2890</v>
      </c>
      <c r="D3909" s="173" t="s">
        <v>470</v>
      </c>
      <c r="E3909">
        <v>3</v>
      </c>
    </row>
    <row r="3910" spans="1:5" x14ac:dyDescent="0.25">
      <c r="A3910" s="173" t="s">
        <v>468</v>
      </c>
      <c r="B3910">
        <v>27513</v>
      </c>
      <c r="C3910" s="173" t="s">
        <v>2891</v>
      </c>
      <c r="D3910" s="173" t="s">
        <v>470</v>
      </c>
      <c r="E3910">
        <v>3</v>
      </c>
    </row>
    <row r="3911" spans="1:5" x14ac:dyDescent="0.25">
      <c r="A3911" s="173" t="s">
        <v>468</v>
      </c>
      <c r="B3911">
        <v>27513</v>
      </c>
      <c r="C3911" s="173" t="s">
        <v>2892</v>
      </c>
      <c r="D3911" s="173" t="s">
        <v>470</v>
      </c>
      <c r="E3911">
        <v>1</v>
      </c>
    </row>
    <row r="3912" spans="1:5" x14ac:dyDescent="0.25">
      <c r="A3912" s="173" t="s">
        <v>468</v>
      </c>
      <c r="B3912">
        <v>27513</v>
      </c>
      <c r="C3912" s="173" t="s">
        <v>2893</v>
      </c>
      <c r="D3912" s="173" t="s">
        <v>470</v>
      </c>
      <c r="E3912">
        <v>1</v>
      </c>
    </row>
    <row r="3913" spans="1:5" x14ac:dyDescent="0.25">
      <c r="A3913" s="173" t="s">
        <v>468</v>
      </c>
      <c r="B3913">
        <v>27513</v>
      </c>
      <c r="C3913" s="173" t="s">
        <v>2894</v>
      </c>
      <c r="D3913" s="173" t="s">
        <v>470</v>
      </c>
      <c r="E3913">
        <v>1</v>
      </c>
    </row>
    <row r="3914" spans="1:5" x14ac:dyDescent="0.25">
      <c r="A3914" s="173" t="s">
        <v>468</v>
      </c>
      <c r="B3914">
        <v>27513</v>
      </c>
      <c r="C3914" s="173" t="s">
        <v>2895</v>
      </c>
      <c r="D3914" s="173" t="s">
        <v>470</v>
      </c>
      <c r="E3914">
        <v>1</v>
      </c>
    </row>
    <row r="3915" spans="1:5" x14ac:dyDescent="0.25">
      <c r="A3915" s="173" t="s">
        <v>468</v>
      </c>
      <c r="B3915">
        <v>27518</v>
      </c>
      <c r="C3915" s="173" t="s">
        <v>403</v>
      </c>
      <c r="D3915" s="173" t="s">
        <v>470</v>
      </c>
      <c r="E3915">
        <v>1</v>
      </c>
    </row>
    <row r="3916" spans="1:5" x14ac:dyDescent="0.25">
      <c r="A3916" s="173" t="s">
        <v>468</v>
      </c>
      <c r="B3916">
        <v>27518</v>
      </c>
      <c r="C3916" s="173" t="s">
        <v>4397</v>
      </c>
      <c r="D3916" s="173" t="s">
        <v>470</v>
      </c>
      <c r="E3916">
        <v>1</v>
      </c>
    </row>
    <row r="3917" spans="1:5" x14ac:dyDescent="0.25">
      <c r="A3917" s="173" t="s">
        <v>468</v>
      </c>
      <c r="B3917">
        <v>27518</v>
      </c>
      <c r="C3917" s="173" t="s">
        <v>402</v>
      </c>
      <c r="D3917" s="173" t="s">
        <v>470</v>
      </c>
      <c r="E3917">
        <v>1</v>
      </c>
    </row>
    <row r="3918" spans="1:5" x14ac:dyDescent="0.25">
      <c r="A3918" s="173" t="s">
        <v>468</v>
      </c>
      <c r="B3918">
        <v>27518</v>
      </c>
      <c r="C3918" s="173" t="s">
        <v>4398</v>
      </c>
      <c r="D3918" s="173" t="s">
        <v>470</v>
      </c>
      <c r="E3918">
        <v>1</v>
      </c>
    </row>
    <row r="3919" spans="1:5" x14ac:dyDescent="0.25">
      <c r="A3919" s="173" t="s">
        <v>468</v>
      </c>
      <c r="B3919">
        <v>27518</v>
      </c>
      <c r="C3919" s="173" t="s">
        <v>3497</v>
      </c>
      <c r="D3919" s="173" t="s">
        <v>470</v>
      </c>
      <c r="E3919">
        <v>1</v>
      </c>
    </row>
    <row r="3920" spans="1:5" x14ac:dyDescent="0.25">
      <c r="A3920" s="173" t="s">
        <v>468</v>
      </c>
      <c r="B3920">
        <v>27518</v>
      </c>
      <c r="C3920" s="173" t="s">
        <v>3515</v>
      </c>
      <c r="D3920" s="173" t="s">
        <v>470</v>
      </c>
      <c r="E3920">
        <v>1</v>
      </c>
    </row>
    <row r="3921" spans="1:5" x14ac:dyDescent="0.25">
      <c r="A3921" s="173" t="s">
        <v>468</v>
      </c>
      <c r="B3921">
        <v>27518</v>
      </c>
      <c r="C3921" s="173" t="s">
        <v>3516</v>
      </c>
      <c r="D3921" s="173" t="s">
        <v>470</v>
      </c>
      <c r="E3921">
        <v>1</v>
      </c>
    </row>
    <row r="3922" spans="1:5" x14ac:dyDescent="0.25">
      <c r="A3922" s="173" t="s">
        <v>468</v>
      </c>
      <c r="B3922">
        <v>27518</v>
      </c>
      <c r="C3922" s="173" t="s">
        <v>372</v>
      </c>
      <c r="D3922" s="173" t="s">
        <v>470</v>
      </c>
      <c r="E3922">
        <v>1</v>
      </c>
    </row>
    <row r="3923" spans="1:5" x14ac:dyDescent="0.25">
      <c r="A3923" s="173" t="s">
        <v>468</v>
      </c>
      <c r="B3923">
        <v>27518</v>
      </c>
      <c r="C3923" s="173" t="s">
        <v>370</v>
      </c>
      <c r="D3923" s="173" t="s">
        <v>470</v>
      </c>
      <c r="E3923">
        <v>1</v>
      </c>
    </row>
    <row r="3924" spans="1:5" x14ac:dyDescent="0.25">
      <c r="A3924" s="173" t="s">
        <v>468</v>
      </c>
      <c r="B3924">
        <v>27518</v>
      </c>
      <c r="C3924" s="173" t="s">
        <v>371</v>
      </c>
      <c r="D3924" s="173" t="s">
        <v>470</v>
      </c>
      <c r="E3924">
        <v>1</v>
      </c>
    </row>
    <row r="3925" spans="1:5" x14ac:dyDescent="0.25">
      <c r="A3925" s="173" t="s">
        <v>468</v>
      </c>
      <c r="B3925">
        <v>27520</v>
      </c>
      <c r="C3925" s="173" t="s">
        <v>2896</v>
      </c>
      <c r="D3925" s="173" t="s">
        <v>470</v>
      </c>
      <c r="E3925">
        <v>1</v>
      </c>
    </row>
    <row r="3926" spans="1:5" x14ac:dyDescent="0.25">
      <c r="A3926" s="173" t="s">
        <v>468</v>
      </c>
      <c r="B3926">
        <v>27520</v>
      </c>
      <c r="C3926" s="173" t="s">
        <v>2897</v>
      </c>
      <c r="D3926" s="173" t="s">
        <v>470</v>
      </c>
      <c r="E3926">
        <v>1</v>
      </c>
    </row>
    <row r="3927" spans="1:5" x14ac:dyDescent="0.25">
      <c r="A3927" s="173" t="s">
        <v>468</v>
      </c>
      <c r="B3927">
        <v>27520</v>
      </c>
      <c r="C3927" s="173" t="s">
        <v>2898</v>
      </c>
      <c r="D3927" s="173" t="s">
        <v>470</v>
      </c>
      <c r="E3927">
        <v>1</v>
      </c>
    </row>
    <row r="3928" spans="1:5" x14ac:dyDescent="0.25">
      <c r="A3928" s="173" t="s">
        <v>468</v>
      </c>
      <c r="B3928">
        <v>27520</v>
      </c>
      <c r="C3928" s="173" t="s">
        <v>2899</v>
      </c>
      <c r="D3928" s="173" t="s">
        <v>470</v>
      </c>
      <c r="E3928">
        <v>1</v>
      </c>
    </row>
    <row r="3929" spans="1:5" x14ac:dyDescent="0.25">
      <c r="A3929" s="173" t="s">
        <v>468</v>
      </c>
      <c r="B3929">
        <v>27527</v>
      </c>
      <c r="C3929" s="173" t="s">
        <v>2900</v>
      </c>
      <c r="D3929" s="173" t="s">
        <v>470</v>
      </c>
      <c r="E3929">
        <v>1</v>
      </c>
    </row>
    <row r="3930" spans="1:5" x14ac:dyDescent="0.25">
      <c r="A3930" s="173" t="s">
        <v>468</v>
      </c>
      <c r="B3930">
        <v>27527</v>
      </c>
      <c r="C3930" s="173" t="s">
        <v>2901</v>
      </c>
      <c r="D3930" s="173" t="s">
        <v>470</v>
      </c>
      <c r="E3930">
        <v>1</v>
      </c>
    </row>
    <row r="3931" spans="1:5" x14ac:dyDescent="0.25">
      <c r="A3931" s="173" t="s">
        <v>468</v>
      </c>
      <c r="B3931">
        <v>27527</v>
      </c>
      <c r="C3931" s="173" t="s">
        <v>377</v>
      </c>
      <c r="D3931" s="173" t="s">
        <v>470</v>
      </c>
      <c r="E3931">
        <v>1</v>
      </c>
    </row>
    <row r="3932" spans="1:5" x14ac:dyDescent="0.25">
      <c r="A3932" s="173" t="s">
        <v>468</v>
      </c>
      <c r="B3932">
        <v>27527</v>
      </c>
      <c r="C3932" s="173" t="s">
        <v>2902</v>
      </c>
      <c r="D3932" s="173" t="s">
        <v>470</v>
      </c>
      <c r="E3932">
        <v>1</v>
      </c>
    </row>
    <row r="3933" spans="1:5" x14ac:dyDescent="0.25">
      <c r="A3933" s="173" t="s">
        <v>468</v>
      </c>
      <c r="B3933">
        <v>27529</v>
      </c>
      <c r="C3933" s="173" t="s">
        <v>2903</v>
      </c>
      <c r="D3933" s="173" t="s">
        <v>470</v>
      </c>
      <c r="E3933">
        <v>6</v>
      </c>
    </row>
    <row r="3934" spans="1:5" x14ac:dyDescent="0.25">
      <c r="A3934" s="173" t="s">
        <v>468</v>
      </c>
      <c r="B3934">
        <v>27529</v>
      </c>
      <c r="C3934" s="173" t="s">
        <v>2904</v>
      </c>
      <c r="D3934" s="173" t="s">
        <v>470</v>
      </c>
      <c r="E3934">
        <v>4</v>
      </c>
    </row>
    <row r="3935" spans="1:5" x14ac:dyDescent="0.25">
      <c r="A3935" s="173" t="s">
        <v>468</v>
      </c>
      <c r="B3935">
        <v>27529</v>
      </c>
      <c r="C3935" s="173" t="s">
        <v>2905</v>
      </c>
      <c r="D3935" s="173" t="s">
        <v>470</v>
      </c>
      <c r="E3935">
        <v>4</v>
      </c>
    </row>
    <row r="3936" spans="1:5" x14ac:dyDescent="0.25">
      <c r="A3936" s="173" t="s">
        <v>468</v>
      </c>
      <c r="B3936">
        <v>27529</v>
      </c>
      <c r="C3936" s="173" t="s">
        <v>2906</v>
      </c>
      <c r="D3936" s="173" t="s">
        <v>470</v>
      </c>
      <c r="E3936">
        <v>4</v>
      </c>
    </row>
    <row r="3937" spans="1:5" x14ac:dyDescent="0.25">
      <c r="A3937" s="173" t="s">
        <v>468</v>
      </c>
      <c r="B3937">
        <v>27529</v>
      </c>
      <c r="C3937" s="173" t="s">
        <v>2907</v>
      </c>
      <c r="D3937" s="173" t="s">
        <v>470</v>
      </c>
      <c r="E3937">
        <v>5</v>
      </c>
    </row>
    <row r="3938" spans="1:5" x14ac:dyDescent="0.25">
      <c r="A3938" s="173" t="s">
        <v>468</v>
      </c>
      <c r="B3938">
        <v>27529</v>
      </c>
      <c r="C3938" s="173" t="s">
        <v>2908</v>
      </c>
      <c r="D3938" s="173" t="s">
        <v>470</v>
      </c>
      <c r="E3938">
        <v>4</v>
      </c>
    </row>
    <row r="3939" spans="1:5" x14ac:dyDescent="0.25">
      <c r="A3939" s="173" t="s">
        <v>468</v>
      </c>
      <c r="B3939">
        <v>27531</v>
      </c>
      <c r="C3939" s="173" t="s">
        <v>2909</v>
      </c>
      <c r="D3939" s="173" t="s">
        <v>470</v>
      </c>
      <c r="E3939">
        <v>5</v>
      </c>
    </row>
    <row r="3940" spans="1:5" x14ac:dyDescent="0.25">
      <c r="A3940" s="173" t="s">
        <v>468</v>
      </c>
      <c r="B3940">
        <v>27531</v>
      </c>
      <c r="C3940" s="173" t="s">
        <v>2910</v>
      </c>
      <c r="D3940" s="173" t="s">
        <v>470</v>
      </c>
      <c r="E3940">
        <v>5</v>
      </c>
    </row>
    <row r="3941" spans="1:5" x14ac:dyDescent="0.25">
      <c r="A3941" s="173" t="s">
        <v>468</v>
      </c>
      <c r="B3941">
        <v>27531</v>
      </c>
      <c r="C3941" s="173" t="s">
        <v>427</v>
      </c>
      <c r="D3941" s="173" t="s">
        <v>470</v>
      </c>
      <c r="E3941">
        <v>5</v>
      </c>
    </row>
    <row r="3942" spans="1:5" x14ac:dyDescent="0.25">
      <c r="A3942" s="173" t="s">
        <v>468</v>
      </c>
      <c r="B3942">
        <v>27531</v>
      </c>
      <c r="C3942" s="173" t="s">
        <v>2911</v>
      </c>
      <c r="D3942" s="173" t="s">
        <v>470</v>
      </c>
      <c r="E3942">
        <v>5</v>
      </c>
    </row>
    <row r="3943" spans="1:5" x14ac:dyDescent="0.25">
      <c r="A3943" s="173" t="s">
        <v>468</v>
      </c>
      <c r="B3943">
        <v>27531</v>
      </c>
      <c r="C3943" s="173" t="s">
        <v>428</v>
      </c>
      <c r="D3943" s="173" t="s">
        <v>470</v>
      </c>
      <c r="E3943">
        <v>5</v>
      </c>
    </row>
    <row r="3944" spans="1:5" x14ac:dyDescent="0.25">
      <c r="A3944" s="173" t="s">
        <v>468</v>
      </c>
      <c r="B3944">
        <v>27531</v>
      </c>
      <c r="C3944" s="173" t="s">
        <v>429</v>
      </c>
      <c r="D3944" s="173" t="s">
        <v>470</v>
      </c>
      <c r="E3944">
        <v>5</v>
      </c>
    </row>
    <row r="3945" spans="1:5" x14ac:dyDescent="0.25">
      <c r="A3945" s="173" t="s">
        <v>468</v>
      </c>
      <c r="B3945">
        <v>27534</v>
      </c>
      <c r="C3945" s="173" t="s">
        <v>2912</v>
      </c>
      <c r="D3945" s="173" t="s">
        <v>470</v>
      </c>
      <c r="E3945">
        <v>3</v>
      </c>
    </row>
    <row r="3946" spans="1:5" x14ac:dyDescent="0.25">
      <c r="A3946" s="173" t="s">
        <v>468</v>
      </c>
      <c r="B3946">
        <v>27534</v>
      </c>
      <c r="C3946" s="173" t="s">
        <v>2913</v>
      </c>
      <c r="D3946" s="173" t="s">
        <v>470</v>
      </c>
      <c r="E3946">
        <v>3</v>
      </c>
    </row>
    <row r="3947" spans="1:5" x14ac:dyDescent="0.25">
      <c r="A3947" s="173" t="s">
        <v>468</v>
      </c>
      <c r="B3947">
        <v>27534</v>
      </c>
      <c r="C3947" s="173" t="s">
        <v>2914</v>
      </c>
      <c r="D3947" s="173" t="s">
        <v>470</v>
      </c>
      <c r="E3947">
        <v>3</v>
      </c>
    </row>
    <row r="3948" spans="1:5" x14ac:dyDescent="0.25">
      <c r="A3948" s="173" t="s">
        <v>468</v>
      </c>
      <c r="B3948">
        <v>27534</v>
      </c>
      <c r="C3948" s="173" t="s">
        <v>420</v>
      </c>
      <c r="D3948" s="173" t="s">
        <v>470</v>
      </c>
      <c r="E3948">
        <v>3</v>
      </c>
    </row>
    <row r="3949" spans="1:5" x14ac:dyDescent="0.25">
      <c r="A3949" s="173" t="s">
        <v>468</v>
      </c>
      <c r="B3949">
        <v>27535</v>
      </c>
      <c r="C3949" s="173" t="s">
        <v>4399</v>
      </c>
      <c r="D3949" s="173" t="s">
        <v>470</v>
      </c>
      <c r="E3949">
        <v>2</v>
      </c>
    </row>
    <row r="3950" spans="1:5" x14ac:dyDescent="0.25">
      <c r="A3950" s="173" t="s">
        <v>468</v>
      </c>
      <c r="B3950">
        <v>27535</v>
      </c>
      <c r="C3950" s="173" t="s">
        <v>4400</v>
      </c>
      <c r="D3950" s="173" t="s">
        <v>470</v>
      </c>
      <c r="E3950">
        <v>3</v>
      </c>
    </row>
    <row r="3951" spans="1:5" x14ac:dyDescent="0.25">
      <c r="A3951" s="173" t="s">
        <v>468</v>
      </c>
      <c r="B3951">
        <v>27535</v>
      </c>
      <c r="C3951" s="173" t="s">
        <v>4401</v>
      </c>
      <c r="D3951" s="173" t="s">
        <v>470</v>
      </c>
      <c r="E3951">
        <v>3</v>
      </c>
    </row>
    <row r="3952" spans="1:5" x14ac:dyDescent="0.25">
      <c r="A3952" s="173" t="s">
        <v>468</v>
      </c>
      <c r="B3952">
        <v>27535</v>
      </c>
      <c r="C3952" s="173" t="s">
        <v>4402</v>
      </c>
      <c r="D3952" s="173" t="s">
        <v>470</v>
      </c>
      <c r="E3952">
        <v>3</v>
      </c>
    </row>
    <row r="3953" spans="1:5" x14ac:dyDescent="0.25">
      <c r="A3953" s="173" t="s">
        <v>468</v>
      </c>
      <c r="B3953">
        <v>27535</v>
      </c>
      <c r="C3953" s="173" t="s">
        <v>4403</v>
      </c>
      <c r="D3953" s="173" t="s">
        <v>470</v>
      </c>
      <c r="E3953">
        <v>3</v>
      </c>
    </row>
    <row r="3954" spans="1:5" x14ac:dyDescent="0.25">
      <c r="A3954" s="173" t="s">
        <v>468</v>
      </c>
      <c r="B3954">
        <v>27535</v>
      </c>
      <c r="C3954" s="173" t="s">
        <v>4404</v>
      </c>
      <c r="D3954" s="173" t="s">
        <v>470</v>
      </c>
      <c r="E3954">
        <v>3</v>
      </c>
    </row>
    <row r="3955" spans="1:5" x14ac:dyDescent="0.25">
      <c r="A3955" s="173" t="s">
        <v>468</v>
      </c>
      <c r="B3955">
        <v>27536</v>
      </c>
      <c r="C3955" s="173" t="s">
        <v>4405</v>
      </c>
      <c r="D3955" s="173" t="s">
        <v>470</v>
      </c>
      <c r="E3955">
        <v>2</v>
      </c>
    </row>
    <row r="3956" spans="1:5" x14ac:dyDescent="0.25">
      <c r="A3956" s="173" t="s">
        <v>468</v>
      </c>
      <c r="B3956">
        <v>27536</v>
      </c>
      <c r="C3956" s="173" t="s">
        <v>4406</v>
      </c>
      <c r="D3956" s="173" t="s">
        <v>470</v>
      </c>
      <c r="E3956">
        <v>2</v>
      </c>
    </row>
    <row r="3957" spans="1:5" x14ac:dyDescent="0.25">
      <c r="A3957" s="173" t="s">
        <v>468</v>
      </c>
      <c r="B3957">
        <v>27536</v>
      </c>
      <c r="C3957" s="173" t="s">
        <v>4407</v>
      </c>
      <c r="D3957" s="173" t="s">
        <v>470</v>
      </c>
      <c r="E3957">
        <v>2</v>
      </c>
    </row>
    <row r="3958" spans="1:5" x14ac:dyDescent="0.25">
      <c r="A3958" s="173" t="s">
        <v>468</v>
      </c>
      <c r="B3958">
        <v>27536</v>
      </c>
      <c r="C3958" s="173" t="s">
        <v>4408</v>
      </c>
      <c r="D3958" s="173" t="s">
        <v>470</v>
      </c>
      <c r="E3958">
        <v>2</v>
      </c>
    </row>
    <row r="3959" spans="1:5" x14ac:dyDescent="0.25">
      <c r="A3959" s="173" t="s">
        <v>468</v>
      </c>
      <c r="B3959">
        <v>27538</v>
      </c>
      <c r="C3959" s="173" t="s">
        <v>2915</v>
      </c>
      <c r="D3959" s="173" t="s">
        <v>470</v>
      </c>
      <c r="E3959">
        <v>1</v>
      </c>
    </row>
    <row r="3960" spans="1:5" x14ac:dyDescent="0.25">
      <c r="A3960" s="173" t="s">
        <v>468</v>
      </c>
      <c r="B3960">
        <v>27538</v>
      </c>
      <c r="C3960" s="173" t="s">
        <v>340</v>
      </c>
      <c r="D3960" s="173" t="s">
        <v>470</v>
      </c>
      <c r="E3960">
        <v>1</v>
      </c>
    </row>
    <row r="3961" spans="1:5" x14ac:dyDescent="0.25">
      <c r="A3961" s="173" t="s">
        <v>468</v>
      </c>
      <c r="B3961">
        <v>27538</v>
      </c>
      <c r="C3961" s="173" t="s">
        <v>2916</v>
      </c>
      <c r="D3961" s="173" t="s">
        <v>470</v>
      </c>
      <c r="E3961">
        <v>1</v>
      </c>
    </row>
    <row r="3962" spans="1:5" x14ac:dyDescent="0.25">
      <c r="A3962" s="173" t="s">
        <v>468</v>
      </c>
      <c r="B3962">
        <v>27538</v>
      </c>
      <c r="C3962" s="173" t="s">
        <v>341</v>
      </c>
      <c r="D3962" s="173" t="s">
        <v>470</v>
      </c>
      <c r="E3962">
        <v>1</v>
      </c>
    </row>
    <row r="3963" spans="1:5" x14ac:dyDescent="0.25">
      <c r="A3963" s="173" t="s">
        <v>468</v>
      </c>
      <c r="B3963">
        <v>27538</v>
      </c>
      <c r="C3963" s="173" t="s">
        <v>2917</v>
      </c>
      <c r="D3963" s="173" t="s">
        <v>470</v>
      </c>
      <c r="E3963">
        <v>1</v>
      </c>
    </row>
    <row r="3964" spans="1:5" x14ac:dyDescent="0.25">
      <c r="A3964" s="173" t="s">
        <v>468</v>
      </c>
      <c r="B3964">
        <v>27542</v>
      </c>
      <c r="C3964" s="173" t="s">
        <v>2918</v>
      </c>
      <c r="D3964" s="173" t="s">
        <v>470</v>
      </c>
      <c r="E3964">
        <v>1</v>
      </c>
    </row>
    <row r="3965" spans="1:5" x14ac:dyDescent="0.25">
      <c r="A3965" s="173" t="s">
        <v>468</v>
      </c>
      <c r="B3965">
        <v>27542</v>
      </c>
      <c r="C3965" s="173" t="s">
        <v>2919</v>
      </c>
      <c r="D3965" s="173" t="s">
        <v>470</v>
      </c>
      <c r="E3965">
        <v>1</v>
      </c>
    </row>
    <row r="3966" spans="1:5" x14ac:dyDescent="0.25">
      <c r="A3966" s="173" t="s">
        <v>468</v>
      </c>
      <c r="B3966">
        <v>27542</v>
      </c>
      <c r="C3966" s="173" t="s">
        <v>2920</v>
      </c>
      <c r="D3966" s="173" t="s">
        <v>470</v>
      </c>
      <c r="E3966">
        <v>1</v>
      </c>
    </row>
    <row r="3967" spans="1:5" x14ac:dyDescent="0.25">
      <c r="A3967" s="173" t="s">
        <v>468</v>
      </c>
      <c r="B3967">
        <v>27542</v>
      </c>
      <c r="C3967" s="173" t="s">
        <v>2921</v>
      </c>
      <c r="D3967" s="173" t="s">
        <v>470</v>
      </c>
      <c r="E3967">
        <v>1</v>
      </c>
    </row>
    <row r="3968" spans="1:5" x14ac:dyDescent="0.25">
      <c r="A3968" s="173" t="s">
        <v>468</v>
      </c>
      <c r="B3968">
        <v>27542</v>
      </c>
      <c r="C3968" s="173" t="s">
        <v>2922</v>
      </c>
      <c r="D3968" s="173" t="s">
        <v>470</v>
      </c>
      <c r="E3968">
        <v>1</v>
      </c>
    </row>
    <row r="3969" spans="1:5" x14ac:dyDescent="0.25">
      <c r="A3969" s="173" t="s">
        <v>468</v>
      </c>
      <c r="B3969">
        <v>27542</v>
      </c>
      <c r="C3969" s="173" t="s">
        <v>2923</v>
      </c>
      <c r="D3969" s="173" t="s">
        <v>470</v>
      </c>
      <c r="E3969">
        <v>1</v>
      </c>
    </row>
    <row r="3970" spans="1:5" x14ac:dyDescent="0.25">
      <c r="A3970" s="173" t="s">
        <v>468</v>
      </c>
      <c r="B3970">
        <v>27551</v>
      </c>
      <c r="C3970" s="173" t="s">
        <v>4880</v>
      </c>
      <c r="D3970" s="173" t="s">
        <v>470</v>
      </c>
      <c r="E3970">
        <v>1</v>
      </c>
    </row>
    <row r="3971" spans="1:5" x14ac:dyDescent="0.25">
      <c r="A3971" s="173" t="s">
        <v>468</v>
      </c>
      <c r="B3971">
        <v>27551</v>
      </c>
      <c r="C3971" s="173" t="s">
        <v>4881</v>
      </c>
      <c r="D3971" s="173" t="s">
        <v>470</v>
      </c>
      <c r="E3971">
        <v>1</v>
      </c>
    </row>
    <row r="3972" spans="1:5" x14ac:dyDescent="0.25">
      <c r="A3972" s="173" t="s">
        <v>468</v>
      </c>
      <c r="B3972">
        <v>27551</v>
      </c>
      <c r="C3972" s="173" t="s">
        <v>4882</v>
      </c>
      <c r="D3972" s="173" t="s">
        <v>470</v>
      </c>
      <c r="E3972">
        <v>1</v>
      </c>
    </row>
    <row r="3973" spans="1:5" hidden="1" x14ac:dyDescent="0.25">
      <c r="A3973" s="173" t="s">
        <v>514</v>
      </c>
      <c r="B3973">
        <v>27565</v>
      </c>
      <c r="C3973" s="173" t="s">
        <v>4409</v>
      </c>
      <c r="D3973" s="173" t="s">
        <v>470</v>
      </c>
      <c r="E3973">
        <v>1</v>
      </c>
    </row>
    <row r="3974" spans="1:5" hidden="1" x14ac:dyDescent="0.25">
      <c r="A3974" s="173" t="s">
        <v>514</v>
      </c>
      <c r="B3974">
        <v>27565</v>
      </c>
      <c r="C3974" s="173" t="s">
        <v>4410</v>
      </c>
      <c r="D3974" s="173" t="s">
        <v>470</v>
      </c>
      <c r="E3974">
        <v>1</v>
      </c>
    </row>
    <row r="3975" spans="1:5" hidden="1" x14ac:dyDescent="0.25">
      <c r="A3975" s="173" t="s">
        <v>514</v>
      </c>
      <c r="B3975">
        <v>27565</v>
      </c>
      <c r="C3975" s="173" t="s">
        <v>4411</v>
      </c>
      <c r="D3975" s="173" t="s">
        <v>470</v>
      </c>
      <c r="E3975">
        <v>1</v>
      </c>
    </row>
    <row r="3976" spans="1:5" hidden="1" x14ac:dyDescent="0.25">
      <c r="A3976" s="173" t="s">
        <v>514</v>
      </c>
      <c r="B3976">
        <v>27565</v>
      </c>
      <c r="C3976" s="173" t="s">
        <v>4412</v>
      </c>
      <c r="D3976" s="173" t="s">
        <v>470</v>
      </c>
      <c r="E3976">
        <v>1</v>
      </c>
    </row>
    <row r="3977" spans="1:5" hidden="1" x14ac:dyDescent="0.25">
      <c r="A3977" s="173" t="s">
        <v>514</v>
      </c>
      <c r="B3977">
        <v>27565</v>
      </c>
      <c r="C3977" s="173" t="s">
        <v>4413</v>
      </c>
      <c r="D3977" s="173" t="s">
        <v>470</v>
      </c>
      <c r="E3977">
        <v>1</v>
      </c>
    </row>
    <row r="3978" spans="1:5" hidden="1" x14ac:dyDescent="0.25">
      <c r="A3978" s="173" t="s">
        <v>804</v>
      </c>
      <c r="B3978">
        <v>27566</v>
      </c>
      <c r="C3978" s="173" t="s">
        <v>4414</v>
      </c>
      <c r="D3978" s="173" t="s">
        <v>470</v>
      </c>
      <c r="E3978">
        <v>2</v>
      </c>
    </row>
    <row r="3979" spans="1:5" hidden="1" x14ac:dyDescent="0.25">
      <c r="A3979" s="173" t="s">
        <v>804</v>
      </c>
      <c r="B3979">
        <v>27566</v>
      </c>
      <c r="C3979" s="173" t="s">
        <v>4415</v>
      </c>
      <c r="D3979" s="173" t="s">
        <v>470</v>
      </c>
      <c r="E3979">
        <v>2</v>
      </c>
    </row>
    <row r="3980" spans="1:5" hidden="1" x14ac:dyDescent="0.25">
      <c r="A3980" s="173" t="s">
        <v>804</v>
      </c>
      <c r="B3980">
        <v>27566</v>
      </c>
      <c r="C3980" s="173" t="s">
        <v>4416</v>
      </c>
      <c r="D3980" s="173" t="s">
        <v>470</v>
      </c>
      <c r="E3980">
        <v>2</v>
      </c>
    </row>
    <row r="3981" spans="1:5" hidden="1" x14ac:dyDescent="0.25">
      <c r="A3981" s="173" t="s">
        <v>804</v>
      </c>
      <c r="B3981">
        <v>27566</v>
      </c>
      <c r="C3981" s="173" t="s">
        <v>4417</v>
      </c>
      <c r="D3981" s="173" t="s">
        <v>470</v>
      </c>
      <c r="E3981">
        <v>2</v>
      </c>
    </row>
    <row r="3982" spans="1:5" x14ac:dyDescent="0.25">
      <c r="A3982" s="173" t="s">
        <v>468</v>
      </c>
      <c r="B3982">
        <v>27569</v>
      </c>
      <c r="C3982" s="173" t="s">
        <v>4418</v>
      </c>
      <c r="D3982" s="173" t="s">
        <v>470</v>
      </c>
      <c r="E3982">
        <v>1</v>
      </c>
    </row>
    <row r="3983" spans="1:5" x14ac:dyDescent="0.25">
      <c r="A3983" s="173" t="s">
        <v>468</v>
      </c>
      <c r="B3983">
        <v>27569</v>
      </c>
      <c r="C3983" s="173" t="s">
        <v>4419</v>
      </c>
      <c r="D3983" s="173" t="s">
        <v>470</v>
      </c>
      <c r="E3983">
        <v>1</v>
      </c>
    </row>
    <row r="3984" spans="1:5" x14ac:dyDescent="0.25">
      <c r="A3984" s="173" t="s">
        <v>468</v>
      </c>
      <c r="B3984">
        <v>27569</v>
      </c>
      <c r="C3984" s="173" t="s">
        <v>4420</v>
      </c>
      <c r="D3984" s="173" t="s">
        <v>470</v>
      </c>
      <c r="E3984">
        <v>1</v>
      </c>
    </row>
    <row r="3985" spans="1:5" x14ac:dyDescent="0.25">
      <c r="A3985" s="173" t="s">
        <v>468</v>
      </c>
      <c r="B3985">
        <v>27569</v>
      </c>
      <c r="C3985" s="173" t="s">
        <v>4421</v>
      </c>
      <c r="D3985" s="173" t="s">
        <v>470</v>
      </c>
      <c r="E3985">
        <v>1</v>
      </c>
    </row>
    <row r="3986" spans="1:5" x14ac:dyDescent="0.25">
      <c r="A3986" s="173" t="s">
        <v>468</v>
      </c>
      <c r="B3986">
        <v>27569</v>
      </c>
      <c r="C3986" s="173" t="s">
        <v>4422</v>
      </c>
      <c r="D3986" s="173" t="s">
        <v>470</v>
      </c>
      <c r="E3986">
        <v>1</v>
      </c>
    </row>
    <row r="3987" spans="1:5" x14ac:dyDescent="0.25">
      <c r="A3987" s="173" t="s">
        <v>468</v>
      </c>
      <c r="B3987">
        <v>27569</v>
      </c>
      <c r="C3987" s="173" t="s">
        <v>4423</v>
      </c>
      <c r="D3987" s="173" t="s">
        <v>470</v>
      </c>
      <c r="E3987">
        <v>1</v>
      </c>
    </row>
    <row r="3988" spans="1:5" x14ac:dyDescent="0.25">
      <c r="A3988" s="173" t="s">
        <v>468</v>
      </c>
      <c r="B3988">
        <v>27569</v>
      </c>
      <c r="C3988" s="173" t="s">
        <v>4424</v>
      </c>
      <c r="D3988" s="173" t="s">
        <v>470</v>
      </c>
      <c r="E3988">
        <v>1</v>
      </c>
    </row>
    <row r="3989" spans="1:5" x14ac:dyDescent="0.25">
      <c r="A3989" s="173" t="s">
        <v>468</v>
      </c>
      <c r="B3989">
        <v>27570</v>
      </c>
      <c r="C3989" s="173" t="s">
        <v>3519</v>
      </c>
      <c r="D3989" s="173" t="s">
        <v>470</v>
      </c>
      <c r="E3989">
        <v>1</v>
      </c>
    </row>
    <row r="3990" spans="1:5" x14ac:dyDescent="0.25">
      <c r="A3990" s="173" t="s">
        <v>468</v>
      </c>
      <c r="B3990">
        <v>27570</v>
      </c>
      <c r="C3990" s="173" t="s">
        <v>3518</v>
      </c>
      <c r="D3990" s="173" t="s">
        <v>470</v>
      </c>
      <c r="E3990">
        <v>1</v>
      </c>
    </row>
    <row r="3991" spans="1:5" x14ac:dyDescent="0.25">
      <c r="A3991" s="173" t="s">
        <v>468</v>
      </c>
      <c r="B3991">
        <v>27570</v>
      </c>
      <c r="C3991" s="173" t="s">
        <v>4425</v>
      </c>
      <c r="D3991" s="173" t="s">
        <v>470</v>
      </c>
      <c r="E3991">
        <v>1</v>
      </c>
    </row>
    <row r="3992" spans="1:5" x14ac:dyDescent="0.25">
      <c r="A3992" s="173" t="s">
        <v>468</v>
      </c>
      <c r="B3992">
        <v>27570</v>
      </c>
      <c r="C3992" s="173" t="s">
        <v>4426</v>
      </c>
      <c r="D3992" s="173" t="s">
        <v>470</v>
      </c>
      <c r="E3992">
        <v>1</v>
      </c>
    </row>
    <row r="3993" spans="1:5" x14ac:dyDescent="0.25">
      <c r="A3993" s="173" t="s">
        <v>468</v>
      </c>
      <c r="B3993">
        <v>27570</v>
      </c>
      <c r="C3993" s="173" t="s">
        <v>4427</v>
      </c>
      <c r="D3993" s="173" t="s">
        <v>470</v>
      </c>
      <c r="E3993">
        <v>1</v>
      </c>
    </row>
    <row r="3994" spans="1:5" x14ac:dyDescent="0.25">
      <c r="A3994" s="173" t="s">
        <v>468</v>
      </c>
      <c r="B3994">
        <v>27570</v>
      </c>
      <c r="C3994" s="173" t="s">
        <v>4428</v>
      </c>
      <c r="D3994" s="173" t="s">
        <v>470</v>
      </c>
      <c r="E3994">
        <v>1</v>
      </c>
    </row>
    <row r="3995" spans="1:5" x14ac:dyDescent="0.25">
      <c r="A3995" s="173" t="s">
        <v>468</v>
      </c>
      <c r="B3995">
        <v>27570</v>
      </c>
      <c r="C3995" s="173" t="s">
        <v>4883</v>
      </c>
      <c r="D3995" s="173" t="s">
        <v>470</v>
      </c>
      <c r="E3995">
        <v>1</v>
      </c>
    </row>
    <row r="3996" spans="1:5" x14ac:dyDescent="0.25">
      <c r="A3996" s="173" t="s">
        <v>468</v>
      </c>
      <c r="B3996">
        <v>27570</v>
      </c>
      <c r="C3996" s="173" t="s">
        <v>4884</v>
      </c>
      <c r="D3996" s="173" t="s">
        <v>470</v>
      </c>
      <c r="E3996">
        <v>1</v>
      </c>
    </row>
    <row r="3997" spans="1:5" x14ac:dyDescent="0.25">
      <c r="A3997" s="173" t="s">
        <v>468</v>
      </c>
      <c r="B3997">
        <v>27570</v>
      </c>
      <c r="C3997" s="173" t="s">
        <v>4885</v>
      </c>
      <c r="D3997" s="173" t="s">
        <v>470</v>
      </c>
      <c r="E3997">
        <v>1</v>
      </c>
    </row>
    <row r="3998" spans="1:5" x14ac:dyDescent="0.25">
      <c r="A3998" s="173" t="s">
        <v>468</v>
      </c>
      <c r="B3998">
        <v>27571</v>
      </c>
      <c r="C3998" s="173" t="s">
        <v>4429</v>
      </c>
      <c r="D3998" s="173" t="s">
        <v>470</v>
      </c>
      <c r="E3998">
        <v>1</v>
      </c>
    </row>
    <row r="3999" spans="1:5" x14ac:dyDescent="0.25">
      <c r="A3999" s="173" t="s">
        <v>468</v>
      </c>
      <c r="B3999">
        <v>27571</v>
      </c>
      <c r="C3999" s="173" t="s">
        <v>4430</v>
      </c>
      <c r="D3999" s="173" t="s">
        <v>470</v>
      </c>
      <c r="E3999">
        <v>1</v>
      </c>
    </row>
    <row r="4000" spans="1:5" x14ac:dyDescent="0.25">
      <c r="A4000" s="173" t="s">
        <v>468</v>
      </c>
      <c r="B4000">
        <v>27571</v>
      </c>
      <c r="C4000" s="173" t="s">
        <v>4431</v>
      </c>
      <c r="D4000" s="173" t="s">
        <v>470</v>
      </c>
      <c r="E4000">
        <v>1</v>
      </c>
    </row>
    <row r="4001" spans="1:5" x14ac:dyDescent="0.25">
      <c r="A4001" s="173" t="s">
        <v>468</v>
      </c>
      <c r="B4001">
        <v>27571</v>
      </c>
      <c r="C4001" s="173" t="s">
        <v>4432</v>
      </c>
      <c r="D4001" s="173" t="s">
        <v>470</v>
      </c>
      <c r="E4001">
        <v>1</v>
      </c>
    </row>
    <row r="4002" spans="1:5" x14ac:dyDescent="0.25">
      <c r="A4002" s="173" t="s">
        <v>468</v>
      </c>
      <c r="B4002">
        <v>27571</v>
      </c>
      <c r="C4002" s="173" t="s">
        <v>4433</v>
      </c>
      <c r="D4002" s="173" t="s">
        <v>470</v>
      </c>
      <c r="E4002">
        <v>1</v>
      </c>
    </row>
    <row r="4003" spans="1:5" x14ac:dyDescent="0.25">
      <c r="A4003" s="173" t="s">
        <v>468</v>
      </c>
      <c r="B4003">
        <v>27571</v>
      </c>
      <c r="C4003" s="173" t="s">
        <v>4434</v>
      </c>
      <c r="D4003" s="173" t="s">
        <v>470</v>
      </c>
      <c r="E4003">
        <v>1</v>
      </c>
    </row>
    <row r="4004" spans="1:5" x14ac:dyDescent="0.25">
      <c r="A4004" s="173" t="s">
        <v>468</v>
      </c>
      <c r="B4004">
        <v>27571</v>
      </c>
      <c r="C4004" s="173" t="s">
        <v>4435</v>
      </c>
      <c r="D4004" s="173" t="s">
        <v>470</v>
      </c>
      <c r="E4004">
        <v>1</v>
      </c>
    </row>
    <row r="4005" spans="1:5" x14ac:dyDescent="0.25">
      <c r="A4005" s="173" t="s">
        <v>468</v>
      </c>
      <c r="B4005">
        <v>27571</v>
      </c>
      <c r="C4005" s="173" t="s">
        <v>4436</v>
      </c>
      <c r="D4005" s="173" t="s">
        <v>470</v>
      </c>
      <c r="E4005">
        <v>1</v>
      </c>
    </row>
    <row r="4006" spans="1:5" x14ac:dyDescent="0.25">
      <c r="A4006" s="173" t="s">
        <v>468</v>
      </c>
      <c r="B4006">
        <v>27571</v>
      </c>
      <c r="C4006" s="173" t="s">
        <v>4437</v>
      </c>
      <c r="D4006" s="173" t="s">
        <v>470</v>
      </c>
      <c r="E4006">
        <v>1</v>
      </c>
    </row>
    <row r="4007" spans="1:5" x14ac:dyDescent="0.25">
      <c r="A4007" s="173" t="s">
        <v>468</v>
      </c>
      <c r="B4007">
        <v>27572</v>
      </c>
      <c r="C4007" s="173" t="s">
        <v>4886</v>
      </c>
      <c r="D4007" s="173" t="s">
        <v>470</v>
      </c>
      <c r="E4007">
        <v>1</v>
      </c>
    </row>
    <row r="4008" spans="1:5" x14ac:dyDescent="0.25">
      <c r="A4008" s="173" t="s">
        <v>468</v>
      </c>
      <c r="B4008">
        <v>27572</v>
      </c>
      <c r="C4008" s="173" t="s">
        <v>4887</v>
      </c>
      <c r="D4008" s="173" t="s">
        <v>470</v>
      </c>
      <c r="E4008">
        <v>1</v>
      </c>
    </row>
    <row r="4009" spans="1:5" x14ac:dyDescent="0.25">
      <c r="A4009" s="173" t="s">
        <v>468</v>
      </c>
      <c r="B4009">
        <v>27572</v>
      </c>
      <c r="C4009" s="173" t="s">
        <v>4888</v>
      </c>
      <c r="D4009" s="173" t="s">
        <v>470</v>
      </c>
      <c r="E4009">
        <v>1</v>
      </c>
    </row>
    <row r="4010" spans="1:5" x14ac:dyDescent="0.25">
      <c r="A4010" s="173" t="s">
        <v>468</v>
      </c>
      <c r="B4010">
        <v>27572</v>
      </c>
      <c r="C4010" s="173" t="s">
        <v>4889</v>
      </c>
      <c r="D4010" s="173" t="s">
        <v>470</v>
      </c>
      <c r="E4010">
        <v>1</v>
      </c>
    </row>
    <row r="4011" spans="1:5" x14ac:dyDescent="0.25">
      <c r="A4011" s="173" t="s">
        <v>468</v>
      </c>
      <c r="B4011">
        <v>27572</v>
      </c>
      <c r="C4011" s="173" t="s">
        <v>4890</v>
      </c>
      <c r="D4011" s="173" t="s">
        <v>470</v>
      </c>
      <c r="E4011">
        <v>1</v>
      </c>
    </row>
    <row r="4012" spans="1:5" x14ac:dyDescent="0.25">
      <c r="A4012" s="173" t="s">
        <v>468</v>
      </c>
      <c r="B4012">
        <v>27572</v>
      </c>
      <c r="C4012" s="173" t="s">
        <v>4891</v>
      </c>
      <c r="D4012" s="173" t="s">
        <v>470</v>
      </c>
      <c r="E4012">
        <v>1</v>
      </c>
    </row>
    <row r="4013" spans="1:5" x14ac:dyDescent="0.25">
      <c r="A4013" s="173" t="s">
        <v>468</v>
      </c>
      <c r="B4013">
        <v>27573</v>
      </c>
      <c r="C4013" s="173" t="s">
        <v>4438</v>
      </c>
      <c r="D4013" s="173" t="s">
        <v>470</v>
      </c>
      <c r="E4013">
        <v>1</v>
      </c>
    </row>
    <row r="4014" spans="1:5" x14ac:dyDescent="0.25">
      <c r="A4014" s="173" t="s">
        <v>468</v>
      </c>
      <c r="B4014">
        <v>27573</v>
      </c>
      <c r="C4014" s="173" t="s">
        <v>4439</v>
      </c>
      <c r="D4014" s="173" t="s">
        <v>470</v>
      </c>
      <c r="E4014">
        <v>1</v>
      </c>
    </row>
    <row r="4015" spans="1:5" x14ac:dyDescent="0.25">
      <c r="A4015" s="173" t="s">
        <v>468</v>
      </c>
      <c r="B4015">
        <v>27573</v>
      </c>
      <c r="C4015" s="173" t="s">
        <v>4440</v>
      </c>
      <c r="D4015" s="173" t="s">
        <v>470</v>
      </c>
      <c r="E4015">
        <v>1</v>
      </c>
    </row>
    <row r="4016" spans="1:5" x14ac:dyDescent="0.25">
      <c r="A4016" s="173" t="s">
        <v>468</v>
      </c>
      <c r="B4016">
        <v>27573</v>
      </c>
      <c r="C4016" s="173" t="s">
        <v>4441</v>
      </c>
      <c r="D4016" s="173" t="s">
        <v>470</v>
      </c>
      <c r="E4016">
        <v>1</v>
      </c>
    </row>
    <row r="4017" spans="1:5" x14ac:dyDescent="0.25">
      <c r="A4017" s="173" t="s">
        <v>468</v>
      </c>
      <c r="B4017">
        <v>27573</v>
      </c>
      <c r="C4017" s="173" t="s">
        <v>4442</v>
      </c>
      <c r="D4017" s="173" t="s">
        <v>470</v>
      </c>
      <c r="E4017">
        <v>1</v>
      </c>
    </row>
    <row r="4018" spans="1:5" x14ac:dyDescent="0.25">
      <c r="A4018" s="173" t="s">
        <v>468</v>
      </c>
      <c r="B4018">
        <v>27573</v>
      </c>
      <c r="C4018" s="173" t="s">
        <v>4443</v>
      </c>
      <c r="D4018" s="173" t="s">
        <v>470</v>
      </c>
      <c r="E4018">
        <v>1</v>
      </c>
    </row>
    <row r="4019" spans="1:5" x14ac:dyDescent="0.25">
      <c r="A4019" s="173" t="s">
        <v>468</v>
      </c>
      <c r="B4019">
        <v>27573</v>
      </c>
      <c r="C4019" s="173" t="s">
        <v>4444</v>
      </c>
      <c r="D4019" s="173" t="s">
        <v>470</v>
      </c>
      <c r="E4019">
        <v>1</v>
      </c>
    </row>
    <row r="4020" spans="1:5" x14ac:dyDescent="0.25">
      <c r="A4020" s="173" t="s">
        <v>468</v>
      </c>
      <c r="B4020">
        <v>27594</v>
      </c>
      <c r="C4020" s="173" t="s">
        <v>2924</v>
      </c>
      <c r="D4020" s="173" t="s">
        <v>470</v>
      </c>
      <c r="E4020">
        <v>4</v>
      </c>
    </row>
    <row r="4021" spans="1:5" x14ac:dyDescent="0.25">
      <c r="A4021" s="173" t="s">
        <v>468</v>
      </c>
      <c r="B4021">
        <v>27594</v>
      </c>
      <c r="C4021" s="173" t="s">
        <v>2925</v>
      </c>
      <c r="D4021" s="173" t="s">
        <v>470</v>
      </c>
      <c r="E4021">
        <v>4</v>
      </c>
    </row>
    <row r="4022" spans="1:5" x14ac:dyDescent="0.25">
      <c r="A4022" s="173" t="s">
        <v>468</v>
      </c>
      <c r="B4022">
        <v>27594</v>
      </c>
      <c r="C4022" s="173" t="s">
        <v>415</v>
      </c>
      <c r="D4022" s="173" t="s">
        <v>470</v>
      </c>
      <c r="E4022">
        <v>4</v>
      </c>
    </row>
    <row r="4023" spans="1:5" x14ac:dyDescent="0.25">
      <c r="A4023" s="173" t="s">
        <v>468</v>
      </c>
      <c r="B4023">
        <v>27594</v>
      </c>
      <c r="C4023" s="173" t="s">
        <v>416</v>
      </c>
      <c r="D4023" s="173" t="s">
        <v>470</v>
      </c>
      <c r="E4023">
        <v>4</v>
      </c>
    </row>
    <row r="4024" spans="1:5" x14ac:dyDescent="0.25">
      <c r="A4024" s="173" t="s">
        <v>468</v>
      </c>
      <c r="B4024">
        <v>27594</v>
      </c>
      <c r="C4024" s="173" t="s">
        <v>417</v>
      </c>
      <c r="D4024" s="173" t="s">
        <v>470</v>
      </c>
      <c r="E4024">
        <v>3</v>
      </c>
    </row>
    <row r="4025" spans="1:5" x14ac:dyDescent="0.25">
      <c r="A4025" s="173" t="s">
        <v>468</v>
      </c>
      <c r="B4025">
        <v>27595</v>
      </c>
      <c r="C4025" s="173" t="s">
        <v>4892</v>
      </c>
      <c r="D4025" s="173" t="s">
        <v>470</v>
      </c>
      <c r="E4025">
        <v>1</v>
      </c>
    </row>
    <row r="4026" spans="1:5" x14ac:dyDescent="0.25">
      <c r="A4026" s="173" t="s">
        <v>468</v>
      </c>
      <c r="B4026">
        <v>27595</v>
      </c>
      <c r="C4026" s="173" t="s">
        <v>4893</v>
      </c>
      <c r="D4026" s="173" t="s">
        <v>470</v>
      </c>
      <c r="E4026">
        <v>1</v>
      </c>
    </row>
    <row r="4027" spans="1:5" x14ac:dyDescent="0.25">
      <c r="A4027" s="173" t="s">
        <v>468</v>
      </c>
      <c r="B4027">
        <v>27595</v>
      </c>
      <c r="C4027" s="173" t="s">
        <v>4894</v>
      </c>
      <c r="D4027" s="173" t="s">
        <v>470</v>
      </c>
      <c r="E4027">
        <v>1</v>
      </c>
    </row>
    <row r="4028" spans="1:5" x14ac:dyDescent="0.25">
      <c r="A4028" s="173" t="s">
        <v>468</v>
      </c>
      <c r="B4028">
        <v>27595</v>
      </c>
      <c r="C4028" s="173" t="s">
        <v>4895</v>
      </c>
      <c r="D4028" s="173" t="s">
        <v>470</v>
      </c>
      <c r="E4028">
        <v>1</v>
      </c>
    </row>
    <row r="4029" spans="1:5" x14ac:dyDescent="0.25">
      <c r="A4029" s="173" t="s">
        <v>468</v>
      </c>
      <c r="B4029">
        <v>27595</v>
      </c>
      <c r="C4029" s="173" t="s">
        <v>4896</v>
      </c>
      <c r="D4029" s="173" t="s">
        <v>470</v>
      </c>
      <c r="E4029">
        <v>1</v>
      </c>
    </row>
    <row r="4030" spans="1:5" x14ac:dyDescent="0.25">
      <c r="A4030" s="173" t="s">
        <v>468</v>
      </c>
      <c r="B4030">
        <v>27603</v>
      </c>
      <c r="C4030" s="173" t="s">
        <v>2926</v>
      </c>
      <c r="D4030" s="173" t="s">
        <v>470</v>
      </c>
      <c r="E4030">
        <v>1</v>
      </c>
    </row>
    <row r="4031" spans="1:5" x14ac:dyDescent="0.25">
      <c r="A4031" s="173" t="s">
        <v>468</v>
      </c>
      <c r="B4031">
        <v>27603</v>
      </c>
      <c r="C4031" s="173" t="s">
        <v>2927</v>
      </c>
      <c r="D4031" s="173" t="s">
        <v>470</v>
      </c>
      <c r="E4031">
        <v>1</v>
      </c>
    </row>
    <row r="4032" spans="1:5" x14ac:dyDescent="0.25">
      <c r="A4032" s="173" t="s">
        <v>468</v>
      </c>
      <c r="B4032">
        <v>27603</v>
      </c>
      <c r="C4032" s="173" t="s">
        <v>2928</v>
      </c>
      <c r="D4032" s="173" t="s">
        <v>470</v>
      </c>
      <c r="E4032">
        <v>1</v>
      </c>
    </row>
    <row r="4033" spans="1:5" x14ac:dyDescent="0.25">
      <c r="A4033" s="173" t="s">
        <v>468</v>
      </c>
      <c r="B4033">
        <v>27603</v>
      </c>
      <c r="C4033" s="173" t="s">
        <v>2929</v>
      </c>
      <c r="D4033" s="173" t="s">
        <v>470</v>
      </c>
      <c r="E4033">
        <v>1</v>
      </c>
    </row>
    <row r="4034" spans="1:5" x14ac:dyDescent="0.25">
      <c r="A4034" s="173" t="s">
        <v>468</v>
      </c>
      <c r="B4034">
        <v>27603</v>
      </c>
      <c r="C4034" s="173" t="s">
        <v>2930</v>
      </c>
      <c r="D4034" s="173" t="s">
        <v>470</v>
      </c>
      <c r="E4034">
        <v>1</v>
      </c>
    </row>
    <row r="4035" spans="1:5" hidden="1" x14ac:dyDescent="0.25">
      <c r="A4035" s="173" t="s">
        <v>1668</v>
      </c>
      <c r="B4035">
        <v>27604</v>
      </c>
      <c r="C4035" s="173" t="s">
        <v>2931</v>
      </c>
      <c r="D4035" s="173" t="s">
        <v>470</v>
      </c>
      <c r="E4035">
        <v>1</v>
      </c>
    </row>
    <row r="4036" spans="1:5" hidden="1" x14ac:dyDescent="0.25">
      <c r="A4036" s="173" t="s">
        <v>1668</v>
      </c>
      <c r="B4036">
        <v>27604</v>
      </c>
      <c r="C4036" s="173" t="s">
        <v>2932</v>
      </c>
      <c r="D4036" s="173" t="s">
        <v>470</v>
      </c>
      <c r="E4036">
        <v>1</v>
      </c>
    </row>
    <row r="4037" spans="1:5" hidden="1" x14ac:dyDescent="0.25">
      <c r="A4037" s="173" t="s">
        <v>1668</v>
      </c>
      <c r="B4037">
        <v>27606</v>
      </c>
      <c r="C4037" s="173" t="s">
        <v>2933</v>
      </c>
      <c r="D4037" s="173" t="s">
        <v>470</v>
      </c>
      <c r="E4037">
        <v>1</v>
      </c>
    </row>
    <row r="4038" spans="1:5" hidden="1" x14ac:dyDescent="0.25">
      <c r="A4038" s="173" t="s">
        <v>1668</v>
      </c>
      <c r="B4038">
        <v>27606</v>
      </c>
      <c r="C4038" s="173" t="s">
        <v>2934</v>
      </c>
      <c r="D4038" s="173" t="s">
        <v>470</v>
      </c>
      <c r="E4038">
        <v>1</v>
      </c>
    </row>
    <row r="4039" spans="1:5" hidden="1" x14ac:dyDescent="0.25">
      <c r="A4039" s="173" t="s">
        <v>1668</v>
      </c>
      <c r="B4039">
        <v>27614</v>
      </c>
      <c r="C4039" s="173" t="s">
        <v>2935</v>
      </c>
      <c r="D4039" s="173" t="s">
        <v>470</v>
      </c>
      <c r="E4039">
        <v>1</v>
      </c>
    </row>
    <row r="4040" spans="1:5" hidden="1" x14ac:dyDescent="0.25">
      <c r="A4040" s="173" t="s">
        <v>2936</v>
      </c>
      <c r="B4040">
        <v>33869</v>
      </c>
      <c r="C4040" s="173" t="s">
        <v>2937</v>
      </c>
      <c r="D4040" s="173" t="s">
        <v>517</v>
      </c>
      <c r="E4040">
        <v>1</v>
      </c>
    </row>
    <row r="4041" spans="1:5" hidden="1" x14ac:dyDescent="0.25">
      <c r="A4041" s="173" t="s">
        <v>2936</v>
      </c>
      <c r="B4041">
        <v>33869</v>
      </c>
      <c r="C4041" s="173" t="s">
        <v>2938</v>
      </c>
      <c r="D4041" s="173" t="s">
        <v>517</v>
      </c>
      <c r="E4041">
        <v>1</v>
      </c>
    </row>
    <row r="4042" spans="1:5" hidden="1" x14ac:dyDescent="0.25">
      <c r="A4042" s="173" t="s">
        <v>2936</v>
      </c>
      <c r="B4042">
        <v>33869</v>
      </c>
      <c r="C4042" s="173" t="s">
        <v>2939</v>
      </c>
      <c r="D4042" s="173" t="s">
        <v>517</v>
      </c>
      <c r="E4042">
        <v>1</v>
      </c>
    </row>
    <row r="4043" spans="1:5" hidden="1" x14ac:dyDescent="0.25">
      <c r="A4043" s="173" t="s">
        <v>2936</v>
      </c>
      <c r="B4043">
        <v>33869</v>
      </c>
      <c r="C4043" s="173" t="s">
        <v>2940</v>
      </c>
      <c r="D4043" s="173" t="s">
        <v>517</v>
      </c>
      <c r="E4043">
        <v>1</v>
      </c>
    </row>
    <row r="4044" spans="1:5" hidden="1" x14ac:dyDescent="0.25">
      <c r="A4044" s="173" t="s">
        <v>2936</v>
      </c>
      <c r="B4044">
        <v>33869</v>
      </c>
      <c r="C4044" s="173" t="s">
        <v>2941</v>
      </c>
      <c r="D4044" s="173" t="s">
        <v>517</v>
      </c>
      <c r="E4044">
        <v>1</v>
      </c>
    </row>
    <row r="4045" spans="1:5" hidden="1" x14ac:dyDescent="0.25">
      <c r="A4045" s="173" t="s">
        <v>2936</v>
      </c>
      <c r="B4045">
        <v>33869</v>
      </c>
      <c r="C4045" s="173" t="s">
        <v>2942</v>
      </c>
      <c r="D4045" s="173" t="s">
        <v>517</v>
      </c>
      <c r="E4045">
        <v>1</v>
      </c>
    </row>
    <row r="4046" spans="1:5" hidden="1" x14ac:dyDescent="0.25">
      <c r="A4046" s="173" t="s">
        <v>2936</v>
      </c>
      <c r="B4046">
        <v>33869</v>
      </c>
      <c r="C4046" s="173" t="s">
        <v>2943</v>
      </c>
      <c r="D4046" s="173" t="s">
        <v>517</v>
      </c>
      <c r="E4046">
        <v>1</v>
      </c>
    </row>
    <row r="4047" spans="1:5" hidden="1" x14ac:dyDescent="0.25">
      <c r="A4047" s="173" t="s">
        <v>2936</v>
      </c>
      <c r="B4047">
        <v>33913</v>
      </c>
      <c r="C4047" s="173" t="s">
        <v>4445</v>
      </c>
      <c r="D4047" s="173" t="s">
        <v>470</v>
      </c>
      <c r="E4047">
        <v>1</v>
      </c>
    </row>
    <row r="4048" spans="1:5" hidden="1" x14ac:dyDescent="0.25">
      <c r="A4048" s="173" t="s">
        <v>2936</v>
      </c>
      <c r="B4048">
        <v>33913</v>
      </c>
      <c r="C4048" s="173" t="s">
        <v>4446</v>
      </c>
      <c r="D4048" s="173" t="s">
        <v>470</v>
      </c>
      <c r="E4048">
        <v>1</v>
      </c>
    </row>
    <row r="4049" spans="1:5" hidden="1" x14ac:dyDescent="0.25">
      <c r="A4049" s="173" t="s">
        <v>2936</v>
      </c>
      <c r="B4049">
        <v>33913</v>
      </c>
      <c r="C4049" s="173" t="s">
        <v>4447</v>
      </c>
      <c r="D4049" s="173" t="s">
        <v>470</v>
      </c>
      <c r="E4049">
        <v>1</v>
      </c>
    </row>
    <row r="4050" spans="1:5" hidden="1" x14ac:dyDescent="0.25">
      <c r="A4050" s="173" t="s">
        <v>2936</v>
      </c>
      <c r="B4050">
        <v>33913</v>
      </c>
      <c r="C4050" s="173" t="s">
        <v>4448</v>
      </c>
      <c r="D4050" s="173" t="s">
        <v>470</v>
      </c>
      <c r="E4050">
        <v>1</v>
      </c>
    </row>
    <row r="4051" spans="1:5" hidden="1" x14ac:dyDescent="0.25">
      <c r="A4051" s="173" t="s">
        <v>2936</v>
      </c>
      <c r="B4051">
        <v>33913</v>
      </c>
      <c r="C4051" s="173" t="s">
        <v>4449</v>
      </c>
      <c r="D4051" s="173" t="s">
        <v>470</v>
      </c>
      <c r="E4051">
        <v>1</v>
      </c>
    </row>
    <row r="4052" spans="1:5" hidden="1" x14ac:dyDescent="0.25">
      <c r="A4052" s="173" t="s">
        <v>2936</v>
      </c>
      <c r="B4052">
        <v>33913</v>
      </c>
      <c r="C4052" s="173" t="s">
        <v>4450</v>
      </c>
      <c r="D4052" s="173" t="s">
        <v>470</v>
      </c>
      <c r="E4052">
        <v>1</v>
      </c>
    </row>
    <row r="4053" spans="1:5" hidden="1" x14ac:dyDescent="0.25">
      <c r="A4053" s="173" t="s">
        <v>2936</v>
      </c>
      <c r="B4053">
        <v>33913</v>
      </c>
      <c r="C4053" s="173" t="s">
        <v>4451</v>
      </c>
      <c r="D4053" s="173" t="s">
        <v>470</v>
      </c>
      <c r="E4053">
        <v>1</v>
      </c>
    </row>
    <row r="4054" spans="1:5" hidden="1" x14ac:dyDescent="0.25">
      <c r="A4054" s="173" t="s">
        <v>2936</v>
      </c>
      <c r="B4054">
        <v>33913</v>
      </c>
      <c r="C4054" s="173" t="s">
        <v>4452</v>
      </c>
      <c r="D4054" s="173" t="s">
        <v>470</v>
      </c>
      <c r="E4054">
        <v>1</v>
      </c>
    </row>
    <row r="4055" spans="1:5" hidden="1" x14ac:dyDescent="0.25">
      <c r="A4055" s="173" t="s">
        <v>2936</v>
      </c>
      <c r="B4055">
        <v>33913</v>
      </c>
      <c r="C4055" s="173" t="s">
        <v>4453</v>
      </c>
      <c r="D4055" s="173" t="s">
        <v>470</v>
      </c>
      <c r="E4055">
        <v>1</v>
      </c>
    </row>
    <row r="4056" spans="1:5" hidden="1" x14ac:dyDescent="0.25">
      <c r="A4056" s="173" t="s">
        <v>2936</v>
      </c>
      <c r="B4056">
        <v>33913</v>
      </c>
      <c r="C4056" s="173" t="s">
        <v>4454</v>
      </c>
      <c r="D4056" s="173" t="s">
        <v>470</v>
      </c>
      <c r="E4056">
        <v>1</v>
      </c>
    </row>
    <row r="4057" spans="1:5" hidden="1" x14ac:dyDescent="0.25">
      <c r="A4057" s="173" t="s">
        <v>2936</v>
      </c>
      <c r="B4057">
        <v>33913</v>
      </c>
      <c r="C4057" s="173" t="s">
        <v>4455</v>
      </c>
      <c r="D4057" s="173" t="s">
        <v>470</v>
      </c>
      <c r="E4057">
        <v>1</v>
      </c>
    </row>
    <row r="4058" spans="1:5" hidden="1" x14ac:dyDescent="0.25">
      <c r="A4058" s="173" t="s">
        <v>2936</v>
      </c>
      <c r="B4058">
        <v>33913</v>
      </c>
      <c r="C4058" s="173" t="s">
        <v>4897</v>
      </c>
      <c r="D4058" s="173" t="s">
        <v>470</v>
      </c>
      <c r="E4058">
        <v>1</v>
      </c>
    </row>
    <row r="4059" spans="1:5" hidden="1" x14ac:dyDescent="0.25">
      <c r="A4059" s="173" t="s">
        <v>2936</v>
      </c>
      <c r="B4059">
        <v>33913</v>
      </c>
      <c r="C4059" s="173" t="s">
        <v>4898</v>
      </c>
      <c r="D4059" s="173" t="s">
        <v>470</v>
      </c>
      <c r="E4059">
        <v>1</v>
      </c>
    </row>
    <row r="4060" spans="1:5" hidden="1" x14ac:dyDescent="0.25">
      <c r="A4060" s="173" t="s">
        <v>514</v>
      </c>
      <c r="B4060">
        <v>34515</v>
      </c>
      <c r="C4060" s="173" t="s">
        <v>4456</v>
      </c>
      <c r="D4060" s="173" t="s">
        <v>470</v>
      </c>
      <c r="E4060">
        <v>2</v>
      </c>
    </row>
    <row r="4061" spans="1:5" hidden="1" x14ac:dyDescent="0.25">
      <c r="A4061" s="173" t="s">
        <v>514</v>
      </c>
      <c r="B4061">
        <v>34515</v>
      </c>
      <c r="C4061" s="173" t="s">
        <v>4457</v>
      </c>
      <c r="D4061" s="173" t="s">
        <v>470</v>
      </c>
      <c r="E4061">
        <v>2</v>
      </c>
    </row>
    <row r="4062" spans="1:5" hidden="1" x14ac:dyDescent="0.25">
      <c r="A4062" s="173" t="s">
        <v>1668</v>
      </c>
      <c r="B4062">
        <v>35685</v>
      </c>
      <c r="C4062" s="173" t="s">
        <v>2944</v>
      </c>
      <c r="D4062" s="173" t="s">
        <v>470</v>
      </c>
      <c r="E4062">
        <v>1</v>
      </c>
    </row>
    <row r="4063" spans="1:5" hidden="1" x14ac:dyDescent="0.25">
      <c r="A4063" s="173" t="s">
        <v>1668</v>
      </c>
      <c r="B4063">
        <v>35685</v>
      </c>
      <c r="C4063" s="173" t="s">
        <v>2945</v>
      </c>
      <c r="D4063" s="173" t="s">
        <v>470</v>
      </c>
      <c r="E4063">
        <v>1</v>
      </c>
    </row>
    <row r="4064" spans="1:5" hidden="1" x14ac:dyDescent="0.25">
      <c r="A4064" s="173" t="s">
        <v>1668</v>
      </c>
      <c r="B4064">
        <v>35685</v>
      </c>
      <c r="C4064" s="173" t="s">
        <v>2946</v>
      </c>
      <c r="D4064" s="173" t="s">
        <v>470</v>
      </c>
      <c r="E4064">
        <v>1</v>
      </c>
    </row>
    <row r="4065" spans="1:5" hidden="1" x14ac:dyDescent="0.25">
      <c r="A4065" s="173" t="s">
        <v>1668</v>
      </c>
      <c r="B4065">
        <v>35685</v>
      </c>
      <c r="C4065" s="173" t="s">
        <v>2947</v>
      </c>
      <c r="D4065" s="173" t="s">
        <v>470</v>
      </c>
      <c r="E4065">
        <v>1</v>
      </c>
    </row>
    <row r="4066" spans="1:5" hidden="1" x14ac:dyDescent="0.25">
      <c r="A4066" s="173" t="s">
        <v>1668</v>
      </c>
      <c r="B4066">
        <v>35685</v>
      </c>
      <c r="C4066" s="173" t="s">
        <v>2948</v>
      </c>
      <c r="D4066" s="173" t="s">
        <v>470</v>
      </c>
      <c r="E4066">
        <v>1</v>
      </c>
    </row>
    <row r="4067" spans="1:5" hidden="1" x14ac:dyDescent="0.25">
      <c r="A4067" s="173" t="s">
        <v>1668</v>
      </c>
      <c r="B4067">
        <v>35685</v>
      </c>
      <c r="C4067" s="173" t="s">
        <v>2949</v>
      </c>
      <c r="D4067" s="173" t="s">
        <v>470</v>
      </c>
      <c r="E4067">
        <v>1</v>
      </c>
    </row>
    <row r="4068" spans="1:5" hidden="1" x14ac:dyDescent="0.25">
      <c r="A4068" s="173" t="s">
        <v>1668</v>
      </c>
      <c r="B4068">
        <v>35685</v>
      </c>
      <c r="C4068" s="173" t="s">
        <v>4458</v>
      </c>
      <c r="D4068" s="173" t="s">
        <v>470</v>
      </c>
      <c r="E4068">
        <v>1</v>
      </c>
    </row>
    <row r="4069" spans="1:5" hidden="1" x14ac:dyDescent="0.25">
      <c r="A4069" s="173" t="s">
        <v>1668</v>
      </c>
      <c r="B4069">
        <v>35685</v>
      </c>
      <c r="C4069" s="173" t="s">
        <v>4459</v>
      </c>
      <c r="D4069" s="173" t="s">
        <v>470</v>
      </c>
      <c r="E4069">
        <v>1</v>
      </c>
    </row>
    <row r="4070" spans="1:5" hidden="1" x14ac:dyDescent="0.25">
      <c r="A4070" s="173" t="s">
        <v>1668</v>
      </c>
      <c r="B4070">
        <v>35686</v>
      </c>
      <c r="C4070" s="173" t="s">
        <v>2950</v>
      </c>
      <c r="D4070" s="173" t="s">
        <v>517</v>
      </c>
      <c r="E4070">
        <v>1</v>
      </c>
    </row>
    <row r="4071" spans="1:5" hidden="1" x14ac:dyDescent="0.25">
      <c r="A4071" s="173" t="s">
        <v>1668</v>
      </c>
      <c r="B4071">
        <v>35686</v>
      </c>
      <c r="C4071" s="173" t="s">
        <v>2951</v>
      </c>
      <c r="D4071" s="173" t="s">
        <v>517</v>
      </c>
      <c r="E4071">
        <v>1</v>
      </c>
    </row>
    <row r="4072" spans="1:5" hidden="1" x14ac:dyDescent="0.25">
      <c r="A4072" s="173" t="s">
        <v>1668</v>
      </c>
      <c r="B4072">
        <v>35686</v>
      </c>
      <c r="C4072" s="173" t="s">
        <v>2952</v>
      </c>
      <c r="D4072" s="173" t="s">
        <v>517</v>
      </c>
      <c r="E4072">
        <v>1</v>
      </c>
    </row>
    <row r="4073" spans="1:5" hidden="1" x14ac:dyDescent="0.25">
      <c r="A4073" s="173" t="s">
        <v>1668</v>
      </c>
      <c r="B4073">
        <v>35686</v>
      </c>
      <c r="C4073" s="173" t="s">
        <v>2953</v>
      </c>
      <c r="D4073" s="173" t="s">
        <v>517</v>
      </c>
      <c r="E4073">
        <v>1</v>
      </c>
    </row>
    <row r="4074" spans="1:5" hidden="1" x14ac:dyDescent="0.25">
      <c r="A4074" s="173" t="s">
        <v>1668</v>
      </c>
      <c r="B4074">
        <v>35686</v>
      </c>
      <c r="C4074" s="173" t="s">
        <v>2954</v>
      </c>
      <c r="D4074" s="173" t="s">
        <v>517</v>
      </c>
      <c r="E4074">
        <v>1</v>
      </c>
    </row>
    <row r="4075" spans="1:5" hidden="1" x14ac:dyDescent="0.25">
      <c r="A4075" s="173" t="s">
        <v>1668</v>
      </c>
      <c r="B4075">
        <v>35686</v>
      </c>
      <c r="C4075" s="173" t="s">
        <v>2955</v>
      </c>
      <c r="D4075" s="173" t="s">
        <v>517</v>
      </c>
      <c r="E4075">
        <v>1</v>
      </c>
    </row>
    <row r="4076" spans="1:5" hidden="1" x14ac:dyDescent="0.25">
      <c r="A4076" s="173" t="s">
        <v>514</v>
      </c>
      <c r="B4076">
        <v>35740</v>
      </c>
      <c r="C4076" s="173" t="s">
        <v>4460</v>
      </c>
      <c r="D4076" s="173" t="s">
        <v>470</v>
      </c>
      <c r="E4076">
        <v>1</v>
      </c>
    </row>
    <row r="4077" spans="1:5" hidden="1" x14ac:dyDescent="0.25">
      <c r="A4077" s="173" t="s">
        <v>514</v>
      </c>
      <c r="B4077">
        <v>35740</v>
      </c>
      <c r="C4077" s="173" t="s">
        <v>4461</v>
      </c>
      <c r="D4077" s="173" t="s">
        <v>470</v>
      </c>
      <c r="E4077">
        <v>1</v>
      </c>
    </row>
    <row r="4078" spans="1:5" hidden="1" x14ac:dyDescent="0.25">
      <c r="A4078" s="173" t="s">
        <v>514</v>
      </c>
      <c r="B4078">
        <v>35740</v>
      </c>
      <c r="C4078" s="173" t="s">
        <v>4462</v>
      </c>
      <c r="D4078" s="173" t="s">
        <v>470</v>
      </c>
      <c r="E4078">
        <v>1</v>
      </c>
    </row>
    <row r="4079" spans="1:5" hidden="1" x14ac:dyDescent="0.25">
      <c r="A4079" s="173" t="s">
        <v>514</v>
      </c>
      <c r="B4079">
        <v>35740</v>
      </c>
      <c r="C4079" s="173" t="s">
        <v>4463</v>
      </c>
      <c r="D4079" s="173" t="s">
        <v>470</v>
      </c>
      <c r="E4079">
        <v>1</v>
      </c>
    </row>
    <row r="4080" spans="1:5" hidden="1" x14ac:dyDescent="0.25">
      <c r="A4080" s="173" t="s">
        <v>514</v>
      </c>
      <c r="B4080">
        <v>35740</v>
      </c>
      <c r="C4080" s="173" t="s">
        <v>4464</v>
      </c>
      <c r="D4080" s="173" t="s">
        <v>470</v>
      </c>
      <c r="E4080">
        <v>1</v>
      </c>
    </row>
    <row r="4081" spans="1:5" hidden="1" x14ac:dyDescent="0.25">
      <c r="A4081" s="173" t="s">
        <v>514</v>
      </c>
      <c r="B4081">
        <v>35740</v>
      </c>
      <c r="C4081" s="173" t="s">
        <v>4465</v>
      </c>
      <c r="D4081" s="173" t="s">
        <v>470</v>
      </c>
      <c r="E4081">
        <v>1</v>
      </c>
    </row>
    <row r="4082" spans="1:5" hidden="1" x14ac:dyDescent="0.25">
      <c r="A4082" s="173" t="s">
        <v>514</v>
      </c>
      <c r="B4082">
        <v>35740</v>
      </c>
      <c r="C4082" s="173" t="s">
        <v>4466</v>
      </c>
      <c r="D4082" s="173" t="s">
        <v>470</v>
      </c>
      <c r="E4082">
        <v>1</v>
      </c>
    </row>
    <row r="4083" spans="1:5" hidden="1" x14ac:dyDescent="0.25">
      <c r="A4083" s="173" t="s">
        <v>514</v>
      </c>
      <c r="B4083">
        <v>35740</v>
      </c>
      <c r="C4083" s="173" t="s">
        <v>4467</v>
      </c>
      <c r="D4083" s="173" t="s">
        <v>470</v>
      </c>
      <c r="E4083">
        <v>1</v>
      </c>
    </row>
    <row r="4084" spans="1:5" hidden="1" x14ac:dyDescent="0.25">
      <c r="A4084" s="173" t="s">
        <v>514</v>
      </c>
      <c r="B4084">
        <v>35740</v>
      </c>
      <c r="C4084" s="173" t="s">
        <v>4468</v>
      </c>
      <c r="D4084" s="173" t="s">
        <v>470</v>
      </c>
      <c r="E4084">
        <v>1</v>
      </c>
    </row>
    <row r="4085" spans="1:5" hidden="1" x14ac:dyDescent="0.25">
      <c r="A4085" s="173" t="s">
        <v>514</v>
      </c>
      <c r="B4085">
        <v>35740</v>
      </c>
      <c r="C4085" s="173" t="s">
        <v>4469</v>
      </c>
      <c r="D4085" s="173" t="s">
        <v>470</v>
      </c>
      <c r="E4085">
        <v>1</v>
      </c>
    </row>
    <row r="4086" spans="1:5" hidden="1" x14ac:dyDescent="0.25">
      <c r="A4086" s="173" t="s">
        <v>514</v>
      </c>
      <c r="B4086">
        <v>35740</v>
      </c>
      <c r="C4086" s="173" t="s">
        <v>4470</v>
      </c>
      <c r="D4086" s="173" t="s">
        <v>470</v>
      </c>
      <c r="E4086">
        <v>1</v>
      </c>
    </row>
    <row r="4087" spans="1:5" hidden="1" x14ac:dyDescent="0.25">
      <c r="A4087" s="173" t="s">
        <v>514</v>
      </c>
      <c r="B4087">
        <v>35740</v>
      </c>
      <c r="C4087" s="173" t="s">
        <v>4471</v>
      </c>
      <c r="D4087" s="173" t="s">
        <v>470</v>
      </c>
      <c r="E4087">
        <v>1</v>
      </c>
    </row>
    <row r="4088" spans="1:5" hidden="1" x14ac:dyDescent="0.25">
      <c r="A4088" s="173" t="s">
        <v>514</v>
      </c>
      <c r="B4088">
        <v>35740</v>
      </c>
      <c r="C4088" s="173" t="s">
        <v>4472</v>
      </c>
      <c r="D4088" s="173" t="s">
        <v>470</v>
      </c>
      <c r="E4088">
        <v>1</v>
      </c>
    </row>
    <row r="4089" spans="1:5" hidden="1" x14ac:dyDescent="0.25">
      <c r="A4089" s="173" t="s">
        <v>514</v>
      </c>
      <c r="B4089">
        <v>35740</v>
      </c>
      <c r="C4089" s="173" t="s">
        <v>4473</v>
      </c>
      <c r="D4089" s="173" t="s">
        <v>470</v>
      </c>
      <c r="E4089">
        <v>1</v>
      </c>
    </row>
    <row r="4090" spans="1:5" hidden="1" x14ac:dyDescent="0.25">
      <c r="A4090" s="173" t="s">
        <v>514</v>
      </c>
      <c r="B4090">
        <v>35740</v>
      </c>
      <c r="C4090" s="173" t="s">
        <v>4474</v>
      </c>
      <c r="D4090" s="173" t="s">
        <v>470</v>
      </c>
      <c r="E4090">
        <v>1</v>
      </c>
    </row>
    <row r="4091" spans="1:5" hidden="1" x14ac:dyDescent="0.25">
      <c r="A4091" s="173" t="s">
        <v>514</v>
      </c>
      <c r="B4091">
        <v>35762</v>
      </c>
      <c r="C4091" s="173" t="s">
        <v>2956</v>
      </c>
      <c r="D4091" s="173" t="s">
        <v>470</v>
      </c>
      <c r="E4091">
        <v>1</v>
      </c>
    </row>
    <row r="4092" spans="1:5" hidden="1" x14ac:dyDescent="0.25">
      <c r="A4092" s="173" t="s">
        <v>514</v>
      </c>
      <c r="B4092">
        <v>35762</v>
      </c>
      <c r="C4092" s="173" t="s">
        <v>2957</v>
      </c>
      <c r="D4092" s="173" t="s">
        <v>470</v>
      </c>
      <c r="E4092">
        <v>1</v>
      </c>
    </row>
    <row r="4093" spans="1:5" hidden="1" x14ac:dyDescent="0.25">
      <c r="A4093" s="173" t="s">
        <v>514</v>
      </c>
      <c r="B4093">
        <v>35762</v>
      </c>
      <c r="C4093" s="173" t="s">
        <v>2958</v>
      </c>
      <c r="D4093" s="173" t="s">
        <v>470</v>
      </c>
      <c r="E4093">
        <v>1</v>
      </c>
    </row>
    <row r="4094" spans="1:5" hidden="1" x14ac:dyDescent="0.25">
      <c r="A4094" s="173" t="s">
        <v>514</v>
      </c>
      <c r="B4094">
        <v>35762</v>
      </c>
      <c r="C4094" s="173" t="s">
        <v>2959</v>
      </c>
      <c r="D4094" s="173" t="s">
        <v>470</v>
      </c>
      <c r="E4094">
        <v>1</v>
      </c>
    </row>
    <row r="4095" spans="1:5" hidden="1" x14ac:dyDescent="0.25">
      <c r="A4095" s="173" t="s">
        <v>514</v>
      </c>
      <c r="B4095">
        <v>35762</v>
      </c>
      <c r="C4095" s="173" t="s">
        <v>2960</v>
      </c>
      <c r="D4095" s="173" t="s">
        <v>470</v>
      </c>
      <c r="E4095">
        <v>1</v>
      </c>
    </row>
    <row r="4096" spans="1:5" hidden="1" x14ac:dyDescent="0.25">
      <c r="A4096" s="173" t="s">
        <v>514</v>
      </c>
      <c r="B4096">
        <v>35762</v>
      </c>
      <c r="C4096" s="173" t="s">
        <v>2961</v>
      </c>
      <c r="D4096" s="173" t="s">
        <v>470</v>
      </c>
      <c r="E4096">
        <v>1</v>
      </c>
    </row>
    <row r="4097" spans="1:5" hidden="1" x14ac:dyDescent="0.25">
      <c r="A4097" s="173" t="s">
        <v>514</v>
      </c>
      <c r="B4097">
        <v>35762</v>
      </c>
      <c r="C4097" s="173" t="s">
        <v>2962</v>
      </c>
      <c r="D4097" s="173" t="s">
        <v>470</v>
      </c>
      <c r="E4097">
        <v>1</v>
      </c>
    </row>
    <row r="4098" spans="1:5" hidden="1" x14ac:dyDescent="0.25">
      <c r="A4098" s="173" t="s">
        <v>514</v>
      </c>
      <c r="B4098">
        <v>35762</v>
      </c>
      <c r="C4098" s="173" t="s">
        <v>2963</v>
      </c>
      <c r="D4098" s="173" t="s">
        <v>470</v>
      </c>
      <c r="E4098">
        <v>1</v>
      </c>
    </row>
    <row r="4099" spans="1:5" hidden="1" x14ac:dyDescent="0.25">
      <c r="A4099" s="173" t="s">
        <v>514</v>
      </c>
      <c r="B4099">
        <v>35806</v>
      </c>
      <c r="C4099" s="173" t="s">
        <v>2964</v>
      </c>
      <c r="D4099" s="173" t="s">
        <v>470</v>
      </c>
      <c r="E4099">
        <v>2</v>
      </c>
    </row>
    <row r="4100" spans="1:5" hidden="1" x14ac:dyDescent="0.25">
      <c r="A4100" s="173" t="s">
        <v>514</v>
      </c>
      <c r="B4100">
        <v>35806</v>
      </c>
      <c r="C4100" s="173" t="s">
        <v>2965</v>
      </c>
      <c r="D4100" s="173" t="s">
        <v>470</v>
      </c>
      <c r="E4100">
        <v>2</v>
      </c>
    </row>
    <row r="4101" spans="1:5" hidden="1" x14ac:dyDescent="0.25">
      <c r="A4101" s="173" t="s">
        <v>514</v>
      </c>
      <c r="B4101">
        <v>35806</v>
      </c>
      <c r="C4101" s="173" t="s">
        <v>2966</v>
      </c>
      <c r="D4101" s="173" t="s">
        <v>470</v>
      </c>
      <c r="E4101">
        <v>2</v>
      </c>
    </row>
    <row r="4102" spans="1:5" hidden="1" x14ac:dyDescent="0.25">
      <c r="A4102" s="173" t="s">
        <v>514</v>
      </c>
      <c r="B4102">
        <v>35806</v>
      </c>
      <c r="C4102" s="173" t="s">
        <v>2967</v>
      </c>
      <c r="D4102" s="173" t="s">
        <v>470</v>
      </c>
      <c r="E4102">
        <v>2</v>
      </c>
    </row>
    <row r="4103" spans="1:5" hidden="1" x14ac:dyDescent="0.25">
      <c r="A4103" s="173" t="s">
        <v>514</v>
      </c>
      <c r="B4103">
        <v>35806</v>
      </c>
      <c r="C4103" s="173" t="s">
        <v>2968</v>
      </c>
      <c r="D4103" s="173" t="s">
        <v>470</v>
      </c>
      <c r="E4103">
        <v>2</v>
      </c>
    </row>
    <row r="4104" spans="1:5" hidden="1" x14ac:dyDescent="0.25">
      <c r="A4104" s="173" t="s">
        <v>514</v>
      </c>
      <c r="B4104">
        <v>35806</v>
      </c>
      <c r="C4104" s="173" t="s">
        <v>2969</v>
      </c>
      <c r="D4104" s="173" t="s">
        <v>470</v>
      </c>
      <c r="E4104">
        <v>2</v>
      </c>
    </row>
    <row r="4105" spans="1:5" hidden="1" x14ac:dyDescent="0.25">
      <c r="A4105" s="173" t="s">
        <v>514</v>
      </c>
      <c r="B4105">
        <v>35806</v>
      </c>
      <c r="C4105" s="173" t="s">
        <v>2970</v>
      </c>
      <c r="D4105" s="173" t="s">
        <v>470</v>
      </c>
      <c r="E4105">
        <v>2</v>
      </c>
    </row>
    <row r="4106" spans="1:5" hidden="1" x14ac:dyDescent="0.25">
      <c r="A4106" s="173" t="s">
        <v>514</v>
      </c>
      <c r="B4106">
        <v>35806</v>
      </c>
      <c r="C4106" s="173" t="s">
        <v>2971</v>
      </c>
      <c r="D4106" s="173" t="s">
        <v>470</v>
      </c>
      <c r="E4106">
        <v>2</v>
      </c>
    </row>
    <row r="4107" spans="1:5" hidden="1" x14ac:dyDescent="0.25">
      <c r="A4107" s="173" t="s">
        <v>2936</v>
      </c>
      <c r="B4107">
        <v>35849</v>
      </c>
      <c r="C4107" s="173" t="s">
        <v>4475</v>
      </c>
      <c r="D4107" s="173" t="s">
        <v>470</v>
      </c>
      <c r="E4107">
        <v>1</v>
      </c>
    </row>
    <row r="4108" spans="1:5" hidden="1" x14ac:dyDescent="0.25">
      <c r="A4108" s="173" t="s">
        <v>2936</v>
      </c>
      <c r="B4108">
        <v>35849</v>
      </c>
      <c r="C4108" s="173" t="s">
        <v>4476</v>
      </c>
      <c r="D4108" s="173" t="s">
        <v>470</v>
      </c>
      <c r="E4108">
        <v>1</v>
      </c>
    </row>
    <row r="4109" spans="1:5" hidden="1" x14ac:dyDescent="0.25">
      <c r="A4109" s="173" t="s">
        <v>2936</v>
      </c>
      <c r="B4109">
        <v>35849</v>
      </c>
      <c r="C4109" s="173" t="s">
        <v>4477</v>
      </c>
      <c r="D4109" s="173" t="s">
        <v>470</v>
      </c>
      <c r="E4109">
        <v>1</v>
      </c>
    </row>
    <row r="4110" spans="1:5" hidden="1" x14ac:dyDescent="0.25">
      <c r="A4110" s="173" t="s">
        <v>2936</v>
      </c>
      <c r="B4110">
        <v>35849</v>
      </c>
      <c r="C4110" s="173" t="s">
        <v>4478</v>
      </c>
      <c r="D4110" s="173" t="s">
        <v>470</v>
      </c>
      <c r="E4110">
        <v>1</v>
      </c>
    </row>
    <row r="4111" spans="1:5" hidden="1" x14ac:dyDescent="0.25">
      <c r="A4111" s="173" t="s">
        <v>2936</v>
      </c>
      <c r="B4111">
        <v>35849</v>
      </c>
      <c r="C4111" s="173" t="s">
        <v>4479</v>
      </c>
      <c r="D4111" s="173" t="s">
        <v>470</v>
      </c>
      <c r="E4111">
        <v>1</v>
      </c>
    </row>
    <row r="4112" spans="1:5" hidden="1" x14ac:dyDescent="0.25">
      <c r="A4112" s="173" t="s">
        <v>2936</v>
      </c>
      <c r="B4112">
        <v>35849</v>
      </c>
      <c r="C4112" s="173" t="s">
        <v>4480</v>
      </c>
      <c r="D4112" s="173" t="s">
        <v>470</v>
      </c>
      <c r="E4112">
        <v>1</v>
      </c>
    </row>
    <row r="4113" spans="1:5" hidden="1" x14ac:dyDescent="0.25">
      <c r="A4113" s="173" t="s">
        <v>2936</v>
      </c>
      <c r="B4113">
        <v>35849</v>
      </c>
      <c r="C4113" s="173" t="s">
        <v>4481</v>
      </c>
      <c r="D4113" s="173" t="s">
        <v>470</v>
      </c>
      <c r="E4113">
        <v>1</v>
      </c>
    </row>
    <row r="4114" spans="1:5" hidden="1" x14ac:dyDescent="0.25">
      <c r="A4114" s="173" t="s">
        <v>2936</v>
      </c>
      <c r="B4114">
        <v>35849</v>
      </c>
      <c r="C4114" s="173" t="s">
        <v>4482</v>
      </c>
      <c r="D4114" s="173" t="s">
        <v>470</v>
      </c>
      <c r="E4114">
        <v>1</v>
      </c>
    </row>
    <row r="4115" spans="1:5" hidden="1" x14ac:dyDescent="0.25">
      <c r="A4115" s="173" t="s">
        <v>2936</v>
      </c>
      <c r="B4115">
        <v>35849</v>
      </c>
      <c r="C4115" s="173" t="s">
        <v>4483</v>
      </c>
      <c r="D4115" s="173" t="s">
        <v>470</v>
      </c>
      <c r="E4115">
        <v>1</v>
      </c>
    </row>
    <row r="4116" spans="1:5" hidden="1" x14ac:dyDescent="0.25">
      <c r="A4116" s="173" t="s">
        <v>2936</v>
      </c>
      <c r="B4116">
        <v>35849</v>
      </c>
      <c r="C4116" s="173" t="s">
        <v>4484</v>
      </c>
      <c r="D4116" s="173" t="s">
        <v>470</v>
      </c>
      <c r="E4116">
        <v>1</v>
      </c>
    </row>
    <row r="4117" spans="1:5" hidden="1" x14ac:dyDescent="0.25">
      <c r="A4117" s="173" t="s">
        <v>2936</v>
      </c>
      <c r="B4117">
        <v>35849</v>
      </c>
      <c r="C4117" s="173" t="s">
        <v>4485</v>
      </c>
      <c r="D4117" s="173" t="s">
        <v>470</v>
      </c>
      <c r="E4117">
        <v>1</v>
      </c>
    </row>
    <row r="4118" spans="1:5" hidden="1" x14ac:dyDescent="0.25">
      <c r="A4118" s="173" t="s">
        <v>2936</v>
      </c>
      <c r="B4118">
        <v>35849</v>
      </c>
      <c r="C4118" s="173" t="s">
        <v>4486</v>
      </c>
      <c r="D4118" s="173" t="s">
        <v>470</v>
      </c>
      <c r="E4118">
        <v>1</v>
      </c>
    </row>
    <row r="4119" spans="1:5" hidden="1" x14ac:dyDescent="0.25">
      <c r="A4119" s="173" t="s">
        <v>2936</v>
      </c>
      <c r="B4119">
        <v>35849</v>
      </c>
      <c r="C4119" s="173" t="s">
        <v>4487</v>
      </c>
      <c r="D4119" s="173" t="s">
        <v>470</v>
      </c>
      <c r="E4119">
        <v>1</v>
      </c>
    </row>
    <row r="4120" spans="1:5" hidden="1" x14ac:dyDescent="0.25">
      <c r="A4120" s="173" t="s">
        <v>514</v>
      </c>
      <c r="B4120">
        <v>35858</v>
      </c>
      <c r="C4120" s="173" t="s">
        <v>2972</v>
      </c>
      <c r="D4120" s="173" t="s">
        <v>470</v>
      </c>
      <c r="E4120">
        <v>1</v>
      </c>
    </row>
    <row r="4121" spans="1:5" hidden="1" x14ac:dyDescent="0.25">
      <c r="A4121" s="173" t="s">
        <v>514</v>
      </c>
      <c r="B4121">
        <v>35858</v>
      </c>
      <c r="C4121" s="173" t="s">
        <v>2973</v>
      </c>
      <c r="D4121" s="173" t="s">
        <v>470</v>
      </c>
      <c r="E4121">
        <v>1</v>
      </c>
    </row>
    <row r="4122" spans="1:5" hidden="1" x14ac:dyDescent="0.25">
      <c r="A4122" s="173" t="s">
        <v>514</v>
      </c>
      <c r="B4122">
        <v>35858</v>
      </c>
      <c r="C4122" s="173" t="s">
        <v>2974</v>
      </c>
      <c r="D4122" s="173" t="s">
        <v>470</v>
      </c>
      <c r="E4122">
        <v>1</v>
      </c>
    </row>
    <row r="4123" spans="1:5" hidden="1" x14ac:dyDescent="0.25">
      <c r="A4123" s="173" t="s">
        <v>514</v>
      </c>
      <c r="B4123">
        <v>35858</v>
      </c>
      <c r="C4123" s="173" t="s">
        <v>2975</v>
      </c>
      <c r="D4123" s="173" t="s">
        <v>470</v>
      </c>
      <c r="E4123">
        <v>1</v>
      </c>
    </row>
    <row r="4124" spans="1:5" hidden="1" x14ac:dyDescent="0.25">
      <c r="A4124" s="173" t="s">
        <v>514</v>
      </c>
      <c r="B4124">
        <v>35858</v>
      </c>
      <c r="C4124" s="173" t="s">
        <v>2976</v>
      </c>
      <c r="D4124" s="173" t="s">
        <v>470</v>
      </c>
      <c r="E4124">
        <v>1</v>
      </c>
    </row>
    <row r="4125" spans="1:5" hidden="1" x14ac:dyDescent="0.25">
      <c r="A4125" s="173" t="s">
        <v>514</v>
      </c>
      <c r="B4125">
        <v>35858</v>
      </c>
      <c r="C4125" s="173" t="s">
        <v>2977</v>
      </c>
      <c r="D4125" s="173" t="s">
        <v>470</v>
      </c>
      <c r="E4125">
        <v>1</v>
      </c>
    </row>
    <row r="4126" spans="1:5" hidden="1" x14ac:dyDescent="0.25">
      <c r="A4126" s="173" t="s">
        <v>514</v>
      </c>
      <c r="B4126">
        <v>35858</v>
      </c>
      <c r="C4126" s="173" t="s">
        <v>2978</v>
      </c>
      <c r="D4126" s="173" t="s">
        <v>470</v>
      </c>
      <c r="E4126">
        <v>1</v>
      </c>
    </row>
    <row r="4127" spans="1:5" hidden="1" x14ac:dyDescent="0.25">
      <c r="A4127" s="173" t="s">
        <v>514</v>
      </c>
      <c r="B4127">
        <v>35858</v>
      </c>
      <c r="C4127" s="173" t="s">
        <v>2979</v>
      </c>
      <c r="D4127" s="173" t="s">
        <v>470</v>
      </c>
      <c r="E4127">
        <v>1</v>
      </c>
    </row>
    <row r="4128" spans="1:5" hidden="1" x14ac:dyDescent="0.25">
      <c r="A4128" s="173" t="s">
        <v>514</v>
      </c>
      <c r="B4128">
        <v>35858</v>
      </c>
      <c r="C4128" s="173" t="s">
        <v>2980</v>
      </c>
      <c r="D4128" s="173" t="s">
        <v>470</v>
      </c>
      <c r="E4128">
        <v>1</v>
      </c>
    </row>
    <row r="4129" spans="1:5" hidden="1" x14ac:dyDescent="0.25">
      <c r="A4129" s="173" t="s">
        <v>514</v>
      </c>
      <c r="B4129">
        <v>35858</v>
      </c>
      <c r="C4129" s="173" t="s">
        <v>2981</v>
      </c>
      <c r="D4129" s="173" t="s">
        <v>470</v>
      </c>
      <c r="E4129">
        <v>1</v>
      </c>
    </row>
    <row r="4130" spans="1:5" hidden="1" x14ac:dyDescent="0.25">
      <c r="A4130" s="173" t="s">
        <v>514</v>
      </c>
      <c r="B4130">
        <v>35858</v>
      </c>
      <c r="C4130" s="173" t="s">
        <v>2982</v>
      </c>
      <c r="D4130" s="173" t="s">
        <v>470</v>
      </c>
      <c r="E4130">
        <v>1</v>
      </c>
    </row>
    <row r="4131" spans="1:5" hidden="1" x14ac:dyDescent="0.25">
      <c r="A4131" s="173" t="s">
        <v>514</v>
      </c>
      <c r="B4131">
        <v>35858</v>
      </c>
      <c r="C4131" s="173" t="s">
        <v>2983</v>
      </c>
      <c r="D4131" s="173" t="s">
        <v>470</v>
      </c>
      <c r="E4131">
        <v>1</v>
      </c>
    </row>
    <row r="4132" spans="1:5" hidden="1" x14ac:dyDescent="0.25">
      <c r="A4132" s="173" t="s">
        <v>514</v>
      </c>
      <c r="B4132">
        <v>35858</v>
      </c>
      <c r="C4132" s="173" t="s">
        <v>2984</v>
      </c>
      <c r="D4132" s="173" t="s">
        <v>470</v>
      </c>
      <c r="E4132">
        <v>1</v>
      </c>
    </row>
    <row r="4133" spans="1:5" hidden="1" x14ac:dyDescent="0.25">
      <c r="A4133" s="173" t="s">
        <v>514</v>
      </c>
      <c r="B4133">
        <v>35858</v>
      </c>
      <c r="C4133" s="173" t="s">
        <v>2985</v>
      </c>
      <c r="D4133" s="173" t="s">
        <v>470</v>
      </c>
      <c r="E4133">
        <v>1</v>
      </c>
    </row>
    <row r="4134" spans="1:5" hidden="1" x14ac:dyDescent="0.25">
      <c r="A4134" s="173" t="s">
        <v>514</v>
      </c>
      <c r="B4134">
        <v>35902</v>
      </c>
      <c r="C4134" s="173" t="s">
        <v>2986</v>
      </c>
      <c r="D4134" s="173" t="s">
        <v>2307</v>
      </c>
      <c r="E4134">
        <v>1</v>
      </c>
    </row>
    <row r="4135" spans="1:5" hidden="1" x14ac:dyDescent="0.25">
      <c r="A4135" s="173" t="s">
        <v>514</v>
      </c>
      <c r="B4135">
        <v>35902</v>
      </c>
      <c r="C4135" s="173" t="s">
        <v>2987</v>
      </c>
      <c r="D4135" s="173" t="s">
        <v>2307</v>
      </c>
      <c r="E4135">
        <v>1</v>
      </c>
    </row>
    <row r="4136" spans="1:5" hidden="1" x14ac:dyDescent="0.25">
      <c r="A4136" s="173" t="s">
        <v>514</v>
      </c>
      <c r="B4136">
        <v>35902</v>
      </c>
      <c r="C4136" s="173" t="s">
        <v>2988</v>
      </c>
      <c r="D4136" s="173" t="s">
        <v>2307</v>
      </c>
      <c r="E4136">
        <v>1</v>
      </c>
    </row>
    <row r="4137" spans="1:5" hidden="1" x14ac:dyDescent="0.25">
      <c r="A4137" s="173" t="s">
        <v>514</v>
      </c>
      <c r="B4137">
        <v>35902</v>
      </c>
      <c r="C4137" s="173" t="s">
        <v>2989</v>
      </c>
      <c r="D4137" s="173" t="s">
        <v>2307</v>
      </c>
      <c r="E4137">
        <v>1</v>
      </c>
    </row>
    <row r="4138" spans="1:5" hidden="1" x14ac:dyDescent="0.25">
      <c r="A4138" s="173" t="s">
        <v>514</v>
      </c>
      <c r="B4138">
        <v>35902</v>
      </c>
      <c r="C4138" s="173" t="s">
        <v>2990</v>
      </c>
      <c r="D4138" s="173" t="s">
        <v>2307</v>
      </c>
      <c r="E4138">
        <v>1</v>
      </c>
    </row>
    <row r="4139" spans="1:5" hidden="1" x14ac:dyDescent="0.25">
      <c r="A4139" s="173" t="s">
        <v>514</v>
      </c>
      <c r="B4139">
        <v>35902</v>
      </c>
      <c r="C4139" s="173" t="s">
        <v>2991</v>
      </c>
      <c r="D4139" s="173" t="s">
        <v>2307</v>
      </c>
      <c r="E4139">
        <v>1</v>
      </c>
    </row>
    <row r="4140" spans="1:5" hidden="1" x14ac:dyDescent="0.25">
      <c r="A4140" s="173" t="s">
        <v>514</v>
      </c>
      <c r="B4140">
        <v>35902</v>
      </c>
      <c r="C4140" s="173" t="s">
        <v>2992</v>
      </c>
      <c r="D4140" s="173" t="s">
        <v>2307</v>
      </c>
      <c r="E4140">
        <v>1</v>
      </c>
    </row>
    <row r="4141" spans="1:5" hidden="1" x14ac:dyDescent="0.25">
      <c r="A4141" s="173" t="s">
        <v>514</v>
      </c>
      <c r="B4141">
        <v>35902</v>
      </c>
      <c r="C4141" s="173" t="s">
        <v>2993</v>
      </c>
      <c r="D4141" s="173" t="s">
        <v>2307</v>
      </c>
      <c r="E4141">
        <v>1</v>
      </c>
    </row>
    <row r="4142" spans="1:5" hidden="1" x14ac:dyDescent="0.25">
      <c r="A4142" s="173" t="s">
        <v>514</v>
      </c>
      <c r="B4142">
        <v>35902</v>
      </c>
      <c r="C4142" s="173" t="s">
        <v>2994</v>
      </c>
      <c r="D4142" s="173" t="s">
        <v>2307</v>
      </c>
      <c r="E4142">
        <v>1</v>
      </c>
    </row>
    <row r="4143" spans="1:5" hidden="1" x14ac:dyDescent="0.25">
      <c r="A4143" s="173" t="s">
        <v>514</v>
      </c>
      <c r="B4143">
        <v>35902</v>
      </c>
      <c r="C4143" s="173" t="s">
        <v>2995</v>
      </c>
      <c r="D4143" s="173" t="s">
        <v>2307</v>
      </c>
      <c r="E4143">
        <v>1</v>
      </c>
    </row>
    <row r="4144" spans="1:5" hidden="1" x14ac:dyDescent="0.25">
      <c r="A4144" s="173" t="s">
        <v>514</v>
      </c>
      <c r="B4144">
        <v>35902</v>
      </c>
      <c r="C4144" s="173" t="s">
        <v>2996</v>
      </c>
      <c r="D4144" s="173" t="s">
        <v>2307</v>
      </c>
      <c r="E4144">
        <v>1</v>
      </c>
    </row>
    <row r="4145" spans="1:5" hidden="1" x14ac:dyDescent="0.25">
      <c r="A4145" s="173" t="s">
        <v>514</v>
      </c>
      <c r="B4145">
        <v>35902</v>
      </c>
      <c r="C4145" s="173" t="s">
        <v>4488</v>
      </c>
      <c r="D4145" s="173" t="s">
        <v>2307</v>
      </c>
      <c r="E4145">
        <v>1</v>
      </c>
    </row>
    <row r="4146" spans="1:5" hidden="1" x14ac:dyDescent="0.25">
      <c r="A4146" s="173" t="s">
        <v>514</v>
      </c>
      <c r="B4146">
        <v>35902</v>
      </c>
      <c r="C4146" s="173" t="s">
        <v>4489</v>
      </c>
      <c r="D4146" s="173" t="s">
        <v>2307</v>
      </c>
      <c r="E4146">
        <v>1</v>
      </c>
    </row>
    <row r="4147" spans="1:5" hidden="1" x14ac:dyDescent="0.25">
      <c r="A4147" s="173" t="s">
        <v>514</v>
      </c>
      <c r="B4147">
        <v>35915</v>
      </c>
      <c r="C4147" s="173" t="s">
        <v>2997</v>
      </c>
      <c r="D4147" s="173" t="s">
        <v>470</v>
      </c>
      <c r="E4147">
        <v>1</v>
      </c>
    </row>
    <row r="4148" spans="1:5" hidden="1" x14ac:dyDescent="0.25">
      <c r="A4148" s="173" t="s">
        <v>514</v>
      </c>
      <c r="B4148">
        <v>35915</v>
      </c>
      <c r="C4148" s="173" t="s">
        <v>2998</v>
      </c>
      <c r="D4148" s="173" t="s">
        <v>470</v>
      </c>
      <c r="E4148">
        <v>1</v>
      </c>
    </row>
    <row r="4149" spans="1:5" hidden="1" x14ac:dyDescent="0.25">
      <c r="A4149" s="173" t="s">
        <v>514</v>
      </c>
      <c r="B4149">
        <v>35958</v>
      </c>
      <c r="C4149" s="173" t="s">
        <v>2999</v>
      </c>
      <c r="D4149" s="173" t="s">
        <v>470</v>
      </c>
      <c r="E4149">
        <v>1</v>
      </c>
    </row>
    <row r="4150" spans="1:5" hidden="1" x14ac:dyDescent="0.25">
      <c r="A4150" s="173" t="s">
        <v>514</v>
      </c>
      <c r="B4150">
        <v>35958</v>
      </c>
      <c r="C4150" s="173" t="s">
        <v>3000</v>
      </c>
      <c r="D4150" s="173" t="s">
        <v>470</v>
      </c>
      <c r="E4150">
        <v>1</v>
      </c>
    </row>
    <row r="4151" spans="1:5" hidden="1" x14ac:dyDescent="0.25">
      <c r="A4151" s="173" t="s">
        <v>514</v>
      </c>
      <c r="B4151">
        <v>35958</v>
      </c>
      <c r="C4151" s="173" t="s">
        <v>3001</v>
      </c>
      <c r="D4151" s="173" t="s">
        <v>470</v>
      </c>
      <c r="E4151">
        <v>1</v>
      </c>
    </row>
    <row r="4152" spans="1:5" hidden="1" x14ac:dyDescent="0.25">
      <c r="A4152" s="173" t="s">
        <v>514</v>
      </c>
      <c r="B4152">
        <v>35958</v>
      </c>
      <c r="C4152" s="173" t="s">
        <v>3002</v>
      </c>
      <c r="D4152" s="173" t="s">
        <v>470</v>
      </c>
      <c r="E4152">
        <v>1</v>
      </c>
    </row>
    <row r="4153" spans="1:5" hidden="1" x14ac:dyDescent="0.25">
      <c r="A4153" s="173" t="s">
        <v>514</v>
      </c>
      <c r="B4153">
        <v>35958</v>
      </c>
      <c r="C4153" s="173" t="s">
        <v>3003</v>
      </c>
      <c r="D4153" s="173" t="s">
        <v>470</v>
      </c>
      <c r="E4153">
        <v>1</v>
      </c>
    </row>
    <row r="4154" spans="1:5" hidden="1" x14ac:dyDescent="0.25">
      <c r="A4154" s="173" t="s">
        <v>514</v>
      </c>
      <c r="B4154">
        <v>35968</v>
      </c>
      <c r="C4154" s="173" t="s">
        <v>3004</v>
      </c>
      <c r="D4154" s="173" t="s">
        <v>470</v>
      </c>
      <c r="E4154">
        <v>1</v>
      </c>
    </row>
    <row r="4155" spans="1:5" hidden="1" x14ac:dyDescent="0.25">
      <c r="A4155" s="173" t="s">
        <v>514</v>
      </c>
      <c r="B4155">
        <v>35968</v>
      </c>
      <c r="C4155" s="173" t="s">
        <v>3005</v>
      </c>
      <c r="D4155" s="173" t="s">
        <v>470</v>
      </c>
      <c r="E4155">
        <v>1</v>
      </c>
    </row>
    <row r="4156" spans="1:5" hidden="1" x14ac:dyDescent="0.25">
      <c r="A4156" s="173" t="s">
        <v>514</v>
      </c>
      <c r="B4156">
        <v>35968</v>
      </c>
      <c r="C4156" s="173" t="s">
        <v>3006</v>
      </c>
      <c r="D4156" s="173" t="s">
        <v>470</v>
      </c>
      <c r="E4156">
        <v>1</v>
      </c>
    </row>
    <row r="4157" spans="1:5" hidden="1" x14ac:dyDescent="0.25">
      <c r="A4157" s="173" t="s">
        <v>514</v>
      </c>
      <c r="B4157">
        <v>35968</v>
      </c>
      <c r="C4157" s="173" t="s">
        <v>3007</v>
      </c>
      <c r="D4157" s="173" t="s">
        <v>470</v>
      </c>
      <c r="E4157">
        <v>1</v>
      </c>
    </row>
    <row r="4158" spans="1:5" hidden="1" x14ac:dyDescent="0.25">
      <c r="A4158" s="173" t="s">
        <v>514</v>
      </c>
      <c r="B4158">
        <v>35968</v>
      </c>
      <c r="C4158" s="173" t="s">
        <v>3008</v>
      </c>
      <c r="D4158" s="173" t="s">
        <v>470</v>
      </c>
      <c r="E4158">
        <v>1</v>
      </c>
    </row>
    <row r="4159" spans="1:5" hidden="1" x14ac:dyDescent="0.25">
      <c r="A4159" s="173" t="s">
        <v>514</v>
      </c>
      <c r="B4159">
        <v>35968</v>
      </c>
      <c r="C4159" s="173" t="s">
        <v>3009</v>
      </c>
      <c r="D4159" s="173" t="s">
        <v>470</v>
      </c>
      <c r="E4159">
        <v>1</v>
      </c>
    </row>
    <row r="4160" spans="1:5" hidden="1" x14ac:dyDescent="0.25">
      <c r="A4160" s="173" t="s">
        <v>514</v>
      </c>
      <c r="B4160">
        <v>35968</v>
      </c>
      <c r="C4160" s="173" t="s">
        <v>3010</v>
      </c>
      <c r="D4160" s="173" t="s">
        <v>470</v>
      </c>
      <c r="E4160">
        <v>1</v>
      </c>
    </row>
    <row r="4161" spans="1:5" hidden="1" x14ac:dyDescent="0.25">
      <c r="A4161" s="173" t="s">
        <v>514</v>
      </c>
      <c r="B4161">
        <v>35968</v>
      </c>
      <c r="C4161" s="173" t="s">
        <v>3011</v>
      </c>
      <c r="D4161" s="173" t="s">
        <v>470</v>
      </c>
      <c r="E4161">
        <v>1</v>
      </c>
    </row>
    <row r="4162" spans="1:5" hidden="1" x14ac:dyDescent="0.25">
      <c r="A4162" s="173" t="s">
        <v>514</v>
      </c>
      <c r="B4162">
        <v>35968</v>
      </c>
      <c r="C4162" s="173" t="s">
        <v>3012</v>
      </c>
      <c r="D4162" s="173" t="s">
        <v>470</v>
      </c>
      <c r="E4162">
        <v>1</v>
      </c>
    </row>
    <row r="4163" spans="1:5" hidden="1" x14ac:dyDescent="0.25">
      <c r="A4163" s="173" t="s">
        <v>1668</v>
      </c>
      <c r="B4163">
        <v>36118</v>
      </c>
      <c r="C4163" s="173" t="s">
        <v>4490</v>
      </c>
      <c r="D4163" s="173" t="s">
        <v>470</v>
      </c>
      <c r="E4163">
        <v>1</v>
      </c>
    </row>
    <row r="4164" spans="1:5" hidden="1" x14ac:dyDescent="0.25">
      <c r="A4164" s="173" t="s">
        <v>1668</v>
      </c>
      <c r="B4164">
        <v>36118</v>
      </c>
      <c r="C4164" s="173" t="s">
        <v>4491</v>
      </c>
      <c r="D4164" s="173" t="s">
        <v>470</v>
      </c>
      <c r="E4164">
        <v>1</v>
      </c>
    </row>
    <row r="4165" spans="1:5" hidden="1" x14ac:dyDescent="0.25">
      <c r="A4165" s="173" t="s">
        <v>1668</v>
      </c>
      <c r="B4165">
        <v>36118</v>
      </c>
      <c r="C4165" s="173" t="s">
        <v>4492</v>
      </c>
      <c r="D4165" s="173" t="s">
        <v>470</v>
      </c>
      <c r="E4165">
        <v>1</v>
      </c>
    </row>
    <row r="4166" spans="1:5" hidden="1" x14ac:dyDescent="0.25">
      <c r="A4166" s="173" t="s">
        <v>1668</v>
      </c>
      <c r="B4166">
        <v>36118</v>
      </c>
      <c r="C4166" s="173" t="s">
        <v>4493</v>
      </c>
      <c r="D4166" s="173" t="s">
        <v>470</v>
      </c>
      <c r="E4166">
        <v>1</v>
      </c>
    </row>
    <row r="4167" spans="1:5" hidden="1" x14ac:dyDescent="0.25">
      <c r="A4167" s="173" t="s">
        <v>1668</v>
      </c>
      <c r="B4167">
        <v>36118</v>
      </c>
      <c r="C4167" s="173" t="s">
        <v>4494</v>
      </c>
      <c r="D4167" s="173" t="s">
        <v>470</v>
      </c>
      <c r="E4167">
        <v>1</v>
      </c>
    </row>
    <row r="4168" spans="1:5" hidden="1" x14ac:dyDescent="0.25">
      <c r="A4168" s="173" t="s">
        <v>1668</v>
      </c>
      <c r="B4168">
        <v>36118</v>
      </c>
      <c r="C4168" s="173" t="s">
        <v>4495</v>
      </c>
      <c r="D4168" s="173" t="s">
        <v>470</v>
      </c>
      <c r="E4168">
        <v>1</v>
      </c>
    </row>
    <row r="4169" spans="1:5" hidden="1" x14ac:dyDescent="0.25">
      <c r="A4169" s="173" t="s">
        <v>1668</v>
      </c>
      <c r="B4169">
        <v>36118</v>
      </c>
      <c r="C4169" s="173" t="s">
        <v>4496</v>
      </c>
      <c r="D4169" s="173" t="s">
        <v>470</v>
      </c>
      <c r="E4169">
        <v>1</v>
      </c>
    </row>
    <row r="4170" spans="1:5" hidden="1" x14ac:dyDescent="0.25">
      <c r="A4170" s="173" t="s">
        <v>1668</v>
      </c>
      <c r="B4170">
        <v>36118</v>
      </c>
      <c r="C4170" s="173" t="s">
        <v>4497</v>
      </c>
      <c r="D4170" s="173" t="s">
        <v>470</v>
      </c>
      <c r="E4170">
        <v>1</v>
      </c>
    </row>
    <row r="4171" spans="1:5" hidden="1" x14ac:dyDescent="0.25">
      <c r="A4171" s="173" t="s">
        <v>1668</v>
      </c>
      <c r="B4171">
        <v>36118</v>
      </c>
      <c r="C4171" s="173" t="s">
        <v>4498</v>
      </c>
      <c r="D4171" s="173" t="s">
        <v>470</v>
      </c>
      <c r="E4171">
        <v>1</v>
      </c>
    </row>
    <row r="4172" spans="1:5" hidden="1" x14ac:dyDescent="0.25">
      <c r="A4172" s="173" t="s">
        <v>1668</v>
      </c>
      <c r="B4172">
        <v>36118</v>
      </c>
      <c r="C4172" s="173" t="s">
        <v>4499</v>
      </c>
      <c r="D4172" s="173" t="s">
        <v>470</v>
      </c>
      <c r="E4172">
        <v>1</v>
      </c>
    </row>
    <row r="4173" spans="1:5" hidden="1" x14ac:dyDescent="0.25">
      <c r="A4173" s="173" t="s">
        <v>1668</v>
      </c>
      <c r="B4173">
        <v>36118</v>
      </c>
      <c r="C4173" s="173" t="s">
        <v>4500</v>
      </c>
      <c r="D4173" s="173" t="s">
        <v>470</v>
      </c>
      <c r="E4173">
        <v>1</v>
      </c>
    </row>
    <row r="4174" spans="1:5" hidden="1" x14ac:dyDescent="0.25">
      <c r="A4174" s="173" t="s">
        <v>1668</v>
      </c>
      <c r="B4174">
        <v>36118</v>
      </c>
      <c r="C4174" s="173" t="s">
        <v>4501</v>
      </c>
      <c r="D4174" s="173" t="s">
        <v>470</v>
      </c>
      <c r="E4174">
        <v>1</v>
      </c>
    </row>
    <row r="4175" spans="1:5" hidden="1" x14ac:dyDescent="0.25">
      <c r="A4175" s="173" t="s">
        <v>514</v>
      </c>
      <c r="B4175">
        <v>36148</v>
      </c>
      <c r="C4175" s="173" t="s">
        <v>4502</v>
      </c>
      <c r="D4175" s="173" t="s">
        <v>470</v>
      </c>
      <c r="E4175">
        <v>1</v>
      </c>
    </row>
    <row r="4176" spans="1:5" hidden="1" x14ac:dyDescent="0.25">
      <c r="A4176" s="173" t="s">
        <v>514</v>
      </c>
      <c r="B4176">
        <v>36148</v>
      </c>
      <c r="C4176" s="173" t="s">
        <v>4503</v>
      </c>
      <c r="D4176" s="173" t="s">
        <v>470</v>
      </c>
      <c r="E4176">
        <v>1</v>
      </c>
    </row>
    <row r="4177" spans="1:5" hidden="1" x14ac:dyDescent="0.25">
      <c r="A4177" s="173" t="s">
        <v>514</v>
      </c>
      <c r="B4177">
        <v>36148</v>
      </c>
      <c r="C4177" s="173" t="s">
        <v>4504</v>
      </c>
      <c r="D4177" s="173" t="s">
        <v>470</v>
      </c>
      <c r="E4177">
        <v>1</v>
      </c>
    </row>
    <row r="4178" spans="1:5" hidden="1" x14ac:dyDescent="0.25">
      <c r="A4178" s="173" t="s">
        <v>514</v>
      </c>
      <c r="B4178">
        <v>36148</v>
      </c>
      <c r="C4178" s="173" t="s">
        <v>4505</v>
      </c>
      <c r="D4178" s="173" t="s">
        <v>470</v>
      </c>
      <c r="E4178">
        <v>1</v>
      </c>
    </row>
    <row r="4179" spans="1:5" hidden="1" x14ac:dyDescent="0.25">
      <c r="A4179" s="173" t="s">
        <v>514</v>
      </c>
      <c r="B4179">
        <v>36148</v>
      </c>
      <c r="C4179" s="173" t="s">
        <v>4506</v>
      </c>
      <c r="D4179" s="173" t="s">
        <v>470</v>
      </c>
      <c r="E4179">
        <v>1</v>
      </c>
    </row>
    <row r="4180" spans="1:5" hidden="1" x14ac:dyDescent="0.25">
      <c r="A4180" s="173" t="s">
        <v>514</v>
      </c>
      <c r="B4180">
        <v>36148</v>
      </c>
      <c r="C4180" s="173" t="s">
        <v>4507</v>
      </c>
      <c r="D4180" s="173" t="s">
        <v>470</v>
      </c>
      <c r="E4180">
        <v>1</v>
      </c>
    </row>
    <row r="4181" spans="1:5" hidden="1" x14ac:dyDescent="0.25">
      <c r="A4181" s="173" t="s">
        <v>514</v>
      </c>
      <c r="B4181">
        <v>36148</v>
      </c>
      <c r="C4181" s="173" t="s">
        <v>4508</v>
      </c>
      <c r="D4181" s="173" t="s">
        <v>470</v>
      </c>
      <c r="E4181">
        <v>1</v>
      </c>
    </row>
    <row r="4182" spans="1:5" hidden="1" x14ac:dyDescent="0.25">
      <c r="A4182" s="173" t="s">
        <v>514</v>
      </c>
      <c r="B4182">
        <v>36148</v>
      </c>
      <c r="C4182" s="173" t="s">
        <v>4509</v>
      </c>
      <c r="D4182" s="173" t="s">
        <v>470</v>
      </c>
      <c r="E4182">
        <v>1</v>
      </c>
    </row>
    <row r="4183" spans="1:5" hidden="1" x14ac:dyDescent="0.25">
      <c r="A4183" s="173" t="s">
        <v>2936</v>
      </c>
      <c r="B4183">
        <v>36151</v>
      </c>
      <c r="C4183" s="173" t="s">
        <v>4510</v>
      </c>
      <c r="D4183" s="173" t="s">
        <v>470</v>
      </c>
      <c r="E4183">
        <v>3</v>
      </c>
    </row>
    <row r="4184" spans="1:5" hidden="1" x14ac:dyDescent="0.25">
      <c r="A4184" s="173" t="s">
        <v>2936</v>
      </c>
      <c r="B4184">
        <v>36151</v>
      </c>
      <c r="C4184" s="173" t="s">
        <v>4511</v>
      </c>
      <c r="D4184" s="173" t="s">
        <v>470</v>
      </c>
      <c r="E4184">
        <v>3</v>
      </c>
    </row>
    <row r="4185" spans="1:5" hidden="1" x14ac:dyDescent="0.25">
      <c r="A4185" s="173" t="s">
        <v>2936</v>
      </c>
      <c r="B4185">
        <v>36151</v>
      </c>
      <c r="C4185" s="173" t="s">
        <v>4512</v>
      </c>
      <c r="D4185" s="173" t="s">
        <v>470</v>
      </c>
      <c r="E4185">
        <v>3</v>
      </c>
    </row>
    <row r="4186" spans="1:5" hidden="1" x14ac:dyDescent="0.25">
      <c r="A4186" s="173" t="s">
        <v>2936</v>
      </c>
      <c r="B4186">
        <v>36151</v>
      </c>
      <c r="C4186" s="173" t="s">
        <v>4513</v>
      </c>
      <c r="D4186" s="173" t="s">
        <v>470</v>
      </c>
      <c r="E4186">
        <v>3</v>
      </c>
    </row>
    <row r="4187" spans="1:5" hidden="1" x14ac:dyDescent="0.25">
      <c r="A4187" s="173" t="s">
        <v>2936</v>
      </c>
      <c r="B4187">
        <v>36151</v>
      </c>
      <c r="C4187" s="173" t="s">
        <v>4514</v>
      </c>
      <c r="D4187" s="173" t="s">
        <v>470</v>
      </c>
      <c r="E4187">
        <v>3</v>
      </c>
    </row>
    <row r="4188" spans="1:5" hidden="1" x14ac:dyDescent="0.25">
      <c r="A4188" s="173" t="s">
        <v>2936</v>
      </c>
      <c r="B4188">
        <v>36151</v>
      </c>
      <c r="C4188" s="173" t="s">
        <v>4515</v>
      </c>
      <c r="D4188" s="173" t="s">
        <v>470</v>
      </c>
      <c r="E4188">
        <v>3</v>
      </c>
    </row>
    <row r="4189" spans="1:5" hidden="1" x14ac:dyDescent="0.25">
      <c r="A4189" s="173" t="s">
        <v>514</v>
      </c>
      <c r="B4189">
        <v>36188</v>
      </c>
      <c r="C4189" s="173" t="s">
        <v>3013</v>
      </c>
      <c r="D4189" s="173" t="s">
        <v>2307</v>
      </c>
      <c r="E4189">
        <v>1</v>
      </c>
    </row>
    <row r="4190" spans="1:5" hidden="1" x14ac:dyDescent="0.25">
      <c r="A4190" s="173" t="s">
        <v>514</v>
      </c>
      <c r="B4190">
        <v>36188</v>
      </c>
      <c r="C4190" s="173" t="s">
        <v>3014</v>
      </c>
      <c r="D4190" s="173" t="s">
        <v>2307</v>
      </c>
      <c r="E4190">
        <v>1</v>
      </c>
    </row>
    <row r="4191" spans="1:5" hidden="1" x14ac:dyDescent="0.25">
      <c r="A4191" s="173" t="s">
        <v>514</v>
      </c>
      <c r="B4191">
        <v>36188</v>
      </c>
      <c r="C4191" s="173" t="s">
        <v>3015</v>
      </c>
      <c r="D4191" s="173" t="s">
        <v>2307</v>
      </c>
      <c r="E4191">
        <v>1</v>
      </c>
    </row>
    <row r="4192" spans="1:5" hidden="1" x14ac:dyDescent="0.25">
      <c r="A4192" s="173" t="s">
        <v>514</v>
      </c>
      <c r="B4192">
        <v>36188</v>
      </c>
      <c r="C4192" s="173" t="s">
        <v>3016</v>
      </c>
      <c r="D4192" s="173" t="s">
        <v>2307</v>
      </c>
      <c r="E4192">
        <v>1</v>
      </c>
    </row>
    <row r="4193" spans="1:5" hidden="1" x14ac:dyDescent="0.25">
      <c r="A4193" s="173" t="s">
        <v>514</v>
      </c>
      <c r="B4193">
        <v>36188</v>
      </c>
      <c r="C4193" s="173" t="s">
        <v>3017</v>
      </c>
      <c r="D4193" s="173" t="s">
        <v>2307</v>
      </c>
      <c r="E4193">
        <v>1</v>
      </c>
    </row>
    <row r="4194" spans="1:5" hidden="1" x14ac:dyDescent="0.25">
      <c r="A4194" s="173" t="s">
        <v>514</v>
      </c>
      <c r="B4194">
        <v>36188</v>
      </c>
      <c r="C4194" s="173" t="s">
        <v>3018</v>
      </c>
      <c r="D4194" s="173" t="s">
        <v>2307</v>
      </c>
      <c r="E4194">
        <v>1</v>
      </c>
    </row>
    <row r="4195" spans="1:5" hidden="1" x14ac:dyDescent="0.25">
      <c r="A4195" s="173" t="s">
        <v>514</v>
      </c>
      <c r="B4195">
        <v>36188</v>
      </c>
      <c r="C4195" s="173" t="s">
        <v>3019</v>
      </c>
      <c r="D4195" s="173" t="s">
        <v>2307</v>
      </c>
      <c r="E4195">
        <v>1</v>
      </c>
    </row>
    <row r="4196" spans="1:5" hidden="1" x14ac:dyDescent="0.25">
      <c r="A4196" s="173" t="s">
        <v>514</v>
      </c>
      <c r="B4196">
        <v>36188</v>
      </c>
      <c r="C4196" s="173" t="s">
        <v>3020</v>
      </c>
      <c r="D4196" s="173" t="s">
        <v>2307</v>
      </c>
      <c r="E4196">
        <v>1</v>
      </c>
    </row>
    <row r="4197" spans="1:5" hidden="1" x14ac:dyDescent="0.25">
      <c r="A4197" s="173" t="s">
        <v>514</v>
      </c>
      <c r="B4197">
        <v>36219</v>
      </c>
      <c r="C4197" s="173" t="s">
        <v>3021</v>
      </c>
      <c r="D4197" s="173" t="s">
        <v>470</v>
      </c>
      <c r="E4197">
        <v>1</v>
      </c>
    </row>
    <row r="4198" spans="1:5" hidden="1" x14ac:dyDescent="0.25">
      <c r="A4198" s="173" t="s">
        <v>514</v>
      </c>
      <c r="B4198">
        <v>36219</v>
      </c>
      <c r="C4198" s="173" t="s">
        <v>3022</v>
      </c>
      <c r="D4198" s="173" t="s">
        <v>470</v>
      </c>
      <c r="E4198">
        <v>1</v>
      </c>
    </row>
    <row r="4199" spans="1:5" hidden="1" x14ac:dyDescent="0.25">
      <c r="A4199" s="173" t="s">
        <v>514</v>
      </c>
      <c r="B4199">
        <v>36219</v>
      </c>
      <c r="C4199" s="173" t="s">
        <v>3023</v>
      </c>
      <c r="D4199" s="173" t="s">
        <v>470</v>
      </c>
      <c r="E4199">
        <v>1</v>
      </c>
    </row>
    <row r="4200" spans="1:5" hidden="1" x14ac:dyDescent="0.25">
      <c r="A4200" s="173" t="s">
        <v>514</v>
      </c>
      <c r="B4200">
        <v>36219</v>
      </c>
      <c r="C4200" s="173" t="s">
        <v>3024</v>
      </c>
      <c r="D4200" s="173" t="s">
        <v>470</v>
      </c>
      <c r="E4200">
        <v>1</v>
      </c>
    </row>
    <row r="4201" spans="1:5" hidden="1" x14ac:dyDescent="0.25">
      <c r="A4201" s="173" t="s">
        <v>514</v>
      </c>
      <c r="B4201">
        <v>36219</v>
      </c>
      <c r="C4201" s="173" t="s">
        <v>3025</v>
      </c>
      <c r="D4201" s="173" t="s">
        <v>470</v>
      </c>
      <c r="E4201">
        <v>1</v>
      </c>
    </row>
    <row r="4202" spans="1:5" hidden="1" x14ac:dyDescent="0.25">
      <c r="A4202" s="173" t="s">
        <v>514</v>
      </c>
      <c r="B4202">
        <v>36219</v>
      </c>
      <c r="C4202" s="173" t="s">
        <v>3026</v>
      </c>
      <c r="D4202" s="173" t="s">
        <v>470</v>
      </c>
      <c r="E4202">
        <v>1</v>
      </c>
    </row>
    <row r="4203" spans="1:5" hidden="1" x14ac:dyDescent="0.25">
      <c r="A4203" s="173" t="s">
        <v>1668</v>
      </c>
      <c r="B4203">
        <v>37501</v>
      </c>
      <c r="C4203" s="173" t="s">
        <v>3027</v>
      </c>
      <c r="D4203" s="173" t="s">
        <v>470</v>
      </c>
      <c r="E4203">
        <v>1</v>
      </c>
    </row>
    <row r="4204" spans="1:5" hidden="1" x14ac:dyDescent="0.25">
      <c r="A4204" s="173" t="s">
        <v>1668</v>
      </c>
      <c r="B4204">
        <v>37501</v>
      </c>
      <c r="C4204" s="173" t="s">
        <v>3028</v>
      </c>
      <c r="D4204" s="173" t="s">
        <v>470</v>
      </c>
      <c r="E4204">
        <v>1</v>
      </c>
    </row>
    <row r="4205" spans="1:5" hidden="1" x14ac:dyDescent="0.25">
      <c r="A4205" s="173" t="s">
        <v>1668</v>
      </c>
      <c r="B4205">
        <v>37501</v>
      </c>
      <c r="C4205" s="173" t="s">
        <v>3029</v>
      </c>
      <c r="D4205" s="173" t="s">
        <v>470</v>
      </c>
      <c r="E4205">
        <v>1</v>
      </c>
    </row>
    <row r="4206" spans="1:5" hidden="1" x14ac:dyDescent="0.25">
      <c r="A4206" s="173" t="s">
        <v>1668</v>
      </c>
      <c r="B4206">
        <v>37501</v>
      </c>
      <c r="C4206" s="173" t="s">
        <v>3030</v>
      </c>
      <c r="D4206" s="173" t="s">
        <v>470</v>
      </c>
      <c r="E4206">
        <v>1</v>
      </c>
    </row>
    <row r="4207" spans="1:5" hidden="1" x14ac:dyDescent="0.25">
      <c r="A4207" s="173" t="s">
        <v>1668</v>
      </c>
      <c r="B4207">
        <v>37501</v>
      </c>
      <c r="C4207" s="173" t="s">
        <v>3031</v>
      </c>
      <c r="D4207" s="173" t="s">
        <v>470</v>
      </c>
      <c r="E4207">
        <v>1</v>
      </c>
    </row>
    <row r="4208" spans="1:5" hidden="1" x14ac:dyDescent="0.25">
      <c r="A4208" s="173" t="s">
        <v>1668</v>
      </c>
      <c r="B4208">
        <v>37501</v>
      </c>
      <c r="C4208" s="173" t="s">
        <v>3032</v>
      </c>
      <c r="D4208" s="173" t="s">
        <v>470</v>
      </c>
      <c r="E4208">
        <v>1</v>
      </c>
    </row>
    <row r="4209" spans="1:5" hidden="1" x14ac:dyDescent="0.25">
      <c r="A4209" s="173" t="s">
        <v>1668</v>
      </c>
      <c r="B4209">
        <v>37501</v>
      </c>
      <c r="C4209" s="173" t="s">
        <v>3033</v>
      </c>
      <c r="D4209" s="173" t="s">
        <v>470</v>
      </c>
      <c r="E4209">
        <v>1</v>
      </c>
    </row>
    <row r="4210" spans="1:5" hidden="1" x14ac:dyDescent="0.25">
      <c r="A4210" s="173" t="s">
        <v>1668</v>
      </c>
      <c r="B4210">
        <v>37576</v>
      </c>
      <c r="C4210" s="173" t="s">
        <v>3034</v>
      </c>
      <c r="D4210" s="173" t="s">
        <v>470</v>
      </c>
      <c r="E4210">
        <v>1</v>
      </c>
    </row>
    <row r="4211" spans="1:5" hidden="1" x14ac:dyDescent="0.25">
      <c r="A4211" s="173" t="s">
        <v>1668</v>
      </c>
      <c r="B4211">
        <v>37576</v>
      </c>
      <c r="C4211" s="173" t="s">
        <v>3035</v>
      </c>
      <c r="D4211" s="173" t="s">
        <v>470</v>
      </c>
      <c r="E4211">
        <v>1</v>
      </c>
    </row>
    <row r="4212" spans="1:5" hidden="1" x14ac:dyDescent="0.25">
      <c r="A4212" s="173" t="s">
        <v>1668</v>
      </c>
      <c r="B4212">
        <v>37576</v>
      </c>
      <c r="C4212" s="173" t="s">
        <v>3036</v>
      </c>
      <c r="D4212" s="173" t="s">
        <v>470</v>
      </c>
      <c r="E4212">
        <v>1</v>
      </c>
    </row>
    <row r="4213" spans="1:5" hidden="1" x14ac:dyDescent="0.25">
      <c r="A4213" s="173" t="s">
        <v>1668</v>
      </c>
      <c r="B4213">
        <v>37576</v>
      </c>
      <c r="C4213" s="173" t="s">
        <v>3037</v>
      </c>
      <c r="D4213" s="173" t="s">
        <v>470</v>
      </c>
      <c r="E4213">
        <v>1</v>
      </c>
    </row>
    <row r="4214" spans="1:5" hidden="1" x14ac:dyDescent="0.25">
      <c r="A4214" s="173" t="s">
        <v>1668</v>
      </c>
      <c r="B4214">
        <v>37576</v>
      </c>
      <c r="C4214" s="173" t="s">
        <v>3038</v>
      </c>
      <c r="D4214" s="173" t="s">
        <v>470</v>
      </c>
      <c r="E4214">
        <v>1</v>
      </c>
    </row>
    <row r="4215" spans="1:5" hidden="1" x14ac:dyDescent="0.25">
      <c r="A4215" s="173" t="s">
        <v>1668</v>
      </c>
      <c r="B4215">
        <v>37576</v>
      </c>
      <c r="C4215" s="173" t="s">
        <v>3039</v>
      </c>
      <c r="D4215" s="173" t="s">
        <v>470</v>
      </c>
      <c r="E4215">
        <v>1</v>
      </c>
    </row>
    <row r="4216" spans="1:5" hidden="1" x14ac:dyDescent="0.25">
      <c r="A4216" s="173" t="s">
        <v>1668</v>
      </c>
      <c r="B4216">
        <v>37576</v>
      </c>
      <c r="C4216" s="173" t="s">
        <v>3040</v>
      </c>
      <c r="D4216" s="173" t="s">
        <v>470</v>
      </c>
      <c r="E4216">
        <v>1</v>
      </c>
    </row>
    <row r="4217" spans="1:5" hidden="1" x14ac:dyDescent="0.25">
      <c r="A4217" s="173" t="s">
        <v>514</v>
      </c>
      <c r="B4217">
        <v>37817</v>
      </c>
      <c r="C4217" s="173" t="s">
        <v>4516</v>
      </c>
      <c r="D4217" s="173" t="s">
        <v>470</v>
      </c>
      <c r="E4217">
        <v>1</v>
      </c>
    </row>
    <row r="4218" spans="1:5" hidden="1" x14ac:dyDescent="0.25">
      <c r="A4218" s="173" t="s">
        <v>514</v>
      </c>
      <c r="B4218">
        <v>37817</v>
      </c>
      <c r="C4218" s="173" t="s">
        <v>4517</v>
      </c>
      <c r="D4218" s="173" t="s">
        <v>470</v>
      </c>
      <c r="E4218">
        <v>1</v>
      </c>
    </row>
    <row r="4219" spans="1:5" hidden="1" x14ac:dyDescent="0.25">
      <c r="A4219" s="173" t="s">
        <v>514</v>
      </c>
      <c r="B4219">
        <v>37817</v>
      </c>
      <c r="C4219" s="173" t="s">
        <v>4518</v>
      </c>
      <c r="D4219" s="173" t="s">
        <v>470</v>
      </c>
      <c r="E4219">
        <v>1</v>
      </c>
    </row>
    <row r="4220" spans="1:5" hidden="1" x14ac:dyDescent="0.25">
      <c r="A4220" s="173" t="s">
        <v>514</v>
      </c>
      <c r="B4220">
        <v>37817</v>
      </c>
      <c r="C4220" s="173" t="s">
        <v>4519</v>
      </c>
      <c r="D4220" s="173" t="s">
        <v>470</v>
      </c>
      <c r="E4220">
        <v>1</v>
      </c>
    </row>
    <row r="4221" spans="1:5" hidden="1" x14ac:dyDescent="0.25">
      <c r="A4221" s="173" t="s">
        <v>514</v>
      </c>
      <c r="B4221">
        <v>37817</v>
      </c>
      <c r="C4221" s="173" t="s">
        <v>4520</v>
      </c>
      <c r="D4221" s="173" t="s">
        <v>470</v>
      </c>
      <c r="E4221">
        <v>1</v>
      </c>
    </row>
    <row r="4222" spans="1:5" hidden="1" x14ac:dyDescent="0.25">
      <c r="A4222" s="173" t="s">
        <v>514</v>
      </c>
      <c r="B4222">
        <v>37818</v>
      </c>
      <c r="C4222" s="173" t="s">
        <v>3041</v>
      </c>
      <c r="D4222" s="173" t="s">
        <v>470</v>
      </c>
      <c r="E4222">
        <v>1</v>
      </c>
    </row>
    <row r="4223" spans="1:5" hidden="1" x14ac:dyDescent="0.25">
      <c r="A4223" s="173" t="s">
        <v>514</v>
      </c>
      <c r="B4223">
        <v>37818</v>
      </c>
      <c r="C4223" s="173" t="s">
        <v>3042</v>
      </c>
      <c r="D4223" s="173" t="s">
        <v>470</v>
      </c>
      <c r="E4223">
        <v>1</v>
      </c>
    </row>
    <row r="4224" spans="1:5" hidden="1" x14ac:dyDescent="0.25">
      <c r="A4224" s="173" t="s">
        <v>514</v>
      </c>
      <c r="B4224">
        <v>37818</v>
      </c>
      <c r="C4224" s="173" t="s">
        <v>3043</v>
      </c>
      <c r="D4224" s="173" t="s">
        <v>470</v>
      </c>
      <c r="E4224">
        <v>1</v>
      </c>
    </row>
    <row r="4225" spans="1:5" hidden="1" x14ac:dyDescent="0.25">
      <c r="A4225" s="173" t="s">
        <v>514</v>
      </c>
      <c r="B4225">
        <v>37818</v>
      </c>
      <c r="C4225" s="173" t="s">
        <v>3044</v>
      </c>
      <c r="D4225" s="173" t="s">
        <v>470</v>
      </c>
      <c r="E4225">
        <v>1</v>
      </c>
    </row>
    <row r="4226" spans="1:5" hidden="1" x14ac:dyDescent="0.25">
      <c r="A4226" s="173" t="s">
        <v>514</v>
      </c>
      <c r="B4226">
        <v>37818</v>
      </c>
      <c r="C4226" s="173" t="s">
        <v>3045</v>
      </c>
      <c r="D4226" s="173" t="s">
        <v>470</v>
      </c>
      <c r="E4226">
        <v>1</v>
      </c>
    </row>
    <row r="4227" spans="1:5" hidden="1" x14ac:dyDescent="0.25">
      <c r="A4227" s="173" t="s">
        <v>514</v>
      </c>
      <c r="B4227">
        <v>37821</v>
      </c>
      <c r="C4227" s="173" t="s">
        <v>3046</v>
      </c>
      <c r="D4227" s="173" t="s">
        <v>470</v>
      </c>
      <c r="E4227">
        <v>2</v>
      </c>
    </row>
    <row r="4228" spans="1:5" hidden="1" x14ac:dyDescent="0.25">
      <c r="A4228" s="173" t="s">
        <v>514</v>
      </c>
      <c r="B4228">
        <v>37821</v>
      </c>
      <c r="C4228" s="173" t="s">
        <v>3047</v>
      </c>
      <c r="D4228" s="173" t="s">
        <v>470</v>
      </c>
      <c r="E4228">
        <v>1</v>
      </c>
    </row>
    <row r="4229" spans="1:5" hidden="1" x14ac:dyDescent="0.25">
      <c r="A4229" s="173" t="s">
        <v>514</v>
      </c>
      <c r="B4229">
        <v>37821</v>
      </c>
      <c r="C4229" s="173" t="s">
        <v>3048</v>
      </c>
      <c r="D4229" s="173" t="s">
        <v>470</v>
      </c>
      <c r="E4229">
        <v>2</v>
      </c>
    </row>
    <row r="4230" spans="1:5" hidden="1" x14ac:dyDescent="0.25">
      <c r="A4230" s="173" t="s">
        <v>514</v>
      </c>
      <c r="B4230">
        <v>37821</v>
      </c>
      <c r="C4230" s="173" t="s">
        <v>3049</v>
      </c>
      <c r="D4230" s="173" t="s">
        <v>470</v>
      </c>
      <c r="E4230">
        <v>2</v>
      </c>
    </row>
    <row r="4231" spans="1:5" hidden="1" x14ac:dyDescent="0.25">
      <c r="A4231" s="173" t="s">
        <v>2936</v>
      </c>
      <c r="B4231">
        <v>37914</v>
      </c>
      <c r="C4231" s="173" t="s">
        <v>3050</v>
      </c>
      <c r="D4231" s="173" t="s">
        <v>517</v>
      </c>
      <c r="E4231">
        <v>1</v>
      </c>
    </row>
    <row r="4232" spans="1:5" hidden="1" x14ac:dyDescent="0.25">
      <c r="A4232" s="173" t="s">
        <v>2936</v>
      </c>
      <c r="B4232">
        <v>37914</v>
      </c>
      <c r="C4232" s="173" t="s">
        <v>3051</v>
      </c>
      <c r="D4232" s="173" t="s">
        <v>517</v>
      </c>
      <c r="E4232">
        <v>1</v>
      </c>
    </row>
    <row r="4233" spans="1:5" hidden="1" x14ac:dyDescent="0.25">
      <c r="A4233" s="173" t="s">
        <v>2936</v>
      </c>
      <c r="B4233">
        <v>37914</v>
      </c>
      <c r="C4233" s="173" t="s">
        <v>3052</v>
      </c>
      <c r="D4233" s="173" t="s">
        <v>517</v>
      </c>
      <c r="E4233">
        <v>1</v>
      </c>
    </row>
    <row r="4234" spans="1:5" hidden="1" x14ac:dyDescent="0.25">
      <c r="A4234" s="173" t="s">
        <v>2936</v>
      </c>
      <c r="B4234">
        <v>37914</v>
      </c>
      <c r="C4234" s="173" t="s">
        <v>3053</v>
      </c>
      <c r="D4234" s="173" t="s">
        <v>517</v>
      </c>
      <c r="E4234">
        <v>1</v>
      </c>
    </row>
    <row r="4235" spans="1:5" hidden="1" x14ac:dyDescent="0.25">
      <c r="A4235" s="173" t="s">
        <v>2936</v>
      </c>
      <c r="B4235">
        <v>37914</v>
      </c>
      <c r="C4235" s="173" t="s">
        <v>3054</v>
      </c>
      <c r="D4235" s="173" t="s">
        <v>517</v>
      </c>
      <c r="E4235">
        <v>1</v>
      </c>
    </row>
    <row r="4236" spans="1:5" hidden="1" x14ac:dyDescent="0.25">
      <c r="A4236" s="173" t="s">
        <v>1668</v>
      </c>
      <c r="B4236">
        <v>37916</v>
      </c>
      <c r="C4236" s="173" t="s">
        <v>3055</v>
      </c>
      <c r="D4236" s="173" t="s">
        <v>517</v>
      </c>
      <c r="E4236">
        <v>1</v>
      </c>
    </row>
    <row r="4237" spans="1:5" hidden="1" x14ac:dyDescent="0.25">
      <c r="A4237" s="173" t="s">
        <v>1668</v>
      </c>
      <c r="B4237">
        <v>37916</v>
      </c>
      <c r="C4237" s="173" t="s">
        <v>3056</v>
      </c>
      <c r="D4237" s="173" t="s">
        <v>517</v>
      </c>
      <c r="E4237">
        <v>1</v>
      </c>
    </row>
    <row r="4238" spans="1:5" hidden="1" x14ac:dyDescent="0.25">
      <c r="A4238" s="173" t="s">
        <v>1668</v>
      </c>
      <c r="B4238">
        <v>37916</v>
      </c>
      <c r="C4238" s="173" t="s">
        <v>3057</v>
      </c>
      <c r="D4238" s="173" t="s">
        <v>517</v>
      </c>
      <c r="E4238">
        <v>1</v>
      </c>
    </row>
    <row r="4239" spans="1:5" hidden="1" x14ac:dyDescent="0.25">
      <c r="A4239" s="173" t="s">
        <v>1668</v>
      </c>
      <c r="B4239">
        <v>37916</v>
      </c>
      <c r="C4239" s="173" t="s">
        <v>3058</v>
      </c>
      <c r="D4239" s="173" t="s">
        <v>517</v>
      </c>
      <c r="E4239">
        <v>1</v>
      </c>
    </row>
    <row r="4240" spans="1:5" hidden="1" x14ac:dyDescent="0.25">
      <c r="A4240" s="173" t="s">
        <v>514</v>
      </c>
      <c r="B4240">
        <v>37942</v>
      </c>
      <c r="C4240" s="173" t="s">
        <v>3059</v>
      </c>
      <c r="D4240" s="173" t="s">
        <v>470</v>
      </c>
      <c r="E4240">
        <v>1</v>
      </c>
    </row>
    <row r="4241" spans="1:5" hidden="1" x14ac:dyDescent="0.25">
      <c r="A4241" s="173" t="s">
        <v>514</v>
      </c>
      <c r="B4241">
        <v>37942</v>
      </c>
      <c r="C4241" s="173" t="s">
        <v>3060</v>
      </c>
      <c r="D4241" s="173" t="s">
        <v>470</v>
      </c>
      <c r="E4241">
        <v>1</v>
      </c>
    </row>
    <row r="4242" spans="1:5" hidden="1" x14ac:dyDescent="0.25">
      <c r="A4242" s="173" t="s">
        <v>514</v>
      </c>
      <c r="B4242">
        <v>37942</v>
      </c>
      <c r="C4242" s="173" t="s">
        <v>3061</v>
      </c>
      <c r="D4242" s="173" t="s">
        <v>470</v>
      </c>
      <c r="E4242">
        <v>1</v>
      </c>
    </row>
    <row r="4243" spans="1:5" hidden="1" x14ac:dyDescent="0.25">
      <c r="A4243" s="173" t="s">
        <v>514</v>
      </c>
      <c r="B4243">
        <v>37942</v>
      </c>
      <c r="C4243" s="173" t="s">
        <v>3062</v>
      </c>
      <c r="D4243" s="173" t="s">
        <v>470</v>
      </c>
      <c r="E4243">
        <v>1</v>
      </c>
    </row>
    <row r="4244" spans="1:5" hidden="1" x14ac:dyDescent="0.25">
      <c r="A4244" s="173" t="s">
        <v>514</v>
      </c>
      <c r="B4244">
        <v>37942</v>
      </c>
      <c r="C4244" s="173" t="s">
        <v>3063</v>
      </c>
      <c r="D4244" s="173" t="s">
        <v>470</v>
      </c>
      <c r="E4244">
        <v>1</v>
      </c>
    </row>
    <row r="4245" spans="1:5" hidden="1" x14ac:dyDescent="0.25">
      <c r="A4245" s="173" t="s">
        <v>514</v>
      </c>
      <c r="B4245">
        <v>37942</v>
      </c>
      <c r="C4245" s="173" t="s">
        <v>3064</v>
      </c>
      <c r="D4245" s="173" t="s">
        <v>470</v>
      </c>
      <c r="E4245">
        <v>1</v>
      </c>
    </row>
    <row r="4246" spans="1:5" hidden="1" x14ac:dyDescent="0.25">
      <c r="A4246" s="173" t="s">
        <v>514</v>
      </c>
      <c r="B4246">
        <v>37942</v>
      </c>
      <c r="C4246" s="173" t="s">
        <v>3065</v>
      </c>
      <c r="D4246" s="173" t="s">
        <v>470</v>
      </c>
      <c r="E4246">
        <v>1</v>
      </c>
    </row>
    <row r="4247" spans="1:5" hidden="1" x14ac:dyDescent="0.25">
      <c r="A4247" s="173" t="s">
        <v>514</v>
      </c>
      <c r="B4247">
        <v>37942</v>
      </c>
      <c r="C4247" s="173" t="s">
        <v>3066</v>
      </c>
      <c r="D4247" s="173" t="s">
        <v>470</v>
      </c>
      <c r="E4247">
        <v>1</v>
      </c>
    </row>
    <row r="4248" spans="1:5" hidden="1" x14ac:dyDescent="0.25">
      <c r="A4248" s="173" t="s">
        <v>514</v>
      </c>
      <c r="B4248">
        <v>37942</v>
      </c>
      <c r="C4248" s="173" t="s">
        <v>3067</v>
      </c>
      <c r="D4248" s="173" t="s">
        <v>470</v>
      </c>
      <c r="E4248">
        <v>1</v>
      </c>
    </row>
    <row r="4249" spans="1:5" hidden="1" x14ac:dyDescent="0.25">
      <c r="A4249" s="173" t="s">
        <v>2936</v>
      </c>
      <c r="B4249">
        <v>37950</v>
      </c>
      <c r="C4249" s="173" t="s">
        <v>3068</v>
      </c>
      <c r="D4249" s="173" t="s">
        <v>517</v>
      </c>
      <c r="E4249">
        <v>1</v>
      </c>
    </row>
    <row r="4250" spans="1:5" hidden="1" x14ac:dyDescent="0.25">
      <c r="A4250" s="173" t="s">
        <v>2936</v>
      </c>
      <c r="B4250">
        <v>37950</v>
      </c>
      <c r="C4250" s="173" t="s">
        <v>3069</v>
      </c>
      <c r="D4250" s="173" t="s">
        <v>517</v>
      </c>
      <c r="E4250">
        <v>1</v>
      </c>
    </row>
    <row r="4251" spans="1:5" hidden="1" x14ac:dyDescent="0.25">
      <c r="A4251" s="173" t="s">
        <v>2936</v>
      </c>
      <c r="B4251">
        <v>37950</v>
      </c>
      <c r="C4251" s="173" t="s">
        <v>3070</v>
      </c>
      <c r="D4251" s="173" t="s">
        <v>517</v>
      </c>
      <c r="E4251">
        <v>1</v>
      </c>
    </row>
    <row r="4252" spans="1:5" hidden="1" x14ac:dyDescent="0.25">
      <c r="A4252" s="173" t="s">
        <v>2936</v>
      </c>
      <c r="B4252">
        <v>37950</v>
      </c>
      <c r="C4252" s="173" t="s">
        <v>3071</v>
      </c>
      <c r="D4252" s="173" t="s">
        <v>517</v>
      </c>
      <c r="E4252">
        <v>1</v>
      </c>
    </row>
    <row r="4253" spans="1:5" hidden="1" x14ac:dyDescent="0.25">
      <c r="A4253" s="173" t="s">
        <v>2936</v>
      </c>
      <c r="B4253">
        <v>37950</v>
      </c>
      <c r="C4253" s="173" t="s">
        <v>3072</v>
      </c>
      <c r="D4253" s="173" t="s">
        <v>517</v>
      </c>
      <c r="E4253">
        <v>1</v>
      </c>
    </row>
    <row r="4254" spans="1:5" hidden="1" x14ac:dyDescent="0.25">
      <c r="A4254" s="173" t="s">
        <v>2936</v>
      </c>
      <c r="B4254">
        <v>37950</v>
      </c>
      <c r="C4254" s="173" t="s">
        <v>4521</v>
      </c>
      <c r="D4254" s="173" t="s">
        <v>517</v>
      </c>
      <c r="E4254">
        <v>1</v>
      </c>
    </row>
    <row r="4255" spans="1:5" hidden="1" x14ac:dyDescent="0.25">
      <c r="A4255" s="173" t="s">
        <v>2936</v>
      </c>
      <c r="B4255">
        <v>37971</v>
      </c>
      <c r="C4255" s="173" t="s">
        <v>3073</v>
      </c>
      <c r="D4255" s="173" t="s">
        <v>470</v>
      </c>
      <c r="E4255">
        <v>1</v>
      </c>
    </row>
    <row r="4256" spans="1:5" hidden="1" x14ac:dyDescent="0.25">
      <c r="A4256" s="173" t="s">
        <v>2936</v>
      </c>
      <c r="B4256">
        <v>37971</v>
      </c>
      <c r="C4256" s="173" t="s">
        <v>3074</v>
      </c>
      <c r="D4256" s="173" t="s">
        <v>470</v>
      </c>
      <c r="E4256">
        <v>1</v>
      </c>
    </row>
    <row r="4257" spans="1:5" hidden="1" x14ac:dyDescent="0.25">
      <c r="A4257" s="173" t="s">
        <v>2936</v>
      </c>
      <c r="B4257">
        <v>38027</v>
      </c>
      <c r="C4257" s="173" t="s">
        <v>4522</v>
      </c>
      <c r="D4257" s="173" t="s">
        <v>470</v>
      </c>
      <c r="E4257">
        <v>1</v>
      </c>
    </row>
    <row r="4258" spans="1:5" hidden="1" x14ac:dyDescent="0.25">
      <c r="A4258" s="173" t="s">
        <v>2936</v>
      </c>
      <c r="B4258">
        <v>38027</v>
      </c>
      <c r="C4258" s="173" t="s">
        <v>4523</v>
      </c>
      <c r="D4258" s="173" t="s">
        <v>470</v>
      </c>
      <c r="E4258">
        <v>1</v>
      </c>
    </row>
    <row r="4259" spans="1:5" hidden="1" x14ac:dyDescent="0.25">
      <c r="A4259" s="173" t="s">
        <v>2936</v>
      </c>
      <c r="B4259">
        <v>38027</v>
      </c>
      <c r="C4259" s="173" t="s">
        <v>4524</v>
      </c>
      <c r="D4259" s="173" t="s">
        <v>470</v>
      </c>
      <c r="E4259">
        <v>1</v>
      </c>
    </row>
    <row r="4260" spans="1:5" hidden="1" x14ac:dyDescent="0.25">
      <c r="A4260" s="173" t="s">
        <v>2936</v>
      </c>
      <c r="B4260">
        <v>38027</v>
      </c>
      <c r="C4260" s="173" t="s">
        <v>4525</v>
      </c>
      <c r="D4260" s="173" t="s">
        <v>470</v>
      </c>
      <c r="E4260">
        <v>1</v>
      </c>
    </row>
    <row r="4261" spans="1:5" hidden="1" x14ac:dyDescent="0.25">
      <c r="A4261" s="173" t="s">
        <v>514</v>
      </c>
      <c r="B4261">
        <v>38034</v>
      </c>
      <c r="C4261" s="173" t="s">
        <v>3075</v>
      </c>
      <c r="D4261" s="173" t="s">
        <v>3089</v>
      </c>
      <c r="E4261">
        <v>1</v>
      </c>
    </row>
    <row r="4262" spans="1:5" hidden="1" x14ac:dyDescent="0.25">
      <c r="A4262" s="173" t="s">
        <v>514</v>
      </c>
      <c r="B4262">
        <v>38034</v>
      </c>
      <c r="C4262" s="173" t="s">
        <v>3076</v>
      </c>
      <c r="D4262" s="173" t="s">
        <v>3089</v>
      </c>
      <c r="E4262">
        <v>1</v>
      </c>
    </row>
    <row r="4263" spans="1:5" hidden="1" x14ac:dyDescent="0.25">
      <c r="A4263" s="173" t="s">
        <v>514</v>
      </c>
      <c r="B4263">
        <v>38034</v>
      </c>
      <c r="C4263" s="173" t="s">
        <v>3077</v>
      </c>
      <c r="D4263" s="173" t="s">
        <v>3089</v>
      </c>
      <c r="E4263">
        <v>1</v>
      </c>
    </row>
    <row r="4264" spans="1:5" hidden="1" x14ac:dyDescent="0.25">
      <c r="A4264" s="173" t="s">
        <v>514</v>
      </c>
      <c r="B4264">
        <v>38034</v>
      </c>
      <c r="C4264" s="173" t="s">
        <v>3078</v>
      </c>
      <c r="D4264" s="173" t="s">
        <v>3089</v>
      </c>
      <c r="E4264">
        <v>1</v>
      </c>
    </row>
    <row r="4265" spans="1:5" hidden="1" x14ac:dyDescent="0.25">
      <c r="A4265" s="173" t="s">
        <v>514</v>
      </c>
      <c r="B4265">
        <v>38034</v>
      </c>
      <c r="C4265" s="173" t="s">
        <v>3079</v>
      </c>
      <c r="D4265" s="173" t="s">
        <v>3089</v>
      </c>
      <c r="E4265">
        <v>1</v>
      </c>
    </row>
    <row r="4266" spans="1:5" hidden="1" x14ac:dyDescent="0.25">
      <c r="A4266" s="173" t="s">
        <v>514</v>
      </c>
      <c r="B4266">
        <v>38034</v>
      </c>
      <c r="C4266" s="173" t="s">
        <v>3080</v>
      </c>
      <c r="D4266" s="173" t="s">
        <v>3089</v>
      </c>
      <c r="E4266">
        <v>1</v>
      </c>
    </row>
    <row r="4267" spans="1:5" hidden="1" x14ac:dyDescent="0.25">
      <c r="A4267" s="173" t="s">
        <v>514</v>
      </c>
      <c r="B4267">
        <v>38043</v>
      </c>
      <c r="C4267" s="173" t="s">
        <v>3081</v>
      </c>
      <c r="D4267" s="173" t="s">
        <v>2307</v>
      </c>
      <c r="E4267">
        <v>1</v>
      </c>
    </row>
    <row r="4268" spans="1:5" hidden="1" x14ac:dyDescent="0.25">
      <c r="A4268" s="173" t="s">
        <v>514</v>
      </c>
      <c r="B4268">
        <v>38043</v>
      </c>
      <c r="C4268" s="173" t="s">
        <v>3082</v>
      </c>
      <c r="D4268" s="173" t="s">
        <v>2307</v>
      </c>
      <c r="E4268">
        <v>1</v>
      </c>
    </row>
    <row r="4269" spans="1:5" hidden="1" x14ac:dyDescent="0.25">
      <c r="A4269" s="173" t="s">
        <v>514</v>
      </c>
      <c r="B4269">
        <v>38043</v>
      </c>
      <c r="C4269" s="173" t="s">
        <v>3083</v>
      </c>
      <c r="D4269" s="173" t="s">
        <v>2307</v>
      </c>
      <c r="E4269">
        <v>1</v>
      </c>
    </row>
    <row r="4270" spans="1:5" hidden="1" x14ac:dyDescent="0.25">
      <c r="A4270" s="173" t="s">
        <v>514</v>
      </c>
      <c r="B4270">
        <v>38043</v>
      </c>
      <c r="C4270" s="173" t="s">
        <v>3084</v>
      </c>
      <c r="D4270" s="173" t="s">
        <v>2307</v>
      </c>
      <c r="E4270">
        <v>1</v>
      </c>
    </row>
    <row r="4271" spans="1:5" hidden="1" x14ac:dyDescent="0.25">
      <c r="A4271" s="173" t="s">
        <v>1668</v>
      </c>
      <c r="B4271">
        <v>38045</v>
      </c>
      <c r="C4271" s="173" t="s">
        <v>4526</v>
      </c>
      <c r="D4271" s="173" t="s">
        <v>470</v>
      </c>
      <c r="E4271">
        <v>1</v>
      </c>
    </row>
    <row r="4272" spans="1:5" hidden="1" x14ac:dyDescent="0.25">
      <c r="A4272" s="173" t="s">
        <v>1668</v>
      </c>
      <c r="B4272">
        <v>38045</v>
      </c>
      <c r="C4272" s="173" t="s">
        <v>4527</v>
      </c>
      <c r="D4272" s="173" t="s">
        <v>470</v>
      </c>
      <c r="E4272">
        <v>1</v>
      </c>
    </row>
    <row r="4273" spans="1:5" hidden="1" x14ac:dyDescent="0.25">
      <c r="A4273" s="173" t="s">
        <v>1668</v>
      </c>
      <c r="B4273">
        <v>38045</v>
      </c>
      <c r="C4273" s="173" t="s">
        <v>4528</v>
      </c>
      <c r="D4273" s="173" t="s">
        <v>470</v>
      </c>
      <c r="E4273">
        <v>1</v>
      </c>
    </row>
    <row r="4274" spans="1:5" hidden="1" x14ac:dyDescent="0.25">
      <c r="A4274" s="173" t="s">
        <v>1668</v>
      </c>
      <c r="B4274">
        <v>38045</v>
      </c>
      <c r="C4274" s="173" t="s">
        <v>4529</v>
      </c>
      <c r="D4274" s="173" t="s">
        <v>470</v>
      </c>
      <c r="E4274">
        <v>1</v>
      </c>
    </row>
    <row r="4275" spans="1:5" hidden="1" x14ac:dyDescent="0.25">
      <c r="A4275" s="173" t="s">
        <v>1668</v>
      </c>
      <c r="B4275">
        <v>38045</v>
      </c>
      <c r="C4275" s="173" t="s">
        <v>4530</v>
      </c>
      <c r="D4275" s="173" t="s">
        <v>470</v>
      </c>
      <c r="E4275">
        <v>1</v>
      </c>
    </row>
    <row r="4276" spans="1:5" hidden="1" x14ac:dyDescent="0.25">
      <c r="A4276" s="173" t="s">
        <v>514</v>
      </c>
      <c r="B4276">
        <v>38071</v>
      </c>
      <c r="C4276" s="173" t="s">
        <v>4531</v>
      </c>
      <c r="D4276" s="173" t="s">
        <v>470</v>
      </c>
      <c r="E4276">
        <v>1</v>
      </c>
    </row>
    <row r="4277" spans="1:5" hidden="1" x14ac:dyDescent="0.25">
      <c r="A4277" s="173" t="s">
        <v>514</v>
      </c>
      <c r="B4277">
        <v>38071</v>
      </c>
      <c r="C4277" s="173" t="s">
        <v>4532</v>
      </c>
      <c r="D4277" s="173" t="s">
        <v>470</v>
      </c>
      <c r="E4277">
        <v>1</v>
      </c>
    </row>
    <row r="4278" spans="1:5" hidden="1" x14ac:dyDescent="0.25">
      <c r="A4278" s="173" t="s">
        <v>514</v>
      </c>
      <c r="B4278">
        <v>38071</v>
      </c>
      <c r="C4278" s="173" t="s">
        <v>4533</v>
      </c>
      <c r="D4278" s="173" t="s">
        <v>470</v>
      </c>
      <c r="E4278">
        <v>1</v>
      </c>
    </row>
    <row r="4279" spans="1:5" hidden="1" x14ac:dyDescent="0.25">
      <c r="A4279" s="173" t="s">
        <v>514</v>
      </c>
      <c r="B4279">
        <v>38071</v>
      </c>
      <c r="C4279" s="173" t="s">
        <v>4534</v>
      </c>
      <c r="D4279" s="173" t="s">
        <v>470</v>
      </c>
      <c r="E4279">
        <v>1</v>
      </c>
    </row>
    <row r="4280" spans="1:5" hidden="1" x14ac:dyDescent="0.25">
      <c r="A4280" s="173" t="s">
        <v>514</v>
      </c>
      <c r="B4280">
        <v>38071</v>
      </c>
      <c r="C4280" s="173" t="s">
        <v>4535</v>
      </c>
      <c r="D4280" s="173" t="s">
        <v>470</v>
      </c>
      <c r="E4280">
        <v>1</v>
      </c>
    </row>
    <row r="4281" spans="1:5" hidden="1" x14ac:dyDescent="0.25">
      <c r="A4281" s="173" t="s">
        <v>514</v>
      </c>
      <c r="B4281">
        <v>38071</v>
      </c>
      <c r="C4281" s="173" t="s">
        <v>4536</v>
      </c>
      <c r="D4281" s="173" t="s">
        <v>470</v>
      </c>
      <c r="E4281">
        <v>1</v>
      </c>
    </row>
    <row r="4282" spans="1:5" hidden="1" x14ac:dyDescent="0.25">
      <c r="A4282" s="173" t="s">
        <v>1668</v>
      </c>
      <c r="B4282">
        <v>38074</v>
      </c>
      <c r="C4282" s="173" t="s">
        <v>4537</v>
      </c>
      <c r="D4282" s="173" t="s">
        <v>470</v>
      </c>
      <c r="E4282">
        <v>1</v>
      </c>
    </row>
    <row r="4283" spans="1:5" hidden="1" x14ac:dyDescent="0.25">
      <c r="A4283" s="173" t="s">
        <v>1668</v>
      </c>
      <c r="B4283">
        <v>38074</v>
      </c>
      <c r="C4283" s="173" t="s">
        <v>4538</v>
      </c>
      <c r="D4283" s="173" t="s">
        <v>470</v>
      </c>
      <c r="E4283">
        <v>1</v>
      </c>
    </row>
    <row r="4284" spans="1:5" hidden="1" x14ac:dyDescent="0.25">
      <c r="A4284" s="173" t="s">
        <v>1668</v>
      </c>
      <c r="B4284">
        <v>38074</v>
      </c>
      <c r="C4284" s="173" t="s">
        <v>4539</v>
      </c>
      <c r="D4284" s="173" t="s">
        <v>470</v>
      </c>
      <c r="E4284">
        <v>1</v>
      </c>
    </row>
    <row r="4285" spans="1:5" hidden="1" x14ac:dyDescent="0.25">
      <c r="A4285" s="173" t="s">
        <v>1668</v>
      </c>
      <c r="B4285">
        <v>38074</v>
      </c>
      <c r="C4285" s="173" t="s">
        <v>4540</v>
      </c>
      <c r="D4285" s="173" t="s">
        <v>470</v>
      </c>
      <c r="E4285">
        <v>1</v>
      </c>
    </row>
    <row r="4286" spans="1:5" hidden="1" x14ac:dyDescent="0.25">
      <c r="A4286" s="173" t="s">
        <v>1668</v>
      </c>
      <c r="B4286">
        <v>38074</v>
      </c>
      <c r="C4286" s="173" t="s">
        <v>4541</v>
      </c>
      <c r="D4286" s="173" t="s">
        <v>470</v>
      </c>
      <c r="E4286">
        <v>1</v>
      </c>
    </row>
    <row r="4287" spans="1:5" hidden="1" x14ac:dyDescent="0.25">
      <c r="A4287" s="173" t="s">
        <v>514</v>
      </c>
      <c r="B4287">
        <v>38079</v>
      </c>
      <c r="C4287" s="173" t="s">
        <v>3085</v>
      </c>
      <c r="D4287" s="173" t="s">
        <v>470</v>
      </c>
      <c r="E4287">
        <v>1</v>
      </c>
    </row>
    <row r="4288" spans="1:5" hidden="1" x14ac:dyDescent="0.25">
      <c r="A4288" s="173" t="s">
        <v>514</v>
      </c>
      <c r="B4288">
        <v>38079</v>
      </c>
      <c r="C4288" s="173" t="s">
        <v>3086</v>
      </c>
      <c r="D4288" s="173" t="s">
        <v>470</v>
      </c>
      <c r="E4288">
        <v>1</v>
      </c>
    </row>
    <row r="4289" spans="1:5" hidden="1" x14ac:dyDescent="0.25">
      <c r="A4289" s="173" t="s">
        <v>514</v>
      </c>
      <c r="B4289">
        <v>38079</v>
      </c>
      <c r="C4289" s="173" t="s">
        <v>3087</v>
      </c>
      <c r="D4289" s="173" t="s">
        <v>470</v>
      </c>
      <c r="E4289">
        <v>1</v>
      </c>
    </row>
    <row r="4290" spans="1:5" hidden="1" x14ac:dyDescent="0.25">
      <c r="A4290" s="173" t="s">
        <v>514</v>
      </c>
      <c r="B4290">
        <v>38079</v>
      </c>
      <c r="C4290" s="173" t="s">
        <v>3088</v>
      </c>
      <c r="D4290" s="173" t="s">
        <v>470</v>
      </c>
      <c r="E4290">
        <v>1</v>
      </c>
    </row>
    <row r="4291" spans="1:5" hidden="1" x14ac:dyDescent="0.25">
      <c r="A4291" s="173" t="s">
        <v>514</v>
      </c>
      <c r="B4291">
        <v>38090</v>
      </c>
      <c r="C4291" s="173" t="s">
        <v>3090</v>
      </c>
      <c r="D4291" s="173" t="s">
        <v>470</v>
      </c>
      <c r="E4291">
        <v>2</v>
      </c>
    </row>
    <row r="4292" spans="1:5" hidden="1" x14ac:dyDescent="0.25">
      <c r="A4292" s="173" t="s">
        <v>514</v>
      </c>
      <c r="B4292">
        <v>38090</v>
      </c>
      <c r="C4292" s="173" t="s">
        <v>3091</v>
      </c>
      <c r="D4292" s="173" t="s">
        <v>470</v>
      </c>
      <c r="E4292">
        <v>2</v>
      </c>
    </row>
    <row r="4293" spans="1:5" hidden="1" x14ac:dyDescent="0.25">
      <c r="A4293" s="173" t="s">
        <v>514</v>
      </c>
      <c r="B4293">
        <v>38090</v>
      </c>
      <c r="C4293" s="173" t="s">
        <v>3092</v>
      </c>
      <c r="D4293" s="173" t="s">
        <v>470</v>
      </c>
      <c r="E4293">
        <v>2</v>
      </c>
    </row>
    <row r="4294" spans="1:5" hidden="1" x14ac:dyDescent="0.25">
      <c r="A4294" s="173" t="s">
        <v>514</v>
      </c>
      <c r="B4294">
        <v>38090</v>
      </c>
      <c r="C4294" s="173" t="s">
        <v>3093</v>
      </c>
      <c r="D4294" s="173" t="s">
        <v>470</v>
      </c>
      <c r="E4294">
        <v>2</v>
      </c>
    </row>
    <row r="4295" spans="1:5" hidden="1" x14ac:dyDescent="0.25">
      <c r="A4295" s="173" t="s">
        <v>514</v>
      </c>
      <c r="B4295">
        <v>38105</v>
      </c>
      <c r="C4295" s="173" t="s">
        <v>3094</v>
      </c>
      <c r="D4295" s="173" t="s">
        <v>470</v>
      </c>
      <c r="E4295">
        <v>1</v>
      </c>
    </row>
    <row r="4296" spans="1:5" hidden="1" x14ac:dyDescent="0.25">
      <c r="A4296" s="173" t="s">
        <v>514</v>
      </c>
      <c r="B4296">
        <v>38105</v>
      </c>
      <c r="C4296" s="173" t="s">
        <v>3095</v>
      </c>
      <c r="D4296" s="173" t="s">
        <v>470</v>
      </c>
      <c r="E4296">
        <v>1</v>
      </c>
    </row>
    <row r="4297" spans="1:5" hidden="1" x14ac:dyDescent="0.25">
      <c r="A4297" s="173" t="s">
        <v>514</v>
      </c>
      <c r="B4297">
        <v>38105</v>
      </c>
      <c r="C4297" s="173" t="s">
        <v>3096</v>
      </c>
      <c r="D4297" s="173" t="s">
        <v>470</v>
      </c>
      <c r="E4297">
        <v>1</v>
      </c>
    </row>
    <row r="4298" spans="1:5" hidden="1" x14ac:dyDescent="0.25">
      <c r="A4298" s="173" t="s">
        <v>514</v>
      </c>
      <c r="B4298">
        <v>38105</v>
      </c>
      <c r="C4298" s="173" t="s">
        <v>3097</v>
      </c>
      <c r="D4298" s="173" t="s">
        <v>470</v>
      </c>
      <c r="E4298">
        <v>1</v>
      </c>
    </row>
    <row r="4299" spans="1:5" hidden="1" x14ac:dyDescent="0.25">
      <c r="A4299" s="173" t="s">
        <v>514</v>
      </c>
      <c r="B4299">
        <v>38105</v>
      </c>
      <c r="C4299" s="173" t="s">
        <v>3098</v>
      </c>
      <c r="D4299" s="173" t="s">
        <v>470</v>
      </c>
      <c r="E4299">
        <v>1</v>
      </c>
    </row>
    <row r="4300" spans="1:5" hidden="1" x14ac:dyDescent="0.25">
      <c r="A4300" s="173" t="s">
        <v>514</v>
      </c>
      <c r="B4300">
        <v>38116</v>
      </c>
      <c r="C4300" s="173" t="s">
        <v>3099</v>
      </c>
      <c r="D4300" s="173" t="s">
        <v>470</v>
      </c>
      <c r="E4300">
        <v>1</v>
      </c>
    </row>
    <row r="4301" spans="1:5" hidden="1" x14ac:dyDescent="0.25">
      <c r="A4301" s="173" t="s">
        <v>514</v>
      </c>
      <c r="B4301">
        <v>38116</v>
      </c>
      <c r="C4301" s="173" t="s">
        <v>3100</v>
      </c>
      <c r="D4301" s="173" t="s">
        <v>470</v>
      </c>
      <c r="E4301">
        <v>1</v>
      </c>
    </row>
    <row r="4302" spans="1:5" hidden="1" x14ac:dyDescent="0.25">
      <c r="A4302" s="173" t="s">
        <v>514</v>
      </c>
      <c r="B4302">
        <v>38116</v>
      </c>
      <c r="C4302" s="173" t="s">
        <v>3101</v>
      </c>
      <c r="D4302" s="173" t="s">
        <v>470</v>
      </c>
      <c r="E4302">
        <v>1</v>
      </c>
    </row>
    <row r="4303" spans="1:5" hidden="1" x14ac:dyDescent="0.25">
      <c r="A4303" s="173" t="s">
        <v>1668</v>
      </c>
      <c r="B4303">
        <v>38118</v>
      </c>
      <c r="C4303" s="173" t="s">
        <v>3102</v>
      </c>
      <c r="D4303" s="173" t="s">
        <v>470</v>
      </c>
      <c r="E4303">
        <v>1</v>
      </c>
    </row>
    <row r="4304" spans="1:5" hidden="1" x14ac:dyDescent="0.25">
      <c r="A4304" s="173" t="s">
        <v>1668</v>
      </c>
      <c r="B4304">
        <v>38118</v>
      </c>
      <c r="C4304" s="173" t="s">
        <v>3103</v>
      </c>
      <c r="D4304" s="173" t="s">
        <v>470</v>
      </c>
      <c r="E4304">
        <v>1</v>
      </c>
    </row>
    <row r="4305" spans="1:5" hidden="1" x14ac:dyDescent="0.25">
      <c r="A4305" s="173" t="s">
        <v>1668</v>
      </c>
      <c r="B4305">
        <v>38118</v>
      </c>
      <c r="C4305" s="173" t="s">
        <v>3104</v>
      </c>
      <c r="D4305" s="173" t="s">
        <v>470</v>
      </c>
      <c r="E4305">
        <v>1</v>
      </c>
    </row>
    <row r="4306" spans="1:5" hidden="1" x14ac:dyDescent="0.25">
      <c r="A4306" s="173" t="s">
        <v>1668</v>
      </c>
      <c r="B4306">
        <v>38118</v>
      </c>
      <c r="C4306" s="173" t="s">
        <v>3105</v>
      </c>
      <c r="D4306" s="173" t="s">
        <v>470</v>
      </c>
      <c r="E4306">
        <v>1</v>
      </c>
    </row>
    <row r="4307" spans="1:5" hidden="1" x14ac:dyDescent="0.25">
      <c r="A4307" s="173" t="s">
        <v>1668</v>
      </c>
      <c r="B4307">
        <v>38119</v>
      </c>
      <c r="C4307" s="173" t="s">
        <v>4542</v>
      </c>
      <c r="D4307" s="173" t="s">
        <v>470</v>
      </c>
      <c r="E4307">
        <v>1</v>
      </c>
    </row>
    <row r="4308" spans="1:5" hidden="1" x14ac:dyDescent="0.25">
      <c r="A4308" s="173" t="s">
        <v>1668</v>
      </c>
      <c r="B4308">
        <v>38119</v>
      </c>
      <c r="C4308" s="173" t="s">
        <v>4543</v>
      </c>
      <c r="D4308" s="173" t="s">
        <v>470</v>
      </c>
      <c r="E4308">
        <v>1</v>
      </c>
    </row>
    <row r="4309" spans="1:5" hidden="1" x14ac:dyDescent="0.25">
      <c r="A4309" s="173" t="s">
        <v>1668</v>
      </c>
      <c r="B4309">
        <v>38119</v>
      </c>
      <c r="C4309" s="173" t="s">
        <v>4544</v>
      </c>
      <c r="D4309" s="173" t="s">
        <v>470</v>
      </c>
      <c r="E4309">
        <v>1</v>
      </c>
    </row>
    <row r="4310" spans="1:5" hidden="1" x14ac:dyDescent="0.25">
      <c r="A4310" s="173" t="s">
        <v>1668</v>
      </c>
      <c r="B4310">
        <v>38134</v>
      </c>
      <c r="C4310" s="173" t="s">
        <v>4545</v>
      </c>
      <c r="D4310" s="173" t="s">
        <v>517</v>
      </c>
      <c r="E4310">
        <v>1</v>
      </c>
    </row>
    <row r="4311" spans="1:5" hidden="1" x14ac:dyDescent="0.25">
      <c r="A4311" s="173" t="s">
        <v>1668</v>
      </c>
      <c r="B4311">
        <v>38134</v>
      </c>
      <c r="C4311" s="173" t="s">
        <v>4546</v>
      </c>
      <c r="D4311" s="173" t="s">
        <v>517</v>
      </c>
      <c r="E4311">
        <v>1</v>
      </c>
    </row>
    <row r="4312" spans="1:5" hidden="1" x14ac:dyDescent="0.25">
      <c r="A4312" s="173" t="s">
        <v>1668</v>
      </c>
      <c r="B4312">
        <v>38134</v>
      </c>
      <c r="C4312" s="173" t="s">
        <v>4547</v>
      </c>
      <c r="D4312" s="173" t="s">
        <v>517</v>
      </c>
      <c r="E4312">
        <v>1</v>
      </c>
    </row>
    <row r="4313" spans="1:5" hidden="1" x14ac:dyDescent="0.25">
      <c r="A4313" s="173" t="s">
        <v>1668</v>
      </c>
      <c r="B4313">
        <v>38134</v>
      </c>
      <c r="C4313" s="173" t="s">
        <v>4548</v>
      </c>
      <c r="D4313" s="173" t="s">
        <v>517</v>
      </c>
      <c r="E4313">
        <v>1</v>
      </c>
    </row>
    <row r="4314" spans="1:5" hidden="1" x14ac:dyDescent="0.25">
      <c r="A4314" s="173" t="s">
        <v>514</v>
      </c>
      <c r="B4314">
        <v>38143</v>
      </c>
      <c r="C4314" s="173" t="s">
        <v>3106</v>
      </c>
      <c r="D4314" s="173" t="s">
        <v>470</v>
      </c>
      <c r="E4314">
        <v>1</v>
      </c>
    </row>
    <row r="4315" spans="1:5" hidden="1" x14ac:dyDescent="0.25">
      <c r="A4315" s="173" t="s">
        <v>514</v>
      </c>
      <c r="B4315">
        <v>38143</v>
      </c>
      <c r="C4315" s="173" t="s">
        <v>3107</v>
      </c>
      <c r="D4315" s="173" t="s">
        <v>470</v>
      </c>
      <c r="E4315">
        <v>1</v>
      </c>
    </row>
    <row r="4316" spans="1:5" hidden="1" x14ac:dyDescent="0.25">
      <c r="A4316" s="173" t="s">
        <v>514</v>
      </c>
      <c r="B4316">
        <v>38143</v>
      </c>
      <c r="C4316" s="173" t="s">
        <v>3108</v>
      </c>
      <c r="D4316" s="173" t="s">
        <v>470</v>
      </c>
      <c r="E4316">
        <v>1</v>
      </c>
    </row>
    <row r="4317" spans="1:5" hidden="1" x14ac:dyDescent="0.25">
      <c r="A4317" s="173" t="s">
        <v>514</v>
      </c>
      <c r="B4317">
        <v>38143</v>
      </c>
      <c r="C4317" s="173" t="s">
        <v>3109</v>
      </c>
      <c r="D4317" s="173" t="s">
        <v>470</v>
      </c>
      <c r="E4317">
        <v>1</v>
      </c>
    </row>
    <row r="4318" spans="1:5" hidden="1" x14ac:dyDescent="0.25">
      <c r="A4318" s="173" t="s">
        <v>2936</v>
      </c>
      <c r="B4318">
        <v>38146</v>
      </c>
      <c r="C4318" s="173" t="s">
        <v>3110</v>
      </c>
      <c r="D4318" s="173" t="s">
        <v>517</v>
      </c>
      <c r="E4318">
        <v>1</v>
      </c>
    </row>
    <row r="4319" spans="1:5" hidden="1" x14ac:dyDescent="0.25">
      <c r="A4319" s="173" t="s">
        <v>2936</v>
      </c>
      <c r="B4319">
        <v>38146</v>
      </c>
      <c r="C4319" s="173" t="s">
        <v>3111</v>
      </c>
      <c r="D4319" s="173" t="s">
        <v>517</v>
      </c>
      <c r="E4319">
        <v>1</v>
      </c>
    </row>
    <row r="4320" spans="1:5" hidden="1" x14ac:dyDescent="0.25">
      <c r="A4320" s="173" t="s">
        <v>2936</v>
      </c>
      <c r="B4320">
        <v>38146</v>
      </c>
      <c r="C4320" s="173" t="s">
        <v>3112</v>
      </c>
      <c r="D4320" s="173" t="s">
        <v>517</v>
      </c>
      <c r="E4320">
        <v>1</v>
      </c>
    </row>
    <row r="4321" spans="1:5" hidden="1" x14ac:dyDescent="0.25">
      <c r="A4321" s="173" t="s">
        <v>2936</v>
      </c>
      <c r="B4321">
        <v>38146</v>
      </c>
      <c r="C4321" s="173" t="s">
        <v>3113</v>
      </c>
      <c r="D4321" s="173" t="s">
        <v>517</v>
      </c>
      <c r="E4321">
        <v>1</v>
      </c>
    </row>
    <row r="4322" spans="1:5" hidden="1" x14ac:dyDescent="0.25">
      <c r="A4322" s="173" t="s">
        <v>2936</v>
      </c>
      <c r="B4322">
        <v>38146</v>
      </c>
      <c r="C4322" s="173" t="s">
        <v>3114</v>
      </c>
      <c r="D4322" s="173" t="s">
        <v>517</v>
      </c>
      <c r="E4322">
        <v>1</v>
      </c>
    </row>
    <row r="4323" spans="1:5" hidden="1" x14ac:dyDescent="0.25">
      <c r="A4323" s="173" t="s">
        <v>2936</v>
      </c>
      <c r="B4323">
        <v>38146</v>
      </c>
      <c r="C4323" s="173" t="s">
        <v>3115</v>
      </c>
      <c r="D4323" s="173" t="s">
        <v>517</v>
      </c>
      <c r="E4323">
        <v>1</v>
      </c>
    </row>
    <row r="4324" spans="1:5" hidden="1" x14ac:dyDescent="0.25">
      <c r="A4324" s="173" t="s">
        <v>2936</v>
      </c>
      <c r="B4324">
        <v>38146</v>
      </c>
      <c r="C4324" s="173" t="s">
        <v>3116</v>
      </c>
      <c r="D4324" s="173" t="s">
        <v>517</v>
      </c>
      <c r="E4324">
        <v>1</v>
      </c>
    </row>
    <row r="4325" spans="1:5" hidden="1" x14ac:dyDescent="0.25">
      <c r="A4325" s="173" t="s">
        <v>2936</v>
      </c>
      <c r="B4325">
        <v>38152</v>
      </c>
      <c r="C4325" s="173" t="s">
        <v>4899</v>
      </c>
      <c r="D4325" s="173" t="s">
        <v>470</v>
      </c>
      <c r="E4325">
        <v>1</v>
      </c>
    </row>
    <row r="4326" spans="1:5" hidden="1" x14ac:dyDescent="0.25">
      <c r="A4326" s="173" t="s">
        <v>2936</v>
      </c>
      <c r="B4326">
        <v>38152</v>
      </c>
      <c r="C4326" s="173" t="s">
        <v>4900</v>
      </c>
      <c r="D4326" s="173" t="s">
        <v>470</v>
      </c>
      <c r="E4326">
        <v>1</v>
      </c>
    </row>
    <row r="4327" spans="1:5" hidden="1" x14ac:dyDescent="0.25">
      <c r="A4327" s="173" t="s">
        <v>2936</v>
      </c>
      <c r="B4327">
        <v>38153</v>
      </c>
      <c r="C4327" s="173" t="s">
        <v>4549</v>
      </c>
      <c r="D4327" s="173" t="s">
        <v>470</v>
      </c>
      <c r="E4327">
        <v>2</v>
      </c>
    </row>
    <row r="4328" spans="1:5" hidden="1" x14ac:dyDescent="0.25">
      <c r="A4328" s="173" t="s">
        <v>2936</v>
      </c>
      <c r="B4328">
        <v>38153</v>
      </c>
      <c r="C4328" s="173" t="s">
        <v>4550</v>
      </c>
      <c r="D4328" s="173" t="s">
        <v>470</v>
      </c>
      <c r="E4328">
        <v>2</v>
      </c>
    </row>
    <row r="4329" spans="1:5" hidden="1" x14ac:dyDescent="0.25">
      <c r="A4329" s="173" t="s">
        <v>2936</v>
      </c>
      <c r="B4329">
        <v>38153</v>
      </c>
      <c r="C4329" s="173" t="s">
        <v>4551</v>
      </c>
      <c r="D4329" s="173" t="s">
        <v>470</v>
      </c>
      <c r="E4329">
        <v>2</v>
      </c>
    </row>
    <row r="4330" spans="1:5" hidden="1" x14ac:dyDescent="0.25">
      <c r="A4330" s="173" t="s">
        <v>514</v>
      </c>
      <c r="B4330">
        <v>38161</v>
      </c>
      <c r="C4330" s="173" t="s">
        <v>4552</v>
      </c>
      <c r="D4330" s="173" t="s">
        <v>470</v>
      </c>
      <c r="E4330">
        <v>1</v>
      </c>
    </row>
    <row r="4331" spans="1:5" hidden="1" x14ac:dyDescent="0.25">
      <c r="A4331" s="173" t="s">
        <v>514</v>
      </c>
      <c r="B4331">
        <v>38161</v>
      </c>
      <c r="C4331" s="173" t="s">
        <v>4553</v>
      </c>
      <c r="D4331" s="173" t="s">
        <v>470</v>
      </c>
      <c r="E4331">
        <v>1</v>
      </c>
    </row>
    <row r="4332" spans="1:5" hidden="1" x14ac:dyDescent="0.25">
      <c r="A4332" s="173" t="s">
        <v>514</v>
      </c>
      <c r="B4332">
        <v>38161</v>
      </c>
      <c r="C4332" s="173" t="s">
        <v>4554</v>
      </c>
      <c r="D4332" s="173" t="s">
        <v>470</v>
      </c>
      <c r="E4332">
        <v>1</v>
      </c>
    </row>
    <row r="4333" spans="1:5" hidden="1" x14ac:dyDescent="0.25">
      <c r="A4333" s="173" t="s">
        <v>514</v>
      </c>
      <c r="B4333">
        <v>38161</v>
      </c>
      <c r="C4333" s="173" t="s">
        <v>4555</v>
      </c>
      <c r="D4333" s="173" t="s">
        <v>470</v>
      </c>
      <c r="E4333">
        <v>1</v>
      </c>
    </row>
    <row r="4334" spans="1:5" hidden="1" x14ac:dyDescent="0.25">
      <c r="A4334" s="173" t="s">
        <v>2936</v>
      </c>
      <c r="B4334">
        <v>38213</v>
      </c>
      <c r="C4334" s="173" t="s">
        <v>4556</v>
      </c>
      <c r="D4334" s="173" t="s">
        <v>470</v>
      </c>
      <c r="E4334">
        <v>2</v>
      </c>
    </row>
    <row r="4335" spans="1:5" hidden="1" x14ac:dyDescent="0.25">
      <c r="A4335" s="173" t="s">
        <v>2936</v>
      </c>
      <c r="B4335">
        <v>38213</v>
      </c>
      <c r="C4335" s="173" t="s">
        <v>4557</v>
      </c>
      <c r="D4335" s="173" t="s">
        <v>470</v>
      </c>
      <c r="E4335">
        <v>2</v>
      </c>
    </row>
    <row r="4336" spans="1:5" hidden="1" x14ac:dyDescent="0.25">
      <c r="A4336" s="173" t="s">
        <v>2936</v>
      </c>
      <c r="B4336">
        <v>38215</v>
      </c>
      <c r="C4336" s="173" t="s">
        <v>3117</v>
      </c>
      <c r="D4336" s="173" t="s">
        <v>517</v>
      </c>
      <c r="E4336">
        <v>1</v>
      </c>
    </row>
    <row r="4337" spans="1:5" hidden="1" x14ac:dyDescent="0.25">
      <c r="A4337" s="173" t="s">
        <v>2936</v>
      </c>
      <c r="B4337">
        <v>38215</v>
      </c>
      <c r="C4337" s="173" t="s">
        <v>3118</v>
      </c>
      <c r="D4337" s="173" t="s">
        <v>517</v>
      </c>
      <c r="E4337">
        <v>1</v>
      </c>
    </row>
    <row r="4338" spans="1:5" hidden="1" x14ac:dyDescent="0.25">
      <c r="A4338" s="173" t="s">
        <v>2936</v>
      </c>
      <c r="B4338">
        <v>38215</v>
      </c>
      <c r="C4338" s="173" t="s">
        <v>3119</v>
      </c>
      <c r="D4338" s="173" t="s">
        <v>517</v>
      </c>
      <c r="E4338">
        <v>1</v>
      </c>
    </row>
    <row r="4339" spans="1:5" hidden="1" x14ac:dyDescent="0.25">
      <c r="A4339" s="173" t="s">
        <v>2936</v>
      </c>
      <c r="B4339">
        <v>38215</v>
      </c>
      <c r="C4339" s="173" t="s">
        <v>3120</v>
      </c>
      <c r="D4339" s="173" t="s">
        <v>517</v>
      </c>
      <c r="E4339">
        <v>1</v>
      </c>
    </row>
    <row r="4340" spans="1:5" hidden="1" x14ac:dyDescent="0.25">
      <c r="A4340" s="173" t="s">
        <v>514</v>
      </c>
      <c r="B4340">
        <v>38232</v>
      </c>
      <c r="C4340" s="173" t="s">
        <v>3121</v>
      </c>
      <c r="D4340" s="173" t="s">
        <v>470</v>
      </c>
      <c r="E4340">
        <v>1</v>
      </c>
    </row>
    <row r="4341" spans="1:5" hidden="1" x14ac:dyDescent="0.25">
      <c r="A4341" s="173" t="s">
        <v>514</v>
      </c>
      <c r="B4341">
        <v>38232</v>
      </c>
      <c r="C4341" s="173" t="s">
        <v>3122</v>
      </c>
      <c r="D4341" s="173" t="s">
        <v>470</v>
      </c>
      <c r="E4341">
        <v>1</v>
      </c>
    </row>
    <row r="4342" spans="1:5" hidden="1" x14ac:dyDescent="0.25">
      <c r="A4342" s="173" t="s">
        <v>514</v>
      </c>
      <c r="B4342">
        <v>38232</v>
      </c>
      <c r="C4342" s="173" t="s">
        <v>3123</v>
      </c>
      <c r="D4342" s="173" t="s">
        <v>470</v>
      </c>
      <c r="E4342">
        <v>1</v>
      </c>
    </row>
    <row r="4343" spans="1:5" hidden="1" x14ac:dyDescent="0.25">
      <c r="A4343" s="173" t="s">
        <v>514</v>
      </c>
      <c r="B4343">
        <v>38232</v>
      </c>
      <c r="C4343" s="173" t="s">
        <v>3124</v>
      </c>
      <c r="D4343" s="173" t="s">
        <v>470</v>
      </c>
      <c r="E4343">
        <v>1</v>
      </c>
    </row>
    <row r="4344" spans="1:5" hidden="1" x14ac:dyDescent="0.25">
      <c r="A4344" s="173" t="s">
        <v>514</v>
      </c>
      <c r="B4344">
        <v>38263</v>
      </c>
      <c r="C4344" s="173" t="s">
        <v>4558</v>
      </c>
      <c r="D4344" s="173" t="s">
        <v>470</v>
      </c>
      <c r="E4344">
        <v>1</v>
      </c>
    </row>
    <row r="4345" spans="1:5" hidden="1" x14ac:dyDescent="0.25">
      <c r="A4345" s="173" t="s">
        <v>514</v>
      </c>
      <c r="B4345">
        <v>38263</v>
      </c>
      <c r="C4345" s="173" t="s">
        <v>4559</v>
      </c>
      <c r="D4345" s="173" t="s">
        <v>470</v>
      </c>
      <c r="E4345">
        <v>1</v>
      </c>
    </row>
    <row r="4346" spans="1:5" hidden="1" x14ac:dyDescent="0.25">
      <c r="A4346" s="173" t="s">
        <v>514</v>
      </c>
      <c r="B4346">
        <v>38263</v>
      </c>
      <c r="C4346" s="173" t="s">
        <v>4560</v>
      </c>
      <c r="D4346" s="173" t="s">
        <v>470</v>
      </c>
      <c r="E4346">
        <v>1</v>
      </c>
    </row>
    <row r="4347" spans="1:5" hidden="1" x14ac:dyDescent="0.25">
      <c r="A4347" s="173" t="s">
        <v>514</v>
      </c>
      <c r="B4347">
        <v>38263</v>
      </c>
      <c r="C4347" s="173" t="s">
        <v>4561</v>
      </c>
      <c r="D4347" s="173" t="s">
        <v>470</v>
      </c>
      <c r="E4347">
        <v>1</v>
      </c>
    </row>
    <row r="4348" spans="1:5" hidden="1" x14ac:dyDescent="0.25">
      <c r="A4348" s="173" t="s">
        <v>2936</v>
      </c>
      <c r="B4348">
        <v>38302</v>
      </c>
      <c r="C4348" s="173" t="s">
        <v>4562</v>
      </c>
      <c r="D4348" s="173" t="s">
        <v>470</v>
      </c>
      <c r="E4348">
        <v>1</v>
      </c>
    </row>
    <row r="4349" spans="1:5" hidden="1" x14ac:dyDescent="0.25">
      <c r="A4349" s="173" t="s">
        <v>2936</v>
      </c>
      <c r="B4349">
        <v>38302</v>
      </c>
      <c r="C4349" s="173" t="s">
        <v>4563</v>
      </c>
      <c r="D4349" s="173" t="s">
        <v>470</v>
      </c>
      <c r="E4349">
        <v>1</v>
      </c>
    </row>
    <row r="4350" spans="1:5" hidden="1" x14ac:dyDescent="0.25">
      <c r="A4350" s="173" t="s">
        <v>2936</v>
      </c>
      <c r="B4350">
        <v>38302</v>
      </c>
      <c r="C4350" s="173" t="s">
        <v>4564</v>
      </c>
      <c r="D4350" s="173" t="s">
        <v>470</v>
      </c>
      <c r="E4350">
        <v>1</v>
      </c>
    </row>
    <row r="4351" spans="1:5" hidden="1" x14ac:dyDescent="0.25">
      <c r="A4351" s="173" t="s">
        <v>2936</v>
      </c>
      <c r="B4351">
        <v>38302</v>
      </c>
      <c r="C4351" s="173" t="s">
        <v>4565</v>
      </c>
      <c r="D4351" s="173" t="s">
        <v>470</v>
      </c>
      <c r="E4351">
        <v>1</v>
      </c>
    </row>
    <row r="4352" spans="1:5" x14ac:dyDescent="0.25">
      <c r="A4352" s="173" t="s">
        <v>468</v>
      </c>
      <c r="B4352">
        <v>65001</v>
      </c>
      <c r="C4352" s="173" t="s">
        <v>3528</v>
      </c>
      <c r="D4352" s="173" t="s">
        <v>470</v>
      </c>
      <c r="E4352">
        <v>1</v>
      </c>
    </row>
    <row r="4353" spans="1:5" x14ac:dyDescent="0.25">
      <c r="A4353" s="173" t="s">
        <v>468</v>
      </c>
      <c r="B4353">
        <v>65001</v>
      </c>
      <c r="C4353" s="173" t="s">
        <v>4566</v>
      </c>
      <c r="D4353" s="173" t="s">
        <v>470</v>
      </c>
      <c r="E4353">
        <v>1</v>
      </c>
    </row>
    <row r="4354" spans="1:5" x14ac:dyDescent="0.25">
      <c r="A4354" s="173" t="s">
        <v>468</v>
      </c>
      <c r="B4354">
        <v>65001</v>
      </c>
      <c r="C4354" s="173" t="s">
        <v>4567</v>
      </c>
      <c r="D4354" s="173" t="s">
        <v>470</v>
      </c>
      <c r="E4354">
        <v>1</v>
      </c>
    </row>
    <row r="4355" spans="1:5" x14ac:dyDescent="0.25">
      <c r="A4355" s="173" t="s">
        <v>468</v>
      </c>
      <c r="B4355">
        <v>65003</v>
      </c>
      <c r="C4355" s="173" t="s">
        <v>3528</v>
      </c>
      <c r="D4355" s="173" t="s">
        <v>470</v>
      </c>
      <c r="E4355">
        <v>1</v>
      </c>
    </row>
    <row r="4356" spans="1:5" x14ac:dyDescent="0.25">
      <c r="A4356" s="173" t="s">
        <v>468</v>
      </c>
      <c r="B4356">
        <v>65003</v>
      </c>
      <c r="C4356" s="173" t="s">
        <v>4568</v>
      </c>
      <c r="D4356" s="173" t="s">
        <v>470</v>
      </c>
      <c r="E4356">
        <v>1</v>
      </c>
    </row>
    <row r="4357" spans="1:5" x14ac:dyDescent="0.25">
      <c r="A4357" s="173" t="s">
        <v>468</v>
      </c>
      <c r="B4357">
        <v>65003</v>
      </c>
      <c r="C4357" s="173" t="s">
        <v>4569</v>
      </c>
      <c r="D4357" s="173" t="s">
        <v>470</v>
      </c>
      <c r="E4357">
        <v>1</v>
      </c>
    </row>
    <row r="4358" spans="1:5" x14ac:dyDescent="0.25">
      <c r="A4358" s="173" t="s">
        <v>468</v>
      </c>
      <c r="B4358">
        <v>65003</v>
      </c>
      <c r="C4358" s="173" t="s">
        <v>4570</v>
      </c>
      <c r="D4358" s="173" t="s">
        <v>470</v>
      </c>
      <c r="E4358">
        <v>1</v>
      </c>
    </row>
    <row r="4359" spans="1:5" x14ac:dyDescent="0.25">
      <c r="A4359" s="173" t="s">
        <v>468</v>
      </c>
      <c r="B4359">
        <v>65003</v>
      </c>
      <c r="C4359" s="173" t="s">
        <v>4571</v>
      </c>
      <c r="D4359" s="173" t="s">
        <v>470</v>
      </c>
      <c r="E4359">
        <v>1</v>
      </c>
    </row>
    <row r="4360" spans="1:5" x14ac:dyDescent="0.25">
      <c r="A4360" s="173" t="s">
        <v>468</v>
      </c>
      <c r="B4360">
        <v>65003</v>
      </c>
      <c r="C4360" s="173" t="s">
        <v>4572</v>
      </c>
      <c r="D4360" s="173" t="s">
        <v>470</v>
      </c>
      <c r="E4360">
        <v>1</v>
      </c>
    </row>
    <row r="4361" spans="1:5" x14ac:dyDescent="0.25">
      <c r="A4361" s="173" t="s">
        <v>468</v>
      </c>
      <c r="B4361">
        <v>65011</v>
      </c>
      <c r="C4361" s="173" t="s">
        <v>2409</v>
      </c>
      <c r="D4361" s="173" t="s">
        <v>470</v>
      </c>
      <c r="E4361">
        <v>1</v>
      </c>
    </row>
    <row r="4362" spans="1:5" x14ac:dyDescent="0.25">
      <c r="A4362" s="173" t="s">
        <v>468</v>
      </c>
      <c r="B4362">
        <v>65011</v>
      </c>
      <c r="C4362" s="173" t="s">
        <v>3772</v>
      </c>
      <c r="D4362" s="173" t="s">
        <v>470</v>
      </c>
      <c r="E4362">
        <v>1</v>
      </c>
    </row>
    <row r="4363" spans="1:5" x14ac:dyDescent="0.25">
      <c r="A4363" s="173" t="s">
        <v>468</v>
      </c>
      <c r="B4363">
        <v>65011</v>
      </c>
      <c r="C4363" s="173" t="s">
        <v>3773</v>
      </c>
      <c r="D4363" s="173" t="s">
        <v>470</v>
      </c>
      <c r="E4363">
        <v>1</v>
      </c>
    </row>
    <row r="4364" spans="1:5" x14ac:dyDescent="0.25">
      <c r="A4364" s="173" t="s">
        <v>468</v>
      </c>
      <c r="B4364">
        <v>65011</v>
      </c>
      <c r="C4364" s="173" t="s">
        <v>3774</v>
      </c>
      <c r="D4364" s="173" t="s">
        <v>470</v>
      </c>
      <c r="E4364">
        <v>1</v>
      </c>
    </row>
    <row r="4365" spans="1:5" x14ac:dyDescent="0.25">
      <c r="A4365" s="173" t="s">
        <v>468</v>
      </c>
      <c r="B4365">
        <v>65011</v>
      </c>
      <c r="C4365" s="173" t="s">
        <v>3775</v>
      </c>
      <c r="D4365" s="173" t="s">
        <v>470</v>
      </c>
      <c r="E4365">
        <v>1</v>
      </c>
    </row>
    <row r="4366" spans="1:5" x14ac:dyDescent="0.25">
      <c r="A4366" s="173" t="s">
        <v>468</v>
      </c>
      <c r="B4366">
        <v>65011</v>
      </c>
      <c r="C4366" s="173" t="s">
        <v>3776</v>
      </c>
      <c r="D4366" s="173" t="s">
        <v>470</v>
      </c>
      <c r="E4366">
        <v>1</v>
      </c>
    </row>
    <row r="4367" spans="1:5" x14ac:dyDescent="0.25">
      <c r="A4367" s="173" t="s">
        <v>468</v>
      </c>
      <c r="B4367">
        <v>65011</v>
      </c>
      <c r="C4367" s="173" t="s">
        <v>2490</v>
      </c>
      <c r="D4367" s="173" t="s">
        <v>470</v>
      </c>
      <c r="E4367">
        <v>1</v>
      </c>
    </row>
    <row r="4368" spans="1:5" x14ac:dyDescent="0.25">
      <c r="A4368" s="173" t="s">
        <v>468</v>
      </c>
      <c r="B4368">
        <v>65011</v>
      </c>
      <c r="C4368" s="173" t="s">
        <v>3822</v>
      </c>
      <c r="D4368" s="173" t="s">
        <v>470</v>
      </c>
      <c r="E4368">
        <v>1</v>
      </c>
    </row>
    <row r="4369" spans="1:5" x14ac:dyDescent="0.25">
      <c r="A4369" s="173" t="s">
        <v>468</v>
      </c>
      <c r="B4369">
        <v>65011</v>
      </c>
      <c r="C4369" s="173" t="s">
        <v>3165</v>
      </c>
      <c r="D4369" s="173" t="s">
        <v>470</v>
      </c>
      <c r="E4369">
        <v>1</v>
      </c>
    </row>
    <row r="4370" spans="1:5" x14ac:dyDescent="0.25">
      <c r="A4370" s="173" t="s">
        <v>468</v>
      </c>
      <c r="B4370">
        <v>65011</v>
      </c>
      <c r="C4370" s="173" t="s">
        <v>2458</v>
      </c>
      <c r="D4370" s="173" t="s">
        <v>470</v>
      </c>
      <c r="E4370">
        <v>1</v>
      </c>
    </row>
    <row r="4371" spans="1:5" x14ac:dyDescent="0.25">
      <c r="A4371" s="173" t="s">
        <v>468</v>
      </c>
      <c r="B4371">
        <v>65011</v>
      </c>
      <c r="C4371" s="173" t="s">
        <v>4573</v>
      </c>
      <c r="D4371" s="173" t="s">
        <v>470</v>
      </c>
      <c r="E4371">
        <v>1</v>
      </c>
    </row>
    <row r="4372" spans="1:5" x14ac:dyDescent="0.25">
      <c r="A4372" s="173" t="s">
        <v>468</v>
      </c>
      <c r="B4372">
        <v>65013</v>
      </c>
      <c r="C4372" s="173" t="s">
        <v>2478</v>
      </c>
      <c r="D4372" s="173" t="s">
        <v>470</v>
      </c>
      <c r="E4372">
        <v>1</v>
      </c>
    </row>
    <row r="4373" spans="1:5" x14ac:dyDescent="0.25">
      <c r="A4373" s="173" t="s">
        <v>468</v>
      </c>
      <c r="B4373">
        <v>65013</v>
      </c>
      <c r="C4373" s="173" t="s">
        <v>3772</v>
      </c>
      <c r="D4373" s="173" t="s">
        <v>470</v>
      </c>
      <c r="E4373">
        <v>1</v>
      </c>
    </row>
    <row r="4374" spans="1:5" x14ac:dyDescent="0.25">
      <c r="A4374" s="173" t="s">
        <v>468</v>
      </c>
      <c r="B4374">
        <v>65013</v>
      </c>
      <c r="C4374" s="173" t="s">
        <v>3773</v>
      </c>
      <c r="D4374" s="173" t="s">
        <v>470</v>
      </c>
      <c r="E4374">
        <v>1</v>
      </c>
    </row>
    <row r="4375" spans="1:5" x14ac:dyDescent="0.25">
      <c r="A4375" s="173" t="s">
        <v>468</v>
      </c>
      <c r="B4375">
        <v>65013</v>
      </c>
      <c r="C4375" s="173" t="s">
        <v>4574</v>
      </c>
      <c r="D4375" s="173" t="s">
        <v>470</v>
      </c>
      <c r="E4375">
        <v>1</v>
      </c>
    </row>
    <row r="4376" spans="1:5" x14ac:dyDescent="0.25">
      <c r="A4376" s="173" t="s">
        <v>468</v>
      </c>
      <c r="B4376">
        <v>65013</v>
      </c>
      <c r="C4376" s="173" t="s">
        <v>3774</v>
      </c>
      <c r="D4376" s="173" t="s">
        <v>470</v>
      </c>
      <c r="E4376">
        <v>1</v>
      </c>
    </row>
    <row r="4377" spans="1:5" x14ac:dyDescent="0.25">
      <c r="A4377" s="173" t="s">
        <v>468</v>
      </c>
      <c r="B4377">
        <v>65013</v>
      </c>
      <c r="C4377" s="173" t="s">
        <v>2489</v>
      </c>
      <c r="D4377" s="173" t="s">
        <v>470</v>
      </c>
      <c r="E4377">
        <v>1</v>
      </c>
    </row>
    <row r="4378" spans="1:5" x14ac:dyDescent="0.25">
      <c r="A4378" s="173" t="s">
        <v>468</v>
      </c>
      <c r="B4378">
        <v>65013</v>
      </c>
      <c r="C4378" s="173" t="s">
        <v>3775</v>
      </c>
      <c r="D4378" s="173" t="s">
        <v>470</v>
      </c>
      <c r="E4378">
        <v>1</v>
      </c>
    </row>
    <row r="4379" spans="1:5" x14ac:dyDescent="0.25">
      <c r="A4379" s="173" t="s">
        <v>468</v>
      </c>
      <c r="B4379">
        <v>65025</v>
      </c>
      <c r="C4379" s="173" t="s">
        <v>472</v>
      </c>
      <c r="D4379" s="173" t="s">
        <v>470</v>
      </c>
      <c r="E4379">
        <v>1</v>
      </c>
    </row>
    <row r="4380" spans="1:5" x14ac:dyDescent="0.25">
      <c r="A4380" s="173" t="s">
        <v>468</v>
      </c>
      <c r="B4380">
        <v>65025</v>
      </c>
      <c r="C4380" s="173" t="s">
        <v>3528</v>
      </c>
      <c r="D4380" s="173" t="s">
        <v>470</v>
      </c>
      <c r="E4380">
        <v>1</v>
      </c>
    </row>
    <row r="4381" spans="1:5" x14ac:dyDescent="0.25">
      <c r="A4381" s="173" t="s">
        <v>468</v>
      </c>
      <c r="B4381">
        <v>65025</v>
      </c>
      <c r="C4381" s="173" t="s">
        <v>4575</v>
      </c>
      <c r="D4381" s="173" t="s">
        <v>470</v>
      </c>
      <c r="E4381">
        <v>1</v>
      </c>
    </row>
    <row r="4382" spans="1:5" x14ac:dyDescent="0.25">
      <c r="A4382" s="173" t="s">
        <v>468</v>
      </c>
      <c r="B4382">
        <v>65025</v>
      </c>
      <c r="C4382" s="173" t="s">
        <v>4576</v>
      </c>
      <c r="D4382" s="173" t="s">
        <v>470</v>
      </c>
      <c r="E4382">
        <v>1</v>
      </c>
    </row>
    <row r="4383" spans="1:5" x14ac:dyDescent="0.25">
      <c r="A4383" s="173" t="s">
        <v>468</v>
      </c>
      <c r="B4383">
        <v>65025</v>
      </c>
      <c r="C4383" s="173" t="s">
        <v>4577</v>
      </c>
      <c r="D4383" s="173" t="s">
        <v>470</v>
      </c>
      <c r="E4383">
        <v>1</v>
      </c>
    </row>
    <row r="4384" spans="1:5" x14ac:dyDescent="0.25">
      <c r="A4384" s="173" t="s">
        <v>468</v>
      </c>
      <c r="B4384">
        <v>65025</v>
      </c>
      <c r="C4384" s="173" t="s">
        <v>4578</v>
      </c>
      <c r="D4384" s="173" t="s">
        <v>470</v>
      </c>
      <c r="E4384">
        <v>1</v>
      </c>
    </row>
    <row r="4385" spans="1:5" x14ac:dyDescent="0.25">
      <c r="A4385" s="173" t="s">
        <v>468</v>
      </c>
      <c r="B4385">
        <v>74022</v>
      </c>
      <c r="C4385" s="173" t="s">
        <v>4579</v>
      </c>
      <c r="D4385" s="173" t="s">
        <v>470</v>
      </c>
      <c r="E4385">
        <v>6</v>
      </c>
    </row>
    <row r="4386" spans="1:5" x14ac:dyDescent="0.25">
      <c r="A4386" s="173" t="s">
        <v>468</v>
      </c>
      <c r="B4386">
        <v>74022</v>
      </c>
      <c r="C4386" s="173" t="s">
        <v>4580</v>
      </c>
      <c r="D4386" s="173" t="s">
        <v>470</v>
      </c>
      <c r="E4386">
        <v>5</v>
      </c>
    </row>
    <row r="4387" spans="1:5" x14ac:dyDescent="0.25">
      <c r="A4387" s="173" t="s">
        <v>468</v>
      </c>
      <c r="B4387">
        <v>74022</v>
      </c>
      <c r="C4387" s="173" t="s">
        <v>4581</v>
      </c>
      <c r="D4387" s="173" t="s">
        <v>470</v>
      </c>
      <c r="E4387">
        <v>3</v>
      </c>
    </row>
    <row r="4388" spans="1:5" x14ac:dyDescent="0.25">
      <c r="A4388" s="173" t="s">
        <v>468</v>
      </c>
      <c r="B4388">
        <v>74022</v>
      </c>
      <c r="C4388" s="173" t="s">
        <v>4582</v>
      </c>
      <c r="D4388" s="173" t="s">
        <v>470</v>
      </c>
      <c r="E4388">
        <v>2</v>
      </c>
    </row>
    <row r="4389" spans="1:5" x14ac:dyDescent="0.25">
      <c r="A4389" s="173" t="s">
        <v>468</v>
      </c>
      <c r="B4389">
        <v>74022</v>
      </c>
      <c r="C4389" s="173" t="s">
        <v>4583</v>
      </c>
      <c r="D4389" s="173" t="s">
        <v>470</v>
      </c>
      <c r="E4389">
        <v>5</v>
      </c>
    </row>
    <row r="4390" spans="1:5" x14ac:dyDescent="0.25">
      <c r="A4390" s="173" t="s">
        <v>468</v>
      </c>
      <c r="B4390">
        <v>74022</v>
      </c>
      <c r="C4390" s="173" t="s">
        <v>4584</v>
      </c>
      <c r="D4390" s="173" t="s">
        <v>470</v>
      </c>
      <c r="E4390">
        <v>3</v>
      </c>
    </row>
    <row r="4391" spans="1:5" x14ac:dyDescent="0.25">
      <c r="A4391" s="173" t="s">
        <v>468</v>
      </c>
      <c r="B4391">
        <v>74022</v>
      </c>
      <c r="C4391" s="173" t="s">
        <v>4585</v>
      </c>
      <c r="D4391" s="173" t="s">
        <v>470</v>
      </c>
      <c r="E4391">
        <v>3</v>
      </c>
    </row>
    <row r="4392" spans="1:5" x14ac:dyDescent="0.25">
      <c r="A4392" s="173" t="s">
        <v>468</v>
      </c>
      <c r="B4392">
        <v>74022</v>
      </c>
      <c r="C4392" s="173" t="s">
        <v>4586</v>
      </c>
      <c r="D4392" s="173" t="s">
        <v>470</v>
      </c>
      <c r="E4392">
        <v>4</v>
      </c>
    </row>
    <row r="4393" spans="1:5" x14ac:dyDescent="0.25">
      <c r="A4393" s="173" t="s">
        <v>468</v>
      </c>
      <c r="B4393">
        <v>74022</v>
      </c>
      <c r="C4393" s="173" t="s">
        <v>4587</v>
      </c>
      <c r="D4393" s="173" t="s">
        <v>470</v>
      </c>
      <c r="E4393">
        <v>3</v>
      </c>
    </row>
    <row r="4394" spans="1:5" x14ac:dyDescent="0.25">
      <c r="A4394" s="173" t="s">
        <v>468</v>
      </c>
      <c r="B4394">
        <v>74022</v>
      </c>
      <c r="C4394" s="173" t="s">
        <v>4588</v>
      </c>
      <c r="D4394" s="173" t="s">
        <v>470</v>
      </c>
      <c r="E4394">
        <v>3</v>
      </c>
    </row>
    <row r="4395" spans="1:5" x14ac:dyDescent="0.25">
      <c r="A4395" s="173" t="s">
        <v>468</v>
      </c>
      <c r="B4395">
        <v>74022</v>
      </c>
      <c r="C4395" s="173" t="s">
        <v>4589</v>
      </c>
      <c r="D4395" s="173" t="s">
        <v>470</v>
      </c>
      <c r="E4395">
        <v>3</v>
      </c>
    </row>
    <row r="4396" spans="1:5" x14ac:dyDescent="0.25">
      <c r="A4396" s="173" t="s">
        <v>468</v>
      </c>
      <c r="B4396">
        <v>74023</v>
      </c>
      <c r="C4396" s="173" t="s">
        <v>4590</v>
      </c>
      <c r="D4396" s="173" t="s">
        <v>470</v>
      </c>
      <c r="E4396">
        <v>5</v>
      </c>
    </row>
    <row r="4397" spans="1:5" x14ac:dyDescent="0.25">
      <c r="A4397" s="173" t="s">
        <v>468</v>
      </c>
      <c r="B4397">
        <v>74023</v>
      </c>
      <c r="C4397" s="173" t="s">
        <v>4591</v>
      </c>
      <c r="D4397" s="173" t="s">
        <v>470</v>
      </c>
      <c r="E4397">
        <v>4</v>
      </c>
    </row>
    <row r="4398" spans="1:5" x14ac:dyDescent="0.25">
      <c r="A4398" s="173" t="s">
        <v>468</v>
      </c>
      <c r="B4398">
        <v>74023</v>
      </c>
      <c r="C4398" s="173" t="s">
        <v>4592</v>
      </c>
      <c r="D4398" s="173" t="s">
        <v>470</v>
      </c>
      <c r="E4398">
        <v>6</v>
      </c>
    </row>
    <row r="4399" spans="1:5" x14ac:dyDescent="0.25">
      <c r="A4399" s="173" t="s">
        <v>468</v>
      </c>
      <c r="B4399">
        <v>74023</v>
      </c>
      <c r="C4399" s="173" t="s">
        <v>4593</v>
      </c>
      <c r="D4399" s="173" t="s">
        <v>470</v>
      </c>
      <c r="E4399">
        <v>4</v>
      </c>
    </row>
    <row r="4400" spans="1:5" x14ac:dyDescent="0.25">
      <c r="A4400" s="173" t="s">
        <v>468</v>
      </c>
      <c r="B4400">
        <v>74023</v>
      </c>
      <c r="C4400" s="173" t="s">
        <v>4594</v>
      </c>
      <c r="D4400" s="173" t="s">
        <v>470</v>
      </c>
      <c r="E4400">
        <v>6</v>
      </c>
    </row>
    <row r="4401" spans="1:5" x14ac:dyDescent="0.25">
      <c r="A4401" s="173" t="s">
        <v>468</v>
      </c>
      <c r="B4401">
        <v>74023</v>
      </c>
      <c r="C4401" s="173" t="s">
        <v>4595</v>
      </c>
      <c r="D4401" s="173" t="s">
        <v>470</v>
      </c>
      <c r="E4401">
        <v>6</v>
      </c>
    </row>
    <row r="4402" spans="1:5" x14ac:dyDescent="0.25">
      <c r="A4402" s="173" t="s">
        <v>468</v>
      </c>
      <c r="B4402">
        <v>74023</v>
      </c>
      <c r="C4402" s="173" t="s">
        <v>4596</v>
      </c>
      <c r="D4402" s="173" t="s">
        <v>470</v>
      </c>
      <c r="E4402">
        <v>5</v>
      </c>
    </row>
    <row r="4403" spans="1:5" x14ac:dyDescent="0.25">
      <c r="A4403" s="173" t="s">
        <v>468</v>
      </c>
      <c r="B4403">
        <v>74023</v>
      </c>
      <c r="C4403" s="173" t="s">
        <v>4597</v>
      </c>
      <c r="D4403" s="173" t="s">
        <v>470</v>
      </c>
      <c r="E4403">
        <v>3</v>
      </c>
    </row>
    <row r="4404" spans="1:5" x14ac:dyDescent="0.25">
      <c r="A4404" s="173" t="s">
        <v>468</v>
      </c>
      <c r="B4404">
        <v>74023</v>
      </c>
      <c r="C4404" s="173" t="s">
        <v>4598</v>
      </c>
      <c r="D4404" s="173" t="s">
        <v>470</v>
      </c>
      <c r="E4404">
        <v>2</v>
      </c>
    </row>
    <row r="4405" spans="1:5" x14ac:dyDescent="0.25">
      <c r="A4405" s="173" t="s">
        <v>468</v>
      </c>
      <c r="B4405">
        <v>74023</v>
      </c>
      <c r="C4405" s="173" t="s">
        <v>4599</v>
      </c>
      <c r="D4405" s="173" t="s">
        <v>470</v>
      </c>
      <c r="E4405">
        <v>5</v>
      </c>
    </row>
    <row r="4406" spans="1:5" x14ac:dyDescent="0.25">
      <c r="A4406" s="173" t="s">
        <v>468</v>
      </c>
      <c r="B4406">
        <v>74023</v>
      </c>
      <c r="C4406" s="173" t="s">
        <v>4600</v>
      </c>
      <c r="D4406" s="173" t="s">
        <v>470</v>
      </c>
      <c r="E4406">
        <v>3</v>
      </c>
    </row>
    <row r="4407" spans="1:5" x14ac:dyDescent="0.25">
      <c r="A4407" s="173" t="s">
        <v>468</v>
      </c>
      <c r="B4407">
        <v>74023</v>
      </c>
      <c r="C4407" s="173" t="s">
        <v>4601</v>
      </c>
      <c r="D4407" s="173" t="s">
        <v>470</v>
      </c>
      <c r="E4407">
        <v>2</v>
      </c>
    </row>
    <row r="4408" spans="1:5" x14ac:dyDescent="0.25">
      <c r="A4408" s="173" t="s">
        <v>468</v>
      </c>
      <c r="B4408">
        <v>74023</v>
      </c>
      <c r="C4408" s="173" t="s">
        <v>4602</v>
      </c>
      <c r="D4408" s="173" t="s">
        <v>470</v>
      </c>
      <c r="E4408">
        <v>4</v>
      </c>
    </row>
    <row r="4409" spans="1:5" x14ac:dyDescent="0.25">
      <c r="A4409" s="173" t="s">
        <v>468</v>
      </c>
      <c r="B4409">
        <v>74023</v>
      </c>
      <c r="C4409" s="173" t="s">
        <v>4603</v>
      </c>
      <c r="D4409" s="173" t="s">
        <v>470</v>
      </c>
      <c r="E4409">
        <v>3</v>
      </c>
    </row>
    <row r="4410" spans="1:5" x14ac:dyDescent="0.25">
      <c r="A4410" s="173" t="s">
        <v>468</v>
      </c>
      <c r="B4410">
        <v>74023</v>
      </c>
      <c r="C4410" s="173" t="s">
        <v>4604</v>
      </c>
      <c r="D4410" s="173" t="s">
        <v>470</v>
      </c>
      <c r="E4410">
        <v>3</v>
      </c>
    </row>
    <row r="4411" spans="1:5" x14ac:dyDescent="0.25">
      <c r="A4411" s="173" t="s">
        <v>468</v>
      </c>
      <c r="B4411">
        <v>74023</v>
      </c>
      <c r="C4411" s="173" t="s">
        <v>4605</v>
      </c>
      <c r="D4411" s="173" t="s">
        <v>470</v>
      </c>
      <c r="E4411">
        <v>4</v>
      </c>
    </row>
    <row r="4412" spans="1:5" hidden="1" x14ac:dyDescent="0.25">
      <c r="A4412" s="173" t="s">
        <v>514</v>
      </c>
      <c r="B4412">
        <v>82067</v>
      </c>
      <c r="C4412" s="173" t="s">
        <v>3128</v>
      </c>
      <c r="D4412" s="173" t="s">
        <v>470</v>
      </c>
      <c r="E4412">
        <v>1</v>
      </c>
    </row>
    <row r="4413" spans="1:5" hidden="1" x14ac:dyDescent="0.25">
      <c r="A4413" s="173" t="s">
        <v>514</v>
      </c>
      <c r="B4413">
        <v>82067</v>
      </c>
      <c r="C4413" s="173" t="s">
        <v>2534</v>
      </c>
      <c r="D4413" s="173" t="s">
        <v>470</v>
      </c>
      <c r="E4413">
        <v>1</v>
      </c>
    </row>
    <row r="4414" spans="1:5" hidden="1" x14ac:dyDescent="0.25">
      <c r="A4414" s="173" t="s">
        <v>514</v>
      </c>
      <c r="B4414">
        <v>82067</v>
      </c>
      <c r="C4414" s="173" t="s">
        <v>3129</v>
      </c>
      <c r="D4414" s="173" t="s">
        <v>470</v>
      </c>
      <c r="E4414">
        <v>2</v>
      </c>
    </row>
    <row r="4415" spans="1:5" hidden="1" x14ac:dyDescent="0.25">
      <c r="A4415" s="173" t="s">
        <v>514</v>
      </c>
      <c r="B4415">
        <v>82067</v>
      </c>
      <c r="C4415" s="173" t="s">
        <v>483</v>
      </c>
      <c r="D4415" s="173" t="s">
        <v>470</v>
      </c>
      <c r="E4415">
        <v>1</v>
      </c>
    </row>
    <row r="4416" spans="1:5" hidden="1" x14ac:dyDescent="0.25">
      <c r="A4416" s="173" t="s">
        <v>514</v>
      </c>
      <c r="B4416">
        <v>82067</v>
      </c>
      <c r="C4416" s="173" t="s">
        <v>3130</v>
      </c>
      <c r="D4416" s="173" t="s">
        <v>470</v>
      </c>
      <c r="E4416">
        <v>1</v>
      </c>
    </row>
    <row r="4417" spans="1:5" hidden="1" x14ac:dyDescent="0.25">
      <c r="A4417" s="173" t="s">
        <v>514</v>
      </c>
      <c r="B4417">
        <v>82067</v>
      </c>
      <c r="C4417" s="173" t="s">
        <v>2477</v>
      </c>
      <c r="D4417" s="173" t="s">
        <v>470</v>
      </c>
      <c r="E4417">
        <v>1</v>
      </c>
    </row>
    <row r="4418" spans="1:5" hidden="1" x14ac:dyDescent="0.25">
      <c r="A4418" s="173" t="s">
        <v>514</v>
      </c>
      <c r="B4418">
        <v>82067</v>
      </c>
      <c r="C4418" s="173" t="s">
        <v>2536</v>
      </c>
      <c r="D4418" s="173" t="s">
        <v>470</v>
      </c>
      <c r="E4418">
        <v>1</v>
      </c>
    </row>
    <row r="4419" spans="1:5" hidden="1" x14ac:dyDescent="0.25">
      <c r="A4419" s="173" t="s">
        <v>514</v>
      </c>
      <c r="B4419">
        <v>82067</v>
      </c>
      <c r="C4419" s="173" t="s">
        <v>3131</v>
      </c>
      <c r="D4419" s="173" t="s">
        <v>470</v>
      </c>
      <c r="E4419">
        <v>1</v>
      </c>
    </row>
    <row r="4420" spans="1:5" hidden="1" x14ac:dyDescent="0.25">
      <c r="A4420" s="173" t="s">
        <v>514</v>
      </c>
      <c r="B4420">
        <v>82067</v>
      </c>
      <c r="C4420" s="173" t="s">
        <v>2537</v>
      </c>
      <c r="D4420" s="173" t="s">
        <v>470</v>
      </c>
      <c r="E4420">
        <v>1</v>
      </c>
    </row>
    <row r="4421" spans="1:5" hidden="1" x14ac:dyDescent="0.25">
      <c r="A4421" s="173" t="s">
        <v>514</v>
      </c>
      <c r="B4421">
        <v>82067</v>
      </c>
      <c r="C4421" s="173" t="s">
        <v>2481</v>
      </c>
      <c r="D4421" s="173" t="s">
        <v>470</v>
      </c>
      <c r="E4421">
        <v>3</v>
      </c>
    </row>
    <row r="4422" spans="1:5" hidden="1" x14ac:dyDescent="0.25">
      <c r="A4422" s="173" t="s">
        <v>514</v>
      </c>
      <c r="B4422">
        <v>82067</v>
      </c>
      <c r="C4422" s="173" t="s">
        <v>3132</v>
      </c>
      <c r="D4422" s="173" t="s">
        <v>470</v>
      </c>
      <c r="E4422">
        <v>1</v>
      </c>
    </row>
    <row r="4423" spans="1:5" hidden="1" x14ac:dyDescent="0.25">
      <c r="A4423" s="173" t="s">
        <v>514</v>
      </c>
      <c r="B4423">
        <v>82067</v>
      </c>
      <c r="C4423" s="173" t="s">
        <v>3133</v>
      </c>
      <c r="D4423" s="173" t="s">
        <v>470</v>
      </c>
      <c r="E4423">
        <v>2</v>
      </c>
    </row>
    <row r="4424" spans="1:5" hidden="1" x14ac:dyDescent="0.25">
      <c r="A4424" s="173" t="s">
        <v>514</v>
      </c>
      <c r="B4424">
        <v>82067</v>
      </c>
      <c r="C4424" s="173" t="s">
        <v>3134</v>
      </c>
      <c r="D4424" s="173" t="s">
        <v>470</v>
      </c>
      <c r="E4424">
        <v>1</v>
      </c>
    </row>
    <row r="4425" spans="1:5" hidden="1" x14ac:dyDescent="0.25">
      <c r="A4425" s="173" t="s">
        <v>514</v>
      </c>
      <c r="B4425">
        <v>82067</v>
      </c>
      <c r="C4425" s="173" t="s">
        <v>2544</v>
      </c>
      <c r="D4425" s="173" t="s">
        <v>470</v>
      </c>
      <c r="E4425">
        <v>1</v>
      </c>
    </row>
    <row r="4426" spans="1:5" hidden="1" x14ac:dyDescent="0.25">
      <c r="A4426" s="173" t="s">
        <v>514</v>
      </c>
      <c r="B4426">
        <v>82067</v>
      </c>
      <c r="C4426" s="173" t="s">
        <v>3135</v>
      </c>
      <c r="D4426" s="173" t="s">
        <v>470</v>
      </c>
      <c r="E4426">
        <v>1</v>
      </c>
    </row>
    <row r="4427" spans="1:5" hidden="1" x14ac:dyDescent="0.25">
      <c r="A4427" s="173" t="s">
        <v>514</v>
      </c>
      <c r="B4427">
        <v>82067</v>
      </c>
      <c r="C4427" s="173" t="s">
        <v>3136</v>
      </c>
      <c r="D4427" s="173" t="s">
        <v>470</v>
      </c>
      <c r="E4427">
        <v>1</v>
      </c>
    </row>
    <row r="4428" spans="1:5" hidden="1" x14ac:dyDescent="0.25">
      <c r="A4428" s="173" t="s">
        <v>514</v>
      </c>
      <c r="B4428">
        <v>82067</v>
      </c>
      <c r="C4428" s="173" t="s">
        <v>2557</v>
      </c>
      <c r="D4428" s="173" t="s">
        <v>470</v>
      </c>
      <c r="E4428">
        <v>1</v>
      </c>
    </row>
    <row r="4429" spans="1:5" hidden="1" x14ac:dyDescent="0.25">
      <c r="A4429" s="173" t="s">
        <v>514</v>
      </c>
      <c r="B4429">
        <v>82067</v>
      </c>
      <c r="C4429" s="173" t="s">
        <v>3137</v>
      </c>
      <c r="D4429" s="173" t="s">
        <v>470</v>
      </c>
      <c r="E4429">
        <v>1</v>
      </c>
    </row>
    <row r="4430" spans="1:5" hidden="1" x14ac:dyDescent="0.25">
      <c r="A4430" s="173" t="s">
        <v>514</v>
      </c>
      <c r="B4430">
        <v>82067</v>
      </c>
      <c r="C4430" s="173" t="s">
        <v>3138</v>
      </c>
      <c r="D4430" s="173" t="s">
        <v>470</v>
      </c>
      <c r="E4430">
        <v>1</v>
      </c>
    </row>
    <row r="4431" spans="1:5" hidden="1" x14ac:dyDescent="0.25">
      <c r="A4431" s="173" t="s">
        <v>514</v>
      </c>
      <c r="B4431">
        <v>82067</v>
      </c>
      <c r="C4431" s="173" t="s">
        <v>3139</v>
      </c>
      <c r="D4431" s="173" t="s">
        <v>470</v>
      </c>
      <c r="E4431">
        <v>2</v>
      </c>
    </row>
    <row r="4432" spans="1:5" hidden="1" x14ac:dyDescent="0.25">
      <c r="A4432" s="173" t="s">
        <v>514</v>
      </c>
      <c r="B4432">
        <v>82067</v>
      </c>
      <c r="C4432" s="173" t="s">
        <v>3140</v>
      </c>
      <c r="D4432" s="173" t="s">
        <v>470</v>
      </c>
      <c r="E4432">
        <v>1</v>
      </c>
    </row>
    <row r="4433" spans="1:5" hidden="1" x14ac:dyDescent="0.25">
      <c r="A4433" s="173" t="s">
        <v>514</v>
      </c>
      <c r="B4433">
        <v>82067</v>
      </c>
      <c r="C4433" s="173" t="s">
        <v>3141</v>
      </c>
      <c r="D4433" s="173" t="s">
        <v>470</v>
      </c>
      <c r="E4433">
        <v>1</v>
      </c>
    </row>
    <row r="4434" spans="1:5" hidden="1" x14ac:dyDescent="0.25">
      <c r="A4434" s="173" t="s">
        <v>514</v>
      </c>
      <c r="B4434">
        <v>82067</v>
      </c>
      <c r="C4434" s="173" t="s">
        <v>3142</v>
      </c>
      <c r="D4434" s="173" t="s">
        <v>470</v>
      </c>
      <c r="E4434">
        <v>1</v>
      </c>
    </row>
    <row r="4435" spans="1:5" hidden="1" x14ac:dyDescent="0.25">
      <c r="A4435" s="173" t="s">
        <v>514</v>
      </c>
      <c r="B4435">
        <v>82067</v>
      </c>
      <c r="C4435" s="173" t="s">
        <v>3143</v>
      </c>
      <c r="D4435" s="173" t="s">
        <v>470</v>
      </c>
      <c r="E4435">
        <v>1</v>
      </c>
    </row>
    <row r="4436" spans="1:5" hidden="1" x14ac:dyDescent="0.25">
      <c r="A4436" s="173" t="s">
        <v>514</v>
      </c>
      <c r="B4436">
        <v>82067</v>
      </c>
      <c r="C4436" s="173" t="s">
        <v>3144</v>
      </c>
      <c r="D4436" s="173" t="s">
        <v>470</v>
      </c>
      <c r="E4436">
        <v>1</v>
      </c>
    </row>
    <row r="4437" spans="1:5" hidden="1" x14ac:dyDescent="0.25">
      <c r="A4437" s="173" t="s">
        <v>514</v>
      </c>
      <c r="B4437">
        <v>82067</v>
      </c>
      <c r="C4437" s="173" t="s">
        <v>3145</v>
      </c>
      <c r="D4437" s="173" t="s">
        <v>470</v>
      </c>
      <c r="E4437">
        <v>1</v>
      </c>
    </row>
    <row r="4438" spans="1:5" hidden="1" x14ac:dyDescent="0.25">
      <c r="A4438" s="173" t="s">
        <v>514</v>
      </c>
      <c r="B4438">
        <v>82067</v>
      </c>
      <c r="C4438" s="173" t="s">
        <v>3146</v>
      </c>
      <c r="D4438" s="173" t="s">
        <v>470</v>
      </c>
      <c r="E4438">
        <v>1</v>
      </c>
    </row>
    <row r="4439" spans="1:5" hidden="1" x14ac:dyDescent="0.25">
      <c r="A4439" s="173" t="s">
        <v>514</v>
      </c>
      <c r="B4439">
        <v>82067</v>
      </c>
      <c r="C4439" s="173" t="s">
        <v>3147</v>
      </c>
      <c r="D4439" s="173" t="s">
        <v>470</v>
      </c>
      <c r="E4439">
        <v>1</v>
      </c>
    </row>
    <row r="4440" spans="1:5" hidden="1" x14ac:dyDescent="0.25">
      <c r="A4440" s="173" t="s">
        <v>514</v>
      </c>
      <c r="B4440">
        <v>82067</v>
      </c>
      <c r="C4440" s="173" t="s">
        <v>3148</v>
      </c>
      <c r="D4440" s="173" t="s">
        <v>470</v>
      </c>
      <c r="E4440">
        <v>1</v>
      </c>
    </row>
    <row r="4441" spans="1:5" hidden="1" x14ac:dyDescent="0.25">
      <c r="A4441" s="173" t="s">
        <v>514</v>
      </c>
      <c r="B4441">
        <v>82067</v>
      </c>
      <c r="C4441" s="173" t="s">
        <v>3149</v>
      </c>
      <c r="D4441" s="173" t="s">
        <v>470</v>
      </c>
      <c r="E4441">
        <v>1</v>
      </c>
    </row>
    <row r="4442" spans="1:5" hidden="1" x14ac:dyDescent="0.25">
      <c r="A4442" s="173" t="s">
        <v>514</v>
      </c>
      <c r="B4442">
        <v>82067</v>
      </c>
      <c r="C4442" s="173" t="s">
        <v>3150</v>
      </c>
      <c r="D4442" s="173" t="s">
        <v>470</v>
      </c>
      <c r="E4442">
        <v>1</v>
      </c>
    </row>
    <row r="4443" spans="1:5" hidden="1" x14ac:dyDescent="0.25">
      <c r="A4443" s="173" t="s">
        <v>514</v>
      </c>
      <c r="B4443">
        <v>82067</v>
      </c>
      <c r="C4443" s="173" t="s">
        <v>3151</v>
      </c>
      <c r="D4443" s="173" t="s">
        <v>470</v>
      </c>
      <c r="E4443">
        <v>1</v>
      </c>
    </row>
    <row r="4444" spans="1:5" hidden="1" x14ac:dyDescent="0.25">
      <c r="A4444" s="173" t="s">
        <v>514</v>
      </c>
      <c r="B4444">
        <v>82067</v>
      </c>
      <c r="C4444" s="173" t="s">
        <v>3152</v>
      </c>
      <c r="D4444" s="173" t="s">
        <v>470</v>
      </c>
      <c r="E4444">
        <v>1</v>
      </c>
    </row>
    <row r="4445" spans="1:5" hidden="1" x14ac:dyDescent="0.25">
      <c r="A4445" s="173" t="s">
        <v>514</v>
      </c>
      <c r="B4445">
        <v>82067</v>
      </c>
      <c r="C4445" s="173" t="s">
        <v>3153</v>
      </c>
      <c r="D4445" s="173" t="s">
        <v>470</v>
      </c>
      <c r="E4445">
        <v>1</v>
      </c>
    </row>
    <row r="4446" spans="1:5" x14ac:dyDescent="0.25">
      <c r="A4446" s="173" t="s">
        <v>468</v>
      </c>
      <c r="B4446">
        <v>82790</v>
      </c>
      <c r="C4446" s="173" t="s">
        <v>2533</v>
      </c>
      <c r="D4446" s="173" t="s">
        <v>470</v>
      </c>
      <c r="E4446">
        <v>1</v>
      </c>
    </row>
    <row r="4447" spans="1:5" x14ac:dyDescent="0.25">
      <c r="A4447" s="173" t="s">
        <v>468</v>
      </c>
      <c r="B4447">
        <v>82790</v>
      </c>
      <c r="C4447" s="173" t="s">
        <v>479</v>
      </c>
      <c r="D4447" s="173" t="s">
        <v>470</v>
      </c>
      <c r="E4447">
        <v>1</v>
      </c>
    </row>
    <row r="4448" spans="1:5" x14ac:dyDescent="0.25">
      <c r="A4448" s="173" t="s">
        <v>468</v>
      </c>
      <c r="B4448">
        <v>82790</v>
      </c>
      <c r="C4448" s="173" t="s">
        <v>1071</v>
      </c>
      <c r="D4448" s="173" t="s">
        <v>470</v>
      </c>
      <c r="E4448">
        <v>1</v>
      </c>
    </row>
    <row r="4449" spans="1:5" x14ac:dyDescent="0.25">
      <c r="A4449" s="173" t="s">
        <v>468</v>
      </c>
      <c r="B4449">
        <v>82790</v>
      </c>
      <c r="C4449" s="173" t="s">
        <v>4901</v>
      </c>
      <c r="D4449" s="173" t="s">
        <v>470</v>
      </c>
      <c r="E4449">
        <v>1</v>
      </c>
    </row>
    <row r="4450" spans="1:5" x14ac:dyDescent="0.25">
      <c r="A4450" s="173" t="s">
        <v>468</v>
      </c>
      <c r="B4450">
        <v>82790</v>
      </c>
      <c r="C4450" s="173" t="s">
        <v>2483</v>
      </c>
      <c r="D4450" s="173" t="s">
        <v>470</v>
      </c>
      <c r="E4450">
        <v>1</v>
      </c>
    </row>
    <row r="4451" spans="1:5" x14ac:dyDescent="0.25">
      <c r="A4451" s="173" t="s">
        <v>468</v>
      </c>
      <c r="B4451">
        <v>82790</v>
      </c>
      <c r="C4451" s="173" t="s">
        <v>2484</v>
      </c>
      <c r="D4451" s="173" t="s">
        <v>470</v>
      </c>
      <c r="E4451">
        <v>1</v>
      </c>
    </row>
    <row r="4452" spans="1:5" x14ac:dyDescent="0.25">
      <c r="A4452" s="173" t="s">
        <v>468</v>
      </c>
      <c r="B4452">
        <v>82790</v>
      </c>
      <c r="C4452" s="173" t="s">
        <v>3155</v>
      </c>
      <c r="D4452" s="173" t="s">
        <v>470</v>
      </c>
      <c r="E4452">
        <v>1</v>
      </c>
    </row>
    <row r="4453" spans="1:5" x14ac:dyDescent="0.25">
      <c r="A4453" s="173" t="s">
        <v>468</v>
      </c>
      <c r="B4453">
        <v>82790</v>
      </c>
      <c r="C4453" s="173" t="s">
        <v>3156</v>
      </c>
      <c r="D4453" s="173" t="s">
        <v>470</v>
      </c>
      <c r="E4453">
        <v>1</v>
      </c>
    </row>
    <row r="4454" spans="1:5" x14ac:dyDescent="0.25">
      <c r="A4454" s="173" t="s">
        <v>468</v>
      </c>
      <c r="B4454">
        <v>82790</v>
      </c>
      <c r="C4454" s="173" t="s">
        <v>4902</v>
      </c>
      <c r="D4454" s="173" t="s">
        <v>470</v>
      </c>
      <c r="E4454">
        <v>1</v>
      </c>
    </row>
    <row r="4455" spans="1:5" x14ac:dyDescent="0.25">
      <c r="A4455" s="173" t="s">
        <v>468</v>
      </c>
      <c r="B4455">
        <v>82790</v>
      </c>
      <c r="C4455" s="173" t="s">
        <v>4903</v>
      </c>
      <c r="D4455" s="173" t="s">
        <v>470</v>
      </c>
      <c r="E4455">
        <v>1</v>
      </c>
    </row>
    <row r="4456" spans="1:5" x14ac:dyDescent="0.25">
      <c r="A4456" s="173" t="s">
        <v>468</v>
      </c>
      <c r="B4456">
        <v>82790</v>
      </c>
      <c r="C4456" s="173" t="s">
        <v>4904</v>
      </c>
      <c r="D4456" s="173" t="s">
        <v>470</v>
      </c>
      <c r="E4456">
        <v>2</v>
      </c>
    </row>
    <row r="4457" spans="1:5" x14ac:dyDescent="0.25">
      <c r="A4457" s="173" t="s">
        <v>468</v>
      </c>
      <c r="B4457">
        <v>82790</v>
      </c>
      <c r="C4457" s="173" t="s">
        <v>4905</v>
      </c>
      <c r="D4457" s="173" t="s">
        <v>470</v>
      </c>
      <c r="E4457">
        <v>1</v>
      </c>
    </row>
    <row r="4458" spans="1:5" x14ac:dyDescent="0.25">
      <c r="A4458" s="173" t="s">
        <v>468</v>
      </c>
      <c r="B4458">
        <v>82790</v>
      </c>
      <c r="C4458" s="173" t="s">
        <v>4906</v>
      </c>
      <c r="D4458" s="173" t="s">
        <v>470</v>
      </c>
      <c r="E4458">
        <v>1</v>
      </c>
    </row>
    <row r="4459" spans="1:5" x14ac:dyDescent="0.25">
      <c r="A4459" s="173" t="s">
        <v>468</v>
      </c>
      <c r="B4459">
        <v>82790</v>
      </c>
      <c r="C4459" s="173" t="s">
        <v>4907</v>
      </c>
      <c r="D4459" s="173" t="s">
        <v>470</v>
      </c>
      <c r="E4459">
        <v>1</v>
      </c>
    </row>
    <row r="4460" spans="1:5" x14ac:dyDescent="0.25">
      <c r="A4460" s="173" t="s">
        <v>468</v>
      </c>
      <c r="B4460">
        <v>82790</v>
      </c>
      <c r="C4460" s="173" t="s">
        <v>4908</v>
      </c>
      <c r="D4460" s="173" t="s">
        <v>470</v>
      </c>
      <c r="E4460">
        <v>1</v>
      </c>
    </row>
    <row r="4461" spans="1:5" x14ac:dyDescent="0.25">
      <c r="A4461" s="173" t="s">
        <v>468</v>
      </c>
      <c r="B4461">
        <v>82790</v>
      </c>
      <c r="C4461" s="173" t="s">
        <v>4909</v>
      </c>
      <c r="D4461" s="173" t="s">
        <v>470</v>
      </c>
      <c r="E4461">
        <v>2</v>
      </c>
    </row>
    <row r="4462" spans="1:5" x14ac:dyDescent="0.25">
      <c r="A4462" s="173" t="s">
        <v>468</v>
      </c>
      <c r="B4462">
        <v>82790</v>
      </c>
      <c r="C4462" s="173" t="s">
        <v>4910</v>
      </c>
      <c r="D4462" s="173" t="s">
        <v>470</v>
      </c>
      <c r="E4462">
        <v>1</v>
      </c>
    </row>
    <row r="4463" spans="1:5" x14ac:dyDescent="0.25">
      <c r="A4463" s="173" t="s">
        <v>468</v>
      </c>
      <c r="B4463">
        <v>82790</v>
      </c>
      <c r="C4463" s="173" t="s">
        <v>4911</v>
      </c>
      <c r="D4463" s="173" t="s">
        <v>470</v>
      </c>
      <c r="E4463">
        <v>2</v>
      </c>
    </row>
    <row r="4464" spans="1:5" x14ac:dyDescent="0.25">
      <c r="A4464" s="173" t="s">
        <v>468</v>
      </c>
      <c r="B4464">
        <v>82790</v>
      </c>
      <c r="C4464" s="173" t="s">
        <v>4912</v>
      </c>
      <c r="D4464" s="173" t="s">
        <v>470</v>
      </c>
      <c r="E4464">
        <v>1</v>
      </c>
    </row>
    <row r="4465" spans="1:5" x14ac:dyDescent="0.25">
      <c r="A4465" s="173" t="s">
        <v>468</v>
      </c>
      <c r="B4465">
        <v>82790</v>
      </c>
      <c r="C4465" s="173" t="s">
        <v>4913</v>
      </c>
      <c r="D4465" s="173" t="s">
        <v>470</v>
      </c>
      <c r="E4465">
        <v>1</v>
      </c>
    </row>
    <row r="4466" spans="1:5" x14ac:dyDescent="0.25">
      <c r="A4466" s="173" t="s">
        <v>468</v>
      </c>
      <c r="B4466">
        <v>82790</v>
      </c>
      <c r="C4466" s="173" t="s">
        <v>4914</v>
      </c>
      <c r="D4466" s="173" t="s">
        <v>470</v>
      </c>
      <c r="E4466">
        <v>1</v>
      </c>
    </row>
    <row r="4467" spans="1:5" x14ac:dyDescent="0.25">
      <c r="A4467" s="173" t="s">
        <v>468</v>
      </c>
      <c r="B4467">
        <v>82790</v>
      </c>
      <c r="C4467" s="173" t="s">
        <v>4915</v>
      </c>
      <c r="D4467" s="173" t="s">
        <v>470</v>
      </c>
      <c r="E4467">
        <v>1</v>
      </c>
    </row>
    <row r="4468" spans="1:5" x14ac:dyDescent="0.25">
      <c r="A4468" s="173" t="s">
        <v>468</v>
      </c>
      <c r="B4468">
        <v>82790</v>
      </c>
      <c r="C4468" s="173" t="s">
        <v>4916</v>
      </c>
      <c r="D4468" s="173" t="s">
        <v>470</v>
      </c>
      <c r="E4468">
        <v>2</v>
      </c>
    </row>
    <row r="4469" spans="1:5" x14ac:dyDescent="0.25">
      <c r="A4469" s="173" t="s">
        <v>468</v>
      </c>
      <c r="B4469">
        <v>82790</v>
      </c>
      <c r="C4469" s="173" t="s">
        <v>4917</v>
      </c>
      <c r="D4469" s="173" t="s">
        <v>470</v>
      </c>
      <c r="E4469">
        <v>1</v>
      </c>
    </row>
    <row r="4470" spans="1:5" x14ac:dyDescent="0.25">
      <c r="A4470" s="173" t="s">
        <v>468</v>
      </c>
      <c r="B4470">
        <v>82790</v>
      </c>
      <c r="C4470" s="173" t="s">
        <v>4918</v>
      </c>
      <c r="D4470" s="173" t="s">
        <v>470</v>
      </c>
      <c r="E4470">
        <v>1</v>
      </c>
    </row>
    <row r="4471" spans="1:5" x14ac:dyDescent="0.25">
      <c r="A4471" s="173" t="s">
        <v>468</v>
      </c>
      <c r="B4471">
        <v>82790</v>
      </c>
      <c r="C4471" s="173" t="s">
        <v>4919</v>
      </c>
      <c r="D4471" s="173" t="s">
        <v>470</v>
      </c>
      <c r="E4471">
        <v>1</v>
      </c>
    </row>
    <row r="4472" spans="1:5" x14ac:dyDescent="0.25">
      <c r="A4472" s="173" t="s">
        <v>468</v>
      </c>
      <c r="B4472">
        <v>82790</v>
      </c>
      <c r="C4472" s="173" t="s">
        <v>4920</v>
      </c>
      <c r="D4472" s="173" t="s">
        <v>470</v>
      </c>
      <c r="E4472">
        <v>1</v>
      </c>
    </row>
    <row r="4473" spans="1:5" x14ac:dyDescent="0.25">
      <c r="A4473" s="173" t="s">
        <v>468</v>
      </c>
      <c r="B4473">
        <v>82790</v>
      </c>
      <c r="C4473" s="173" t="s">
        <v>4921</v>
      </c>
      <c r="D4473" s="173" t="s">
        <v>470</v>
      </c>
      <c r="E4473">
        <v>1</v>
      </c>
    </row>
    <row r="4474" spans="1:5" x14ac:dyDescent="0.25">
      <c r="A4474" s="173" t="s">
        <v>468</v>
      </c>
      <c r="B4474">
        <v>82790</v>
      </c>
      <c r="C4474" s="173" t="s">
        <v>4922</v>
      </c>
      <c r="D4474" s="173" t="s">
        <v>470</v>
      </c>
      <c r="E4474">
        <v>1</v>
      </c>
    </row>
    <row r="4475" spans="1:5" x14ac:dyDescent="0.25">
      <c r="A4475" s="173" t="s">
        <v>468</v>
      </c>
      <c r="B4475">
        <v>82790</v>
      </c>
      <c r="C4475" s="173" t="s">
        <v>4923</v>
      </c>
      <c r="D4475" s="173" t="s">
        <v>470</v>
      </c>
      <c r="E4475">
        <v>1</v>
      </c>
    </row>
    <row r="4476" spans="1:5" x14ac:dyDescent="0.25">
      <c r="A4476" s="173" t="s">
        <v>468</v>
      </c>
      <c r="B4476">
        <v>82792</v>
      </c>
      <c r="C4476" s="173" t="s">
        <v>2405</v>
      </c>
      <c r="D4476" s="173" t="s">
        <v>470</v>
      </c>
      <c r="E4476">
        <v>1</v>
      </c>
    </row>
    <row r="4477" spans="1:5" x14ac:dyDescent="0.25">
      <c r="A4477" s="173" t="s">
        <v>468</v>
      </c>
      <c r="B4477">
        <v>82792</v>
      </c>
      <c r="C4477" s="173" t="s">
        <v>483</v>
      </c>
      <c r="D4477" s="173" t="s">
        <v>470</v>
      </c>
      <c r="E4477">
        <v>1</v>
      </c>
    </row>
    <row r="4478" spans="1:5" x14ac:dyDescent="0.25">
      <c r="A4478" s="173" t="s">
        <v>468</v>
      </c>
      <c r="B4478">
        <v>82792</v>
      </c>
      <c r="C4478" s="173" t="s">
        <v>616</v>
      </c>
      <c r="D4478" s="173" t="s">
        <v>470</v>
      </c>
      <c r="E4478">
        <v>1</v>
      </c>
    </row>
    <row r="4479" spans="1:5" x14ac:dyDescent="0.25">
      <c r="A4479" s="173" t="s">
        <v>468</v>
      </c>
      <c r="B4479">
        <v>82792</v>
      </c>
      <c r="C4479" s="173" t="s">
        <v>3157</v>
      </c>
      <c r="D4479" s="173" t="s">
        <v>470</v>
      </c>
      <c r="E4479">
        <v>1</v>
      </c>
    </row>
    <row r="4480" spans="1:5" x14ac:dyDescent="0.25">
      <c r="A4480" s="173" t="s">
        <v>468</v>
      </c>
      <c r="B4480">
        <v>82792</v>
      </c>
      <c r="C4480" s="173" t="s">
        <v>2478</v>
      </c>
      <c r="D4480" s="173" t="s">
        <v>470</v>
      </c>
      <c r="E4480">
        <v>1</v>
      </c>
    </row>
    <row r="4481" spans="1:5" x14ac:dyDescent="0.25">
      <c r="A4481" s="173" t="s">
        <v>468</v>
      </c>
      <c r="B4481">
        <v>82792</v>
      </c>
      <c r="C4481" s="173" t="s">
        <v>4924</v>
      </c>
      <c r="D4481" s="173" t="s">
        <v>470</v>
      </c>
      <c r="E4481">
        <v>1</v>
      </c>
    </row>
    <row r="4482" spans="1:5" x14ac:dyDescent="0.25">
      <c r="A4482" s="173" t="s">
        <v>468</v>
      </c>
      <c r="B4482">
        <v>82792</v>
      </c>
      <c r="C4482" s="173" t="s">
        <v>4925</v>
      </c>
      <c r="D4482" s="173" t="s">
        <v>470</v>
      </c>
      <c r="E4482">
        <v>1</v>
      </c>
    </row>
    <row r="4483" spans="1:5" x14ac:dyDescent="0.25">
      <c r="A4483" s="173" t="s">
        <v>468</v>
      </c>
      <c r="B4483">
        <v>82792</v>
      </c>
      <c r="C4483" s="173" t="s">
        <v>4926</v>
      </c>
      <c r="D4483" s="173" t="s">
        <v>470</v>
      </c>
      <c r="E4483">
        <v>1</v>
      </c>
    </row>
    <row r="4484" spans="1:5" x14ac:dyDescent="0.25">
      <c r="A4484" s="173" t="s">
        <v>468</v>
      </c>
      <c r="B4484">
        <v>82792</v>
      </c>
      <c r="C4484" s="173" t="s">
        <v>3158</v>
      </c>
      <c r="D4484" s="173" t="s">
        <v>470</v>
      </c>
      <c r="E4484">
        <v>1</v>
      </c>
    </row>
    <row r="4485" spans="1:5" x14ac:dyDescent="0.25">
      <c r="A4485" s="173" t="s">
        <v>468</v>
      </c>
      <c r="B4485">
        <v>82792</v>
      </c>
      <c r="C4485" s="173" t="s">
        <v>3159</v>
      </c>
      <c r="D4485" s="173" t="s">
        <v>470</v>
      </c>
      <c r="E4485">
        <v>1</v>
      </c>
    </row>
    <row r="4486" spans="1:5" x14ac:dyDescent="0.25">
      <c r="A4486" s="173" t="s">
        <v>468</v>
      </c>
      <c r="B4486">
        <v>82792</v>
      </c>
      <c r="C4486" s="173" t="s">
        <v>3160</v>
      </c>
      <c r="D4486" s="173" t="s">
        <v>470</v>
      </c>
      <c r="E4486">
        <v>1</v>
      </c>
    </row>
    <row r="4487" spans="1:5" x14ac:dyDescent="0.25">
      <c r="A4487" s="173" t="s">
        <v>468</v>
      </c>
      <c r="B4487">
        <v>82792</v>
      </c>
      <c r="C4487" s="173" t="s">
        <v>4927</v>
      </c>
      <c r="D4487" s="173" t="s">
        <v>470</v>
      </c>
      <c r="E4487">
        <v>1</v>
      </c>
    </row>
    <row r="4488" spans="1:5" x14ac:dyDescent="0.25">
      <c r="A4488" s="173" t="s">
        <v>468</v>
      </c>
      <c r="B4488">
        <v>82792</v>
      </c>
      <c r="C4488" s="173" t="s">
        <v>4928</v>
      </c>
      <c r="D4488" s="173" t="s">
        <v>470</v>
      </c>
      <c r="E4488">
        <v>1</v>
      </c>
    </row>
    <row r="4489" spans="1:5" x14ac:dyDescent="0.25">
      <c r="A4489" s="173" t="s">
        <v>468</v>
      </c>
      <c r="B4489">
        <v>82792</v>
      </c>
      <c r="C4489" s="173" t="s">
        <v>4929</v>
      </c>
      <c r="D4489" s="173" t="s">
        <v>470</v>
      </c>
      <c r="E4489">
        <v>1</v>
      </c>
    </row>
    <row r="4490" spans="1:5" x14ac:dyDescent="0.25">
      <c r="A4490" s="173" t="s">
        <v>468</v>
      </c>
      <c r="B4490">
        <v>82792</v>
      </c>
      <c r="C4490" s="173" t="s">
        <v>4930</v>
      </c>
      <c r="D4490" s="173" t="s">
        <v>470</v>
      </c>
      <c r="E4490">
        <v>1</v>
      </c>
    </row>
    <row r="4491" spans="1:5" x14ac:dyDescent="0.25">
      <c r="A4491" s="173" t="s">
        <v>468</v>
      </c>
      <c r="B4491">
        <v>82792</v>
      </c>
      <c r="C4491" s="173" t="s">
        <v>4931</v>
      </c>
      <c r="D4491" s="173" t="s">
        <v>470</v>
      </c>
      <c r="E4491">
        <v>1</v>
      </c>
    </row>
    <row r="4492" spans="1:5" x14ac:dyDescent="0.25">
      <c r="A4492" s="173" t="s">
        <v>468</v>
      </c>
      <c r="B4492">
        <v>82792</v>
      </c>
      <c r="C4492" s="173" t="s">
        <v>4932</v>
      </c>
      <c r="D4492" s="173" t="s">
        <v>470</v>
      </c>
      <c r="E4492">
        <v>1</v>
      </c>
    </row>
    <row r="4493" spans="1:5" x14ac:dyDescent="0.25">
      <c r="A4493" s="173" t="s">
        <v>468</v>
      </c>
      <c r="B4493">
        <v>82792</v>
      </c>
      <c r="C4493" s="173" t="s">
        <v>4933</v>
      </c>
      <c r="D4493" s="173" t="s">
        <v>470</v>
      </c>
      <c r="E4493">
        <v>1</v>
      </c>
    </row>
    <row r="4494" spans="1:5" x14ac:dyDescent="0.25">
      <c r="A4494" s="173" t="s">
        <v>468</v>
      </c>
      <c r="B4494">
        <v>82792</v>
      </c>
      <c r="C4494" s="173" t="s">
        <v>4934</v>
      </c>
      <c r="D4494" s="173" t="s">
        <v>470</v>
      </c>
      <c r="E4494">
        <v>1</v>
      </c>
    </row>
    <row r="4495" spans="1:5" x14ac:dyDescent="0.25">
      <c r="A4495" s="173" t="s">
        <v>468</v>
      </c>
      <c r="B4495">
        <v>82792</v>
      </c>
      <c r="C4495" s="173" t="s">
        <v>4935</v>
      </c>
      <c r="D4495" s="173" t="s">
        <v>470</v>
      </c>
      <c r="E4495">
        <v>1</v>
      </c>
    </row>
    <row r="4496" spans="1:5" x14ac:dyDescent="0.25">
      <c r="A4496" s="173" t="s">
        <v>468</v>
      </c>
      <c r="B4496">
        <v>82792</v>
      </c>
      <c r="C4496" s="173" t="s">
        <v>4936</v>
      </c>
      <c r="D4496" s="173" t="s">
        <v>470</v>
      </c>
      <c r="E4496">
        <v>1</v>
      </c>
    </row>
    <row r="4497" spans="1:5" x14ac:dyDescent="0.25">
      <c r="A4497" s="173" t="s">
        <v>468</v>
      </c>
      <c r="B4497">
        <v>82792</v>
      </c>
      <c r="C4497" s="173" t="s">
        <v>4937</v>
      </c>
      <c r="D4497" s="173" t="s">
        <v>470</v>
      </c>
      <c r="E4497">
        <v>1</v>
      </c>
    </row>
    <row r="4498" spans="1:5" x14ac:dyDescent="0.25">
      <c r="A4498" s="173" t="s">
        <v>468</v>
      </c>
      <c r="B4498">
        <v>82792</v>
      </c>
      <c r="C4498" s="173" t="s">
        <v>4938</v>
      </c>
      <c r="D4498" s="173" t="s">
        <v>470</v>
      </c>
      <c r="E4498">
        <v>1</v>
      </c>
    </row>
    <row r="4499" spans="1:5" x14ac:dyDescent="0.25">
      <c r="A4499" s="173" t="s">
        <v>468</v>
      </c>
      <c r="B4499">
        <v>82792</v>
      </c>
      <c r="C4499" s="173" t="s">
        <v>4939</v>
      </c>
      <c r="D4499" s="173" t="s">
        <v>470</v>
      </c>
      <c r="E4499">
        <v>1</v>
      </c>
    </row>
    <row r="4500" spans="1:5" x14ac:dyDescent="0.25">
      <c r="A4500" s="173" t="s">
        <v>468</v>
      </c>
      <c r="B4500">
        <v>82792</v>
      </c>
      <c r="C4500" s="173" t="s">
        <v>4940</v>
      </c>
      <c r="D4500" s="173" t="s">
        <v>470</v>
      </c>
      <c r="E4500">
        <v>1</v>
      </c>
    </row>
    <row r="4501" spans="1:5" x14ac:dyDescent="0.25">
      <c r="A4501" s="173" t="s">
        <v>468</v>
      </c>
      <c r="B4501">
        <v>82792</v>
      </c>
      <c r="C4501" s="173" t="s">
        <v>4941</v>
      </c>
      <c r="D4501" s="173" t="s">
        <v>470</v>
      </c>
      <c r="E4501">
        <v>1</v>
      </c>
    </row>
    <row r="4502" spans="1:5" x14ac:dyDescent="0.25">
      <c r="A4502" s="173" t="s">
        <v>468</v>
      </c>
      <c r="B4502">
        <v>82792</v>
      </c>
      <c r="C4502" s="173" t="s">
        <v>4942</v>
      </c>
      <c r="D4502" s="173" t="s">
        <v>470</v>
      </c>
      <c r="E4502">
        <v>1</v>
      </c>
    </row>
    <row r="4503" spans="1:5" x14ac:dyDescent="0.25">
      <c r="A4503" s="173" t="s">
        <v>468</v>
      </c>
      <c r="B4503">
        <v>82792</v>
      </c>
      <c r="C4503" s="173" t="s">
        <v>4943</v>
      </c>
      <c r="D4503" s="173" t="s">
        <v>470</v>
      </c>
      <c r="E4503">
        <v>1</v>
      </c>
    </row>
    <row r="4504" spans="1:5" x14ac:dyDescent="0.25">
      <c r="A4504" s="173" t="s">
        <v>468</v>
      </c>
      <c r="B4504">
        <v>82792</v>
      </c>
      <c r="C4504" s="173" t="s">
        <v>4944</v>
      </c>
      <c r="D4504" s="173" t="s">
        <v>470</v>
      </c>
      <c r="E4504">
        <v>1</v>
      </c>
    </row>
    <row r="4505" spans="1:5" x14ac:dyDescent="0.25">
      <c r="A4505" s="173" t="s">
        <v>468</v>
      </c>
      <c r="B4505">
        <v>82792</v>
      </c>
      <c r="C4505" s="173" t="s">
        <v>4945</v>
      </c>
      <c r="D4505" s="173" t="s">
        <v>470</v>
      </c>
      <c r="E4505">
        <v>1</v>
      </c>
    </row>
    <row r="4506" spans="1:5" x14ac:dyDescent="0.25">
      <c r="A4506" s="173" t="s">
        <v>468</v>
      </c>
      <c r="B4506">
        <v>82792</v>
      </c>
      <c r="C4506" s="173" t="s">
        <v>4946</v>
      </c>
      <c r="D4506" s="173" t="s">
        <v>470</v>
      </c>
      <c r="E4506">
        <v>1</v>
      </c>
    </row>
    <row r="4507" spans="1:5" x14ac:dyDescent="0.25">
      <c r="A4507" s="173" t="s">
        <v>468</v>
      </c>
      <c r="B4507">
        <v>82795</v>
      </c>
      <c r="C4507" s="173" t="s">
        <v>3917</v>
      </c>
      <c r="D4507" s="173" t="s">
        <v>470</v>
      </c>
      <c r="E4507">
        <v>2</v>
      </c>
    </row>
    <row r="4508" spans="1:5" x14ac:dyDescent="0.25">
      <c r="A4508" s="173" t="s">
        <v>468</v>
      </c>
      <c r="B4508">
        <v>82795</v>
      </c>
      <c r="C4508" s="173" t="s">
        <v>2533</v>
      </c>
      <c r="D4508" s="173" t="s">
        <v>470</v>
      </c>
      <c r="E4508">
        <v>2</v>
      </c>
    </row>
    <row r="4509" spans="1:5" x14ac:dyDescent="0.25">
      <c r="A4509" s="173" t="s">
        <v>468</v>
      </c>
      <c r="B4509">
        <v>82795</v>
      </c>
      <c r="C4509" s="173" t="s">
        <v>479</v>
      </c>
      <c r="D4509" s="173" t="s">
        <v>470</v>
      </c>
      <c r="E4509">
        <v>2</v>
      </c>
    </row>
    <row r="4510" spans="1:5" x14ac:dyDescent="0.25">
      <c r="A4510" s="173" t="s">
        <v>468</v>
      </c>
      <c r="B4510">
        <v>82795</v>
      </c>
      <c r="C4510" s="173" t="s">
        <v>3771</v>
      </c>
      <c r="D4510" s="173" t="s">
        <v>470</v>
      </c>
      <c r="E4510">
        <v>2</v>
      </c>
    </row>
    <row r="4511" spans="1:5" x14ac:dyDescent="0.25">
      <c r="A4511" s="173" t="s">
        <v>468</v>
      </c>
      <c r="B4511">
        <v>82795</v>
      </c>
      <c r="C4511" s="173" t="s">
        <v>4947</v>
      </c>
      <c r="D4511" s="173" t="s">
        <v>470</v>
      </c>
      <c r="E4511">
        <v>2</v>
      </c>
    </row>
    <row r="4512" spans="1:5" x14ac:dyDescent="0.25">
      <c r="A4512" s="173" t="s">
        <v>468</v>
      </c>
      <c r="B4512">
        <v>82795</v>
      </c>
      <c r="C4512" s="173" t="s">
        <v>483</v>
      </c>
      <c r="D4512" s="173" t="s">
        <v>470</v>
      </c>
      <c r="E4512">
        <v>2</v>
      </c>
    </row>
    <row r="4513" spans="1:5" x14ac:dyDescent="0.25">
      <c r="A4513" s="173" t="s">
        <v>468</v>
      </c>
      <c r="B4513">
        <v>82795</v>
      </c>
      <c r="C4513" s="173" t="s">
        <v>2477</v>
      </c>
      <c r="D4513" s="173" t="s">
        <v>470</v>
      </c>
      <c r="E4513">
        <v>2</v>
      </c>
    </row>
    <row r="4514" spans="1:5" x14ac:dyDescent="0.25">
      <c r="A4514" s="173" t="s">
        <v>468</v>
      </c>
      <c r="B4514">
        <v>82795</v>
      </c>
      <c r="C4514" s="173" t="s">
        <v>711</v>
      </c>
      <c r="D4514" s="173" t="s">
        <v>470</v>
      </c>
      <c r="E4514">
        <v>2</v>
      </c>
    </row>
    <row r="4515" spans="1:5" x14ac:dyDescent="0.25">
      <c r="A4515" s="173" t="s">
        <v>468</v>
      </c>
      <c r="B4515">
        <v>82795</v>
      </c>
      <c r="C4515" s="173" t="s">
        <v>4948</v>
      </c>
      <c r="D4515" s="173" t="s">
        <v>470</v>
      </c>
      <c r="E4515">
        <v>2</v>
      </c>
    </row>
    <row r="4516" spans="1:5" x14ac:dyDescent="0.25">
      <c r="A4516" s="173" t="s">
        <v>468</v>
      </c>
      <c r="B4516">
        <v>82795</v>
      </c>
      <c r="C4516" s="173" t="s">
        <v>4606</v>
      </c>
      <c r="D4516" s="173" t="s">
        <v>470</v>
      </c>
      <c r="E4516">
        <v>2</v>
      </c>
    </row>
    <row r="4517" spans="1:5" x14ac:dyDescent="0.25">
      <c r="A4517" s="173" t="s">
        <v>468</v>
      </c>
      <c r="B4517">
        <v>82795</v>
      </c>
      <c r="C4517" s="173" t="s">
        <v>4949</v>
      </c>
      <c r="D4517" s="173" t="s">
        <v>470</v>
      </c>
      <c r="E4517">
        <v>2</v>
      </c>
    </row>
    <row r="4518" spans="1:5" x14ac:dyDescent="0.25">
      <c r="A4518" s="173" t="s">
        <v>468</v>
      </c>
      <c r="B4518">
        <v>82795</v>
      </c>
      <c r="C4518" s="173" t="s">
        <v>4950</v>
      </c>
      <c r="D4518" s="173" t="s">
        <v>470</v>
      </c>
      <c r="E4518">
        <v>2</v>
      </c>
    </row>
    <row r="4519" spans="1:5" x14ac:dyDescent="0.25">
      <c r="A4519" s="173" t="s">
        <v>468</v>
      </c>
      <c r="B4519">
        <v>82795</v>
      </c>
      <c r="C4519" s="173" t="s">
        <v>4951</v>
      </c>
      <c r="D4519" s="173" t="s">
        <v>470</v>
      </c>
      <c r="E4519">
        <v>2</v>
      </c>
    </row>
    <row r="4520" spans="1:5" x14ac:dyDescent="0.25">
      <c r="A4520" s="173" t="s">
        <v>468</v>
      </c>
      <c r="B4520">
        <v>82795</v>
      </c>
      <c r="C4520" s="173" t="s">
        <v>4952</v>
      </c>
      <c r="D4520" s="173" t="s">
        <v>470</v>
      </c>
      <c r="E4520">
        <v>2</v>
      </c>
    </row>
    <row r="4521" spans="1:5" x14ac:dyDescent="0.25">
      <c r="A4521" s="173" t="s">
        <v>468</v>
      </c>
      <c r="B4521">
        <v>82795</v>
      </c>
      <c r="C4521" s="173" t="s">
        <v>4953</v>
      </c>
      <c r="D4521" s="173" t="s">
        <v>470</v>
      </c>
      <c r="E4521">
        <v>2</v>
      </c>
    </row>
    <row r="4522" spans="1:5" x14ac:dyDescent="0.25">
      <c r="A4522" s="173" t="s">
        <v>468</v>
      </c>
      <c r="B4522">
        <v>82795</v>
      </c>
      <c r="C4522" s="173" t="s">
        <v>4954</v>
      </c>
      <c r="D4522" s="173" t="s">
        <v>470</v>
      </c>
      <c r="E4522">
        <v>2</v>
      </c>
    </row>
    <row r="4523" spans="1:5" x14ac:dyDescent="0.25">
      <c r="A4523" s="173" t="s">
        <v>468</v>
      </c>
      <c r="B4523">
        <v>82795</v>
      </c>
      <c r="C4523" s="173" t="s">
        <v>4955</v>
      </c>
      <c r="D4523" s="173" t="s">
        <v>470</v>
      </c>
      <c r="E4523">
        <v>2</v>
      </c>
    </row>
    <row r="4524" spans="1:5" x14ac:dyDescent="0.25">
      <c r="A4524" s="173" t="s">
        <v>468</v>
      </c>
      <c r="B4524">
        <v>82795</v>
      </c>
      <c r="C4524" s="173" t="s">
        <v>4956</v>
      </c>
      <c r="D4524" s="173" t="s">
        <v>470</v>
      </c>
      <c r="E4524">
        <v>2</v>
      </c>
    </row>
    <row r="4525" spans="1:5" x14ac:dyDescent="0.25">
      <c r="A4525" s="173" t="s">
        <v>468</v>
      </c>
      <c r="B4525">
        <v>82795</v>
      </c>
      <c r="C4525" s="173" t="s">
        <v>4957</v>
      </c>
      <c r="D4525" s="173" t="s">
        <v>470</v>
      </c>
      <c r="E4525">
        <v>2</v>
      </c>
    </row>
    <row r="4526" spans="1:5" x14ac:dyDescent="0.25">
      <c r="A4526" s="173" t="s">
        <v>468</v>
      </c>
      <c r="B4526">
        <v>82795</v>
      </c>
      <c r="C4526" s="173" t="s">
        <v>4958</v>
      </c>
      <c r="D4526" s="173" t="s">
        <v>470</v>
      </c>
      <c r="E4526">
        <v>2</v>
      </c>
    </row>
    <row r="4527" spans="1:5" x14ac:dyDescent="0.25">
      <c r="A4527" s="173" t="s">
        <v>468</v>
      </c>
      <c r="B4527">
        <v>82795</v>
      </c>
      <c r="C4527" s="173" t="s">
        <v>4959</v>
      </c>
      <c r="D4527" s="173" t="s">
        <v>470</v>
      </c>
      <c r="E4527">
        <v>2</v>
      </c>
    </row>
    <row r="4528" spans="1:5" x14ac:dyDescent="0.25">
      <c r="A4528" s="173" t="s">
        <v>468</v>
      </c>
      <c r="B4528">
        <v>82795</v>
      </c>
      <c r="C4528" s="173" t="s">
        <v>4960</v>
      </c>
      <c r="D4528" s="173" t="s">
        <v>470</v>
      </c>
      <c r="E4528">
        <v>1</v>
      </c>
    </row>
    <row r="4529" spans="1:5" x14ac:dyDescent="0.25">
      <c r="A4529" s="173" t="s">
        <v>468</v>
      </c>
      <c r="B4529">
        <v>82795</v>
      </c>
      <c r="C4529" s="173" t="s">
        <v>4961</v>
      </c>
      <c r="D4529" s="173" t="s">
        <v>470</v>
      </c>
      <c r="E4529">
        <v>1</v>
      </c>
    </row>
    <row r="4530" spans="1:5" x14ac:dyDescent="0.25">
      <c r="A4530" s="173" t="s">
        <v>468</v>
      </c>
      <c r="B4530">
        <v>82795</v>
      </c>
      <c r="C4530" s="173" t="s">
        <v>4962</v>
      </c>
      <c r="D4530" s="173" t="s">
        <v>470</v>
      </c>
      <c r="E4530">
        <v>1</v>
      </c>
    </row>
    <row r="4531" spans="1:5" x14ac:dyDescent="0.25">
      <c r="A4531" s="173" t="s">
        <v>468</v>
      </c>
      <c r="B4531">
        <v>82795</v>
      </c>
      <c r="C4531" s="173" t="s">
        <v>4963</v>
      </c>
      <c r="D4531" s="173" t="s">
        <v>470</v>
      </c>
      <c r="E4531">
        <v>1</v>
      </c>
    </row>
    <row r="4532" spans="1:5" hidden="1" x14ac:dyDescent="0.25">
      <c r="A4532" s="173" t="s">
        <v>804</v>
      </c>
      <c r="B4532">
        <v>82800</v>
      </c>
      <c r="C4532" s="173" t="s">
        <v>516</v>
      </c>
      <c r="D4532" s="173" t="s">
        <v>470</v>
      </c>
      <c r="E4532">
        <v>2</v>
      </c>
    </row>
    <row r="4533" spans="1:5" hidden="1" x14ac:dyDescent="0.25">
      <c r="A4533" s="173" t="s">
        <v>804</v>
      </c>
      <c r="B4533">
        <v>82800</v>
      </c>
      <c r="C4533" s="173" t="s">
        <v>477</v>
      </c>
      <c r="D4533" s="173" t="s">
        <v>470</v>
      </c>
      <c r="E4533">
        <v>3</v>
      </c>
    </row>
    <row r="4534" spans="1:5" hidden="1" x14ac:dyDescent="0.25">
      <c r="A4534" s="173" t="s">
        <v>804</v>
      </c>
      <c r="B4534">
        <v>82800</v>
      </c>
      <c r="C4534" s="173" t="s">
        <v>2533</v>
      </c>
      <c r="D4534" s="173" t="s">
        <v>470</v>
      </c>
      <c r="E4534">
        <v>2</v>
      </c>
    </row>
    <row r="4535" spans="1:5" hidden="1" x14ac:dyDescent="0.25">
      <c r="A4535" s="173" t="s">
        <v>804</v>
      </c>
      <c r="B4535">
        <v>82800</v>
      </c>
      <c r="C4535" s="173" t="s">
        <v>2471</v>
      </c>
      <c r="D4535" s="173" t="s">
        <v>470</v>
      </c>
      <c r="E4535">
        <v>3</v>
      </c>
    </row>
    <row r="4536" spans="1:5" hidden="1" x14ac:dyDescent="0.25">
      <c r="A4536" s="173" t="s">
        <v>804</v>
      </c>
      <c r="B4536">
        <v>82800</v>
      </c>
      <c r="C4536" s="173" t="s">
        <v>2405</v>
      </c>
      <c r="D4536" s="173" t="s">
        <v>470</v>
      </c>
      <c r="E4536">
        <v>3</v>
      </c>
    </row>
    <row r="4537" spans="1:5" hidden="1" x14ac:dyDescent="0.25">
      <c r="A4537" s="173" t="s">
        <v>804</v>
      </c>
      <c r="B4537">
        <v>82800</v>
      </c>
      <c r="C4537" s="173" t="s">
        <v>885</v>
      </c>
      <c r="D4537" s="173" t="s">
        <v>470</v>
      </c>
      <c r="E4537">
        <v>3</v>
      </c>
    </row>
    <row r="4538" spans="1:5" hidden="1" x14ac:dyDescent="0.25">
      <c r="A4538" s="173" t="s">
        <v>804</v>
      </c>
      <c r="B4538">
        <v>82800</v>
      </c>
      <c r="C4538" s="173" t="s">
        <v>483</v>
      </c>
      <c r="D4538" s="173" t="s">
        <v>470</v>
      </c>
      <c r="E4538">
        <v>3</v>
      </c>
    </row>
    <row r="4539" spans="1:5" hidden="1" x14ac:dyDescent="0.25">
      <c r="A4539" s="173" t="s">
        <v>804</v>
      </c>
      <c r="B4539">
        <v>82800</v>
      </c>
      <c r="C4539" s="173" t="s">
        <v>2535</v>
      </c>
      <c r="D4539" s="173" t="s">
        <v>470</v>
      </c>
      <c r="E4539">
        <v>2</v>
      </c>
    </row>
    <row r="4540" spans="1:5" hidden="1" x14ac:dyDescent="0.25">
      <c r="A4540" s="173" t="s">
        <v>804</v>
      </c>
      <c r="B4540">
        <v>82800</v>
      </c>
      <c r="C4540" s="173" t="s">
        <v>616</v>
      </c>
      <c r="D4540" s="173" t="s">
        <v>470</v>
      </c>
      <c r="E4540">
        <v>1</v>
      </c>
    </row>
    <row r="4541" spans="1:5" hidden="1" x14ac:dyDescent="0.25">
      <c r="A4541" s="173" t="s">
        <v>804</v>
      </c>
      <c r="B4541">
        <v>82800</v>
      </c>
      <c r="C4541" s="173" t="s">
        <v>2477</v>
      </c>
      <c r="D4541" s="173" t="s">
        <v>470</v>
      </c>
      <c r="E4541">
        <v>3</v>
      </c>
    </row>
    <row r="4542" spans="1:5" hidden="1" x14ac:dyDescent="0.25">
      <c r="A4542" s="173" t="s">
        <v>804</v>
      </c>
      <c r="B4542">
        <v>82800</v>
      </c>
      <c r="C4542" s="173" t="s">
        <v>3157</v>
      </c>
      <c r="D4542" s="173" t="s">
        <v>470</v>
      </c>
      <c r="E4542">
        <v>3</v>
      </c>
    </row>
    <row r="4543" spans="1:5" hidden="1" x14ac:dyDescent="0.25">
      <c r="A4543" s="173" t="s">
        <v>804</v>
      </c>
      <c r="B4543">
        <v>82800</v>
      </c>
      <c r="C4543" s="173" t="s">
        <v>3161</v>
      </c>
      <c r="D4543" s="173" t="s">
        <v>470</v>
      </c>
      <c r="E4543">
        <v>3</v>
      </c>
    </row>
    <row r="4544" spans="1:5" hidden="1" x14ac:dyDescent="0.25">
      <c r="A4544" s="173" t="s">
        <v>804</v>
      </c>
      <c r="B4544">
        <v>82800</v>
      </c>
      <c r="C4544" s="173" t="s">
        <v>471</v>
      </c>
      <c r="D4544" s="173" t="s">
        <v>470</v>
      </c>
      <c r="E4544">
        <v>1</v>
      </c>
    </row>
    <row r="4545" spans="1:5" hidden="1" x14ac:dyDescent="0.25">
      <c r="A4545" s="173" t="s">
        <v>804</v>
      </c>
      <c r="B4545">
        <v>82800</v>
      </c>
      <c r="C4545" s="173" t="s">
        <v>3162</v>
      </c>
      <c r="D4545" s="173" t="s">
        <v>470</v>
      </c>
      <c r="E4545">
        <v>1</v>
      </c>
    </row>
    <row r="4546" spans="1:5" hidden="1" x14ac:dyDescent="0.25">
      <c r="A4546" s="173" t="s">
        <v>804</v>
      </c>
      <c r="B4546">
        <v>82800</v>
      </c>
      <c r="C4546" s="173" t="s">
        <v>617</v>
      </c>
      <c r="D4546" s="173" t="s">
        <v>470</v>
      </c>
      <c r="E4546">
        <v>3</v>
      </c>
    </row>
    <row r="4547" spans="1:5" hidden="1" x14ac:dyDescent="0.25">
      <c r="A4547" s="173" t="s">
        <v>804</v>
      </c>
      <c r="B4547">
        <v>82800</v>
      </c>
      <c r="C4547" s="173" t="s">
        <v>619</v>
      </c>
      <c r="D4547" s="173" t="s">
        <v>470</v>
      </c>
      <c r="E4547">
        <v>1</v>
      </c>
    </row>
    <row r="4548" spans="1:5" hidden="1" x14ac:dyDescent="0.25">
      <c r="A4548" s="173" t="s">
        <v>804</v>
      </c>
      <c r="B4548">
        <v>82800</v>
      </c>
      <c r="C4548" s="173" t="s">
        <v>487</v>
      </c>
      <c r="D4548" s="173" t="s">
        <v>470</v>
      </c>
      <c r="E4548">
        <v>2</v>
      </c>
    </row>
    <row r="4549" spans="1:5" hidden="1" x14ac:dyDescent="0.25">
      <c r="A4549" s="173" t="s">
        <v>804</v>
      </c>
      <c r="B4549">
        <v>82800</v>
      </c>
      <c r="C4549" s="173" t="s">
        <v>526</v>
      </c>
      <c r="D4549" s="173" t="s">
        <v>470</v>
      </c>
      <c r="E4549">
        <v>1</v>
      </c>
    </row>
    <row r="4550" spans="1:5" hidden="1" x14ac:dyDescent="0.25">
      <c r="A4550" s="173" t="s">
        <v>804</v>
      </c>
      <c r="B4550">
        <v>82800</v>
      </c>
      <c r="C4550" s="173" t="s">
        <v>3163</v>
      </c>
      <c r="D4550" s="173" t="s">
        <v>470</v>
      </c>
      <c r="E4550">
        <v>1</v>
      </c>
    </row>
    <row r="4551" spans="1:5" hidden="1" x14ac:dyDescent="0.25">
      <c r="A4551" s="173" t="s">
        <v>804</v>
      </c>
      <c r="B4551">
        <v>82800</v>
      </c>
      <c r="C4551" s="173" t="s">
        <v>497</v>
      </c>
      <c r="D4551" s="173" t="s">
        <v>470</v>
      </c>
      <c r="E4551">
        <v>3</v>
      </c>
    </row>
    <row r="4552" spans="1:5" hidden="1" x14ac:dyDescent="0.25">
      <c r="A4552" s="173" t="s">
        <v>804</v>
      </c>
      <c r="B4552">
        <v>82800</v>
      </c>
      <c r="C4552" s="173" t="s">
        <v>3164</v>
      </c>
      <c r="D4552" s="173" t="s">
        <v>470</v>
      </c>
      <c r="E4552">
        <v>1</v>
      </c>
    </row>
    <row r="4553" spans="1:5" hidden="1" x14ac:dyDescent="0.25">
      <c r="A4553" s="173" t="s">
        <v>804</v>
      </c>
      <c r="B4553">
        <v>82800</v>
      </c>
      <c r="C4553" s="173" t="s">
        <v>3165</v>
      </c>
      <c r="D4553" s="173" t="s">
        <v>470</v>
      </c>
      <c r="E4553">
        <v>1</v>
      </c>
    </row>
    <row r="4554" spans="1:5" hidden="1" x14ac:dyDescent="0.25">
      <c r="A4554" s="173" t="s">
        <v>804</v>
      </c>
      <c r="B4554">
        <v>82800</v>
      </c>
      <c r="C4554" s="173" t="s">
        <v>3166</v>
      </c>
      <c r="D4554" s="173" t="s">
        <v>470</v>
      </c>
      <c r="E4554">
        <v>3</v>
      </c>
    </row>
    <row r="4555" spans="1:5" hidden="1" x14ac:dyDescent="0.25">
      <c r="A4555" s="173" t="s">
        <v>804</v>
      </c>
      <c r="B4555">
        <v>82800</v>
      </c>
      <c r="C4555" s="173" t="s">
        <v>3167</v>
      </c>
      <c r="D4555" s="173" t="s">
        <v>470</v>
      </c>
      <c r="E4555">
        <v>3</v>
      </c>
    </row>
    <row r="4556" spans="1:5" hidden="1" x14ac:dyDescent="0.25">
      <c r="A4556" s="173" t="s">
        <v>804</v>
      </c>
      <c r="B4556">
        <v>82800</v>
      </c>
      <c r="C4556" s="173" t="s">
        <v>3168</v>
      </c>
      <c r="D4556" s="173" t="s">
        <v>470</v>
      </c>
      <c r="E4556">
        <v>3</v>
      </c>
    </row>
    <row r="4557" spans="1:5" hidden="1" x14ac:dyDescent="0.25">
      <c r="A4557" s="173" t="s">
        <v>804</v>
      </c>
      <c r="B4557">
        <v>82800</v>
      </c>
      <c r="C4557" s="173" t="s">
        <v>3169</v>
      </c>
      <c r="D4557" s="173" t="s">
        <v>470</v>
      </c>
      <c r="E4557">
        <v>3</v>
      </c>
    </row>
    <row r="4558" spans="1:5" hidden="1" x14ac:dyDescent="0.25">
      <c r="A4558" s="173" t="s">
        <v>804</v>
      </c>
      <c r="B4558">
        <v>82800</v>
      </c>
      <c r="C4558" s="173" t="s">
        <v>3170</v>
      </c>
      <c r="D4558" s="173" t="s">
        <v>470</v>
      </c>
      <c r="E4558">
        <v>3</v>
      </c>
    </row>
    <row r="4559" spans="1:5" hidden="1" x14ac:dyDescent="0.25">
      <c r="A4559" s="173" t="s">
        <v>804</v>
      </c>
      <c r="B4559">
        <v>82800</v>
      </c>
      <c r="C4559" s="173" t="s">
        <v>3171</v>
      </c>
      <c r="D4559" s="173" t="s">
        <v>470</v>
      </c>
      <c r="E4559">
        <v>3</v>
      </c>
    </row>
    <row r="4560" spans="1:5" hidden="1" x14ac:dyDescent="0.25">
      <c r="A4560" s="173" t="s">
        <v>804</v>
      </c>
      <c r="B4560">
        <v>82800</v>
      </c>
      <c r="C4560" s="173" t="s">
        <v>3172</v>
      </c>
      <c r="D4560" s="173" t="s">
        <v>470</v>
      </c>
      <c r="E4560">
        <v>3</v>
      </c>
    </row>
    <row r="4561" spans="1:5" hidden="1" x14ac:dyDescent="0.25">
      <c r="A4561" s="173" t="s">
        <v>804</v>
      </c>
      <c r="B4561">
        <v>82800</v>
      </c>
      <c r="C4561" s="173" t="s">
        <v>3173</v>
      </c>
      <c r="D4561" s="173" t="s">
        <v>470</v>
      </c>
      <c r="E4561">
        <v>2</v>
      </c>
    </row>
    <row r="4562" spans="1:5" hidden="1" x14ac:dyDescent="0.25">
      <c r="A4562" s="173" t="s">
        <v>804</v>
      </c>
      <c r="B4562">
        <v>82800</v>
      </c>
      <c r="C4562" s="173" t="s">
        <v>3174</v>
      </c>
      <c r="D4562" s="173" t="s">
        <v>470</v>
      </c>
      <c r="E4562">
        <v>3</v>
      </c>
    </row>
    <row r="4563" spans="1:5" hidden="1" x14ac:dyDescent="0.25">
      <c r="A4563" s="173" t="s">
        <v>804</v>
      </c>
      <c r="B4563">
        <v>82800</v>
      </c>
      <c r="C4563" s="173" t="s">
        <v>3175</v>
      </c>
      <c r="D4563" s="173" t="s">
        <v>470</v>
      </c>
      <c r="E4563">
        <v>2</v>
      </c>
    </row>
    <row r="4564" spans="1:5" hidden="1" x14ac:dyDescent="0.25">
      <c r="A4564" s="173" t="s">
        <v>804</v>
      </c>
      <c r="B4564">
        <v>82800</v>
      </c>
      <c r="C4564" s="173" t="s">
        <v>3176</v>
      </c>
      <c r="D4564" s="173" t="s">
        <v>470</v>
      </c>
      <c r="E4564">
        <v>2</v>
      </c>
    </row>
    <row r="4565" spans="1:5" hidden="1" x14ac:dyDescent="0.25">
      <c r="A4565" s="173" t="s">
        <v>804</v>
      </c>
      <c r="B4565">
        <v>82800</v>
      </c>
      <c r="C4565" s="173" t="s">
        <v>3177</v>
      </c>
      <c r="D4565" s="173" t="s">
        <v>470</v>
      </c>
      <c r="E4565">
        <v>4</v>
      </c>
    </row>
    <row r="4566" spans="1:5" hidden="1" x14ac:dyDescent="0.25">
      <c r="A4566" s="173" t="s">
        <v>804</v>
      </c>
      <c r="B4566">
        <v>82800</v>
      </c>
      <c r="C4566" s="173" t="s">
        <v>3178</v>
      </c>
      <c r="D4566" s="173" t="s">
        <v>470</v>
      </c>
      <c r="E4566">
        <v>4</v>
      </c>
    </row>
    <row r="4567" spans="1:5" hidden="1" x14ac:dyDescent="0.25">
      <c r="A4567" s="173" t="s">
        <v>804</v>
      </c>
      <c r="B4567">
        <v>82800</v>
      </c>
      <c r="C4567" s="173" t="s">
        <v>3179</v>
      </c>
      <c r="D4567" s="173" t="s">
        <v>470</v>
      </c>
      <c r="E4567">
        <v>4</v>
      </c>
    </row>
    <row r="4568" spans="1:5" hidden="1" x14ac:dyDescent="0.25">
      <c r="A4568" s="173" t="s">
        <v>804</v>
      </c>
      <c r="B4568">
        <v>82800</v>
      </c>
      <c r="C4568" s="173" t="s">
        <v>3180</v>
      </c>
      <c r="D4568" s="173" t="s">
        <v>470</v>
      </c>
      <c r="E4568">
        <v>4</v>
      </c>
    </row>
    <row r="4569" spans="1:5" hidden="1" x14ac:dyDescent="0.25">
      <c r="A4569" s="173" t="s">
        <v>804</v>
      </c>
      <c r="B4569">
        <v>82800</v>
      </c>
      <c r="C4569" s="173" t="s">
        <v>3181</v>
      </c>
      <c r="D4569" s="173" t="s">
        <v>470</v>
      </c>
      <c r="E4569">
        <v>3</v>
      </c>
    </row>
    <row r="4570" spans="1:5" hidden="1" x14ac:dyDescent="0.25">
      <c r="A4570" s="173" t="s">
        <v>804</v>
      </c>
      <c r="B4570">
        <v>82800</v>
      </c>
      <c r="C4570" s="173" t="s">
        <v>3182</v>
      </c>
      <c r="D4570" s="173" t="s">
        <v>470</v>
      </c>
      <c r="E4570">
        <v>3</v>
      </c>
    </row>
    <row r="4571" spans="1:5" hidden="1" x14ac:dyDescent="0.25">
      <c r="A4571" s="173" t="s">
        <v>804</v>
      </c>
      <c r="B4571">
        <v>82800</v>
      </c>
      <c r="C4571" s="173" t="s">
        <v>3183</v>
      </c>
      <c r="D4571" s="173" t="s">
        <v>470</v>
      </c>
      <c r="E4571">
        <v>3</v>
      </c>
    </row>
    <row r="4572" spans="1:5" hidden="1" x14ac:dyDescent="0.25">
      <c r="A4572" s="173" t="s">
        <v>804</v>
      </c>
      <c r="B4572">
        <v>82800</v>
      </c>
      <c r="C4572" s="173" t="s">
        <v>3184</v>
      </c>
      <c r="D4572" s="173" t="s">
        <v>470</v>
      </c>
      <c r="E4572">
        <v>3</v>
      </c>
    </row>
    <row r="4573" spans="1:5" hidden="1" x14ac:dyDescent="0.25">
      <c r="A4573" s="173" t="s">
        <v>804</v>
      </c>
      <c r="B4573">
        <v>82800</v>
      </c>
      <c r="C4573" s="173" t="s">
        <v>3185</v>
      </c>
      <c r="D4573" s="173" t="s">
        <v>470</v>
      </c>
      <c r="E4573">
        <v>4</v>
      </c>
    </row>
    <row r="4574" spans="1:5" hidden="1" x14ac:dyDescent="0.25">
      <c r="A4574" s="173" t="s">
        <v>804</v>
      </c>
      <c r="B4574">
        <v>82800</v>
      </c>
      <c r="C4574" s="173" t="s">
        <v>3186</v>
      </c>
      <c r="D4574" s="173" t="s">
        <v>470</v>
      </c>
      <c r="E4574">
        <v>4</v>
      </c>
    </row>
    <row r="4575" spans="1:5" x14ac:dyDescent="0.25">
      <c r="A4575" s="173" t="s">
        <v>468</v>
      </c>
      <c r="B4575">
        <v>82840</v>
      </c>
      <c r="C4575" s="173" t="s">
        <v>2533</v>
      </c>
      <c r="D4575" s="173" t="s">
        <v>470</v>
      </c>
      <c r="E4575">
        <v>1</v>
      </c>
    </row>
    <row r="4576" spans="1:5" x14ac:dyDescent="0.25">
      <c r="A4576" s="173" t="s">
        <v>468</v>
      </c>
      <c r="B4576">
        <v>82840</v>
      </c>
      <c r="C4576" s="173" t="s">
        <v>2405</v>
      </c>
      <c r="D4576" s="173" t="s">
        <v>470</v>
      </c>
      <c r="E4576">
        <v>1</v>
      </c>
    </row>
    <row r="4577" spans="1:5" x14ac:dyDescent="0.25">
      <c r="A4577" s="173" t="s">
        <v>468</v>
      </c>
      <c r="B4577">
        <v>82840</v>
      </c>
      <c r="C4577" s="173" t="s">
        <v>4607</v>
      </c>
      <c r="D4577" s="173" t="s">
        <v>470</v>
      </c>
      <c r="E4577">
        <v>1</v>
      </c>
    </row>
    <row r="4578" spans="1:5" x14ac:dyDescent="0.25">
      <c r="A4578" s="173" t="s">
        <v>468</v>
      </c>
      <c r="B4578">
        <v>82840</v>
      </c>
      <c r="C4578" s="173" t="s">
        <v>2477</v>
      </c>
      <c r="D4578" s="173" t="s">
        <v>470</v>
      </c>
      <c r="E4578">
        <v>1</v>
      </c>
    </row>
    <row r="4579" spans="1:5" x14ac:dyDescent="0.25">
      <c r="A4579" s="173" t="s">
        <v>468</v>
      </c>
      <c r="B4579">
        <v>82840</v>
      </c>
      <c r="C4579" s="173" t="s">
        <v>2537</v>
      </c>
      <c r="D4579" s="173" t="s">
        <v>470</v>
      </c>
      <c r="E4579">
        <v>1</v>
      </c>
    </row>
    <row r="4580" spans="1:5" x14ac:dyDescent="0.25">
      <c r="A4580" s="173" t="s">
        <v>468</v>
      </c>
      <c r="B4580">
        <v>82840</v>
      </c>
      <c r="C4580" s="173" t="s">
        <v>519</v>
      </c>
      <c r="D4580" s="173" t="s">
        <v>470</v>
      </c>
      <c r="E4580">
        <v>1</v>
      </c>
    </row>
    <row r="4581" spans="1:5" x14ac:dyDescent="0.25">
      <c r="A4581" s="173" t="s">
        <v>468</v>
      </c>
      <c r="B4581">
        <v>82840</v>
      </c>
      <c r="C4581" s="173" t="s">
        <v>4608</v>
      </c>
      <c r="D4581" s="173" t="s">
        <v>470</v>
      </c>
      <c r="E4581">
        <v>1</v>
      </c>
    </row>
    <row r="4582" spans="1:5" x14ac:dyDescent="0.25">
      <c r="A4582" s="173" t="s">
        <v>468</v>
      </c>
      <c r="B4582">
        <v>82840</v>
      </c>
      <c r="C4582" s="173" t="s">
        <v>3158</v>
      </c>
      <c r="D4582" s="173" t="s">
        <v>470</v>
      </c>
      <c r="E4582">
        <v>1</v>
      </c>
    </row>
    <row r="4583" spans="1:5" x14ac:dyDescent="0.25">
      <c r="A4583" s="173" t="s">
        <v>468</v>
      </c>
      <c r="B4583">
        <v>82840</v>
      </c>
      <c r="C4583" s="173" t="s">
        <v>4609</v>
      </c>
      <c r="D4583" s="173" t="s">
        <v>470</v>
      </c>
      <c r="E4583">
        <v>1</v>
      </c>
    </row>
    <row r="4584" spans="1:5" x14ac:dyDescent="0.25">
      <c r="A4584" s="173" t="s">
        <v>468</v>
      </c>
      <c r="B4584">
        <v>82840</v>
      </c>
      <c r="C4584" s="173" t="s">
        <v>3788</v>
      </c>
      <c r="D4584" s="173" t="s">
        <v>470</v>
      </c>
      <c r="E4584">
        <v>1</v>
      </c>
    </row>
    <row r="4585" spans="1:5" x14ac:dyDescent="0.25">
      <c r="A4585" s="173" t="s">
        <v>468</v>
      </c>
      <c r="B4585">
        <v>82840</v>
      </c>
      <c r="C4585" s="173" t="s">
        <v>4610</v>
      </c>
      <c r="D4585" s="173" t="s">
        <v>470</v>
      </c>
      <c r="E4585">
        <v>1</v>
      </c>
    </row>
    <row r="4586" spans="1:5" x14ac:dyDescent="0.25">
      <c r="A4586" s="173" t="s">
        <v>468</v>
      </c>
      <c r="B4586">
        <v>82840</v>
      </c>
      <c r="C4586" s="173" t="s">
        <v>2483</v>
      </c>
      <c r="D4586" s="173" t="s">
        <v>470</v>
      </c>
      <c r="E4586">
        <v>1</v>
      </c>
    </row>
    <row r="4587" spans="1:5" x14ac:dyDescent="0.25">
      <c r="A4587" s="173" t="s">
        <v>468</v>
      </c>
      <c r="B4587">
        <v>82840</v>
      </c>
      <c r="C4587" s="173" t="s">
        <v>2485</v>
      </c>
      <c r="D4587" s="173" t="s">
        <v>470</v>
      </c>
      <c r="E4587">
        <v>1</v>
      </c>
    </row>
    <row r="4588" spans="1:5" x14ac:dyDescent="0.25">
      <c r="A4588" s="173" t="s">
        <v>468</v>
      </c>
      <c r="B4588">
        <v>82840</v>
      </c>
      <c r="C4588" s="173" t="s">
        <v>4611</v>
      </c>
      <c r="D4588" s="173" t="s">
        <v>470</v>
      </c>
      <c r="E4588">
        <v>1</v>
      </c>
    </row>
    <row r="4589" spans="1:5" x14ac:dyDescent="0.25">
      <c r="A4589" s="173" t="s">
        <v>468</v>
      </c>
      <c r="B4589">
        <v>82840</v>
      </c>
      <c r="C4589" s="173" t="s">
        <v>2541</v>
      </c>
      <c r="D4589" s="173" t="s">
        <v>470</v>
      </c>
      <c r="E4589">
        <v>1</v>
      </c>
    </row>
    <row r="4590" spans="1:5" x14ac:dyDescent="0.25">
      <c r="A4590" s="173" t="s">
        <v>468</v>
      </c>
      <c r="B4590">
        <v>82840</v>
      </c>
      <c r="C4590" s="173" t="s">
        <v>4612</v>
      </c>
      <c r="D4590" s="173" t="s">
        <v>470</v>
      </c>
      <c r="E4590">
        <v>1</v>
      </c>
    </row>
    <row r="4591" spans="1:5" x14ac:dyDescent="0.25">
      <c r="A4591" s="173" t="s">
        <v>468</v>
      </c>
      <c r="B4591">
        <v>82840</v>
      </c>
      <c r="C4591" s="173" t="s">
        <v>4613</v>
      </c>
      <c r="D4591" s="173" t="s">
        <v>470</v>
      </c>
      <c r="E4591">
        <v>1</v>
      </c>
    </row>
    <row r="4592" spans="1:5" x14ac:dyDescent="0.25">
      <c r="A4592" s="173" t="s">
        <v>468</v>
      </c>
      <c r="B4592">
        <v>82840</v>
      </c>
      <c r="C4592" s="173" t="s">
        <v>4614</v>
      </c>
      <c r="D4592" s="173" t="s">
        <v>470</v>
      </c>
      <c r="E4592">
        <v>1</v>
      </c>
    </row>
    <row r="4593" spans="1:5" x14ac:dyDescent="0.25">
      <c r="A4593" s="173" t="s">
        <v>468</v>
      </c>
      <c r="B4593">
        <v>82840</v>
      </c>
      <c r="C4593" s="173" t="s">
        <v>4615</v>
      </c>
      <c r="D4593" s="173" t="s">
        <v>470</v>
      </c>
      <c r="E4593">
        <v>1</v>
      </c>
    </row>
    <row r="4594" spans="1:5" x14ac:dyDescent="0.25">
      <c r="A4594" s="173" t="s">
        <v>468</v>
      </c>
      <c r="B4594">
        <v>82840</v>
      </c>
      <c r="C4594" s="173" t="s">
        <v>4616</v>
      </c>
      <c r="D4594" s="173" t="s">
        <v>470</v>
      </c>
      <c r="E4594">
        <v>1</v>
      </c>
    </row>
    <row r="4595" spans="1:5" x14ac:dyDescent="0.25">
      <c r="A4595" s="173" t="s">
        <v>468</v>
      </c>
      <c r="B4595">
        <v>82840</v>
      </c>
      <c r="C4595" s="173" t="s">
        <v>4617</v>
      </c>
      <c r="D4595" s="173" t="s">
        <v>470</v>
      </c>
      <c r="E4595">
        <v>1</v>
      </c>
    </row>
    <row r="4596" spans="1:5" x14ac:dyDescent="0.25">
      <c r="A4596" s="173" t="s">
        <v>468</v>
      </c>
      <c r="B4596">
        <v>82840</v>
      </c>
      <c r="C4596" s="173" t="s">
        <v>4618</v>
      </c>
      <c r="D4596" s="173" t="s">
        <v>470</v>
      </c>
      <c r="E4596">
        <v>1</v>
      </c>
    </row>
    <row r="4597" spans="1:5" x14ac:dyDescent="0.25">
      <c r="A4597" s="173" t="s">
        <v>468</v>
      </c>
      <c r="B4597">
        <v>82840</v>
      </c>
      <c r="C4597" s="173" t="s">
        <v>4619</v>
      </c>
      <c r="D4597" s="173" t="s">
        <v>470</v>
      </c>
      <c r="E4597">
        <v>1</v>
      </c>
    </row>
    <row r="4598" spans="1:5" x14ac:dyDescent="0.25">
      <c r="A4598" s="173" t="s">
        <v>468</v>
      </c>
      <c r="B4598">
        <v>82840</v>
      </c>
      <c r="C4598" s="173" t="s">
        <v>4620</v>
      </c>
      <c r="D4598" s="173" t="s">
        <v>470</v>
      </c>
      <c r="E4598">
        <v>1</v>
      </c>
    </row>
    <row r="4599" spans="1:5" x14ac:dyDescent="0.25">
      <c r="A4599" s="173" t="s">
        <v>468</v>
      </c>
      <c r="B4599">
        <v>82840</v>
      </c>
      <c r="C4599" s="173" t="s">
        <v>4621</v>
      </c>
      <c r="D4599" s="173" t="s">
        <v>470</v>
      </c>
      <c r="E4599">
        <v>1</v>
      </c>
    </row>
    <row r="4600" spans="1:5" x14ac:dyDescent="0.25">
      <c r="A4600" s="173" t="s">
        <v>468</v>
      </c>
      <c r="B4600">
        <v>82840</v>
      </c>
      <c r="C4600" s="173" t="s">
        <v>4622</v>
      </c>
      <c r="D4600" s="173" t="s">
        <v>470</v>
      </c>
      <c r="E4600">
        <v>1</v>
      </c>
    </row>
    <row r="4601" spans="1:5" x14ac:dyDescent="0.25">
      <c r="A4601" s="173" t="s">
        <v>468</v>
      </c>
      <c r="B4601">
        <v>82840</v>
      </c>
      <c r="C4601" s="173" t="s">
        <v>4623</v>
      </c>
      <c r="D4601" s="173" t="s">
        <v>470</v>
      </c>
      <c r="E4601">
        <v>1</v>
      </c>
    </row>
    <row r="4602" spans="1:5" x14ac:dyDescent="0.25">
      <c r="A4602" s="173" t="s">
        <v>468</v>
      </c>
      <c r="B4602">
        <v>82840</v>
      </c>
      <c r="C4602" s="173" t="s">
        <v>4624</v>
      </c>
      <c r="D4602" s="173" t="s">
        <v>470</v>
      </c>
      <c r="E4602">
        <v>1</v>
      </c>
    </row>
    <row r="4603" spans="1:5" x14ac:dyDescent="0.25">
      <c r="A4603" s="173" t="s">
        <v>468</v>
      </c>
      <c r="B4603">
        <v>82840</v>
      </c>
      <c r="C4603" s="173" t="s">
        <v>4625</v>
      </c>
      <c r="D4603" s="173" t="s">
        <v>470</v>
      </c>
      <c r="E4603">
        <v>1</v>
      </c>
    </row>
    <row r="4604" spans="1:5" x14ac:dyDescent="0.25">
      <c r="A4604" s="173" t="s">
        <v>468</v>
      </c>
      <c r="B4604">
        <v>82840</v>
      </c>
      <c r="C4604" s="173" t="s">
        <v>4626</v>
      </c>
      <c r="D4604" s="173" t="s">
        <v>470</v>
      </c>
      <c r="E4604">
        <v>1</v>
      </c>
    </row>
    <row r="4605" spans="1:5" x14ac:dyDescent="0.25">
      <c r="A4605" s="173" t="s">
        <v>468</v>
      </c>
      <c r="B4605">
        <v>82840</v>
      </c>
      <c r="C4605" s="173" t="s">
        <v>4627</v>
      </c>
      <c r="D4605" s="173" t="s">
        <v>470</v>
      </c>
      <c r="E4605">
        <v>1</v>
      </c>
    </row>
    <row r="4606" spans="1:5" x14ac:dyDescent="0.25">
      <c r="A4606" s="173" t="s">
        <v>468</v>
      </c>
      <c r="B4606">
        <v>82840</v>
      </c>
      <c r="C4606" s="173" t="s">
        <v>4628</v>
      </c>
      <c r="D4606" s="173" t="s">
        <v>470</v>
      </c>
      <c r="E4606">
        <v>1</v>
      </c>
    </row>
    <row r="4607" spans="1:5" x14ac:dyDescent="0.25">
      <c r="A4607" s="173" t="s">
        <v>468</v>
      </c>
      <c r="B4607">
        <v>82840</v>
      </c>
      <c r="C4607" s="173" t="s">
        <v>4629</v>
      </c>
      <c r="D4607" s="173" t="s">
        <v>470</v>
      </c>
      <c r="E4607">
        <v>1</v>
      </c>
    </row>
    <row r="4608" spans="1:5" x14ac:dyDescent="0.25">
      <c r="A4608" s="173" t="s">
        <v>468</v>
      </c>
      <c r="B4608">
        <v>82840</v>
      </c>
      <c r="C4608" s="173" t="s">
        <v>4630</v>
      </c>
      <c r="D4608" s="173" t="s">
        <v>470</v>
      </c>
      <c r="E4608">
        <v>1</v>
      </c>
    </row>
    <row r="4609" spans="1:5" x14ac:dyDescent="0.25">
      <c r="A4609" s="173" t="s">
        <v>468</v>
      </c>
      <c r="B4609">
        <v>82840</v>
      </c>
      <c r="C4609" s="173" t="s">
        <v>4631</v>
      </c>
      <c r="D4609" s="173" t="s">
        <v>470</v>
      </c>
      <c r="E4609">
        <v>1</v>
      </c>
    </row>
    <row r="4610" spans="1:5" x14ac:dyDescent="0.25">
      <c r="A4610" s="173" t="s">
        <v>468</v>
      </c>
      <c r="B4610">
        <v>82840</v>
      </c>
      <c r="C4610" s="173" t="s">
        <v>4632</v>
      </c>
      <c r="D4610" s="173" t="s">
        <v>470</v>
      </c>
      <c r="E4610">
        <v>1</v>
      </c>
    </row>
    <row r="4611" spans="1:5" x14ac:dyDescent="0.25">
      <c r="A4611" s="173" t="s">
        <v>468</v>
      </c>
      <c r="B4611">
        <v>82840</v>
      </c>
      <c r="C4611" s="173" t="s">
        <v>4633</v>
      </c>
      <c r="D4611" s="173" t="s">
        <v>470</v>
      </c>
      <c r="E4611">
        <v>1</v>
      </c>
    </row>
    <row r="4612" spans="1:5" x14ac:dyDescent="0.25">
      <c r="A4612" s="173" t="s">
        <v>468</v>
      </c>
      <c r="B4612">
        <v>82840</v>
      </c>
      <c r="C4612" s="173" t="s">
        <v>4634</v>
      </c>
      <c r="D4612" s="173" t="s">
        <v>470</v>
      </c>
      <c r="E4612">
        <v>1</v>
      </c>
    </row>
    <row r="4613" spans="1:5" x14ac:dyDescent="0.25">
      <c r="A4613" s="173" t="s">
        <v>468</v>
      </c>
      <c r="B4613">
        <v>82840</v>
      </c>
      <c r="C4613" s="173" t="s">
        <v>4635</v>
      </c>
      <c r="D4613" s="173" t="s">
        <v>470</v>
      </c>
      <c r="E4613">
        <v>1</v>
      </c>
    </row>
    <row r="4614" spans="1:5" x14ac:dyDescent="0.25">
      <c r="A4614" s="173" t="s">
        <v>468</v>
      </c>
      <c r="B4614">
        <v>82840</v>
      </c>
      <c r="C4614" s="173" t="s">
        <v>4636</v>
      </c>
      <c r="D4614" s="173" t="s">
        <v>470</v>
      </c>
      <c r="E4614">
        <v>1</v>
      </c>
    </row>
    <row r="4615" spans="1:5" x14ac:dyDescent="0.25">
      <c r="A4615" s="173" t="s">
        <v>468</v>
      </c>
      <c r="B4615">
        <v>82840</v>
      </c>
      <c r="C4615" s="173" t="s">
        <v>4637</v>
      </c>
      <c r="D4615" s="173" t="s">
        <v>470</v>
      </c>
      <c r="E4615">
        <v>1</v>
      </c>
    </row>
    <row r="4616" spans="1:5" x14ac:dyDescent="0.25">
      <c r="A4616" s="173" t="s">
        <v>468</v>
      </c>
      <c r="B4616">
        <v>82840</v>
      </c>
      <c r="C4616" s="173" t="s">
        <v>4638</v>
      </c>
      <c r="D4616" s="173" t="s">
        <v>470</v>
      </c>
      <c r="E4616">
        <v>1</v>
      </c>
    </row>
    <row r="4617" spans="1:5" x14ac:dyDescent="0.25">
      <c r="A4617" s="173" t="s">
        <v>468</v>
      </c>
      <c r="B4617">
        <v>82840</v>
      </c>
      <c r="C4617" s="173" t="s">
        <v>4639</v>
      </c>
      <c r="D4617" s="173" t="s">
        <v>470</v>
      </c>
      <c r="E4617">
        <v>1</v>
      </c>
    </row>
    <row r="4618" spans="1:5" x14ac:dyDescent="0.25">
      <c r="A4618" s="173" t="s">
        <v>468</v>
      </c>
      <c r="B4618">
        <v>82840</v>
      </c>
      <c r="C4618" s="173" t="s">
        <v>4640</v>
      </c>
      <c r="D4618" s="173" t="s">
        <v>470</v>
      </c>
      <c r="E4618">
        <v>1</v>
      </c>
    </row>
    <row r="4619" spans="1:5" x14ac:dyDescent="0.25">
      <c r="A4619" s="173" t="s">
        <v>468</v>
      </c>
      <c r="B4619">
        <v>82840</v>
      </c>
      <c r="C4619" s="173" t="s">
        <v>4641</v>
      </c>
      <c r="D4619" s="173" t="s">
        <v>470</v>
      </c>
      <c r="E4619">
        <v>1</v>
      </c>
    </row>
    <row r="4620" spans="1:5" x14ac:dyDescent="0.25">
      <c r="A4620" s="173" t="s">
        <v>468</v>
      </c>
      <c r="B4620">
        <v>82840</v>
      </c>
      <c r="C4620" s="173" t="s">
        <v>4642</v>
      </c>
      <c r="D4620" s="173" t="s">
        <v>470</v>
      </c>
      <c r="E4620">
        <v>1</v>
      </c>
    </row>
    <row r="4621" spans="1:5" x14ac:dyDescent="0.25">
      <c r="A4621" s="173" t="s">
        <v>468</v>
      </c>
      <c r="B4621">
        <v>82840</v>
      </c>
      <c r="C4621" s="173" t="s">
        <v>4643</v>
      </c>
      <c r="D4621" s="173" t="s">
        <v>470</v>
      </c>
      <c r="E4621">
        <v>1</v>
      </c>
    </row>
    <row r="4622" spans="1:5" x14ac:dyDescent="0.25">
      <c r="A4622" s="173" t="s">
        <v>468</v>
      </c>
      <c r="B4622">
        <v>82840</v>
      </c>
      <c r="C4622" s="173" t="s">
        <v>4644</v>
      </c>
      <c r="D4622" s="173" t="s">
        <v>470</v>
      </c>
      <c r="E4622">
        <v>1</v>
      </c>
    </row>
    <row r="4623" spans="1:5" x14ac:dyDescent="0.25">
      <c r="A4623" s="173" t="s">
        <v>468</v>
      </c>
      <c r="B4623">
        <v>82840</v>
      </c>
      <c r="C4623" s="173" t="s">
        <v>4645</v>
      </c>
      <c r="D4623" s="173" t="s">
        <v>470</v>
      </c>
      <c r="E4623">
        <v>1</v>
      </c>
    </row>
    <row r="4624" spans="1:5" x14ac:dyDescent="0.25">
      <c r="A4624" s="173" t="s">
        <v>468</v>
      </c>
      <c r="B4624">
        <v>82840</v>
      </c>
      <c r="C4624" s="173" t="s">
        <v>4646</v>
      </c>
      <c r="D4624" s="173" t="s">
        <v>470</v>
      </c>
      <c r="E4624">
        <v>1</v>
      </c>
    </row>
    <row r="4625" spans="1:5" x14ac:dyDescent="0.25">
      <c r="A4625" s="173" t="s">
        <v>468</v>
      </c>
      <c r="B4625">
        <v>82840</v>
      </c>
      <c r="C4625" s="173" t="s">
        <v>4647</v>
      </c>
      <c r="D4625" s="173" t="s">
        <v>470</v>
      </c>
      <c r="E4625">
        <v>1</v>
      </c>
    </row>
    <row r="4626" spans="1:5" x14ac:dyDescent="0.25">
      <c r="A4626" s="173" t="s">
        <v>468</v>
      </c>
      <c r="B4626">
        <v>83078</v>
      </c>
      <c r="C4626" s="173" t="s">
        <v>2533</v>
      </c>
      <c r="D4626" s="173" t="s">
        <v>470</v>
      </c>
      <c r="E4626">
        <v>2</v>
      </c>
    </row>
    <row r="4627" spans="1:5" x14ac:dyDescent="0.25">
      <c r="A4627" s="173" t="s">
        <v>468</v>
      </c>
      <c r="B4627">
        <v>83078</v>
      </c>
      <c r="C4627" s="173" t="s">
        <v>2534</v>
      </c>
      <c r="D4627" s="173" t="s">
        <v>470</v>
      </c>
      <c r="E4627">
        <v>2</v>
      </c>
    </row>
    <row r="4628" spans="1:5" x14ac:dyDescent="0.25">
      <c r="A4628" s="173" t="s">
        <v>468</v>
      </c>
      <c r="B4628">
        <v>83078</v>
      </c>
      <c r="C4628" s="173" t="s">
        <v>483</v>
      </c>
      <c r="D4628" s="173" t="s">
        <v>470</v>
      </c>
      <c r="E4628">
        <v>2</v>
      </c>
    </row>
    <row r="4629" spans="1:5" x14ac:dyDescent="0.25">
      <c r="A4629" s="173" t="s">
        <v>468</v>
      </c>
      <c r="B4629">
        <v>83078</v>
      </c>
      <c r="C4629" s="173" t="s">
        <v>2477</v>
      </c>
      <c r="D4629" s="173" t="s">
        <v>470</v>
      </c>
      <c r="E4629">
        <v>2</v>
      </c>
    </row>
    <row r="4630" spans="1:5" x14ac:dyDescent="0.25">
      <c r="A4630" s="173" t="s">
        <v>468</v>
      </c>
      <c r="B4630">
        <v>83078</v>
      </c>
      <c r="C4630" s="173" t="s">
        <v>2536</v>
      </c>
      <c r="D4630" s="173" t="s">
        <v>470</v>
      </c>
      <c r="E4630">
        <v>2</v>
      </c>
    </row>
    <row r="4631" spans="1:5" x14ac:dyDescent="0.25">
      <c r="A4631" s="173" t="s">
        <v>468</v>
      </c>
      <c r="B4631">
        <v>83078</v>
      </c>
      <c r="C4631" s="173" t="s">
        <v>2478</v>
      </c>
      <c r="D4631" s="173" t="s">
        <v>470</v>
      </c>
      <c r="E4631">
        <v>2</v>
      </c>
    </row>
    <row r="4632" spans="1:5" x14ac:dyDescent="0.25">
      <c r="A4632" s="173" t="s">
        <v>468</v>
      </c>
      <c r="B4632">
        <v>83078</v>
      </c>
      <c r="C4632" s="173" t="s">
        <v>4648</v>
      </c>
      <c r="D4632" s="173" t="s">
        <v>470</v>
      </c>
      <c r="E4632">
        <v>2</v>
      </c>
    </row>
    <row r="4633" spans="1:5" x14ac:dyDescent="0.25">
      <c r="A4633" s="173" t="s">
        <v>468</v>
      </c>
      <c r="B4633">
        <v>83078</v>
      </c>
      <c r="C4633" s="173" t="s">
        <v>4649</v>
      </c>
      <c r="D4633" s="173" t="s">
        <v>470</v>
      </c>
      <c r="E4633">
        <v>2</v>
      </c>
    </row>
    <row r="4634" spans="1:5" x14ac:dyDescent="0.25">
      <c r="A4634" s="173" t="s">
        <v>468</v>
      </c>
      <c r="B4634">
        <v>83078</v>
      </c>
      <c r="C4634" s="173" t="s">
        <v>2483</v>
      </c>
      <c r="D4634" s="173" t="s">
        <v>470</v>
      </c>
      <c r="E4634">
        <v>2</v>
      </c>
    </row>
    <row r="4635" spans="1:5" x14ac:dyDescent="0.25">
      <c r="A4635" s="173" t="s">
        <v>468</v>
      </c>
      <c r="B4635">
        <v>83078</v>
      </c>
      <c r="C4635" s="173" t="s">
        <v>2484</v>
      </c>
      <c r="D4635" s="173" t="s">
        <v>470</v>
      </c>
      <c r="E4635">
        <v>2</v>
      </c>
    </row>
    <row r="4636" spans="1:5" x14ac:dyDescent="0.25">
      <c r="A4636" s="173" t="s">
        <v>468</v>
      </c>
      <c r="B4636">
        <v>83078</v>
      </c>
      <c r="C4636" s="173" t="s">
        <v>2542</v>
      </c>
      <c r="D4636" s="173" t="s">
        <v>470</v>
      </c>
      <c r="E4636">
        <v>2</v>
      </c>
    </row>
    <row r="4637" spans="1:5" x14ac:dyDescent="0.25">
      <c r="A4637" s="173" t="s">
        <v>468</v>
      </c>
      <c r="B4637">
        <v>83078</v>
      </c>
      <c r="C4637" s="173" t="s">
        <v>2422</v>
      </c>
      <c r="D4637" s="173" t="s">
        <v>470</v>
      </c>
      <c r="E4637">
        <v>2</v>
      </c>
    </row>
    <row r="4638" spans="1:5" x14ac:dyDescent="0.25">
      <c r="A4638" s="173" t="s">
        <v>468</v>
      </c>
      <c r="B4638">
        <v>83078</v>
      </c>
      <c r="C4638" s="173" t="s">
        <v>3160</v>
      </c>
      <c r="D4638" s="173" t="s">
        <v>470</v>
      </c>
      <c r="E4638">
        <v>2</v>
      </c>
    </row>
    <row r="4639" spans="1:5" x14ac:dyDescent="0.25">
      <c r="A4639" s="173" t="s">
        <v>468</v>
      </c>
      <c r="B4639">
        <v>83078</v>
      </c>
      <c r="C4639" s="173" t="s">
        <v>3187</v>
      </c>
      <c r="D4639" s="173" t="s">
        <v>470</v>
      </c>
      <c r="E4639">
        <v>2</v>
      </c>
    </row>
    <row r="4640" spans="1:5" x14ac:dyDescent="0.25">
      <c r="A4640" s="173" t="s">
        <v>468</v>
      </c>
      <c r="B4640">
        <v>83078</v>
      </c>
      <c r="C4640" s="173" t="s">
        <v>2545</v>
      </c>
      <c r="D4640" s="173" t="s">
        <v>470</v>
      </c>
      <c r="E4640">
        <v>2</v>
      </c>
    </row>
    <row r="4641" spans="1:5" x14ac:dyDescent="0.25">
      <c r="A4641" s="173" t="s">
        <v>468</v>
      </c>
      <c r="B4641">
        <v>83078</v>
      </c>
      <c r="C4641" s="173" t="s">
        <v>4650</v>
      </c>
      <c r="D4641" s="173" t="s">
        <v>470</v>
      </c>
      <c r="E4641">
        <v>2</v>
      </c>
    </row>
    <row r="4642" spans="1:5" x14ac:dyDescent="0.25">
      <c r="A4642" s="173" t="s">
        <v>468</v>
      </c>
      <c r="B4642">
        <v>83078</v>
      </c>
      <c r="C4642" s="173" t="s">
        <v>3156</v>
      </c>
      <c r="D4642" s="173" t="s">
        <v>470</v>
      </c>
      <c r="E4642">
        <v>2</v>
      </c>
    </row>
    <row r="4643" spans="1:5" x14ac:dyDescent="0.25">
      <c r="A4643" s="173" t="s">
        <v>468</v>
      </c>
      <c r="B4643">
        <v>83078</v>
      </c>
      <c r="C4643" s="173" t="s">
        <v>4651</v>
      </c>
      <c r="D4643" s="173" t="s">
        <v>470</v>
      </c>
      <c r="E4643">
        <v>2</v>
      </c>
    </row>
    <row r="4644" spans="1:5" x14ac:dyDescent="0.25">
      <c r="A4644" s="173" t="s">
        <v>468</v>
      </c>
      <c r="B4644">
        <v>83078</v>
      </c>
      <c r="C4644" s="173" t="s">
        <v>4652</v>
      </c>
      <c r="D4644" s="173" t="s">
        <v>470</v>
      </c>
      <c r="E4644">
        <v>2</v>
      </c>
    </row>
    <row r="4645" spans="1:5" x14ac:dyDescent="0.25">
      <c r="A4645" s="173" t="s">
        <v>468</v>
      </c>
      <c r="B4645">
        <v>83078</v>
      </c>
      <c r="C4645" s="173" t="s">
        <v>4653</v>
      </c>
      <c r="D4645" s="173" t="s">
        <v>470</v>
      </c>
      <c r="E4645">
        <v>2</v>
      </c>
    </row>
    <row r="4646" spans="1:5" x14ac:dyDescent="0.25">
      <c r="A4646" s="173" t="s">
        <v>468</v>
      </c>
      <c r="B4646">
        <v>83078</v>
      </c>
      <c r="C4646" s="173" t="s">
        <v>4654</v>
      </c>
      <c r="D4646" s="173" t="s">
        <v>470</v>
      </c>
      <c r="E4646">
        <v>2</v>
      </c>
    </row>
    <row r="4647" spans="1:5" x14ac:dyDescent="0.25">
      <c r="A4647" s="173" t="s">
        <v>468</v>
      </c>
      <c r="B4647">
        <v>83078</v>
      </c>
      <c r="C4647" s="173" t="s">
        <v>4655</v>
      </c>
      <c r="D4647" s="173" t="s">
        <v>470</v>
      </c>
      <c r="E4647">
        <v>2</v>
      </c>
    </row>
    <row r="4648" spans="1:5" x14ac:dyDescent="0.25">
      <c r="A4648" s="173" t="s">
        <v>468</v>
      </c>
      <c r="B4648">
        <v>83078</v>
      </c>
      <c r="C4648" s="173" t="s">
        <v>4656</v>
      </c>
      <c r="D4648" s="173" t="s">
        <v>470</v>
      </c>
      <c r="E4648">
        <v>2</v>
      </c>
    </row>
    <row r="4649" spans="1:5" x14ac:dyDescent="0.25">
      <c r="A4649" s="173" t="s">
        <v>468</v>
      </c>
      <c r="B4649">
        <v>83078</v>
      </c>
      <c r="C4649" s="173" t="s">
        <v>4657</v>
      </c>
      <c r="D4649" s="173" t="s">
        <v>470</v>
      </c>
      <c r="E4649">
        <v>2</v>
      </c>
    </row>
    <row r="4650" spans="1:5" x14ac:dyDescent="0.25">
      <c r="A4650" s="173" t="s">
        <v>468</v>
      </c>
      <c r="B4650">
        <v>83078</v>
      </c>
      <c r="C4650" s="173" t="s">
        <v>4658</v>
      </c>
      <c r="D4650" s="173" t="s">
        <v>470</v>
      </c>
      <c r="E4650">
        <v>2</v>
      </c>
    </row>
    <row r="4651" spans="1:5" x14ac:dyDescent="0.25">
      <c r="A4651" s="173" t="s">
        <v>468</v>
      </c>
      <c r="B4651">
        <v>83078</v>
      </c>
      <c r="C4651" s="173" t="s">
        <v>4659</v>
      </c>
      <c r="D4651" s="173" t="s">
        <v>470</v>
      </c>
      <c r="E4651">
        <v>2</v>
      </c>
    </row>
    <row r="4652" spans="1:5" x14ac:dyDescent="0.25">
      <c r="A4652" s="173" t="s">
        <v>468</v>
      </c>
      <c r="B4652">
        <v>83078</v>
      </c>
      <c r="C4652" s="173" t="s">
        <v>4660</v>
      </c>
      <c r="D4652" s="173" t="s">
        <v>470</v>
      </c>
      <c r="E4652">
        <v>2</v>
      </c>
    </row>
    <row r="4653" spans="1:5" x14ac:dyDescent="0.25">
      <c r="A4653" s="173" t="s">
        <v>468</v>
      </c>
      <c r="B4653">
        <v>83078</v>
      </c>
      <c r="C4653" s="173" t="s">
        <v>4661</v>
      </c>
      <c r="D4653" s="173" t="s">
        <v>470</v>
      </c>
      <c r="E4653">
        <v>2</v>
      </c>
    </row>
    <row r="4654" spans="1:5" x14ac:dyDescent="0.25">
      <c r="A4654" s="173" t="s">
        <v>468</v>
      </c>
      <c r="B4654">
        <v>83078</v>
      </c>
      <c r="C4654" s="173" t="s">
        <v>4662</v>
      </c>
      <c r="D4654" s="173" t="s">
        <v>470</v>
      </c>
      <c r="E4654">
        <v>2</v>
      </c>
    </row>
    <row r="4655" spans="1:5" x14ac:dyDescent="0.25">
      <c r="A4655" s="173" t="s">
        <v>468</v>
      </c>
      <c r="B4655">
        <v>83078</v>
      </c>
      <c r="C4655" s="173" t="s">
        <v>4663</v>
      </c>
      <c r="D4655" s="173" t="s">
        <v>470</v>
      </c>
      <c r="E4655">
        <v>2</v>
      </c>
    </row>
    <row r="4656" spans="1:5" x14ac:dyDescent="0.25">
      <c r="A4656" s="173" t="s">
        <v>468</v>
      </c>
      <c r="B4656">
        <v>83078</v>
      </c>
      <c r="C4656" s="173" t="s">
        <v>4664</v>
      </c>
      <c r="D4656" s="173" t="s">
        <v>470</v>
      </c>
      <c r="E4656">
        <v>2</v>
      </c>
    </row>
    <row r="4657" spans="1:5" x14ac:dyDescent="0.25">
      <c r="A4657" s="173" t="s">
        <v>468</v>
      </c>
      <c r="B4657">
        <v>83078</v>
      </c>
      <c r="C4657" s="173" t="s">
        <v>4665</v>
      </c>
      <c r="D4657" s="173" t="s">
        <v>470</v>
      </c>
      <c r="E4657">
        <v>2</v>
      </c>
    </row>
    <row r="4658" spans="1:5" x14ac:dyDescent="0.25">
      <c r="A4658" s="173" t="s">
        <v>468</v>
      </c>
      <c r="B4658">
        <v>83078</v>
      </c>
      <c r="C4658" s="173" t="s">
        <v>4666</v>
      </c>
      <c r="D4658" s="173" t="s">
        <v>470</v>
      </c>
      <c r="E4658">
        <v>2</v>
      </c>
    </row>
    <row r="4659" spans="1:5" x14ac:dyDescent="0.25">
      <c r="A4659" s="173" t="s">
        <v>468</v>
      </c>
      <c r="B4659">
        <v>83078</v>
      </c>
      <c r="C4659" s="173" t="s">
        <v>4667</v>
      </c>
      <c r="D4659" s="173" t="s">
        <v>470</v>
      </c>
      <c r="E4659">
        <v>2</v>
      </c>
    </row>
    <row r="4660" spans="1:5" x14ac:dyDescent="0.25">
      <c r="A4660" s="173" t="s">
        <v>468</v>
      </c>
      <c r="B4660">
        <v>83078</v>
      </c>
      <c r="C4660" s="173" t="s">
        <v>4668</v>
      </c>
      <c r="D4660" s="173" t="s">
        <v>470</v>
      </c>
      <c r="E4660">
        <v>2</v>
      </c>
    </row>
    <row r="4661" spans="1:5" x14ac:dyDescent="0.25">
      <c r="A4661" s="173" t="s">
        <v>468</v>
      </c>
      <c r="B4661">
        <v>83078</v>
      </c>
      <c r="C4661" s="173" t="s">
        <v>4669</v>
      </c>
      <c r="D4661" s="173" t="s">
        <v>470</v>
      </c>
      <c r="E4661">
        <v>2</v>
      </c>
    </row>
    <row r="4662" spans="1:5" x14ac:dyDescent="0.25">
      <c r="A4662" s="173" t="s">
        <v>468</v>
      </c>
      <c r="B4662">
        <v>83078</v>
      </c>
      <c r="C4662" s="173" t="s">
        <v>4670</v>
      </c>
      <c r="D4662" s="173" t="s">
        <v>470</v>
      </c>
      <c r="E4662">
        <v>2</v>
      </c>
    </row>
    <row r="4663" spans="1:5" x14ac:dyDescent="0.25">
      <c r="A4663" s="173" t="s">
        <v>468</v>
      </c>
      <c r="B4663">
        <v>83078</v>
      </c>
      <c r="C4663" s="173" t="s">
        <v>4671</v>
      </c>
      <c r="D4663" s="173" t="s">
        <v>470</v>
      </c>
      <c r="E4663">
        <v>2</v>
      </c>
    </row>
    <row r="4664" spans="1:5" x14ac:dyDescent="0.25">
      <c r="A4664" s="173" t="s">
        <v>468</v>
      </c>
      <c r="B4664">
        <v>83078</v>
      </c>
      <c r="C4664" s="173" t="s">
        <v>4672</v>
      </c>
      <c r="D4664" s="173" t="s">
        <v>470</v>
      </c>
      <c r="E4664">
        <v>2</v>
      </c>
    </row>
    <row r="4665" spans="1:5" x14ac:dyDescent="0.25">
      <c r="A4665" s="173" t="s">
        <v>468</v>
      </c>
      <c r="B4665">
        <v>83078</v>
      </c>
      <c r="C4665" s="173" t="s">
        <v>4673</v>
      </c>
      <c r="D4665" s="173" t="s">
        <v>470</v>
      </c>
      <c r="E4665">
        <v>2</v>
      </c>
    </row>
    <row r="4666" spans="1:5" x14ac:dyDescent="0.25">
      <c r="A4666" s="173" t="s">
        <v>468</v>
      </c>
      <c r="B4666">
        <v>83078</v>
      </c>
      <c r="C4666" s="173" t="s">
        <v>4674</v>
      </c>
      <c r="D4666" s="173" t="s">
        <v>470</v>
      </c>
      <c r="E4666">
        <v>2</v>
      </c>
    </row>
    <row r="4667" spans="1:5" x14ac:dyDescent="0.25">
      <c r="A4667" s="173" t="s">
        <v>468</v>
      </c>
      <c r="B4667">
        <v>83078</v>
      </c>
      <c r="C4667" s="173" t="s">
        <v>4675</v>
      </c>
      <c r="D4667" s="173" t="s">
        <v>470</v>
      </c>
      <c r="E4667">
        <v>2</v>
      </c>
    </row>
    <row r="4668" spans="1:5" x14ac:dyDescent="0.25">
      <c r="A4668" s="173" t="s">
        <v>468</v>
      </c>
      <c r="B4668">
        <v>83078</v>
      </c>
      <c r="C4668" s="173" t="s">
        <v>4676</v>
      </c>
      <c r="D4668" s="173" t="s">
        <v>470</v>
      </c>
      <c r="E4668">
        <v>2</v>
      </c>
    </row>
    <row r="4669" spans="1:5" x14ac:dyDescent="0.25">
      <c r="A4669" s="173" t="s">
        <v>468</v>
      </c>
      <c r="B4669">
        <v>83078</v>
      </c>
      <c r="C4669" s="173" t="s">
        <v>4677</v>
      </c>
      <c r="D4669" s="173" t="s">
        <v>470</v>
      </c>
      <c r="E4669">
        <v>2</v>
      </c>
    </row>
    <row r="4670" spans="1:5" x14ac:dyDescent="0.25">
      <c r="A4670" s="173" t="s">
        <v>468</v>
      </c>
      <c r="B4670">
        <v>83078</v>
      </c>
      <c r="C4670" s="173" t="s">
        <v>4678</v>
      </c>
      <c r="D4670" s="173" t="s">
        <v>470</v>
      </c>
      <c r="E4670">
        <v>2</v>
      </c>
    </row>
    <row r="4671" spans="1:5" x14ac:dyDescent="0.25">
      <c r="A4671" s="173" t="s">
        <v>468</v>
      </c>
      <c r="B4671">
        <v>83078</v>
      </c>
      <c r="C4671" s="173" t="s">
        <v>4679</v>
      </c>
      <c r="D4671" s="173" t="s">
        <v>470</v>
      </c>
      <c r="E4671">
        <v>2</v>
      </c>
    </row>
    <row r="4672" spans="1:5" x14ac:dyDescent="0.25">
      <c r="A4672" s="173" t="s">
        <v>468</v>
      </c>
      <c r="B4672">
        <v>83078</v>
      </c>
      <c r="C4672" s="173" t="s">
        <v>4680</v>
      </c>
      <c r="D4672" s="173" t="s">
        <v>470</v>
      </c>
      <c r="E4672">
        <v>2</v>
      </c>
    </row>
    <row r="4673" spans="1:5" x14ac:dyDescent="0.25">
      <c r="A4673" s="173" t="s">
        <v>468</v>
      </c>
      <c r="B4673">
        <v>83078</v>
      </c>
      <c r="C4673" s="173" t="s">
        <v>4681</v>
      </c>
      <c r="D4673" s="173" t="s">
        <v>470</v>
      </c>
      <c r="E4673">
        <v>2</v>
      </c>
    </row>
    <row r="4674" spans="1:5" x14ac:dyDescent="0.25">
      <c r="A4674" s="173" t="s">
        <v>468</v>
      </c>
      <c r="B4674">
        <v>83196</v>
      </c>
      <c r="C4674" s="173" t="s">
        <v>4964</v>
      </c>
      <c r="D4674" s="173" t="s">
        <v>470</v>
      </c>
      <c r="E4674">
        <v>2</v>
      </c>
    </row>
    <row r="4675" spans="1:5" x14ac:dyDescent="0.25">
      <c r="A4675" s="173" t="s">
        <v>468</v>
      </c>
      <c r="B4675">
        <v>83196</v>
      </c>
      <c r="C4675" s="173" t="s">
        <v>2548</v>
      </c>
      <c r="D4675" s="173" t="s">
        <v>470</v>
      </c>
      <c r="E4675">
        <v>2</v>
      </c>
    </row>
    <row r="4676" spans="1:5" x14ac:dyDescent="0.25">
      <c r="A4676" s="173" t="s">
        <v>468</v>
      </c>
      <c r="B4676">
        <v>83196</v>
      </c>
      <c r="C4676" s="173" t="s">
        <v>4965</v>
      </c>
      <c r="D4676" s="173" t="s">
        <v>470</v>
      </c>
      <c r="E4676">
        <v>3</v>
      </c>
    </row>
    <row r="4677" spans="1:5" x14ac:dyDescent="0.25">
      <c r="A4677" s="173" t="s">
        <v>468</v>
      </c>
      <c r="B4677">
        <v>83196</v>
      </c>
      <c r="C4677" s="173" t="s">
        <v>4966</v>
      </c>
      <c r="D4677" s="173" t="s">
        <v>470</v>
      </c>
      <c r="E4677">
        <v>3</v>
      </c>
    </row>
    <row r="4678" spans="1:5" x14ac:dyDescent="0.25">
      <c r="A4678" s="173" t="s">
        <v>468</v>
      </c>
      <c r="B4678">
        <v>83196</v>
      </c>
      <c r="C4678" s="173" t="s">
        <v>523</v>
      </c>
      <c r="D4678" s="173" t="s">
        <v>470</v>
      </c>
      <c r="E4678">
        <v>3</v>
      </c>
    </row>
    <row r="4679" spans="1:5" x14ac:dyDescent="0.25">
      <c r="A4679" s="173" t="s">
        <v>468</v>
      </c>
      <c r="B4679">
        <v>83196</v>
      </c>
      <c r="C4679" s="173" t="s">
        <v>485</v>
      </c>
      <c r="D4679" s="173" t="s">
        <v>470</v>
      </c>
      <c r="E4679">
        <v>2</v>
      </c>
    </row>
    <row r="4680" spans="1:5" x14ac:dyDescent="0.25">
      <c r="A4680" s="173" t="s">
        <v>468</v>
      </c>
      <c r="B4680">
        <v>83196</v>
      </c>
      <c r="C4680" s="173" t="s">
        <v>4967</v>
      </c>
      <c r="D4680" s="173" t="s">
        <v>470</v>
      </c>
      <c r="E4680">
        <v>3</v>
      </c>
    </row>
    <row r="4681" spans="1:5" x14ac:dyDescent="0.25">
      <c r="A4681" s="173" t="s">
        <v>468</v>
      </c>
      <c r="B4681">
        <v>83196</v>
      </c>
      <c r="C4681" s="173" t="s">
        <v>4968</v>
      </c>
      <c r="D4681" s="173" t="s">
        <v>470</v>
      </c>
      <c r="E4681">
        <v>3</v>
      </c>
    </row>
    <row r="4682" spans="1:5" x14ac:dyDescent="0.25">
      <c r="A4682" s="173" t="s">
        <v>468</v>
      </c>
      <c r="B4682">
        <v>83196</v>
      </c>
      <c r="C4682" s="173" t="s">
        <v>496</v>
      </c>
      <c r="D4682" s="173" t="s">
        <v>470</v>
      </c>
      <c r="E4682">
        <v>3</v>
      </c>
    </row>
    <row r="4683" spans="1:5" x14ac:dyDescent="0.25">
      <c r="A4683" s="173" t="s">
        <v>468</v>
      </c>
      <c r="B4683">
        <v>83196</v>
      </c>
      <c r="C4683" s="173" t="s">
        <v>4969</v>
      </c>
      <c r="D4683" s="173" t="s">
        <v>470</v>
      </c>
      <c r="E4683">
        <v>3</v>
      </c>
    </row>
    <row r="4684" spans="1:5" x14ac:dyDescent="0.25">
      <c r="A4684" s="173" t="s">
        <v>468</v>
      </c>
      <c r="B4684">
        <v>83196</v>
      </c>
      <c r="C4684" s="173" t="s">
        <v>4970</v>
      </c>
      <c r="D4684" s="173" t="s">
        <v>470</v>
      </c>
      <c r="E4684">
        <v>2</v>
      </c>
    </row>
    <row r="4685" spans="1:5" x14ac:dyDescent="0.25">
      <c r="A4685" s="173" t="s">
        <v>468</v>
      </c>
      <c r="B4685">
        <v>83208</v>
      </c>
      <c r="C4685" s="173" t="s">
        <v>4971</v>
      </c>
      <c r="D4685" s="173" t="s">
        <v>470</v>
      </c>
      <c r="E4685">
        <v>1</v>
      </c>
    </row>
    <row r="4686" spans="1:5" x14ac:dyDescent="0.25">
      <c r="A4686" s="173" t="s">
        <v>468</v>
      </c>
      <c r="B4686">
        <v>83208</v>
      </c>
      <c r="C4686" s="173" t="s">
        <v>4972</v>
      </c>
      <c r="D4686" s="173" t="s">
        <v>470</v>
      </c>
      <c r="E4686">
        <v>1</v>
      </c>
    </row>
    <row r="4687" spans="1:5" x14ac:dyDescent="0.25">
      <c r="A4687" s="173" t="s">
        <v>468</v>
      </c>
      <c r="B4687">
        <v>83208</v>
      </c>
      <c r="C4687" s="173" t="s">
        <v>4973</v>
      </c>
      <c r="D4687" s="173" t="s">
        <v>470</v>
      </c>
      <c r="E4687">
        <v>1</v>
      </c>
    </row>
    <row r="4688" spans="1:5" x14ac:dyDescent="0.25">
      <c r="A4688" s="173" t="s">
        <v>468</v>
      </c>
      <c r="B4688">
        <v>83208</v>
      </c>
      <c r="C4688" s="173" t="s">
        <v>4904</v>
      </c>
      <c r="D4688" s="173" t="s">
        <v>470</v>
      </c>
      <c r="E4688">
        <v>2</v>
      </c>
    </row>
    <row r="4689" spans="1:5" x14ac:dyDescent="0.25">
      <c r="A4689" s="173" t="s">
        <v>468</v>
      </c>
      <c r="B4689">
        <v>83208</v>
      </c>
      <c r="C4689" s="173" t="s">
        <v>4906</v>
      </c>
      <c r="D4689" s="173" t="s">
        <v>470</v>
      </c>
      <c r="E4689">
        <v>1</v>
      </c>
    </row>
    <row r="4690" spans="1:5" x14ac:dyDescent="0.25">
      <c r="A4690" s="173" t="s">
        <v>468</v>
      </c>
      <c r="B4690">
        <v>83208</v>
      </c>
      <c r="C4690" s="173" t="s">
        <v>4974</v>
      </c>
      <c r="D4690" s="173" t="s">
        <v>470</v>
      </c>
      <c r="E4690">
        <v>1</v>
      </c>
    </row>
    <row r="4691" spans="1:5" x14ac:dyDescent="0.25">
      <c r="A4691" s="173" t="s">
        <v>468</v>
      </c>
      <c r="B4691">
        <v>83208</v>
      </c>
      <c r="C4691" s="173" t="s">
        <v>4975</v>
      </c>
      <c r="D4691" s="173" t="s">
        <v>470</v>
      </c>
      <c r="E4691">
        <v>1</v>
      </c>
    </row>
    <row r="4692" spans="1:5" x14ac:dyDescent="0.25">
      <c r="A4692" s="173" t="s">
        <v>468</v>
      </c>
      <c r="B4692">
        <v>83208</v>
      </c>
      <c r="C4692" s="173" t="s">
        <v>4976</v>
      </c>
      <c r="D4692" s="173" t="s">
        <v>470</v>
      </c>
      <c r="E4692">
        <v>1</v>
      </c>
    </row>
    <row r="4693" spans="1:5" x14ac:dyDescent="0.25">
      <c r="A4693" s="173" t="s">
        <v>468</v>
      </c>
      <c r="B4693">
        <v>83208</v>
      </c>
      <c r="C4693" s="173" t="s">
        <v>4977</v>
      </c>
      <c r="D4693" s="173" t="s">
        <v>470</v>
      </c>
      <c r="E4693">
        <v>1</v>
      </c>
    </row>
    <row r="4694" spans="1:5" x14ac:dyDescent="0.25">
      <c r="A4694" s="173" t="s">
        <v>468</v>
      </c>
      <c r="B4694">
        <v>83208</v>
      </c>
      <c r="C4694" s="173" t="s">
        <v>4978</v>
      </c>
      <c r="D4694" s="173" t="s">
        <v>470</v>
      </c>
      <c r="E4694">
        <v>1</v>
      </c>
    </row>
    <row r="4695" spans="1:5" x14ac:dyDescent="0.25">
      <c r="A4695" s="173" t="s">
        <v>468</v>
      </c>
      <c r="B4695">
        <v>83208</v>
      </c>
      <c r="C4695" s="173" t="s">
        <v>4979</v>
      </c>
      <c r="D4695" s="173" t="s">
        <v>470</v>
      </c>
      <c r="E4695">
        <v>1</v>
      </c>
    </row>
    <row r="4696" spans="1:5" x14ac:dyDescent="0.25">
      <c r="A4696" s="173" t="s">
        <v>468</v>
      </c>
      <c r="B4696">
        <v>83208</v>
      </c>
      <c r="C4696" s="173" t="s">
        <v>4980</v>
      </c>
      <c r="D4696" s="173" t="s">
        <v>470</v>
      </c>
      <c r="E4696">
        <v>1</v>
      </c>
    </row>
    <row r="4697" spans="1:5" x14ac:dyDescent="0.25">
      <c r="A4697" s="173" t="s">
        <v>468</v>
      </c>
      <c r="B4697">
        <v>83208</v>
      </c>
      <c r="C4697" s="173" t="s">
        <v>4981</v>
      </c>
      <c r="D4697" s="173" t="s">
        <v>470</v>
      </c>
      <c r="E4697">
        <v>1</v>
      </c>
    </row>
    <row r="4698" spans="1:5" x14ac:dyDescent="0.25">
      <c r="A4698" s="173" t="s">
        <v>468</v>
      </c>
      <c r="B4698">
        <v>83208</v>
      </c>
      <c r="C4698" s="173" t="s">
        <v>4982</v>
      </c>
      <c r="D4698" s="173" t="s">
        <v>470</v>
      </c>
      <c r="E4698">
        <v>1</v>
      </c>
    </row>
    <row r="4699" spans="1:5" x14ac:dyDescent="0.25">
      <c r="A4699" s="173" t="s">
        <v>468</v>
      </c>
      <c r="B4699">
        <v>83235</v>
      </c>
      <c r="C4699" s="173" t="s">
        <v>3188</v>
      </c>
      <c r="D4699" s="173" t="s">
        <v>470</v>
      </c>
      <c r="E4699">
        <v>2</v>
      </c>
    </row>
    <row r="4700" spans="1:5" x14ac:dyDescent="0.25">
      <c r="A4700" s="173" t="s">
        <v>468</v>
      </c>
      <c r="B4700">
        <v>83235</v>
      </c>
      <c r="C4700" s="173" t="s">
        <v>3188</v>
      </c>
      <c r="D4700" s="173" t="s">
        <v>2257</v>
      </c>
      <c r="E4700">
        <v>1</v>
      </c>
    </row>
    <row r="4701" spans="1:5" x14ac:dyDescent="0.25">
      <c r="A4701" s="173" t="s">
        <v>468</v>
      </c>
      <c r="B4701">
        <v>83235</v>
      </c>
      <c r="C4701" s="173" t="s">
        <v>3189</v>
      </c>
      <c r="D4701" s="173" t="s">
        <v>2257</v>
      </c>
      <c r="E4701">
        <v>1</v>
      </c>
    </row>
    <row r="4702" spans="1:5" x14ac:dyDescent="0.25">
      <c r="A4702" s="173" t="s">
        <v>468</v>
      </c>
      <c r="B4702">
        <v>83235</v>
      </c>
      <c r="C4702" s="173" t="s">
        <v>3189</v>
      </c>
      <c r="D4702" s="173" t="s">
        <v>470</v>
      </c>
      <c r="E4702">
        <v>2</v>
      </c>
    </row>
    <row r="4703" spans="1:5" x14ac:dyDescent="0.25">
      <c r="A4703" s="173" t="s">
        <v>468</v>
      </c>
      <c r="B4703">
        <v>83235</v>
      </c>
      <c r="C4703" s="173" t="s">
        <v>3190</v>
      </c>
      <c r="D4703" s="173" t="s">
        <v>2257</v>
      </c>
      <c r="E4703">
        <v>1</v>
      </c>
    </row>
    <row r="4704" spans="1:5" x14ac:dyDescent="0.25">
      <c r="A4704" s="173" t="s">
        <v>468</v>
      </c>
      <c r="B4704">
        <v>83235</v>
      </c>
      <c r="C4704" s="173" t="s">
        <v>3190</v>
      </c>
      <c r="D4704" s="173" t="s">
        <v>470</v>
      </c>
      <c r="E4704">
        <v>2</v>
      </c>
    </row>
    <row r="4705" spans="1:5" x14ac:dyDescent="0.25">
      <c r="A4705" s="173" t="s">
        <v>468</v>
      </c>
      <c r="B4705">
        <v>83235</v>
      </c>
      <c r="C4705" s="173" t="s">
        <v>3191</v>
      </c>
      <c r="D4705" s="173" t="s">
        <v>2257</v>
      </c>
      <c r="E4705">
        <v>2</v>
      </c>
    </row>
    <row r="4706" spans="1:5" x14ac:dyDescent="0.25">
      <c r="A4706" s="173" t="s">
        <v>468</v>
      </c>
      <c r="B4706">
        <v>83235</v>
      </c>
      <c r="C4706" s="173" t="s">
        <v>3192</v>
      </c>
      <c r="D4706" s="173" t="s">
        <v>470</v>
      </c>
      <c r="E4706">
        <v>2</v>
      </c>
    </row>
    <row r="4707" spans="1:5" x14ac:dyDescent="0.25">
      <c r="A4707" s="173" t="s">
        <v>468</v>
      </c>
      <c r="B4707">
        <v>83235</v>
      </c>
      <c r="C4707" s="173" t="s">
        <v>3193</v>
      </c>
      <c r="D4707" s="173" t="s">
        <v>470</v>
      </c>
      <c r="E4707">
        <v>2</v>
      </c>
    </row>
    <row r="4708" spans="1:5" x14ac:dyDescent="0.25">
      <c r="A4708" s="173" t="s">
        <v>468</v>
      </c>
      <c r="B4708">
        <v>83235</v>
      </c>
      <c r="C4708" s="173" t="s">
        <v>3194</v>
      </c>
      <c r="D4708" s="173" t="s">
        <v>470</v>
      </c>
      <c r="E4708">
        <v>2</v>
      </c>
    </row>
    <row r="4709" spans="1:5" x14ac:dyDescent="0.25">
      <c r="A4709" s="173" t="s">
        <v>468</v>
      </c>
      <c r="B4709">
        <v>83235</v>
      </c>
      <c r="C4709" s="173" t="s">
        <v>3195</v>
      </c>
      <c r="D4709" s="173" t="s">
        <v>470</v>
      </c>
      <c r="E4709">
        <v>2</v>
      </c>
    </row>
    <row r="4710" spans="1:5" x14ac:dyDescent="0.25">
      <c r="A4710" s="173" t="s">
        <v>468</v>
      </c>
      <c r="B4710">
        <v>83235</v>
      </c>
      <c r="C4710" s="173" t="s">
        <v>3196</v>
      </c>
      <c r="D4710" s="173" t="s">
        <v>470</v>
      </c>
      <c r="E4710">
        <v>2</v>
      </c>
    </row>
    <row r="4711" spans="1:5" x14ac:dyDescent="0.25">
      <c r="A4711" s="173" t="s">
        <v>468</v>
      </c>
      <c r="B4711">
        <v>83235</v>
      </c>
      <c r="C4711" s="173" t="s">
        <v>3197</v>
      </c>
      <c r="D4711" s="173" t="s">
        <v>470</v>
      </c>
      <c r="E4711">
        <v>2</v>
      </c>
    </row>
    <row r="4712" spans="1:5" x14ac:dyDescent="0.25">
      <c r="A4712" s="173" t="s">
        <v>468</v>
      </c>
      <c r="B4712">
        <v>83235</v>
      </c>
      <c r="C4712" s="173" t="s">
        <v>3198</v>
      </c>
      <c r="D4712" s="173" t="s">
        <v>470</v>
      </c>
      <c r="E4712">
        <v>2</v>
      </c>
    </row>
    <row r="4713" spans="1:5" x14ac:dyDescent="0.25">
      <c r="A4713" s="173" t="s">
        <v>468</v>
      </c>
      <c r="B4713">
        <v>83235</v>
      </c>
      <c r="C4713" s="173" t="s">
        <v>3199</v>
      </c>
      <c r="D4713" s="173" t="s">
        <v>470</v>
      </c>
      <c r="E4713">
        <v>2</v>
      </c>
    </row>
    <row r="4714" spans="1:5" x14ac:dyDescent="0.25">
      <c r="A4714" s="173" t="s">
        <v>468</v>
      </c>
      <c r="B4714">
        <v>83235</v>
      </c>
      <c r="C4714" s="173" t="s">
        <v>394</v>
      </c>
      <c r="D4714" s="173" t="s">
        <v>470</v>
      </c>
      <c r="E4714">
        <v>2</v>
      </c>
    </row>
    <row r="4715" spans="1:5" x14ac:dyDescent="0.25">
      <c r="A4715" s="173" t="s">
        <v>468</v>
      </c>
      <c r="B4715">
        <v>83235</v>
      </c>
      <c r="C4715" s="173" t="s">
        <v>3200</v>
      </c>
      <c r="D4715" s="173" t="s">
        <v>470</v>
      </c>
      <c r="E4715">
        <v>2</v>
      </c>
    </row>
    <row r="4716" spans="1:5" x14ac:dyDescent="0.25">
      <c r="A4716" s="173" t="s">
        <v>468</v>
      </c>
      <c r="B4716">
        <v>83235</v>
      </c>
      <c r="C4716" s="173" t="s">
        <v>3201</v>
      </c>
      <c r="D4716" s="173" t="s">
        <v>470</v>
      </c>
      <c r="E4716">
        <v>2</v>
      </c>
    </row>
    <row r="4717" spans="1:5" x14ac:dyDescent="0.25">
      <c r="A4717" s="173" t="s">
        <v>468</v>
      </c>
      <c r="B4717">
        <v>83235</v>
      </c>
      <c r="C4717" s="173" t="s">
        <v>395</v>
      </c>
      <c r="D4717" s="173" t="s">
        <v>470</v>
      </c>
      <c r="E4717">
        <v>2</v>
      </c>
    </row>
    <row r="4718" spans="1:5" x14ac:dyDescent="0.25">
      <c r="A4718" s="173" t="s">
        <v>468</v>
      </c>
      <c r="B4718">
        <v>83244</v>
      </c>
      <c r="C4718" s="173" t="s">
        <v>2533</v>
      </c>
      <c r="D4718" s="173" t="s">
        <v>470</v>
      </c>
      <c r="E4718">
        <v>1</v>
      </c>
    </row>
    <row r="4719" spans="1:5" x14ac:dyDescent="0.25">
      <c r="A4719" s="173" t="s">
        <v>468</v>
      </c>
      <c r="B4719">
        <v>83244</v>
      </c>
      <c r="C4719" s="173" t="s">
        <v>483</v>
      </c>
      <c r="D4719" s="173" t="s">
        <v>470</v>
      </c>
      <c r="E4719">
        <v>1</v>
      </c>
    </row>
    <row r="4720" spans="1:5" x14ac:dyDescent="0.25">
      <c r="A4720" s="173" t="s">
        <v>468</v>
      </c>
      <c r="B4720">
        <v>83244</v>
      </c>
      <c r="C4720" s="173" t="s">
        <v>2477</v>
      </c>
      <c r="D4720" s="173" t="s">
        <v>470</v>
      </c>
      <c r="E4720">
        <v>1</v>
      </c>
    </row>
    <row r="4721" spans="1:5" x14ac:dyDescent="0.25">
      <c r="A4721" s="173" t="s">
        <v>468</v>
      </c>
      <c r="B4721">
        <v>83244</v>
      </c>
      <c r="C4721" s="173" t="s">
        <v>2536</v>
      </c>
      <c r="D4721" s="173" t="s">
        <v>470</v>
      </c>
      <c r="E4721">
        <v>1</v>
      </c>
    </row>
    <row r="4722" spans="1:5" x14ac:dyDescent="0.25">
      <c r="A4722" s="173" t="s">
        <v>468</v>
      </c>
      <c r="B4722">
        <v>83244</v>
      </c>
      <c r="C4722" s="173" t="s">
        <v>497</v>
      </c>
      <c r="D4722" s="173" t="s">
        <v>470</v>
      </c>
      <c r="E4722">
        <v>1</v>
      </c>
    </row>
    <row r="4723" spans="1:5" x14ac:dyDescent="0.25">
      <c r="A4723" s="173" t="s">
        <v>468</v>
      </c>
      <c r="B4723">
        <v>83244</v>
      </c>
      <c r="C4723" s="173" t="s">
        <v>4983</v>
      </c>
      <c r="D4723" s="173" t="s">
        <v>470</v>
      </c>
      <c r="E4723">
        <v>1</v>
      </c>
    </row>
    <row r="4724" spans="1:5" x14ac:dyDescent="0.25">
      <c r="A4724" s="173" t="s">
        <v>468</v>
      </c>
      <c r="B4724">
        <v>83244</v>
      </c>
      <c r="C4724" s="173" t="s">
        <v>4984</v>
      </c>
      <c r="D4724" s="173" t="s">
        <v>470</v>
      </c>
      <c r="E4724">
        <v>1</v>
      </c>
    </row>
    <row r="4725" spans="1:5" x14ac:dyDescent="0.25">
      <c r="A4725" s="173" t="s">
        <v>468</v>
      </c>
      <c r="B4725">
        <v>83244</v>
      </c>
      <c r="C4725" s="173" t="s">
        <v>4985</v>
      </c>
      <c r="D4725" s="173" t="s">
        <v>470</v>
      </c>
      <c r="E4725">
        <v>1</v>
      </c>
    </row>
    <row r="4726" spans="1:5" x14ac:dyDescent="0.25">
      <c r="A4726" s="173" t="s">
        <v>468</v>
      </c>
      <c r="B4726">
        <v>83244</v>
      </c>
      <c r="C4726" s="173" t="s">
        <v>4986</v>
      </c>
      <c r="D4726" s="173" t="s">
        <v>470</v>
      </c>
      <c r="E4726">
        <v>1</v>
      </c>
    </row>
    <row r="4727" spans="1:5" x14ac:dyDescent="0.25">
      <c r="A4727" s="173" t="s">
        <v>468</v>
      </c>
      <c r="B4727">
        <v>83244</v>
      </c>
      <c r="C4727" s="173" t="s">
        <v>4987</v>
      </c>
      <c r="D4727" s="173" t="s">
        <v>470</v>
      </c>
      <c r="E4727">
        <v>1</v>
      </c>
    </row>
    <row r="4728" spans="1:5" x14ac:dyDescent="0.25">
      <c r="A4728" s="173" t="s">
        <v>468</v>
      </c>
      <c r="B4728">
        <v>83244</v>
      </c>
      <c r="C4728" s="173" t="s">
        <v>4988</v>
      </c>
      <c r="D4728" s="173" t="s">
        <v>470</v>
      </c>
      <c r="E4728">
        <v>2</v>
      </c>
    </row>
    <row r="4729" spans="1:5" x14ac:dyDescent="0.25">
      <c r="A4729" s="173" t="s">
        <v>468</v>
      </c>
      <c r="B4729">
        <v>83244</v>
      </c>
      <c r="C4729" s="173" t="s">
        <v>4989</v>
      </c>
      <c r="D4729" s="173" t="s">
        <v>470</v>
      </c>
      <c r="E4729">
        <v>1</v>
      </c>
    </row>
    <row r="4730" spans="1:5" x14ac:dyDescent="0.25">
      <c r="A4730" s="173" t="s">
        <v>468</v>
      </c>
      <c r="B4730">
        <v>83244</v>
      </c>
      <c r="C4730" s="173" t="s">
        <v>4990</v>
      </c>
      <c r="D4730" s="173" t="s">
        <v>470</v>
      </c>
      <c r="E4730">
        <v>1</v>
      </c>
    </row>
    <row r="4731" spans="1:5" x14ac:dyDescent="0.25">
      <c r="A4731" s="173" t="s">
        <v>468</v>
      </c>
      <c r="B4731">
        <v>83244</v>
      </c>
      <c r="C4731" s="173" t="s">
        <v>4991</v>
      </c>
      <c r="D4731" s="173" t="s">
        <v>470</v>
      </c>
      <c r="E4731">
        <v>1</v>
      </c>
    </row>
    <row r="4732" spans="1:5" x14ac:dyDescent="0.25">
      <c r="A4732" s="173" t="s">
        <v>468</v>
      </c>
      <c r="B4732">
        <v>83244</v>
      </c>
      <c r="C4732" s="173" t="s">
        <v>4992</v>
      </c>
      <c r="D4732" s="173" t="s">
        <v>470</v>
      </c>
      <c r="E4732">
        <v>1</v>
      </c>
    </row>
    <row r="4733" spans="1:5" x14ac:dyDescent="0.25">
      <c r="A4733" s="173" t="s">
        <v>468</v>
      </c>
      <c r="B4733">
        <v>83244</v>
      </c>
      <c r="C4733" s="173" t="s">
        <v>4993</v>
      </c>
      <c r="D4733" s="173" t="s">
        <v>470</v>
      </c>
      <c r="E4733">
        <v>1</v>
      </c>
    </row>
    <row r="4734" spans="1:5" x14ac:dyDescent="0.25">
      <c r="A4734" s="173" t="s">
        <v>468</v>
      </c>
      <c r="B4734">
        <v>83244</v>
      </c>
      <c r="C4734" s="173" t="s">
        <v>4994</v>
      </c>
      <c r="D4734" s="173" t="s">
        <v>470</v>
      </c>
      <c r="E4734">
        <v>1</v>
      </c>
    </row>
    <row r="4735" spans="1:5" x14ac:dyDescent="0.25">
      <c r="A4735" s="173" t="s">
        <v>468</v>
      </c>
      <c r="B4735">
        <v>83244</v>
      </c>
      <c r="C4735" s="173" t="s">
        <v>4995</v>
      </c>
      <c r="D4735" s="173" t="s">
        <v>470</v>
      </c>
      <c r="E4735">
        <v>1</v>
      </c>
    </row>
    <row r="4736" spans="1:5" x14ac:dyDescent="0.25">
      <c r="A4736" s="173" t="s">
        <v>468</v>
      </c>
      <c r="B4736">
        <v>83244</v>
      </c>
      <c r="C4736" s="173" t="s">
        <v>4996</v>
      </c>
      <c r="D4736" s="173" t="s">
        <v>470</v>
      </c>
      <c r="E4736">
        <v>1</v>
      </c>
    </row>
    <row r="4737" spans="1:5" x14ac:dyDescent="0.25">
      <c r="A4737" s="173" t="s">
        <v>468</v>
      </c>
      <c r="B4737">
        <v>83244</v>
      </c>
      <c r="C4737" s="173" t="s">
        <v>4997</v>
      </c>
      <c r="D4737" s="173" t="s">
        <v>470</v>
      </c>
      <c r="E4737">
        <v>1</v>
      </c>
    </row>
    <row r="4738" spans="1:5" x14ac:dyDescent="0.25">
      <c r="A4738" s="173" t="s">
        <v>468</v>
      </c>
      <c r="B4738">
        <v>83244</v>
      </c>
      <c r="C4738" s="173" t="s">
        <v>4998</v>
      </c>
      <c r="D4738" s="173" t="s">
        <v>470</v>
      </c>
      <c r="E4738">
        <v>1</v>
      </c>
    </row>
    <row r="4739" spans="1:5" x14ac:dyDescent="0.25">
      <c r="A4739" s="173" t="s">
        <v>468</v>
      </c>
      <c r="B4739">
        <v>83244</v>
      </c>
      <c r="C4739" s="173" t="s">
        <v>4999</v>
      </c>
      <c r="D4739" s="173" t="s">
        <v>470</v>
      </c>
      <c r="E4739">
        <v>1</v>
      </c>
    </row>
    <row r="4740" spans="1:5" x14ac:dyDescent="0.25">
      <c r="A4740" s="173" t="s">
        <v>468</v>
      </c>
      <c r="B4740">
        <v>83244</v>
      </c>
      <c r="C4740" s="173" t="s">
        <v>5000</v>
      </c>
      <c r="D4740" s="173" t="s">
        <v>470</v>
      </c>
      <c r="E4740">
        <v>1</v>
      </c>
    </row>
    <row r="4741" spans="1:5" x14ac:dyDescent="0.25">
      <c r="A4741" s="173" t="s">
        <v>468</v>
      </c>
      <c r="B4741">
        <v>83244</v>
      </c>
      <c r="C4741" s="173" t="s">
        <v>5001</v>
      </c>
      <c r="D4741" s="173" t="s">
        <v>470</v>
      </c>
      <c r="E4741">
        <v>1</v>
      </c>
    </row>
    <row r="4742" spans="1:5" hidden="1" x14ac:dyDescent="0.25">
      <c r="A4742" s="173" t="s">
        <v>804</v>
      </c>
      <c r="B4742">
        <v>83255</v>
      </c>
      <c r="C4742" s="173" t="s">
        <v>3202</v>
      </c>
      <c r="D4742" s="173" t="s">
        <v>470</v>
      </c>
      <c r="E4742">
        <v>2</v>
      </c>
    </row>
    <row r="4743" spans="1:5" hidden="1" x14ac:dyDescent="0.25">
      <c r="A4743" s="173" t="s">
        <v>804</v>
      </c>
      <c r="B4743">
        <v>83255</v>
      </c>
      <c r="C4743" s="173" t="s">
        <v>3203</v>
      </c>
      <c r="D4743" s="173" t="s">
        <v>470</v>
      </c>
      <c r="E4743">
        <v>1</v>
      </c>
    </row>
    <row r="4744" spans="1:5" hidden="1" x14ac:dyDescent="0.25">
      <c r="A4744" s="173" t="s">
        <v>804</v>
      </c>
      <c r="B4744">
        <v>83255</v>
      </c>
      <c r="C4744" s="173" t="s">
        <v>3204</v>
      </c>
      <c r="D4744" s="173" t="s">
        <v>470</v>
      </c>
      <c r="E4744">
        <v>3</v>
      </c>
    </row>
    <row r="4745" spans="1:5" hidden="1" x14ac:dyDescent="0.25">
      <c r="A4745" s="173" t="s">
        <v>804</v>
      </c>
      <c r="B4745">
        <v>83255</v>
      </c>
      <c r="C4745" s="173" t="s">
        <v>3205</v>
      </c>
      <c r="D4745" s="173" t="s">
        <v>470</v>
      </c>
      <c r="E4745">
        <v>3</v>
      </c>
    </row>
    <row r="4746" spans="1:5" hidden="1" x14ac:dyDescent="0.25">
      <c r="A4746" s="173" t="s">
        <v>804</v>
      </c>
      <c r="B4746">
        <v>83255</v>
      </c>
      <c r="C4746" s="173" t="s">
        <v>3206</v>
      </c>
      <c r="D4746" s="173" t="s">
        <v>470</v>
      </c>
      <c r="E4746">
        <v>2</v>
      </c>
    </row>
    <row r="4747" spans="1:5" hidden="1" x14ac:dyDescent="0.25">
      <c r="A4747" s="173" t="s">
        <v>804</v>
      </c>
      <c r="B4747">
        <v>83255</v>
      </c>
      <c r="C4747" s="173" t="s">
        <v>3207</v>
      </c>
      <c r="D4747" s="173" t="s">
        <v>470</v>
      </c>
      <c r="E4747">
        <v>3</v>
      </c>
    </row>
    <row r="4748" spans="1:5" hidden="1" x14ac:dyDescent="0.25">
      <c r="A4748" s="173" t="s">
        <v>804</v>
      </c>
      <c r="B4748">
        <v>83255</v>
      </c>
      <c r="C4748" s="173" t="s">
        <v>3208</v>
      </c>
      <c r="D4748" s="173" t="s">
        <v>470</v>
      </c>
      <c r="E4748">
        <v>3</v>
      </c>
    </row>
    <row r="4749" spans="1:5" hidden="1" x14ac:dyDescent="0.25">
      <c r="A4749" s="173" t="s">
        <v>804</v>
      </c>
      <c r="B4749">
        <v>83255</v>
      </c>
      <c r="C4749" s="173" t="s">
        <v>3209</v>
      </c>
      <c r="D4749" s="173" t="s">
        <v>470</v>
      </c>
      <c r="E4749">
        <v>2</v>
      </c>
    </row>
    <row r="4750" spans="1:5" hidden="1" x14ac:dyDescent="0.25">
      <c r="A4750" s="173" t="s">
        <v>804</v>
      </c>
      <c r="B4750">
        <v>83255</v>
      </c>
      <c r="C4750" s="173" t="s">
        <v>3210</v>
      </c>
      <c r="D4750" s="173" t="s">
        <v>470</v>
      </c>
      <c r="E4750">
        <v>2</v>
      </c>
    </row>
    <row r="4751" spans="1:5" hidden="1" x14ac:dyDescent="0.25">
      <c r="A4751" s="173" t="s">
        <v>804</v>
      </c>
      <c r="B4751">
        <v>83255</v>
      </c>
      <c r="C4751" s="173" t="s">
        <v>3211</v>
      </c>
      <c r="D4751" s="173" t="s">
        <v>470</v>
      </c>
      <c r="E4751">
        <v>3</v>
      </c>
    </row>
    <row r="4752" spans="1:5" hidden="1" x14ac:dyDescent="0.25">
      <c r="A4752" s="173" t="s">
        <v>804</v>
      </c>
      <c r="B4752">
        <v>83255</v>
      </c>
      <c r="C4752" s="173" t="s">
        <v>3212</v>
      </c>
      <c r="D4752" s="173" t="s">
        <v>470</v>
      </c>
      <c r="E4752">
        <v>3</v>
      </c>
    </row>
    <row r="4753" spans="1:5" hidden="1" x14ac:dyDescent="0.25">
      <c r="A4753" s="173" t="s">
        <v>804</v>
      </c>
      <c r="B4753">
        <v>83255</v>
      </c>
      <c r="C4753" s="173" t="s">
        <v>3213</v>
      </c>
      <c r="D4753" s="173" t="s">
        <v>470</v>
      </c>
      <c r="E4753">
        <v>3</v>
      </c>
    </row>
    <row r="4754" spans="1:5" hidden="1" x14ac:dyDescent="0.25">
      <c r="A4754" s="173" t="s">
        <v>804</v>
      </c>
      <c r="B4754">
        <v>83255</v>
      </c>
      <c r="C4754" s="173" t="s">
        <v>3214</v>
      </c>
      <c r="D4754" s="173" t="s">
        <v>470</v>
      </c>
      <c r="E4754">
        <v>5</v>
      </c>
    </row>
    <row r="4755" spans="1:5" hidden="1" x14ac:dyDescent="0.25">
      <c r="A4755" s="173" t="s">
        <v>804</v>
      </c>
      <c r="B4755">
        <v>83255</v>
      </c>
      <c r="C4755" s="173" t="s">
        <v>3215</v>
      </c>
      <c r="D4755" s="173" t="s">
        <v>470</v>
      </c>
      <c r="E4755">
        <v>5</v>
      </c>
    </row>
    <row r="4756" spans="1:5" hidden="1" x14ac:dyDescent="0.25">
      <c r="A4756" s="173" t="s">
        <v>804</v>
      </c>
      <c r="B4756">
        <v>83255</v>
      </c>
      <c r="C4756" s="173" t="s">
        <v>3216</v>
      </c>
      <c r="D4756" s="173" t="s">
        <v>470</v>
      </c>
      <c r="E4756">
        <v>6</v>
      </c>
    </row>
    <row r="4757" spans="1:5" x14ac:dyDescent="0.25">
      <c r="A4757" s="173" t="s">
        <v>468</v>
      </c>
      <c r="B4757">
        <v>83270</v>
      </c>
      <c r="C4757" s="173" t="s">
        <v>2477</v>
      </c>
      <c r="D4757" s="173" t="s">
        <v>470</v>
      </c>
      <c r="E4757">
        <v>3</v>
      </c>
    </row>
    <row r="4758" spans="1:5" x14ac:dyDescent="0.25">
      <c r="A4758" s="173" t="s">
        <v>468</v>
      </c>
      <c r="B4758">
        <v>83270</v>
      </c>
      <c r="C4758" s="173" t="s">
        <v>5002</v>
      </c>
      <c r="D4758" s="173" t="s">
        <v>470</v>
      </c>
      <c r="E4758">
        <v>3</v>
      </c>
    </row>
    <row r="4759" spans="1:5" x14ac:dyDescent="0.25">
      <c r="A4759" s="173" t="s">
        <v>468</v>
      </c>
      <c r="B4759">
        <v>83270</v>
      </c>
      <c r="C4759" s="173" t="s">
        <v>5003</v>
      </c>
      <c r="D4759" s="173" t="s">
        <v>470</v>
      </c>
      <c r="E4759">
        <v>2</v>
      </c>
    </row>
    <row r="4760" spans="1:5" x14ac:dyDescent="0.25">
      <c r="A4760" s="173" t="s">
        <v>468</v>
      </c>
      <c r="B4760">
        <v>83270</v>
      </c>
      <c r="C4760" s="173" t="s">
        <v>2462</v>
      </c>
      <c r="D4760" s="173" t="s">
        <v>470</v>
      </c>
      <c r="E4760">
        <v>2</v>
      </c>
    </row>
    <row r="4761" spans="1:5" x14ac:dyDescent="0.25">
      <c r="A4761" s="173" t="s">
        <v>468</v>
      </c>
      <c r="B4761">
        <v>83270</v>
      </c>
      <c r="C4761" s="173" t="s">
        <v>5004</v>
      </c>
      <c r="D4761" s="173" t="s">
        <v>470</v>
      </c>
      <c r="E4761">
        <v>2</v>
      </c>
    </row>
    <row r="4762" spans="1:5" x14ac:dyDescent="0.25">
      <c r="A4762" s="173" t="s">
        <v>468</v>
      </c>
      <c r="B4762">
        <v>83270</v>
      </c>
      <c r="C4762" s="173" t="s">
        <v>5005</v>
      </c>
      <c r="D4762" s="173" t="s">
        <v>470</v>
      </c>
      <c r="E4762">
        <v>2</v>
      </c>
    </row>
    <row r="4763" spans="1:5" x14ac:dyDescent="0.25">
      <c r="A4763" s="173" t="s">
        <v>468</v>
      </c>
      <c r="B4763">
        <v>83270</v>
      </c>
      <c r="C4763" s="173" t="s">
        <v>5006</v>
      </c>
      <c r="D4763" s="173" t="s">
        <v>470</v>
      </c>
      <c r="E4763">
        <v>3</v>
      </c>
    </row>
    <row r="4764" spans="1:5" x14ac:dyDescent="0.25">
      <c r="A4764" s="173" t="s">
        <v>468</v>
      </c>
      <c r="B4764">
        <v>83270</v>
      </c>
      <c r="C4764" s="173" t="s">
        <v>5007</v>
      </c>
      <c r="D4764" s="173" t="s">
        <v>470</v>
      </c>
      <c r="E4764">
        <v>3</v>
      </c>
    </row>
    <row r="4765" spans="1:5" x14ac:dyDescent="0.25">
      <c r="A4765" s="173" t="s">
        <v>468</v>
      </c>
      <c r="B4765">
        <v>83270</v>
      </c>
      <c r="C4765" s="173" t="s">
        <v>5008</v>
      </c>
      <c r="D4765" s="173" t="s">
        <v>470</v>
      </c>
      <c r="E4765">
        <v>3</v>
      </c>
    </row>
    <row r="4766" spans="1:5" x14ac:dyDescent="0.25">
      <c r="A4766" s="173" t="s">
        <v>468</v>
      </c>
      <c r="B4766">
        <v>83270</v>
      </c>
      <c r="C4766" s="173" t="s">
        <v>5009</v>
      </c>
      <c r="D4766" s="173" t="s">
        <v>470</v>
      </c>
      <c r="E4766">
        <v>3</v>
      </c>
    </row>
    <row r="4767" spans="1:5" x14ac:dyDescent="0.25">
      <c r="A4767" s="173" t="s">
        <v>468</v>
      </c>
      <c r="B4767">
        <v>83270</v>
      </c>
      <c r="C4767" s="173" t="s">
        <v>5010</v>
      </c>
      <c r="D4767" s="173" t="s">
        <v>470</v>
      </c>
      <c r="E4767">
        <v>3</v>
      </c>
    </row>
    <row r="4768" spans="1:5" x14ac:dyDescent="0.25">
      <c r="A4768" s="173" t="s">
        <v>468</v>
      </c>
      <c r="B4768">
        <v>83270</v>
      </c>
      <c r="C4768" s="173" t="s">
        <v>5011</v>
      </c>
      <c r="D4768" s="173" t="s">
        <v>470</v>
      </c>
      <c r="E4768">
        <v>4</v>
      </c>
    </row>
    <row r="4769" spans="1:5" x14ac:dyDescent="0.25">
      <c r="A4769" s="173" t="s">
        <v>468</v>
      </c>
      <c r="B4769">
        <v>83270</v>
      </c>
      <c r="C4769" s="173" t="s">
        <v>5012</v>
      </c>
      <c r="D4769" s="173" t="s">
        <v>470</v>
      </c>
      <c r="E4769">
        <v>4</v>
      </c>
    </row>
    <row r="4770" spans="1:5" x14ac:dyDescent="0.25">
      <c r="A4770" s="173" t="s">
        <v>468</v>
      </c>
      <c r="B4770">
        <v>83270</v>
      </c>
      <c r="C4770" s="173" t="s">
        <v>5013</v>
      </c>
      <c r="D4770" s="173" t="s">
        <v>470</v>
      </c>
      <c r="E4770">
        <v>3</v>
      </c>
    </row>
    <row r="4771" spans="1:5" x14ac:dyDescent="0.25">
      <c r="A4771" s="173" t="s">
        <v>468</v>
      </c>
      <c r="B4771">
        <v>83270</v>
      </c>
      <c r="C4771" s="173" t="s">
        <v>5014</v>
      </c>
      <c r="D4771" s="173" t="s">
        <v>470</v>
      </c>
      <c r="E4771">
        <v>3</v>
      </c>
    </row>
    <row r="4772" spans="1:5" x14ac:dyDescent="0.25">
      <c r="A4772" s="173" t="s">
        <v>468</v>
      </c>
      <c r="B4772">
        <v>83270</v>
      </c>
      <c r="C4772" s="173" t="s">
        <v>5015</v>
      </c>
      <c r="D4772" s="173" t="s">
        <v>470</v>
      </c>
      <c r="E4772">
        <v>3</v>
      </c>
    </row>
    <row r="4773" spans="1:5" x14ac:dyDescent="0.25">
      <c r="A4773" s="173" t="s">
        <v>468</v>
      </c>
      <c r="B4773">
        <v>83270</v>
      </c>
      <c r="C4773" s="173" t="s">
        <v>5016</v>
      </c>
      <c r="D4773" s="173" t="s">
        <v>470</v>
      </c>
      <c r="E4773">
        <v>3</v>
      </c>
    </row>
    <row r="4774" spans="1:5" x14ac:dyDescent="0.25">
      <c r="A4774" s="173" t="s">
        <v>468</v>
      </c>
      <c r="B4774">
        <v>83270</v>
      </c>
      <c r="C4774" s="173" t="s">
        <v>5017</v>
      </c>
      <c r="D4774" s="173" t="s">
        <v>470</v>
      </c>
      <c r="E4774">
        <v>3</v>
      </c>
    </row>
    <row r="4775" spans="1:5" x14ac:dyDescent="0.25">
      <c r="A4775" s="173" t="s">
        <v>468</v>
      </c>
      <c r="B4775">
        <v>83270</v>
      </c>
      <c r="C4775" s="173" t="s">
        <v>5018</v>
      </c>
      <c r="D4775" s="173" t="s">
        <v>470</v>
      </c>
      <c r="E4775">
        <v>3</v>
      </c>
    </row>
    <row r="4776" spans="1:5" x14ac:dyDescent="0.25">
      <c r="A4776" s="173" t="s">
        <v>468</v>
      </c>
      <c r="B4776">
        <v>83597</v>
      </c>
      <c r="C4776" s="173" t="s">
        <v>5019</v>
      </c>
      <c r="D4776" s="173" t="s">
        <v>470</v>
      </c>
      <c r="E4776">
        <v>1</v>
      </c>
    </row>
    <row r="4777" spans="1:5" x14ac:dyDescent="0.25">
      <c r="A4777" s="173" t="s">
        <v>468</v>
      </c>
      <c r="B4777">
        <v>83597</v>
      </c>
      <c r="C4777" s="173" t="s">
        <v>5020</v>
      </c>
      <c r="D4777" s="173" t="s">
        <v>470</v>
      </c>
      <c r="E4777">
        <v>1</v>
      </c>
    </row>
    <row r="4778" spans="1:5" x14ac:dyDescent="0.25">
      <c r="A4778" s="173" t="s">
        <v>468</v>
      </c>
      <c r="B4778">
        <v>83597</v>
      </c>
      <c r="C4778" s="173" t="s">
        <v>5021</v>
      </c>
      <c r="D4778" s="173" t="s">
        <v>470</v>
      </c>
      <c r="E4778">
        <v>1</v>
      </c>
    </row>
    <row r="4779" spans="1:5" x14ac:dyDescent="0.25">
      <c r="A4779" s="173" t="s">
        <v>468</v>
      </c>
      <c r="B4779">
        <v>83597</v>
      </c>
      <c r="C4779" s="173" t="s">
        <v>5022</v>
      </c>
      <c r="D4779" s="173" t="s">
        <v>470</v>
      </c>
      <c r="E4779">
        <v>1</v>
      </c>
    </row>
    <row r="4780" spans="1:5" x14ac:dyDescent="0.25">
      <c r="A4780" s="173" t="s">
        <v>468</v>
      </c>
      <c r="B4780">
        <v>83597</v>
      </c>
      <c r="C4780" s="173" t="s">
        <v>5023</v>
      </c>
      <c r="D4780" s="173" t="s">
        <v>470</v>
      </c>
      <c r="E4780">
        <v>1</v>
      </c>
    </row>
    <row r="4781" spans="1:5" x14ac:dyDescent="0.25">
      <c r="A4781" s="173" t="s">
        <v>468</v>
      </c>
      <c r="B4781">
        <v>83597</v>
      </c>
      <c r="C4781" s="173" t="s">
        <v>5024</v>
      </c>
      <c r="D4781" s="173" t="s">
        <v>470</v>
      </c>
      <c r="E4781">
        <v>1</v>
      </c>
    </row>
    <row r="4782" spans="1:5" x14ac:dyDescent="0.25">
      <c r="A4782" s="173" t="s">
        <v>468</v>
      </c>
      <c r="B4782">
        <v>83597</v>
      </c>
      <c r="C4782" s="173" t="s">
        <v>5025</v>
      </c>
      <c r="D4782" s="173" t="s">
        <v>470</v>
      </c>
      <c r="E4782">
        <v>1</v>
      </c>
    </row>
    <row r="4783" spans="1:5" x14ac:dyDescent="0.25">
      <c r="A4783" s="173" t="s">
        <v>468</v>
      </c>
      <c r="B4783">
        <v>83597</v>
      </c>
      <c r="C4783" s="173" t="s">
        <v>5026</v>
      </c>
      <c r="D4783" s="173" t="s">
        <v>470</v>
      </c>
      <c r="E4783">
        <v>1</v>
      </c>
    </row>
    <row r="4784" spans="1:5" x14ac:dyDescent="0.25">
      <c r="A4784" s="173" t="s">
        <v>468</v>
      </c>
      <c r="B4784">
        <v>83597</v>
      </c>
      <c r="C4784" s="173" t="s">
        <v>5027</v>
      </c>
      <c r="D4784" s="173" t="s">
        <v>470</v>
      </c>
      <c r="E4784">
        <v>1</v>
      </c>
    </row>
    <row r="4785" spans="1:5" x14ac:dyDescent="0.25">
      <c r="A4785" s="173" t="s">
        <v>468</v>
      </c>
      <c r="B4785">
        <v>83597</v>
      </c>
      <c r="C4785" s="173" t="s">
        <v>5028</v>
      </c>
      <c r="D4785" s="173" t="s">
        <v>470</v>
      </c>
      <c r="E4785">
        <v>1</v>
      </c>
    </row>
    <row r="4786" spans="1:5" x14ac:dyDescent="0.25">
      <c r="A4786" s="173" t="s">
        <v>468</v>
      </c>
      <c r="B4786">
        <v>83597</v>
      </c>
      <c r="C4786" s="173" t="s">
        <v>5029</v>
      </c>
      <c r="D4786" s="173" t="s">
        <v>470</v>
      </c>
      <c r="E4786">
        <v>1</v>
      </c>
    </row>
    <row r="4787" spans="1:5" x14ac:dyDescent="0.25">
      <c r="A4787" s="173" t="s">
        <v>468</v>
      </c>
      <c r="B4787">
        <v>83611</v>
      </c>
      <c r="C4787" s="173" t="s">
        <v>5030</v>
      </c>
      <c r="D4787" s="173" t="s">
        <v>470</v>
      </c>
      <c r="E4787">
        <v>3</v>
      </c>
    </row>
    <row r="4788" spans="1:5" x14ac:dyDescent="0.25">
      <c r="A4788" s="173" t="s">
        <v>468</v>
      </c>
      <c r="B4788">
        <v>83611</v>
      </c>
      <c r="C4788" s="173" t="s">
        <v>5031</v>
      </c>
      <c r="D4788" s="173" t="s">
        <v>470</v>
      </c>
      <c r="E4788">
        <v>3</v>
      </c>
    </row>
    <row r="4789" spans="1:5" x14ac:dyDescent="0.25">
      <c r="A4789" s="173" t="s">
        <v>468</v>
      </c>
      <c r="B4789">
        <v>83611</v>
      </c>
      <c r="C4789" s="173" t="s">
        <v>4757</v>
      </c>
      <c r="D4789" s="173" t="s">
        <v>470</v>
      </c>
      <c r="E4789">
        <v>3</v>
      </c>
    </row>
    <row r="4790" spans="1:5" x14ac:dyDescent="0.25">
      <c r="A4790" s="173" t="s">
        <v>468</v>
      </c>
      <c r="B4790">
        <v>83611</v>
      </c>
      <c r="C4790" s="173" t="s">
        <v>5032</v>
      </c>
      <c r="D4790" s="173" t="s">
        <v>470</v>
      </c>
      <c r="E4790">
        <v>4</v>
      </c>
    </row>
    <row r="4791" spans="1:5" x14ac:dyDescent="0.25">
      <c r="A4791" s="173" t="s">
        <v>468</v>
      </c>
      <c r="B4791">
        <v>83611</v>
      </c>
      <c r="C4791" s="173" t="s">
        <v>5033</v>
      </c>
      <c r="D4791" s="173" t="s">
        <v>470</v>
      </c>
      <c r="E4791">
        <v>4</v>
      </c>
    </row>
    <row r="4792" spans="1:5" x14ac:dyDescent="0.25">
      <c r="A4792" s="173" t="s">
        <v>468</v>
      </c>
      <c r="B4792">
        <v>83611</v>
      </c>
      <c r="C4792" s="173" t="s">
        <v>5034</v>
      </c>
      <c r="D4792" s="173" t="s">
        <v>470</v>
      </c>
      <c r="E4792">
        <v>4</v>
      </c>
    </row>
    <row r="4793" spans="1:5" x14ac:dyDescent="0.25">
      <c r="A4793" s="173" t="s">
        <v>468</v>
      </c>
      <c r="B4793">
        <v>83611</v>
      </c>
      <c r="C4793" s="173" t="s">
        <v>5035</v>
      </c>
      <c r="D4793" s="173" t="s">
        <v>470</v>
      </c>
      <c r="E4793">
        <v>4</v>
      </c>
    </row>
    <row r="4794" spans="1:5" x14ac:dyDescent="0.25">
      <c r="A4794" s="173" t="s">
        <v>468</v>
      </c>
      <c r="B4794">
        <v>83611</v>
      </c>
      <c r="C4794" s="173" t="s">
        <v>5036</v>
      </c>
      <c r="D4794" s="173" t="s">
        <v>470</v>
      </c>
      <c r="E4794">
        <v>3</v>
      </c>
    </row>
    <row r="4795" spans="1:5" hidden="1" x14ac:dyDescent="0.25">
      <c r="A4795" s="173" t="s">
        <v>514</v>
      </c>
      <c r="B4795">
        <v>83620</v>
      </c>
      <c r="C4795" s="173" t="s">
        <v>5037</v>
      </c>
      <c r="D4795" s="173" t="s">
        <v>470</v>
      </c>
      <c r="E4795">
        <v>3</v>
      </c>
    </row>
    <row r="4796" spans="1:5" hidden="1" x14ac:dyDescent="0.25">
      <c r="A4796" s="173" t="s">
        <v>514</v>
      </c>
      <c r="B4796">
        <v>83620</v>
      </c>
      <c r="C4796" s="173" t="s">
        <v>5038</v>
      </c>
      <c r="D4796" s="173" t="s">
        <v>470</v>
      </c>
      <c r="E4796">
        <v>3</v>
      </c>
    </row>
    <row r="4797" spans="1:5" hidden="1" x14ac:dyDescent="0.25">
      <c r="A4797" s="173" t="s">
        <v>514</v>
      </c>
      <c r="B4797">
        <v>83620</v>
      </c>
      <c r="C4797" s="173" t="s">
        <v>5039</v>
      </c>
      <c r="D4797" s="173" t="s">
        <v>470</v>
      </c>
      <c r="E4797">
        <v>3</v>
      </c>
    </row>
    <row r="4798" spans="1:5" hidden="1" x14ac:dyDescent="0.25">
      <c r="A4798" s="173" t="s">
        <v>514</v>
      </c>
      <c r="B4798">
        <v>83620</v>
      </c>
      <c r="C4798" s="173" t="s">
        <v>5040</v>
      </c>
      <c r="D4798" s="173" t="s">
        <v>470</v>
      </c>
      <c r="E4798">
        <v>3</v>
      </c>
    </row>
    <row r="4799" spans="1:5" hidden="1" x14ac:dyDescent="0.25">
      <c r="A4799" s="173" t="s">
        <v>514</v>
      </c>
      <c r="B4799">
        <v>83620</v>
      </c>
      <c r="C4799" s="173" t="s">
        <v>5041</v>
      </c>
      <c r="D4799" s="173" t="s">
        <v>470</v>
      </c>
      <c r="E4799">
        <v>3</v>
      </c>
    </row>
    <row r="4800" spans="1:5" hidden="1" x14ac:dyDescent="0.25">
      <c r="A4800" s="173" t="s">
        <v>514</v>
      </c>
      <c r="B4800">
        <v>83620</v>
      </c>
      <c r="C4800" s="173" t="s">
        <v>5042</v>
      </c>
      <c r="D4800" s="173" t="s">
        <v>470</v>
      </c>
      <c r="E4800">
        <v>3</v>
      </c>
    </row>
    <row r="4801" spans="1:5" hidden="1" x14ac:dyDescent="0.25">
      <c r="A4801" s="173" t="s">
        <v>514</v>
      </c>
      <c r="B4801">
        <v>83620</v>
      </c>
      <c r="C4801" s="173" t="s">
        <v>5043</v>
      </c>
      <c r="D4801" s="173" t="s">
        <v>470</v>
      </c>
      <c r="E4801">
        <v>3</v>
      </c>
    </row>
    <row r="4802" spans="1:5" hidden="1" x14ac:dyDescent="0.25">
      <c r="A4802" s="173" t="s">
        <v>514</v>
      </c>
      <c r="B4802">
        <v>83620</v>
      </c>
      <c r="C4802" s="173" t="s">
        <v>5044</v>
      </c>
      <c r="D4802" s="173" t="s">
        <v>470</v>
      </c>
      <c r="E4802">
        <v>3</v>
      </c>
    </row>
    <row r="4803" spans="1:5" hidden="1" x14ac:dyDescent="0.25">
      <c r="A4803" s="173" t="s">
        <v>804</v>
      </c>
      <c r="B4803">
        <v>83629</v>
      </c>
      <c r="C4803" s="173" t="s">
        <v>3217</v>
      </c>
      <c r="D4803" s="173" t="s">
        <v>470</v>
      </c>
      <c r="E4803">
        <v>1</v>
      </c>
    </row>
    <row r="4804" spans="1:5" hidden="1" x14ac:dyDescent="0.25">
      <c r="A4804" s="173" t="s">
        <v>804</v>
      </c>
      <c r="B4804">
        <v>83629</v>
      </c>
      <c r="C4804" s="173" t="s">
        <v>3218</v>
      </c>
      <c r="D4804" s="173" t="s">
        <v>470</v>
      </c>
      <c r="E4804">
        <v>1</v>
      </c>
    </row>
    <row r="4805" spans="1:5" hidden="1" x14ac:dyDescent="0.25">
      <c r="A4805" s="173" t="s">
        <v>804</v>
      </c>
      <c r="B4805">
        <v>83629</v>
      </c>
      <c r="C4805" s="173" t="s">
        <v>3219</v>
      </c>
      <c r="D4805" s="173" t="s">
        <v>470</v>
      </c>
      <c r="E4805">
        <v>1</v>
      </c>
    </row>
    <row r="4806" spans="1:5" hidden="1" x14ac:dyDescent="0.25">
      <c r="A4806" s="173" t="s">
        <v>514</v>
      </c>
      <c r="B4806">
        <v>83631</v>
      </c>
      <c r="C4806" s="173" t="s">
        <v>3220</v>
      </c>
      <c r="D4806" s="173" t="s">
        <v>517</v>
      </c>
      <c r="E4806">
        <v>1</v>
      </c>
    </row>
    <row r="4807" spans="1:5" hidden="1" x14ac:dyDescent="0.25">
      <c r="A4807" s="173" t="s">
        <v>514</v>
      </c>
      <c r="B4807">
        <v>83631</v>
      </c>
      <c r="C4807" s="173" t="s">
        <v>3221</v>
      </c>
      <c r="D4807" s="173" t="s">
        <v>517</v>
      </c>
      <c r="E4807">
        <v>1</v>
      </c>
    </row>
    <row r="4808" spans="1:5" hidden="1" x14ac:dyDescent="0.25">
      <c r="A4808" s="173" t="s">
        <v>514</v>
      </c>
      <c r="B4808">
        <v>83631</v>
      </c>
      <c r="C4808" s="173" t="s">
        <v>3222</v>
      </c>
      <c r="D4808" s="173" t="s">
        <v>517</v>
      </c>
      <c r="E4808">
        <v>1</v>
      </c>
    </row>
    <row r="4809" spans="1:5" hidden="1" x14ac:dyDescent="0.25">
      <c r="A4809" s="173" t="s">
        <v>514</v>
      </c>
      <c r="B4809">
        <v>83631</v>
      </c>
      <c r="C4809" s="173" t="s">
        <v>3223</v>
      </c>
      <c r="D4809" s="173" t="s">
        <v>517</v>
      </c>
      <c r="E4809">
        <v>1</v>
      </c>
    </row>
    <row r="4810" spans="1:5" hidden="1" x14ac:dyDescent="0.25">
      <c r="A4810" s="173" t="s">
        <v>514</v>
      </c>
      <c r="B4810">
        <v>83631</v>
      </c>
      <c r="C4810" s="173" t="s">
        <v>3224</v>
      </c>
      <c r="D4810" s="173" t="s">
        <v>517</v>
      </c>
      <c r="E4810">
        <v>1</v>
      </c>
    </row>
    <row r="4811" spans="1:5" hidden="1" x14ac:dyDescent="0.25">
      <c r="A4811" s="173" t="s">
        <v>514</v>
      </c>
      <c r="B4811">
        <v>83631</v>
      </c>
      <c r="C4811" s="173" t="s">
        <v>3225</v>
      </c>
      <c r="D4811" s="173" t="s">
        <v>517</v>
      </c>
      <c r="E4811">
        <v>1</v>
      </c>
    </row>
    <row r="4812" spans="1:5" hidden="1" x14ac:dyDescent="0.25">
      <c r="A4812" s="173" t="s">
        <v>514</v>
      </c>
      <c r="B4812">
        <v>83631</v>
      </c>
      <c r="C4812" s="173" t="s">
        <v>3226</v>
      </c>
      <c r="D4812" s="173" t="s">
        <v>517</v>
      </c>
      <c r="E4812">
        <v>1</v>
      </c>
    </row>
    <row r="4813" spans="1:5" hidden="1" x14ac:dyDescent="0.25">
      <c r="A4813" s="173" t="s">
        <v>514</v>
      </c>
      <c r="B4813">
        <v>83631</v>
      </c>
      <c r="C4813" s="173" t="s">
        <v>3227</v>
      </c>
      <c r="D4813" s="173" t="s">
        <v>517</v>
      </c>
      <c r="E4813">
        <v>1</v>
      </c>
    </row>
    <row r="4814" spans="1:5" hidden="1" x14ac:dyDescent="0.25">
      <c r="A4814" s="173" t="s">
        <v>514</v>
      </c>
      <c r="B4814">
        <v>83631</v>
      </c>
      <c r="C4814" s="173" t="s">
        <v>3228</v>
      </c>
      <c r="D4814" s="173" t="s">
        <v>517</v>
      </c>
      <c r="E4814">
        <v>1</v>
      </c>
    </row>
    <row r="4815" spans="1:5" hidden="1" x14ac:dyDescent="0.25">
      <c r="A4815" s="173" t="s">
        <v>514</v>
      </c>
      <c r="B4815">
        <v>83631</v>
      </c>
      <c r="C4815" s="173" t="s">
        <v>3229</v>
      </c>
      <c r="D4815" s="173" t="s">
        <v>517</v>
      </c>
      <c r="E4815">
        <v>1</v>
      </c>
    </row>
    <row r="4816" spans="1:5" hidden="1" x14ac:dyDescent="0.25">
      <c r="A4816" s="173" t="s">
        <v>514</v>
      </c>
      <c r="B4816">
        <v>83631</v>
      </c>
      <c r="C4816" s="173" t="s">
        <v>3230</v>
      </c>
      <c r="D4816" s="173" t="s">
        <v>517</v>
      </c>
      <c r="E4816">
        <v>1</v>
      </c>
    </row>
    <row r="4817" spans="1:5" hidden="1" x14ac:dyDescent="0.25">
      <c r="A4817" s="173" t="s">
        <v>514</v>
      </c>
      <c r="B4817">
        <v>83631</v>
      </c>
      <c r="C4817" s="173" t="s">
        <v>3231</v>
      </c>
      <c r="D4817" s="173" t="s">
        <v>517</v>
      </c>
      <c r="E4817">
        <v>1</v>
      </c>
    </row>
    <row r="4818" spans="1:5" hidden="1" x14ac:dyDescent="0.25">
      <c r="A4818" s="173" t="s">
        <v>514</v>
      </c>
      <c r="B4818">
        <v>83632</v>
      </c>
      <c r="C4818" s="173" t="s">
        <v>3232</v>
      </c>
      <c r="D4818" s="173" t="s">
        <v>517</v>
      </c>
      <c r="E4818">
        <v>1</v>
      </c>
    </row>
    <row r="4819" spans="1:5" hidden="1" x14ac:dyDescent="0.25">
      <c r="A4819" s="173" t="s">
        <v>514</v>
      </c>
      <c r="B4819">
        <v>83632</v>
      </c>
      <c r="C4819" s="173" t="s">
        <v>3233</v>
      </c>
      <c r="D4819" s="173" t="s">
        <v>517</v>
      </c>
      <c r="E4819">
        <v>1</v>
      </c>
    </row>
    <row r="4820" spans="1:5" hidden="1" x14ac:dyDescent="0.25">
      <c r="A4820" s="173" t="s">
        <v>514</v>
      </c>
      <c r="B4820">
        <v>83632</v>
      </c>
      <c r="C4820" s="173" t="s">
        <v>3234</v>
      </c>
      <c r="D4820" s="173" t="s">
        <v>517</v>
      </c>
      <c r="E4820">
        <v>1</v>
      </c>
    </row>
    <row r="4821" spans="1:5" hidden="1" x14ac:dyDescent="0.25">
      <c r="A4821" s="173" t="s">
        <v>514</v>
      </c>
      <c r="B4821">
        <v>83632</v>
      </c>
      <c r="C4821" s="173" t="s">
        <v>3235</v>
      </c>
      <c r="D4821" s="173" t="s">
        <v>517</v>
      </c>
      <c r="E4821">
        <v>1</v>
      </c>
    </row>
    <row r="4822" spans="1:5" hidden="1" x14ac:dyDescent="0.25">
      <c r="A4822" s="173" t="s">
        <v>514</v>
      </c>
      <c r="B4822">
        <v>83632</v>
      </c>
      <c r="C4822" s="173" t="s">
        <v>3236</v>
      </c>
      <c r="D4822" s="173" t="s">
        <v>517</v>
      </c>
      <c r="E4822">
        <v>1</v>
      </c>
    </row>
    <row r="4823" spans="1:5" hidden="1" x14ac:dyDescent="0.25">
      <c r="A4823" s="173" t="s">
        <v>514</v>
      </c>
      <c r="B4823">
        <v>83632</v>
      </c>
      <c r="C4823" s="173" t="s">
        <v>3237</v>
      </c>
      <c r="D4823" s="173" t="s">
        <v>517</v>
      </c>
      <c r="E4823">
        <v>1</v>
      </c>
    </row>
    <row r="4824" spans="1:5" hidden="1" x14ac:dyDescent="0.25">
      <c r="A4824" s="173" t="s">
        <v>514</v>
      </c>
      <c r="B4824">
        <v>83632</v>
      </c>
      <c r="C4824" s="173" t="s">
        <v>3238</v>
      </c>
      <c r="D4824" s="173" t="s">
        <v>517</v>
      </c>
      <c r="E4824">
        <v>1</v>
      </c>
    </row>
    <row r="4825" spans="1:5" hidden="1" x14ac:dyDescent="0.25">
      <c r="A4825" s="173" t="s">
        <v>514</v>
      </c>
      <c r="B4825">
        <v>83632</v>
      </c>
      <c r="C4825" s="173" t="s">
        <v>3239</v>
      </c>
      <c r="D4825" s="173" t="s">
        <v>517</v>
      </c>
      <c r="E4825">
        <v>1</v>
      </c>
    </row>
    <row r="4826" spans="1:5" hidden="1" x14ac:dyDescent="0.25">
      <c r="A4826" s="173" t="s">
        <v>514</v>
      </c>
      <c r="B4826">
        <v>83632</v>
      </c>
      <c r="C4826" s="173" t="s">
        <v>3240</v>
      </c>
      <c r="D4826" s="173" t="s">
        <v>517</v>
      </c>
      <c r="E4826">
        <v>1</v>
      </c>
    </row>
    <row r="4827" spans="1:5" hidden="1" x14ac:dyDescent="0.25">
      <c r="A4827" s="173" t="s">
        <v>514</v>
      </c>
      <c r="B4827">
        <v>83632</v>
      </c>
      <c r="C4827" s="173" t="s">
        <v>3241</v>
      </c>
      <c r="D4827" s="173" t="s">
        <v>517</v>
      </c>
      <c r="E4827">
        <v>1</v>
      </c>
    </row>
    <row r="4828" spans="1:5" hidden="1" x14ac:dyDescent="0.25">
      <c r="A4828" s="173" t="s">
        <v>514</v>
      </c>
      <c r="B4828">
        <v>83632</v>
      </c>
      <c r="C4828" s="173" t="s">
        <v>3242</v>
      </c>
      <c r="D4828" s="173" t="s">
        <v>517</v>
      </c>
      <c r="E4828">
        <v>1</v>
      </c>
    </row>
    <row r="4829" spans="1:5" hidden="1" x14ac:dyDescent="0.25">
      <c r="A4829" s="173" t="s">
        <v>514</v>
      </c>
      <c r="B4829">
        <v>83632</v>
      </c>
      <c r="C4829" s="173" t="s">
        <v>3243</v>
      </c>
      <c r="D4829" s="173" t="s">
        <v>517</v>
      </c>
      <c r="E4829">
        <v>1</v>
      </c>
    </row>
    <row r="4830" spans="1:5" x14ac:dyDescent="0.25">
      <c r="A4830" s="173" t="s">
        <v>468</v>
      </c>
      <c r="B4830">
        <v>83652</v>
      </c>
      <c r="C4830" s="173" t="s">
        <v>4682</v>
      </c>
      <c r="D4830" s="173" t="s">
        <v>470</v>
      </c>
      <c r="E4830">
        <v>1</v>
      </c>
    </row>
    <row r="4831" spans="1:5" x14ac:dyDescent="0.25">
      <c r="A4831" s="173" t="s">
        <v>468</v>
      </c>
      <c r="B4831">
        <v>83652</v>
      </c>
      <c r="C4831" s="173" t="s">
        <v>4683</v>
      </c>
      <c r="D4831" s="173" t="s">
        <v>470</v>
      </c>
      <c r="E4831">
        <v>1</v>
      </c>
    </row>
    <row r="4832" spans="1:5" x14ac:dyDescent="0.25">
      <c r="A4832" s="173" t="s">
        <v>468</v>
      </c>
      <c r="B4832">
        <v>83652</v>
      </c>
      <c r="C4832" s="173" t="s">
        <v>4684</v>
      </c>
      <c r="D4832" s="173" t="s">
        <v>470</v>
      </c>
      <c r="E4832">
        <v>1</v>
      </c>
    </row>
    <row r="4833" spans="1:5" x14ac:dyDescent="0.25">
      <c r="A4833" s="173" t="s">
        <v>468</v>
      </c>
      <c r="B4833">
        <v>83652</v>
      </c>
      <c r="C4833" s="173" t="s">
        <v>4685</v>
      </c>
      <c r="D4833" s="173" t="s">
        <v>470</v>
      </c>
      <c r="E4833">
        <v>1</v>
      </c>
    </row>
    <row r="4834" spans="1:5" x14ac:dyDescent="0.25">
      <c r="A4834" s="173" t="s">
        <v>468</v>
      </c>
      <c r="B4834">
        <v>83652</v>
      </c>
      <c r="C4834" s="173" t="s">
        <v>3523</v>
      </c>
      <c r="D4834" s="173" t="s">
        <v>470</v>
      </c>
      <c r="E4834">
        <v>1</v>
      </c>
    </row>
    <row r="4835" spans="1:5" x14ac:dyDescent="0.25">
      <c r="A4835" s="173" t="s">
        <v>468</v>
      </c>
      <c r="B4835">
        <v>83652</v>
      </c>
      <c r="C4835" s="173" t="s">
        <v>4686</v>
      </c>
      <c r="D4835" s="173" t="s">
        <v>470</v>
      </c>
      <c r="E4835">
        <v>1</v>
      </c>
    </row>
    <row r="4836" spans="1:5" x14ac:dyDescent="0.25">
      <c r="A4836" s="173" t="s">
        <v>468</v>
      </c>
      <c r="B4836">
        <v>83652</v>
      </c>
      <c r="C4836" s="173" t="s">
        <v>4687</v>
      </c>
      <c r="D4836" s="173" t="s">
        <v>470</v>
      </c>
      <c r="E4836">
        <v>1</v>
      </c>
    </row>
    <row r="4837" spans="1:5" x14ac:dyDescent="0.25">
      <c r="A4837" s="173" t="s">
        <v>468</v>
      </c>
      <c r="B4837">
        <v>83652</v>
      </c>
      <c r="C4837" s="173" t="s">
        <v>4688</v>
      </c>
      <c r="D4837" s="173" t="s">
        <v>470</v>
      </c>
      <c r="E4837">
        <v>1</v>
      </c>
    </row>
    <row r="4838" spans="1:5" x14ac:dyDescent="0.25">
      <c r="A4838" s="173" t="s">
        <v>468</v>
      </c>
      <c r="B4838">
        <v>83652</v>
      </c>
      <c r="C4838" s="173" t="s">
        <v>4689</v>
      </c>
      <c r="D4838" s="173" t="s">
        <v>470</v>
      </c>
      <c r="E4838">
        <v>1</v>
      </c>
    </row>
    <row r="4839" spans="1:5" x14ac:dyDescent="0.25">
      <c r="A4839" s="173" t="s">
        <v>468</v>
      </c>
      <c r="B4839">
        <v>83652</v>
      </c>
      <c r="C4839" s="173" t="s">
        <v>4690</v>
      </c>
      <c r="D4839" s="173" t="s">
        <v>470</v>
      </c>
      <c r="E4839">
        <v>1</v>
      </c>
    </row>
    <row r="4840" spans="1:5" x14ac:dyDescent="0.25">
      <c r="A4840" s="173" t="s">
        <v>468</v>
      </c>
      <c r="B4840">
        <v>83652</v>
      </c>
      <c r="C4840" s="173" t="s">
        <v>4691</v>
      </c>
      <c r="D4840" s="173" t="s">
        <v>470</v>
      </c>
      <c r="E4840">
        <v>1</v>
      </c>
    </row>
    <row r="4841" spans="1:5" x14ac:dyDescent="0.25">
      <c r="A4841" s="173" t="s">
        <v>468</v>
      </c>
      <c r="B4841">
        <v>83652</v>
      </c>
      <c r="C4841" s="173" t="s">
        <v>4692</v>
      </c>
      <c r="D4841" s="173" t="s">
        <v>470</v>
      </c>
      <c r="E4841">
        <v>1</v>
      </c>
    </row>
    <row r="4842" spans="1:5" x14ac:dyDescent="0.25">
      <c r="A4842" s="173" t="s">
        <v>468</v>
      </c>
      <c r="B4842">
        <v>83652</v>
      </c>
      <c r="C4842" s="173" t="s">
        <v>4693</v>
      </c>
      <c r="D4842" s="173" t="s">
        <v>470</v>
      </c>
      <c r="E4842">
        <v>1</v>
      </c>
    </row>
    <row r="4843" spans="1:5" x14ac:dyDescent="0.25">
      <c r="A4843" s="173" t="s">
        <v>468</v>
      </c>
      <c r="B4843">
        <v>83723</v>
      </c>
      <c r="C4843" s="173" t="s">
        <v>3244</v>
      </c>
      <c r="D4843" s="173" t="s">
        <v>470</v>
      </c>
      <c r="E4843">
        <v>1</v>
      </c>
    </row>
    <row r="4844" spans="1:5" x14ac:dyDescent="0.25">
      <c r="A4844" s="173" t="s">
        <v>468</v>
      </c>
      <c r="B4844">
        <v>83723</v>
      </c>
      <c r="C4844" s="173" t="s">
        <v>3245</v>
      </c>
      <c r="D4844" s="173" t="s">
        <v>470</v>
      </c>
      <c r="E4844">
        <v>1</v>
      </c>
    </row>
    <row r="4845" spans="1:5" x14ac:dyDescent="0.25">
      <c r="A4845" s="173" t="s">
        <v>468</v>
      </c>
      <c r="B4845">
        <v>83723</v>
      </c>
      <c r="C4845" s="173" t="s">
        <v>3246</v>
      </c>
      <c r="D4845" s="173" t="s">
        <v>470</v>
      </c>
      <c r="E4845">
        <v>1</v>
      </c>
    </row>
    <row r="4846" spans="1:5" x14ac:dyDescent="0.25">
      <c r="A4846" s="173" t="s">
        <v>468</v>
      </c>
      <c r="B4846">
        <v>83723</v>
      </c>
      <c r="C4846" s="173" t="s">
        <v>3247</v>
      </c>
      <c r="D4846" s="173" t="s">
        <v>470</v>
      </c>
      <c r="E4846">
        <v>1</v>
      </c>
    </row>
    <row r="4847" spans="1:5" x14ac:dyDescent="0.25">
      <c r="A4847" s="173" t="s">
        <v>468</v>
      </c>
      <c r="B4847">
        <v>83723</v>
      </c>
      <c r="C4847" s="173" t="s">
        <v>3248</v>
      </c>
      <c r="D4847" s="173" t="s">
        <v>470</v>
      </c>
      <c r="E4847">
        <v>1</v>
      </c>
    </row>
    <row r="4848" spans="1:5" x14ac:dyDescent="0.25">
      <c r="A4848" s="173" t="s">
        <v>468</v>
      </c>
      <c r="B4848">
        <v>83723</v>
      </c>
      <c r="C4848" s="173" t="s">
        <v>3249</v>
      </c>
      <c r="D4848" s="173" t="s">
        <v>470</v>
      </c>
      <c r="E4848">
        <v>1</v>
      </c>
    </row>
    <row r="4849" spans="1:5" x14ac:dyDescent="0.25">
      <c r="A4849" s="173" t="s">
        <v>468</v>
      </c>
      <c r="B4849">
        <v>83723</v>
      </c>
      <c r="C4849" s="173" t="s">
        <v>3250</v>
      </c>
      <c r="D4849" s="173" t="s">
        <v>470</v>
      </c>
      <c r="E4849">
        <v>1</v>
      </c>
    </row>
    <row r="4850" spans="1:5" x14ac:dyDescent="0.25">
      <c r="A4850" s="173" t="s">
        <v>468</v>
      </c>
      <c r="B4850">
        <v>83723</v>
      </c>
      <c r="C4850" s="173" t="s">
        <v>3251</v>
      </c>
      <c r="D4850" s="173" t="s">
        <v>470</v>
      </c>
      <c r="E4850">
        <v>1</v>
      </c>
    </row>
    <row r="4851" spans="1:5" x14ac:dyDescent="0.25">
      <c r="A4851" s="173" t="s">
        <v>468</v>
      </c>
      <c r="B4851">
        <v>83723</v>
      </c>
      <c r="C4851" s="173" t="s">
        <v>3252</v>
      </c>
      <c r="D4851" s="173" t="s">
        <v>470</v>
      </c>
      <c r="E4851">
        <v>1</v>
      </c>
    </row>
    <row r="4852" spans="1:5" x14ac:dyDescent="0.25">
      <c r="A4852" s="173" t="s">
        <v>468</v>
      </c>
      <c r="B4852">
        <v>83723</v>
      </c>
      <c r="C4852" s="173" t="s">
        <v>3253</v>
      </c>
      <c r="D4852" s="173" t="s">
        <v>470</v>
      </c>
      <c r="E4852">
        <v>1</v>
      </c>
    </row>
    <row r="4853" spans="1:5" x14ac:dyDescent="0.25">
      <c r="A4853" s="173" t="s">
        <v>468</v>
      </c>
      <c r="B4853">
        <v>83723</v>
      </c>
      <c r="C4853" s="173" t="s">
        <v>3254</v>
      </c>
      <c r="D4853" s="173" t="s">
        <v>470</v>
      </c>
      <c r="E4853">
        <v>1</v>
      </c>
    </row>
    <row r="4854" spans="1:5" x14ac:dyDescent="0.25">
      <c r="A4854" s="173" t="s">
        <v>468</v>
      </c>
      <c r="B4854">
        <v>83723</v>
      </c>
      <c r="C4854" s="173" t="s">
        <v>3255</v>
      </c>
      <c r="D4854" s="173" t="s">
        <v>470</v>
      </c>
      <c r="E4854">
        <v>1</v>
      </c>
    </row>
    <row r="4855" spans="1:5" x14ac:dyDescent="0.25">
      <c r="A4855" s="173" t="s">
        <v>468</v>
      </c>
      <c r="B4855">
        <v>83723</v>
      </c>
      <c r="C4855" s="173" t="s">
        <v>3256</v>
      </c>
      <c r="D4855" s="173" t="s">
        <v>470</v>
      </c>
      <c r="E4855">
        <v>1</v>
      </c>
    </row>
    <row r="4856" spans="1:5" x14ac:dyDescent="0.25">
      <c r="A4856" s="173" t="s">
        <v>468</v>
      </c>
      <c r="B4856">
        <v>83723</v>
      </c>
      <c r="C4856" s="173" t="s">
        <v>3257</v>
      </c>
      <c r="D4856" s="173" t="s">
        <v>470</v>
      </c>
      <c r="E4856">
        <v>1</v>
      </c>
    </row>
    <row r="4857" spans="1:5" x14ac:dyDescent="0.25">
      <c r="A4857" s="173" t="s">
        <v>468</v>
      </c>
      <c r="B4857">
        <v>83723</v>
      </c>
      <c r="C4857" s="173" t="s">
        <v>3258</v>
      </c>
      <c r="D4857" s="173" t="s">
        <v>470</v>
      </c>
      <c r="E4857">
        <v>1</v>
      </c>
    </row>
    <row r="4858" spans="1:5" x14ac:dyDescent="0.25">
      <c r="A4858" s="173" t="s">
        <v>468</v>
      </c>
      <c r="B4858">
        <v>83723</v>
      </c>
      <c r="C4858" s="173" t="s">
        <v>3259</v>
      </c>
      <c r="D4858" s="173" t="s">
        <v>470</v>
      </c>
      <c r="E4858">
        <v>1</v>
      </c>
    </row>
    <row r="4859" spans="1:5" x14ac:dyDescent="0.25">
      <c r="A4859" s="173" t="s">
        <v>468</v>
      </c>
      <c r="B4859">
        <v>83723</v>
      </c>
      <c r="C4859" s="173" t="s">
        <v>3260</v>
      </c>
      <c r="D4859" s="173" t="s">
        <v>470</v>
      </c>
      <c r="E4859">
        <v>1</v>
      </c>
    </row>
    <row r="4860" spans="1:5" hidden="1" x14ac:dyDescent="0.25">
      <c r="A4860" s="173" t="s">
        <v>514</v>
      </c>
      <c r="B4860">
        <v>83795</v>
      </c>
      <c r="C4860" s="173" t="s">
        <v>3261</v>
      </c>
      <c r="D4860" s="173" t="s">
        <v>470</v>
      </c>
      <c r="E4860">
        <v>1</v>
      </c>
    </row>
    <row r="4861" spans="1:5" hidden="1" x14ac:dyDescent="0.25">
      <c r="A4861" s="173" t="s">
        <v>514</v>
      </c>
      <c r="B4861">
        <v>83795</v>
      </c>
      <c r="C4861" s="173" t="s">
        <v>3261</v>
      </c>
      <c r="D4861" s="173" t="s">
        <v>517</v>
      </c>
      <c r="E4861">
        <v>1</v>
      </c>
    </row>
    <row r="4862" spans="1:5" hidden="1" x14ac:dyDescent="0.25">
      <c r="A4862" s="173" t="s">
        <v>514</v>
      </c>
      <c r="B4862">
        <v>83795</v>
      </c>
      <c r="C4862" s="173" t="s">
        <v>3262</v>
      </c>
      <c r="D4862" s="173" t="s">
        <v>517</v>
      </c>
      <c r="E4862">
        <v>1</v>
      </c>
    </row>
    <row r="4863" spans="1:5" hidden="1" x14ac:dyDescent="0.25">
      <c r="A4863" s="173" t="s">
        <v>514</v>
      </c>
      <c r="B4863">
        <v>83795</v>
      </c>
      <c r="C4863" s="173" t="s">
        <v>3262</v>
      </c>
      <c r="D4863" s="173" t="s">
        <v>470</v>
      </c>
      <c r="E4863">
        <v>1</v>
      </c>
    </row>
    <row r="4864" spans="1:5" hidden="1" x14ac:dyDescent="0.25">
      <c r="A4864" s="173" t="s">
        <v>514</v>
      </c>
      <c r="B4864">
        <v>83795</v>
      </c>
      <c r="C4864" s="173" t="s">
        <v>3263</v>
      </c>
      <c r="D4864" s="173" t="s">
        <v>470</v>
      </c>
      <c r="E4864">
        <v>1</v>
      </c>
    </row>
    <row r="4865" spans="1:5" hidden="1" x14ac:dyDescent="0.25">
      <c r="A4865" s="173" t="s">
        <v>514</v>
      </c>
      <c r="B4865">
        <v>83795</v>
      </c>
      <c r="C4865" s="173" t="s">
        <v>3263</v>
      </c>
      <c r="D4865" s="173" t="s">
        <v>517</v>
      </c>
      <c r="E4865">
        <v>1</v>
      </c>
    </row>
    <row r="4866" spans="1:5" hidden="1" x14ac:dyDescent="0.25">
      <c r="A4866" s="173" t="s">
        <v>514</v>
      </c>
      <c r="B4866">
        <v>83795</v>
      </c>
      <c r="C4866" s="173" t="s">
        <v>3264</v>
      </c>
      <c r="D4866" s="173" t="s">
        <v>517</v>
      </c>
      <c r="E4866">
        <v>1</v>
      </c>
    </row>
    <row r="4867" spans="1:5" hidden="1" x14ac:dyDescent="0.25">
      <c r="A4867" s="173" t="s">
        <v>514</v>
      </c>
      <c r="B4867">
        <v>83795</v>
      </c>
      <c r="C4867" s="173" t="s">
        <v>3264</v>
      </c>
      <c r="D4867" s="173" t="s">
        <v>470</v>
      </c>
      <c r="E4867">
        <v>1</v>
      </c>
    </row>
    <row r="4868" spans="1:5" hidden="1" x14ac:dyDescent="0.25">
      <c r="A4868" s="173" t="s">
        <v>514</v>
      </c>
      <c r="B4868">
        <v>83795</v>
      </c>
      <c r="C4868" s="173" t="s">
        <v>3265</v>
      </c>
      <c r="D4868" s="173" t="s">
        <v>517</v>
      </c>
      <c r="E4868">
        <v>1</v>
      </c>
    </row>
    <row r="4869" spans="1:5" hidden="1" x14ac:dyDescent="0.25">
      <c r="A4869" s="173" t="s">
        <v>514</v>
      </c>
      <c r="B4869">
        <v>83795</v>
      </c>
      <c r="C4869" s="173" t="s">
        <v>3265</v>
      </c>
      <c r="D4869" s="173" t="s">
        <v>470</v>
      </c>
      <c r="E4869">
        <v>1</v>
      </c>
    </row>
    <row r="4870" spans="1:5" hidden="1" x14ac:dyDescent="0.25">
      <c r="A4870" s="173" t="s">
        <v>514</v>
      </c>
      <c r="B4870">
        <v>83795</v>
      </c>
      <c r="C4870" s="173" t="s">
        <v>3266</v>
      </c>
      <c r="D4870" s="173" t="s">
        <v>517</v>
      </c>
      <c r="E4870">
        <v>1</v>
      </c>
    </row>
    <row r="4871" spans="1:5" hidden="1" x14ac:dyDescent="0.25">
      <c r="A4871" s="173" t="s">
        <v>514</v>
      </c>
      <c r="B4871">
        <v>83795</v>
      </c>
      <c r="C4871" s="173" t="s">
        <v>3266</v>
      </c>
      <c r="D4871" s="173" t="s">
        <v>470</v>
      </c>
      <c r="E4871">
        <v>1</v>
      </c>
    </row>
    <row r="4872" spans="1:5" hidden="1" x14ac:dyDescent="0.25">
      <c r="A4872" s="173" t="s">
        <v>514</v>
      </c>
      <c r="B4872">
        <v>83795</v>
      </c>
      <c r="C4872" s="173" t="s">
        <v>3267</v>
      </c>
      <c r="D4872" s="173" t="s">
        <v>517</v>
      </c>
      <c r="E4872">
        <v>1</v>
      </c>
    </row>
    <row r="4873" spans="1:5" hidden="1" x14ac:dyDescent="0.25">
      <c r="A4873" s="173" t="s">
        <v>514</v>
      </c>
      <c r="B4873">
        <v>83795</v>
      </c>
      <c r="C4873" s="173" t="s">
        <v>3267</v>
      </c>
      <c r="D4873" s="173" t="s">
        <v>470</v>
      </c>
      <c r="E4873">
        <v>1</v>
      </c>
    </row>
    <row r="4874" spans="1:5" x14ac:dyDescent="0.25">
      <c r="A4874" s="173" t="s">
        <v>468</v>
      </c>
      <c r="B4874">
        <v>83796</v>
      </c>
      <c r="C4874" s="173" t="s">
        <v>5045</v>
      </c>
      <c r="D4874" s="173" t="s">
        <v>470</v>
      </c>
      <c r="E4874">
        <v>3</v>
      </c>
    </row>
    <row r="4875" spans="1:5" x14ac:dyDescent="0.25">
      <c r="A4875" s="173" t="s">
        <v>468</v>
      </c>
      <c r="B4875">
        <v>83796</v>
      </c>
      <c r="C4875" s="173" t="s">
        <v>5046</v>
      </c>
      <c r="D4875" s="173" t="s">
        <v>470</v>
      </c>
      <c r="E4875">
        <v>3</v>
      </c>
    </row>
    <row r="4876" spans="1:5" x14ac:dyDescent="0.25">
      <c r="A4876" s="173" t="s">
        <v>468</v>
      </c>
      <c r="B4876">
        <v>83796</v>
      </c>
      <c r="C4876" s="173" t="s">
        <v>5047</v>
      </c>
      <c r="D4876" s="173" t="s">
        <v>470</v>
      </c>
      <c r="E4876">
        <v>3</v>
      </c>
    </row>
    <row r="4877" spans="1:5" x14ac:dyDescent="0.25">
      <c r="A4877" s="173" t="s">
        <v>468</v>
      </c>
      <c r="B4877">
        <v>83796</v>
      </c>
      <c r="C4877" s="173" t="s">
        <v>5048</v>
      </c>
      <c r="D4877" s="173" t="s">
        <v>470</v>
      </c>
      <c r="E4877">
        <v>3</v>
      </c>
    </row>
    <row r="4878" spans="1:5" x14ac:dyDescent="0.25">
      <c r="A4878" s="173" t="s">
        <v>468</v>
      </c>
      <c r="B4878">
        <v>83796</v>
      </c>
      <c r="C4878" s="173" t="s">
        <v>5049</v>
      </c>
      <c r="D4878" s="173" t="s">
        <v>470</v>
      </c>
      <c r="E4878">
        <v>2</v>
      </c>
    </row>
    <row r="4879" spans="1:5" x14ac:dyDescent="0.25">
      <c r="A4879" s="173" t="s">
        <v>468</v>
      </c>
      <c r="B4879">
        <v>83796</v>
      </c>
      <c r="C4879" s="173" t="s">
        <v>5050</v>
      </c>
      <c r="D4879" s="173" t="s">
        <v>470</v>
      </c>
      <c r="E4879">
        <v>2</v>
      </c>
    </row>
    <row r="4880" spans="1:5" x14ac:dyDescent="0.25">
      <c r="A4880" s="173" t="s">
        <v>468</v>
      </c>
      <c r="B4880">
        <v>83796</v>
      </c>
      <c r="C4880" s="173" t="s">
        <v>5051</v>
      </c>
      <c r="D4880" s="173" t="s">
        <v>470</v>
      </c>
      <c r="E4880">
        <v>2</v>
      </c>
    </row>
    <row r="4881" spans="1:5" x14ac:dyDescent="0.25">
      <c r="A4881" s="173" t="s">
        <v>468</v>
      </c>
      <c r="B4881">
        <v>83796</v>
      </c>
      <c r="C4881" s="173" t="s">
        <v>4755</v>
      </c>
      <c r="D4881" s="173" t="s">
        <v>470</v>
      </c>
      <c r="E4881">
        <v>2</v>
      </c>
    </row>
    <row r="4882" spans="1:5" x14ac:dyDescent="0.25">
      <c r="A4882" s="173" t="s">
        <v>468</v>
      </c>
      <c r="B4882">
        <v>83796</v>
      </c>
      <c r="C4882" s="173" t="s">
        <v>4756</v>
      </c>
      <c r="D4882" s="173" t="s">
        <v>470</v>
      </c>
      <c r="E4882">
        <v>3</v>
      </c>
    </row>
    <row r="4883" spans="1:5" hidden="1" x14ac:dyDescent="0.25">
      <c r="A4883" s="173" t="s">
        <v>514</v>
      </c>
      <c r="B4883">
        <v>83797</v>
      </c>
      <c r="C4883" s="173" t="s">
        <v>3268</v>
      </c>
      <c r="D4883" s="173" t="s">
        <v>470</v>
      </c>
      <c r="E4883">
        <v>2</v>
      </c>
    </row>
    <row r="4884" spans="1:5" hidden="1" x14ac:dyDescent="0.25">
      <c r="A4884" s="173" t="s">
        <v>514</v>
      </c>
      <c r="B4884">
        <v>83797</v>
      </c>
      <c r="C4884" s="173" t="s">
        <v>3268</v>
      </c>
      <c r="D4884" s="173" t="s">
        <v>517</v>
      </c>
      <c r="E4884">
        <v>1</v>
      </c>
    </row>
    <row r="4885" spans="1:5" hidden="1" x14ac:dyDescent="0.25">
      <c r="A4885" s="173" t="s">
        <v>514</v>
      </c>
      <c r="B4885">
        <v>83797</v>
      </c>
      <c r="C4885" s="173" t="s">
        <v>3269</v>
      </c>
      <c r="D4885" s="173" t="s">
        <v>517</v>
      </c>
      <c r="E4885">
        <v>1</v>
      </c>
    </row>
    <row r="4886" spans="1:5" hidden="1" x14ac:dyDescent="0.25">
      <c r="A4886" s="173" t="s">
        <v>514</v>
      </c>
      <c r="B4886">
        <v>83797</v>
      </c>
      <c r="C4886" s="173" t="s">
        <v>3269</v>
      </c>
      <c r="D4886" s="173" t="s">
        <v>470</v>
      </c>
      <c r="E4886">
        <v>2</v>
      </c>
    </row>
    <row r="4887" spans="1:5" hidden="1" x14ac:dyDescent="0.25">
      <c r="A4887" s="173" t="s">
        <v>514</v>
      </c>
      <c r="B4887">
        <v>83797</v>
      </c>
      <c r="C4887" s="173" t="s">
        <v>3270</v>
      </c>
      <c r="D4887" s="173" t="s">
        <v>517</v>
      </c>
      <c r="E4887">
        <v>1</v>
      </c>
    </row>
    <row r="4888" spans="1:5" hidden="1" x14ac:dyDescent="0.25">
      <c r="A4888" s="173" t="s">
        <v>514</v>
      </c>
      <c r="B4888">
        <v>83797</v>
      </c>
      <c r="C4888" s="173" t="s">
        <v>3270</v>
      </c>
      <c r="D4888" s="173" t="s">
        <v>470</v>
      </c>
      <c r="E4888">
        <v>2</v>
      </c>
    </row>
    <row r="4889" spans="1:5" hidden="1" x14ac:dyDescent="0.25">
      <c r="A4889" s="173" t="s">
        <v>514</v>
      </c>
      <c r="B4889">
        <v>83797</v>
      </c>
      <c r="C4889" s="173" t="s">
        <v>3271</v>
      </c>
      <c r="D4889" s="173" t="s">
        <v>517</v>
      </c>
      <c r="E4889">
        <v>1</v>
      </c>
    </row>
    <row r="4890" spans="1:5" hidden="1" x14ac:dyDescent="0.25">
      <c r="A4890" s="173" t="s">
        <v>514</v>
      </c>
      <c r="B4890">
        <v>83797</v>
      </c>
      <c r="C4890" s="173" t="s">
        <v>3271</v>
      </c>
      <c r="D4890" s="173" t="s">
        <v>470</v>
      </c>
      <c r="E4890">
        <v>2</v>
      </c>
    </row>
    <row r="4891" spans="1:5" hidden="1" x14ac:dyDescent="0.25">
      <c r="A4891" s="173" t="s">
        <v>514</v>
      </c>
      <c r="B4891">
        <v>83797</v>
      </c>
      <c r="C4891" s="173" t="s">
        <v>3272</v>
      </c>
      <c r="D4891" s="173" t="s">
        <v>470</v>
      </c>
      <c r="E4891">
        <v>2</v>
      </c>
    </row>
    <row r="4892" spans="1:5" hidden="1" x14ac:dyDescent="0.25">
      <c r="A4892" s="173" t="s">
        <v>514</v>
      </c>
      <c r="B4892">
        <v>83797</v>
      </c>
      <c r="C4892" s="173" t="s">
        <v>3272</v>
      </c>
      <c r="D4892" s="173" t="s">
        <v>517</v>
      </c>
      <c r="E4892">
        <v>1</v>
      </c>
    </row>
    <row r="4893" spans="1:5" hidden="1" x14ac:dyDescent="0.25">
      <c r="A4893" s="173" t="s">
        <v>514</v>
      </c>
      <c r="B4893">
        <v>83797</v>
      </c>
      <c r="C4893" s="173" t="s">
        <v>3273</v>
      </c>
      <c r="D4893" s="173" t="s">
        <v>470</v>
      </c>
      <c r="E4893">
        <v>2</v>
      </c>
    </row>
    <row r="4894" spans="1:5" hidden="1" x14ac:dyDescent="0.25">
      <c r="A4894" s="173" t="s">
        <v>514</v>
      </c>
      <c r="B4894">
        <v>83797</v>
      </c>
      <c r="C4894" s="173" t="s">
        <v>3273</v>
      </c>
      <c r="D4894" s="173" t="s">
        <v>517</v>
      </c>
      <c r="E4894">
        <v>1</v>
      </c>
    </row>
    <row r="4895" spans="1:5" hidden="1" x14ac:dyDescent="0.25">
      <c r="A4895" s="173" t="s">
        <v>514</v>
      </c>
      <c r="B4895">
        <v>83797</v>
      </c>
      <c r="C4895" s="173" t="s">
        <v>3274</v>
      </c>
      <c r="D4895" s="173" t="s">
        <v>470</v>
      </c>
      <c r="E4895">
        <v>2</v>
      </c>
    </row>
    <row r="4896" spans="1:5" hidden="1" x14ac:dyDescent="0.25">
      <c r="A4896" s="173" t="s">
        <v>514</v>
      </c>
      <c r="B4896">
        <v>83797</v>
      </c>
      <c r="C4896" s="173" t="s">
        <v>3274</v>
      </c>
      <c r="D4896" s="173" t="s">
        <v>517</v>
      </c>
      <c r="E4896">
        <v>1</v>
      </c>
    </row>
    <row r="4897" spans="1:5" x14ac:dyDescent="0.25">
      <c r="A4897" s="173" t="s">
        <v>468</v>
      </c>
      <c r="B4897">
        <v>83798</v>
      </c>
      <c r="C4897" s="173" t="s">
        <v>5052</v>
      </c>
      <c r="D4897" s="173" t="s">
        <v>470</v>
      </c>
      <c r="E4897">
        <v>2</v>
      </c>
    </row>
    <row r="4898" spans="1:5" x14ac:dyDescent="0.25">
      <c r="A4898" s="173" t="s">
        <v>468</v>
      </c>
      <c r="B4898">
        <v>83798</v>
      </c>
      <c r="C4898" s="173" t="s">
        <v>5053</v>
      </c>
      <c r="D4898" s="173" t="s">
        <v>470</v>
      </c>
      <c r="E4898">
        <v>2</v>
      </c>
    </row>
    <row r="4899" spans="1:5" x14ac:dyDescent="0.25">
      <c r="A4899" s="173" t="s">
        <v>468</v>
      </c>
      <c r="B4899">
        <v>83798</v>
      </c>
      <c r="C4899" s="173" t="s">
        <v>5054</v>
      </c>
      <c r="D4899" s="173" t="s">
        <v>470</v>
      </c>
      <c r="E4899">
        <v>2</v>
      </c>
    </row>
    <row r="4900" spans="1:5" x14ac:dyDescent="0.25">
      <c r="A4900" s="173" t="s">
        <v>468</v>
      </c>
      <c r="B4900">
        <v>83798</v>
      </c>
      <c r="C4900" s="173" t="s">
        <v>5055</v>
      </c>
      <c r="D4900" s="173" t="s">
        <v>470</v>
      </c>
      <c r="E4900">
        <v>2</v>
      </c>
    </row>
    <row r="4901" spans="1:5" x14ac:dyDescent="0.25">
      <c r="A4901" s="173" t="s">
        <v>468</v>
      </c>
      <c r="B4901">
        <v>83798</v>
      </c>
      <c r="C4901" s="173" t="s">
        <v>5056</v>
      </c>
      <c r="D4901" s="173" t="s">
        <v>470</v>
      </c>
      <c r="E4901">
        <v>2</v>
      </c>
    </row>
    <row r="4902" spans="1:5" x14ac:dyDescent="0.25">
      <c r="A4902" s="173" t="s">
        <v>468</v>
      </c>
      <c r="B4902">
        <v>83798</v>
      </c>
      <c r="C4902" s="173" t="s">
        <v>5057</v>
      </c>
      <c r="D4902" s="173" t="s">
        <v>470</v>
      </c>
      <c r="E4902">
        <v>4</v>
      </c>
    </row>
    <row r="4903" spans="1:5" x14ac:dyDescent="0.25">
      <c r="A4903" s="173" t="s">
        <v>468</v>
      </c>
      <c r="B4903">
        <v>83798</v>
      </c>
      <c r="C4903" s="173" t="s">
        <v>5058</v>
      </c>
      <c r="D4903" s="173" t="s">
        <v>470</v>
      </c>
      <c r="E4903">
        <v>4</v>
      </c>
    </row>
    <row r="4904" spans="1:5" x14ac:dyDescent="0.25">
      <c r="A4904" s="173" t="s">
        <v>468</v>
      </c>
      <c r="B4904">
        <v>83798</v>
      </c>
      <c r="C4904" s="173" t="s">
        <v>5059</v>
      </c>
      <c r="D4904" s="173" t="s">
        <v>470</v>
      </c>
      <c r="E4904">
        <v>4</v>
      </c>
    </row>
    <row r="4905" spans="1:5" x14ac:dyDescent="0.25">
      <c r="A4905" s="173" t="s">
        <v>468</v>
      </c>
      <c r="B4905">
        <v>83798</v>
      </c>
      <c r="C4905" s="173" t="s">
        <v>5060</v>
      </c>
      <c r="D4905" s="173" t="s">
        <v>470</v>
      </c>
      <c r="E4905">
        <v>4</v>
      </c>
    </row>
    <row r="4906" spans="1:5" x14ac:dyDescent="0.25">
      <c r="A4906" s="173" t="s">
        <v>468</v>
      </c>
      <c r="B4906">
        <v>83798</v>
      </c>
      <c r="C4906" s="173" t="s">
        <v>5061</v>
      </c>
      <c r="D4906" s="173" t="s">
        <v>470</v>
      </c>
      <c r="E4906">
        <v>4</v>
      </c>
    </row>
    <row r="4907" spans="1:5" hidden="1" x14ac:dyDescent="0.25">
      <c r="A4907" s="173" t="s">
        <v>514</v>
      </c>
      <c r="B4907">
        <v>83799</v>
      </c>
      <c r="C4907" s="173" t="s">
        <v>4694</v>
      </c>
      <c r="D4907" s="173" t="s">
        <v>517</v>
      </c>
      <c r="E4907">
        <v>1</v>
      </c>
    </row>
    <row r="4908" spans="1:5" hidden="1" x14ac:dyDescent="0.25">
      <c r="A4908" s="173" t="s">
        <v>514</v>
      </c>
      <c r="B4908">
        <v>83799</v>
      </c>
      <c r="C4908" s="173" t="s">
        <v>4694</v>
      </c>
      <c r="D4908" s="173" t="s">
        <v>470</v>
      </c>
      <c r="E4908">
        <v>1</v>
      </c>
    </row>
    <row r="4909" spans="1:5" hidden="1" x14ac:dyDescent="0.25">
      <c r="A4909" s="173" t="s">
        <v>514</v>
      </c>
      <c r="B4909">
        <v>83799</v>
      </c>
      <c r="C4909" s="173" t="s">
        <v>4695</v>
      </c>
      <c r="D4909" s="173" t="s">
        <v>517</v>
      </c>
      <c r="E4909">
        <v>1</v>
      </c>
    </row>
    <row r="4910" spans="1:5" hidden="1" x14ac:dyDescent="0.25">
      <c r="A4910" s="173" t="s">
        <v>514</v>
      </c>
      <c r="B4910">
        <v>83799</v>
      </c>
      <c r="C4910" s="173" t="s">
        <v>4695</v>
      </c>
      <c r="D4910" s="173" t="s">
        <v>470</v>
      </c>
      <c r="E4910">
        <v>1</v>
      </c>
    </row>
    <row r="4911" spans="1:5" hidden="1" x14ac:dyDescent="0.25">
      <c r="A4911" s="173" t="s">
        <v>514</v>
      </c>
      <c r="B4911">
        <v>83799</v>
      </c>
      <c r="C4911" s="173" t="s">
        <v>4696</v>
      </c>
      <c r="D4911" s="173" t="s">
        <v>517</v>
      </c>
      <c r="E4911">
        <v>1</v>
      </c>
    </row>
    <row r="4912" spans="1:5" hidden="1" x14ac:dyDescent="0.25">
      <c r="A4912" s="173" t="s">
        <v>514</v>
      </c>
      <c r="B4912">
        <v>83799</v>
      </c>
      <c r="C4912" s="173" t="s">
        <v>4696</v>
      </c>
      <c r="D4912" s="173" t="s">
        <v>470</v>
      </c>
      <c r="E4912">
        <v>1</v>
      </c>
    </row>
    <row r="4913" spans="1:5" hidden="1" x14ac:dyDescent="0.25">
      <c r="A4913" s="173" t="s">
        <v>514</v>
      </c>
      <c r="B4913">
        <v>83799</v>
      </c>
      <c r="C4913" s="173" t="s">
        <v>4697</v>
      </c>
      <c r="D4913" s="173" t="s">
        <v>470</v>
      </c>
      <c r="E4913">
        <v>1</v>
      </c>
    </row>
    <row r="4914" spans="1:5" hidden="1" x14ac:dyDescent="0.25">
      <c r="A4914" s="173" t="s">
        <v>514</v>
      </c>
      <c r="B4914">
        <v>83799</v>
      </c>
      <c r="C4914" s="173" t="s">
        <v>4697</v>
      </c>
      <c r="D4914" s="173" t="s">
        <v>517</v>
      </c>
      <c r="E4914">
        <v>1</v>
      </c>
    </row>
    <row r="4915" spans="1:5" hidden="1" x14ac:dyDescent="0.25">
      <c r="A4915" s="173" t="s">
        <v>514</v>
      </c>
      <c r="B4915">
        <v>83799</v>
      </c>
      <c r="C4915" s="173" t="s">
        <v>4698</v>
      </c>
      <c r="D4915" s="173" t="s">
        <v>470</v>
      </c>
      <c r="E4915">
        <v>1</v>
      </c>
    </row>
    <row r="4916" spans="1:5" hidden="1" x14ac:dyDescent="0.25">
      <c r="A4916" s="173" t="s">
        <v>514</v>
      </c>
      <c r="B4916">
        <v>83799</v>
      </c>
      <c r="C4916" s="173" t="s">
        <v>4698</v>
      </c>
      <c r="D4916" s="173" t="s">
        <v>517</v>
      </c>
      <c r="E4916">
        <v>1</v>
      </c>
    </row>
    <row r="4917" spans="1:5" hidden="1" x14ac:dyDescent="0.25">
      <c r="A4917" s="173" t="s">
        <v>514</v>
      </c>
      <c r="B4917">
        <v>83799</v>
      </c>
      <c r="C4917" s="173" t="s">
        <v>4699</v>
      </c>
      <c r="D4917" s="173" t="s">
        <v>517</v>
      </c>
      <c r="E4917">
        <v>1</v>
      </c>
    </row>
    <row r="4918" spans="1:5" hidden="1" x14ac:dyDescent="0.25">
      <c r="A4918" s="173" t="s">
        <v>514</v>
      </c>
      <c r="B4918">
        <v>83799</v>
      </c>
      <c r="C4918" s="173" t="s">
        <v>4699</v>
      </c>
      <c r="D4918" s="173" t="s">
        <v>470</v>
      </c>
      <c r="E4918">
        <v>1</v>
      </c>
    </row>
    <row r="4919" spans="1:5" hidden="1" x14ac:dyDescent="0.25">
      <c r="A4919" s="173" t="s">
        <v>514</v>
      </c>
      <c r="B4919">
        <v>83799</v>
      </c>
      <c r="C4919" s="173" t="s">
        <v>4700</v>
      </c>
      <c r="D4919" s="173" t="s">
        <v>470</v>
      </c>
      <c r="E4919">
        <v>1</v>
      </c>
    </row>
    <row r="4920" spans="1:5" hidden="1" x14ac:dyDescent="0.25">
      <c r="A4920" s="173" t="s">
        <v>514</v>
      </c>
      <c r="B4920">
        <v>83799</v>
      </c>
      <c r="C4920" s="173" t="s">
        <v>4700</v>
      </c>
      <c r="D4920" s="173" t="s">
        <v>517</v>
      </c>
      <c r="E4920">
        <v>1</v>
      </c>
    </row>
    <row r="4921" spans="1:5" x14ac:dyDescent="0.25">
      <c r="A4921" s="173" t="s">
        <v>468</v>
      </c>
      <c r="B4921">
        <v>83800</v>
      </c>
      <c r="C4921" s="173" t="s">
        <v>5062</v>
      </c>
      <c r="D4921" s="173" t="s">
        <v>470</v>
      </c>
      <c r="E4921">
        <v>2</v>
      </c>
    </row>
    <row r="4922" spans="1:5" x14ac:dyDescent="0.25">
      <c r="A4922" s="173" t="s">
        <v>468</v>
      </c>
      <c r="B4922">
        <v>83800</v>
      </c>
      <c r="C4922" s="173" t="s">
        <v>5063</v>
      </c>
      <c r="D4922" s="173" t="s">
        <v>470</v>
      </c>
      <c r="E4922">
        <v>2</v>
      </c>
    </row>
    <row r="4923" spans="1:5" x14ac:dyDescent="0.25">
      <c r="A4923" s="173" t="s">
        <v>468</v>
      </c>
      <c r="B4923">
        <v>83800</v>
      </c>
      <c r="C4923" s="173" t="s">
        <v>5064</v>
      </c>
      <c r="D4923" s="173" t="s">
        <v>470</v>
      </c>
      <c r="E4923">
        <v>2</v>
      </c>
    </row>
    <row r="4924" spans="1:5" x14ac:dyDescent="0.25">
      <c r="A4924" s="173" t="s">
        <v>468</v>
      </c>
      <c r="B4924">
        <v>83800</v>
      </c>
      <c r="C4924" s="173" t="s">
        <v>5065</v>
      </c>
      <c r="D4924" s="173" t="s">
        <v>470</v>
      </c>
      <c r="E4924">
        <v>5</v>
      </c>
    </row>
    <row r="4925" spans="1:5" x14ac:dyDescent="0.25">
      <c r="A4925" s="173" t="s">
        <v>468</v>
      </c>
      <c r="B4925">
        <v>83800</v>
      </c>
      <c r="C4925" s="173" t="s">
        <v>5066</v>
      </c>
      <c r="D4925" s="173" t="s">
        <v>470</v>
      </c>
      <c r="E4925">
        <v>5</v>
      </c>
    </row>
    <row r="4926" spans="1:5" x14ac:dyDescent="0.25">
      <c r="A4926" s="173" t="s">
        <v>468</v>
      </c>
      <c r="B4926">
        <v>83800</v>
      </c>
      <c r="C4926" s="173" t="s">
        <v>5067</v>
      </c>
      <c r="D4926" s="173" t="s">
        <v>470</v>
      </c>
      <c r="E4926">
        <v>5</v>
      </c>
    </row>
    <row r="4927" spans="1:5" x14ac:dyDescent="0.25">
      <c r="A4927" s="173" t="s">
        <v>468</v>
      </c>
      <c r="B4927">
        <v>83801</v>
      </c>
      <c r="C4927" s="173" t="s">
        <v>5068</v>
      </c>
      <c r="D4927" s="173" t="s">
        <v>470</v>
      </c>
      <c r="E4927">
        <v>4</v>
      </c>
    </row>
    <row r="4928" spans="1:5" x14ac:dyDescent="0.25">
      <c r="A4928" s="173" t="s">
        <v>468</v>
      </c>
      <c r="B4928">
        <v>83801</v>
      </c>
      <c r="C4928" s="173" t="s">
        <v>5069</v>
      </c>
      <c r="D4928" s="173" t="s">
        <v>470</v>
      </c>
      <c r="E4928">
        <v>4</v>
      </c>
    </row>
    <row r="4929" spans="1:5" x14ac:dyDescent="0.25">
      <c r="A4929" s="173" t="s">
        <v>468</v>
      </c>
      <c r="B4929">
        <v>83801</v>
      </c>
      <c r="C4929" s="173" t="s">
        <v>5070</v>
      </c>
      <c r="D4929" s="173" t="s">
        <v>470</v>
      </c>
      <c r="E4929">
        <v>4</v>
      </c>
    </row>
    <row r="4930" spans="1:5" x14ac:dyDescent="0.25">
      <c r="A4930" s="173" t="s">
        <v>468</v>
      </c>
      <c r="B4930">
        <v>83801</v>
      </c>
      <c r="C4930" s="173" t="s">
        <v>5071</v>
      </c>
      <c r="D4930" s="173" t="s">
        <v>470</v>
      </c>
      <c r="E4930">
        <v>2</v>
      </c>
    </row>
    <row r="4931" spans="1:5" x14ac:dyDescent="0.25">
      <c r="A4931" s="173" t="s">
        <v>468</v>
      </c>
      <c r="B4931">
        <v>83801</v>
      </c>
      <c r="C4931" s="173" t="s">
        <v>5072</v>
      </c>
      <c r="D4931" s="173" t="s">
        <v>470</v>
      </c>
      <c r="E4931">
        <v>3</v>
      </c>
    </row>
    <row r="4932" spans="1:5" x14ac:dyDescent="0.25">
      <c r="A4932" s="173" t="s">
        <v>468</v>
      </c>
      <c r="B4932">
        <v>83801</v>
      </c>
      <c r="C4932" s="173" t="s">
        <v>5073</v>
      </c>
      <c r="D4932" s="173" t="s">
        <v>470</v>
      </c>
      <c r="E4932">
        <v>3</v>
      </c>
    </row>
    <row r="4933" spans="1:5" x14ac:dyDescent="0.25">
      <c r="A4933" s="173" t="s">
        <v>468</v>
      </c>
      <c r="B4933">
        <v>83802</v>
      </c>
      <c r="C4933" s="173" t="s">
        <v>5074</v>
      </c>
      <c r="D4933" s="173" t="s">
        <v>470</v>
      </c>
      <c r="E4933">
        <v>4</v>
      </c>
    </row>
    <row r="4934" spans="1:5" x14ac:dyDescent="0.25">
      <c r="A4934" s="173" t="s">
        <v>468</v>
      </c>
      <c r="B4934">
        <v>83802</v>
      </c>
      <c r="C4934" s="173" t="s">
        <v>5075</v>
      </c>
      <c r="D4934" s="173" t="s">
        <v>470</v>
      </c>
      <c r="E4934">
        <v>3</v>
      </c>
    </row>
    <row r="4935" spans="1:5" x14ac:dyDescent="0.25">
      <c r="A4935" s="173" t="s">
        <v>468</v>
      </c>
      <c r="B4935">
        <v>83802</v>
      </c>
      <c r="C4935" s="173" t="s">
        <v>5076</v>
      </c>
      <c r="D4935" s="173" t="s">
        <v>470</v>
      </c>
      <c r="E4935">
        <v>3</v>
      </c>
    </row>
    <row r="4936" spans="1:5" x14ac:dyDescent="0.25">
      <c r="A4936" s="173" t="s">
        <v>468</v>
      </c>
      <c r="B4936">
        <v>83802</v>
      </c>
      <c r="C4936" s="173" t="s">
        <v>5077</v>
      </c>
      <c r="D4936" s="173" t="s">
        <v>470</v>
      </c>
      <c r="E4936">
        <v>3</v>
      </c>
    </row>
    <row r="4937" spans="1:5" x14ac:dyDescent="0.25">
      <c r="A4937" s="173" t="s">
        <v>468</v>
      </c>
      <c r="B4937">
        <v>83802</v>
      </c>
      <c r="C4937" s="173" t="s">
        <v>5078</v>
      </c>
      <c r="D4937" s="173" t="s">
        <v>470</v>
      </c>
      <c r="E4937">
        <v>4</v>
      </c>
    </row>
    <row r="4938" spans="1:5" x14ac:dyDescent="0.25">
      <c r="A4938" s="173" t="s">
        <v>468</v>
      </c>
      <c r="B4938">
        <v>83802</v>
      </c>
      <c r="C4938" s="173" t="s">
        <v>5079</v>
      </c>
      <c r="D4938" s="173" t="s">
        <v>470</v>
      </c>
      <c r="E4938">
        <v>3</v>
      </c>
    </row>
    <row r="4939" spans="1:5" x14ac:dyDescent="0.25">
      <c r="A4939" s="173" t="s">
        <v>468</v>
      </c>
      <c r="B4939">
        <v>83827</v>
      </c>
      <c r="C4939" s="173" t="s">
        <v>4701</v>
      </c>
      <c r="D4939" s="173" t="s">
        <v>470</v>
      </c>
      <c r="E4939">
        <v>3</v>
      </c>
    </row>
    <row r="4940" spans="1:5" x14ac:dyDescent="0.25">
      <c r="A4940" s="173" t="s">
        <v>468</v>
      </c>
      <c r="B4940">
        <v>83827</v>
      </c>
      <c r="C4940" s="173" t="s">
        <v>4702</v>
      </c>
      <c r="D4940" s="173" t="s">
        <v>470</v>
      </c>
      <c r="E4940">
        <v>3</v>
      </c>
    </row>
    <row r="4941" spans="1:5" x14ac:dyDescent="0.25">
      <c r="A4941" s="173" t="s">
        <v>468</v>
      </c>
      <c r="B4941">
        <v>83827</v>
      </c>
      <c r="C4941" s="173" t="s">
        <v>4703</v>
      </c>
      <c r="D4941" s="173" t="s">
        <v>470</v>
      </c>
      <c r="E4941">
        <v>3</v>
      </c>
    </row>
    <row r="4942" spans="1:5" x14ac:dyDescent="0.25">
      <c r="A4942" s="173" t="s">
        <v>468</v>
      </c>
      <c r="B4942">
        <v>83827</v>
      </c>
      <c r="C4942" s="173" t="s">
        <v>4704</v>
      </c>
      <c r="D4942" s="173" t="s">
        <v>470</v>
      </c>
      <c r="E4942">
        <v>3</v>
      </c>
    </row>
    <row r="4943" spans="1:5" x14ac:dyDescent="0.25">
      <c r="A4943" s="173" t="s">
        <v>468</v>
      </c>
      <c r="B4943">
        <v>83827</v>
      </c>
      <c r="C4943" s="173" t="s">
        <v>4705</v>
      </c>
      <c r="D4943" s="173" t="s">
        <v>470</v>
      </c>
      <c r="E4943">
        <v>3</v>
      </c>
    </row>
    <row r="4944" spans="1:5" x14ac:dyDescent="0.25">
      <c r="A4944" s="173" t="s">
        <v>468</v>
      </c>
      <c r="B4944">
        <v>83827</v>
      </c>
      <c r="C4944" s="173" t="s">
        <v>4706</v>
      </c>
      <c r="D4944" s="173" t="s">
        <v>470</v>
      </c>
      <c r="E4944">
        <v>3</v>
      </c>
    </row>
    <row r="4945" spans="1:5" x14ac:dyDescent="0.25">
      <c r="A4945" s="173" t="s">
        <v>468</v>
      </c>
      <c r="B4945">
        <v>83827</v>
      </c>
      <c r="C4945" s="173" t="s">
        <v>4707</v>
      </c>
      <c r="D4945" s="173" t="s">
        <v>470</v>
      </c>
      <c r="E4945">
        <v>3</v>
      </c>
    </row>
    <row r="4946" spans="1:5" x14ac:dyDescent="0.25">
      <c r="A4946" s="173" t="s">
        <v>468</v>
      </c>
      <c r="B4946">
        <v>83827</v>
      </c>
      <c r="C4946" s="173" t="s">
        <v>4708</v>
      </c>
      <c r="D4946" s="173" t="s">
        <v>470</v>
      </c>
      <c r="E4946">
        <v>3</v>
      </c>
    </row>
    <row r="4947" spans="1:5" x14ac:dyDescent="0.25">
      <c r="A4947" s="173" t="s">
        <v>468</v>
      </c>
      <c r="B4947">
        <v>83827</v>
      </c>
      <c r="C4947" s="173" t="s">
        <v>4709</v>
      </c>
      <c r="D4947" s="173" t="s">
        <v>470</v>
      </c>
      <c r="E4947">
        <v>3</v>
      </c>
    </row>
    <row r="4948" spans="1:5" x14ac:dyDescent="0.25">
      <c r="A4948" s="173" t="s">
        <v>468</v>
      </c>
      <c r="B4948">
        <v>83827</v>
      </c>
      <c r="C4948" s="173" t="s">
        <v>4710</v>
      </c>
      <c r="D4948" s="173" t="s">
        <v>470</v>
      </c>
      <c r="E4948">
        <v>3</v>
      </c>
    </row>
    <row r="4949" spans="1:5" x14ac:dyDescent="0.25">
      <c r="A4949" s="173" t="s">
        <v>468</v>
      </c>
      <c r="B4949">
        <v>83835</v>
      </c>
      <c r="C4949" s="173" t="s">
        <v>3275</v>
      </c>
      <c r="D4949" s="173" t="s">
        <v>470</v>
      </c>
      <c r="E4949">
        <v>1</v>
      </c>
    </row>
    <row r="4950" spans="1:5" x14ac:dyDescent="0.25">
      <c r="A4950" s="173" t="s">
        <v>468</v>
      </c>
      <c r="B4950">
        <v>83835</v>
      </c>
      <c r="C4950" s="173" t="s">
        <v>3276</v>
      </c>
      <c r="D4950" s="173" t="s">
        <v>470</v>
      </c>
      <c r="E4950">
        <v>1</v>
      </c>
    </row>
    <row r="4951" spans="1:5" x14ac:dyDescent="0.25">
      <c r="A4951" s="173" t="s">
        <v>468</v>
      </c>
      <c r="B4951">
        <v>83835</v>
      </c>
      <c r="C4951" s="173" t="s">
        <v>3277</v>
      </c>
      <c r="D4951" s="173" t="s">
        <v>470</v>
      </c>
      <c r="E4951">
        <v>1</v>
      </c>
    </row>
    <row r="4952" spans="1:5" x14ac:dyDescent="0.25">
      <c r="A4952" s="173" t="s">
        <v>468</v>
      </c>
      <c r="B4952">
        <v>83835</v>
      </c>
      <c r="C4952" s="173" t="s">
        <v>3278</v>
      </c>
      <c r="D4952" s="173" t="s">
        <v>470</v>
      </c>
      <c r="E4952">
        <v>1</v>
      </c>
    </row>
    <row r="4953" spans="1:5" x14ac:dyDescent="0.25">
      <c r="A4953" s="173" t="s">
        <v>468</v>
      </c>
      <c r="B4953">
        <v>83835</v>
      </c>
      <c r="C4953" s="173" t="s">
        <v>3279</v>
      </c>
      <c r="D4953" s="173" t="s">
        <v>470</v>
      </c>
      <c r="E4953">
        <v>1</v>
      </c>
    </row>
    <row r="4954" spans="1:5" x14ac:dyDescent="0.25">
      <c r="A4954" s="173" t="s">
        <v>468</v>
      </c>
      <c r="B4954">
        <v>83835</v>
      </c>
      <c r="C4954" s="173" t="s">
        <v>3280</v>
      </c>
      <c r="D4954" s="173" t="s">
        <v>470</v>
      </c>
      <c r="E4954">
        <v>1</v>
      </c>
    </row>
    <row r="4955" spans="1:5" x14ac:dyDescent="0.25">
      <c r="A4955" s="173" t="s">
        <v>468</v>
      </c>
      <c r="B4955">
        <v>83835</v>
      </c>
      <c r="C4955" s="173" t="s">
        <v>3281</v>
      </c>
      <c r="D4955" s="173" t="s">
        <v>470</v>
      </c>
      <c r="E4955">
        <v>1</v>
      </c>
    </row>
    <row r="4956" spans="1:5" x14ac:dyDescent="0.25">
      <c r="A4956" s="173" t="s">
        <v>468</v>
      </c>
      <c r="B4956">
        <v>83835</v>
      </c>
      <c r="C4956" s="173" t="s">
        <v>3282</v>
      </c>
      <c r="D4956" s="173" t="s">
        <v>470</v>
      </c>
      <c r="E4956">
        <v>1</v>
      </c>
    </row>
    <row r="4957" spans="1:5" x14ac:dyDescent="0.25">
      <c r="A4957" s="173" t="s">
        <v>468</v>
      </c>
      <c r="B4957">
        <v>83835</v>
      </c>
      <c r="C4957" s="173" t="s">
        <v>3283</v>
      </c>
      <c r="D4957" s="173" t="s">
        <v>470</v>
      </c>
      <c r="E4957">
        <v>1</v>
      </c>
    </row>
    <row r="4958" spans="1:5" x14ac:dyDescent="0.25">
      <c r="A4958" s="173" t="s">
        <v>468</v>
      </c>
      <c r="B4958">
        <v>83835</v>
      </c>
      <c r="C4958" s="173" t="s">
        <v>3284</v>
      </c>
      <c r="D4958" s="173" t="s">
        <v>470</v>
      </c>
      <c r="E4958">
        <v>1</v>
      </c>
    </row>
    <row r="4959" spans="1:5" x14ac:dyDescent="0.25">
      <c r="A4959" s="173" t="s">
        <v>468</v>
      </c>
      <c r="B4959">
        <v>83835</v>
      </c>
      <c r="C4959" s="173" t="s">
        <v>406</v>
      </c>
      <c r="D4959" s="173" t="s">
        <v>470</v>
      </c>
      <c r="E4959">
        <v>1</v>
      </c>
    </row>
    <row r="4960" spans="1:5" x14ac:dyDescent="0.25">
      <c r="A4960" s="173" t="s">
        <v>468</v>
      </c>
      <c r="B4960">
        <v>83835</v>
      </c>
      <c r="C4960" s="173" t="s">
        <v>407</v>
      </c>
      <c r="D4960" s="173" t="s">
        <v>470</v>
      </c>
      <c r="E4960">
        <v>1</v>
      </c>
    </row>
    <row r="4961" spans="1:5" x14ac:dyDescent="0.25">
      <c r="A4961" s="173" t="s">
        <v>468</v>
      </c>
      <c r="B4961">
        <v>83863</v>
      </c>
      <c r="C4961" s="173" t="s">
        <v>3285</v>
      </c>
      <c r="D4961" s="173" t="s">
        <v>470</v>
      </c>
      <c r="E4961">
        <v>2</v>
      </c>
    </row>
    <row r="4962" spans="1:5" x14ac:dyDescent="0.25">
      <c r="A4962" s="173" t="s">
        <v>468</v>
      </c>
      <c r="B4962">
        <v>83863</v>
      </c>
      <c r="C4962" s="173" t="s">
        <v>3286</v>
      </c>
      <c r="D4962" s="173" t="s">
        <v>470</v>
      </c>
      <c r="E4962">
        <v>2</v>
      </c>
    </row>
    <row r="4963" spans="1:5" x14ac:dyDescent="0.25">
      <c r="A4963" s="173" t="s">
        <v>468</v>
      </c>
      <c r="B4963">
        <v>83863</v>
      </c>
      <c r="C4963" s="173" t="s">
        <v>3287</v>
      </c>
      <c r="D4963" s="173" t="s">
        <v>470</v>
      </c>
      <c r="E4963">
        <v>2</v>
      </c>
    </row>
    <row r="4964" spans="1:5" x14ac:dyDescent="0.25">
      <c r="A4964" s="173" t="s">
        <v>468</v>
      </c>
      <c r="B4964">
        <v>83863</v>
      </c>
      <c r="C4964" s="173" t="s">
        <v>3288</v>
      </c>
      <c r="D4964" s="173" t="s">
        <v>470</v>
      </c>
      <c r="E4964">
        <v>3</v>
      </c>
    </row>
    <row r="4965" spans="1:5" x14ac:dyDescent="0.25">
      <c r="A4965" s="173" t="s">
        <v>468</v>
      </c>
      <c r="B4965">
        <v>83863</v>
      </c>
      <c r="C4965" s="173" t="s">
        <v>3289</v>
      </c>
      <c r="D4965" s="173" t="s">
        <v>470</v>
      </c>
      <c r="E4965">
        <v>1</v>
      </c>
    </row>
    <row r="4966" spans="1:5" x14ac:dyDescent="0.25">
      <c r="A4966" s="173" t="s">
        <v>468</v>
      </c>
      <c r="B4966">
        <v>83863</v>
      </c>
      <c r="C4966" s="173" t="s">
        <v>3290</v>
      </c>
      <c r="D4966" s="173" t="s">
        <v>470</v>
      </c>
      <c r="E4966">
        <v>1</v>
      </c>
    </row>
    <row r="4967" spans="1:5" x14ac:dyDescent="0.25">
      <c r="A4967" s="173" t="s">
        <v>468</v>
      </c>
      <c r="B4967">
        <v>83863</v>
      </c>
      <c r="C4967" s="173" t="s">
        <v>3291</v>
      </c>
      <c r="D4967" s="173" t="s">
        <v>470</v>
      </c>
      <c r="E4967">
        <v>1</v>
      </c>
    </row>
    <row r="4968" spans="1:5" x14ac:dyDescent="0.25">
      <c r="A4968" s="173" t="s">
        <v>468</v>
      </c>
      <c r="B4968">
        <v>83863</v>
      </c>
      <c r="C4968" s="173" t="s">
        <v>3292</v>
      </c>
      <c r="D4968" s="173" t="s">
        <v>470</v>
      </c>
      <c r="E4968">
        <v>1</v>
      </c>
    </row>
    <row r="4969" spans="1:5" x14ac:dyDescent="0.25">
      <c r="A4969" s="173" t="s">
        <v>468</v>
      </c>
      <c r="B4969">
        <v>83863</v>
      </c>
      <c r="C4969" s="173" t="s">
        <v>3293</v>
      </c>
      <c r="D4969" s="173" t="s">
        <v>470</v>
      </c>
      <c r="E4969">
        <v>1</v>
      </c>
    </row>
    <row r="4970" spans="1:5" x14ac:dyDescent="0.25">
      <c r="A4970" s="173" t="s">
        <v>468</v>
      </c>
      <c r="B4970">
        <v>83863</v>
      </c>
      <c r="C4970" s="173" t="s">
        <v>3294</v>
      </c>
      <c r="D4970" s="173" t="s">
        <v>470</v>
      </c>
      <c r="E4970">
        <v>1</v>
      </c>
    </row>
    <row r="4971" spans="1:5" x14ac:dyDescent="0.25">
      <c r="A4971" s="173" t="s">
        <v>468</v>
      </c>
      <c r="B4971">
        <v>83864</v>
      </c>
      <c r="C4971" s="173" t="s">
        <v>3295</v>
      </c>
      <c r="D4971" s="173" t="s">
        <v>470</v>
      </c>
      <c r="E4971">
        <v>4</v>
      </c>
    </row>
    <row r="4972" spans="1:5" x14ac:dyDescent="0.25">
      <c r="A4972" s="173" t="s">
        <v>468</v>
      </c>
      <c r="B4972">
        <v>83864</v>
      </c>
      <c r="C4972" s="173" t="s">
        <v>3296</v>
      </c>
      <c r="D4972" s="173" t="s">
        <v>470</v>
      </c>
      <c r="E4972">
        <v>4</v>
      </c>
    </row>
    <row r="4973" spans="1:5" x14ac:dyDescent="0.25">
      <c r="A4973" s="173" t="s">
        <v>468</v>
      </c>
      <c r="B4973">
        <v>83864</v>
      </c>
      <c r="C4973" s="173" t="s">
        <v>3297</v>
      </c>
      <c r="D4973" s="173" t="s">
        <v>470</v>
      </c>
      <c r="E4973">
        <v>4</v>
      </c>
    </row>
    <row r="4974" spans="1:5" x14ac:dyDescent="0.25">
      <c r="A4974" s="173" t="s">
        <v>468</v>
      </c>
      <c r="B4974">
        <v>83864</v>
      </c>
      <c r="C4974" s="173" t="s">
        <v>3298</v>
      </c>
      <c r="D4974" s="173" t="s">
        <v>470</v>
      </c>
      <c r="E4974">
        <v>6</v>
      </c>
    </row>
    <row r="4975" spans="1:5" x14ac:dyDescent="0.25">
      <c r="A4975" s="173" t="s">
        <v>468</v>
      </c>
      <c r="B4975">
        <v>83864</v>
      </c>
      <c r="C4975" s="173" t="s">
        <v>3299</v>
      </c>
      <c r="D4975" s="173" t="s">
        <v>470</v>
      </c>
      <c r="E4975">
        <v>2</v>
      </c>
    </row>
    <row r="4976" spans="1:5" x14ac:dyDescent="0.25">
      <c r="A4976" s="173" t="s">
        <v>468</v>
      </c>
      <c r="B4976">
        <v>83864</v>
      </c>
      <c r="C4976" s="173" t="s">
        <v>3300</v>
      </c>
      <c r="D4976" s="173" t="s">
        <v>470</v>
      </c>
      <c r="E4976">
        <v>2</v>
      </c>
    </row>
    <row r="4977" spans="1:5" x14ac:dyDescent="0.25">
      <c r="A4977" s="173" t="s">
        <v>468</v>
      </c>
      <c r="B4977">
        <v>83864</v>
      </c>
      <c r="C4977" s="173" t="s">
        <v>3301</v>
      </c>
      <c r="D4977" s="173" t="s">
        <v>470</v>
      </c>
      <c r="E4977">
        <v>2</v>
      </c>
    </row>
    <row r="4978" spans="1:5" x14ac:dyDescent="0.25">
      <c r="A4978" s="173" t="s">
        <v>468</v>
      </c>
      <c r="B4978">
        <v>83864</v>
      </c>
      <c r="C4978" s="173" t="s">
        <v>3302</v>
      </c>
      <c r="D4978" s="173" t="s">
        <v>470</v>
      </c>
      <c r="E4978">
        <v>2</v>
      </c>
    </row>
    <row r="4979" spans="1:5" hidden="1" x14ac:dyDescent="0.25">
      <c r="A4979" s="173" t="s">
        <v>514</v>
      </c>
      <c r="B4979">
        <v>83874</v>
      </c>
      <c r="C4979" s="173" t="s">
        <v>3303</v>
      </c>
      <c r="D4979" s="173" t="s">
        <v>517</v>
      </c>
      <c r="E4979">
        <v>2</v>
      </c>
    </row>
    <row r="4980" spans="1:5" hidden="1" x14ac:dyDescent="0.25">
      <c r="A4980" s="173" t="s">
        <v>514</v>
      </c>
      <c r="B4980">
        <v>83874</v>
      </c>
      <c r="C4980" s="173" t="s">
        <v>3304</v>
      </c>
      <c r="D4980" s="173" t="s">
        <v>517</v>
      </c>
      <c r="E4980">
        <v>2</v>
      </c>
    </row>
    <row r="4981" spans="1:5" hidden="1" x14ac:dyDescent="0.25">
      <c r="A4981" s="173" t="s">
        <v>514</v>
      </c>
      <c r="B4981">
        <v>83874</v>
      </c>
      <c r="C4981" s="173" t="s">
        <v>3305</v>
      </c>
      <c r="D4981" s="173" t="s">
        <v>517</v>
      </c>
      <c r="E4981">
        <v>2</v>
      </c>
    </row>
    <row r="4982" spans="1:5" hidden="1" x14ac:dyDescent="0.25">
      <c r="A4982" s="173" t="s">
        <v>514</v>
      </c>
      <c r="B4982">
        <v>83874</v>
      </c>
      <c r="C4982" s="173" t="s">
        <v>3306</v>
      </c>
      <c r="D4982" s="173" t="s">
        <v>517</v>
      </c>
      <c r="E4982">
        <v>2</v>
      </c>
    </row>
    <row r="4983" spans="1:5" hidden="1" x14ac:dyDescent="0.25">
      <c r="A4983" s="173" t="s">
        <v>514</v>
      </c>
      <c r="B4983">
        <v>83874</v>
      </c>
      <c r="C4983" s="173" t="s">
        <v>3307</v>
      </c>
      <c r="D4983" s="173" t="s">
        <v>517</v>
      </c>
      <c r="E4983">
        <v>2</v>
      </c>
    </row>
    <row r="4984" spans="1:5" hidden="1" x14ac:dyDescent="0.25">
      <c r="A4984" s="173" t="s">
        <v>514</v>
      </c>
      <c r="B4984">
        <v>83875</v>
      </c>
      <c r="C4984" s="173" t="s">
        <v>3308</v>
      </c>
      <c r="D4984" s="173" t="s">
        <v>517</v>
      </c>
      <c r="E4984">
        <v>1</v>
      </c>
    </row>
    <row r="4985" spans="1:5" hidden="1" x14ac:dyDescent="0.25">
      <c r="A4985" s="173" t="s">
        <v>514</v>
      </c>
      <c r="B4985">
        <v>83875</v>
      </c>
      <c r="C4985" s="173" t="s">
        <v>3309</v>
      </c>
      <c r="D4985" s="173" t="s">
        <v>517</v>
      </c>
      <c r="E4985">
        <v>1</v>
      </c>
    </row>
    <row r="4986" spans="1:5" hidden="1" x14ac:dyDescent="0.25">
      <c r="A4986" s="173" t="s">
        <v>514</v>
      </c>
      <c r="B4986">
        <v>83875</v>
      </c>
      <c r="C4986" s="173" t="s">
        <v>3310</v>
      </c>
      <c r="D4986" s="173" t="s">
        <v>517</v>
      </c>
      <c r="E4986">
        <v>1</v>
      </c>
    </row>
    <row r="4987" spans="1:5" hidden="1" x14ac:dyDescent="0.25">
      <c r="A4987" s="173" t="s">
        <v>514</v>
      </c>
      <c r="B4987">
        <v>83875</v>
      </c>
      <c r="C4987" s="173" t="s">
        <v>3311</v>
      </c>
      <c r="D4987" s="173" t="s">
        <v>517</v>
      </c>
      <c r="E4987">
        <v>1</v>
      </c>
    </row>
    <row r="4988" spans="1:5" hidden="1" x14ac:dyDescent="0.25">
      <c r="A4988" s="173" t="s">
        <v>514</v>
      </c>
      <c r="B4988">
        <v>83878</v>
      </c>
      <c r="C4988" s="173" t="s">
        <v>3312</v>
      </c>
      <c r="D4988" s="173" t="s">
        <v>517</v>
      </c>
      <c r="E4988">
        <v>1</v>
      </c>
    </row>
    <row r="4989" spans="1:5" hidden="1" x14ac:dyDescent="0.25">
      <c r="A4989" s="173" t="s">
        <v>514</v>
      </c>
      <c r="B4989">
        <v>83878</v>
      </c>
      <c r="C4989" s="173" t="s">
        <v>3313</v>
      </c>
      <c r="D4989" s="173" t="s">
        <v>517</v>
      </c>
      <c r="E4989">
        <v>1</v>
      </c>
    </row>
    <row r="4990" spans="1:5" hidden="1" x14ac:dyDescent="0.25">
      <c r="A4990" s="173" t="s">
        <v>514</v>
      </c>
      <c r="B4990">
        <v>83878</v>
      </c>
      <c r="C4990" s="173" t="s">
        <v>3314</v>
      </c>
      <c r="D4990" s="173" t="s">
        <v>517</v>
      </c>
      <c r="E4990">
        <v>1</v>
      </c>
    </row>
    <row r="4991" spans="1:5" hidden="1" x14ac:dyDescent="0.25">
      <c r="A4991" s="173" t="s">
        <v>514</v>
      </c>
      <c r="B4991">
        <v>83878</v>
      </c>
      <c r="C4991" s="173" t="s">
        <v>3315</v>
      </c>
      <c r="D4991" s="173" t="s">
        <v>517</v>
      </c>
      <c r="E4991">
        <v>1</v>
      </c>
    </row>
    <row r="4992" spans="1:5" hidden="1" x14ac:dyDescent="0.25">
      <c r="A4992" s="173" t="s">
        <v>514</v>
      </c>
      <c r="B4992">
        <v>83878</v>
      </c>
      <c r="C4992" s="173" t="s">
        <v>3316</v>
      </c>
      <c r="D4992" s="173" t="s">
        <v>517</v>
      </c>
      <c r="E4992">
        <v>1</v>
      </c>
    </row>
    <row r="4993" spans="1:5" hidden="1" x14ac:dyDescent="0.25">
      <c r="A4993" s="173" t="s">
        <v>514</v>
      </c>
      <c r="B4993">
        <v>83878</v>
      </c>
      <c r="C4993" s="173" t="s">
        <v>3317</v>
      </c>
      <c r="D4993" s="173" t="s">
        <v>517</v>
      </c>
      <c r="E4993">
        <v>1</v>
      </c>
    </row>
    <row r="4994" spans="1:5" hidden="1" x14ac:dyDescent="0.25">
      <c r="A4994" s="173" t="s">
        <v>1668</v>
      </c>
      <c r="B4994">
        <v>83885</v>
      </c>
      <c r="C4994" s="173" t="s">
        <v>3318</v>
      </c>
      <c r="D4994" s="173" t="s">
        <v>470</v>
      </c>
      <c r="E4994">
        <v>1</v>
      </c>
    </row>
    <row r="4995" spans="1:5" hidden="1" x14ac:dyDescent="0.25">
      <c r="A4995" s="173" t="s">
        <v>1668</v>
      </c>
      <c r="B4995">
        <v>83885</v>
      </c>
      <c r="C4995" s="173" t="s">
        <v>3319</v>
      </c>
      <c r="D4995" s="173" t="s">
        <v>470</v>
      </c>
      <c r="E4995">
        <v>1</v>
      </c>
    </row>
    <row r="4996" spans="1:5" hidden="1" x14ac:dyDescent="0.25">
      <c r="A4996" s="173" t="s">
        <v>1668</v>
      </c>
      <c r="B4996">
        <v>83885</v>
      </c>
      <c r="C4996" s="173" t="s">
        <v>3320</v>
      </c>
      <c r="D4996" s="173" t="s">
        <v>470</v>
      </c>
      <c r="E4996">
        <v>1</v>
      </c>
    </row>
    <row r="4997" spans="1:5" hidden="1" x14ac:dyDescent="0.25">
      <c r="A4997" s="173" t="s">
        <v>1668</v>
      </c>
      <c r="B4997">
        <v>83885</v>
      </c>
      <c r="C4997" s="173" t="s">
        <v>3321</v>
      </c>
      <c r="D4997" s="173" t="s">
        <v>470</v>
      </c>
      <c r="E4997">
        <v>1</v>
      </c>
    </row>
    <row r="4998" spans="1:5" x14ac:dyDescent="0.25">
      <c r="A4998" s="173" t="s">
        <v>468</v>
      </c>
      <c r="B4998">
        <v>83929</v>
      </c>
      <c r="C4998" s="173" t="s">
        <v>3322</v>
      </c>
      <c r="D4998" s="173" t="s">
        <v>470</v>
      </c>
      <c r="E4998">
        <v>2</v>
      </c>
    </row>
    <row r="4999" spans="1:5" x14ac:dyDescent="0.25">
      <c r="A4999" s="173" t="s">
        <v>468</v>
      </c>
      <c r="B4999">
        <v>83929</v>
      </c>
      <c r="C4999" s="173" t="s">
        <v>3323</v>
      </c>
      <c r="D4999" s="173" t="s">
        <v>470</v>
      </c>
      <c r="E4999">
        <v>1</v>
      </c>
    </row>
    <row r="5000" spans="1:5" x14ac:dyDescent="0.25">
      <c r="A5000" s="173" t="s">
        <v>468</v>
      </c>
      <c r="B5000">
        <v>83929</v>
      </c>
      <c r="C5000" s="173" t="s">
        <v>3324</v>
      </c>
      <c r="D5000" s="173" t="s">
        <v>470</v>
      </c>
      <c r="E5000">
        <v>2</v>
      </c>
    </row>
    <row r="5001" spans="1:5" x14ac:dyDescent="0.25">
      <c r="A5001" s="173" t="s">
        <v>468</v>
      </c>
      <c r="B5001">
        <v>83929</v>
      </c>
      <c r="C5001" s="173" t="s">
        <v>3325</v>
      </c>
      <c r="D5001" s="173" t="s">
        <v>470</v>
      </c>
      <c r="E5001">
        <v>2</v>
      </c>
    </row>
    <row r="5002" spans="1:5" x14ac:dyDescent="0.25">
      <c r="A5002" s="173" t="s">
        <v>468</v>
      </c>
      <c r="B5002">
        <v>83929</v>
      </c>
      <c r="C5002" s="173" t="s">
        <v>451</v>
      </c>
      <c r="D5002" s="173" t="s">
        <v>470</v>
      </c>
      <c r="E5002">
        <v>2</v>
      </c>
    </row>
    <row r="5003" spans="1:5" x14ac:dyDescent="0.25">
      <c r="A5003" s="173" t="s">
        <v>468</v>
      </c>
      <c r="B5003">
        <v>83929</v>
      </c>
      <c r="C5003" s="173" t="s">
        <v>3326</v>
      </c>
      <c r="D5003" s="173" t="s">
        <v>470</v>
      </c>
      <c r="E5003">
        <v>2</v>
      </c>
    </row>
    <row r="5004" spans="1:5" x14ac:dyDescent="0.25">
      <c r="A5004" s="173" t="s">
        <v>468</v>
      </c>
      <c r="B5004">
        <v>83929</v>
      </c>
      <c r="C5004" s="173" t="s">
        <v>452</v>
      </c>
      <c r="D5004" s="173" t="s">
        <v>470</v>
      </c>
      <c r="E5004">
        <v>2</v>
      </c>
    </row>
    <row r="5005" spans="1:5" x14ac:dyDescent="0.25">
      <c r="A5005" s="173" t="s">
        <v>468</v>
      </c>
      <c r="B5005">
        <v>83938</v>
      </c>
      <c r="C5005" s="173" t="s">
        <v>3327</v>
      </c>
      <c r="D5005" s="173" t="s">
        <v>470</v>
      </c>
      <c r="E5005">
        <v>1</v>
      </c>
    </row>
    <row r="5006" spans="1:5" x14ac:dyDescent="0.25">
      <c r="A5006" s="173" t="s">
        <v>468</v>
      </c>
      <c r="B5006">
        <v>83938</v>
      </c>
      <c r="C5006" s="173" t="s">
        <v>3328</v>
      </c>
      <c r="D5006" s="173" t="s">
        <v>470</v>
      </c>
      <c r="E5006">
        <v>1</v>
      </c>
    </row>
    <row r="5007" spans="1:5" x14ac:dyDescent="0.25">
      <c r="A5007" s="173" t="s">
        <v>468</v>
      </c>
      <c r="B5007">
        <v>83938</v>
      </c>
      <c r="C5007" s="173" t="s">
        <v>3329</v>
      </c>
      <c r="D5007" s="173" t="s">
        <v>470</v>
      </c>
      <c r="E5007">
        <v>1</v>
      </c>
    </row>
    <row r="5008" spans="1:5" x14ac:dyDescent="0.25">
      <c r="A5008" s="173" t="s">
        <v>468</v>
      </c>
      <c r="B5008">
        <v>83938</v>
      </c>
      <c r="C5008" s="173" t="s">
        <v>3330</v>
      </c>
      <c r="D5008" s="173" t="s">
        <v>470</v>
      </c>
      <c r="E5008">
        <v>1</v>
      </c>
    </row>
    <row r="5009" spans="1:5" x14ac:dyDescent="0.25">
      <c r="A5009" s="173" t="s">
        <v>468</v>
      </c>
      <c r="B5009">
        <v>83938</v>
      </c>
      <c r="C5009" s="173" t="s">
        <v>3331</v>
      </c>
      <c r="D5009" s="173" t="s">
        <v>470</v>
      </c>
      <c r="E5009">
        <v>1</v>
      </c>
    </row>
    <row r="5010" spans="1:5" x14ac:dyDescent="0.25">
      <c r="A5010" s="173" t="s">
        <v>468</v>
      </c>
      <c r="B5010">
        <v>83987</v>
      </c>
      <c r="C5010" s="173" t="s">
        <v>3332</v>
      </c>
      <c r="D5010" s="173" t="s">
        <v>470</v>
      </c>
      <c r="E5010">
        <v>1</v>
      </c>
    </row>
    <row r="5011" spans="1:5" x14ac:dyDescent="0.25">
      <c r="A5011" s="173" t="s">
        <v>468</v>
      </c>
      <c r="B5011">
        <v>83987</v>
      </c>
      <c r="C5011" s="173" t="s">
        <v>3333</v>
      </c>
      <c r="D5011" s="173" t="s">
        <v>470</v>
      </c>
      <c r="E5011">
        <v>1</v>
      </c>
    </row>
    <row r="5012" spans="1:5" x14ac:dyDescent="0.25">
      <c r="A5012" s="173" t="s">
        <v>468</v>
      </c>
      <c r="B5012">
        <v>83987</v>
      </c>
      <c r="C5012" s="173" t="s">
        <v>3334</v>
      </c>
      <c r="D5012" s="173" t="s">
        <v>470</v>
      </c>
      <c r="E5012">
        <v>1</v>
      </c>
    </row>
    <row r="5013" spans="1:5" x14ac:dyDescent="0.25">
      <c r="A5013" s="173" t="s">
        <v>468</v>
      </c>
      <c r="B5013">
        <v>83987</v>
      </c>
      <c r="C5013" s="173" t="s">
        <v>3335</v>
      </c>
      <c r="D5013" s="173" t="s">
        <v>470</v>
      </c>
      <c r="E5013">
        <v>1</v>
      </c>
    </row>
    <row r="5014" spans="1:5" hidden="1" x14ac:dyDescent="0.25">
      <c r="A5014" s="173" t="s">
        <v>514</v>
      </c>
      <c r="B5014">
        <v>83993</v>
      </c>
      <c r="C5014" s="173" t="s">
        <v>3336</v>
      </c>
      <c r="D5014" s="173" t="s">
        <v>470</v>
      </c>
      <c r="E5014">
        <v>3</v>
      </c>
    </row>
    <row r="5015" spans="1:5" hidden="1" x14ac:dyDescent="0.25">
      <c r="A5015" s="173" t="s">
        <v>514</v>
      </c>
      <c r="B5015">
        <v>83993</v>
      </c>
      <c r="C5015" s="173" t="s">
        <v>3336</v>
      </c>
      <c r="D5015" s="173" t="s">
        <v>517</v>
      </c>
      <c r="E5015">
        <v>1</v>
      </c>
    </row>
    <row r="5016" spans="1:5" hidden="1" x14ac:dyDescent="0.25">
      <c r="A5016" s="173" t="s">
        <v>514</v>
      </c>
      <c r="B5016">
        <v>83993</v>
      </c>
      <c r="C5016" s="173" t="s">
        <v>3337</v>
      </c>
      <c r="D5016" s="173" t="s">
        <v>517</v>
      </c>
      <c r="E5016">
        <v>1</v>
      </c>
    </row>
    <row r="5017" spans="1:5" hidden="1" x14ac:dyDescent="0.25">
      <c r="A5017" s="173" t="s">
        <v>514</v>
      </c>
      <c r="B5017">
        <v>83993</v>
      </c>
      <c r="C5017" s="173" t="s">
        <v>3337</v>
      </c>
      <c r="D5017" s="173" t="s">
        <v>470</v>
      </c>
      <c r="E5017">
        <v>3</v>
      </c>
    </row>
    <row r="5018" spans="1:5" hidden="1" x14ac:dyDescent="0.25">
      <c r="A5018" s="173" t="s">
        <v>514</v>
      </c>
      <c r="B5018">
        <v>83993</v>
      </c>
      <c r="C5018" s="173" t="s">
        <v>3338</v>
      </c>
      <c r="D5018" s="173" t="s">
        <v>517</v>
      </c>
      <c r="E5018">
        <v>1</v>
      </c>
    </row>
    <row r="5019" spans="1:5" hidden="1" x14ac:dyDescent="0.25">
      <c r="A5019" s="173" t="s">
        <v>514</v>
      </c>
      <c r="B5019">
        <v>83993</v>
      </c>
      <c r="C5019" s="173" t="s">
        <v>3338</v>
      </c>
      <c r="D5019" s="173" t="s">
        <v>470</v>
      </c>
      <c r="E5019">
        <v>3</v>
      </c>
    </row>
    <row r="5020" spans="1:5" hidden="1" x14ac:dyDescent="0.25">
      <c r="A5020" s="173" t="s">
        <v>514</v>
      </c>
      <c r="B5020">
        <v>83995</v>
      </c>
      <c r="C5020" s="173" t="s">
        <v>3339</v>
      </c>
      <c r="D5020" s="173" t="s">
        <v>517</v>
      </c>
      <c r="E5020">
        <v>1</v>
      </c>
    </row>
    <row r="5021" spans="1:5" hidden="1" x14ac:dyDescent="0.25">
      <c r="A5021" s="173" t="s">
        <v>514</v>
      </c>
      <c r="B5021">
        <v>83995</v>
      </c>
      <c r="C5021" s="173" t="s">
        <v>3340</v>
      </c>
      <c r="D5021" s="173" t="s">
        <v>517</v>
      </c>
      <c r="E5021">
        <v>1</v>
      </c>
    </row>
    <row r="5022" spans="1:5" hidden="1" x14ac:dyDescent="0.25">
      <c r="A5022" s="173" t="s">
        <v>514</v>
      </c>
      <c r="B5022">
        <v>83995</v>
      </c>
      <c r="C5022" s="173" t="s">
        <v>3341</v>
      </c>
      <c r="D5022" s="173" t="s">
        <v>517</v>
      </c>
      <c r="E5022">
        <v>1</v>
      </c>
    </row>
    <row r="5023" spans="1:5" x14ac:dyDescent="0.25">
      <c r="A5023" s="173" t="s">
        <v>468</v>
      </c>
      <c r="B5023">
        <v>84046</v>
      </c>
      <c r="C5023" s="173" t="s">
        <v>3342</v>
      </c>
      <c r="D5023" s="173" t="s">
        <v>470</v>
      </c>
      <c r="E5023">
        <v>1</v>
      </c>
    </row>
    <row r="5024" spans="1:5" x14ac:dyDescent="0.25">
      <c r="A5024" s="173" t="s">
        <v>468</v>
      </c>
      <c r="B5024">
        <v>84046</v>
      </c>
      <c r="C5024" s="173" t="s">
        <v>3343</v>
      </c>
      <c r="D5024" s="173" t="s">
        <v>470</v>
      </c>
      <c r="E5024">
        <v>1</v>
      </c>
    </row>
    <row r="5025" spans="1:5" x14ac:dyDescent="0.25">
      <c r="A5025" s="173" t="s">
        <v>468</v>
      </c>
      <c r="B5025">
        <v>84046</v>
      </c>
      <c r="C5025" s="173" t="s">
        <v>3344</v>
      </c>
      <c r="D5025" s="173" t="s">
        <v>470</v>
      </c>
      <c r="E5025">
        <v>1</v>
      </c>
    </row>
    <row r="5026" spans="1:5" x14ac:dyDescent="0.25">
      <c r="A5026" s="173" t="s">
        <v>468</v>
      </c>
      <c r="B5026">
        <v>84046</v>
      </c>
      <c r="C5026" s="173" t="s">
        <v>3345</v>
      </c>
      <c r="D5026" s="173" t="s">
        <v>470</v>
      </c>
      <c r="E5026">
        <v>1</v>
      </c>
    </row>
    <row r="5027" spans="1:5" x14ac:dyDescent="0.25">
      <c r="A5027" s="173" t="s">
        <v>468</v>
      </c>
      <c r="B5027">
        <v>84046</v>
      </c>
      <c r="C5027" s="173" t="s">
        <v>3346</v>
      </c>
      <c r="D5027" s="173" t="s">
        <v>470</v>
      </c>
      <c r="E5027">
        <v>1</v>
      </c>
    </row>
    <row r="5028" spans="1:5" x14ac:dyDescent="0.25">
      <c r="A5028" s="173" t="s">
        <v>468</v>
      </c>
      <c r="B5028">
        <v>84050</v>
      </c>
      <c r="C5028" s="173" t="s">
        <v>3347</v>
      </c>
      <c r="D5028" s="173" t="s">
        <v>470</v>
      </c>
      <c r="E5028">
        <v>1</v>
      </c>
    </row>
    <row r="5029" spans="1:5" x14ac:dyDescent="0.25">
      <c r="A5029" s="173" t="s">
        <v>468</v>
      </c>
      <c r="B5029">
        <v>84050</v>
      </c>
      <c r="C5029" s="173" t="s">
        <v>3348</v>
      </c>
      <c r="D5029" s="173" t="s">
        <v>470</v>
      </c>
      <c r="E5029">
        <v>1</v>
      </c>
    </row>
    <row r="5030" spans="1:5" x14ac:dyDescent="0.25">
      <c r="A5030" s="173" t="s">
        <v>468</v>
      </c>
      <c r="B5030">
        <v>84050</v>
      </c>
      <c r="C5030" s="173" t="s">
        <v>3349</v>
      </c>
      <c r="D5030" s="173" t="s">
        <v>470</v>
      </c>
      <c r="E5030">
        <v>1</v>
      </c>
    </row>
    <row r="5031" spans="1:5" x14ac:dyDescent="0.25">
      <c r="A5031" s="173" t="s">
        <v>468</v>
      </c>
      <c r="B5031">
        <v>84050</v>
      </c>
      <c r="C5031" s="173" t="s">
        <v>3350</v>
      </c>
      <c r="D5031" s="173" t="s">
        <v>470</v>
      </c>
      <c r="E5031">
        <v>1</v>
      </c>
    </row>
    <row r="5032" spans="1:5" x14ac:dyDescent="0.25">
      <c r="A5032" s="173" t="s">
        <v>468</v>
      </c>
      <c r="B5032">
        <v>84050</v>
      </c>
      <c r="C5032" s="173" t="s">
        <v>3351</v>
      </c>
      <c r="D5032" s="173" t="s">
        <v>470</v>
      </c>
      <c r="E5032">
        <v>1</v>
      </c>
    </row>
    <row r="5033" spans="1:5" x14ac:dyDescent="0.25">
      <c r="A5033" s="173" t="s">
        <v>468</v>
      </c>
      <c r="B5033">
        <v>84071</v>
      </c>
      <c r="C5033" s="173" t="s">
        <v>4711</v>
      </c>
      <c r="D5033" s="173" t="s">
        <v>470</v>
      </c>
      <c r="E5033">
        <v>3</v>
      </c>
    </row>
    <row r="5034" spans="1:5" x14ac:dyDescent="0.25">
      <c r="A5034" s="173" t="s">
        <v>468</v>
      </c>
      <c r="B5034">
        <v>84071</v>
      </c>
      <c r="C5034" s="173" t="s">
        <v>4712</v>
      </c>
      <c r="D5034" s="173" t="s">
        <v>470</v>
      </c>
      <c r="E5034"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81D6-A706-44F3-84B4-A3712E149219}">
  <sheetPr codeName="wsResumida"/>
  <dimension ref="A1:H1991"/>
  <sheetViews>
    <sheetView showGridLines="0" showZeros="0" zoomScale="145" zoomScaleNormal="145" workbookViewId="0">
      <selection activeCell="E16" sqref="E16"/>
    </sheetView>
  </sheetViews>
  <sheetFormatPr defaultRowHeight="15" x14ac:dyDescent="0.25"/>
  <cols>
    <col min="1" max="1" width="21.85546875" style="9" customWidth="1"/>
    <col min="3" max="4" width="17" bestFit="1" customWidth="1"/>
    <col min="5" max="5" width="17" customWidth="1"/>
    <col min="8" max="8" width="9.140625" style="161"/>
  </cols>
  <sheetData>
    <row r="1" spans="1:8" x14ac:dyDescent="0.25">
      <c r="A1" s="115" t="s">
        <v>0</v>
      </c>
      <c r="B1" s="115" t="s">
        <v>277</v>
      </c>
      <c r="C1" s="115" t="s">
        <v>3352</v>
      </c>
      <c r="D1" s="115" t="s">
        <v>3353</v>
      </c>
      <c r="E1" s="115" t="s">
        <v>3354</v>
      </c>
      <c r="F1" s="115" t="s">
        <v>3355</v>
      </c>
      <c r="G1" s="115" t="s">
        <v>3356</v>
      </c>
      <c r="H1" s="115" t="s">
        <v>3357</v>
      </c>
    </row>
    <row r="2" spans="1:8" x14ac:dyDescent="0.25">
      <c r="A2" s="10" t="s">
        <v>3406</v>
      </c>
      <c r="B2" s="194">
        <v>0.33888888888888891</v>
      </c>
      <c r="C2" s="116">
        <v>1</v>
      </c>
      <c r="D2" s="116"/>
      <c r="E2" s="116">
        <v>0</v>
      </c>
      <c r="F2" s="116" t="s">
        <v>3374</v>
      </c>
      <c r="G2" s="162" t="str">
        <f>IF(LEFT(A2,3)="S7P","Pintura",IF(LEFT(A2,3)="S7M","Montagem",
IF(LEFT(A2,3)="S7S","Serigrafia"," ")))</f>
        <v>Pintura</v>
      </c>
      <c r="H2" s="161" t="str">
        <f>VALUE(LEFT(F2,2))&amp;"h"</f>
        <v>8h</v>
      </c>
    </row>
    <row r="3" spans="1:8" x14ac:dyDescent="0.25">
      <c r="A3" s="10" t="s">
        <v>5287</v>
      </c>
      <c r="B3" s="194">
        <v>0.27916666666666667</v>
      </c>
      <c r="C3" s="116">
        <v>1</v>
      </c>
      <c r="D3" s="116">
        <v>3</v>
      </c>
      <c r="E3" s="116">
        <v>0</v>
      </c>
      <c r="F3" s="116" t="s">
        <v>3372</v>
      </c>
      <c r="G3" s="162" t="str">
        <f t="shared" ref="G3:G66" si="0">IF(LEFT(A3,3)="S7P","Pintura",IF(LEFT(A3,3)="S7M","Montagem",
IF(LEFT(A3,3)="S7S","Serigrafia"," ")))</f>
        <v>Pintura</v>
      </c>
      <c r="H3" s="161" t="str">
        <f t="shared" ref="H3:H66" si="1">VALUE(LEFT(F3,2))&amp;"h"</f>
        <v>6h</v>
      </c>
    </row>
    <row r="4" spans="1:8" x14ac:dyDescent="0.25">
      <c r="A4" s="10" t="s">
        <v>278</v>
      </c>
      <c r="B4" s="194">
        <v>0.28263888888888888</v>
      </c>
      <c r="C4" s="116">
        <v>1</v>
      </c>
      <c r="D4" s="116"/>
      <c r="E4" s="116">
        <v>0</v>
      </c>
      <c r="F4" s="116" t="s">
        <v>3372</v>
      </c>
      <c r="G4" s="162" t="str">
        <f t="shared" si="0"/>
        <v>Pintura</v>
      </c>
      <c r="H4" s="161" t="str">
        <f t="shared" si="1"/>
        <v>6h</v>
      </c>
    </row>
    <row r="5" spans="1:8" x14ac:dyDescent="0.25">
      <c r="A5" s="10" t="s">
        <v>278</v>
      </c>
      <c r="B5" s="194">
        <v>0.28402777777777777</v>
      </c>
      <c r="C5" s="116">
        <v>1</v>
      </c>
      <c r="D5" s="116"/>
      <c r="E5" s="116">
        <v>1</v>
      </c>
      <c r="F5" s="116" t="s">
        <v>3372</v>
      </c>
      <c r="G5" s="162" t="str">
        <f t="shared" si="0"/>
        <v>Pintura</v>
      </c>
      <c r="H5" s="161" t="str">
        <f t="shared" si="1"/>
        <v>6h</v>
      </c>
    </row>
    <row r="6" spans="1:8" x14ac:dyDescent="0.25">
      <c r="A6" s="10" t="s">
        <v>278</v>
      </c>
      <c r="B6" s="194">
        <v>0.28819444444444442</v>
      </c>
      <c r="C6" s="116">
        <v>1</v>
      </c>
      <c r="D6" s="116">
        <v>1</v>
      </c>
      <c r="E6" s="116">
        <v>1</v>
      </c>
      <c r="F6" s="116" t="s">
        <v>3372</v>
      </c>
      <c r="G6" s="162" t="str">
        <f t="shared" si="0"/>
        <v>Pintura</v>
      </c>
      <c r="H6" s="161" t="str">
        <f t="shared" si="1"/>
        <v>6h</v>
      </c>
    </row>
    <row r="7" spans="1:8" x14ac:dyDescent="0.25">
      <c r="A7" s="10" t="s">
        <v>278</v>
      </c>
      <c r="B7" s="194">
        <v>0.31180555555555556</v>
      </c>
      <c r="C7" s="116">
        <v>1</v>
      </c>
      <c r="D7" s="116">
        <v>1</v>
      </c>
      <c r="E7" s="116">
        <v>0</v>
      </c>
      <c r="F7" s="116" t="s">
        <v>3373</v>
      </c>
      <c r="G7" s="162" t="str">
        <f t="shared" si="0"/>
        <v>Pintura</v>
      </c>
      <c r="H7" s="161" t="str">
        <f t="shared" si="1"/>
        <v>7h</v>
      </c>
    </row>
    <row r="8" spans="1:8" x14ac:dyDescent="0.25">
      <c r="A8" s="10" t="s">
        <v>278</v>
      </c>
      <c r="B8" s="194">
        <v>0.33541666666666664</v>
      </c>
      <c r="C8" s="116">
        <v>1</v>
      </c>
      <c r="D8" s="116">
        <v>1</v>
      </c>
      <c r="E8" s="116">
        <v>0</v>
      </c>
      <c r="F8" s="116" t="s">
        <v>3374</v>
      </c>
      <c r="G8" s="162" t="str">
        <f t="shared" si="0"/>
        <v>Pintura</v>
      </c>
      <c r="H8" s="161" t="str">
        <f t="shared" si="1"/>
        <v>8h</v>
      </c>
    </row>
    <row r="9" spans="1:8" x14ac:dyDescent="0.25">
      <c r="A9" s="10" t="s">
        <v>278</v>
      </c>
      <c r="B9" s="194">
        <v>0.37847222222222221</v>
      </c>
      <c r="C9" s="116">
        <v>1</v>
      </c>
      <c r="D9" s="116">
        <v>1</v>
      </c>
      <c r="E9" s="116">
        <v>0</v>
      </c>
      <c r="F9" s="116" t="s">
        <v>3370</v>
      </c>
      <c r="G9" s="162" t="str">
        <f t="shared" si="0"/>
        <v>Pintura</v>
      </c>
      <c r="H9" s="161" t="str">
        <f t="shared" si="1"/>
        <v>9h</v>
      </c>
    </row>
    <row r="10" spans="1:8" x14ac:dyDescent="0.25">
      <c r="A10" s="10" t="s">
        <v>278</v>
      </c>
      <c r="B10" s="194">
        <v>0.50555555555555554</v>
      </c>
      <c r="C10" s="116">
        <v>1</v>
      </c>
      <c r="D10" s="116">
        <v>1</v>
      </c>
      <c r="E10" s="116">
        <v>0</v>
      </c>
      <c r="F10" s="116" t="s">
        <v>3367</v>
      </c>
      <c r="G10" s="162" t="str">
        <f t="shared" si="0"/>
        <v>Pintura</v>
      </c>
      <c r="H10" s="161" t="str">
        <f t="shared" si="1"/>
        <v>12h</v>
      </c>
    </row>
    <row r="11" spans="1:8" x14ac:dyDescent="0.25">
      <c r="A11" s="10" t="s">
        <v>278</v>
      </c>
      <c r="B11" s="194">
        <v>0.5180555555555556</v>
      </c>
      <c r="C11" s="116">
        <v>1</v>
      </c>
      <c r="D11" s="116">
        <v>1</v>
      </c>
      <c r="E11" s="116">
        <v>0</v>
      </c>
      <c r="F11" s="116" t="s">
        <v>3367</v>
      </c>
      <c r="G11" s="162" t="str">
        <f t="shared" si="0"/>
        <v>Pintura</v>
      </c>
      <c r="H11" s="161" t="str">
        <f t="shared" si="1"/>
        <v>12h</v>
      </c>
    </row>
    <row r="12" spans="1:8" x14ac:dyDescent="0.25">
      <c r="A12" s="10" t="s">
        <v>278</v>
      </c>
      <c r="B12" s="194">
        <v>0.53055555555555556</v>
      </c>
      <c r="C12" s="116">
        <v>1</v>
      </c>
      <c r="D12" s="116">
        <v>1</v>
      </c>
      <c r="E12" s="116">
        <v>0</v>
      </c>
      <c r="F12" s="116" t="s">
        <v>3367</v>
      </c>
      <c r="G12" s="162" t="str">
        <f t="shared" si="0"/>
        <v>Pintura</v>
      </c>
      <c r="H12" s="161" t="str">
        <f t="shared" si="1"/>
        <v>12h</v>
      </c>
    </row>
    <row r="13" spans="1:8" x14ac:dyDescent="0.25">
      <c r="A13" s="10" t="s">
        <v>278</v>
      </c>
      <c r="B13" s="194">
        <v>0.60902777777777772</v>
      </c>
      <c r="C13" s="116">
        <v>1</v>
      </c>
      <c r="D13" s="116">
        <v>1</v>
      </c>
      <c r="E13" s="116">
        <v>1</v>
      </c>
      <c r="F13" s="116" t="s">
        <v>3369</v>
      </c>
      <c r="G13" s="162" t="str">
        <f t="shared" si="0"/>
        <v>Pintura</v>
      </c>
      <c r="H13" s="161" t="str">
        <f t="shared" si="1"/>
        <v>14h</v>
      </c>
    </row>
    <row r="14" spans="1:8" x14ac:dyDescent="0.25">
      <c r="A14" s="10" t="s">
        <v>278</v>
      </c>
      <c r="B14" s="194">
        <v>0.72777777777777775</v>
      </c>
      <c r="C14" s="116">
        <v>1</v>
      </c>
      <c r="D14" s="116">
        <v>1</v>
      </c>
      <c r="E14" s="116">
        <v>0</v>
      </c>
      <c r="F14" s="116" t="s">
        <v>3361</v>
      </c>
      <c r="G14" s="162" t="str">
        <f t="shared" si="0"/>
        <v>Pintura</v>
      </c>
      <c r="H14" s="161" t="str">
        <f t="shared" si="1"/>
        <v>17h</v>
      </c>
    </row>
    <row r="15" spans="1:8" x14ac:dyDescent="0.25">
      <c r="A15" s="10" t="s">
        <v>278</v>
      </c>
      <c r="B15" s="194">
        <v>0.73402777777777772</v>
      </c>
      <c r="C15" s="116">
        <v>1</v>
      </c>
      <c r="D15" s="116"/>
      <c r="E15" s="116">
        <v>1</v>
      </c>
      <c r="F15" s="116" t="s">
        <v>3361</v>
      </c>
      <c r="G15" s="162" t="str">
        <f t="shared" si="0"/>
        <v>Pintura</v>
      </c>
      <c r="H15" s="161" t="str">
        <f t="shared" si="1"/>
        <v>17h</v>
      </c>
    </row>
    <row r="16" spans="1:8" x14ac:dyDescent="0.25">
      <c r="A16" s="10" t="s">
        <v>278</v>
      </c>
      <c r="B16" s="194">
        <v>0.74027777777777781</v>
      </c>
      <c r="C16" s="116">
        <v>1</v>
      </c>
      <c r="D16" s="116"/>
      <c r="E16" s="116">
        <v>0</v>
      </c>
      <c r="F16" s="116" t="s">
        <v>3361</v>
      </c>
      <c r="G16" s="162" t="str">
        <f t="shared" si="0"/>
        <v>Pintura</v>
      </c>
      <c r="H16" s="161" t="str">
        <f t="shared" si="1"/>
        <v>17h</v>
      </c>
    </row>
    <row r="17" spans="1:8" x14ac:dyDescent="0.25">
      <c r="A17" s="10" t="s">
        <v>278</v>
      </c>
      <c r="B17" s="194">
        <v>0.74652777777777779</v>
      </c>
      <c r="C17" s="116">
        <v>1</v>
      </c>
      <c r="D17" s="116"/>
      <c r="E17" s="116">
        <v>0</v>
      </c>
      <c r="F17" s="116" t="s">
        <v>3361</v>
      </c>
      <c r="G17" s="162" t="str">
        <f t="shared" si="0"/>
        <v>Pintura</v>
      </c>
      <c r="H17" s="161" t="str">
        <f t="shared" si="1"/>
        <v>17h</v>
      </c>
    </row>
    <row r="18" spans="1:8" x14ac:dyDescent="0.25">
      <c r="A18" s="10" t="s">
        <v>278</v>
      </c>
      <c r="B18" s="194">
        <v>0.76875000000000004</v>
      </c>
      <c r="C18" s="116">
        <v>1</v>
      </c>
      <c r="D18" s="116"/>
      <c r="E18" s="116">
        <v>0</v>
      </c>
      <c r="F18" s="116" t="s">
        <v>3359</v>
      </c>
      <c r="G18" s="162" t="str">
        <f t="shared" si="0"/>
        <v>Pintura</v>
      </c>
      <c r="H18" s="161" t="str">
        <f t="shared" si="1"/>
        <v>18h</v>
      </c>
    </row>
    <row r="19" spans="1:8" x14ac:dyDescent="0.25">
      <c r="A19" s="10" t="s">
        <v>278</v>
      </c>
      <c r="B19" s="194">
        <v>0.78402777777777777</v>
      </c>
      <c r="C19" s="116">
        <v>1</v>
      </c>
      <c r="D19" s="116"/>
      <c r="E19" s="116">
        <v>0</v>
      </c>
      <c r="F19" s="116" t="s">
        <v>3359</v>
      </c>
      <c r="G19" s="162" t="str">
        <f t="shared" si="0"/>
        <v>Pintura</v>
      </c>
      <c r="H19" s="161" t="str">
        <f t="shared" si="1"/>
        <v>18h</v>
      </c>
    </row>
    <row r="20" spans="1:8" x14ac:dyDescent="0.25">
      <c r="A20" s="10" t="s">
        <v>278</v>
      </c>
      <c r="B20" s="194">
        <v>0.79027777777777775</v>
      </c>
      <c r="C20" s="116">
        <v>1</v>
      </c>
      <c r="D20" s="116"/>
      <c r="E20" s="116">
        <v>0</v>
      </c>
      <c r="F20" s="116" t="s">
        <v>3359</v>
      </c>
      <c r="G20" s="162" t="str">
        <f t="shared" si="0"/>
        <v>Pintura</v>
      </c>
      <c r="H20" s="161" t="str">
        <f t="shared" si="1"/>
        <v>18h</v>
      </c>
    </row>
    <row r="21" spans="1:8" x14ac:dyDescent="0.25">
      <c r="A21" s="10" t="s">
        <v>278</v>
      </c>
      <c r="B21" s="194">
        <v>0.79652777777777772</v>
      </c>
      <c r="C21" s="116">
        <v>1</v>
      </c>
      <c r="D21" s="116"/>
      <c r="E21" s="116">
        <v>0</v>
      </c>
      <c r="F21" s="116" t="s">
        <v>3366</v>
      </c>
      <c r="G21" s="162" t="str">
        <f t="shared" si="0"/>
        <v>Pintura</v>
      </c>
      <c r="H21" s="161" t="str">
        <f t="shared" si="1"/>
        <v>19h</v>
      </c>
    </row>
    <row r="22" spans="1:8" x14ac:dyDescent="0.25">
      <c r="A22" s="10" t="s">
        <v>278</v>
      </c>
      <c r="B22" s="194">
        <v>0.80833333333333335</v>
      </c>
      <c r="C22" s="116">
        <v>0</v>
      </c>
      <c r="D22" s="116"/>
      <c r="E22" s="116">
        <v>1</v>
      </c>
      <c r="F22" s="116" t="s">
        <v>3366</v>
      </c>
      <c r="G22" s="162" t="str">
        <f t="shared" si="0"/>
        <v>Pintura</v>
      </c>
      <c r="H22" s="161" t="str">
        <f t="shared" si="1"/>
        <v>19h</v>
      </c>
    </row>
    <row r="23" spans="1:8" x14ac:dyDescent="0.25">
      <c r="A23" s="10" t="s">
        <v>278</v>
      </c>
      <c r="B23" s="194">
        <v>0.8618055555555556</v>
      </c>
      <c r="C23" s="116">
        <v>1</v>
      </c>
      <c r="D23" s="116"/>
      <c r="E23" s="116">
        <v>0</v>
      </c>
      <c r="F23" s="116" t="s">
        <v>3364</v>
      </c>
      <c r="G23" s="162" t="str">
        <f t="shared" si="0"/>
        <v>Pintura</v>
      </c>
      <c r="H23" s="161" t="str">
        <f t="shared" si="1"/>
        <v>20h</v>
      </c>
    </row>
    <row r="24" spans="1:8" x14ac:dyDescent="0.25">
      <c r="A24" s="10" t="s">
        <v>278</v>
      </c>
      <c r="B24" s="194">
        <v>0.87430555555555556</v>
      </c>
      <c r="C24" s="116">
        <v>1</v>
      </c>
      <c r="D24" s="116"/>
      <c r="E24" s="116">
        <v>0</v>
      </c>
      <c r="F24" s="116" t="s">
        <v>3364</v>
      </c>
      <c r="G24" s="162" t="str">
        <f t="shared" si="0"/>
        <v>Pintura</v>
      </c>
      <c r="H24" s="161" t="str">
        <f t="shared" si="1"/>
        <v>20h</v>
      </c>
    </row>
    <row r="25" spans="1:8" x14ac:dyDescent="0.25">
      <c r="A25" s="10" t="s">
        <v>278</v>
      </c>
      <c r="B25" s="194">
        <v>0.89652777777777781</v>
      </c>
      <c r="C25" s="116">
        <v>1</v>
      </c>
      <c r="D25" s="116"/>
      <c r="E25" s="116">
        <v>0</v>
      </c>
      <c r="F25" s="116" t="s">
        <v>3360</v>
      </c>
      <c r="G25" s="162" t="str">
        <f t="shared" si="0"/>
        <v>Pintura</v>
      </c>
      <c r="H25" s="161" t="str">
        <f t="shared" si="1"/>
        <v>21h</v>
      </c>
    </row>
    <row r="26" spans="1:8" x14ac:dyDescent="0.25">
      <c r="A26" s="10" t="s">
        <v>278</v>
      </c>
      <c r="B26" s="194">
        <v>0.90833333333333333</v>
      </c>
      <c r="C26" s="116">
        <v>1</v>
      </c>
      <c r="D26" s="116"/>
      <c r="E26" s="116">
        <v>0</v>
      </c>
      <c r="F26" s="116" t="s">
        <v>3360</v>
      </c>
      <c r="G26" s="162" t="str">
        <f t="shared" si="0"/>
        <v>Pintura</v>
      </c>
      <c r="H26" s="161" t="str">
        <f t="shared" si="1"/>
        <v>21h</v>
      </c>
    </row>
    <row r="27" spans="1:8" x14ac:dyDescent="0.25">
      <c r="A27" s="10" t="s">
        <v>278</v>
      </c>
      <c r="B27" s="194">
        <v>0.92013888888888884</v>
      </c>
      <c r="C27" s="116">
        <v>1</v>
      </c>
      <c r="D27" s="116"/>
      <c r="E27" s="116">
        <v>0</v>
      </c>
      <c r="F27" s="116" t="s">
        <v>3362</v>
      </c>
      <c r="G27" s="162" t="str">
        <f t="shared" si="0"/>
        <v>Pintura</v>
      </c>
      <c r="H27" s="161" t="str">
        <f t="shared" si="1"/>
        <v>22h</v>
      </c>
    </row>
    <row r="28" spans="1:8" x14ac:dyDescent="0.25">
      <c r="A28" s="10" t="s">
        <v>278</v>
      </c>
      <c r="B28" s="194">
        <v>0.93194444444444446</v>
      </c>
      <c r="C28" s="116">
        <v>1</v>
      </c>
      <c r="D28" s="116"/>
      <c r="E28" s="116">
        <v>0</v>
      </c>
      <c r="F28" s="116" t="s">
        <v>3362</v>
      </c>
      <c r="G28" s="162" t="str">
        <f t="shared" si="0"/>
        <v>Pintura</v>
      </c>
      <c r="H28" s="161" t="str">
        <f t="shared" si="1"/>
        <v>22h</v>
      </c>
    </row>
    <row r="29" spans="1:8" x14ac:dyDescent="0.25">
      <c r="A29" s="10" t="s">
        <v>278</v>
      </c>
      <c r="B29" s="194">
        <v>0.93819444444444444</v>
      </c>
      <c r="C29" s="116">
        <v>0</v>
      </c>
      <c r="D29" s="116"/>
      <c r="E29" s="116">
        <v>1</v>
      </c>
      <c r="F29" s="116" t="s">
        <v>3362</v>
      </c>
      <c r="G29" s="162" t="str">
        <f t="shared" si="0"/>
        <v>Pintura</v>
      </c>
      <c r="H29" s="161" t="str">
        <f t="shared" si="1"/>
        <v>22h</v>
      </c>
    </row>
    <row r="30" spans="1:8" x14ac:dyDescent="0.25">
      <c r="A30" s="10" t="s">
        <v>278</v>
      </c>
      <c r="B30" s="194">
        <v>0.94444444444444442</v>
      </c>
      <c r="C30" s="116">
        <v>1</v>
      </c>
      <c r="D30" s="116"/>
      <c r="E30" s="116">
        <v>0</v>
      </c>
      <c r="F30" s="116" t="s">
        <v>3362</v>
      </c>
      <c r="G30" s="162" t="str">
        <f t="shared" si="0"/>
        <v>Pintura</v>
      </c>
      <c r="H30" s="161" t="str">
        <f t="shared" si="1"/>
        <v>22h</v>
      </c>
    </row>
    <row r="31" spans="1:8" x14ac:dyDescent="0.25">
      <c r="A31" s="10" t="s">
        <v>278</v>
      </c>
      <c r="B31" s="194">
        <v>0.95208333333333328</v>
      </c>
      <c r="C31" s="116">
        <v>1</v>
      </c>
      <c r="D31" s="116"/>
      <c r="E31" s="116">
        <v>0</v>
      </c>
      <c r="F31" s="116" t="s">
        <v>3362</v>
      </c>
      <c r="G31" s="162" t="str">
        <f t="shared" si="0"/>
        <v>Pintura</v>
      </c>
      <c r="H31" s="161" t="str">
        <f t="shared" si="1"/>
        <v>22h</v>
      </c>
    </row>
    <row r="32" spans="1:8" x14ac:dyDescent="0.25">
      <c r="A32" s="10" t="s">
        <v>278</v>
      </c>
      <c r="B32" s="194">
        <v>0.97291666666666665</v>
      </c>
      <c r="C32" s="116">
        <v>1</v>
      </c>
      <c r="D32" s="116"/>
      <c r="E32" s="116">
        <v>0</v>
      </c>
      <c r="F32" s="116" t="s">
        <v>3365</v>
      </c>
      <c r="G32" s="162" t="str">
        <f t="shared" si="0"/>
        <v>Pintura</v>
      </c>
      <c r="H32" s="161" t="str">
        <f t="shared" si="1"/>
        <v>23h</v>
      </c>
    </row>
    <row r="33" spans="1:8" x14ac:dyDescent="0.25">
      <c r="A33" s="10" t="s">
        <v>278</v>
      </c>
      <c r="B33" s="194">
        <v>0.9770833333333333</v>
      </c>
      <c r="C33" s="116">
        <v>1</v>
      </c>
      <c r="D33" s="116"/>
      <c r="E33" s="116">
        <v>0</v>
      </c>
      <c r="F33" s="116" t="s">
        <v>3365</v>
      </c>
      <c r="G33" s="162" t="str">
        <f t="shared" si="0"/>
        <v>Pintura</v>
      </c>
      <c r="H33" s="161" t="str">
        <f t="shared" si="1"/>
        <v>23h</v>
      </c>
    </row>
    <row r="34" spans="1:8" x14ac:dyDescent="0.25">
      <c r="A34" s="10" t="s">
        <v>278</v>
      </c>
      <c r="B34" s="194">
        <v>0.9916666666666667</v>
      </c>
      <c r="C34" s="116">
        <v>1</v>
      </c>
      <c r="D34" s="116"/>
      <c r="E34" s="116">
        <v>0</v>
      </c>
      <c r="F34" s="116" t="s">
        <v>3365</v>
      </c>
      <c r="G34" s="162" t="str">
        <f t="shared" si="0"/>
        <v>Pintura</v>
      </c>
      <c r="H34" s="161" t="str">
        <f t="shared" si="1"/>
        <v>23h</v>
      </c>
    </row>
    <row r="35" spans="1:8" x14ac:dyDescent="0.25">
      <c r="A35" s="10" t="s">
        <v>278</v>
      </c>
      <c r="B35" s="194">
        <v>0.99791666666666667</v>
      </c>
      <c r="C35" s="116">
        <v>1</v>
      </c>
      <c r="D35" s="116"/>
      <c r="E35" s="116">
        <v>0</v>
      </c>
      <c r="F35" s="116" t="s">
        <v>3365</v>
      </c>
      <c r="G35" s="162" t="str">
        <f t="shared" si="0"/>
        <v>Pintura</v>
      </c>
      <c r="H35" s="161" t="str">
        <f t="shared" si="1"/>
        <v>23h</v>
      </c>
    </row>
    <row r="36" spans="1:8" x14ac:dyDescent="0.25">
      <c r="A36" s="10" t="s">
        <v>282</v>
      </c>
      <c r="B36" s="194">
        <v>0.27986111111111112</v>
      </c>
      <c r="C36" s="116">
        <v>1</v>
      </c>
      <c r="D36" s="116"/>
      <c r="E36" s="116">
        <v>0</v>
      </c>
      <c r="F36" s="116" t="s">
        <v>3372</v>
      </c>
      <c r="G36" s="162" t="str">
        <f t="shared" si="0"/>
        <v>Pintura</v>
      </c>
      <c r="H36" s="161" t="str">
        <f t="shared" si="1"/>
        <v>6h</v>
      </c>
    </row>
    <row r="37" spans="1:8" x14ac:dyDescent="0.25">
      <c r="A37" s="10" t="s">
        <v>282</v>
      </c>
      <c r="B37" s="194">
        <v>0.28263888888888888</v>
      </c>
      <c r="C37" s="116">
        <v>1</v>
      </c>
      <c r="D37" s="116"/>
      <c r="E37" s="116">
        <v>1</v>
      </c>
      <c r="F37" s="116" t="s">
        <v>3372</v>
      </c>
      <c r="G37" s="162" t="str">
        <f t="shared" si="0"/>
        <v>Pintura</v>
      </c>
      <c r="H37" s="161" t="str">
        <f t="shared" si="1"/>
        <v>6h</v>
      </c>
    </row>
    <row r="38" spans="1:8" x14ac:dyDescent="0.25">
      <c r="A38" s="10" t="s">
        <v>282</v>
      </c>
      <c r="B38" s="194">
        <v>0.28541666666666665</v>
      </c>
      <c r="C38" s="116">
        <v>0</v>
      </c>
      <c r="D38" s="116"/>
      <c r="E38" s="116">
        <v>1</v>
      </c>
      <c r="F38" s="116" t="s">
        <v>3372</v>
      </c>
      <c r="G38" s="162" t="str">
        <f t="shared" si="0"/>
        <v>Pintura</v>
      </c>
      <c r="H38" s="161" t="str">
        <f t="shared" si="1"/>
        <v>6h</v>
      </c>
    </row>
    <row r="39" spans="1:8" x14ac:dyDescent="0.25">
      <c r="A39" s="10" t="s">
        <v>282</v>
      </c>
      <c r="B39" s="194">
        <v>0.8041666666666667</v>
      </c>
      <c r="C39" s="116">
        <v>1</v>
      </c>
      <c r="D39" s="116">
        <v>1</v>
      </c>
      <c r="E39" s="116">
        <v>1</v>
      </c>
      <c r="F39" s="116" t="s">
        <v>3366</v>
      </c>
      <c r="G39" s="162" t="str">
        <f t="shared" si="0"/>
        <v>Pintura</v>
      </c>
      <c r="H39" s="161" t="str">
        <f t="shared" si="1"/>
        <v>19h</v>
      </c>
    </row>
    <row r="40" spans="1:8" x14ac:dyDescent="0.25">
      <c r="A40" s="10" t="s">
        <v>283</v>
      </c>
      <c r="B40" s="194">
        <v>0.27777777777777779</v>
      </c>
      <c r="C40" s="116">
        <v>1</v>
      </c>
      <c r="D40" s="116"/>
      <c r="E40" s="116">
        <v>0</v>
      </c>
      <c r="F40" s="116" t="s">
        <v>3372</v>
      </c>
      <c r="G40" s="162" t="str">
        <f t="shared" si="0"/>
        <v>Pintura</v>
      </c>
      <c r="H40" s="161" t="str">
        <f t="shared" si="1"/>
        <v>6h</v>
      </c>
    </row>
    <row r="41" spans="1:8" x14ac:dyDescent="0.25">
      <c r="A41" s="10" t="s">
        <v>283</v>
      </c>
      <c r="B41" s="194">
        <v>0.35</v>
      </c>
      <c r="C41" s="116">
        <v>0</v>
      </c>
      <c r="D41" s="116"/>
      <c r="E41" s="116">
        <v>0</v>
      </c>
      <c r="F41" s="116" t="s">
        <v>3374</v>
      </c>
      <c r="G41" s="162" t="str">
        <f t="shared" si="0"/>
        <v>Pintura</v>
      </c>
      <c r="H41" s="161" t="str">
        <f t="shared" si="1"/>
        <v>8h</v>
      </c>
    </row>
    <row r="42" spans="1:8" x14ac:dyDescent="0.25">
      <c r="A42" s="10" t="s">
        <v>283</v>
      </c>
      <c r="B42" s="194">
        <v>0.86111111111111116</v>
      </c>
      <c r="C42" s="116">
        <v>1</v>
      </c>
      <c r="D42" s="116"/>
      <c r="E42" s="116">
        <v>0</v>
      </c>
      <c r="F42" s="116" t="s">
        <v>3364</v>
      </c>
      <c r="G42" s="162" t="str">
        <f t="shared" si="0"/>
        <v>Pintura</v>
      </c>
      <c r="H42" s="161" t="str">
        <f t="shared" si="1"/>
        <v>20h</v>
      </c>
    </row>
    <row r="43" spans="1:8" x14ac:dyDescent="0.25">
      <c r="A43" s="10" t="s">
        <v>283</v>
      </c>
      <c r="B43" s="194">
        <v>0.94027777777777777</v>
      </c>
      <c r="C43" s="116">
        <v>1</v>
      </c>
      <c r="D43" s="116"/>
      <c r="E43" s="116">
        <v>0</v>
      </c>
      <c r="F43" s="116" t="s">
        <v>3362</v>
      </c>
      <c r="G43" s="162" t="str">
        <f t="shared" si="0"/>
        <v>Pintura</v>
      </c>
      <c r="H43" s="161" t="str">
        <f t="shared" si="1"/>
        <v>22h</v>
      </c>
    </row>
    <row r="44" spans="1:8" x14ac:dyDescent="0.25">
      <c r="A44" s="10" t="s">
        <v>287</v>
      </c>
      <c r="B44" s="194">
        <v>0.36388888888888887</v>
      </c>
      <c r="C44" s="116">
        <v>1</v>
      </c>
      <c r="D44" s="116">
        <v>1</v>
      </c>
      <c r="E44" s="116">
        <v>0</v>
      </c>
      <c r="F44" s="116" t="s">
        <v>3374</v>
      </c>
      <c r="G44" s="162" t="str">
        <f t="shared" si="0"/>
        <v>Pintura</v>
      </c>
      <c r="H44" s="161" t="str">
        <f t="shared" si="1"/>
        <v>8h</v>
      </c>
    </row>
    <row r="45" spans="1:8" x14ac:dyDescent="0.25">
      <c r="A45" s="10" t="s">
        <v>287</v>
      </c>
      <c r="B45" s="194">
        <v>0.8666666666666667</v>
      </c>
      <c r="C45" s="116">
        <v>1</v>
      </c>
      <c r="D45" s="116"/>
      <c r="E45" s="116">
        <v>1</v>
      </c>
      <c r="F45" s="116" t="s">
        <v>3364</v>
      </c>
      <c r="G45" s="162" t="str">
        <f t="shared" si="0"/>
        <v>Pintura</v>
      </c>
      <c r="H45" s="161" t="str">
        <f t="shared" si="1"/>
        <v>20h</v>
      </c>
    </row>
    <row r="46" spans="1:8" x14ac:dyDescent="0.25">
      <c r="A46" s="10" t="s">
        <v>287</v>
      </c>
      <c r="B46" s="194">
        <v>0.99305555555555558</v>
      </c>
      <c r="C46" s="116">
        <v>1</v>
      </c>
      <c r="D46" s="116"/>
      <c r="E46" s="116">
        <v>0</v>
      </c>
      <c r="F46" s="116" t="s">
        <v>3365</v>
      </c>
      <c r="G46" s="162" t="str">
        <f t="shared" si="0"/>
        <v>Pintura</v>
      </c>
      <c r="H46" s="161" t="str">
        <f t="shared" si="1"/>
        <v>23h</v>
      </c>
    </row>
    <row r="47" spans="1:8" x14ac:dyDescent="0.25">
      <c r="A47" s="10" t="s">
        <v>288</v>
      </c>
      <c r="B47" s="194">
        <v>0.28402777777777777</v>
      </c>
      <c r="C47" s="116">
        <v>1</v>
      </c>
      <c r="D47" s="116">
        <v>1</v>
      </c>
      <c r="E47" s="116">
        <v>0</v>
      </c>
      <c r="F47" s="116" t="s">
        <v>3372</v>
      </c>
      <c r="G47" s="162" t="str">
        <f t="shared" si="0"/>
        <v>Pintura</v>
      </c>
      <c r="H47" s="161" t="str">
        <f t="shared" si="1"/>
        <v>6h</v>
      </c>
    </row>
    <row r="48" spans="1:8" x14ac:dyDescent="0.25">
      <c r="A48" s="10" t="s">
        <v>291</v>
      </c>
      <c r="B48" s="194">
        <v>0.27847222222222223</v>
      </c>
      <c r="C48" s="116">
        <v>1</v>
      </c>
      <c r="D48" s="116"/>
      <c r="E48" s="116">
        <v>0</v>
      </c>
      <c r="F48" s="116" t="s">
        <v>3372</v>
      </c>
      <c r="G48" s="162" t="str">
        <f t="shared" si="0"/>
        <v>Pintura</v>
      </c>
      <c r="H48" s="161" t="str">
        <f t="shared" si="1"/>
        <v>6h</v>
      </c>
    </row>
    <row r="49" spans="1:8" x14ac:dyDescent="0.25">
      <c r="A49" s="10" t="s">
        <v>291</v>
      </c>
      <c r="B49" s="194">
        <v>0.34583333333333333</v>
      </c>
      <c r="C49" s="116">
        <v>1</v>
      </c>
      <c r="D49" s="116"/>
      <c r="E49" s="116">
        <v>0</v>
      </c>
      <c r="F49" s="116" t="s">
        <v>3374</v>
      </c>
      <c r="G49" s="162" t="str">
        <f t="shared" si="0"/>
        <v>Pintura</v>
      </c>
      <c r="H49" s="161" t="str">
        <f t="shared" si="1"/>
        <v>8h</v>
      </c>
    </row>
    <row r="50" spans="1:8" x14ac:dyDescent="0.25">
      <c r="A50" s="10" t="s">
        <v>291</v>
      </c>
      <c r="B50" s="194">
        <v>0.44791666666666669</v>
      </c>
      <c r="C50" s="116">
        <v>1</v>
      </c>
      <c r="D50" s="116"/>
      <c r="E50" s="116">
        <v>0</v>
      </c>
      <c r="F50" s="116" t="s">
        <v>3371</v>
      </c>
      <c r="G50" s="162" t="str">
        <f t="shared" si="0"/>
        <v>Pintura</v>
      </c>
      <c r="H50" s="161" t="str">
        <f t="shared" si="1"/>
        <v>10h</v>
      </c>
    </row>
    <row r="51" spans="1:8" x14ac:dyDescent="0.25">
      <c r="A51" s="10" t="s">
        <v>291</v>
      </c>
      <c r="B51" s="194">
        <v>0.6430555555555556</v>
      </c>
      <c r="C51" s="116">
        <v>0</v>
      </c>
      <c r="D51" s="116"/>
      <c r="E51" s="116">
        <v>1</v>
      </c>
      <c r="F51" s="116" t="s">
        <v>3358</v>
      </c>
      <c r="G51" s="162" t="str">
        <f t="shared" si="0"/>
        <v>Pintura</v>
      </c>
      <c r="H51" s="161" t="str">
        <f t="shared" si="1"/>
        <v>15h</v>
      </c>
    </row>
    <row r="52" spans="1:8" x14ac:dyDescent="0.25">
      <c r="A52" s="10" t="s">
        <v>296</v>
      </c>
      <c r="B52" s="194">
        <v>0.28472222222222221</v>
      </c>
      <c r="C52" s="116">
        <v>1</v>
      </c>
      <c r="D52" s="116"/>
      <c r="E52" s="116">
        <v>0</v>
      </c>
      <c r="F52" s="116" t="s">
        <v>3372</v>
      </c>
      <c r="G52" s="162" t="str">
        <f t="shared" si="0"/>
        <v>Pintura</v>
      </c>
      <c r="H52" s="161" t="str">
        <f t="shared" si="1"/>
        <v>6h</v>
      </c>
    </row>
    <row r="53" spans="1:8" x14ac:dyDescent="0.25">
      <c r="A53" s="10" t="s">
        <v>296</v>
      </c>
      <c r="B53" s="194">
        <v>0.28958333333333336</v>
      </c>
      <c r="C53" s="116">
        <v>0</v>
      </c>
      <c r="D53" s="116"/>
      <c r="E53" s="116">
        <v>1</v>
      </c>
      <c r="F53" s="116" t="s">
        <v>3372</v>
      </c>
      <c r="G53" s="162" t="str">
        <f t="shared" si="0"/>
        <v>Pintura</v>
      </c>
      <c r="H53" s="161" t="str">
        <f t="shared" si="1"/>
        <v>6h</v>
      </c>
    </row>
    <row r="54" spans="1:8" x14ac:dyDescent="0.25">
      <c r="A54" s="10" t="s">
        <v>296</v>
      </c>
      <c r="B54" s="194">
        <v>0.32777777777777778</v>
      </c>
      <c r="C54" s="116">
        <v>1</v>
      </c>
      <c r="D54" s="116"/>
      <c r="E54" s="116">
        <v>0</v>
      </c>
      <c r="F54" s="116" t="s">
        <v>3373</v>
      </c>
      <c r="G54" s="162" t="str">
        <f t="shared" si="0"/>
        <v>Pintura</v>
      </c>
      <c r="H54" s="161" t="str">
        <f t="shared" si="1"/>
        <v>7h</v>
      </c>
    </row>
    <row r="55" spans="1:8" x14ac:dyDescent="0.25">
      <c r="A55" s="10" t="s">
        <v>296</v>
      </c>
      <c r="B55" s="194">
        <v>0.40763888888888888</v>
      </c>
      <c r="C55" s="116">
        <v>1</v>
      </c>
      <c r="D55" s="116"/>
      <c r="E55" s="116">
        <v>0</v>
      </c>
      <c r="F55" s="116" t="s">
        <v>3370</v>
      </c>
      <c r="G55" s="162" t="str">
        <f t="shared" si="0"/>
        <v>Pintura</v>
      </c>
      <c r="H55" s="161" t="str">
        <f t="shared" si="1"/>
        <v>9h</v>
      </c>
    </row>
    <row r="56" spans="1:8" x14ac:dyDescent="0.25">
      <c r="A56" s="10" t="s">
        <v>296</v>
      </c>
      <c r="B56" s="194">
        <v>0.40972222222222221</v>
      </c>
      <c r="C56" s="116">
        <v>1</v>
      </c>
      <c r="D56" s="116"/>
      <c r="E56" s="116">
        <v>1</v>
      </c>
      <c r="F56" s="116" t="s">
        <v>3370</v>
      </c>
      <c r="G56" s="162" t="str">
        <f t="shared" si="0"/>
        <v>Pintura</v>
      </c>
      <c r="H56" s="161" t="str">
        <f t="shared" si="1"/>
        <v>9h</v>
      </c>
    </row>
    <row r="57" spans="1:8" x14ac:dyDescent="0.25">
      <c r="A57" s="10" t="s">
        <v>296</v>
      </c>
      <c r="B57" s="194">
        <v>0.54583333333333328</v>
      </c>
      <c r="C57" s="116">
        <v>1</v>
      </c>
      <c r="D57" s="116"/>
      <c r="E57" s="116">
        <v>0</v>
      </c>
      <c r="F57" s="116" t="s">
        <v>3368</v>
      </c>
      <c r="G57" s="162" t="str">
        <f t="shared" si="0"/>
        <v>Pintura</v>
      </c>
      <c r="H57" s="161" t="str">
        <f t="shared" si="1"/>
        <v>13h</v>
      </c>
    </row>
    <row r="58" spans="1:8" x14ac:dyDescent="0.25">
      <c r="A58" s="10" t="s">
        <v>299</v>
      </c>
      <c r="B58" s="194">
        <v>0.29097222222222224</v>
      </c>
      <c r="C58" s="116">
        <v>1</v>
      </c>
      <c r="D58" s="116"/>
      <c r="E58" s="116">
        <v>0</v>
      </c>
      <c r="F58" s="116" t="s">
        <v>3372</v>
      </c>
      <c r="G58" s="162" t="str">
        <f t="shared" si="0"/>
        <v>Pintura</v>
      </c>
      <c r="H58" s="161" t="str">
        <f t="shared" si="1"/>
        <v>6h</v>
      </c>
    </row>
    <row r="59" spans="1:8" x14ac:dyDescent="0.25">
      <c r="A59" s="10" t="s">
        <v>299</v>
      </c>
      <c r="B59" s="194">
        <v>0.31736111111111109</v>
      </c>
      <c r="C59" s="116">
        <v>1</v>
      </c>
      <c r="D59" s="116">
        <v>1</v>
      </c>
      <c r="E59" s="116">
        <v>1</v>
      </c>
      <c r="F59" s="116" t="s">
        <v>3373</v>
      </c>
      <c r="G59" s="162" t="str">
        <f t="shared" si="0"/>
        <v>Pintura</v>
      </c>
      <c r="H59" s="161" t="str">
        <f t="shared" si="1"/>
        <v>7h</v>
      </c>
    </row>
    <row r="60" spans="1:8" x14ac:dyDescent="0.25">
      <c r="A60" s="10" t="s">
        <v>299</v>
      </c>
      <c r="B60" s="194">
        <v>0.65277777777777779</v>
      </c>
      <c r="C60" s="116">
        <v>1</v>
      </c>
      <c r="D60" s="116">
        <v>1</v>
      </c>
      <c r="E60" s="116">
        <v>0</v>
      </c>
      <c r="F60" s="116" t="s">
        <v>3358</v>
      </c>
      <c r="G60" s="162" t="str">
        <f t="shared" si="0"/>
        <v>Pintura</v>
      </c>
      <c r="H60" s="161" t="str">
        <f t="shared" si="1"/>
        <v>15h</v>
      </c>
    </row>
    <row r="61" spans="1:8" x14ac:dyDescent="0.25">
      <c r="A61" s="10" t="s">
        <v>301</v>
      </c>
      <c r="B61" s="194">
        <v>0.28402777777777777</v>
      </c>
      <c r="C61" s="116">
        <v>1</v>
      </c>
      <c r="D61" s="116"/>
      <c r="E61" s="116">
        <v>0</v>
      </c>
      <c r="F61" s="116" t="s">
        <v>3372</v>
      </c>
      <c r="G61" s="162" t="str">
        <f t="shared" si="0"/>
        <v>Pintura</v>
      </c>
      <c r="H61" s="161" t="str">
        <f t="shared" si="1"/>
        <v>6h</v>
      </c>
    </row>
    <row r="62" spans="1:8" x14ac:dyDescent="0.25">
      <c r="A62" s="10" t="s">
        <v>302</v>
      </c>
      <c r="B62" s="194">
        <v>0.27847222222222223</v>
      </c>
      <c r="C62" s="116">
        <v>1</v>
      </c>
      <c r="D62" s="116"/>
      <c r="E62" s="116">
        <v>0</v>
      </c>
      <c r="F62" s="116" t="s">
        <v>3372</v>
      </c>
      <c r="G62" s="162" t="str">
        <f t="shared" si="0"/>
        <v>Pintura</v>
      </c>
      <c r="H62" s="161" t="str">
        <f t="shared" si="1"/>
        <v>6h</v>
      </c>
    </row>
    <row r="63" spans="1:8" x14ac:dyDescent="0.25">
      <c r="A63" s="10" t="s">
        <v>302</v>
      </c>
      <c r="B63" s="194">
        <v>0.27986111111111112</v>
      </c>
      <c r="C63" s="116">
        <v>1</v>
      </c>
      <c r="D63" s="116"/>
      <c r="E63" s="116">
        <v>0</v>
      </c>
      <c r="F63" s="116" t="s">
        <v>3372</v>
      </c>
      <c r="G63" s="162" t="str">
        <f t="shared" si="0"/>
        <v>Pintura</v>
      </c>
      <c r="H63" s="161" t="str">
        <f t="shared" si="1"/>
        <v>6h</v>
      </c>
    </row>
    <row r="64" spans="1:8" x14ac:dyDescent="0.25">
      <c r="A64" s="10" t="s">
        <v>302</v>
      </c>
      <c r="B64" s="194">
        <v>0.28125</v>
      </c>
      <c r="C64" s="116">
        <v>1</v>
      </c>
      <c r="D64" s="116"/>
      <c r="E64" s="116">
        <v>1</v>
      </c>
      <c r="F64" s="116" t="s">
        <v>3372</v>
      </c>
      <c r="G64" s="162" t="str">
        <f t="shared" si="0"/>
        <v>Pintura</v>
      </c>
      <c r="H64" s="161" t="str">
        <f t="shared" si="1"/>
        <v>6h</v>
      </c>
    </row>
    <row r="65" spans="1:8" x14ac:dyDescent="0.25">
      <c r="A65" s="10" t="s">
        <v>302</v>
      </c>
      <c r="B65" s="194">
        <v>0.28541666666666665</v>
      </c>
      <c r="C65" s="116">
        <v>1</v>
      </c>
      <c r="D65" s="116">
        <v>2</v>
      </c>
      <c r="E65" s="116">
        <v>1</v>
      </c>
      <c r="F65" s="116" t="s">
        <v>3372</v>
      </c>
      <c r="G65" s="162" t="str">
        <f t="shared" si="0"/>
        <v>Pintura</v>
      </c>
      <c r="H65" s="161" t="str">
        <f t="shared" si="1"/>
        <v>6h</v>
      </c>
    </row>
    <row r="66" spans="1:8" x14ac:dyDescent="0.25">
      <c r="A66" s="10" t="s">
        <v>302</v>
      </c>
      <c r="B66" s="194">
        <v>0.28819444444444442</v>
      </c>
      <c r="C66" s="116">
        <v>1</v>
      </c>
      <c r="D66" s="116">
        <v>2</v>
      </c>
      <c r="E66" s="116">
        <v>0</v>
      </c>
      <c r="F66" s="116" t="s">
        <v>3372</v>
      </c>
      <c r="G66" s="162" t="str">
        <f t="shared" si="0"/>
        <v>Pintura</v>
      </c>
      <c r="H66" s="161" t="str">
        <f t="shared" si="1"/>
        <v>6h</v>
      </c>
    </row>
    <row r="67" spans="1:8" x14ac:dyDescent="0.25">
      <c r="A67" s="10" t="s">
        <v>302</v>
      </c>
      <c r="B67" s="194">
        <v>0.2986111111111111</v>
      </c>
      <c r="C67" s="116">
        <v>1</v>
      </c>
      <c r="D67" s="116">
        <v>2</v>
      </c>
      <c r="E67" s="116">
        <v>0</v>
      </c>
      <c r="F67" s="116" t="s">
        <v>3373</v>
      </c>
      <c r="G67" s="162" t="str">
        <f t="shared" ref="G67:G130" si="2">IF(LEFT(A67,3)="S7P","Pintura",IF(LEFT(A67,3)="S7M","Montagem",
IF(LEFT(A67,3)="S7S","Serigrafia"," ")))</f>
        <v>Pintura</v>
      </c>
      <c r="H67" s="161" t="str">
        <f t="shared" ref="H67:H130" si="3">VALUE(LEFT(F67,2))&amp;"h"</f>
        <v>7h</v>
      </c>
    </row>
    <row r="68" spans="1:8" x14ac:dyDescent="0.25">
      <c r="A68" s="10" t="s">
        <v>302</v>
      </c>
      <c r="B68" s="194">
        <v>0.31388888888888888</v>
      </c>
      <c r="C68" s="116">
        <v>1</v>
      </c>
      <c r="D68" s="116">
        <v>2</v>
      </c>
      <c r="E68" s="116">
        <v>0</v>
      </c>
      <c r="F68" s="116" t="s">
        <v>3373</v>
      </c>
      <c r="G68" s="162" t="str">
        <f t="shared" si="2"/>
        <v>Pintura</v>
      </c>
      <c r="H68" s="161" t="str">
        <f t="shared" si="3"/>
        <v>7h</v>
      </c>
    </row>
    <row r="69" spans="1:8" x14ac:dyDescent="0.25">
      <c r="A69" s="10" t="s">
        <v>302</v>
      </c>
      <c r="B69" s="194">
        <v>0.32500000000000001</v>
      </c>
      <c r="C69" s="116">
        <v>1</v>
      </c>
      <c r="D69" s="116">
        <v>2</v>
      </c>
      <c r="E69" s="116">
        <v>0</v>
      </c>
      <c r="F69" s="116" t="s">
        <v>3373</v>
      </c>
      <c r="G69" s="162" t="str">
        <f t="shared" si="2"/>
        <v>Pintura</v>
      </c>
      <c r="H69" s="161" t="str">
        <f t="shared" si="3"/>
        <v>7h</v>
      </c>
    </row>
    <row r="70" spans="1:8" x14ac:dyDescent="0.25">
      <c r="A70" s="10" t="s">
        <v>302</v>
      </c>
      <c r="B70" s="194">
        <v>0.35138888888888886</v>
      </c>
      <c r="C70" s="116">
        <v>0</v>
      </c>
      <c r="D70" s="116">
        <v>1</v>
      </c>
      <c r="E70" s="116">
        <v>1</v>
      </c>
      <c r="F70" s="116" t="s">
        <v>3374</v>
      </c>
      <c r="G70" s="162" t="str">
        <f t="shared" si="2"/>
        <v>Pintura</v>
      </c>
      <c r="H70" s="161" t="str">
        <f t="shared" si="3"/>
        <v>8h</v>
      </c>
    </row>
    <row r="71" spans="1:8" x14ac:dyDescent="0.25">
      <c r="A71" s="10" t="s">
        <v>302</v>
      </c>
      <c r="B71" s="194">
        <v>0.37777777777777777</v>
      </c>
      <c r="C71" s="116">
        <v>1</v>
      </c>
      <c r="D71" s="116">
        <v>1</v>
      </c>
      <c r="E71" s="116">
        <v>0</v>
      </c>
      <c r="F71" s="116" t="s">
        <v>3370</v>
      </c>
      <c r="G71" s="162" t="str">
        <f t="shared" si="2"/>
        <v>Pintura</v>
      </c>
      <c r="H71" s="161" t="str">
        <f t="shared" si="3"/>
        <v>9h</v>
      </c>
    </row>
    <row r="72" spans="1:8" x14ac:dyDescent="0.25">
      <c r="A72" s="10" t="s">
        <v>302</v>
      </c>
      <c r="B72" s="194">
        <v>0.40972222222222221</v>
      </c>
      <c r="C72" s="116">
        <v>1</v>
      </c>
      <c r="D72" s="116">
        <v>1</v>
      </c>
      <c r="E72" s="116">
        <v>0</v>
      </c>
      <c r="F72" s="116" t="s">
        <v>3370</v>
      </c>
      <c r="G72" s="162" t="str">
        <f t="shared" si="2"/>
        <v>Pintura</v>
      </c>
      <c r="H72" s="161" t="str">
        <f t="shared" si="3"/>
        <v>9h</v>
      </c>
    </row>
    <row r="73" spans="1:8" x14ac:dyDescent="0.25">
      <c r="A73" s="10" t="s">
        <v>302</v>
      </c>
      <c r="B73" s="194">
        <v>0.45555555555555555</v>
      </c>
      <c r="C73" s="116">
        <v>1</v>
      </c>
      <c r="D73" s="116">
        <v>1</v>
      </c>
      <c r="E73" s="116">
        <v>0</v>
      </c>
      <c r="F73" s="116" t="s">
        <v>3371</v>
      </c>
      <c r="G73" s="162" t="str">
        <f t="shared" si="2"/>
        <v>Pintura</v>
      </c>
      <c r="H73" s="161" t="str">
        <f t="shared" si="3"/>
        <v>10h</v>
      </c>
    </row>
    <row r="74" spans="1:8" x14ac:dyDescent="0.25">
      <c r="A74" s="10" t="s">
        <v>302</v>
      </c>
      <c r="B74" s="194">
        <v>0.54027777777777775</v>
      </c>
      <c r="C74" s="116">
        <v>1</v>
      </c>
      <c r="D74" s="116">
        <v>1</v>
      </c>
      <c r="E74" s="116">
        <v>0</v>
      </c>
      <c r="F74" s="116" t="s">
        <v>3367</v>
      </c>
      <c r="G74" s="162" t="str">
        <f t="shared" si="2"/>
        <v>Pintura</v>
      </c>
      <c r="H74" s="161" t="str">
        <f t="shared" si="3"/>
        <v>12h</v>
      </c>
    </row>
    <row r="75" spans="1:8" x14ac:dyDescent="0.25">
      <c r="A75" s="10" t="s">
        <v>302</v>
      </c>
      <c r="B75" s="194">
        <v>0.55486111111111114</v>
      </c>
      <c r="C75" s="116">
        <v>1</v>
      </c>
      <c r="D75" s="116">
        <v>1</v>
      </c>
      <c r="E75" s="116">
        <v>0</v>
      </c>
      <c r="F75" s="116" t="s">
        <v>3368</v>
      </c>
      <c r="G75" s="162" t="str">
        <f t="shared" si="2"/>
        <v>Pintura</v>
      </c>
      <c r="H75" s="161" t="str">
        <f t="shared" si="3"/>
        <v>13h</v>
      </c>
    </row>
    <row r="76" spans="1:8" x14ac:dyDescent="0.25">
      <c r="A76" s="10" t="s">
        <v>302</v>
      </c>
      <c r="B76" s="194">
        <v>0.57291666666666663</v>
      </c>
      <c r="C76" s="116">
        <v>1</v>
      </c>
      <c r="D76" s="116">
        <v>1</v>
      </c>
      <c r="E76" s="116">
        <v>1</v>
      </c>
      <c r="F76" s="116" t="s">
        <v>3368</v>
      </c>
      <c r="G76" s="162" t="str">
        <f t="shared" si="2"/>
        <v>Pintura</v>
      </c>
      <c r="H76" s="161" t="str">
        <f t="shared" si="3"/>
        <v>13h</v>
      </c>
    </row>
    <row r="77" spans="1:8" x14ac:dyDescent="0.25">
      <c r="A77" s="10" t="s">
        <v>302</v>
      </c>
      <c r="B77" s="194">
        <v>0.58888888888888891</v>
      </c>
      <c r="C77" s="116">
        <v>1</v>
      </c>
      <c r="D77" s="116">
        <v>1</v>
      </c>
      <c r="E77" s="116">
        <v>0</v>
      </c>
      <c r="F77" s="116" t="s">
        <v>3369</v>
      </c>
      <c r="G77" s="162" t="str">
        <f t="shared" si="2"/>
        <v>Pintura</v>
      </c>
      <c r="H77" s="161" t="str">
        <f t="shared" si="3"/>
        <v>14h</v>
      </c>
    </row>
    <row r="78" spans="1:8" x14ac:dyDescent="0.25">
      <c r="A78" s="10" t="s">
        <v>302</v>
      </c>
      <c r="B78" s="194">
        <v>0.60277777777777775</v>
      </c>
      <c r="C78" s="116">
        <v>1</v>
      </c>
      <c r="D78" s="116">
        <v>1</v>
      </c>
      <c r="E78" s="116">
        <v>0</v>
      </c>
      <c r="F78" s="116" t="s">
        <v>3369</v>
      </c>
      <c r="G78" s="162" t="str">
        <f t="shared" si="2"/>
        <v>Pintura</v>
      </c>
      <c r="H78" s="161" t="str">
        <f t="shared" si="3"/>
        <v>14h</v>
      </c>
    </row>
    <row r="79" spans="1:8" x14ac:dyDescent="0.25">
      <c r="A79" s="10" t="s">
        <v>302</v>
      </c>
      <c r="B79" s="194">
        <v>0.61111111111111116</v>
      </c>
      <c r="C79" s="116">
        <v>1</v>
      </c>
      <c r="D79" s="116">
        <v>1</v>
      </c>
      <c r="E79" s="116">
        <v>0</v>
      </c>
      <c r="F79" s="116" t="s">
        <v>3369</v>
      </c>
      <c r="G79" s="162" t="str">
        <f t="shared" si="2"/>
        <v>Pintura</v>
      </c>
      <c r="H79" s="161" t="str">
        <f t="shared" si="3"/>
        <v>14h</v>
      </c>
    </row>
    <row r="80" spans="1:8" x14ac:dyDescent="0.25">
      <c r="A80" s="10" t="s">
        <v>302</v>
      </c>
      <c r="B80" s="194">
        <v>0.61527777777777781</v>
      </c>
      <c r="C80" s="116">
        <v>1</v>
      </c>
      <c r="D80" s="116">
        <v>3</v>
      </c>
      <c r="E80" s="116">
        <v>1</v>
      </c>
      <c r="F80" s="116" t="s">
        <v>3369</v>
      </c>
      <c r="G80" s="162" t="str">
        <f t="shared" si="2"/>
        <v>Pintura</v>
      </c>
      <c r="H80" s="161" t="str">
        <f t="shared" si="3"/>
        <v>14h</v>
      </c>
    </row>
    <row r="81" spans="1:8" x14ac:dyDescent="0.25">
      <c r="A81" s="10" t="s">
        <v>302</v>
      </c>
      <c r="B81" s="194">
        <v>0.62291666666666667</v>
      </c>
      <c r="C81" s="116">
        <v>0</v>
      </c>
      <c r="D81" s="116">
        <v>2</v>
      </c>
      <c r="E81" s="116">
        <v>1</v>
      </c>
      <c r="F81" s="116" t="s">
        <v>3369</v>
      </c>
      <c r="G81" s="162" t="str">
        <f t="shared" si="2"/>
        <v>Pintura</v>
      </c>
      <c r="H81" s="161" t="str">
        <f t="shared" si="3"/>
        <v>14h</v>
      </c>
    </row>
    <row r="82" spans="1:8" x14ac:dyDescent="0.25">
      <c r="A82" s="10" t="s">
        <v>302</v>
      </c>
      <c r="B82" s="194">
        <v>0.6430555555555556</v>
      </c>
      <c r="C82" s="116">
        <v>1</v>
      </c>
      <c r="D82" s="116">
        <v>2</v>
      </c>
      <c r="E82" s="116">
        <v>0</v>
      </c>
      <c r="F82" s="116" t="s">
        <v>3358</v>
      </c>
      <c r="G82" s="162" t="str">
        <f t="shared" si="2"/>
        <v>Pintura</v>
      </c>
      <c r="H82" s="161" t="str">
        <f t="shared" si="3"/>
        <v>15h</v>
      </c>
    </row>
    <row r="83" spans="1:8" x14ac:dyDescent="0.25">
      <c r="A83" s="10" t="s">
        <v>302</v>
      </c>
      <c r="B83" s="194">
        <v>0.65138888888888891</v>
      </c>
      <c r="C83" s="116">
        <v>1</v>
      </c>
      <c r="D83" s="116">
        <v>2</v>
      </c>
      <c r="E83" s="116">
        <v>0</v>
      </c>
      <c r="F83" s="116" t="s">
        <v>3358</v>
      </c>
      <c r="G83" s="162" t="str">
        <f t="shared" si="2"/>
        <v>Pintura</v>
      </c>
      <c r="H83" s="161" t="str">
        <f t="shared" si="3"/>
        <v>15h</v>
      </c>
    </row>
    <row r="84" spans="1:8" x14ac:dyDescent="0.25">
      <c r="A84" s="10" t="s">
        <v>302</v>
      </c>
      <c r="B84" s="194">
        <v>0.65972222222222221</v>
      </c>
      <c r="C84" s="116">
        <v>1</v>
      </c>
      <c r="D84" s="116">
        <v>2</v>
      </c>
      <c r="E84" s="116">
        <v>0</v>
      </c>
      <c r="F84" s="116" t="s">
        <v>3358</v>
      </c>
      <c r="G84" s="162" t="str">
        <f t="shared" si="2"/>
        <v>Pintura</v>
      </c>
      <c r="H84" s="161" t="str">
        <f t="shared" si="3"/>
        <v>15h</v>
      </c>
    </row>
    <row r="85" spans="1:8" x14ac:dyDescent="0.25">
      <c r="A85" s="10" t="s">
        <v>302</v>
      </c>
      <c r="B85" s="194">
        <v>0.69374999999999998</v>
      </c>
      <c r="C85" s="116">
        <v>1</v>
      </c>
      <c r="D85" s="116">
        <v>3</v>
      </c>
      <c r="E85" s="116">
        <v>1</v>
      </c>
      <c r="F85" s="116" t="s">
        <v>3363</v>
      </c>
      <c r="G85" s="162" t="str">
        <f t="shared" si="2"/>
        <v>Pintura</v>
      </c>
      <c r="H85" s="161" t="str">
        <f t="shared" si="3"/>
        <v>16h</v>
      </c>
    </row>
    <row r="86" spans="1:8" x14ac:dyDescent="0.25">
      <c r="A86" s="10" t="s">
        <v>302</v>
      </c>
      <c r="B86" s="194">
        <v>0.74375000000000002</v>
      </c>
      <c r="C86" s="116">
        <v>1</v>
      </c>
      <c r="D86" s="116">
        <v>3</v>
      </c>
      <c r="E86" s="116">
        <v>0</v>
      </c>
      <c r="F86" s="116" t="s">
        <v>3361</v>
      </c>
      <c r="G86" s="162" t="str">
        <f t="shared" si="2"/>
        <v>Pintura</v>
      </c>
      <c r="H86" s="161" t="str">
        <f t="shared" si="3"/>
        <v>17h</v>
      </c>
    </row>
    <row r="87" spans="1:8" x14ac:dyDescent="0.25">
      <c r="A87" s="10" t="s">
        <v>302</v>
      </c>
      <c r="B87" s="194">
        <v>0.78333333333333333</v>
      </c>
      <c r="C87" s="116">
        <v>1</v>
      </c>
      <c r="D87" s="116">
        <v>3</v>
      </c>
      <c r="E87" s="116">
        <v>0</v>
      </c>
      <c r="F87" s="116" t="s">
        <v>3359</v>
      </c>
      <c r="G87" s="162" t="str">
        <f t="shared" si="2"/>
        <v>Pintura</v>
      </c>
      <c r="H87" s="161" t="str">
        <f t="shared" si="3"/>
        <v>18h</v>
      </c>
    </row>
    <row r="88" spans="1:8" x14ac:dyDescent="0.25">
      <c r="A88" s="10" t="s">
        <v>302</v>
      </c>
      <c r="B88" s="194">
        <v>0.85833333333333328</v>
      </c>
      <c r="C88" s="116">
        <v>1</v>
      </c>
      <c r="D88" s="116">
        <v>3</v>
      </c>
      <c r="E88" s="116">
        <v>0</v>
      </c>
      <c r="F88" s="116" t="s">
        <v>3364</v>
      </c>
      <c r="G88" s="162" t="str">
        <f t="shared" si="2"/>
        <v>Pintura</v>
      </c>
      <c r="H88" s="161" t="str">
        <f t="shared" si="3"/>
        <v>20h</v>
      </c>
    </row>
    <row r="89" spans="1:8" x14ac:dyDescent="0.25">
      <c r="A89" s="10" t="s">
        <v>302</v>
      </c>
      <c r="B89" s="194">
        <v>0.87291666666666667</v>
      </c>
      <c r="C89" s="116">
        <v>1</v>
      </c>
      <c r="D89" s="116">
        <v>3</v>
      </c>
      <c r="E89" s="116">
        <v>0</v>
      </c>
      <c r="F89" s="116" t="s">
        <v>3364</v>
      </c>
      <c r="G89" s="162" t="str">
        <f t="shared" si="2"/>
        <v>Pintura</v>
      </c>
      <c r="H89" s="161" t="str">
        <f t="shared" si="3"/>
        <v>20h</v>
      </c>
    </row>
    <row r="90" spans="1:8" x14ac:dyDescent="0.25">
      <c r="A90" s="10" t="s">
        <v>302</v>
      </c>
      <c r="B90" s="194">
        <v>0.89375000000000004</v>
      </c>
      <c r="C90" s="116">
        <v>1</v>
      </c>
      <c r="D90" s="116">
        <v>3</v>
      </c>
      <c r="E90" s="116">
        <v>0</v>
      </c>
      <c r="F90" s="116" t="s">
        <v>3360</v>
      </c>
      <c r="G90" s="162" t="str">
        <f t="shared" si="2"/>
        <v>Pintura</v>
      </c>
      <c r="H90" s="161" t="str">
        <f t="shared" si="3"/>
        <v>21h</v>
      </c>
    </row>
    <row r="91" spans="1:8" x14ac:dyDescent="0.25">
      <c r="A91" s="10" t="s">
        <v>302</v>
      </c>
      <c r="B91" s="194">
        <v>0.89722222222222225</v>
      </c>
      <c r="C91" s="116">
        <v>1</v>
      </c>
      <c r="D91" s="116">
        <v>3</v>
      </c>
      <c r="E91" s="116">
        <v>1</v>
      </c>
      <c r="F91" s="116" t="s">
        <v>3360</v>
      </c>
      <c r="G91" s="162" t="str">
        <f t="shared" si="2"/>
        <v>Pintura</v>
      </c>
      <c r="H91" s="161" t="str">
        <f t="shared" si="3"/>
        <v>21h</v>
      </c>
    </row>
    <row r="92" spans="1:8" x14ac:dyDescent="0.25">
      <c r="A92" s="10" t="s">
        <v>302</v>
      </c>
      <c r="B92" s="194">
        <v>0.91527777777777775</v>
      </c>
      <c r="C92" s="116">
        <v>1</v>
      </c>
      <c r="D92" s="116">
        <v>3</v>
      </c>
      <c r="E92" s="116">
        <v>0</v>
      </c>
      <c r="F92" s="116" t="s">
        <v>3360</v>
      </c>
      <c r="G92" s="162" t="str">
        <f t="shared" si="2"/>
        <v>Pintura</v>
      </c>
      <c r="H92" s="161" t="str">
        <f t="shared" si="3"/>
        <v>21h</v>
      </c>
    </row>
    <row r="93" spans="1:8" x14ac:dyDescent="0.25">
      <c r="A93" s="10" t="s">
        <v>302</v>
      </c>
      <c r="B93" s="194">
        <v>0.92083333333333328</v>
      </c>
      <c r="C93" s="116">
        <v>1</v>
      </c>
      <c r="D93" s="116">
        <v>3</v>
      </c>
      <c r="E93" s="116">
        <v>0</v>
      </c>
      <c r="F93" s="116" t="s">
        <v>3362</v>
      </c>
      <c r="G93" s="162" t="str">
        <f t="shared" si="2"/>
        <v>Pintura</v>
      </c>
      <c r="H93" s="161" t="str">
        <f t="shared" si="3"/>
        <v>22h</v>
      </c>
    </row>
    <row r="94" spans="1:8" x14ac:dyDescent="0.25">
      <c r="A94" s="10" t="s">
        <v>307</v>
      </c>
      <c r="B94" s="194">
        <v>0.27777777777777779</v>
      </c>
      <c r="C94" s="116">
        <v>1</v>
      </c>
      <c r="D94" s="116">
        <v>3</v>
      </c>
      <c r="E94" s="116">
        <v>0</v>
      </c>
      <c r="F94" s="116" t="s">
        <v>3372</v>
      </c>
      <c r="G94" s="162" t="str">
        <f t="shared" si="2"/>
        <v>Pintura</v>
      </c>
      <c r="H94" s="161" t="str">
        <f t="shared" si="3"/>
        <v>6h</v>
      </c>
    </row>
    <row r="95" spans="1:8" x14ac:dyDescent="0.25">
      <c r="A95" s="10" t="s">
        <v>307</v>
      </c>
      <c r="B95" s="194">
        <v>0.30763888888888891</v>
      </c>
      <c r="C95" s="116">
        <v>1</v>
      </c>
      <c r="D95" s="116">
        <v>3</v>
      </c>
      <c r="E95" s="116">
        <v>0</v>
      </c>
      <c r="F95" s="116" t="s">
        <v>3373</v>
      </c>
      <c r="G95" s="162" t="str">
        <f t="shared" si="2"/>
        <v>Pintura</v>
      </c>
      <c r="H95" s="161" t="str">
        <f t="shared" si="3"/>
        <v>7h</v>
      </c>
    </row>
    <row r="96" spans="1:8" x14ac:dyDescent="0.25">
      <c r="A96" s="10" t="s">
        <v>307</v>
      </c>
      <c r="B96" s="194">
        <v>0.33611111111111114</v>
      </c>
      <c r="C96" s="116">
        <v>1</v>
      </c>
      <c r="D96" s="116">
        <v>3</v>
      </c>
      <c r="E96" s="116">
        <v>1</v>
      </c>
      <c r="F96" s="116" t="s">
        <v>3374</v>
      </c>
      <c r="G96" s="162" t="str">
        <f t="shared" si="2"/>
        <v>Pintura</v>
      </c>
      <c r="H96" s="161" t="str">
        <f t="shared" si="3"/>
        <v>8h</v>
      </c>
    </row>
    <row r="97" spans="1:8" x14ac:dyDescent="0.25">
      <c r="A97" s="10" t="s">
        <v>307</v>
      </c>
      <c r="B97" s="194">
        <v>0.34583333333333333</v>
      </c>
      <c r="C97" s="116">
        <v>1</v>
      </c>
      <c r="D97" s="116">
        <v>3</v>
      </c>
      <c r="E97" s="116">
        <v>0</v>
      </c>
      <c r="F97" s="116" t="s">
        <v>3374</v>
      </c>
      <c r="G97" s="162" t="str">
        <f t="shared" si="2"/>
        <v>Pintura</v>
      </c>
      <c r="H97" s="161" t="str">
        <f t="shared" si="3"/>
        <v>8h</v>
      </c>
    </row>
    <row r="98" spans="1:8" x14ac:dyDescent="0.25">
      <c r="A98" s="10" t="s">
        <v>307</v>
      </c>
      <c r="B98" s="194">
        <v>0.35</v>
      </c>
      <c r="C98" s="116">
        <v>1</v>
      </c>
      <c r="D98" s="116">
        <v>3</v>
      </c>
      <c r="E98" s="116">
        <v>0</v>
      </c>
      <c r="F98" s="116" t="s">
        <v>3374</v>
      </c>
      <c r="G98" s="162" t="str">
        <f t="shared" si="2"/>
        <v>Pintura</v>
      </c>
      <c r="H98" s="161" t="str">
        <f t="shared" si="3"/>
        <v>8h</v>
      </c>
    </row>
    <row r="99" spans="1:8" x14ac:dyDescent="0.25">
      <c r="A99" s="10" t="s">
        <v>307</v>
      </c>
      <c r="B99" s="194">
        <v>0.36875000000000002</v>
      </c>
      <c r="C99" s="116">
        <v>0</v>
      </c>
      <c r="D99" s="116">
        <v>3</v>
      </c>
      <c r="E99" s="116">
        <v>0</v>
      </c>
      <c r="F99" s="116" t="s">
        <v>3374</v>
      </c>
      <c r="G99" s="162" t="str">
        <f t="shared" si="2"/>
        <v>Pintura</v>
      </c>
      <c r="H99" s="161" t="str">
        <f t="shared" si="3"/>
        <v>8h</v>
      </c>
    </row>
    <row r="100" spans="1:8" x14ac:dyDescent="0.25">
      <c r="A100" s="10" t="s">
        <v>307</v>
      </c>
      <c r="B100" s="194">
        <v>0.38541666666666669</v>
      </c>
      <c r="C100" s="116">
        <v>1</v>
      </c>
      <c r="D100" s="116">
        <v>3</v>
      </c>
      <c r="E100" s="116">
        <v>0</v>
      </c>
      <c r="F100" s="116" t="s">
        <v>3370</v>
      </c>
      <c r="G100" s="162" t="str">
        <f t="shared" si="2"/>
        <v>Pintura</v>
      </c>
      <c r="H100" s="161" t="str">
        <f t="shared" si="3"/>
        <v>9h</v>
      </c>
    </row>
    <row r="101" spans="1:8" x14ac:dyDescent="0.25">
      <c r="A101" s="10" t="s">
        <v>307</v>
      </c>
      <c r="B101" s="194">
        <v>0.39652777777777776</v>
      </c>
      <c r="C101" s="116">
        <v>1</v>
      </c>
      <c r="D101" s="116">
        <v>3</v>
      </c>
      <c r="E101" s="116">
        <v>0</v>
      </c>
      <c r="F101" s="116" t="s">
        <v>3370</v>
      </c>
      <c r="G101" s="162" t="str">
        <f t="shared" si="2"/>
        <v>Pintura</v>
      </c>
      <c r="H101" s="161" t="str">
        <f t="shared" si="3"/>
        <v>9h</v>
      </c>
    </row>
    <row r="102" spans="1:8" x14ac:dyDescent="0.25">
      <c r="A102" s="10" t="s">
        <v>307</v>
      </c>
      <c r="B102" s="194">
        <v>0.40347222222222223</v>
      </c>
      <c r="C102" s="116">
        <v>0</v>
      </c>
      <c r="D102" s="116">
        <v>3</v>
      </c>
      <c r="E102" s="116">
        <v>0</v>
      </c>
      <c r="F102" s="116" t="s">
        <v>3370</v>
      </c>
      <c r="G102" s="162" t="str">
        <f t="shared" si="2"/>
        <v>Pintura</v>
      </c>
      <c r="H102" s="161" t="str">
        <f t="shared" si="3"/>
        <v>9h</v>
      </c>
    </row>
    <row r="103" spans="1:8" x14ac:dyDescent="0.25">
      <c r="A103" s="10" t="s">
        <v>307</v>
      </c>
      <c r="B103" s="194">
        <v>0.41458333333333336</v>
      </c>
      <c r="C103" s="116">
        <v>1</v>
      </c>
      <c r="D103" s="116">
        <v>3</v>
      </c>
      <c r="E103" s="116">
        <v>0</v>
      </c>
      <c r="F103" s="116" t="s">
        <v>3370</v>
      </c>
      <c r="G103" s="162" t="str">
        <f t="shared" si="2"/>
        <v>Pintura</v>
      </c>
      <c r="H103" s="161" t="str">
        <f t="shared" si="3"/>
        <v>9h</v>
      </c>
    </row>
    <row r="104" spans="1:8" x14ac:dyDescent="0.25">
      <c r="A104" s="10" t="s">
        <v>307</v>
      </c>
      <c r="B104" s="194">
        <v>0.42708333333333331</v>
      </c>
      <c r="C104" s="116">
        <v>0</v>
      </c>
      <c r="D104" s="116">
        <v>3</v>
      </c>
      <c r="E104" s="116">
        <v>0</v>
      </c>
      <c r="F104" s="116" t="s">
        <v>3371</v>
      </c>
      <c r="G104" s="162" t="str">
        <f t="shared" si="2"/>
        <v>Pintura</v>
      </c>
      <c r="H104" s="161" t="str">
        <f t="shared" si="3"/>
        <v>10h</v>
      </c>
    </row>
    <row r="105" spans="1:8" x14ac:dyDescent="0.25">
      <c r="A105" s="10" t="s">
        <v>307</v>
      </c>
      <c r="B105" s="194">
        <v>0.43402777777777779</v>
      </c>
      <c r="C105" s="116">
        <v>1</v>
      </c>
      <c r="D105" s="116">
        <v>3</v>
      </c>
      <c r="E105" s="116">
        <v>0</v>
      </c>
      <c r="F105" s="116" t="s">
        <v>3371</v>
      </c>
      <c r="G105" s="162" t="str">
        <f t="shared" si="2"/>
        <v>Pintura</v>
      </c>
      <c r="H105" s="161" t="str">
        <f t="shared" si="3"/>
        <v>10h</v>
      </c>
    </row>
    <row r="106" spans="1:8" x14ac:dyDescent="0.25">
      <c r="A106" s="10" t="s">
        <v>307</v>
      </c>
      <c r="B106" s="194">
        <v>0.4465277777777778</v>
      </c>
      <c r="C106" s="116">
        <v>0</v>
      </c>
      <c r="D106" s="116">
        <v>3</v>
      </c>
      <c r="E106" s="116">
        <v>0</v>
      </c>
      <c r="F106" s="116" t="s">
        <v>3371</v>
      </c>
      <c r="G106" s="162" t="str">
        <f t="shared" si="2"/>
        <v>Pintura</v>
      </c>
      <c r="H106" s="161" t="str">
        <f t="shared" si="3"/>
        <v>10h</v>
      </c>
    </row>
    <row r="107" spans="1:8" x14ac:dyDescent="0.25">
      <c r="A107" s="10" t="s">
        <v>307</v>
      </c>
      <c r="B107" s="194">
        <v>0.45833333333333331</v>
      </c>
      <c r="C107" s="116">
        <v>1</v>
      </c>
      <c r="D107" s="116">
        <v>3</v>
      </c>
      <c r="E107" s="116">
        <v>0</v>
      </c>
      <c r="F107" s="116" t="s">
        <v>3375</v>
      </c>
      <c r="G107" s="162" t="str">
        <f t="shared" si="2"/>
        <v>Pintura</v>
      </c>
      <c r="H107" s="161" t="str">
        <f t="shared" si="3"/>
        <v>11h</v>
      </c>
    </row>
    <row r="108" spans="1:8" x14ac:dyDescent="0.25">
      <c r="A108" s="10" t="s">
        <v>307</v>
      </c>
      <c r="B108" s="194">
        <v>0.51249999999999996</v>
      </c>
      <c r="C108" s="116">
        <v>1</v>
      </c>
      <c r="D108" s="116">
        <v>3</v>
      </c>
      <c r="E108" s="116">
        <v>1</v>
      </c>
      <c r="F108" s="116" t="s">
        <v>3367</v>
      </c>
      <c r="G108" s="162" t="str">
        <f t="shared" si="2"/>
        <v>Pintura</v>
      </c>
      <c r="H108" s="161" t="str">
        <f t="shared" si="3"/>
        <v>12h</v>
      </c>
    </row>
    <row r="109" spans="1:8" x14ac:dyDescent="0.25">
      <c r="A109" s="10" t="s">
        <v>307</v>
      </c>
      <c r="B109" s="194">
        <v>0.51666666666666672</v>
      </c>
      <c r="C109" s="116">
        <v>1</v>
      </c>
      <c r="D109" s="116">
        <v>3</v>
      </c>
      <c r="E109" s="116">
        <v>0</v>
      </c>
      <c r="F109" s="116" t="s">
        <v>3367</v>
      </c>
      <c r="G109" s="162" t="str">
        <f t="shared" si="2"/>
        <v>Pintura</v>
      </c>
      <c r="H109" s="161" t="str">
        <f t="shared" si="3"/>
        <v>12h</v>
      </c>
    </row>
    <row r="110" spans="1:8" x14ac:dyDescent="0.25">
      <c r="A110" s="10" t="s">
        <v>307</v>
      </c>
      <c r="B110" s="194">
        <v>0.52777777777777779</v>
      </c>
      <c r="C110" s="116">
        <v>1</v>
      </c>
      <c r="D110" s="116">
        <v>3</v>
      </c>
      <c r="E110" s="116">
        <v>0</v>
      </c>
      <c r="F110" s="116" t="s">
        <v>3367</v>
      </c>
      <c r="G110" s="162" t="str">
        <f t="shared" si="2"/>
        <v>Pintura</v>
      </c>
      <c r="H110" s="161" t="str">
        <f t="shared" si="3"/>
        <v>12h</v>
      </c>
    </row>
    <row r="111" spans="1:8" x14ac:dyDescent="0.25">
      <c r="A111" s="10" t="s">
        <v>315</v>
      </c>
      <c r="B111" s="194">
        <v>0.27916666666666667</v>
      </c>
      <c r="C111" s="116">
        <v>1</v>
      </c>
      <c r="D111" s="116"/>
      <c r="E111" s="116">
        <v>0</v>
      </c>
      <c r="F111" s="116" t="s">
        <v>3372</v>
      </c>
      <c r="G111" s="162" t="str">
        <f t="shared" si="2"/>
        <v>Pintura</v>
      </c>
      <c r="H111" s="161" t="str">
        <f t="shared" si="3"/>
        <v>6h</v>
      </c>
    </row>
    <row r="112" spans="1:8" x14ac:dyDescent="0.25">
      <c r="A112" s="10" t="s">
        <v>315</v>
      </c>
      <c r="B112" s="194">
        <v>0.28194444444444444</v>
      </c>
      <c r="C112" s="116">
        <v>1</v>
      </c>
      <c r="D112" s="116"/>
      <c r="E112" s="116">
        <v>1</v>
      </c>
      <c r="F112" s="116" t="s">
        <v>3372</v>
      </c>
      <c r="G112" s="162" t="str">
        <f t="shared" si="2"/>
        <v>Pintura</v>
      </c>
      <c r="H112" s="161" t="str">
        <f t="shared" si="3"/>
        <v>6h</v>
      </c>
    </row>
    <row r="113" spans="1:8" x14ac:dyDescent="0.25">
      <c r="A113" s="10" t="s">
        <v>315</v>
      </c>
      <c r="B113" s="194">
        <v>0.28888888888888886</v>
      </c>
      <c r="C113" s="116">
        <v>1</v>
      </c>
      <c r="D113" s="116">
        <v>3</v>
      </c>
      <c r="E113" s="116">
        <v>1</v>
      </c>
      <c r="F113" s="116" t="s">
        <v>3372</v>
      </c>
      <c r="G113" s="162" t="str">
        <f t="shared" si="2"/>
        <v>Pintura</v>
      </c>
      <c r="H113" s="161" t="str">
        <f t="shared" si="3"/>
        <v>6h</v>
      </c>
    </row>
    <row r="114" spans="1:8" x14ac:dyDescent="0.25">
      <c r="A114" s="10" t="s">
        <v>315</v>
      </c>
      <c r="B114" s="194">
        <v>0.40486111111111112</v>
      </c>
      <c r="C114" s="116">
        <v>1</v>
      </c>
      <c r="D114" s="116">
        <v>3</v>
      </c>
      <c r="E114" s="116">
        <v>0</v>
      </c>
      <c r="F114" s="116" t="s">
        <v>3370</v>
      </c>
      <c r="G114" s="162" t="str">
        <f t="shared" si="2"/>
        <v>Pintura</v>
      </c>
      <c r="H114" s="161" t="str">
        <f t="shared" si="3"/>
        <v>9h</v>
      </c>
    </row>
    <row r="115" spans="1:8" x14ac:dyDescent="0.25">
      <c r="A115" s="10" t="s">
        <v>315</v>
      </c>
      <c r="B115" s="194">
        <v>0.55694444444444446</v>
      </c>
      <c r="C115" s="116">
        <v>1</v>
      </c>
      <c r="D115" s="116">
        <v>3</v>
      </c>
      <c r="E115" s="116">
        <v>0</v>
      </c>
      <c r="F115" s="116" t="s">
        <v>3368</v>
      </c>
      <c r="G115" s="162" t="str">
        <f t="shared" si="2"/>
        <v>Pintura</v>
      </c>
      <c r="H115" s="161" t="str">
        <f t="shared" si="3"/>
        <v>13h</v>
      </c>
    </row>
    <row r="116" spans="1:8" x14ac:dyDescent="0.25">
      <c r="A116" s="10" t="s">
        <v>315</v>
      </c>
      <c r="B116" s="194">
        <v>0.67777777777777781</v>
      </c>
      <c r="C116" s="116">
        <v>1</v>
      </c>
      <c r="D116" s="116">
        <v>3</v>
      </c>
      <c r="E116" s="116">
        <v>0</v>
      </c>
      <c r="F116" s="116" t="s">
        <v>3363</v>
      </c>
      <c r="G116" s="162" t="str">
        <f t="shared" si="2"/>
        <v>Pintura</v>
      </c>
      <c r="H116" s="161" t="str">
        <f t="shared" si="3"/>
        <v>16h</v>
      </c>
    </row>
    <row r="117" spans="1:8" x14ac:dyDescent="0.25">
      <c r="A117" s="10" t="s">
        <v>315</v>
      </c>
      <c r="B117" s="194">
        <v>0.75972222222222219</v>
      </c>
      <c r="C117" s="116">
        <v>1</v>
      </c>
      <c r="D117" s="116">
        <v>3</v>
      </c>
      <c r="E117" s="116">
        <v>0</v>
      </c>
      <c r="F117" s="116" t="s">
        <v>3359</v>
      </c>
      <c r="G117" s="162" t="str">
        <f t="shared" si="2"/>
        <v>Pintura</v>
      </c>
      <c r="H117" s="161" t="str">
        <f t="shared" si="3"/>
        <v>18h</v>
      </c>
    </row>
    <row r="118" spans="1:8" x14ac:dyDescent="0.25">
      <c r="A118" s="10" t="s">
        <v>315</v>
      </c>
      <c r="B118" s="194">
        <v>0.77013888888888893</v>
      </c>
      <c r="C118" s="116">
        <v>1</v>
      </c>
      <c r="D118" s="116">
        <v>3</v>
      </c>
      <c r="E118" s="116">
        <v>0</v>
      </c>
      <c r="F118" s="116" t="s">
        <v>3359</v>
      </c>
      <c r="G118" s="162" t="str">
        <f t="shared" si="2"/>
        <v>Pintura</v>
      </c>
      <c r="H118" s="161" t="str">
        <f t="shared" si="3"/>
        <v>18h</v>
      </c>
    </row>
    <row r="119" spans="1:8" x14ac:dyDescent="0.25">
      <c r="A119" s="10" t="s">
        <v>315</v>
      </c>
      <c r="B119" s="194">
        <v>0.81111111111111112</v>
      </c>
      <c r="C119" s="116">
        <v>1</v>
      </c>
      <c r="D119" s="116">
        <v>3</v>
      </c>
      <c r="E119" s="116">
        <v>0</v>
      </c>
      <c r="F119" s="116" t="s">
        <v>3366</v>
      </c>
      <c r="G119" s="162" t="str">
        <f t="shared" si="2"/>
        <v>Pintura</v>
      </c>
      <c r="H119" s="161" t="str">
        <f t="shared" si="3"/>
        <v>19h</v>
      </c>
    </row>
    <row r="120" spans="1:8" x14ac:dyDescent="0.25">
      <c r="A120" s="10" t="s">
        <v>315</v>
      </c>
      <c r="B120" s="194">
        <v>0.85486111111111107</v>
      </c>
      <c r="C120" s="116">
        <v>1</v>
      </c>
      <c r="D120" s="116">
        <v>3</v>
      </c>
      <c r="E120" s="116">
        <v>1</v>
      </c>
      <c r="F120" s="116" t="s">
        <v>3364</v>
      </c>
      <c r="G120" s="162" t="str">
        <f t="shared" si="2"/>
        <v>Pintura</v>
      </c>
      <c r="H120" s="161" t="str">
        <f t="shared" si="3"/>
        <v>20h</v>
      </c>
    </row>
    <row r="121" spans="1:8" x14ac:dyDescent="0.25">
      <c r="A121" s="10" t="s">
        <v>315</v>
      </c>
      <c r="B121" s="194">
        <v>0.85833333333333328</v>
      </c>
      <c r="C121" s="116">
        <v>1</v>
      </c>
      <c r="D121" s="116">
        <v>3</v>
      </c>
      <c r="E121" s="116">
        <v>0</v>
      </c>
      <c r="F121" s="116" t="s">
        <v>3364</v>
      </c>
      <c r="G121" s="162" t="str">
        <f t="shared" si="2"/>
        <v>Pintura</v>
      </c>
      <c r="H121" s="161" t="str">
        <f t="shared" si="3"/>
        <v>20h</v>
      </c>
    </row>
    <row r="122" spans="1:8" x14ac:dyDescent="0.25">
      <c r="A122" s="10" t="s">
        <v>315</v>
      </c>
      <c r="B122" s="194">
        <v>0.87222222222222223</v>
      </c>
      <c r="C122" s="116">
        <v>1</v>
      </c>
      <c r="D122" s="116">
        <v>3</v>
      </c>
      <c r="E122" s="116">
        <v>0</v>
      </c>
      <c r="F122" s="116" t="s">
        <v>3364</v>
      </c>
      <c r="G122" s="162" t="str">
        <f t="shared" si="2"/>
        <v>Pintura</v>
      </c>
      <c r="H122" s="161" t="str">
        <f t="shared" si="3"/>
        <v>20h</v>
      </c>
    </row>
    <row r="123" spans="1:8" x14ac:dyDescent="0.25">
      <c r="A123" s="10" t="s">
        <v>315</v>
      </c>
      <c r="B123" s="194">
        <v>0.91388888888888886</v>
      </c>
      <c r="C123" s="116">
        <v>1</v>
      </c>
      <c r="D123" s="116">
        <v>3</v>
      </c>
      <c r="E123" s="116">
        <v>0</v>
      </c>
      <c r="F123" s="116" t="s">
        <v>3360</v>
      </c>
      <c r="G123" s="162" t="str">
        <f t="shared" si="2"/>
        <v>Pintura</v>
      </c>
      <c r="H123" s="161" t="str">
        <f t="shared" si="3"/>
        <v>21h</v>
      </c>
    </row>
    <row r="124" spans="1:8" x14ac:dyDescent="0.25">
      <c r="A124" s="10" t="s">
        <v>315</v>
      </c>
      <c r="B124" s="194">
        <v>0.95486111111111116</v>
      </c>
      <c r="C124" s="116">
        <v>1</v>
      </c>
      <c r="D124" s="116">
        <v>3</v>
      </c>
      <c r="E124" s="116">
        <v>0</v>
      </c>
      <c r="F124" s="116" t="s">
        <v>3362</v>
      </c>
      <c r="G124" s="162" t="str">
        <f t="shared" si="2"/>
        <v>Pintura</v>
      </c>
      <c r="H124" s="161" t="str">
        <f t="shared" si="3"/>
        <v>22h</v>
      </c>
    </row>
    <row r="125" spans="1:8" x14ac:dyDescent="0.25">
      <c r="A125" s="10" t="s">
        <v>315</v>
      </c>
      <c r="B125" s="194">
        <v>0.99861111111111112</v>
      </c>
      <c r="C125" s="116">
        <v>1</v>
      </c>
      <c r="D125" s="116">
        <v>3</v>
      </c>
      <c r="E125" s="116">
        <v>0</v>
      </c>
      <c r="F125" s="116" t="s">
        <v>3365</v>
      </c>
      <c r="G125" s="162" t="str">
        <f t="shared" si="2"/>
        <v>Pintura</v>
      </c>
      <c r="H125" s="161" t="str">
        <f t="shared" si="3"/>
        <v>23h</v>
      </c>
    </row>
    <row r="126" spans="1:8" x14ac:dyDescent="0.25">
      <c r="A126" s="10" t="s">
        <v>319</v>
      </c>
      <c r="B126" s="194">
        <v>0.28819444444444442</v>
      </c>
      <c r="C126" s="116">
        <v>1</v>
      </c>
      <c r="D126" s="116">
        <v>3</v>
      </c>
      <c r="E126" s="116">
        <v>0</v>
      </c>
      <c r="F126" s="116" t="s">
        <v>3372</v>
      </c>
      <c r="G126" s="162" t="str">
        <f t="shared" si="2"/>
        <v>Pintura</v>
      </c>
      <c r="H126" s="161" t="str">
        <f t="shared" si="3"/>
        <v>6h</v>
      </c>
    </row>
    <row r="127" spans="1:8" x14ac:dyDescent="0.25">
      <c r="A127" s="10" t="s">
        <v>319</v>
      </c>
      <c r="B127" s="194">
        <v>0.29375000000000001</v>
      </c>
      <c r="C127" s="116">
        <v>1</v>
      </c>
      <c r="D127" s="116">
        <v>2</v>
      </c>
      <c r="E127" s="116">
        <v>1</v>
      </c>
      <c r="F127" s="116" t="s">
        <v>3373</v>
      </c>
      <c r="G127" s="162" t="str">
        <f t="shared" si="2"/>
        <v>Pintura</v>
      </c>
      <c r="H127" s="161" t="str">
        <f t="shared" si="3"/>
        <v>7h</v>
      </c>
    </row>
    <row r="128" spans="1:8" x14ac:dyDescent="0.25">
      <c r="A128" s="10" t="s">
        <v>319</v>
      </c>
      <c r="B128" s="194">
        <v>0.29444444444444445</v>
      </c>
      <c r="C128" s="116">
        <v>1</v>
      </c>
      <c r="D128" s="116">
        <v>2</v>
      </c>
      <c r="E128" s="116">
        <v>0</v>
      </c>
      <c r="F128" s="116" t="s">
        <v>3373</v>
      </c>
      <c r="G128" s="162" t="str">
        <f t="shared" si="2"/>
        <v>Pintura</v>
      </c>
      <c r="H128" s="161" t="str">
        <f t="shared" si="3"/>
        <v>7h</v>
      </c>
    </row>
    <row r="129" spans="1:8" x14ac:dyDescent="0.25">
      <c r="A129" s="10" t="s">
        <v>319</v>
      </c>
      <c r="B129" s="194">
        <v>0.2986111111111111</v>
      </c>
      <c r="C129" s="116">
        <v>1</v>
      </c>
      <c r="D129" s="116">
        <v>2</v>
      </c>
      <c r="E129" s="116">
        <v>1</v>
      </c>
      <c r="F129" s="116" t="s">
        <v>3373</v>
      </c>
      <c r="G129" s="162" t="str">
        <f t="shared" si="2"/>
        <v>Pintura</v>
      </c>
      <c r="H129" s="161" t="str">
        <f t="shared" si="3"/>
        <v>7h</v>
      </c>
    </row>
    <row r="130" spans="1:8" x14ac:dyDescent="0.25">
      <c r="A130" s="10" t="s">
        <v>319</v>
      </c>
      <c r="B130" s="194">
        <v>0.43125000000000002</v>
      </c>
      <c r="C130" s="116">
        <v>1</v>
      </c>
      <c r="D130" s="116">
        <v>2</v>
      </c>
      <c r="E130" s="116">
        <v>1</v>
      </c>
      <c r="F130" s="116" t="s">
        <v>3371</v>
      </c>
      <c r="G130" s="162" t="str">
        <f t="shared" si="2"/>
        <v>Pintura</v>
      </c>
      <c r="H130" s="161" t="str">
        <f t="shared" si="3"/>
        <v>10h</v>
      </c>
    </row>
    <row r="131" spans="1:8" x14ac:dyDescent="0.25">
      <c r="A131" s="10" t="s">
        <v>319</v>
      </c>
      <c r="B131" s="194">
        <v>0.52361111111111114</v>
      </c>
      <c r="C131" s="116">
        <v>1</v>
      </c>
      <c r="D131" s="116">
        <v>2</v>
      </c>
      <c r="E131" s="116">
        <v>0</v>
      </c>
      <c r="F131" s="116" t="s">
        <v>3367</v>
      </c>
      <c r="G131" s="162" t="str">
        <f t="shared" ref="G131:G194" si="4">IF(LEFT(A131,3)="S7P","Pintura",IF(LEFT(A131,3)="S7M","Montagem",
IF(LEFT(A131,3)="S7S","Serigrafia"," ")))</f>
        <v>Pintura</v>
      </c>
      <c r="H131" s="161" t="str">
        <f t="shared" ref="H131:H194" si="5">VALUE(LEFT(F131,2))&amp;"h"</f>
        <v>12h</v>
      </c>
    </row>
    <row r="132" spans="1:8" x14ac:dyDescent="0.25">
      <c r="A132" s="10" t="s">
        <v>319</v>
      </c>
      <c r="B132" s="194">
        <v>0.55763888888888891</v>
      </c>
      <c r="C132" s="116">
        <v>0</v>
      </c>
      <c r="D132" s="116">
        <v>2</v>
      </c>
      <c r="E132" s="116">
        <v>1</v>
      </c>
      <c r="F132" s="116" t="s">
        <v>3368</v>
      </c>
      <c r="G132" s="162" t="str">
        <f t="shared" si="4"/>
        <v>Pintura</v>
      </c>
      <c r="H132" s="161" t="str">
        <f t="shared" si="5"/>
        <v>13h</v>
      </c>
    </row>
    <row r="133" spans="1:8" x14ac:dyDescent="0.25">
      <c r="A133" s="10" t="s">
        <v>319</v>
      </c>
      <c r="B133" s="194">
        <v>0.59375</v>
      </c>
      <c r="C133" s="116">
        <v>1</v>
      </c>
      <c r="D133" s="116">
        <v>2</v>
      </c>
      <c r="E133" s="116">
        <v>1</v>
      </c>
      <c r="F133" s="116" t="s">
        <v>3369</v>
      </c>
      <c r="G133" s="162" t="str">
        <f t="shared" si="4"/>
        <v>Pintura</v>
      </c>
      <c r="H133" s="161" t="str">
        <f t="shared" si="5"/>
        <v>14h</v>
      </c>
    </row>
    <row r="134" spans="1:8" x14ac:dyDescent="0.25">
      <c r="A134" s="10" t="s">
        <v>319</v>
      </c>
      <c r="B134" s="194">
        <v>0.62152777777777779</v>
      </c>
      <c r="C134" s="116">
        <v>1</v>
      </c>
      <c r="D134" s="116">
        <v>2</v>
      </c>
      <c r="E134" s="116">
        <v>0</v>
      </c>
      <c r="F134" s="116" t="s">
        <v>3369</v>
      </c>
      <c r="G134" s="162" t="str">
        <f t="shared" si="4"/>
        <v>Pintura</v>
      </c>
      <c r="H134" s="161" t="str">
        <f t="shared" si="5"/>
        <v>14h</v>
      </c>
    </row>
    <row r="135" spans="1:8" x14ac:dyDescent="0.25">
      <c r="A135" s="10" t="s">
        <v>319</v>
      </c>
      <c r="B135" s="194">
        <v>0.70347222222222228</v>
      </c>
      <c r="C135" s="116">
        <v>1</v>
      </c>
      <c r="D135" s="116">
        <v>2</v>
      </c>
      <c r="E135" s="116">
        <v>1</v>
      </c>
      <c r="F135" s="116" t="s">
        <v>3363</v>
      </c>
      <c r="G135" s="162" t="str">
        <f t="shared" si="4"/>
        <v>Pintura</v>
      </c>
      <c r="H135" s="161" t="str">
        <f t="shared" si="5"/>
        <v>16h</v>
      </c>
    </row>
    <row r="136" spans="1:8" x14ac:dyDescent="0.25">
      <c r="A136" s="10" t="s">
        <v>319</v>
      </c>
      <c r="B136" s="194">
        <v>0.8666666666666667</v>
      </c>
      <c r="C136" s="116">
        <v>0</v>
      </c>
      <c r="D136" s="116">
        <v>2</v>
      </c>
      <c r="E136" s="116">
        <v>1</v>
      </c>
      <c r="F136" s="116" t="s">
        <v>3364</v>
      </c>
      <c r="G136" s="162" t="str">
        <f t="shared" si="4"/>
        <v>Pintura</v>
      </c>
      <c r="H136" s="161" t="str">
        <f t="shared" si="5"/>
        <v>20h</v>
      </c>
    </row>
    <row r="137" spans="1:8" x14ac:dyDescent="0.25">
      <c r="A137" s="10" t="s">
        <v>319</v>
      </c>
      <c r="B137" s="194">
        <v>0.93055555555555558</v>
      </c>
      <c r="C137" s="116">
        <v>0</v>
      </c>
      <c r="D137" s="116">
        <v>2</v>
      </c>
      <c r="E137" s="116">
        <v>1</v>
      </c>
      <c r="F137" s="116" t="s">
        <v>3362</v>
      </c>
      <c r="G137" s="162" t="str">
        <f t="shared" si="4"/>
        <v>Pintura</v>
      </c>
      <c r="H137" s="161" t="str">
        <f t="shared" si="5"/>
        <v>22h</v>
      </c>
    </row>
    <row r="138" spans="1:8" x14ac:dyDescent="0.25">
      <c r="A138" s="10" t="s">
        <v>319</v>
      </c>
      <c r="B138" s="194">
        <v>0.95694444444444449</v>
      </c>
      <c r="C138" s="116">
        <v>0</v>
      </c>
      <c r="D138" s="116">
        <v>3</v>
      </c>
      <c r="E138" s="116">
        <v>1</v>
      </c>
      <c r="F138" s="116" t="s">
        <v>3362</v>
      </c>
      <c r="G138" s="162" t="str">
        <f t="shared" si="4"/>
        <v>Pintura</v>
      </c>
      <c r="H138" s="161" t="str">
        <f t="shared" si="5"/>
        <v>22h</v>
      </c>
    </row>
    <row r="139" spans="1:8" x14ac:dyDescent="0.25">
      <c r="A139" s="10" t="s">
        <v>322</v>
      </c>
      <c r="B139" s="194">
        <v>0.28333333333333333</v>
      </c>
      <c r="C139" s="116">
        <v>1</v>
      </c>
      <c r="D139" s="116"/>
      <c r="E139" s="116">
        <v>0</v>
      </c>
      <c r="F139" s="116" t="s">
        <v>3372</v>
      </c>
      <c r="G139" s="162" t="str">
        <f t="shared" si="4"/>
        <v>Pintura</v>
      </c>
      <c r="H139" s="161" t="str">
        <f t="shared" si="5"/>
        <v>6h</v>
      </c>
    </row>
    <row r="140" spans="1:8" x14ac:dyDescent="0.25">
      <c r="A140" s="10" t="s">
        <v>322</v>
      </c>
      <c r="B140" s="194">
        <v>0.3347222222222222</v>
      </c>
      <c r="C140" s="116">
        <v>1</v>
      </c>
      <c r="D140" s="116"/>
      <c r="E140" s="116">
        <v>0</v>
      </c>
      <c r="F140" s="116" t="s">
        <v>3374</v>
      </c>
      <c r="G140" s="162" t="str">
        <f t="shared" si="4"/>
        <v>Pintura</v>
      </c>
      <c r="H140" s="161" t="str">
        <f t="shared" si="5"/>
        <v>8h</v>
      </c>
    </row>
    <row r="141" spans="1:8" x14ac:dyDescent="0.25">
      <c r="A141" s="10" t="s">
        <v>322</v>
      </c>
      <c r="B141" s="194">
        <v>0.39652777777777776</v>
      </c>
      <c r="C141" s="116">
        <v>1</v>
      </c>
      <c r="D141" s="116"/>
      <c r="E141" s="116">
        <v>0</v>
      </c>
      <c r="F141" s="116" t="s">
        <v>3370</v>
      </c>
      <c r="G141" s="162" t="str">
        <f t="shared" si="4"/>
        <v>Pintura</v>
      </c>
      <c r="H141" s="161" t="str">
        <f t="shared" si="5"/>
        <v>9h</v>
      </c>
    </row>
    <row r="142" spans="1:8" x14ac:dyDescent="0.25">
      <c r="A142" s="10" t="s">
        <v>322</v>
      </c>
      <c r="B142" s="194">
        <v>0.45694444444444443</v>
      </c>
      <c r="C142" s="116">
        <v>1</v>
      </c>
      <c r="D142" s="116">
        <v>3</v>
      </c>
      <c r="E142" s="116">
        <v>1</v>
      </c>
      <c r="F142" s="116" t="s">
        <v>3371</v>
      </c>
      <c r="G142" s="162" t="str">
        <f t="shared" si="4"/>
        <v>Pintura</v>
      </c>
      <c r="H142" s="161" t="str">
        <f t="shared" si="5"/>
        <v>10h</v>
      </c>
    </row>
    <row r="143" spans="1:8" x14ac:dyDescent="0.25">
      <c r="A143" s="10" t="s">
        <v>322</v>
      </c>
      <c r="B143" s="194">
        <v>0.51111111111111107</v>
      </c>
      <c r="C143" s="116">
        <v>1</v>
      </c>
      <c r="D143" s="116">
        <v>3</v>
      </c>
      <c r="E143" s="116">
        <v>0</v>
      </c>
      <c r="F143" s="116" t="s">
        <v>3367</v>
      </c>
      <c r="G143" s="162" t="str">
        <f t="shared" si="4"/>
        <v>Pintura</v>
      </c>
      <c r="H143" s="161" t="str">
        <f t="shared" si="5"/>
        <v>12h</v>
      </c>
    </row>
    <row r="144" spans="1:8" x14ac:dyDescent="0.25">
      <c r="A144" s="10" t="s">
        <v>322</v>
      </c>
      <c r="B144" s="194">
        <v>0.53680555555555554</v>
      </c>
      <c r="C144" s="116">
        <v>1</v>
      </c>
      <c r="D144" s="116">
        <v>3</v>
      </c>
      <c r="E144" s="116">
        <v>0</v>
      </c>
      <c r="F144" s="116" t="s">
        <v>3367</v>
      </c>
      <c r="G144" s="162" t="str">
        <f t="shared" si="4"/>
        <v>Pintura</v>
      </c>
      <c r="H144" s="161" t="str">
        <f t="shared" si="5"/>
        <v>12h</v>
      </c>
    </row>
    <row r="145" spans="1:8" x14ac:dyDescent="0.25">
      <c r="A145" s="10" t="s">
        <v>322</v>
      </c>
      <c r="B145" s="194">
        <v>0.58888888888888891</v>
      </c>
      <c r="C145" s="116">
        <v>1</v>
      </c>
      <c r="D145" s="116">
        <v>3</v>
      </c>
      <c r="E145" s="116">
        <v>0</v>
      </c>
      <c r="F145" s="116" t="s">
        <v>3369</v>
      </c>
      <c r="G145" s="162" t="str">
        <f t="shared" si="4"/>
        <v>Pintura</v>
      </c>
      <c r="H145" s="161" t="str">
        <f t="shared" si="5"/>
        <v>14h</v>
      </c>
    </row>
    <row r="146" spans="1:8" x14ac:dyDescent="0.25">
      <c r="A146" s="10" t="s">
        <v>322</v>
      </c>
      <c r="B146" s="194">
        <v>0.65</v>
      </c>
      <c r="C146" s="116">
        <v>1</v>
      </c>
      <c r="D146" s="116">
        <v>3</v>
      </c>
      <c r="E146" s="116">
        <v>0</v>
      </c>
      <c r="F146" s="116" t="s">
        <v>3358</v>
      </c>
      <c r="G146" s="162" t="str">
        <f t="shared" si="4"/>
        <v>Pintura</v>
      </c>
      <c r="H146" s="161" t="str">
        <f t="shared" si="5"/>
        <v>15h</v>
      </c>
    </row>
    <row r="147" spans="1:8" x14ac:dyDescent="0.25">
      <c r="A147" s="10" t="s">
        <v>322</v>
      </c>
      <c r="B147" s="194">
        <v>0.70625000000000004</v>
      </c>
      <c r="C147" s="116">
        <v>1</v>
      </c>
      <c r="D147" s="116">
        <v>3</v>
      </c>
      <c r="E147" s="116">
        <v>0</v>
      </c>
      <c r="F147" s="116" t="s">
        <v>3363</v>
      </c>
      <c r="G147" s="162" t="str">
        <f t="shared" si="4"/>
        <v>Pintura</v>
      </c>
      <c r="H147" s="161" t="str">
        <f t="shared" si="5"/>
        <v>16h</v>
      </c>
    </row>
    <row r="148" spans="1:8" x14ac:dyDescent="0.25">
      <c r="A148" s="10" t="s">
        <v>322</v>
      </c>
      <c r="B148" s="194">
        <v>0.76875000000000004</v>
      </c>
      <c r="C148" s="116">
        <v>1</v>
      </c>
      <c r="D148" s="116">
        <v>3</v>
      </c>
      <c r="E148" s="116">
        <v>0</v>
      </c>
      <c r="F148" s="116" t="s">
        <v>3359</v>
      </c>
      <c r="G148" s="162" t="str">
        <f t="shared" si="4"/>
        <v>Pintura</v>
      </c>
      <c r="H148" s="161" t="str">
        <f t="shared" si="5"/>
        <v>18h</v>
      </c>
    </row>
    <row r="149" spans="1:8" x14ac:dyDescent="0.25">
      <c r="A149" s="10" t="s">
        <v>322</v>
      </c>
      <c r="B149" s="194">
        <v>0.78333333333333333</v>
      </c>
      <c r="C149" s="116">
        <v>1</v>
      </c>
      <c r="D149" s="116">
        <v>3</v>
      </c>
      <c r="E149" s="116">
        <v>1</v>
      </c>
      <c r="F149" s="116" t="s">
        <v>3359</v>
      </c>
      <c r="G149" s="162" t="str">
        <f t="shared" si="4"/>
        <v>Pintura</v>
      </c>
      <c r="H149" s="161" t="str">
        <f t="shared" si="5"/>
        <v>18h</v>
      </c>
    </row>
    <row r="150" spans="1:8" x14ac:dyDescent="0.25">
      <c r="A150" s="10" t="s">
        <v>322</v>
      </c>
      <c r="B150" s="194">
        <v>0.80138888888888893</v>
      </c>
      <c r="C150" s="116">
        <v>1</v>
      </c>
      <c r="D150" s="116">
        <v>3</v>
      </c>
      <c r="E150" s="116">
        <v>0</v>
      </c>
      <c r="F150" s="116" t="s">
        <v>3366</v>
      </c>
      <c r="G150" s="162" t="str">
        <f t="shared" si="4"/>
        <v>Pintura</v>
      </c>
      <c r="H150" s="161" t="str">
        <f t="shared" si="5"/>
        <v>19h</v>
      </c>
    </row>
    <row r="151" spans="1:8" x14ac:dyDescent="0.25">
      <c r="A151" s="10" t="s">
        <v>322</v>
      </c>
      <c r="B151" s="194">
        <v>0.875</v>
      </c>
      <c r="C151" s="116">
        <v>1</v>
      </c>
      <c r="D151" s="116">
        <v>3</v>
      </c>
      <c r="E151" s="116">
        <v>0</v>
      </c>
      <c r="F151" s="116" t="s">
        <v>3360</v>
      </c>
      <c r="G151" s="162" t="str">
        <f t="shared" si="4"/>
        <v>Pintura</v>
      </c>
      <c r="H151" s="161" t="str">
        <f t="shared" si="5"/>
        <v>21h</v>
      </c>
    </row>
    <row r="152" spans="1:8" x14ac:dyDescent="0.25">
      <c r="A152" s="10" t="s">
        <v>322</v>
      </c>
      <c r="B152" s="194">
        <v>0.91597222222222219</v>
      </c>
      <c r="C152" s="116">
        <v>1</v>
      </c>
      <c r="D152" s="116">
        <v>3</v>
      </c>
      <c r="E152" s="116">
        <v>0</v>
      </c>
      <c r="F152" s="116" t="s">
        <v>3360</v>
      </c>
      <c r="G152" s="162" t="str">
        <f t="shared" si="4"/>
        <v>Pintura</v>
      </c>
      <c r="H152" s="161" t="str">
        <f t="shared" si="5"/>
        <v>21h</v>
      </c>
    </row>
    <row r="153" spans="1:8" x14ac:dyDescent="0.25">
      <c r="A153" s="10" t="s">
        <v>322</v>
      </c>
      <c r="B153" s="194">
        <v>0.95972222222222225</v>
      </c>
      <c r="C153" s="116">
        <v>1</v>
      </c>
      <c r="D153" s="116">
        <v>3</v>
      </c>
      <c r="E153" s="116">
        <v>0</v>
      </c>
      <c r="F153" s="116" t="s">
        <v>3365</v>
      </c>
      <c r="G153" s="162" t="str">
        <f t="shared" si="4"/>
        <v>Pintura</v>
      </c>
      <c r="H153" s="161" t="str">
        <f t="shared" si="5"/>
        <v>23h</v>
      </c>
    </row>
    <row r="154" spans="1:8" x14ac:dyDescent="0.25">
      <c r="A154" s="10" t="s">
        <v>323</v>
      </c>
      <c r="B154" s="194">
        <v>0.32291666666666669</v>
      </c>
      <c r="C154" s="116">
        <v>1</v>
      </c>
      <c r="D154" s="116"/>
      <c r="E154" s="116">
        <v>0</v>
      </c>
      <c r="F154" s="116" t="s">
        <v>3373</v>
      </c>
      <c r="G154" s="162" t="str">
        <f t="shared" si="4"/>
        <v>Pintura</v>
      </c>
      <c r="H154" s="161" t="str">
        <f t="shared" si="5"/>
        <v>7h</v>
      </c>
    </row>
    <row r="155" spans="1:8" x14ac:dyDescent="0.25">
      <c r="A155" s="10" t="s">
        <v>323</v>
      </c>
      <c r="B155" s="194">
        <v>0.37708333333333333</v>
      </c>
      <c r="C155" s="116">
        <v>1</v>
      </c>
      <c r="D155" s="116"/>
      <c r="E155" s="116">
        <v>0</v>
      </c>
      <c r="F155" s="116" t="s">
        <v>3370</v>
      </c>
      <c r="G155" s="162" t="str">
        <f t="shared" si="4"/>
        <v>Pintura</v>
      </c>
      <c r="H155" s="161" t="str">
        <f t="shared" si="5"/>
        <v>9h</v>
      </c>
    </row>
    <row r="156" spans="1:8" x14ac:dyDescent="0.25">
      <c r="A156" s="10" t="s">
        <v>323</v>
      </c>
      <c r="B156" s="194">
        <v>0.60069444444444442</v>
      </c>
      <c r="C156" s="116">
        <v>1</v>
      </c>
      <c r="D156" s="116"/>
      <c r="E156" s="116">
        <v>1</v>
      </c>
      <c r="F156" s="116" t="s">
        <v>3369</v>
      </c>
      <c r="G156" s="162" t="str">
        <f t="shared" si="4"/>
        <v>Pintura</v>
      </c>
      <c r="H156" s="161" t="str">
        <f t="shared" si="5"/>
        <v>14h</v>
      </c>
    </row>
    <row r="157" spans="1:8" x14ac:dyDescent="0.25">
      <c r="A157" s="10" t="s">
        <v>323</v>
      </c>
      <c r="B157" s="194">
        <v>0.65347222222222223</v>
      </c>
      <c r="C157" s="116">
        <v>1</v>
      </c>
      <c r="D157" s="116"/>
      <c r="E157" s="116">
        <v>0</v>
      </c>
      <c r="F157" s="116" t="s">
        <v>3358</v>
      </c>
      <c r="G157" s="162" t="str">
        <f t="shared" si="4"/>
        <v>Pintura</v>
      </c>
      <c r="H157" s="161" t="str">
        <f t="shared" si="5"/>
        <v>15h</v>
      </c>
    </row>
    <row r="158" spans="1:8" x14ac:dyDescent="0.25">
      <c r="A158" s="10" t="s">
        <v>323</v>
      </c>
      <c r="B158" s="194">
        <v>0.69930555555555551</v>
      </c>
      <c r="C158" s="116">
        <v>0</v>
      </c>
      <c r="D158" s="116"/>
      <c r="E158" s="116">
        <v>1</v>
      </c>
      <c r="F158" s="116" t="s">
        <v>3363</v>
      </c>
      <c r="G158" s="162" t="str">
        <f t="shared" si="4"/>
        <v>Pintura</v>
      </c>
      <c r="H158" s="161" t="str">
        <f t="shared" si="5"/>
        <v>16h</v>
      </c>
    </row>
    <row r="159" spans="1:8" x14ac:dyDescent="0.25">
      <c r="A159" s="10" t="s">
        <v>323</v>
      </c>
      <c r="B159" s="194">
        <v>0.88055555555555554</v>
      </c>
      <c r="C159" s="116">
        <v>1</v>
      </c>
      <c r="D159" s="116"/>
      <c r="E159" s="116">
        <v>0</v>
      </c>
      <c r="F159" s="116" t="s">
        <v>3360</v>
      </c>
      <c r="G159" s="162" t="str">
        <f t="shared" si="4"/>
        <v>Pintura</v>
      </c>
      <c r="H159" s="161" t="str">
        <f t="shared" si="5"/>
        <v>21h</v>
      </c>
    </row>
    <row r="160" spans="1:8" x14ac:dyDescent="0.25">
      <c r="A160" s="10" t="s">
        <v>328</v>
      </c>
      <c r="B160" s="194">
        <v>0.27986111111111112</v>
      </c>
      <c r="C160" s="116">
        <v>1</v>
      </c>
      <c r="D160" s="116">
        <v>2</v>
      </c>
      <c r="E160" s="116">
        <v>0</v>
      </c>
      <c r="F160" s="116" t="s">
        <v>3372</v>
      </c>
      <c r="G160" s="162" t="str">
        <f t="shared" si="4"/>
        <v>Pintura</v>
      </c>
      <c r="H160" s="161" t="str">
        <f t="shared" si="5"/>
        <v>6h</v>
      </c>
    </row>
    <row r="161" spans="1:8" x14ac:dyDescent="0.25">
      <c r="A161" s="10" t="s">
        <v>328</v>
      </c>
      <c r="B161" s="194">
        <v>0.28055555555555556</v>
      </c>
      <c r="C161" s="116">
        <v>1</v>
      </c>
      <c r="D161" s="116">
        <v>1</v>
      </c>
      <c r="E161" s="116">
        <v>1</v>
      </c>
      <c r="F161" s="116" t="s">
        <v>3372</v>
      </c>
      <c r="G161" s="162" t="str">
        <f t="shared" si="4"/>
        <v>Pintura</v>
      </c>
      <c r="H161" s="161" t="str">
        <f t="shared" si="5"/>
        <v>6h</v>
      </c>
    </row>
    <row r="162" spans="1:8" x14ac:dyDescent="0.25">
      <c r="A162" s="10" t="s">
        <v>328</v>
      </c>
      <c r="B162" s="194">
        <v>0.28402777777777777</v>
      </c>
      <c r="C162" s="116">
        <v>1</v>
      </c>
      <c r="D162" s="116">
        <v>1</v>
      </c>
      <c r="E162" s="116">
        <v>1</v>
      </c>
      <c r="F162" s="116" t="s">
        <v>3372</v>
      </c>
      <c r="G162" s="162" t="str">
        <f t="shared" si="4"/>
        <v>Pintura</v>
      </c>
      <c r="H162" s="161" t="str">
        <f t="shared" si="5"/>
        <v>6h</v>
      </c>
    </row>
    <row r="163" spans="1:8" x14ac:dyDescent="0.25">
      <c r="A163" s="10" t="s">
        <v>328</v>
      </c>
      <c r="B163" s="194">
        <v>0.2902777777777778</v>
      </c>
      <c r="C163" s="116">
        <v>1</v>
      </c>
      <c r="D163" s="116">
        <v>1</v>
      </c>
      <c r="E163" s="116">
        <v>0</v>
      </c>
      <c r="F163" s="116" t="s">
        <v>3372</v>
      </c>
      <c r="G163" s="162" t="str">
        <f t="shared" si="4"/>
        <v>Pintura</v>
      </c>
      <c r="H163" s="161" t="str">
        <f t="shared" si="5"/>
        <v>6h</v>
      </c>
    </row>
    <row r="164" spans="1:8" x14ac:dyDescent="0.25">
      <c r="A164" s="10" t="s">
        <v>328</v>
      </c>
      <c r="B164" s="194">
        <v>0.2951388888888889</v>
      </c>
      <c r="C164" s="116">
        <v>1</v>
      </c>
      <c r="D164" s="116">
        <v>1</v>
      </c>
      <c r="E164" s="116">
        <v>0</v>
      </c>
      <c r="F164" s="116" t="s">
        <v>3373</v>
      </c>
      <c r="G164" s="162" t="str">
        <f t="shared" si="4"/>
        <v>Pintura</v>
      </c>
      <c r="H164" s="161" t="str">
        <f t="shared" si="5"/>
        <v>7h</v>
      </c>
    </row>
    <row r="165" spans="1:8" x14ac:dyDescent="0.25">
      <c r="A165" s="10" t="s">
        <v>328</v>
      </c>
      <c r="B165" s="194">
        <v>0.29791666666666666</v>
      </c>
      <c r="C165" s="116">
        <v>1</v>
      </c>
      <c r="D165" s="116"/>
      <c r="E165" s="116">
        <v>1</v>
      </c>
      <c r="F165" s="116" t="s">
        <v>3373</v>
      </c>
      <c r="G165" s="162" t="str">
        <f t="shared" si="4"/>
        <v>Pintura</v>
      </c>
      <c r="H165" s="161" t="str">
        <f t="shared" si="5"/>
        <v>7h</v>
      </c>
    </row>
    <row r="166" spans="1:8" x14ac:dyDescent="0.25">
      <c r="A166" s="10" t="s">
        <v>328</v>
      </c>
      <c r="B166" s="194">
        <v>0.3263888888888889</v>
      </c>
      <c r="C166" s="116">
        <v>1</v>
      </c>
      <c r="D166" s="116"/>
      <c r="E166" s="116">
        <v>0</v>
      </c>
      <c r="F166" s="116" t="s">
        <v>3373</v>
      </c>
      <c r="G166" s="162" t="str">
        <f t="shared" si="4"/>
        <v>Pintura</v>
      </c>
      <c r="H166" s="161" t="str">
        <f t="shared" si="5"/>
        <v>7h</v>
      </c>
    </row>
    <row r="167" spans="1:8" x14ac:dyDescent="0.25">
      <c r="A167" s="10" t="s">
        <v>328</v>
      </c>
      <c r="B167" s="194">
        <v>0.33958333333333335</v>
      </c>
      <c r="C167" s="116">
        <v>1</v>
      </c>
      <c r="D167" s="116"/>
      <c r="E167" s="116">
        <v>0</v>
      </c>
      <c r="F167" s="116" t="s">
        <v>3374</v>
      </c>
      <c r="G167" s="162" t="str">
        <f t="shared" si="4"/>
        <v>Pintura</v>
      </c>
      <c r="H167" s="161" t="str">
        <f t="shared" si="5"/>
        <v>8h</v>
      </c>
    </row>
    <row r="168" spans="1:8" x14ac:dyDescent="0.25">
      <c r="A168" s="10" t="s">
        <v>328</v>
      </c>
      <c r="B168" s="194">
        <v>0.67291666666666672</v>
      </c>
      <c r="C168" s="116">
        <v>1</v>
      </c>
      <c r="D168" s="116"/>
      <c r="E168" s="116">
        <v>0</v>
      </c>
      <c r="F168" s="116" t="s">
        <v>3363</v>
      </c>
      <c r="G168" s="162" t="str">
        <f t="shared" si="4"/>
        <v>Pintura</v>
      </c>
      <c r="H168" s="161" t="str">
        <f t="shared" si="5"/>
        <v>16h</v>
      </c>
    </row>
    <row r="169" spans="1:8" x14ac:dyDescent="0.25">
      <c r="A169" s="10" t="s">
        <v>328</v>
      </c>
      <c r="B169" s="194">
        <v>0.90833333333333333</v>
      </c>
      <c r="C169" s="116">
        <v>0</v>
      </c>
      <c r="D169" s="116"/>
      <c r="E169" s="116">
        <v>1</v>
      </c>
      <c r="F169" s="116" t="s">
        <v>3360</v>
      </c>
      <c r="G169" s="162" t="str">
        <f t="shared" si="4"/>
        <v>Pintura</v>
      </c>
      <c r="H169" s="161" t="str">
        <f t="shared" si="5"/>
        <v>21h</v>
      </c>
    </row>
    <row r="170" spans="1:8" x14ac:dyDescent="0.25">
      <c r="A170" s="10" t="s">
        <v>328</v>
      </c>
      <c r="B170" s="194">
        <v>0.91666666666666663</v>
      </c>
      <c r="C170" s="116">
        <v>1</v>
      </c>
      <c r="D170" s="116"/>
      <c r="E170" s="116">
        <v>0</v>
      </c>
      <c r="F170" s="116" t="s">
        <v>3362</v>
      </c>
      <c r="G170" s="162" t="str">
        <f t="shared" si="4"/>
        <v>Pintura</v>
      </c>
      <c r="H170" s="161" t="str">
        <f t="shared" si="5"/>
        <v>22h</v>
      </c>
    </row>
    <row r="171" spans="1:8" x14ac:dyDescent="0.25">
      <c r="A171" s="10" t="s">
        <v>328</v>
      </c>
      <c r="B171" s="194">
        <v>0.9555555555555556</v>
      </c>
      <c r="C171" s="116">
        <v>1</v>
      </c>
      <c r="D171" s="116"/>
      <c r="E171" s="116">
        <v>0</v>
      </c>
      <c r="F171" s="116" t="s">
        <v>3362</v>
      </c>
      <c r="G171" s="162" t="str">
        <f t="shared" si="4"/>
        <v>Pintura</v>
      </c>
      <c r="H171" s="161" t="str">
        <f t="shared" si="5"/>
        <v>22h</v>
      </c>
    </row>
    <row r="172" spans="1:8" x14ac:dyDescent="0.25">
      <c r="A172" s="10" t="s">
        <v>331</v>
      </c>
      <c r="B172" s="194">
        <v>0.27777777777777779</v>
      </c>
      <c r="C172" s="116">
        <v>1</v>
      </c>
      <c r="D172" s="116"/>
      <c r="E172" s="116">
        <v>0</v>
      </c>
      <c r="F172" s="116" t="s">
        <v>3372</v>
      </c>
      <c r="G172" s="162" t="str">
        <f t="shared" si="4"/>
        <v>Pintura</v>
      </c>
      <c r="H172" s="161" t="str">
        <f t="shared" si="5"/>
        <v>6h</v>
      </c>
    </row>
    <row r="173" spans="1:8" x14ac:dyDescent="0.25">
      <c r="A173" s="10" t="s">
        <v>331</v>
      </c>
      <c r="B173" s="194">
        <v>0.32847222222222222</v>
      </c>
      <c r="C173" s="116">
        <v>1</v>
      </c>
      <c r="D173" s="116"/>
      <c r="E173" s="116">
        <v>0</v>
      </c>
      <c r="F173" s="116" t="s">
        <v>3373</v>
      </c>
      <c r="G173" s="162" t="str">
        <f t="shared" si="4"/>
        <v>Pintura</v>
      </c>
      <c r="H173" s="161" t="str">
        <f t="shared" si="5"/>
        <v>7h</v>
      </c>
    </row>
    <row r="174" spans="1:8" x14ac:dyDescent="0.25">
      <c r="A174" s="10" t="s">
        <v>333</v>
      </c>
      <c r="B174" s="194">
        <v>0.28125</v>
      </c>
      <c r="C174" s="116">
        <v>1</v>
      </c>
      <c r="D174" s="116">
        <v>2</v>
      </c>
      <c r="E174" s="116">
        <v>0</v>
      </c>
      <c r="F174" s="116" t="s">
        <v>3372</v>
      </c>
      <c r="G174" s="162" t="str">
        <f t="shared" si="4"/>
        <v>Pintura</v>
      </c>
      <c r="H174" s="161" t="str">
        <f t="shared" si="5"/>
        <v>6h</v>
      </c>
    </row>
    <row r="175" spans="1:8" x14ac:dyDescent="0.25">
      <c r="A175" s="10" t="s">
        <v>333</v>
      </c>
      <c r="B175" s="194">
        <v>0.29236111111111113</v>
      </c>
      <c r="C175" s="116">
        <v>1</v>
      </c>
      <c r="D175" s="116"/>
      <c r="E175" s="116">
        <v>1</v>
      </c>
      <c r="F175" s="116" t="s">
        <v>3373</v>
      </c>
      <c r="G175" s="162" t="str">
        <f t="shared" si="4"/>
        <v>Pintura</v>
      </c>
      <c r="H175" s="161" t="str">
        <f t="shared" si="5"/>
        <v>7h</v>
      </c>
    </row>
    <row r="176" spans="1:8" x14ac:dyDescent="0.25">
      <c r="A176" s="10" t="s">
        <v>333</v>
      </c>
      <c r="B176" s="194">
        <v>0.30625000000000002</v>
      </c>
      <c r="C176" s="116">
        <v>1</v>
      </c>
      <c r="D176" s="116"/>
      <c r="E176" s="116">
        <v>1</v>
      </c>
      <c r="F176" s="116" t="s">
        <v>3373</v>
      </c>
      <c r="G176" s="162" t="str">
        <f t="shared" si="4"/>
        <v>Pintura</v>
      </c>
      <c r="H176" s="161" t="str">
        <f t="shared" si="5"/>
        <v>7h</v>
      </c>
    </row>
    <row r="177" spans="1:8" x14ac:dyDescent="0.25">
      <c r="A177" s="10" t="s">
        <v>333</v>
      </c>
      <c r="B177" s="194">
        <v>0.37777777777777777</v>
      </c>
      <c r="C177" s="116">
        <v>1</v>
      </c>
      <c r="D177" s="116"/>
      <c r="E177" s="116">
        <v>1</v>
      </c>
      <c r="F177" s="116" t="s">
        <v>3370</v>
      </c>
      <c r="G177" s="162" t="str">
        <f t="shared" si="4"/>
        <v>Pintura</v>
      </c>
      <c r="H177" s="161" t="str">
        <f t="shared" si="5"/>
        <v>9h</v>
      </c>
    </row>
    <row r="178" spans="1:8" x14ac:dyDescent="0.25">
      <c r="A178" s="10" t="s">
        <v>333</v>
      </c>
      <c r="B178" s="194">
        <v>0.5444444444444444</v>
      </c>
      <c r="C178" s="116">
        <v>1</v>
      </c>
      <c r="D178" s="116"/>
      <c r="E178" s="116">
        <v>0</v>
      </c>
      <c r="F178" s="116" t="s">
        <v>3368</v>
      </c>
      <c r="G178" s="162" t="str">
        <f t="shared" si="4"/>
        <v>Pintura</v>
      </c>
      <c r="H178" s="161" t="str">
        <f t="shared" si="5"/>
        <v>13h</v>
      </c>
    </row>
    <row r="179" spans="1:8" x14ac:dyDescent="0.25">
      <c r="A179" s="10" t="s">
        <v>333</v>
      </c>
      <c r="B179" s="194">
        <v>0.68819444444444444</v>
      </c>
      <c r="C179" s="116">
        <v>1</v>
      </c>
      <c r="D179" s="116"/>
      <c r="E179" s="116">
        <v>0</v>
      </c>
      <c r="F179" s="116" t="s">
        <v>3363</v>
      </c>
      <c r="G179" s="162" t="str">
        <f t="shared" si="4"/>
        <v>Pintura</v>
      </c>
      <c r="H179" s="161" t="str">
        <f t="shared" si="5"/>
        <v>16h</v>
      </c>
    </row>
    <row r="180" spans="1:8" x14ac:dyDescent="0.25">
      <c r="A180" s="10" t="s">
        <v>333</v>
      </c>
      <c r="B180" s="194">
        <v>0.71458333333333335</v>
      </c>
      <c r="C180" s="116">
        <v>1</v>
      </c>
      <c r="D180" s="116"/>
      <c r="E180" s="116">
        <v>0</v>
      </c>
      <c r="F180" s="116" t="s">
        <v>3361</v>
      </c>
      <c r="G180" s="162" t="str">
        <f t="shared" si="4"/>
        <v>Pintura</v>
      </c>
      <c r="H180" s="161" t="str">
        <f t="shared" si="5"/>
        <v>17h</v>
      </c>
    </row>
    <row r="181" spans="1:8" x14ac:dyDescent="0.25">
      <c r="A181" s="10" t="s">
        <v>5385</v>
      </c>
      <c r="B181" s="194">
        <v>0.3</v>
      </c>
      <c r="C181" s="116">
        <v>1</v>
      </c>
      <c r="D181" s="116"/>
      <c r="E181" s="116">
        <v>0</v>
      </c>
      <c r="F181" s="116" t="s">
        <v>3373</v>
      </c>
      <c r="G181" s="162" t="str">
        <f t="shared" si="4"/>
        <v xml:space="preserve"> </v>
      </c>
      <c r="H181" s="161" t="str">
        <f t="shared" si="5"/>
        <v>7h</v>
      </c>
    </row>
    <row r="182" spans="1:8" x14ac:dyDescent="0.25">
      <c r="A182" s="10" t="s">
        <v>5385</v>
      </c>
      <c r="B182" s="194">
        <v>0.3888888888888889</v>
      </c>
      <c r="C182" s="116">
        <v>1</v>
      </c>
      <c r="D182" s="116"/>
      <c r="E182" s="116">
        <v>0</v>
      </c>
      <c r="F182" s="116" t="s">
        <v>3370</v>
      </c>
      <c r="G182" s="162" t="str">
        <f t="shared" si="4"/>
        <v xml:space="preserve"> </v>
      </c>
      <c r="H182" s="161" t="str">
        <f t="shared" si="5"/>
        <v>9h</v>
      </c>
    </row>
    <row r="183" spans="1:8" x14ac:dyDescent="0.25">
      <c r="A183" s="10" t="s">
        <v>5385</v>
      </c>
      <c r="B183" s="194">
        <v>0.55625000000000002</v>
      </c>
      <c r="C183" s="116">
        <v>1</v>
      </c>
      <c r="D183" s="116"/>
      <c r="E183" s="116">
        <v>0</v>
      </c>
      <c r="F183" s="116" t="s">
        <v>3368</v>
      </c>
      <c r="G183" s="162" t="str">
        <f t="shared" si="4"/>
        <v xml:space="preserve"> </v>
      </c>
      <c r="H183" s="161" t="str">
        <f t="shared" si="5"/>
        <v>13h</v>
      </c>
    </row>
    <row r="184" spans="1:8" x14ac:dyDescent="0.25">
      <c r="A184" s="10" t="s">
        <v>5385</v>
      </c>
      <c r="B184" s="194">
        <v>0.7368055555555556</v>
      </c>
      <c r="C184" s="116">
        <v>1</v>
      </c>
      <c r="D184" s="116"/>
      <c r="E184" s="116">
        <v>0</v>
      </c>
      <c r="F184" s="116" t="s">
        <v>3361</v>
      </c>
      <c r="G184" s="162" t="str">
        <f t="shared" si="4"/>
        <v xml:space="preserve"> </v>
      </c>
      <c r="H184" s="161" t="str">
        <f t="shared" si="5"/>
        <v>17h</v>
      </c>
    </row>
    <row r="185" spans="1:8" x14ac:dyDescent="0.25">
      <c r="A185" s="10" t="s">
        <v>5385</v>
      </c>
      <c r="B185" s="194">
        <v>0.85902777777777772</v>
      </c>
      <c r="C185" s="116">
        <v>1</v>
      </c>
      <c r="D185" s="116"/>
      <c r="E185" s="116">
        <v>0</v>
      </c>
      <c r="F185" s="116" t="s">
        <v>3364</v>
      </c>
      <c r="G185" s="162" t="str">
        <f t="shared" si="4"/>
        <v xml:space="preserve"> </v>
      </c>
      <c r="H185" s="161" t="str">
        <f t="shared" si="5"/>
        <v>20h</v>
      </c>
    </row>
    <row r="186" spans="1:8" x14ac:dyDescent="0.25">
      <c r="A186" s="10" t="s">
        <v>5385</v>
      </c>
      <c r="B186" s="194">
        <v>0.88055555555555554</v>
      </c>
      <c r="C186" s="116">
        <v>1</v>
      </c>
      <c r="D186" s="116"/>
      <c r="E186" s="116">
        <v>1</v>
      </c>
      <c r="F186" s="116" t="s">
        <v>3360</v>
      </c>
      <c r="G186" s="162" t="str">
        <f t="shared" si="4"/>
        <v xml:space="preserve"> </v>
      </c>
      <c r="H186" s="161" t="str">
        <f t="shared" si="5"/>
        <v>21h</v>
      </c>
    </row>
    <row r="187" spans="1:8" x14ac:dyDescent="0.25">
      <c r="A187" s="10" t="s">
        <v>5385</v>
      </c>
      <c r="B187" s="194">
        <v>0.93125000000000002</v>
      </c>
      <c r="C187" s="116">
        <v>1</v>
      </c>
      <c r="D187" s="116"/>
      <c r="E187" s="116">
        <v>0</v>
      </c>
      <c r="F187" s="116" t="s">
        <v>3362</v>
      </c>
      <c r="G187" s="162" t="str">
        <f t="shared" si="4"/>
        <v xml:space="preserve"> </v>
      </c>
      <c r="H187" s="161" t="str">
        <f t="shared" si="5"/>
        <v>22h</v>
      </c>
    </row>
    <row r="188" spans="1:8" x14ac:dyDescent="0.25">
      <c r="A188" s="10" t="s">
        <v>5386</v>
      </c>
      <c r="B188" s="194">
        <v>0.3</v>
      </c>
      <c r="C188" s="116">
        <v>1</v>
      </c>
      <c r="D188" s="116"/>
      <c r="E188" s="116">
        <v>0</v>
      </c>
      <c r="F188" s="116" t="s">
        <v>3373</v>
      </c>
      <c r="G188" s="162" t="str">
        <f t="shared" si="4"/>
        <v xml:space="preserve"> </v>
      </c>
      <c r="H188" s="161" t="str">
        <f t="shared" si="5"/>
        <v>7h</v>
      </c>
    </row>
    <row r="189" spans="1:8" x14ac:dyDescent="0.25">
      <c r="A189" s="10" t="s">
        <v>5386</v>
      </c>
      <c r="B189" s="194">
        <v>0.34236111111111112</v>
      </c>
      <c r="C189" s="116">
        <v>1</v>
      </c>
      <c r="D189" s="116"/>
      <c r="E189" s="116">
        <v>0</v>
      </c>
      <c r="F189" s="116" t="s">
        <v>3374</v>
      </c>
      <c r="G189" s="162" t="str">
        <f t="shared" si="4"/>
        <v xml:space="preserve"> </v>
      </c>
      <c r="H189" s="161" t="str">
        <f t="shared" si="5"/>
        <v>8h</v>
      </c>
    </row>
    <row r="190" spans="1:8" x14ac:dyDescent="0.25">
      <c r="A190" s="10" t="s">
        <v>5386</v>
      </c>
      <c r="B190" s="194">
        <v>0.40833333333333333</v>
      </c>
      <c r="C190" s="116">
        <v>1</v>
      </c>
      <c r="D190" s="116"/>
      <c r="E190" s="116">
        <v>0</v>
      </c>
      <c r="F190" s="116" t="s">
        <v>3370</v>
      </c>
      <c r="G190" s="162" t="str">
        <f t="shared" si="4"/>
        <v xml:space="preserve"> </v>
      </c>
      <c r="H190" s="161" t="str">
        <f t="shared" si="5"/>
        <v>9h</v>
      </c>
    </row>
    <row r="191" spans="1:8" x14ac:dyDescent="0.25">
      <c r="A191" s="10" t="s">
        <v>5386</v>
      </c>
      <c r="B191" s="194">
        <v>0.53819444444444442</v>
      </c>
      <c r="C191" s="116">
        <v>1</v>
      </c>
      <c r="D191" s="116"/>
      <c r="E191" s="116">
        <v>0</v>
      </c>
      <c r="F191" s="116" t="s">
        <v>3367</v>
      </c>
      <c r="G191" s="162" t="str">
        <f t="shared" si="4"/>
        <v xml:space="preserve"> </v>
      </c>
      <c r="H191" s="161" t="str">
        <f t="shared" si="5"/>
        <v>12h</v>
      </c>
    </row>
    <row r="192" spans="1:8" x14ac:dyDescent="0.25">
      <c r="A192" s="10" t="s">
        <v>5386</v>
      </c>
      <c r="B192" s="194">
        <v>0.59027777777777779</v>
      </c>
      <c r="C192" s="116">
        <v>1</v>
      </c>
      <c r="D192" s="116"/>
      <c r="E192" s="116">
        <v>0</v>
      </c>
      <c r="F192" s="116" t="s">
        <v>3369</v>
      </c>
      <c r="G192" s="162" t="str">
        <f t="shared" si="4"/>
        <v xml:space="preserve"> </v>
      </c>
      <c r="H192" s="161" t="str">
        <f t="shared" si="5"/>
        <v>14h</v>
      </c>
    </row>
    <row r="193" spans="1:8" x14ac:dyDescent="0.25">
      <c r="A193" s="10" t="s">
        <v>5386</v>
      </c>
      <c r="B193" s="194">
        <v>0.60347222222222219</v>
      </c>
      <c r="C193" s="116">
        <v>1</v>
      </c>
      <c r="D193" s="116"/>
      <c r="E193" s="116">
        <v>1</v>
      </c>
      <c r="F193" s="116" t="s">
        <v>3369</v>
      </c>
      <c r="G193" s="162" t="str">
        <f t="shared" si="4"/>
        <v xml:space="preserve"> </v>
      </c>
      <c r="H193" s="161" t="str">
        <f t="shared" si="5"/>
        <v>14h</v>
      </c>
    </row>
    <row r="194" spans="1:8" x14ac:dyDescent="0.25">
      <c r="A194" s="10" t="s">
        <v>5386</v>
      </c>
      <c r="B194" s="194">
        <v>0.62847222222222221</v>
      </c>
      <c r="C194" s="116">
        <v>1</v>
      </c>
      <c r="D194" s="116"/>
      <c r="E194" s="116">
        <v>0</v>
      </c>
      <c r="F194" s="116" t="s">
        <v>3358</v>
      </c>
      <c r="G194" s="162" t="str">
        <f t="shared" si="4"/>
        <v xml:space="preserve"> </v>
      </c>
      <c r="H194" s="161" t="str">
        <f t="shared" si="5"/>
        <v>15h</v>
      </c>
    </row>
    <row r="195" spans="1:8" x14ac:dyDescent="0.25">
      <c r="A195" s="10" t="s">
        <v>5386</v>
      </c>
      <c r="B195" s="194">
        <v>0.66805555555555551</v>
      </c>
      <c r="C195" s="116">
        <v>1</v>
      </c>
      <c r="D195" s="116"/>
      <c r="E195" s="116">
        <v>0</v>
      </c>
      <c r="F195" s="116" t="s">
        <v>3363</v>
      </c>
      <c r="G195" s="162" t="str">
        <f t="shared" ref="G195:G258" si="6">IF(LEFT(A195,3)="S7P","Pintura",IF(LEFT(A195,3)="S7M","Montagem",
IF(LEFT(A195,3)="S7S","Serigrafia"," ")))</f>
        <v xml:space="preserve"> </v>
      </c>
      <c r="H195" s="161" t="str">
        <f t="shared" ref="H195:H258" si="7">VALUE(LEFT(F195,2))&amp;"h"</f>
        <v>16h</v>
      </c>
    </row>
    <row r="196" spans="1:8" x14ac:dyDescent="0.25">
      <c r="A196" s="10" t="s">
        <v>5386</v>
      </c>
      <c r="B196" s="194">
        <v>0.71805555555555556</v>
      </c>
      <c r="C196" s="116">
        <v>1</v>
      </c>
      <c r="D196" s="116"/>
      <c r="E196" s="116">
        <v>0</v>
      </c>
      <c r="F196" s="116" t="s">
        <v>3361</v>
      </c>
      <c r="G196" s="162" t="str">
        <f t="shared" si="6"/>
        <v xml:space="preserve"> </v>
      </c>
      <c r="H196" s="161" t="str">
        <f t="shared" si="7"/>
        <v>17h</v>
      </c>
    </row>
    <row r="197" spans="1:8" x14ac:dyDescent="0.25">
      <c r="A197" s="10" t="s">
        <v>5386</v>
      </c>
      <c r="B197" s="194">
        <v>0.74236111111111114</v>
      </c>
      <c r="C197" s="116">
        <v>1</v>
      </c>
      <c r="D197" s="116"/>
      <c r="E197" s="116">
        <v>0</v>
      </c>
      <c r="F197" s="116" t="s">
        <v>3361</v>
      </c>
      <c r="G197" s="162" t="str">
        <f t="shared" si="6"/>
        <v xml:space="preserve"> </v>
      </c>
      <c r="H197" s="161" t="str">
        <f t="shared" si="7"/>
        <v>17h</v>
      </c>
    </row>
    <row r="198" spans="1:8" x14ac:dyDescent="0.25">
      <c r="A198" s="10" t="s">
        <v>5386</v>
      </c>
      <c r="B198" s="194">
        <v>0.75972222222222219</v>
      </c>
      <c r="C198" s="116">
        <v>1</v>
      </c>
      <c r="D198" s="116">
        <v>2</v>
      </c>
      <c r="E198" s="116">
        <v>1</v>
      </c>
      <c r="F198" s="116" t="s">
        <v>3359</v>
      </c>
      <c r="G198" s="162" t="str">
        <f t="shared" si="6"/>
        <v xml:space="preserve"> </v>
      </c>
      <c r="H198" s="161" t="str">
        <f t="shared" si="7"/>
        <v>18h</v>
      </c>
    </row>
    <row r="199" spans="1:8" x14ac:dyDescent="0.25">
      <c r="A199" s="10" t="s">
        <v>5386</v>
      </c>
      <c r="B199" s="194">
        <v>0.79583333333333328</v>
      </c>
      <c r="C199" s="116">
        <v>1</v>
      </c>
      <c r="D199" s="116">
        <v>2</v>
      </c>
      <c r="E199" s="116">
        <v>0</v>
      </c>
      <c r="F199" s="116" t="s">
        <v>3366</v>
      </c>
      <c r="G199" s="162" t="str">
        <f t="shared" si="6"/>
        <v xml:space="preserve"> </v>
      </c>
      <c r="H199" s="161" t="str">
        <f t="shared" si="7"/>
        <v>19h</v>
      </c>
    </row>
    <row r="200" spans="1:8" x14ac:dyDescent="0.25">
      <c r="A200" s="10" t="s">
        <v>5386</v>
      </c>
      <c r="B200" s="194">
        <v>0.89444444444444449</v>
      </c>
      <c r="C200" s="116">
        <v>1</v>
      </c>
      <c r="D200" s="116">
        <v>2</v>
      </c>
      <c r="E200" s="116">
        <v>0</v>
      </c>
      <c r="F200" s="116" t="s">
        <v>3360</v>
      </c>
      <c r="G200" s="162" t="str">
        <f t="shared" si="6"/>
        <v xml:space="preserve"> </v>
      </c>
      <c r="H200" s="161" t="str">
        <f t="shared" si="7"/>
        <v>21h</v>
      </c>
    </row>
    <row r="201" spans="1:8" x14ac:dyDescent="0.25">
      <c r="A201" s="10" t="s">
        <v>5386</v>
      </c>
      <c r="B201" s="194">
        <v>0.95347222222222228</v>
      </c>
      <c r="C201" s="116">
        <v>1</v>
      </c>
      <c r="D201" s="116">
        <v>2</v>
      </c>
      <c r="E201" s="116">
        <v>0</v>
      </c>
      <c r="F201" s="116" t="s">
        <v>3362</v>
      </c>
      <c r="G201" s="162" t="str">
        <f t="shared" si="6"/>
        <v xml:space="preserve"> </v>
      </c>
      <c r="H201" s="161" t="str">
        <f t="shared" si="7"/>
        <v>22h</v>
      </c>
    </row>
    <row r="202" spans="1:8" x14ac:dyDescent="0.25">
      <c r="A202" s="10" t="s">
        <v>5386</v>
      </c>
      <c r="B202" s="194">
        <v>0.99861111111111112</v>
      </c>
      <c r="C202" s="116">
        <v>1</v>
      </c>
      <c r="D202" s="116">
        <v>2</v>
      </c>
      <c r="E202" s="116">
        <v>0</v>
      </c>
      <c r="F202" s="116" t="s">
        <v>3365</v>
      </c>
      <c r="G202" s="162" t="str">
        <f t="shared" si="6"/>
        <v xml:space="preserve"> </v>
      </c>
      <c r="H202" s="161" t="str">
        <f t="shared" si="7"/>
        <v>23h</v>
      </c>
    </row>
    <row r="203" spans="1:8" x14ac:dyDescent="0.25">
      <c r="A203" s="10" t="s">
        <v>5390</v>
      </c>
      <c r="B203" s="194">
        <v>0.28611111111111109</v>
      </c>
      <c r="C203" s="116">
        <v>1</v>
      </c>
      <c r="D203" s="116"/>
      <c r="E203" s="116">
        <v>0</v>
      </c>
      <c r="F203" s="116" t="s">
        <v>3372</v>
      </c>
      <c r="G203" s="162" t="str">
        <f t="shared" si="6"/>
        <v xml:space="preserve"> </v>
      </c>
      <c r="H203" s="161" t="str">
        <f t="shared" si="7"/>
        <v>6h</v>
      </c>
    </row>
    <row r="204" spans="1:8" x14ac:dyDescent="0.25">
      <c r="A204" s="10" t="s">
        <v>5390</v>
      </c>
      <c r="B204" s="194">
        <v>0.29444444444444445</v>
      </c>
      <c r="C204" s="116">
        <v>1</v>
      </c>
      <c r="D204" s="116">
        <v>2</v>
      </c>
      <c r="E204" s="116">
        <v>1</v>
      </c>
      <c r="F204" s="116" t="s">
        <v>3373</v>
      </c>
      <c r="G204" s="162" t="str">
        <f t="shared" si="6"/>
        <v xml:space="preserve"> </v>
      </c>
      <c r="H204" s="161" t="str">
        <f t="shared" si="7"/>
        <v>7h</v>
      </c>
    </row>
    <row r="205" spans="1:8" x14ac:dyDescent="0.25">
      <c r="A205" s="10" t="s">
        <v>5390</v>
      </c>
      <c r="B205" s="194">
        <v>0.31874999999999998</v>
      </c>
      <c r="C205" s="116">
        <v>1</v>
      </c>
      <c r="D205" s="116">
        <v>2</v>
      </c>
      <c r="E205" s="116">
        <v>0</v>
      </c>
      <c r="F205" s="116" t="s">
        <v>3373</v>
      </c>
      <c r="G205" s="162" t="str">
        <f t="shared" si="6"/>
        <v xml:space="preserve"> </v>
      </c>
      <c r="H205" s="161" t="str">
        <f t="shared" si="7"/>
        <v>7h</v>
      </c>
    </row>
    <row r="206" spans="1:8" x14ac:dyDescent="0.25">
      <c r="A206" s="10" t="s">
        <v>5390</v>
      </c>
      <c r="B206" s="194">
        <v>0.35208333333333336</v>
      </c>
      <c r="C206" s="116">
        <v>1</v>
      </c>
      <c r="D206" s="116">
        <v>2</v>
      </c>
      <c r="E206" s="116">
        <v>0</v>
      </c>
      <c r="F206" s="116" t="s">
        <v>3374</v>
      </c>
      <c r="G206" s="162" t="str">
        <f t="shared" si="6"/>
        <v xml:space="preserve"> </v>
      </c>
      <c r="H206" s="161" t="str">
        <f t="shared" si="7"/>
        <v>8h</v>
      </c>
    </row>
    <row r="207" spans="1:8" x14ac:dyDescent="0.25">
      <c r="A207" s="10" t="s">
        <v>5390</v>
      </c>
      <c r="B207" s="194">
        <v>0.39583333333333331</v>
      </c>
      <c r="C207" s="116">
        <v>1</v>
      </c>
      <c r="D207" s="116">
        <v>2</v>
      </c>
      <c r="E207" s="116">
        <v>0</v>
      </c>
      <c r="F207" s="116" t="s">
        <v>3370</v>
      </c>
      <c r="G207" s="162" t="str">
        <f t="shared" si="6"/>
        <v xml:space="preserve"> </v>
      </c>
      <c r="H207" s="161" t="str">
        <f t="shared" si="7"/>
        <v>9h</v>
      </c>
    </row>
    <row r="208" spans="1:8" x14ac:dyDescent="0.25">
      <c r="A208" s="10" t="s">
        <v>5390</v>
      </c>
      <c r="B208" s="194">
        <v>0.4284722222222222</v>
      </c>
      <c r="C208" s="116">
        <v>1</v>
      </c>
      <c r="D208" s="116">
        <v>2</v>
      </c>
      <c r="E208" s="116">
        <v>0</v>
      </c>
      <c r="F208" s="116" t="s">
        <v>3371</v>
      </c>
      <c r="G208" s="162" t="str">
        <f t="shared" si="6"/>
        <v xml:space="preserve"> </v>
      </c>
      <c r="H208" s="161" t="str">
        <f t="shared" si="7"/>
        <v>10h</v>
      </c>
    </row>
    <row r="209" spans="1:8" x14ac:dyDescent="0.25">
      <c r="A209" s="10" t="s">
        <v>5390</v>
      </c>
      <c r="B209" s="194">
        <v>0.45</v>
      </c>
      <c r="C209" s="116">
        <v>1</v>
      </c>
      <c r="D209" s="116">
        <v>2</v>
      </c>
      <c r="E209" s="116">
        <v>0</v>
      </c>
      <c r="F209" s="116" t="s">
        <v>3371</v>
      </c>
      <c r="G209" s="162" t="str">
        <f t="shared" si="6"/>
        <v xml:space="preserve"> </v>
      </c>
      <c r="H209" s="161" t="str">
        <f t="shared" si="7"/>
        <v>10h</v>
      </c>
    </row>
    <row r="210" spans="1:8" x14ac:dyDescent="0.25">
      <c r="A210" s="10" t="s">
        <v>5390</v>
      </c>
      <c r="B210" s="194">
        <v>0.45555555555555555</v>
      </c>
      <c r="C210" s="116">
        <v>1</v>
      </c>
      <c r="D210" s="116">
        <v>2</v>
      </c>
      <c r="E210" s="116">
        <v>1</v>
      </c>
      <c r="F210" s="116" t="s">
        <v>3371</v>
      </c>
      <c r="G210" s="162" t="str">
        <f t="shared" si="6"/>
        <v xml:space="preserve"> </v>
      </c>
      <c r="H210" s="161" t="str">
        <f t="shared" si="7"/>
        <v>10h</v>
      </c>
    </row>
    <row r="211" spans="1:8" x14ac:dyDescent="0.25">
      <c r="A211" s="10" t="s">
        <v>5390</v>
      </c>
      <c r="B211" s="194">
        <v>0.50902777777777775</v>
      </c>
      <c r="C211" s="116">
        <v>1</v>
      </c>
      <c r="D211" s="116">
        <v>2</v>
      </c>
      <c r="E211" s="116">
        <v>0</v>
      </c>
      <c r="F211" s="116" t="s">
        <v>3367</v>
      </c>
      <c r="G211" s="162" t="str">
        <f t="shared" si="6"/>
        <v xml:space="preserve"> </v>
      </c>
      <c r="H211" s="161" t="str">
        <f t="shared" si="7"/>
        <v>12h</v>
      </c>
    </row>
    <row r="212" spans="1:8" x14ac:dyDescent="0.25">
      <c r="A212" s="10" t="s">
        <v>5390</v>
      </c>
      <c r="B212" s="194">
        <v>0.52569444444444446</v>
      </c>
      <c r="C212" s="116">
        <v>1</v>
      </c>
      <c r="D212" s="116">
        <v>2</v>
      </c>
      <c r="E212" s="116">
        <v>0</v>
      </c>
      <c r="F212" s="116" t="s">
        <v>3367</v>
      </c>
      <c r="G212" s="162" t="str">
        <f t="shared" si="6"/>
        <v xml:space="preserve"> </v>
      </c>
      <c r="H212" s="161" t="str">
        <f t="shared" si="7"/>
        <v>12h</v>
      </c>
    </row>
    <row r="213" spans="1:8" x14ac:dyDescent="0.25">
      <c r="A213" s="10" t="s">
        <v>5390</v>
      </c>
      <c r="B213" s="194">
        <v>0.5444444444444444</v>
      </c>
      <c r="C213" s="116">
        <v>1</v>
      </c>
      <c r="D213" s="116">
        <v>2</v>
      </c>
      <c r="E213" s="116">
        <v>0</v>
      </c>
      <c r="F213" s="116" t="s">
        <v>3368</v>
      </c>
      <c r="G213" s="162" t="str">
        <f t="shared" si="6"/>
        <v xml:space="preserve"> </v>
      </c>
      <c r="H213" s="161" t="str">
        <f t="shared" si="7"/>
        <v>13h</v>
      </c>
    </row>
    <row r="214" spans="1:8" x14ac:dyDescent="0.25">
      <c r="A214" s="10" t="s">
        <v>5390</v>
      </c>
      <c r="B214" s="194">
        <v>0.56180555555555556</v>
      </c>
      <c r="C214" s="116">
        <v>1</v>
      </c>
      <c r="D214" s="116">
        <v>2</v>
      </c>
      <c r="E214" s="116">
        <v>0</v>
      </c>
      <c r="F214" s="116" t="s">
        <v>3368</v>
      </c>
      <c r="G214" s="162" t="str">
        <f t="shared" si="6"/>
        <v xml:space="preserve"> </v>
      </c>
      <c r="H214" s="161" t="str">
        <f t="shared" si="7"/>
        <v>13h</v>
      </c>
    </row>
    <row r="215" spans="1:8" x14ac:dyDescent="0.25">
      <c r="A215" s="10" t="s">
        <v>5390</v>
      </c>
      <c r="B215" s="194">
        <v>0.5854166666666667</v>
      </c>
      <c r="C215" s="116">
        <v>1</v>
      </c>
      <c r="D215" s="116">
        <v>2</v>
      </c>
      <c r="E215" s="116">
        <v>0</v>
      </c>
      <c r="F215" s="116" t="s">
        <v>3369</v>
      </c>
      <c r="G215" s="162" t="str">
        <f t="shared" si="6"/>
        <v xml:space="preserve"> </v>
      </c>
      <c r="H215" s="161" t="str">
        <f t="shared" si="7"/>
        <v>14h</v>
      </c>
    </row>
    <row r="216" spans="1:8" x14ac:dyDescent="0.25">
      <c r="A216" s="10" t="s">
        <v>5390</v>
      </c>
      <c r="B216" s="194">
        <v>0.60555555555555551</v>
      </c>
      <c r="C216" s="116">
        <v>1</v>
      </c>
      <c r="D216" s="116">
        <v>2</v>
      </c>
      <c r="E216" s="116">
        <v>1</v>
      </c>
      <c r="F216" s="116" t="s">
        <v>3369</v>
      </c>
      <c r="G216" s="162" t="str">
        <f t="shared" si="6"/>
        <v xml:space="preserve"> </v>
      </c>
      <c r="H216" s="161" t="str">
        <f t="shared" si="7"/>
        <v>14h</v>
      </c>
    </row>
    <row r="217" spans="1:8" x14ac:dyDescent="0.25">
      <c r="A217" s="10" t="s">
        <v>5390</v>
      </c>
      <c r="B217" s="194">
        <v>0.65763888888888888</v>
      </c>
      <c r="C217" s="116">
        <v>1</v>
      </c>
      <c r="D217" s="116">
        <v>2</v>
      </c>
      <c r="E217" s="116">
        <v>0</v>
      </c>
      <c r="F217" s="116" t="s">
        <v>3358</v>
      </c>
      <c r="G217" s="162" t="str">
        <f t="shared" si="6"/>
        <v xml:space="preserve"> </v>
      </c>
      <c r="H217" s="161" t="str">
        <f t="shared" si="7"/>
        <v>15h</v>
      </c>
    </row>
    <row r="218" spans="1:8" x14ac:dyDescent="0.25">
      <c r="A218" s="10" t="s">
        <v>5390</v>
      </c>
      <c r="B218" s="194">
        <v>0.71458333333333335</v>
      </c>
      <c r="C218" s="116">
        <v>1</v>
      </c>
      <c r="D218" s="116">
        <v>2</v>
      </c>
      <c r="E218" s="116">
        <v>0</v>
      </c>
      <c r="F218" s="116" t="s">
        <v>3361</v>
      </c>
      <c r="G218" s="162" t="str">
        <f t="shared" si="6"/>
        <v xml:space="preserve"> </v>
      </c>
      <c r="H218" s="161" t="str">
        <f t="shared" si="7"/>
        <v>17h</v>
      </c>
    </row>
    <row r="219" spans="1:8" x14ac:dyDescent="0.25">
      <c r="A219" s="10" t="s">
        <v>5390</v>
      </c>
      <c r="B219" s="194">
        <v>0.78611111111111109</v>
      </c>
      <c r="C219" s="116">
        <v>1</v>
      </c>
      <c r="D219" s="116">
        <v>2</v>
      </c>
      <c r="E219" s="116">
        <v>0</v>
      </c>
      <c r="F219" s="116" t="s">
        <v>3359</v>
      </c>
      <c r="G219" s="162" t="str">
        <f t="shared" si="6"/>
        <v xml:space="preserve"> </v>
      </c>
      <c r="H219" s="161" t="str">
        <f t="shared" si="7"/>
        <v>18h</v>
      </c>
    </row>
    <row r="220" spans="1:8" x14ac:dyDescent="0.25">
      <c r="A220" s="10" t="s">
        <v>5390</v>
      </c>
      <c r="B220" s="194">
        <v>0.88541666666666663</v>
      </c>
      <c r="C220" s="116">
        <v>1</v>
      </c>
      <c r="D220" s="116">
        <v>2</v>
      </c>
      <c r="E220" s="116">
        <v>0</v>
      </c>
      <c r="F220" s="116" t="s">
        <v>3360</v>
      </c>
      <c r="G220" s="162" t="str">
        <f t="shared" si="6"/>
        <v xml:space="preserve"> </v>
      </c>
      <c r="H220" s="161" t="str">
        <f t="shared" si="7"/>
        <v>21h</v>
      </c>
    </row>
    <row r="221" spans="1:8" x14ac:dyDescent="0.25">
      <c r="A221" s="10" t="s">
        <v>5390</v>
      </c>
      <c r="B221" s="194">
        <v>0.92500000000000004</v>
      </c>
      <c r="C221" s="116">
        <v>1</v>
      </c>
      <c r="D221" s="116">
        <v>2</v>
      </c>
      <c r="E221" s="116">
        <v>0</v>
      </c>
      <c r="F221" s="116" t="s">
        <v>3362</v>
      </c>
      <c r="G221" s="162" t="str">
        <f t="shared" si="6"/>
        <v xml:space="preserve"> </v>
      </c>
      <c r="H221" s="161" t="str">
        <f t="shared" si="7"/>
        <v>22h</v>
      </c>
    </row>
    <row r="222" spans="1:8" x14ac:dyDescent="0.25">
      <c r="A222" s="10" t="s">
        <v>5390</v>
      </c>
      <c r="B222" s="194">
        <v>0.92777777777777781</v>
      </c>
      <c r="C222" s="116">
        <v>1</v>
      </c>
      <c r="D222" s="116"/>
      <c r="E222" s="116">
        <v>1</v>
      </c>
      <c r="F222" s="116" t="s">
        <v>3362</v>
      </c>
      <c r="G222" s="162" t="str">
        <f t="shared" si="6"/>
        <v xml:space="preserve"> </v>
      </c>
      <c r="H222" s="161" t="str">
        <f t="shared" si="7"/>
        <v>22h</v>
      </c>
    </row>
    <row r="223" spans="1:8" x14ac:dyDescent="0.25">
      <c r="A223" s="10" t="s">
        <v>5390</v>
      </c>
      <c r="B223" s="194">
        <v>0.93194444444444446</v>
      </c>
      <c r="C223" s="116">
        <v>1</v>
      </c>
      <c r="D223" s="116"/>
      <c r="E223" s="116">
        <v>0</v>
      </c>
      <c r="F223" s="116" t="s">
        <v>3362</v>
      </c>
      <c r="G223" s="162" t="str">
        <f t="shared" si="6"/>
        <v xml:space="preserve"> </v>
      </c>
      <c r="H223" s="161" t="str">
        <f t="shared" si="7"/>
        <v>22h</v>
      </c>
    </row>
    <row r="224" spans="1:8" x14ac:dyDescent="0.25">
      <c r="A224" s="10" t="s">
        <v>5390</v>
      </c>
      <c r="B224" s="194">
        <v>0.93819444444444444</v>
      </c>
      <c r="C224" s="116">
        <v>1</v>
      </c>
      <c r="D224" s="116"/>
      <c r="E224" s="116">
        <v>0</v>
      </c>
      <c r="F224" s="116" t="s">
        <v>3362</v>
      </c>
      <c r="G224" s="162" t="str">
        <f t="shared" si="6"/>
        <v xml:space="preserve"> </v>
      </c>
      <c r="H224" s="161" t="str">
        <f t="shared" si="7"/>
        <v>22h</v>
      </c>
    </row>
    <row r="225" spans="1:8" x14ac:dyDescent="0.25">
      <c r="A225" s="10" t="s">
        <v>5390</v>
      </c>
      <c r="B225" s="194">
        <v>0.94305555555555554</v>
      </c>
      <c r="C225" s="116">
        <v>1</v>
      </c>
      <c r="D225" s="116"/>
      <c r="E225" s="116">
        <v>0</v>
      </c>
      <c r="F225" s="116" t="s">
        <v>3362</v>
      </c>
      <c r="G225" s="162" t="str">
        <f t="shared" si="6"/>
        <v xml:space="preserve"> </v>
      </c>
      <c r="H225" s="161" t="str">
        <f t="shared" si="7"/>
        <v>22h</v>
      </c>
    </row>
    <row r="226" spans="1:8" x14ac:dyDescent="0.25">
      <c r="A226" s="10" t="s">
        <v>5390</v>
      </c>
      <c r="B226" s="194">
        <v>0.97152777777777777</v>
      </c>
      <c r="C226" s="116">
        <v>1</v>
      </c>
      <c r="D226" s="116"/>
      <c r="E226" s="116">
        <v>1</v>
      </c>
      <c r="F226" s="116" t="s">
        <v>3365</v>
      </c>
      <c r="G226" s="162" t="str">
        <f t="shared" si="6"/>
        <v xml:space="preserve"> </v>
      </c>
      <c r="H226" s="161" t="str">
        <f t="shared" si="7"/>
        <v>23h</v>
      </c>
    </row>
    <row r="227" spans="1:8" x14ac:dyDescent="0.25">
      <c r="A227" s="10" t="s">
        <v>5394</v>
      </c>
      <c r="B227" s="194">
        <v>0.28958333333333336</v>
      </c>
      <c r="C227" s="116">
        <v>1</v>
      </c>
      <c r="D227" s="116"/>
      <c r="E227" s="116">
        <v>0</v>
      </c>
      <c r="F227" s="116" t="s">
        <v>3372</v>
      </c>
      <c r="G227" s="162" t="str">
        <f t="shared" si="6"/>
        <v xml:space="preserve"> </v>
      </c>
      <c r="H227" s="161" t="str">
        <f t="shared" si="7"/>
        <v>6h</v>
      </c>
    </row>
    <row r="228" spans="1:8" x14ac:dyDescent="0.25">
      <c r="A228" s="10" t="s">
        <v>5394</v>
      </c>
      <c r="B228" s="194">
        <v>0.31597222222222221</v>
      </c>
      <c r="C228" s="116">
        <v>1</v>
      </c>
      <c r="D228" s="116"/>
      <c r="E228" s="116">
        <v>0</v>
      </c>
      <c r="F228" s="116" t="s">
        <v>3373</v>
      </c>
      <c r="G228" s="162" t="str">
        <f t="shared" si="6"/>
        <v xml:space="preserve"> </v>
      </c>
      <c r="H228" s="161" t="str">
        <f t="shared" si="7"/>
        <v>7h</v>
      </c>
    </row>
    <row r="229" spans="1:8" x14ac:dyDescent="0.25">
      <c r="A229" s="10" t="s">
        <v>5394</v>
      </c>
      <c r="B229" s="194">
        <v>0.3527777777777778</v>
      </c>
      <c r="C229" s="116">
        <v>1</v>
      </c>
      <c r="D229" s="116"/>
      <c r="E229" s="116">
        <v>0</v>
      </c>
      <c r="F229" s="116" t="s">
        <v>3374</v>
      </c>
      <c r="G229" s="162" t="str">
        <f t="shared" si="6"/>
        <v xml:space="preserve"> </v>
      </c>
      <c r="H229" s="161" t="str">
        <f t="shared" si="7"/>
        <v>8h</v>
      </c>
    </row>
    <row r="230" spans="1:8" x14ac:dyDescent="0.25">
      <c r="A230" s="10" t="s">
        <v>5394</v>
      </c>
      <c r="B230" s="194">
        <v>0.39861111111111114</v>
      </c>
      <c r="C230" s="116">
        <v>1</v>
      </c>
      <c r="D230" s="116"/>
      <c r="E230" s="116">
        <v>0</v>
      </c>
      <c r="F230" s="116" t="s">
        <v>3370</v>
      </c>
      <c r="G230" s="162" t="str">
        <f t="shared" si="6"/>
        <v xml:space="preserve"> </v>
      </c>
      <c r="H230" s="161" t="str">
        <f t="shared" si="7"/>
        <v>9h</v>
      </c>
    </row>
    <row r="231" spans="1:8" x14ac:dyDescent="0.25">
      <c r="A231" s="10" t="s">
        <v>5394</v>
      </c>
      <c r="B231" s="194">
        <v>0.43125000000000002</v>
      </c>
      <c r="C231" s="116">
        <v>1</v>
      </c>
      <c r="D231" s="116"/>
      <c r="E231" s="116">
        <v>0</v>
      </c>
      <c r="F231" s="116" t="s">
        <v>3371</v>
      </c>
      <c r="G231" s="162" t="str">
        <f t="shared" si="6"/>
        <v xml:space="preserve"> </v>
      </c>
      <c r="H231" s="161" t="str">
        <f t="shared" si="7"/>
        <v>10h</v>
      </c>
    </row>
    <row r="232" spans="1:8" x14ac:dyDescent="0.25">
      <c r="A232" s="10" t="s">
        <v>5394</v>
      </c>
      <c r="B232" s="194">
        <v>0.44930555555555557</v>
      </c>
      <c r="C232" s="116">
        <v>1</v>
      </c>
      <c r="D232" s="116"/>
      <c r="E232" s="116">
        <v>0</v>
      </c>
      <c r="F232" s="116" t="s">
        <v>3371</v>
      </c>
      <c r="G232" s="162" t="str">
        <f t="shared" si="6"/>
        <v xml:space="preserve"> </v>
      </c>
      <c r="H232" s="161" t="str">
        <f t="shared" si="7"/>
        <v>10h</v>
      </c>
    </row>
    <row r="233" spans="1:8" x14ac:dyDescent="0.25">
      <c r="A233" s="10" t="s">
        <v>5394</v>
      </c>
      <c r="B233" s="194">
        <v>0.52361111111111114</v>
      </c>
      <c r="C233" s="116">
        <v>1</v>
      </c>
      <c r="D233" s="116"/>
      <c r="E233" s="116">
        <v>1</v>
      </c>
      <c r="F233" s="116" t="s">
        <v>3367</v>
      </c>
      <c r="G233" s="162" t="str">
        <f t="shared" si="6"/>
        <v xml:space="preserve"> </v>
      </c>
      <c r="H233" s="161" t="str">
        <f t="shared" si="7"/>
        <v>12h</v>
      </c>
    </row>
    <row r="234" spans="1:8" x14ac:dyDescent="0.25">
      <c r="A234" s="10" t="s">
        <v>5394</v>
      </c>
      <c r="B234" s="194">
        <v>0.59027777777777779</v>
      </c>
      <c r="C234" s="116">
        <v>1</v>
      </c>
      <c r="D234" s="116"/>
      <c r="E234" s="116">
        <v>0</v>
      </c>
      <c r="F234" s="116" t="s">
        <v>3369</v>
      </c>
      <c r="G234" s="162" t="str">
        <f t="shared" si="6"/>
        <v xml:space="preserve"> </v>
      </c>
      <c r="H234" s="161" t="str">
        <f t="shared" si="7"/>
        <v>14h</v>
      </c>
    </row>
    <row r="235" spans="1:8" x14ac:dyDescent="0.25">
      <c r="A235" s="10" t="s">
        <v>5394</v>
      </c>
      <c r="B235" s="194">
        <v>0.6743055555555556</v>
      </c>
      <c r="C235" s="116">
        <v>1</v>
      </c>
      <c r="D235" s="116"/>
      <c r="E235" s="116">
        <v>0</v>
      </c>
      <c r="F235" s="116" t="s">
        <v>3363</v>
      </c>
      <c r="G235" s="162" t="str">
        <f t="shared" si="6"/>
        <v xml:space="preserve"> </v>
      </c>
      <c r="H235" s="161" t="str">
        <f t="shared" si="7"/>
        <v>16h</v>
      </c>
    </row>
    <row r="236" spans="1:8" x14ac:dyDescent="0.25">
      <c r="A236" s="10" t="s">
        <v>5394</v>
      </c>
      <c r="B236" s="194">
        <v>0.75208333333333333</v>
      </c>
      <c r="C236" s="116">
        <v>1</v>
      </c>
      <c r="D236" s="116"/>
      <c r="E236" s="116">
        <v>0</v>
      </c>
      <c r="F236" s="116" t="s">
        <v>3359</v>
      </c>
      <c r="G236" s="162" t="str">
        <f t="shared" si="6"/>
        <v xml:space="preserve"> </v>
      </c>
      <c r="H236" s="161" t="str">
        <f t="shared" si="7"/>
        <v>18h</v>
      </c>
    </row>
    <row r="237" spans="1:8" x14ac:dyDescent="0.25">
      <c r="A237" s="10" t="s">
        <v>5394</v>
      </c>
      <c r="B237" s="194">
        <v>0.87291666666666667</v>
      </c>
      <c r="C237" s="116">
        <v>1</v>
      </c>
      <c r="D237" s="116"/>
      <c r="E237" s="116">
        <v>0</v>
      </c>
      <c r="F237" s="116" t="s">
        <v>3364</v>
      </c>
      <c r="G237" s="162" t="str">
        <f t="shared" si="6"/>
        <v xml:space="preserve"> </v>
      </c>
      <c r="H237" s="161" t="str">
        <f t="shared" si="7"/>
        <v>20h</v>
      </c>
    </row>
    <row r="238" spans="1:8" x14ac:dyDescent="0.25">
      <c r="A238" s="10" t="s">
        <v>5394</v>
      </c>
      <c r="B238" s="194">
        <v>0.91388888888888886</v>
      </c>
      <c r="C238" s="116">
        <v>1</v>
      </c>
      <c r="D238" s="116"/>
      <c r="E238" s="116">
        <v>0</v>
      </c>
      <c r="F238" s="116" t="s">
        <v>3360</v>
      </c>
      <c r="G238" s="162" t="str">
        <f t="shared" si="6"/>
        <v xml:space="preserve"> </v>
      </c>
      <c r="H238" s="161" t="str">
        <f t="shared" si="7"/>
        <v>21h</v>
      </c>
    </row>
    <row r="239" spans="1:8" x14ac:dyDescent="0.25">
      <c r="A239" s="10" t="s">
        <v>5394</v>
      </c>
      <c r="B239" s="194">
        <v>0.92152777777777772</v>
      </c>
      <c r="C239" s="116">
        <v>1</v>
      </c>
      <c r="D239" s="116"/>
      <c r="E239" s="116">
        <v>1</v>
      </c>
      <c r="F239" s="116" t="s">
        <v>3362</v>
      </c>
      <c r="G239" s="162" t="str">
        <f t="shared" si="6"/>
        <v xml:space="preserve"> </v>
      </c>
      <c r="H239" s="161" t="str">
        <f t="shared" si="7"/>
        <v>22h</v>
      </c>
    </row>
    <row r="240" spans="1:8" x14ac:dyDescent="0.25">
      <c r="A240" s="10" t="s">
        <v>5394</v>
      </c>
      <c r="B240" s="194">
        <v>0.93680555555555556</v>
      </c>
      <c r="C240" s="116">
        <v>1</v>
      </c>
      <c r="D240" s="116"/>
      <c r="E240" s="116">
        <v>0</v>
      </c>
      <c r="F240" s="116" t="s">
        <v>3362</v>
      </c>
      <c r="G240" s="162" t="str">
        <f t="shared" si="6"/>
        <v xml:space="preserve"> </v>
      </c>
      <c r="H240" s="161" t="str">
        <f t="shared" si="7"/>
        <v>22h</v>
      </c>
    </row>
    <row r="241" spans="1:8" x14ac:dyDescent="0.25">
      <c r="A241" s="10" t="s">
        <v>5394</v>
      </c>
      <c r="B241" s="194">
        <v>0.9604166666666667</v>
      </c>
      <c r="C241" s="116">
        <v>1</v>
      </c>
      <c r="D241" s="116"/>
      <c r="E241" s="116">
        <v>0</v>
      </c>
      <c r="F241" s="116" t="s">
        <v>3365</v>
      </c>
      <c r="G241" s="162" t="str">
        <f t="shared" si="6"/>
        <v xml:space="preserve"> </v>
      </c>
      <c r="H241" s="161" t="str">
        <f t="shared" si="7"/>
        <v>23h</v>
      </c>
    </row>
    <row r="242" spans="1:8" x14ac:dyDescent="0.25">
      <c r="A242" s="10" t="s">
        <v>5394</v>
      </c>
      <c r="B242" s="194">
        <v>0.99027777777777781</v>
      </c>
      <c r="C242" s="116">
        <v>1</v>
      </c>
      <c r="D242" s="116"/>
      <c r="E242" s="116">
        <v>0</v>
      </c>
      <c r="F242" s="116" t="s">
        <v>3365</v>
      </c>
      <c r="G242" s="162" t="str">
        <f t="shared" si="6"/>
        <v xml:space="preserve"> </v>
      </c>
      <c r="H242" s="161" t="str">
        <f t="shared" si="7"/>
        <v>23h</v>
      </c>
    </row>
    <row r="243" spans="1:8" x14ac:dyDescent="0.25">
      <c r="A243" s="10" t="s">
        <v>5397</v>
      </c>
      <c r="B243" s="194">
        <v>0.28263888888888888</v>
      </c>
      <c r="C243" s="116">
        <v>1</v>
      </c>
      <c r="D243" s="116">
        <v>1</v>
      </c>
      <c r="E243" s="116">
        <v>0</v>
      </c>
      <c r="F243" s="116" t="s">
        <v>3372</v>
      </c>
      <c r="G243" s="162" t="str">
        <f t="shared" si="6"/>
        <v xml:space="preserve"> </v>
      </c>
      <c r="H243" s="161" t="str">
        <f t="shared" si="7"/>
        <v>6h</v>
      </c>
    </row>
    <row r="244" spans="1:8" x14ac:dyDescent="0.25">
      <c r="A244" s="10" t="s">
        <v>5397</v>
      </c>
      <c r="B244" s="194">
        <v>0.29652777777777778</v>
      </c>
      <c r="C244" s="116">
        <v>1</v>
      </c>
      <c r="D244" s="116">
        <v>1</v>
      </c>
      <c r="E244" s="116">
        <v>0</v>
      </c>
      <c r="F244" s="116" t="s">
        <v>3373</v>
      </c>
      <c r="G244" s="162" t="str">
        <f t="shared" si="6"/>
        <v xml:space="preserve"> </v>
      </c>
      <c r="H244" s="161" t="str">
        <f t="shared" si="7"/>
        <v>7h</v>
      </c>
    </row>
    <row r="245" spans="1:8" x14ac:dyDescent="0.25">
      <c r="A245" s="10" t="s">
        <v>5397</v>
      </c>
      <c r="B245" s="194">
        <v>0.31458333333333333</v>
      </c>
      <c r="C245" s="116">
        <v>1</v>
      </c>
      <c r="D245" s="116">
        <v>1</v>
      </c>
      <c r="E245" s="116">
        <v>0</v>
      </c>
      <c r="F245" s="116" t="s">
        <v>3373</v>
      </c>
      <c r="G245" s="162" t="str">
        <f t="shared" si="6"/>
        <v xml:space="preserve"> </v>
      </c>
      <c r="H245" s="161" t="str">
        <f t="shared" si="7"/>
        <v>7h</v>
      </c>
    </row>
    <row r="246" spans="1:8" x14ac:dyDescent="0.25">
      <c r="A246" s="10" t="s">
        <v>5397</v>
      </c>
      <c r="B246" s="194">
        <v>0.3215277777777778</v>
      </c>
      <c r="C246" s="116">
        <v>1</v>
      </c>
      <c r="D246" s="116">
        <v>1</v>
      </c>
      <c r="E246" s="116">
        <v>0</v>
      </c>
      <c r="F246" s="116" t="s">
        <v>3373</v>
      </c>
      <c r="G246" s="162" t="str">
        <f t="shared" si="6"/>
        <v xml:space="preserve"> </v>
      </c>
      <c r="H246" s="161" t="str">
        <f t="shared" si="7"/>
        <v>7h</v>
      </c>
    </row>
    <row r="247" spans="1:8" x14ac:dyDescent="0.25">
      <c r="A247" s="10" t="s">
        <v>5397</v>
      </c>
      <c r="B247" s="194">
        <v>0.40486111111111112</v>
      </c>
      <c r="C247" s="116">
        <v>1</v>
      </c>
      <c r="D247" s="116">
        <v>1</v>
      </c>
      <c r="E247" s="116">
        <v>1</v>
      </c>
      <c r="F247" s="116" t="s">
        <v>3370</v>
      </c>
      <c r="G247" s="162" t="str">
        <f t="shared" si="6"/>
        <v xml:space="preserve"> </v>
      </c>
      <c r="H247" s="161" t="str">
        <f t="shared" si="7"/>
        <v>9h</v>
      </c>
    </row>
    <row r="248" spans="1:8" x14ac:dyDescent="0.25">
      <c r="A248" s="10" t="s">
        <v>5397</v>
      </c>
      <c r="B248" s="194">
        <v>0.61736111111111114</v>
      </c>
      <c r="C248" s="116">
        <v>1</v>
      </c>
      <c r="D248" s="116">
        <v>1</v>
      </c>
      <c r="E248" s="116">
        <v>0</v>
      </c>
      <c r="F248" s="116" t="s">
        <v>3369</v>
      </c>
      <c r="G248" s="162" t="str">
        <f t="shared" si="6"/>
        <v xml:space="preserve"> </v>
      </c>
      <c r="H248" s="161" t="str">
        <f t="shared" si="7"/>
        <v>14h</v>
      </c>
    </row>
    <row r="249" spans="1:8" x14ac:dyDescent="0.25">
      <c r="A249" s="10" t="s">
        <v>5397</v>
      </c>
      <c r="B249" s="194">
        <v>0.87291666666666667</v>
      </c>
      <c r="C249" s="116">
        <v>1</v>
      </c>
      <c r="D249" s="116">
        <v>1</v>
      </c>
      <c r="E249" s="116">
        <v>0</v>
      </c>
      <c r="F249" s="116" t="s">
        <v>3364</v>
      </c>
      <c r="G249" s="162" t="str">
        <f t="shared" si="6"/>
        <v xml:space="preserve"> </v>
      </c>
      <c r="H249" s="161" t="str">
        <f t="shared" si="7"/>
        <v>20h</v>
      </c>
    </row>
    <row r="250" spans="1:8" x14ac:dyDescent="0.25">
      <c r="A250" s="10" t="s">
        <v>5397</v>
      </c>
      <c r="B250" s="194">
        <v>0.97430555555555554</v>
      </c>
      <c r="C250" s="116">
        <v>1</v>
      </c>
      <c r="D250" s="116">
        <v>1</v>
      </c>
      <c r="E250" s="116">
        <v>0</v>
      </c>
      <c r="F250" s="116" t="s">
        <v>3365</v>
      </c>
      <c r="G250" s="162" t="str">
        <f t="shared" si="6"/>
        <v xml:space="preserve"> </v>
      </c>
      <c r="H250" s="161" t="str">
        <f t="shared" si="7"/>
        <v>23h</v>
      </c>
    </row>
    <row r="251" spans="1:8" x14ac:dyDescent="0.25">
      <c r="A251" s="10" t="s">
        <v>5400</v>
      </c>
      <c r="B251" s="194">
        <v>0.33263888888888887</v>
      </c>
      <c r="C251" s="116">
        <v>1</v>
      </c>
      <c r="D251" s="116">
        <v>1</v>
      </c>
      <c r="E251" s="116">
        <v>0</v>
      </c>
      <c r="F251" s="116" t="s">
        <v>3373</v>
      </c>
      <c r="G251" s="162" t="str">
        <f t="shared" si="6"/>
        <v xml:space="preserve"> </v>
      </c>
      <c r="H251" s="161" t="str">
        <f t="shared" si="7"/>
        <v>7h</v>
      </c>
    </row>
    <row r="252" spans="1:8" x14ac:dyDescent="0.25">
      <c r="A252" s="10" t="s">
        <v>5400</v>
      </c>
      <c r="B252" s="194">
        <v>0.42152777777777778</v>
      </c>
      <c r="C252" s="116">
        <v>1</v>
      </c>
      <c r="D252" s="116">
        <v>1</v>
      </c>
      <c r="E252" s="116">
        <v>0</v>
      </c>
      <c r="F252" s="116" t="s">
        <v>3371</v>
      </c>
      <c r="G252" s="162" t="str">
        <f t="shared" si="6"/>
        <v xml:space="preserve"> </v>
      </c>
      <c r="H252" s="161" t="str">
        <f t="shared" si="7"/>
        <v>10h</v>
      </c>
    </row>
    <row r="253" spans="1:8" x14ac:dyDescent="0.25">
      <c r="A253" s="10" t="s">
        <v>5400</v>
      </c>
      <c r="B253" s="194">
        <v>0.57986111111111116</v>
      </c>
      <c r="C253" s="116">
        <v>1</v>
      </c>
      <c r="D253" s="116">
        <v>1</v>
      </c>
      <c r="E253" s="116">
        <v>0</v>
      </c>
      <c r="F253" s="116" t="s">
        <v>3368</v>
      </c>
      <c r="G253" s="162" t="str">
        <f t="shared" si="6"/>
        <v xml:space="preserve"> </v>
      </c>
      <c r="H253" s="161" t="str">
        <f t="shared" si="7"/>
        <v>13h</v>
      </c>
    </row>
    <row r="254" spans="1:8" x14ac:dyDescent="0.25">
      <c r="A254" s="10" t="s">
        <v>5400</v>
      </c>
      <c r="B254" s="194">
        <v>0.70416666666666672</v>
      </c>
      <c r="C254" s="116">
        <v>1</v>
      </c>
      <c r="D254" s="116">
        <v>1</v>
      </c>
      <c r="E254" s="116">
        <v>0</v>
      </c>
      <c r="F254" s="116" t="s">
        <v>3363</v>
      </c>
      <c r="G254" s="162" t="str">
        <f t="shared" si="6"/>
        <v xml:space="preserve"> </v>
      </c>
      <c r="H254" s="161" t="str">
        <f t="shared" si="7"/>
        <v>16h</v>
      </c>
    </row>
    <row r="255" spans="1:8" x14ac:dyDescent="0.25">
      <c r="A255" s="10" t="s">
        <v>5400</v>
      </c>
      <c r="B255" s="194">
        <v>0.81180555555555556</v>
      </c>
      <c r="C255" s="116">
        <v>1</v>
      </c>
      <c r="D255" s="116">
        <v>1</v>
      </c>
      <c r="E255" s="116">
        <v>0</v>
      </c>
      <c r="F255" s="116" t="s">
        <v>3366</v>
      </c>
      <c r="G255" s="162" t="str">
        <f t="shared" si="6"/>
        <v xml:space="preserve"> </v>
      </c>
      <c r="H255" s="161" t="str">
        <f t="shared" si="7"/>
        <v>19h</v>
      </c>
    </row>
    <row r="256" spans="1:8" x14ac:dyDescent="0.25">
      <c r="A256" s="10" t="s">
        <v>5400</v>
      </c>
      <c r="B256" s="194">
        <v>0.92083333333333328</v>
      </c>
      <c r="C256" s="116">
        <v>1</v>
      </c>
      <c r="D256" s="116">
        <v>1</v>
      </c>
      <c r="E256" s="116">
        <v>0</v>
      </c>
      <c r="F256" s="116" t="s">
        <v>3362</v>
      </c>
      <c r="G256" s="162" t="str">
        <f t="shared" si="6"/>
        <v xml:space="preserve"> </v>
      </c>
      <c r="H256" s="161" t="str">
        <f t="shared" si="7"/>
        <v>22h</v>
      </c>
    </row>
    <row r="257" spans="1:8" x14ac:dyDescent="0.25">
      <c r="A257" s="10" t="s">
        <v>5400</v>
      </c>
      <c r="B257" s="194">
        <v>0.97430555555555554</v>
      </c>
      <c r="C257" s="116">
        <v>1</v>
      </c>
      <c r="D257" s="116">
        <v>2</v>
      </c>
      <c r="E257" s="116">
        <v>1</v>
      </c>
      <c r="F257" s="116" t="s">
        <v>3365</v>
      </c>
      <c r="G257" s="162" t="str">
        <f t="shared" si="6"/>
        <v xml:space="preserve"> </v>
      </c>
      <c r="H257" s="161" t="str">
        <f t="shared" si="7"/>
        <v>23h</v>
      </c>
    </row>
    <row r="258" spans="1:8" ht="30" x14ac:dyDescent="0.25">
      <c r="A258" s="10" t="s">
        <v>335</v>
      </c>
      <c r="B258" s="194">
        <v>0.27916666666666667</v>
      </c>
      <c r="C258" s="116">
        <v>1</v>
      </c>
      <c r="D258" s="116">
        <v>1</v>
      </c>
      <c r="E258" s="116">
        <v>0</v>
      </c>
      <c r="F258" s="116" t="s">
        <v>3372</v>
      </c>
      <c r="G258" s="162" t="str">
        <f t="shared" si="6"/>
        <v>Montagem</v>
      </c>
      <c r="H258" s="161" t="str">
        <f t="shared" si="7"/>
        <v>6h</v>
      </c>
    </row>
    <row r="259" spans="1:8" ht="30" x14ac:dyDescent="0.25">
      <c r="A259" s="10" t="s">
        <v>335</v>
      </c>
      <c r="B259" s="194">
        <v>0.28263888888888888</v>
      </c>
      <c r="C259" s="116">
        <v>1</v>
      </c>
      <c r="D259" s="116">
        <v>1</v>
      </c>
      <c r="E259" s="116">
        <v>1</v>
      </c>
      <c r="F259" s="116" t="s">
        <v>3372</v>
      </c>
      <c r="G259" s="162" t="str">
        <f t="shared" ref="G259:G322" si="8">IF(LEFT(A259,3)="S7P","Pintura",IF(LEFT(A259,3)="S7M","Montagem",
IF(LEFT(A259,3)="S7S","Serigrafia"," ")))</f>
        <v>Montagem</v>
      </c>
      <c r="H259" s="161" t="str">
        <f t="shared" ref="H259:H322" si="9">VALUE(LEFT(F259,2))&amp;"h"</f>
        <v>6h</v>
      </c>
    </row>
    <row r="260" spans="1:8" ht="30" x14ac:dyDescent="0.25">
      <c r="A260" s="10" t="s">
        <v>335</v>
      </c>
      <c r="B260" s="194">
        <v>0.29583333333333334</v>
      </c>
      <c r="C260" s="116">
        <v>1</v>
      </c>
      <c r="D260" s="116"/>
      <c r="E260" s="116">
        <v>1</v>
      </c>
      <c r="F260" s="116" t="s">
        <v>3373</v>
      </c>
      <c r="G260" s="162" t="str">
        <f t="shared" si="8"/>
        <v>Montagem</v>
      </c>
      <c r="H260" s="161" t="str">
        <f t="shared" si="9"/>
        <v>7h</v>
      </c>
    </row>
    <row r="261" spans="1:8" ht="30" x14ac:dyDescent="0.25">
      <c r="A261" s="10" t="s">
        <v>335</v>
      </c>
      <c r="B261" s="194">
        <v>0.30625000000000002</v>
      </c>
      <c r="C261" s="116">
        <v>1</v>
      </c>
      <c r="D261" s="116"/>
      <c r="E261" s="116">
        <v>0</v>
      </c>
      <c r="F261" s="116" t="s">
        <v>3373</v>
      </c>
      <c r="G261" s="162" t="str">
        <f t="shared" si="8"/>
        <v>Montagem</v>
      </c>
      <c r="H261" s="161" t="str">
        <f t="shared" si="9"/>
        <v>7h</v>
      </c>
    </row>
    <row r="262" spans="1:8" ht="30" x14ac:dyDescent="0.25">
      <c r="A262" s="10" t="s">
        <v>335</v>
      </c>
      <c r="B262" s="194">
        <v>0.33888888888888891</v>
      </c>
      <c r="C262" s="116">
        <v>1</v>
      </c>
      <c r="D262" s="116"/>
      <c r="E262" s="116">
        <v>0</v>
      </c>
      <c r="F262" s="116" t="s">
        <v>3374</v>
      </c>
      <c r="G262" s="162" t="str">
        <f t="shared" si="8"/>
        <v>Montagem</v>
      </c>
      <c r="H262" s="161" t="str">
        <f t="shared" si="9"/>
        <v>8h</v>
      </c>
    </row>
    <row r="263" spans="1:8" ht="30" x14ac:dyDescent="0.25">
      <c r="A263" s="10" t="s">
        <v>335</v>
      </c>
      <c r="B263" s="194">
        <v>0.39791666666666664</v>
      </c>
      <c r="C263" s="116">
        <v>1</v>
      </c>
      <c r="D263" s="116"/>
      <c r="E263" s="116">
        <v>0</v>
      </c>
      <c r="F263" s="116" t="s">
        <v>3370</v>
      </c>
      <c r="G263" s="162" t="str">
        <f t="shared" si="8"/>
        <v>Montagem</v>
      </c>
      <c r="H263" s="161" t="str">
        <f t="shared" si="9"/>
        <v>9h</v>
      </c>
    </row>
    <row r="264" spans="1:8" ht="30" x14ac:dyDescent="0.25">
      <c r="A264" s="10" t="s">
        <v>335</v>
      </c>
      <c r="B264" s="194">
        <v>0.45694444444444443</v>
      </c>
      <c r="C264" s="116">
        <v>1</v>
      </c>
      <c r="D264" s="116"/>
      <c r="E264" s="116">
        <v>0</v>
      </c>
      <c r="F264" s="116" t="s">
        <v>3371</v>
      </c>
      <c r="G264" s="162" t="str">
        <f t="shared" si="8"/>
        <v>Montagem</v>
      </c>
      <c r="H264" s="161" t="str">
        <f t="shared" si="9"/>
        <v>10h</v>
      </c>
    </row>
    <row r="265" spans="1:8" ht="30" x14ac:dyDescent="0.25">
      <c r="A265" s="10" t="s">
        <v>335</v>
      </c>
      <c r="B265" s="194">
        <v>0.53194444444444444</v>
      </c>
      <c r="C265" s="116">
        <v>1</v>
      </c>
      <c r="D265" s="116"/>
      <c r="E265" s="116">
        <v>0</v>
      </c>
      <c r="F265" s="116" t="s">
        <v>3367</v>
      </c>
      <c r="G265" s="162" t="str">
        <f t="shared" si="8"/>
        <v>Montagem</v>
      </c>
      <c r="H265" s="161" t="str">
        <f t="shared" si="9"/>
        <v>12h</v>
      </c>
    </row>
    <row r="266" spans="1:8" ht="30" x14ac:dyDescent="0.25">
      <c r="A266" s="10" t="s">
        <v>335</v>
      </c>
      <c r="B266" s="194">
        <v>0.54166666666666663</v>
      </c>
      <c r="C266" s="116">
        <v>1</v>
      </c>
      <c r="D266" s="116"/>
      <c r="E266" s="116">
        <v>1</v>
      </c>
      <c r="F266" s="116" t="s">
        <v>3368</v>
      </c>
      <c r="G266" s="162" t="str">
        <f t="shared" si="8"/>
        <v>Montagem</v>
      </c>
      <c r="H266" s="161" t="str">
        <f t="shared" si="9"/>
        <v>13h</v>
      </c>
    </row>
    <row r="267" spans="1:8" ht="30" x14ac:dyDescent="0.25">
      <c r="A267" s="10" t="s">
        <v>335</v>
      </c>
      <c r="B267" s="194">
        <v>0.55833333333333335</v>
      </c>
      <c r="C267" s="116">
        <v>1</v>
      </c>
      <c r="D267" s="116"/>
      <c r="E267" s="116">
        <v>0</v>
      </c>
      <c r="F267" s="116" t="s">
        <v>3368</v>
      </c>
      <c r="G267" s="162" t="str">
        <f t="shared" si="8"/>
        <v>Montagem</v>
      </c>
      <c r="H267" s="161" t="str">
        <f t="shared" si="9"/>
        <v>13h</v>
      </c>
    </row>
    <row r="268" spans="1:8" ht="30" x14ac:dyDescent="0.25">
      <c r="A268" s="10" t="s">
        <v>335</v>
      </c>
      <c r="B268" s="194">
        <v>0.58819444444444446</v>
      </c>
      <c r="C268" s="116">
        <v>1</v>
      </c>
      <c r="D268" s="116"/>
      <c r="E268" s="116">
        <v>0</v>
      </c>
      <c r="F268" s="116" t="s">
        <v>3369</v>
      </c>
      <c r="G268" s="162" t="str">
        <f t="shared" si="8"/>
        <v>Montagem</v>
      </c>
      <c r="H268" s="161" t="str">
        <f t="shared" si="9"/>
        <v>14h</v>
      </c>
    </row>
    <row r="269" spans="1:8" ht="30" x14ac:dyDescent="0.25">
      <c r="A269" s="10" t="s">
        <v>335</v>
      </c>
      <c r="B269" s="194">
        <v>0.61041666666666672</v>
      </c>
      <c r="C269" s="116">
        <v>1</v>
      </c>
      <c r="D269" s="116"/>
      <c r="E269" s="116">
        <v>0</v>
      </c>
      <c r="F269" s="116" t="s">
        <v>3369</v>
      </c>
      <c r="G269" s="162" t="str">
        <f t="shared" si="8"/>
        <v>Montagem</v>
      </c>
      <c r="H269" s="161" t="str">
        <f t="shared" si="9"/>
        <v>14h</v>
      </c>
    </row>
    <row r="270" spans="1:8" ht="30" x14ac:dyDescent="0.25">
      <c r="A270" s="10" t="s">
        <v>335</v>
      </c>
      <c r="B270" s="194">
        <v>0.62916666666666665</v>
      </c>
      <c r="C270" s="116">
        <v>0</v>
      </c>
      <c r="D270" s="116"/>
      <c r="E270" s="116">
        <v>1</v>
      </c>
      <c r="F270" s="116" t="s">
        <v>3358</v>
      </c>
      <c r="G270" s="162" t="str">
        <f t="shared" si="8"/>
        <v>Montagem</v>
      </c>
      <c r="H270" s="161" t="str">
        <f t="shared" si="9"/>
        <v>15h</v>
      </c>
    </row>
    <row r="271" spans="1:8" ht="30" x14ac:dyDescent="0.25">
      <c r="A271" s="10" t="s">
        <v>335</v>
      </c>
      <c r="B271" s="194">
        <v>0.63263888888888886</v>
      </c>
      <c r="C271" s="116">
        <v>1</v>
      </c>
      <c r="D271" s="116"/>
      <c r="E271" s="116">
        <v>0</v>
      </c>
      <c r="F271" s="116" t="s">
        <v>3358</v>
      </c>
      <c r="G271" s="162" t="str">
        <f t="shared" si="8"/>
        <v>Montagem</v>
      </c>
      <c r="H271" s="161" t="str">
        <f t="shared" si="9"/>
        <v>15h</v>
      </c>
    </row>
    <row r="272" spans="1:8" ht="30" x14ac:dyDescent="0.25">
      <c r="A272" s="10" t="s">
        <v>335</v>
      </c>
      <c r="B272" s="194">
        <v>0.64375000000000004</v>
      </c>
      <c r="C272" s="116">
        <v>1</v>
      </c>
      <c r="D272" s="116"/>
      <c r="E272" s="116">
        <v>0</v>
      </c>
      <c r="F272" s="116" t="s">
        <v>3358</v>
      </c>
      <c r="G272" s="162" t="str">
        <f t="shared" si="8"/>
        <v>Montagem</v>
      </c>
      <c r="H272" s="161" t="str">
        <f t="shared" si="9"/>
        <v>15h</v>
      </c>
    </row>
    <row r="273" spans="1:8" ht="30" x14ac:dyDescent="0.25">
      <c r="A273" s="10" t="s">
        <v>335</v>
      </c>
      <c r="B273" s="194">
        <v>0.65902777777777777</v>
      </c>
      <c r="C273" s="116">
        <v>1</v>
      </c>
      <c r="D273" s="116"/>
      <c r="E273" s="116">
        <v>0</v>
      </c>
      <c r="F273" s="116" t="s">
        <v>3358</v>
      </c>
      <c r="G273" s="162" t="str">
        <f t="shared" si="8"/>
        <v>Montagem</v>
      </c>
      <c r="H273" s="161" t="str">
        <f t="shared" si="9"/>
        <v>15h</v>
      </c>
    </row>
    <row r="274" spans="1:8" ht="30" x14ac:dyDescent="0.25">
      <c r="A274" s="10" t="s">
        <v>335</v>
      </c>
      <c r="B274" s="194">
        <v>0.66666666666666663</v>
      </c>
      <c r="C274" s="116">
        <v>0</v>
      </c>
      <c r="D274" s="116"/>
      <c r="E274" s="116">
        <v>1</v>
      </c>
      <c r="F274" s="116" t="s">
        <v>3363</v>
      </c>
      <c r="G274" s="162" t="str">
        <f t="shared" si="8"/>
        <v>Montagem</v>
      </c>
      <c r="H274" s="161" t="str">
        <f t="shared" si="9"/>
        <v>16h</v>
      </c>
    </row>
    <row r="275" spans="1:8" ht="30" x14ac:dyDescent="0.25">
      <c r="A275" s="10" t="s">
        <v>335</v>
      </c>
      <c r="B275" s="194">
        <v>0.67638888888888893</v>
      </c>
      <c r="C275" s="116">
        <v>1</v>
      </c>
      <c r="D275" s="116"/>
      <c r="E275" s="116">
        <v>0</v>
      </c>
      <c r="F275" s="116" t="s">
        <v>3363</v>
      </c>
      <c r="G275" s="162" t="str">
        <f t="shared" si="8"/>
        <v>Montagem</v>
      </c>
      <c r="H275" s="161" t="str">
        <f t="shared" si="9"/>
        <v>16h</v>
      </c>
    </row>
    <row r="276" spans="1:8" ht="30" x14ac:dyDescent="0.25">
      <c r="A276" s="10" t="s">
        <v>335</v>
      </c>
      <c r="B276" s="194">
        <v>0.7006944444444444</v>
      </c>
      <c r="C276" s="116">
        <v>1</v>
      </c>
      <c r="D276" s="116"/>
      <c r="E276" s="116">
        <v>0</v>
      </c>
      <c r="F276" s="116" t="s">
        <v>3363</v>
      </c>
      <c r="G276" s="162" t="str">
        <f t="shared" si="8"/>
        <v>Montagem</v>
      </c>
      <c r="H276" s="161" t="str">
        <f t="shared" si="9"/>
        <v>16h</v>
      </c>
    </row>
    <row r="277" spans="1:8" ht="30" x14ac:dyDescent="0.25">
      <c r="A277" s="10" t="s">
        <v>335</v>
      </c>
      <c r="B277" s="194">
        <v>0.7104166666666667</v>
      </c>
      <c r="C277" s="116">
        <v>1</v>
      </c>
      <c r="D277" s="116">
        <v>1</v>
      </c>
      <c r="E277" s="116">
        <v>1</v>
      </c>
      <c r="F277" s="116" t="s">
        <v>3361</v>
      </c>
      <c r="G277" s="162" t="str">
        <f t="shared" si="8"/>
        <v>Montagem</v>
      </c>
      <c r="H277" s="161" t="str">
        <f t="shared" si="9"/>
        <v>17h</v>
      </c>
    </row>
    <row r="278" spans="1:8" ht="30" x14ac:dyDescent="0.25">
      <c r="A278" s="10" t="s">
        <v>335</v>
      </c>
      <c r="B278" s="194">
        <v>0.73750000000000004</v>
      </c>
      <c r="C278" s="116">
        <v>1</v>
      </c>
      <c r="D278" s="116">
        <v>1</v>
      </c>
      <c r="E278" s="116">
        <v>0</v>
      </c>
      <c r="F278" s="116" t="s">
        <v>3361</v>
      </c>
      <c r="G278" s="162" t="str">
        <f t="shared" si="8"/>
        <v>Montagem</v>
      </c>
      <c r="H278" s="161" t="str">
        <f t="shared" si="9"/>
        <v>17h</v>
      </c>
    </row>
    <row r="279" spans="1:8" ht="30" x14ac:dyDescent="0.25">
      <c r="A279" s="10" t="s">
        <v>335</v>
      </c>
      <c r="B279" s="194">
        <v>0.78402777777777777</v>
      </c>
      <c r="C279" s="116">
        <v>1</v>
      </c>
      <c r="D279" s="116">
        <v>1</v>
      </c>
      <c r="E279" s="116">
        <v>0</v>
      </c>
      <c r="F279" s="116" t="s">
        <v>3359</v>
      </c>
      <c r="G279" s="162" t="str">
        <f t="shared" si="8"/>
        <v>Montagem</v>
      </c>
      <c r="H279" s="161" t="str">
        <f t="shared" si="9"/>
        <v>18h</v>
      </c>
    </row>
    <row r="280" spans="1:8" ht="30" x14ac:dyDescent="0.25">
      <c r="A280" s="10" t="s">
        <v>335</v>
      </c>
      <c r="B280" s="194">
        <v>0.87083333333333335</v>
      </c>
      <c r="C280" s="116">
        <v>1</v>
      </c>
      <c r="D280" s="116">
        <v>1</v>
      </c>
      <c r="E280" s="116">
        <v>0</v>
      </c>
      <c r="F280" s="116" t="s">
        <v>3364</v>
      </c>
      <c r="G280" s="162" t="str">
        <f t="shared" si="8"/>
        <v>Montagem</v>
      </c>
      <c r="H280" s="161" t="str">
        <f t="shared" si="9"/>
        <v>20h</v>
      </c>
    </row>
    <row r="281" spans="1:8" ht="30" x14ac:dyDescent="0.25">
      <c r="A281" s="10" t="s">
        <v>335</v>
      </c>
      <c r="B281" s="194">
        <v>0.90972222222222221</v>
      </c>
      <c r="C281" s="116">
        <v>1</v>
      </c>
      <c r="D281" s="116">
        <v>1</v>
      </c>
      <c r="E281" s="116">
        <v>0</v>
      </c>
      <c r="F281" s="116" t="s">
        <v>3360</v>
      </c>
      <c r="G281" s="162" t="str">
        <f t="shared" si="8"/>
        <v>Montagem</v>
      </c>
      <c r="H281" s="161" t="str">
        <f t="shared" si="9"/>
        <v>21h</v>
      </c>
    </row>
    <row r="282" spans="1:8" ht="30" x14ac:dyDescent="0.25">
      <c r="A282" s="10" t="s">
        <v>335</v>
      </c>
      <c r="B282" s="194">
        <v>0.93333333333333335</v>
      </c>
      <c r="C282" s="116">
        <v>1</v>
      </c>
      <c r="D282" s="116">
        <v>1</v>
      </c>
      <c r="E282" s="116">
        <v>0</v>
      </c>
      <c r="F282" s="116" t="s">
        <v>3362</v>
      </c>
      <c r="G282" s="162" t="str">
        <f t="shared" si="8"/>
        <v>Montagem</v>
      </c>
      <c r="H282" s="161" t="str">
        <f t="shared" si="9"/>
        <v>22h</v>
      </c>
    </row>
    <row r="283" spans="1:8" ht="30" x14ac:dyDescent="0.25">
      <c r="A283" s="10" t="s">
        <v>335</v>
      </c>
      <c r="B283" s="194">
        <v>0.94930555555555551</v>
      </c>
      <c r="C283" s="116">
        <v>0</v>
      </c>
      <c r="D283" s="116">
        <v>1</v>
      </c>
      <c r="E283" s="116">
        <v>1</v>
      </c>
      <c r="F283" s="116" t="s">
        <v>3362</v>
      </c>
      <c r="G283" s="162" t="str">
        <f t="shared" si="8"/>
        <v>Montagem</v>
      </c>
      <c r="H283" s="161" t="str">
        <f t="shared" si="9"/>
        <v>22h</v>
      </c>
    </row>
    <row r="284" spans="1:8" ht="30" x14ac:dyDescent="0.25">
      <c r="A284" s="10" t="s">
        <v>335</v>
      </c>
      <c r="B284" s="194">
        <v>0.95625000000000004</v>
      </c>
      <c r="C284" s="116">
        <v>1</v>
      </c>
      <c r="D284" s="116">
        <v>1</v>
      </c>
      <c r="E284" s="116">
        <v>0</v>
      </c>
      <c r="F284" s="116" t="s">
        <v>3362</v>
      </c>
      <c r="G284" s="162" t="str">
        <f t="shared" si="8"/>
        <v>Montagem</v>
      </c>
      <c r="H284" s="161" t="str">
        <f t="shared" si="9"/>
        <v>22h</v>
      </c>
    </row>
    <row r="285" spans="1:8" ht="30" x14ac:dyDescent="0.25">
      <c r="A285" s="10" t="s">
        <v>335</v>
      </c>
      <c r="B285" s="194">
        <v>0.97361111111111109</v>
      </c>
      <c r="C285" s="116">
        <v>1</v>
      </c>
      <c r="D285" s="116">
        <v>1</v>
      </c>
      <c r="E285" s="116">
        <v>0</v>
      </c>
      <c r="F285" s="116" t="s">
        <v>3365</v>
      </c>
      <c r="G285" s="162" t="str">
        <f t="shared" si="8"/>
        <v>Montagem</v>
      </c>
      <c r="H285" s="161" t="str">
        <f t="shared" si="9"/>
        <v>23h</v>
      </c>
    </row>
    <row r="286" spans="1:8" ht="30" x14ac:dyDescent="0.25">
      <c r="A286" s="10" t="s">
        <v>337</v>
      </c>
      <c r="B286" s="194">
        <v>0.27847222222222223</v>
      </c>
      <c r="C286" s="116">
        <v>1</v>
      </c>
      <c r="D286" s="116"/>
      <c r="E286" s="116">
        <v>0</v>
      </c>
      <c r="F286" s="116" t="s">
        <v>3372</v>
      </c>
      <c r="G286" s="162" t="str">
        <f t="shared" si="8"/>
        <v>Montagem</v>
      </c>
      <c r="H286" s="161" t="str">
        <f t="shared" si="9"/>
        <v>6h</v>
      </c>
    </row>
    <row r="287" spans="1:8" ht="30" x14ac:dyDescent="0.25">
      <c r="A287" s="10" t="s">
        <v>337</v>
      </c>
      <c r="B287" s="194">
        <v>0.27986111111111112</v>
      </c>
      <c r="C287" s="116">
        <v>1</v>
      </c>
      <c r="D287" s="116"/>
      <c r="E287" s="116">
        <v>0</v>
      </c>
      <c r="F287" s="116" t="s">
        <v>3372</v>
      </c>
      <c r="G287" s="162" t="str">
        <f t="shared" si="8"/>
        <v>Montagem</v>
      </c>
      <c r="H287" s="161" t="str">
        <f t="shared" si="9"/>
        <v>6h</v>
      </c>
    </row>
    <row r="288" spans="1:8" ht="30" x14ac:dyDescent="0.25">
      <c r="A288" s="10" t="s">
        <v>337</v>
      </c>
      <c r="B288" s="194">
        <v>0.28125</v>
      </c>
      <c r="C288" s="116">
        <v>1</v>
      </c>
      <c r="D288" s="116"/>
      <c r="E288" s="116">
        <v>1</v>
      </c>
      <c r="F288" s="116" t="s">
        <v>3372</v>
      </c>
      <c r="G288" s="162" t="str">
        <f t="shared" si="8"/>
        <v>Montagem</v>
      </c>
      <c r="H288" s="161" t="str">
        <f t="shared" si="9"/>
        <v>6h</v>
      </c>
    </row>
    <row r="289" spans="1:8" ht="30" x14ac:dyDescent="0.25">
      <c r="A289" s="10" t="s">
        <v>337</v>
      </c>
      <c r="B289" s="194">
        <v>0.28333333333333333</v>
      </c>
      <c r="C289" s="116">
        <v>1</v>
      </c>
      <c r="D289" s="116"/>
      <c r="E289" s="116">
        <v>0</v>
      </c>
      <c r="F289" s="116" t="s">
        <v>3372</v>
      </c>
      <c r="G289" s="162" t="str">
        <f t="shared" si="8"/>
        <v>Montagem</v>
      </c>
      <c r="H289" s="161" t="str">
        <f t="shared" si="9"/>
        <v>6h</v>
      </c>
    </row>
    <row r="290" spans="1:8" ht="30" x14ac:dyDescent="0.25">
      <c r="A290" s="10" t="s">
        <v>337</v>
      </c>
      <c r="B290" s="194">
        <v>0.28541666666666665</v>
      </c>
      <c r="C290" s="116">
        <v>1</v>
      </c>
      <c r="D290" s="116"/>
      <c r="E290" s="116">
        <v>0</v>
      </c>
      <c r="F290" s="116" t="s">
        <v>3372</v>
      </c>
      <c r="G290" s="162" t="str">
        <f t="shared" si="8"/>
        <v>Montagem</v>
      </c>
      <c r="H290" s="161" t="str">
        <f t="shared" si="9"/>
        <v>6h</v>
      </c>
    </row>
    <row r="291" spans="1:8" ht="30" x14ac:dyDescent="0.25">
      <c r="A291" s="10" t="s">
        <v>337</v>
      </c>
      <c r="B291" s="194">
        <v>0.28680555555555554</v>
      </c>
      <c r="C291" s="116">
        <v>1</v>
      </c>
      <c r="D291" s="116"/>
      <c r="E291" s="116">
        <v>0</v>
      </c>
      <c r="F291" s="116" t="s">
        <v>3372</v>
      </c>
      <c r="G291" s="162" t="str">
        <f t="shared" si="8"/>
        <v>Montagem</v>
      </c>
      <c r="H291" s="161" t="str">
        <f t="shared" si="9"/>
        <v>6h</v>
      </c>
    </row>
    <row r="292" spans="1:8" ht="30" x14ac:dyDescent="0.25">
      <c r="A292" s="10" t="s">
        <v>337</v>
      </c>
      <c r="B292" s="194">
        <v>0.29305555555555557</v>
      </c>
      <c r="C292" s="116">
        <v>1</v>
      </c>
      <c r="D292" s="116"/>
      <c r="E292" s="116">
        <v>0</v>
      </c>
      <c r="F292" s="116" t="s">
        <v>3373</v>
      </c>
      <c r="G292" s="162" t="str">
        <f t="shared" si="8"/>
        <v>Montagem</v>
      </c>
      <c r="H292" s="161" t="str">
        <f t="shared" si="9"/>
        <v>7h</v>
      </c>
    </row>
    <row r="293" spans="1:8" ht="30" x14ac:dyDescent="0.25">
      <c r="A293" s="10" t="s">
        <v>337</v>
      </c>
      <c r="B293" s="194">
        <v>0.29652777777777778</v>
      </c>
      <c r="C293" s="116">
        <v>1</v>
      </c>
      <c r="D293" s="116"/>
      <c r="E293" s="116">
        <v>1</v>
      </c>
      <c r="F293" s="116" t="s">
        <v>3373</v>
      </c>
      <c r="G293" s="162" t="str">
        <f t="shared" si="8"/>
        <v>Montagem</v>
      </c>
      <c r="H293" s="161" t="str">
        <f t="shared" si="9"/>
        <v>7h</v>
      </c>
    </row>
    <row r="294" spans="1:8" ht="30" x14ac:dyDescent="0.25">
      <c r="A294" s="10" t="s">
        <v>337</v>
      </c>
      <c r="B294" s="194">
        <v>0.30416666666666664</v>
      </c>
      <c r="C294" s="116">
        <v>1</v>
      </c>
      <c r="D294" s="116"/>
      <c r="E294" s="116">
        <v>0</v>
      </c>
      <c r="F294" s="116" t="s">
        <v>3373</v>
      </c>
      <c r="G294" s="162" t="str">
        <f t="shared" si="8"/>
        <v>Montagem</v>
      </c>
      <c r="H294" s="161" t="str">
        <f t="shared" si="9"/>
        <v>7h</v>
      </c>
    </row>
    <row r="295" spans="1:8" ht="30" x14ac:dyDescent="0.25">
      <c r="A295" s="10" t="s">
        <v>337</v>
      </c>
      <c r="B295" s="194">
        <v>0.5083333333333333</v>
      </c>
      <c r="C295" s="116">
        <v>1</v>
      </c>
      <c r="D295" s="116"/>
      <c r="E295" s="116">
        <v>0</v>
      </c>
      <c r="F295" s="116" t="s">
        <v>3367</v>
      </c>
      <c r="G295" s="162" t="str">
        <f t="shared" si="8"/>
        <v>Montagem</v>
      </c>
      <c r="H295" s="161" t="str">
        <f t="shared" si="9"/>
        <v>12h</v>
      </c>
    </row>
    <row r="296" spans="1:8" ht="30" x14ac:dyDescent="0.25">
      <c r="A296" s="10" t="s">
        <v>337</v>
      </c>
      <c r="B296" s="194">
        <v>0.91666666666666663</v>
      </c>
      <c r="C296" s="116">
        <v>1</v>
      </c>
      <c r="D296" s="116"/>
      <c r="E296" s="116">
        <v>0</v>
      </c>
      <c r="F296" s="116" t="s">
        <v>3362</v>
      </c>
      <c r="G296" s="162" t="str">
        <f t="shared" si="8"/>
        <v>Montagem</v>
      </c>
      <c r="H296" s="161" t="str">
        <f t="shared" si="9"/>
        <v>22h</v>
      </c>
    </row>
    <row r="297" spans="1:8" ht="30" x14ac:dyDescent="0.25">
      <c r="A297" s="10" t="s">
        <v>338</v>
      </c>
      <c r="B297" s="194">
        <v>0.28055555555555556</v>
      </c>
      <c r="C297" s="116">
        <v>1</v>
      </c>
      <c r="D297" s="116">
        <v>1</v>
      </c>
      <c r="E297" s="116">
        <v>0</v>
      </c>
      <c r="F297" s="116" t="s">
        <v>3372</v>
      </c>
      <c r="G297" s="162" t="str">
        <f t="shared" si="8"/>
        <v>Montagem</v>
      </c>
      <c r="H297" s="161" t="str">
        <f t="shared" si="9"/>
        <v>6h</v>
      </c>
    </row>
    <row r="298" spans="1:8" ht="30" x14ac:dyDescent="0.25">
      <c r="A298" s="10" t="s">
        <v>338</v>
      </c>
      <c r="B298" s="194">
        <v>0.28194444444444444</v>
      </c>
      <c r="C298" s="116">
        <v>1</v>
      </c>
      <c r="D298" s="116"/>
      <c r="E298" s="116">
        <v>1</v>
      </c>
      <c r="F298" s="116" t="s">
        <v>3372</v>
      </c>
      <c r="G298" s="162" t="str">
        <f t="shared" si="8"/>
        <v>Montagem</v>
      </c>
      <c r="H298" s="161" t="str">
        <f t="shared" si="9"/>
        <v>6h</v>
      </c>
    </row>
    <row r="299" spans="1:8" ht="30" x14ac:dyDescent="0.25">
      <c r="A299" s="10" t="s">
        <v>338</v>
      </c>
      <c r="B299" s="194">
        <v>0.3</v>
      </c>
      <c r="C299" s="116">
        <v>1</v>
      </c>
      <c r="D299" s="116"/>
      <c r="E299" s="116">
        <v>0</v>
      </c>
      <c r="F299" s="116" t="s">
        <v>3373</v>
      </c>
      <c r="G299" s="162" t="str">
        <f t="shared" si="8"/>
        <v>Montagem</v>
      </c>
      <c r="H299" s="161" t="str">
        <f t="shared" si="9"/>
        <v>7h</v>
      </c>
    </row>
    <row r="300" spans="1:8" ht="30" x14ac:dyDescent="0.25">
      <c r="A300" s="10" t="s">
        <v>338</v>
      </c>
      <c r="B300" s="194">
        <v>0.42708333333333331</v>
      </c>
      <c r="C300" s="116">
        <v>0</v>
      </c>
      <c r="D300" s="116"/>
      <c r="E300" s="116">
        <v>0</v>
      </c>
      <c r="F300" s="116" t="s">
        <v>3371</v>
      </c>
      <c r="G300" s="162" t="str">
        <f t="shared" si="8"/>
        <v>Montagem</v>
      </c>
      <c r="H300" s="161" t="str">
        <f t="shared" si="9"/>
        <v>10h</v>
      </c>
    </row>
    <row r="301" spans="1:8" ht="30" x14ac:dyDescent="0.25">
      <c r="A301" s="10" t="s">
        <v>338</v>
      </c>
      <c r="B301" s="194">
        <v>0.5395833333333333</v>
      </c>
      <c r="C301" s="116">
        <v>1</v>
      </c>
      <c r="D301" s="116"/>
      <c r="E301" s="116">
        <v>0</v>
      </c>
      <c r="F301" s="116" t="s">
        <v>3367</v>
      </c>
      <c r="G301" s="162" t="str">
        <f t="shared" si="8"/>
        <v>Montagem</v>
      </c>
      <c r="H301" s="161" t="str">
        <f t="shared" si="9"/>
        <v>12h</v>
      </c>
    </row>
    <row r="302" spans="1:8" ht="30" x14ac:dyDescent="0.25">
      <c r="A302" s="10" t="s">
        <v>338</v>
      </c>
      <c r="B302" s="194">
        <v>0.61527777777777781</v>
      </c>
      <c r="C302" s="116">
        <v>0</v>
      </c>
      <c r="D302" s="116"/>
      <c r="E302" s="116">
        <v>0</v>
      </c>
      <c r="F302" s="116" t="s">
        <v>3369</v>
      </c>
      <c r="G302" s="162" t="str">
        <f t="shared" si="8"/>
        <v>Montagem</v>
      </c>
      <c r="H302" s="161" t="str">
        <f t="shared" si="9"/>
        <v>14h</v>
      </c>
    </row>
    <row r="303" spans="1:8" ht="30" x14ac:dyDescent="0.25">
      <c r="A303" s="10" t="s">
        <v>338</v>
      </c>
      <c r="B303" s="194">
        <v>0.68333333333333335</v>
      </c>
      <c r="C303" s="116">
        <v>1</v>
      </c>
      <c r="D303" s="116"/>
      <c r="E303" s="116">
        <v>0</v>
      </c>
      <c r="F303" s="116" t="s">
        <v>3363</v>
      </c>
      <c r="G303" s="162" t="str">
        <f t="shared" si="8"/>
        <v>Montagem</v>
      </c>
      <c r="H303" s="161" t="str">
        <f t="shared" si="9"/>
        <v>16h</v>
      </c>
    </row>
    <row r="304" spans="1:8" ht="30" x14ac:dyDescent="0.25">
      <c r="A304" s="10" t="s">
        <v>338</v>
      </c>
      <c r="B304" s="194">
        <v>0.74236111111111114</v>
      </c>
      <c r="C304" s="116">
        <v>0</v>
      </c>
      <c r="D304" s="116"/>
      <c r="E304" s="116">
        <v>0</v>
      </c>
      <c r="F304" s="116" t="s">
        <v>3361</v>
      </c>
      <c r="G304" s="162" t="str">
        <f t="shared" si="8"/>
        <v>Montagem</v>
      </c>
      <c r="H304" s="161" t="str">
        <f t="shared" si="9"/>
        <v>17h</v>
      </c>
    </row>
    <row r="305" spans="1:8" ht="30" x14ac:dyDescent="0.25">
      <c r="A305" s="10" t="s">
        <v>338</v>
      </c>
      <c r="B305" s="194">
        <v>0.96527777777777779</v>
      </c>
      <c r="C305" s="116">
        <v>1</v>
      </c>
      <c r="D305" s="116"/>
      <c r="E305" s="116">
        <v>0</v>
      </c>
      <c r="F305" s="116" t="s">
        <v>3365</v>
      </c>
      <c r="G305" s="162" t="str">
        <f t="shared" si="8"/>
        <v>Montagem</v>
      </c>
      <c r="H305" s="161" t="str">
        <f t="shared" si="9"/>
        <v>23h</v>
      </c>
    </row>
    <row r="306" spans="1:8" ht="30" x14ac:dyDescent="0.25">
      <c r="A306" s="10" t="s">
        <v>344</v>
      </c>
      <c r="B306" s="194">
        <v>0.27847222222222223</v>
      </c>
      <c r="C306" s="116">
        <v>1</v>
      </c>
      <c r="D306" s="116"/>
      <c r="E306" s="116">
        <v>0</v>
      </c>
      <c r="F306" s="116" t="s">
        <v>3372</v>
      </c>
      <c r="G306" s="162" t="str">
        <f t="shared" si="8"/>
        <v>Montagem</v>
      </c>
      <c r="H306" s="161" t="str">
        <f t="shared" si="9"/>
        <v>6h</v>
      </c>
    </row>
    <row r="307" spans="1:8" ht="30" x14ac:dyDescent="0.25">
      <c r="A307" s="10" t="s">
        <v>344</v>
      </c>
      <c r="B307" s="194">
        <v>0.28194444444444444</v>
      </c>
      <c r="C307" s="116">
        <v>1</v>
      </c>
      <c r="D307" s="116"/>
      <c r="E307" s="116">
        <v>1</v>
      </c>
      <c r="F307" s="116" t="s">
        <v>3372</v>
      </c>
      <c r="G307" s="162" t="str">
        <f t="shared" si="8"/>
        <v>Montagem</v>
      </c>
      <c r="H307" s="161" t="str">
        <f t="shared" si="9"/>
        <v>6h</v>
      </c>
    </row>
    <row r="308" spans="1:8" ht="30" x14ac:dyDescent="0.25">
      <c r="A308" s="10" t="s">
        <v>344</v>
      </c>
      <c r="B308" s="194">
        <v>0.71388888888888891</v>
      </c>
      <c r="C308" s="116">
        <v>1</v>
      </c>
      <c r="D308" s="116">
        <v>1</v>
      </c>
      <c r="E308" s="116">
        <v>1</v>
      </c>
      <c r="F308" s="116" t="s">
        <v>3361</v>
      </c>
      <c r="G308" s="162" t="str">
        <f t="shared" si="8"/>
        <v>Montagem</v>
      </c>
      <c r="H308" s="161" t="str">
        <f t="shared" si="9"/>
        <v>17h</v>
      </c>
    </row>
    <row r="309" spans="1:8" ht="30" x14ac:dyDescent="0.25">
      <c r="A309" s="10" t="s">
        <v>344</v>
      </c>
      <c r="B309" s="194">
        <v>0.93333333333333335</v>
      </c>
      <c r="C309" s="116">
        <v>1</v>
      </c>
      <c r="D309" s="116">
        <v>1</v>
      </c>
      <c r="E309" s="116">
        <v>0</v>
      </c>
      <c r="F309" s="116" t="s">
        <v>3362</v>
      </c>
      <c r="G309" s="162" t="str">
        <f t="shared" si="8"/>
        <v>Montagem</v>
      </c>
      <c r="H309" s="161" t="str">
        <f t="shared" si="9"/>
        <v>22h</v>
      </c>
    </row>
    <row r="310" spans="1:8" ht="30" x14ac:dyDescent="0.25">
      <c r="A310" s="10" t="s">
        <v>350</v>
      </c>
      <c r="B310" s="194">
        <v>0.27986111111111112</v>
      </c>
      <c r="C310" s="116">
        <v>0</v>
      </c>
      <c r="D310" s="116">
        <v>1</v>
      </c>
      <c r="E310" s="116">
        <v>0</v>
      </c>
      <c r="F310" s="116" t="s">
        <v>3372</v>
      </c>
      <c r="G310" s="162" t="str">
        <f t="shared" si="8"/>
        <v>Montagem</v>
      </c>
      <c r="H310" s="161" t="str">
        <f t="shared" si="9"/>
        <v>6h</v>
      </c>
    </row>
    <row r="311" spans="1:8" ht="30" x14ac:dyDescent="0.25">
      <c r="A311" s="10" t="s">
        <v>350</v>
      </c>
      <c r="B311" s="194">
        <v>0.28125</v>
      </c>
      <c r="C311" s="116">
        <v>0</v>
      </c>
      <c r="D311" s="116"/>
      <c r="E311" s="116">
        <v>1</v>
      </c>
      <c r="F311" s="116" t="s">
        <v>3372</v>
      </c>
      <c r="G311" s="162" t="str">
        <f t="shared" si="8"/>
        <v>Montagem</v>
      </c>
      <c r="H311" s="161" t="str">
        <f t="shared" si="9"/>
        <v>6h</v>
      </c>
    </row>
    <row r="312" spans="1:8" ht="30" x14ac:dyDescent="0.25">
      <c r="A312" s="10" t="s">
        <v>350</v>
      </c>
      <c r="B312" s="194">
        <v>0.28333333333333333</v>
      </c>
      <c r="C312" s="116">
        <v>1</v>
      </c>
      <c r="D312" s="116"/>
      <c r="E312" s="116">
        <v>0</v>
      </c>
      <c r="F312" s="116" t="s">
        <v>3372</v>
      </c>
      <c r="G312" s="162" t="str">
        <f t="shared" si="8"/>
        <v>Montagem</v>
      </c>
      <c r="H312" s="161" t="str">
        <f t="shared" si="9"/>
        <v>6h</v>
      </c>
    </row>
    <row r="313" spans="1:8" ht="30" x14ac:dyDescent="0.25">
      <c r="A313" s="10" t="s">
        <v>350</v>
      </c>
      <c r="B313" s="194">
        <v>0.28472222222222221</v>
      </c>
      <c r="C313" s="116">
        <v>1</v>
      </c>
      <c r="D313" s="116"/>
      <c r="E313" s="116">
        <v>0</v>
      </c>
      <c r="F313" s="116" t="s">
        <v>3372</v>
      </c>
      <c r="G313" s="162" t="str">
        <f t="shared" si="8"/>
        <v>Montagem</v>
      </c>
      <c r="H313" s="161" t="str">
        <f t="shared" si="9"/>
        <v>6h</v>
      </c>
    </row>
    <row r="314" spans="1:8" ht="30" x14ac:dyDescent="0.25">
      <c r="A314" s="10" t="s">
        <v>350</v>
      </c>
      <c r="B314" s="194">
        <v>0.28888888888888886</v>
      </c>
      <c r="C314" s="116">
        <v>1</v>
      </c>
      <c r="D314" s="116">
        <v>1</v>
      </c>
      <c r="E314" s="116">
        <v>1</v>
      </c>
      <c r="F314" s="116" t="s">
        <v>3372</v>
      </c>
      <c r="G314" s="162" t="str">
        <f t="shared" si="8"/>
        <v>Montagem</v>
      </c>
      <c r="H314" s="161" t="str">
        <f t="shared" si="9"/>
        <v>6h</v>
      </c>
    </row>
    <row r="315" spans="1:8" ht="30" x14ac:dyDescent="0.25">
      <c r="A315" s="10" t="s">
        <v>350</v>
      </c>
      <c r="B315" s="194">
        <v>0.50208333333333333</v>
      </c>
      <c r="C315" s="116">
        <v>1</v>
      </c>
      <c r="D315" s="116">
        <v>1</v>
      </c>
      <c r="E315" s="116">
        <v>0</v>
      </c>
      <c r="F315" s="116" t="s">
        <v>3367</v>
      </c>
      <c r="G315" s="162" t="str">
        <f t="shared" si="8"/>
        <v>Montagem</v>
      </c>
      <c r="H315" s="161" t="str">
        <f t="shared" si="9"/>
        <v>12h</v>
      </c>
    </row>
    <row r="316" spans="1:8" ht="30" x14ac:dyDescent="0.25">
      <c r="A316" s="10" t="s">
        <v>350</v>
      </c>
      <c r="B316" s="194">
        <v>0.73541666666666672</v>
      </c>
      <c r="C316" s="116">
        <v>1</v>
      </c>
      <c r="D316" s="116">
        <v>1</v>
      </c>
      <c r="E316" s="116">
        <v>0</v>
      </c>
      <c r="F316" s="116" t="s">
        <v>3361</v>
      </c>
      <c r="G316" s="162" t="str">
        <f t="shared" si="8"/>
        <v>Montagem</v>
      </c>
      <c r="H316" s="161" t="str">
        <f t="shared" si="9"/>
        <v>17h</v>
      </c>
    </row>
    <row r="317" spans="1:8" ht="30" x14ac:dyDescent="0.25">
      <c r="A317" s="10" t="s">
        <v>350</v>
      </c>
      <c r="B317" s="194">
        <v>0.86527777777777781</v>
      </c>
      <c r="C317" s="116">
        <v>1</v>
      </c>
      <c r="D317" s="116">
        <v>1</v>
      </c>
      <c r="E317" s="116">
        <v>0</v>
      </c>
      <c r="F317" s="116" t="s">
        <v>3364</v>
      </c>
      <c r="G317" s="162" t="str">
        <f t="shared" si="8"/>
        <v>Montagem</v>
      </c>
      <c r="H317" s="161" t="str">
        <f t="shared" si="9"/>
        <v>20h</v>
      </c>
    </row>
    <row r="318" spans="1:8" ht="30" x14ac:dyDescent="0.25">
      <c r="A318" s="10" t="s">
        <v>350</v>
      </c>
      <c r="B318" s="194">
        <v>0.90902777777777777</v>
      </c>
      <c r="C318" s="116">
        <v>1</v>
      </c>
      <c r="D318" s="116">
        <v>1</v>
      </c>
      <c r="E318" s="116">
        <v>1</v>
      </c>
      <c r="F318" s="116" t="s">
        <v>3360</v>
      </c>
      <c r="G318" s="162" t="str">
        <f t="shared" si="8"/>
        <v>Montagem</v>
      </c>
      <c r="H318" s="161" t="str">
        <f t="shared" si="9"/>
        <v>21h</v>
      </c>
    </row>
    <row r="319" spans="1:8" ht="30" x14ac:dyDescent="0.25">
      <c r="A319" s="10" t="s">
        <v>350</v>
      </c>
      <c r="B319" s="194">
        <v>0.93819444444444444</v>
      </c>
      <c r="C319" s="116">
        <v>1</v>
      </c>
      <c r="D319" s="116">
        <v>1</v>
      </c>
      <c r="E319" s="116">
        <v>0</v>
      </c>
      <c r="F319" s="116" t="s">
        <v>3362</v>
      </c>
      <c r="G319" s="162" t="str">
        <f t="shared" si="8"/>
        <v>Montagem</v>
      </c>
      <c r="H319" s="161" t="str">
        <f t="shared" si="9"/>
        <v>22h</v>
      </c>
    </row>
    <row r="320" spans="1:8" ht="30" x14ac:dyDescent="0.25">
      <c r="A320" s="10" t="s">
        <v>357</v>
      </c>
      <c r="B320" s="194">
        <v>0.28680555555555554</v>
      </c>
      <c r="C320" s="116">
        <v>1</v>
      </c>
      <c r="D320" s="116"/>
      <c r="E320" s="116">
        <v>0</v>
      </c>
      <c r="F320" s="116" t="s">
        <v>3372</v>
      </c>
      <c r="G320" s="162" t="str">
        <f t="shared" si="8"/>
        <v>Montagem</v>
      </c>
      <c r="H320" s="161" t="str">
        <f t="shared" si="9"/>
        <v>6h</v>
      </c>
    </row>
    <row r="321" spans="1:8" ht="30" x14ac:dyDescent="0.25">
      <c r="A321" s="10" t="s">
        <v>357</v>
      </c>
      <c r="B321" s="194">
        <v>0.51944444444444449</v>
      </c>
      <c r="C321" s="116">
        <v>1</v>
      </c>
      <c r="D321" s="116"/>
      <c r="E321" s="116">
        <v>1</v>
      </c>
      <c r="F321" s="116" t="s">
        <v>3367</v>
      </c>
      <c r="G321" s="162" t="str">
        <f t="shared" si="8"/>
        <v>Montagem</v>
      </c>
      <c r="H321" s="161" t="str">
        <f t="shared" si="9"/>
        <v>12h</v>
      </c>
    </row>
    <row r="322" spans="1:8" ht="30" x14ac:dyDescent="0.25">
      <c r="A322" s="10" t="s">
        <v>357</v>
      </c>
      <c r="B322" s="194">
        <v>0.54861111111111116</v>
      </c>
      <c r="C322" s="116">
        <v>0</v>
      </c>
      <c r="D322" s="116"/>
      <c r="E322" s="116">
        <v>1</v>
      </c>
      <c r="F322" s="116" t="s">
        <v>3368</v>
      </c>
      <c r="G322" s="162" t="str">
        <f t="shared" si="8"/>
        <v>Montagem</v>
      </c>
      <c r="H322" s="161" t="str">
        <f t="shared" si="9"/>
        <v>13h</v>
      </c>
    </row>
    <row r="323" spans="1:8" ht="30" x14ac:dyDescent="0.25">
      <c r="A323" s="10" t="s">
        <v>360</v>
      </c>
      <c r="B323" s="194">
        <v>0.70902777777777781</v>
      </c>
      <c r="C323" s="116">
        <v>1</v>
      </c>
      <c r="D323" s="116"/>
      <c r="E323" s="116">
        <v>0</v>
      </c>
      <c r="F323" s="116" t="s">
        <v>3361</v>
      </c>
      <c r="G323" s="162" t="str">
        <f t="shared" ref="G323:G386" si="10">IF(LEFT(A323,3)="S7P","Pintura",IF(LEFT(A323,3)="S7M","Montagem",
IF(LEFT(A323,3)="S7S","Serigrafia"," ")))</f>
        <v>Montagem</v>
      </c>
      <c r="H323" s="161" t="str">
        <f t="shared" ref="H323:H386" si="11">VALUE(LEFT(F323,2))&amp;"h"</f>
        <v>17h</v>
      </c>
    </row>
    <row r="324" spans="1:8" ht="30" x14ac:dyDescent="0.25">
      <c r="A324" s="10" t="s">
        <v>360</v>
      </c>
      <c r="B324" s="194">
        <v>0.72916666666666663</v>
      </c>
      <c r="C324" s="116">
        <v>1</v>
      </c>
      <c r="D324" s="116">
        <v>3</v>
      </c>
      <c r="E324" s="116">
        <v>1</v>
      </c>
      <c r="F324" s="116" t="s">
        <v>3361</v>
      </c>
      <c r="G324" s="162" t="str">
        <f t="shared" si="10"/>
        <v>Montagem</v>
      </c>
      <c r="H324" s="161" t="str">
        <f t="shared" si="11"/>
        <v>17h</v>
      </c>
    </row>
    <row r="325" spans="1:8" ht="30" x14ac:dyDescent="0.25">
      <c r="A325" s="10" t="s">
        <v>360</v>
      </c>
      <c r="B325" s="194">
        <v>0.78055555555555556</v>
      </c>
      <c r="C325" s="116">
        <v>1</v>
      </c>
      <c r="D325" s="116">
        <v>3</v>
      </c>
      <c r="E325" s="116">
        <v>0</v>
      </c>
      <c r="F325" s="116" t="s">
        <v>3359</v>
      </c>
      <c r="G325" s="162" t="str">
        <f t="shared" si="10"/>
        <v>Montagem</v>
      </c>
      <c r="H325" s="161" t="str">
        <f t="shared" si="11"/>
        <v>18h</v>
      </c>
    </row>
    <row r="326" spans="1:8" ht="30" x14ac:dyDescent="0.25">
      <c r="A326" s="10" t="s">
        <v>360</v>
      </c>
      <c r="B326" s="194">
        <v>0.81041666666666667</v>
      </c>
      <c r="C326" s="116">
        <v>1</v>
      </c>
      <c r="D326" s="116">
        <v>3</v>
      </c>
      <c r="E326" s="116">
        <v>0</v>
      </c>
      <c r="F326" s="116" t="s">
        <v>3366</v>
      </c>
      <c r="G326" s="162" t="str">
        <f t="shared" si="10"/>
        <v>Montagem</v>
      </c>
      <c r="H326" s="161" t="str">
        <f t="shared" si="11"/>
        <v>19h</v>
      </c>
    </row>
    <row r="327" spans="1:8" ht="30" x14ac:dyDescent="0.25">
      <c r="A327" s="10" t="s">
        <v>360</v>
      </c>
      <c r="B327" s="194">
        <v>0.88749999999999996</v>
      </c>
      <c r="C327" s="116">
        <v>1</v>
      </c>
      <c r="D327" s="116">
        <v>3</v>
      </c>
      <c r="E327" s="116">
        <v>0</v>
      </c>
      <c r="F327" s="116" t="s">
        <v>3360</v>
      </c>
      <c r="G327" s="162" t="str">
        <f t="shared" si="10"/>
        <v>Montagem</v>
      </c>
      <c r="H327" s="161" t="str">
        <f t="shared" si="11"/>
        <v>21h</v>
      </c>
    </row>
    <row r="328" spans="1:8" ht="30" x14ac:dyDescent="0.25">
      <c r="A328" s="10" t="s">
        <v>360</v>
      </c>
      <c r="B328" s="194">
        <v>0.91805555555555551</v>
      </c>
      <c r="C328" s="116">
        <v>1</v>
      </c>
      <c r="D328" s="116">
        <v>3</v>
      </c>
      <c r="E328" s="116">
        <v>0</v>
      </c>
      <c r="F328" s="116" t="s">
        <v>3362</v>
      </c>
      <c r="G328" s="162" t="str">
        <f t="shared" si="10"/>
        <v>Montagem</v>
      </c>
      <c r="H328" s="161" t="str">
        <f t="shared" si="11"/>
        <v>22h</v>
      </c>
    </row>
    <row r="329" spans="1:8" ht="30" x14ac:dyDescent="0.25">
      <c r="A329" s="10" t="s">
        <v>360</v>
      </c>
      <c r="B329" s="194">
        <v>0.92986111111111114</v>
      </c>
      <c r="C329" s="116">
        <v>1</v>
      </c>
      <c r="D329" s="116">
        <v>3</v>
      </c>
      <c r="E329" s="116">
        <v>0</v>
      </c>
      <c r="F329" s="116" t="s">
        <v>3362</v>
      </c>
      <c r="G329" s="162" t="str">
        <f t="shared" si="10"/>
        <v>Montagem</v>
      </c>
      <c r="H329" s="161" t="str">
        <f t="shared" si="11"/>
        <v>22h</v>
      </c>
    </row>
    <row r="330" spans="1:8" ht="30" x14ac:dyDescent="0.25">
      <c r="A330" s="10" t="s">
        <v>360</v>
      </c>
      <c r="B330" s="194">
        <v>0.94930555555555551</v>
      </c>
      <c r="C330" s="116">
        <v>0</v>
      </c>
      <c r="D330" s="116">
        <v>2</v>
      </c>
      <c r="E330" s="116">
        <v>1</v>
      </c>
      <c r="F330" s="116" t="s">
        <v>3362</v>
      </c>
      <c r="G330" s="162" t="str">
        <f t="shared" si="10"/>
        <v>Montagem</v>
      </c>
      <c r="H330" s="161" t="str">
        <f t="shared" si="11"/>
        <v>22h</v>
      </c>
    </row>
    <row r="331" spans="1:8" ht="30" x14ac:dyDescent="0.25">
      <c r="A331" s="10" t="s">
        <v>360</v>
      </c>
      <c r="B331" s="194">
        <v>0.96250000000000002</v>
      </c>
      <c r="C331" s="116">
        <v>1</v>
      </c>
      <c r="D331" s="116">
        <v>2</v>
      </c>
      <c r="E331" s="116">
        <v>0</v>
      </c>
      <c r="F331" s="116" t="s">
        <v>3365</v>
      </c>
      <c r="G331" s="162" t="str">
        <f t="shared" si="10"/>
        <v>Montagem</v>
      </c>
      <c r="H331" s="161" t="str">
        <f t="shared" si="11"/>
        <v>23h</v>
      </c>
    </row>
    <row r="332" spans="1:8" ht="30" x14ac:dyDescent="0.25">
      <c r="A332" s="10" t="s">
        <v>360</v>
      </c>
      <c r="B332" s="194">
        <v>0.97361111111111109</v>
      </c>
      <c r="C332" s="116">
        <v>1</v>
      </c>
      <c r="D332" s="116">
        <v>2</v>
      </c>
      <c r="E332" s="116">
        <v>0</v>
      </c>
      <c r="F332" s="116" t="s">
        <v>3365</v>
      </c>
      <c r="G332" s="162" t="str">
        <f t="shared" si="10"/>
        <v>Montagem</v>
      </c>
      <c r="H332" s="161" t="str">
        <f t="shared" si="11"/>
        <v>23h</v>
      </c>
    </row>
    <row r="333" spans="1:8" ht="30" x14ac:dyDescent="0.25">
      <c r="A333" s="10" t="s">
        <v>365</v>
      </c>
      <c r="B333" s="194">
        <v>0.37013888888888891</v>
      </c>
      <c r="C333" s="116">
        <v>1</v>
      </c>
      <c r="D333" s="116"/>
      <c r="E333" s="116">
        <v>0</v>
      </c>
      <c r="F333" s="116" t="s">
        <v>3374</v>
      </c>
      <c r="G333" s="162" t="str">
        <f t="shared" si="10"/>
        <v>Montagem</v>
      </c>
      <c r="H333" s="161" t="str">
        <f t="shared" si="11"/>
        <v>8h</v>
      </c>
    </row>
    <row r="334" spans="1:8" ht="30" x14ac:dyDescent="0.25">
      <c r="A334" s="10" t="s">
        <v>365</v>
      </c>
      <c r="B334" s="194">
        <v>0.92986111111111114</v>
      </c>
      <c r="C334" s="116">
        <v>1</v>
      </c>
      <c r="D334" s="116"/>
      <c r="E334" s="116">
        <v>1</v>
      </c>
      <c r="F334" s="116" t="s">
        <v>3362</v>
      </c>
      <c r="G334" s="162" t="str">
        <f t="shared" si="10"/>
        <v>Montagem</v>
      </c>
      <c r="H334" s="161" t="str">
        <f t="shared" si="11"/>
        <v>22h</v>
      </c>
    </row>
    <row r="335" spans="1:8" ht="30" x14ac:dyDescent="0.25">
      <c r="A335" s="10" t="s">
        <v>365</v>
      </c>
      <c r="B335" s="194">
        <v>0.95694444444444449</v>
      </c>
      <c r="C335" s="116">
        <v>1</v>
      </c>
      <c r="D335" s="116">
        <v>1</v>
      </c>
      <c r="E335" s="116">
        <v>1</v>
      </c>
      <c r="F335" s="116" t="s">
        <v>3362</v>
      </c>
      <c r="G335" s="162" t="str">
        <f t="shared" si="10"/>
        <v>Montagem</v>
      </c>
      <c r="H335" s="161" t="str">
        <f t="shared" si="11"/>
        <v>22h</v>
      </c>
    </row>
    <row r="336" spans="1:8" ht="30" x14ac:dyDescent="0.25">
      <c r="A336" s="10" t="s">
        <v>366</v>
      </c>
      <c r="B336" s="194">
        <v>0.74722222222222223</v>
      </c>
      <c r="C336" s="116">
        <v>1</v>
      </c>
      <c r="D336" s="116"/>
      <c r="E336" s="116">
        <v>0</v>
      </c>
      <c r="F336" s="116" t="s">
        <v>3361</v>
      </c>
      <c r="G336" s="162" t="str">
        <f t="shared" si="10"/>
        <v>Montagem</v>
      </c>
      <c r="H336" s="161" t="str">
        <f t="shared" si="11"/>
        <v>17h</v>
      </c>
    </row>
    <row r="337" spans="1:8" ht="30" x14ac:dyDescent="0.25">
      <c r="A337" s="10" t="s">
        <v>368</v>
      </c>
      <c r="B337" s="194">
        <v>0.27986111111111112</v>
      </c>
      <c r="C337" s="116">
        <v>0</v>
      </c>
      <c r="D337" s="116"/>
      <c r="E337" s="116">
        <v>0</v>
      </c>
      <c r="F337" s="116" t="s">
        <v>3372</v>
      </c>
      <c r="G337" s="162" t="str">
        <f t="shared" si="10"/>
        <v>Montagem</v>
      </c>
      <c r="H337" s="161" t="str">
        <f t="shared" si="11"/>
        <v>6h</v>
      </c>
    </row>
    <row r="338" spans="1:8" ht="30" x14ac:dyDescent="0.25">
      <c r="A338" s="10" t="s">
        <v>368</v>
      </c>
      <c r="B338" s="194">
        <v>0.76944444444444449</v>
      </c>
      <c r="C338" s="116">
        <v>1</v>
      </c>
      <c r="D338" s="116"/>
      <c r="E338" s="116">
        <v>1</v>
      </c>
      <c r="F338" s="116" t="s">
        <v>3359</v>
      </c>
      <c r="G338" s="162" t="str">
        <f t="shared" si="10"/>
        <v>Montagem</v>
      </c>
      <c r="H338" s="161" t="str">
        <f t="shared" si="11"/>
        <v>18h</v>
      </c>
    </row>
    <row r="339" spans="1:8" ht="30" x14ac:dyDescent="0.25">
      <c r="A339" s="10" t="s">
        <v>368</v>
      </c>
      <c r="B339" s="194">
        <v>0.85763888888888884</v>
      </c>
      <c r="C339" s="116">
        <v>1</v>
      </c>
      <c r="D339" s="116">
        <v>1</v>
      </c>
      <c r="E339" s="116">
        <v>1</v>
      </c>
      <c r="F339" s="116" t="s">
        <v>3364</v>
      </c>
      <c r="G339" s="162" t="str">
        <f t="shared" si="10"/>
        <v>Montagem</v>
      </c>
      <c r="H339" s="161" t="str">
        <f t="shared" si="11"/>
        <v>20h</v>
      </c>
    </row>
    <row r="340" spans="1:8" ht="30" x14ac:dyDescent="0.25">
      <c r="A340" s="10" t="s">
        <v>368</v>
      </c>
      <c r="B340" s="194">
        <v>0.86319444444444449</v>
      </c>
      <c r="C340" s="116">
        <v>1</v>
      </c>
      <c r="D340" s="116">
        <v>1</v>
      </c>
      <c r="E340" s="116">
        <v>0</v>
      </c>
      <c r="F340" s="116" t="s">
        <v>3364</v>
      </c>
      <c r="G340" s="162" t="str">
        <f t="shared" si="10"/>
        <v>Montagem</v>
      </c>
      <c r="H340" s="161" t="str">
        <f t="shared" si="11"/>
        <v>20h</v>
      </c>
    </row>
    <row r="341" spans="1:8" ht="30" x14ac:dyDescent="0.25">
      <c r="A341" s="10" t="s">
        <v>368</v>
      </c>
      <c r="B341" s="194">
        <v>0.88402777777777775</v>
      </c>
      <c r="C341" s="116">
        <v>1</v>
      </c>
      <c r="D341" s="116">
        <v>1</v>
      </c>
      <c r="E341" s="116">
        <v>0</v>
      </c>
      <c r="F341" s="116" t="s">
        <v>3360</v>
      </c>
      <c r="G341" s="162" t="str">
        <f t="shared" si="10"/>
        <v>Montagem</v>
      </c>
      <c r="H341" s="161" t="str">
        <f t="shared" si="11"/>
        <v>21h</v>
      </c>
    </row>
    <row r="342" spans="1:8" ht="30" x14ac:dyDescent="0.25">
      <c r="A342" s="10" t="s">
        <v>368</v>
      </c>
      <c r="B342" s="194">
        <v>0.92638888888888893</v>
      </c>
      <c r="C342" s="116">
        <v>1</v>
      </c>
      <c r="D342" s="116">
        <v>1</v>
      </c>
      <c r="E342" s="116">
        <v>0</v>
      </c>
      <c r="F342" s="116" t="s">
        <v>3362</v>
      </c>
      <c r="G342" s="162" t="str">
        <f t="shared" si="10"/>
        <v>Montagem</v>
      </c>
      <c r="H342" s="161" t="str">
        <f t="shared" si="11"/>
        <v>22h</v>
      </c>
    </row>
    <row r="343" spans="1:8" ht="30" x14ac:dyDescent="0.25">
      <c r="A343" s="10" t="s">
        <v>368</v>
      </c>
      <c r="B343" s="194">
        <v>0.94374999999999998</v>
      </c>
      <c r="C343" s="116">
        <v>1</v>
      </c>
      <c r="D343" s="116">
        <v>1</v>
      </c>
      <c r="E343" s="116">
        <v>0</v>
      </c>
      <c r="F343" s="116" t="s">
        <v>3362</v>
      </c>
      <c r="G343" s="162" t="str">
        <f t="shared" si="10"/>
        <v>Montagem</v>
      </c>
      <c r="H343" s="161" t="str">
        <f t="shared" si="11"/>
        <v>22h</v>
      </c>
    </row>
    <row r="344" spans="1:8" ht="30" x14ac:dyDescent="0.25">
      <c r="A344" s="10" t="s">
        <v>368</v>
      </c>
      <c r="B344" s="194">
        <v>0.9555555555555556</v>
      </c>
      <c r="C344" s="116">
        <v>1</v>
      </c>
      <c r="D344" s="116">
        <v>1</v>
      </c>
      <c r="E344" s="116">
        <v>1</v>
      </c>
      <c r="F344" s="116" t="s">
        <v>3362</v>
      </c>
      <c r="G344" s="162" t="str">
        <f t="shared" si="10"/>
        <v>Montagem</v>
      </c>
      <c r="H344" s="161" t="str">
        <f t="shared" si="11"/>
        <v>22h</v>
      </c>
    </row>
    <row r="345" spans="1:8" ht="30" x14ac:dyDescent="0.25">
      <c r="A345" s="10" t="s">
        <v>369</v>
      </c>
      <c r="B345" s="194">
        <v>0.27986111111111112</v>
      </c>
      <c r="C345" s="116">
        <v>1</v>
      </c>
      <c r="D345" s="116">
        <v>1</v>
      </c>
      <c r="E345" s="116">
        <v>0</v>
      </c>
      <c r="F345" s="116" t="s">
        <v>3372</v>
      </c>
      <c r="G345" s="162" t="str">
        <f t="shared" si="10"/>
        <v>Montagem</v>
      </c>
      <c r="H345" s="161" t="str">
        <f t="shared" si="11"/>
        <v>6h</v>
      </c>
    </row>
    <row r="346" spans="1:8" ht="30" x14ac:dyDescent="0.25">
      <c r="A346" s="10" t="s">
        <v>369</v>
      </c>
      <c r="B346" s="194">
        <v>0.28263888888888888</v>
      </c>
      <c r="C346" s="116">
        <v>1</v>
      </c>
      <c r="D346" s="116">
        <v>1</v>
      </c>
      <c r="E346" s="116">
        <v>0</v>
      </c>
      <c r="F346" s="116" t="s">
        <v>3372</v>
      </c>
      <c r="G346" s="162" t="str">
        <f t="shared" si="10"/>
        <v>Montagem</v>
      </c>
      <c r="H346" s="161" t="str">
        <f t="shared" si="11"/>
        <v>6h</v>
      </c>
    </row>
    <row r="347" spans="1:8" ht="30" x14ac:dyDescent="0.25">
      <c r="A347" s="10" t="s">
        <v>369</v>
      </c>
      <c r="B347" s="194">
        <v>0.28680555555555554</v>
      </c>
      <c r="C347" s="116">
        <v>1</v>
      </c>
      <c r="D347" s="116">
        <v>1</v>
      </c>
      <c r="E347" s="116">
        <v>1</v>
      </c>
      <c r="F347" s="116" t="s">
        <v>3372</v>
      </c>
      <c r="G347" s="162" t="str">
        <f t="shared" si="10"/>
        <v>Montagem</v>
      </c>
      <c r="H347" s="161" t="str">
        <f t="shared" si="11"/>
        <v>6h</v>
      </c>
    </row>
    <row r="348" spans="1:8" ht="30" x14ac:dyDescent="0.25">
      <c r="A348" s="10" t="s">
        <v>369</v>
      </c>
      <c r="B348" s="194">
        <v>0.2902777777777778</v>
      </c>
      <c r="C348" s="116">
        <v>1</v>
      </c>
      <c r="D348" s="116">
        <v>4</v>
      </c>
      <c r="E348" s="116">
        <v>1</v>
      </c>
      <c r="F348" s="116" t="s">
        <v>3372</v>
      </c>
      <c r="G348" s="162" t="str">
        <f t="shared" si="10"/>
        <v>Montagem</v>
      </c>
      <c r="H348" s="161" t="str">
        <f t="shared" si="11"/>
        <v>6h</v>
      </c>
    </row>
    <row r="349" spans="1:8" ht="30" x14ac:dyDescent="0.25">
      <c r="A349" s="10" t="s">
        <v>369</v>
      </c>
      <c r="B349" s="194">
        <v>0.2951388888888889</v>
      </c>
      <c r="C349" s="116">
        <v>1</v>
      </c>
      <c r="D349" s="116">
        <v>4</v>
      </c>
      <c r="E349" s="116">
        <v>0</v>
      </c>
      <c r="F349" s="116" t="s">
        <v>3373</v>
      </c>
      <c r="G349" s="162" t="str">
        <f t="shared" si="10"/>
        <v>Montagem</v>
      </c>
      <c r="H349" s="161" t="str">
        <f t="shared" si="11"/>
        <v>7h</v>
      </c>
    </row>
    <row r="350" spans="1:8" ht="30" x14ac:dyDescent="0.25">
      <c r="A350" s="10" t="s">
        <v>369</v>
      </c>
      <c r="B350" s="194">
        <v>0.2986111111111111</v>
      </c>
      <c r="C350" s="116">
        <v>1</v>
      </c>
      <c r="D350" s="116">
        <v>4</v>
      </c>
      <c r="E350" s="116">
        <v>0</v>
      </c>
      <c r="F350" s="116" t="s">
        <v>3373</v>
      </c>
      <c r="G350" s="162" t="str">
        <f t="shared" si="10"/>
        <v>Montagem</v>
      </c>
      <c r="H350" s="161" t="str">
        <f t="shared" si="11"/>
        <v>7h</v>
      </c>
    </row>
    <row r="351" spans="1:8" ht="30" x14ac:dyDescent="0.25">
      <c r="A351" s="10" t="s">
        <v>369</v>
      </c>
      <c r="B351" s="194">
        <v>0.30486111111111114</v>
      </c>
      <c r="C351" s="116">
        <v>1</v>
      </c>
      <c r="D351" s="116">
        <v>4</v>
      </c>
      <c r="E351" s="116">
        <v>0</v>
      </c>
      <c r="F351" s="116" t="s">
        <v>3373</v>
      </c>
      <c r="G351" s="162" t="str">
        <f t="shared" si="10"/>
        <v>Montagem</v>
      </c>
      <c r="H351" s="161" t="str">
        <f t="shared" si="11"/>
        <v>7h</v>
      </c>
    </row>
    <row r="352" spans="1:8" ht="30" x14ac:dyDescent="0.25">
      <c r="A352" s="10" t="s">
        <v>369</v>
      </c>
      <c r="B352" s="194">
        <v>0.31041666666666667</v>
      </c>
      <c r="C352" s="116">
        <v>1</v>
      </c>
      <c r="D352" s="116">
        <v>4</v>
      </c>
      <c r="E352" s="116">
        <v>1</v>
      </c>
      <c r="F352" s="116" t="s">
        <v>3373</v>
      </c>
      <c r="G352" s="162" t="str">
        <f t="shared" si="10"/>
        <v>Montagem</v>
      </c>
      <c r="H352" s="161" t="str">
        <f t="shared" si="11"/>
        <v>7h</v>
      </c>
    </row>
    <row r="353" spans="1:8" ht="30" x14ac:dyDescent="0.25">
      <c r="A353" s="10" t="s">
        <v>369</v>
      </c>
      <c r="B353" s="194">
        <v>0.32430555555555557</v>
      </c>
      <c r="C353" s="116">
        <v>1</v>
      </c>
      <c r="D353" s="116">
        <v>4</v>
      </c>
      <c r="E353" s="116">
        <v>0</v>
      </c>
      <c r="F353" s="116" t="s">
        <v>3373</v>
      </c>
      <c r="G353" s="162" t="str">
        <f t="shared" si="10"/>
        <v>Montagem</v>
      </c>
      <c r="H353" s="161" t="str">
        <f t="shared" si="11"/>
        <v>7h</v>
      </c>
    </row>
    <row r="354" spans="1:8" ht="30" x14ac:dyDescent="0.25">
      <c r="A354" s="10" t="s">
        <v>369</v>
      </c>
      <c r="B354" s="194">
        <v>0.33402777777777776</v>
      </c>
      <c r="C354" s="116">
        <v>0</v>
      </c>
      <c r="D354" s="116">
        <v>4</v>
      </c>
      <c r="E354" s="116">
        <v>1</v>
      </c>
      <c r="F354" s="116" t="s">
        <v>3374</v>
      </c>
      <c r="G354" s="162" t="str">
        <f t="shared" si="10"/>
        <v>Montagem</v>
      </c>
      <c r="H354" s="161" t="str">
        <f t="shared" si="11"/>
        <v>8h</v>
      </c>
    </row>
    <row r="355" spans="1:8" ht="30" x14ac:dyDescent="0.25">
      <c r="A355" s="10" t="s">
        <v>369</v>
      </c>
      <c r="B355" s="194">
        <v>0.34166666666666667</v>
      </c>
      <c r="C355" s="116">
        <v>1</v>
      </c>
      <c r="D355" s="116">
        <v>4</v>
      </c>
      <c r="E355" s="116">
        <v>0</v>
      </c>
      <c r="F355" s="116" t="s">
        <v>3374</v>
      </c>
      <c r="G355" s="162" t="str">
        <f t="shared" si="10"/>
        <v>Montagem</v>
      </c>
      <c r="H355" s="161" t="str">
        <f t="shared" si="11"/>
        <v>8h</v>
      </c>
    </row>
    <row r="356" spans="1:8" ht="30" x14ac:dyDescent="0.25">
      <c r="A356" s="10" t="s">
        <v>369</v>
      </c>
      <c r="B356" s="194">
        <v>0.35</v>
      </c>
      <c r="C356" s="116">
        <v>1</v>
      </c>
      <c r="D356" s="116">
        <v>4</v>
      </c>
      <c r="E356" s="116">
        <v>0</v>
      </c>
      <c r="F356" s="116" t="s">
        <v>3374</v>
      </c>
      <c r="G356" s="162" t="str">
        <f t="shared" si="10"/>
        <v>Montagem</v>
      </c>
      <c r="H356" s="161" t="str">
        <f t="shared" si="11"/>
        <v>8h</v>
      </c>
    </row>
    <row r="357" spans="1:8" ht="30" x14ac:dyDescent="0.25">
      <c r="A357" s="10" t="s">
        <v>369</v>
      </c>
      <c r="B357" s="194">
        <v>0.36944444444444446</v>
      </c>
      <c r="C357" s="116">
        <v>0</v>
      </c>
      <c r="D357" s="116">
        <v>4</v>
      </c>
      <c r="E357" s="116">
        <v>1</v>
      </c>
      <c r="F357" s="116" t="s">
        <v>3374</v>
      </c>
      <c r="G357" s="162" t="str">
        <f t="shared" si="10"/>
        <v>Montagem</v>
      </c>
      <c r="H357" s="161" t="str">
        <f t="shared" si="11"/>
        <v>8h</v>
      </c>
    </row>
    <row r="358" spans="1:8" ht="30" x14ac:dyDescent="0.25">
      <c r="A358" s="10" t="s">
        <v>369</v>
      </c>
      <c r="B358" s="194">
        <v>0.37777777777777777</v>
      </c>
      <c r="C358" s="116">
        <v>1</v>
      </c>
      <c r="D358" s="116">
        <v>4</v>
      </c>
      <c r="E358" s="116">
        <v>0</v>
      </c>
      <c r="F358" s="116" t="s">
        <v>3370</v>
      </c>
      <c r="G358" s="162" t="str">
        <f t="shared" si="10"/>
        <v>Montagem</v>
      </c>
      <c r="H358" s="161" t="str">
        <f t="shared" si="11"/>
        <v>9h</v>
      </c>
    </row>
    <row r="359" spans="1:8" ht="30" x14ac:dyDescent="0.25">
      <c r="A359" s="10" t="s">
        <v>369</v>
      </c>
      <c r="B359" s="194">
        <v>0.3888888888888889</v>
      </c>
      <c r="C359" s="116">
        <v>1</v>
      </c>
      <c r="D359" s="116">
        <v>4</v>
      </c>
      <c r="E359" s="116">
        <v>0</v>
      </c>
      <c r="F359" s="116" t="s">
        <v>3370</v>
      </c>
      <c r="G359" s="162" t="str">
        <f t="shared" si="10"/>
        <v>Montagem</v>
      </c>
      <c r="H359" s="161" t="str">
        <f t="shared" si="11"/>
        <v>9h</v>
      </c>
    </row>
    <row r="360" spans="1:8" ht="30" x14ac:dyDescent="0.25">
      <c r="A360" s="10" t="s">
        <v>369</v>
      </c>
      <c r="B360" s="194">
        <v>0.42638888888888887</v>
      </c>
      <c r="C360" s="116">
        <v>1</v>
      </c>
      <c r="D360" s="116">
        <v>3</v>
      </c>
      <c r="E360" s="116">
        <v>1</v>
      </c>
      <c r="F360" s="116" t="s">
        <v>3371</v>
      </c>
      <c r="G360" s="162" t="str">
        <f t="shared" si="10"/>
        <v>Montagem</v>
      </c>
      <c r="H360" s="161" t="str">
        <f t="shared" si="11"/>
        <v>10h</v>
      </c>
    </row>
    <row r="361" spans="1:8" ht="30" x14ac:dyDescent="0.25">
      <c r="A361" s="10" t="s">
        <v>369</v>
      </c>
      <c r="B361" s="194">
        <v>0.51249999999999996</v>
      </c>
      <c r="C361" s="116">
        <v>1</v>
      </c>
      <c r="D361" s="116">
        <v>3</v>
      </c>
      <c r="E361" s="116">
        <v>0</v>
      </c>
      <c r="F361" s="116" t="s">
        <v>3367</v>
      </c>
      <c r="G361" s="162" t="str">
        <f t="shared" si="10"/>
        <v>Montagem</v>
      </c>
      <c r="H361" s="161" t="str">
        <f t="shared" si="11"/>
        <v>12h</v>
      </c>
    </row>
    <row r="362" spans="1:8" ht="30" x14ac:dyDescent="0.25">
      <c r="A362" s="10" t="s">
        <v>369</v>
      </c>
      <c r="B362" s="194">
        <v>0.5756944444444444</v>
      </c>
      <c r="C362" s="116">
        <v>1</v>
      </c>
      <c r="D362" s="116">
        <v>3</v>
      </c>
      <c r="E362" s="116">
        <v>0</v>
      </c>
      <c r="F362" s="116" t="s">
        <v>3368</v>
      </c>
      <c r="G362" s="162" t="str">
        <f t="shared" si="10"/>
        <v>Montagem</v>
      </c>
      <c r="H362" s="161" t="str">
        <f t="shared" si="11"/>
        <v>13h</v>
      </c>
    </row>
    <row r="363" spans="1:8" ht="30" x14ac:dyDescent="0.25">
      <c r="A363" s="10" t="s">
        <v>369</v>
      </c>
      <c r="B363" s="194">
        <v>0.62152777777777779</v>
      </c>
      <c r="C363" s="116">
        <v>1</v>
      </c>
      <c r="D363" s="116">
        <v>3</v>
      </c>
      <c r="E363" s="116">
        <v>0</v>
      </c>
      <c r="F363" s="116" t="s">
        <v>3369</v>
      </c>
      <c r="G363" s="162" t="str">
        <f t="shared" si="10"/>
        <v>Montagem</v>
      </c>
      <c r="H363" s="161" t="str">
        <f t="shared" si="11"/>
        <v>14h</v>
      </c>
    </row>
    <row r="364" spans="1:8" ht="30" x14ac:dyDescent="0.25">
      <c r="A364" s="10" t="s">
        <v>369</v>
      </c>
      <c r="B364" s="194">
        <v>0.62708333333333333</v>
      </c>
      <c r="C364" s="116">
        <v>1</v>
      </c>
      <c r="D364" s="116">
        <v>6</v>
      </c>
      <c r="E364" s="116">
        <v>1</v>
      </c>
      <c r="F364" s="116" t="s">
        <v>3358</v>
      </c>
      <c r="G364" s="162" t="str">
        <f t="shared" si="10"/>
        <v>Montagem</v>
      </c>
      <c r="H364" s="161" t="str">
        <f t="shared" si="11"/>
        <v>15h</v>
      </c>
    </row>
    <row r="365" spans="1:8" ht="30" x14ac:dyDescent="0.25">
      <c r="A365" s="10" t="s">
        <v>369</v>
      </c>
      <c r="B365" s="194">
        <v>0.64861111111111114</v>
      </c>
      <c r="C365" s="116">
        <v>1</v>
      </c>
      <c r="D365" s="116">
        <v>6</v>
      </c>
      <c r="E365" s="116">
        <v>0</v>
      </c>
      <c r="F365" s="116" t="s">
        <v>3358</v>
      </c>
      <c r="G365" s="162" t="str">
        <f t="shared" si="10"/>
        <v>Montagem</v>
      </c>
      <c r="H365" s="161" t="str">
        <f t="shared" si="11"/>
        <v>15h</v>
      </c>
    </row>
    <row r="366" spans="1:8" ht="30" x14ac:dyDescent="0.25">
      <c r="A366" s="10" t="s">
        <v>369</v>
      </c>
      <c r="B366" s="194">
        <v>0.66874999999999996</v>
      </c>
      <c r="C366" s="116">
        <v>1</v>
      </c>
      <c r="D366" s="116">
        <v>6</v>
      </c>
      <c r="E366" s="116">
        <v>0</v>
      </c>
      <c r="F366" s="116" t="s">
        <v>3363</v>
      </c>
      <c r="G366" s="162" t="str">
        <f t="shared" si="10"/>
        <v>Montagem</v>
      </c>
      <c r="H366" s="161" t="str">
        <f t="shared" si="11"/>
        <v>16h</v>
      </c>
    </row>
    <row r="367" spans="1:8" ht="30" x14ac:dyDescent="0.25">
      <c r="A367" s="10" t="s">
        <v>369</v>
      </c>
      <c r="B367" s="194">
        <v>0.69444444444444442</v>
      </c>
      <c r="C367" s="116">
        <v>1</v>
      </c>
      <c r="D367" s="116">
        <v>6</v>
      </c>
      <c r="E367" s="116">
        <v>0</v>
      </c>
      <c r="F367" s="116" t="s">
        <v>3363</v>
      </c>
      <c r="G367" s="162" t="str">
        <f t="shared" si="10"/>
        <v>Montagem</v>
      </c>
      <c r="H367" s="161" t="str">
        <f t="shared" si="11"/>
        <v>16h</v>
      </c>
    </row>
    <row r="368" spans="1:8" ht="30" x14ac:dyDescent="0.25">
      <c r="A368" s="10" t="s">
        <v>369</v>
      </c>
      <c r="B368" s="194">
        <v>0.71666666666666667</v>
      </c>
      <c r="C368" s="116">
        <v>1</v>
      </c>
      <c r="D368" s="116">
        <v>6</v>
      </c>
      <c r="E368" s="116">
        <v>0</v>
      </c>
      <c r="F368" s="116" t="s">
        <v>3361</v>
      </c>
      <c r="G368" s="162" t="str">
        <f t="shared" si="10"/>
        <v>Montagem</v>
      </c>
      <c r="H368" s="161" t="str">
        <f t="shared" si="11"/>
        <v>17h</v>
      </c>
    </row>
    <row r="369" spans="1:8" ht="30" x14ac:dyDescent="0.25">
      <c r="A369" s="10" t="s">
        <v>369</v>
      </c>
      <c r="B369" s="194">
        <v>0.80555555555555558</v>
      </c>
      <c r="C369" s="116">
        <v>0</v>
      </c>
      <c r="D369" s="116">
        <v>6</v>
      </c>
      <c r="E369" s="116">
        <v>1</v>
      </c>
      <c r="F369" s="116" t="s">
        <v>3366</v>
      </c>
      <c r="G369" s="162" t="str">
        <f t="shared" si="10"/>
        <v>Montagem</v>
      </c>
      <c r="H369" s="161" t="str">
        <f t="shared" si="11"/>
        <v>19h</v>
      </c>
    </row>
    <row r="370" spans="1:8" ht="30" x14ac:dyDescent="0.25">
      <c r="A370" s="10" t="s">
        <v>369</v>
      </c>
      <c r="B370" s="194">
        <v>0.90902777777777777</v>
      </c>
      <c r="C370" s="116">
        <v>1</v>
      </c>
      <c r="D370" s="116">
        <v>6</v>
      </c>
      <c r="E370" s="116">
        <v>0</v>
      </c>
      <c r="F370" s="116" t="s">
        <v>3360</v>
      </c>
      <c r="G370" s="162" t="str">
        <f t="shared" si="10"/>
        <v>Montagem</v>
      </c>
      <c r="H370" s="161" t="str">
        <f t="shared" si="11"/>
        <v>21h</v>
      </c>
    </row>
    <row r="371" spans="1:8" ht="30" x14ac:dyDescent="0.25">
      <c r="A371" s="10" t="s">
        <v>369</v>
      </c>
      <c r="B371" s="194">
        <v>0.98888888888888893</v>
      </c>
      <c r="C371" s="116">
        <v>1</v>
      </c>
      <c r="D371" s="116">
        <v>6</v>
      </c>
      <c r="E371" s="116">
        <v>0</v>
      </c>
      <c r="F371" s="116" t="s">
        <v>3365</v>
      </c>
      <c r="G371" s="162" t="str">
        <f t="shared" si="10"/>
        <v>Montagem</v>
      </c>
      <c r="H371" s="161" t="str">
        <f t="shared" si="11"/>
        <v>23h</v>
      </c>
    </row>
    <row r="372" spans="1:8" ht="30" x14ac:dyDescent="0.25">
      <c r="A372" s="10" t="s">
        <v>373</v>
      </c>
      <c r="B372" s="194">
        <v>0.27916666666666667</v>
      </c>
      <c r="C372" s="116">
        <v>1</v>
      </c>
      <c r="D372" s="116">
        <v>1</v>
      </c>
      <c r="E372" s="116">
        <v>0</v>
      </c>
      <c r="F372" s="116" t="s">
        <v>3372</v>
      </c>
      <c r="G372" s="162" t="str">
        <f t="shared" si="10"/>
        <v>Montagem</v>
      </c>
      <c r="H372" s="161" t="str">
        <f t="shared" si="11"/>
        <v>6h</v>
      </c>
    </row>
    <row r="373" spans="1:8" ht="30" x14ac:dyDescent="0.25">
      <c r="A373" s="10" t="s">
        <v>373</v>
      </c>
      <c r="B373" s="194">
        <v>0.28402777777777777</v>
      </c>
      <c r="C373" s="116">
        <v>1</v>
      </c>
      <c r="D373" s="116">
        <v>1</v>
      </c>
      <c r="E373" s="116">
        <v>1</v>
      </c>
      <c r="F373" s="116" t="s">
        <v>3372</v>
      </c>
      <c r="G373" s="162" t="str">
        <f t="shared" si="10"/>
        <v>Montagem</v>
      </c>
      <c r="H373" s="161" t="str">
        <f t="shared" si="11"/>
        <v>6h</v>
      </c>
    </row>
    <row r="374" spans="1:8" ht="30" x14ac:dyDescent="0.25">
      <c r="A374" s="10" t="s">
        <v>373</v>
      </c>
      <c r="B374" s="194">
        <v>0.30555555555555558</v>
      </c>
      <c r="C374" s="116">
        <v>1</v>
      </c>
      <c r="D374" s="116">
        <v>1</v>
      </c>
      <c r="E374" s="116">
        <v>1</v>
      </c>
      <c r="F374" s="116" t="s">
        <v>3373</v>
      </c>
      <c r="G374" s="162" t="str">
        <f t="shared" si="10"/>
        <v>Montagem</v>
      </c>
      <c r="H374" s="161" t="str">
        <f t="shared" si="11"/>
        <v>7h</v>
      </c>
    </row>
    <row r="375" spans="1:8" ht="30" x14ac:dyDescent="0.25">
      <c r="A375" s="10" t="s">
        <v>373</v>
      </c>
      <c r="B375" s="194">
        <v>0.40972222222222221</v>
      </c>
      <c r="C375" s="116">
        <v>1</v>
      </c>
      <c r="D375" s="116">
        <v>1</v>
      </c>
      <c r="E375" s="116">
        <v>0</v>
      </c>
      <c r="F375" s="116" t="s">
        <v>3370</v>
      </c>
      <c r="G375" s="162" t="str">
        <f t="shared" si="10"/>
        <v>Montagem</v>
      </c>
      <c r="H375" s="161" t="str">
        <f t="shared" si="11"/>
        <v>9h</v>
      </c>
    </row>
    <row r="376" spans="1:8" ht="30" x14ac:dyDescent="0.25">
      <c r="A376" s="10" t="s">
        <v>373</v>
      </c>
      <c r="B376" s="194">
        <v>0.43680555555555556</v>
      </c>
      <c r="C376" s="116">
        <v>1</v>
      </c>
      <c r="D376" s="116">
        <v>1</v>
      </c>
      <c r="E376" s="116">
        <v>0</v>
      </c>
      <c r="F376" s="116" t="s">
        <v>3371</v>
      </c>
      <c r="G376" s="162" t="str">
        <f t="shared" si="10"/>
        <v>Montagem</v>
      </c>
      <c r="H376" s="161" t="str">
        <f t="shared" si="11"/>
        <v>10h</v>
      </c>
    </row>
    <row r="377" spans="1:8" ht="30" x14ac:dyDescent="0.25">
      <c r="A377" s="10" t="s">
        <v>373</v>
      </c>
      <c r="B377" s="194">
        <v>0.62152777777777779</v>
      </c>
      <c r="C377" s="116">
        <v>1</v>
      </c>
      <c r="D377" s="116">
        <v>1</v>
      </c>
      <c r="E377" s="116">
        <v>0</v>
      </c>
      <c r="F377" s="116" t="s">
        <v>3369</v>
      </c>
      <c r="G377" s="162" t="str">
        <f t="shared" si="10"/>
        <v>Montagem</v>
      </c>
      <c r="H377" s="161" t="str">
        <f t="shared" si="11"/>
        <v>14h</v>
      </c>
    </row>
    <row r="378" spans="1:8" ht="30" x14ac:dyDescent="0.25">
      <c r="A378" s="10" t="s">
        <v>373</v>
      </c>
      <c r="B378" s="194">
        <v>0.67013888888888884</v>
      </c>
      <c r="C378" s="116">
        <v>1</v>
      </c>
      <c r="D378" s="116">
        <v>1</v>
      </c>
      <c r="E378" s="116">
        <v>0</v>
      </c>
      <c r="F378" s="116" t="s">
        <v>3363</v>
      </c>
      <c r="G378" s="162" t="str">
        <f t="shared" si="10"/>
        <v>Montagem</v>
      </c>
      <c r="H378" s="161" t="str">
        <f t="shared" si="11"/>
        <v>16h</v>
      </c>
    </row>
    <row r="379" spans="1:8" ht="30" x14ac:dyDescent="0.25">
      <c r="A379" s="10" t="s">
        <v>373</v>
      </c>
      <c r="B379" s="194">
        <v>0.74027777777777781</v>
      </c>
      <c r="C379" s="116">
        <v>1</v>
      </c>
      <c r="D379" s="116"/>
      <c r="E379" s="116">
        <v>1</v>
      </c>
      <c r="F379" s="116" t="s">
        <v>3361</v>
      </c>
      <c r="G379" s="162" t="str">
        <f t="shared" si="10"/>
        <v>Montagem</v>
      </c>
      <c r="H379" s="161" t="str">
        <f t="shared" si="11"/>
        <v>17h</v>
      </c>
    </row>
    <row r="380" spans="1:8" ht="30" x14ac:dyDescent="0.25">
      <c r="A380" s="10" t="s">
        <v>373</v>
      </c>
      <c r="B380" s="194">
        <v>0.75902777777777775</v>
      </c>
      <c r="C380" s="116">
        <v>1</v>
      </c>
      <c r="D380" s="116"/>
      <c r="E380" s="116">
        <v>0</v>
      </c>
      <c r="F380" s="116" t="s">
        <v>3359</v>
      </c>
      <c r="G380" s="162" t="str">
        <f t="shared" si="10"/>
        <v>Montagem</v>
      </c>
      <c r="H380" s="161" t="str">
        <f t="shared" si="11"/>
        <v>18h</v>
      </c>
    </row>
    <row r="381" spans="1:8" ht="30" x14ac:dyDescent="0.25">
      <c r="A381" s="10" t="s">
        <v>373</v>
      </c>
      <c r="B381" s="194">
        <v>0.81041666666666667</v>
      </c>
      <c r="C381" s="116">
        <v>1</v>
      </c>
      <c r="D381" s="116"/>
      <c r="E381" s="116">
        <v>0</v>
      </c>
      <c r="F381" s="116" t="s">
        <v>3366</v>
      </c>
      <c r="G381" s="162" t="str">
        <f t="shared" si="10"/>
        <v>Montagem</v>
      </c>
      <c r="H381" s="161" t="str">
        <f t="shared" si="11"/>
        <v>19h</v>
      </c>
    </row>
    <row r="382" spans="1:8" ht="30" x14ac:dyDescent="0.25">
      <c r="A382" s="10" t="s">
        <v>373</v>
      </c>
      <c r="B382" s="194">
        <v>0.85763888888888884</v>
      </c>
      <c r="C382" s="116">
        <v>1</v>
      </c>
      <c r="D382" s="116"/>
      <c r="E382" s="116">
        <v>0</v>
      </c>
      <c r="F382" s="116" t="s">
        <v>3364</v>
      </c>
      <c r="G382" s="162" t="str">
        <f t="shared" si="10"/>
        <v>Montagem</v>
      </c>
      <c r="H382" s="161" t="str">
        <f t="shared" si="11"/>
        <v>20h</v>
      </c>
    </row>
    <row r="383" spans="1:8" ht="30" x14ac:dyDescent="0.25">
      <c r="A383" s="10" t="s">
        <v>373</v>
      </c>
      <c r="B383" s="194">
        <v>0.87361111111111112</v>
      </c>
      <c r="C383" s="116">
        <v>1</v>
      </c>
      <c r="D383" s="116">
        <v>1</v>
      </c>
      <c r="E383" s="116">
        <v>1</v>
      </c>
      <c r="F383" s="116" t="s">
        <v>3364</v>
      </c>
      <c r="G383" s="162" t="str">
        <f t="shared" si="10"/>
        <v>Montagem</v>
      </c>
      <c r="H383" s="161" t="str">
        <f t="shared" si="11"/>
        <v>20h</v>
      </c>
    </row>
    <row r="384" spans="1:8" ht="30" x14ac:dyDescent="0.25">
      <c r="A384" s="10" t="s">
        <v>373</v>
      </c>
      <c r="B384" s="194">
        <v>0.87777777777777777</v>
      </c>
      <c r="C384" s="116">
        <v>1</v>
      </c>
      <c r="D384" s="116">
        <v>1</v>
      </c>
      <c r="E384" s="116">
        <v>0</v>
      </c>
      <c r="F384" s="116" t="s">
        <v>3360</v>
      </c>
      <c r="G384" s="162" t="str">
        <f t="shared" si="10"/>
        <v>Montagem</v>
      </c>
      <c r="H384" s="161" t="str">
        <f t="shared" si="11"/>
        <v>21h</v>
      </c>
    </row>
    <row r="385" spans="1:8" ht="30" x14ac:dyDescent="0.25">
      <c r="A385" s="10" t="s">
        <v>373</v>
      </c>
      <c r="B385" s="194">
        <v>0.90694444444444444</v>
      </c>
      <c r="C385" s="116">
        <v>1</v>
      </c>
      <c r="D385" s="116">
        <v>1</v>
      </c>
      <c r="E385" s="116">
        <v>0</v>
      </c>
      <c r="F385" s="116" t="s">
        <v>3360</v>
      </c>
      <c r="G385" s="162" t="str">
        <f t="shared" si="10"/>
        <v>Montagem</v>
      </c>
      <c r="H385" s="161" t="str">
        <f t="shared" si="11"/>
        <v>21h</v>
      </c>
    </row>
    <row r="386" spans="1:8" ht="30" x14ac:dyDescent="0.25">
      <c r="A386" s="10" t="s">
        <v>373</v>
      </c>
      <c r="B386" s="194">
        <v>0.91111111111111109</v>
      </c>
      <c r="C386" s="116">
        <v>1</v>
      </c>
      <c r="D386" s="116">
        <v>1</v>
      </c>
      <c r="E386" s="116">
        <v>0</v>
      </c>
      <c r="F386" s="116" t="s">
        <v>3360</v>
      </c>
      <c r="G386" s="162" t="str">
        <f t="shared" si="10"/>
        <v>Montagem</v>
      </c>
      <c r="H386" s="161" t="str">
        <f t="shared" si="11"/>
        <v>21h</v>
      </c>
    </row>
    <row r="387" spans="1:8" ht="30" x14ac:dyDescent="0.25">
      <c r="A387" s="10" t="s">
        <v>373</v>
      </c>
      <c r="B387" s="194">
        <v>0.92847222222222225</v>
      </c>
      <c r="C387" s="116">
        <v>1</v>
      </c>
      <c r="D387" s="116">
        <v>2</v>
      </c>
      <c r="E387" s="116">
        <v>1</v>
      </c>
      <c r="F387" s="116" t="s">
        <v>3362</v>
      </c>
      <c r="G387" s="162" t="str">
        <f t="shared" ref="G387:G450" si="12">IF(LEFT(A387,3)="S7P","Pintura",IF(LEFT(A387,3)="S7M","Montagem",
IF(LEFT(A387,3)="S7S","Serigrafia"," ")))</f>
        <v>Montagem</v>
      </c>
      <c r="H387" s="161" t="str">
        <f t="shared" ref="H387:H450" si="13">VALUE(LEFT(F387,2))&amp;"h"</f>
        <v>22h</v>
      </c>
    </row>
    <row r="388" spans="1:8" ht="30" x14ac:dyDescent="0.25">
      <c r="A388" s="10" t="s">
        <v>373</v>
      </c>
      <c r="B388" s="194">
        <v>0.93541666666666667</v>
      </c>
      <c r="C388" s="116">
        <v>1</v>
      </c>
      <c r="D388" s="116">
        <v>2</v>
      </c>
      <c r="E388" s="116">
        <v>0</v>
      </c>
      <c r="F388" s="116" t="s">
        <v>3362</v>
      </c>
      <c r="G388" s="162" t="str">
        <f t="shared" si="12"/>
        <v>Montagem</v>
      </c>
      <c r="H388" s="161" t="str">
        <f t="shared" si="13"/>
        <v>22h</v>
      </c>
    </row>
    <row r="389" spans="1:8" ht="30" x14ac:dyDescent="0.25">
      <c r="A389" s="10" t="s">
        <v>373</v>
      </c>
      <c r="B389" s="194">
        <v>0.94444444444444442</v>
      </c>
      <c r="C389" s="116">
        <v>1</v>
      </c>
      <c r="D389" s="116">
        <v>2</v>
      </c>
      <c r="E389" s="116">
        <v>0</v>
      </c>
      <c r="F389" s="116" t="s">
        <v>3362</v>
      </c>
      <c r="G389" s="162" t="str">
        <f t="shared" si="12"/>
        <v>Montagem</v>
      </c>
      <c r="H389" s="161" t="str">
        <f t="shared" si="13"/>
        <v>22h</v>
      </c>
    </row>
    <row r="390" spans="1:8" ht="30" x14ac:dyDescent="0.25">
      <c r="A390" s="10" t="s">
        <v>373</v>
      </c>
      <c r="B390" s="194">
        <v>0.96111111111111114</v>
      </c>
      <c r="C390" s="116">
        <v>1</v>
      </c>
      <c r="D390" s="116">
        <v>1</v>
      </c>
      <c r="E390" s="116">
        <v>1</v>
      </c>
      <c r="F390" s="116" t="s">
        <v>3365</v>
      </c>
      <c r="G390" s="162" t="str">
        <f t="shared" si="12"/>
        <v>Montagem</v>
      </c>
      <c r="H390" s="161" t="str">
        <f t="shared" si="13"/>
        <v>23h</v>
      </c>
    </row>
    <row r="391" spans="1:8" ht="30" x14ac:dyDescent="0.25">
      <c r="A391" s="10" t="s">
        <v>373</v>
      </c>
      <c r="B391" s="194">
        <v>0.97777777777777775</v>
      </c>
      <c r="C391" s="116">
        <v>0</v>
      </c>
      <c r="D391" s="116">
        <v>2</v>
      </c>
      <c r="E391" s="116">
        <v>1</v>
      </c>
      <c r="F391" s="116" t="s">
        <v>3365</v>
      </c>
      <c r="G391" s="162" t="str">
        <f t="shared" si="12"/>
        <v>Montagem</v>
      </c>
      <c r="H391" s="161" t="str">
        <f t="shared" si="13"/>
        <v>23h</v>
      </c>
    </row>
    <row r="392" spans="1:8" ht="30" x14ac:dyDescent="0.25">
      <c r="A392" s="10" t="s">
        <v>375</v>
      </c>
      <c r="B392" s="194">
        <v>0.28333333333333333</v>
      </c>
      <c r="C392" s="116">
        <v>1</v>
      </c>
      <c r="D392" s="116"/>
      <c r="E392" s="116">
        <v>0</v>
      </c>
      <c r="F392" s="116" t="s">
        <v>3372</v>
      </c>
      <c r="G392" s="162" t="str">
        <f t="shared" si="12"/>
        <v>Montagem</v>
      </c>
      <c r="H392" s="161" t="str">
        <f t="shared" si="13"/>
        <v>6h</v>
      </c>
    </row>
    <row r="393" spans="1:8" ht="30" x14ac:dyDescent="0.25">
      <c r="A393" s="10" t="s">
        <v>375</v>
      </c>
      <c r="B393" s="194">
        <v>0.43541666666666667</v>
      </c>
      <c r="C393" s="116">
        <v>1</v>
      </c>
      <c r="D393" s="116"/>
      <c r="E393" s="116">
        <v>0</v>
      </c>
      <c r="F393" s="116" t="s">
        <v>3371</v>
      </c>
      <c r="G393" s="162" t="str">
        <f t="shared" si="12"/>
        <v>Montagem</v>
      </c>
      <c r="H393" s="161" t="str">
        <f t="shared" si="13"/>
        <v>10h</v>
      </c>
    </row>
    <row r="394" spans="1:8" ht="30" x14ac:dyDescent="0.25">
      <c r="A394" s="10" t="s">
        <v>375</v>
      </c>
      <c r="B394" s="194">
        <v>0.50486111111111109</v>
      </c>
      <c r="C394" s="116">
        <v>1</v>
      </c>
      <c r="D394" s="116"/>
      <c r="E394" s="116">
        <v>1</v>
      </c>
      <c r="F394" s="116" t="s">
        <v>3367</v>
      </c>
      <c r="G394" s="162" t="str">
        <f t="shared" si="12"/>
        <v>Montagem</v>
      </c>
      <c r="H394" s="161" t="str">
        <f t="shared" si="13"/>
        <v>12h</v>
      </c>
    </row>
    <row r="395" spans="1:8" ht="30" x14ac:dyDescent="0.25">
      <c r="A395" s="10" t="s">
        <v>375</v>
      </c>
      <c r="B395" s="194">
        <v>0.53263888888888888</v>
      </c>
      <c r="C395" s="116">
        <v>1</v>
      </c>
      <c r="D395" s="116"/>
      <c r="E395" s="116">
        <v>0</v>
      </c>
      <c r="F395" s="116" t="s">
        <v>3367</v>
      </c>
      <c r="G395" s="162" t="str">
        <f t="shared" si="12"/>
        <v>Montagem</v>
      </c>
      <c r="H395" s="161" t="str">
        <f t="shared" si="13"/>
        <v>12h</v>
      </c>
    </row>
    <row r="396" spans="1:8" ht="30" x14ac:dyDescent="0.25">
      <c r="A396" s="10" t="s">
        <v>375</v>
      </c>
      <c r="B396" s="194">
        <v>0.55902777777777779</v>
      </c>
      <c r="C396" s="116">
        <v>1</v>
      </c>
      <c r="D396" s="116"/>
      <c r="E396" s="116">
        <v>0</v>
      </c>
      <c r="F396" s="116" t="s">
        <v>3368</v>
      </c>
      <c r="G396" s="162" t="str">
        <f t="shared" si="12"/>
        <v>Montagem</v>
      </c>
      <c r="H396" s="161" t="str">
        <f t="shared" si="13"/>
        <v>13h</v>
      </c>
    </row>
    <row r="397" spans="1:8" ht="30" x14ac:dyDescent="0.25">
      <c r="A397" s="10" t="s">
        <v>375</v>
      </c>
      <c r="B397" s="194">
        <v>0.58611111111111114</v>
      </c>
      <c r="C397" s="116">
        <v>1</v>
      </c>
      <c r="D397" s="116"/>
      <c r="E397" s="116">
        <v>0</v>
      </c>
      <c r="F397" s="116" t="s">
        <v>3369</v>
      </c>
      <c r="G397" s="162" t="str">
        <f t="shared" si="12"/>
        <v>Montagem</v>
      </c>
      <c r="H397" s="161" t="str">
        <f t="shared" si="13"/>
        <v>14h</v>
      </c>
    </row>
    <row r="398" spans="1:8" ht="30" x14ac:dyDescent="0.25">
      <c r="A398" s="10" t="s">
        <v>375</v>
      </c>
      <c r="B398" s="194">
        <v>0.59375</v>
      </c>
      <c r="C398" s="116">
        <v>1</v>
      </c>
      <c r="D398" s="116"/>
      <c r="E398" s="116">
        <v>0</v>
      </c>
      <c r="F398" s="116" t="s">
        <v>3369</v>
      </c>
      <c r="G398" s="162" t="str">
        <f t="shared" si="12"/>
        <v>Montagem</v>
      </c>
      <c r="H398" s="161" t="str">
        <f t="shared" si="13"/>
        <v>14h</v>
      </c>
    </row>
    <row r="399" spans="1:8" ht="30" x14ac:dyDescent="0.25">
      <c r="A399" s="10" t="s">
        <v>375</v>
      </c>
      <c r="B399" s="194">
        <v>0.59861111111111109</v>
      </c>
      <c r="C399" s="116">
        <v>0</v>
      </c>
      <c r="D399" s="116"/>
      <c r="E399" s="116">
        <v>1</v>
      </c>
      <c r="F399" s="116" t="s">
        <v>3369</v>
      </c>
      <c r="G399" s="162" t="str">
        <f t="shared" si="12"/>
        <v>Montagem</v>
      </c>
      <c r="H399" s="161" t="str">
        <f t="shared" si="13"/>
        <v>14h</v>
      </c>
    </row>
    <row r="400" spans="1:8" ht="30" x14ac:dyDescent="0.25">
      <c r="A400" s="10" t="s">
        <v>375</v>
      </c>
      <c r="B400" s="194">
        <v>0.60347222222222219</v>
      </c>
      <c r="C400" s="116">
        <v>0</v>
      </c>
      <c r="D400" s="116"/>
      <c r="E400" s="116">
        <v>1</v>
      </c>
      <c r="F400" s="116" t="s">
        <v>3369</v>
      </c>
      <c r="G400" s="162" t="str">
        <f t="shared" si="12"/>
        <v>Montagem</v>
      </c>
      <c r="H400" s="161" t="str">
        <f t="shared" si="13"/>
        <v>14h</v>
      </c>
    </row>
    <row r="401" spans="1:8" ht="30" x14ac:dyDescent="0.25">
      <c r="A401" s="10" t="s">
        <v>375</v>
      </c>
      <c r="B401" s="194">
        <v>0.61319444444444449</v>
      </c>
      <c r="C401" s="116">
        <v>0</v>
      </c>
      <c r="D401" s="116"/>
      <c r="E401" s="116">
        <v>1</v>
      </c>
      <c r="F401" s="116" t="s">
        <v>3369</v>
      </c>
      <c r="G401" s="162" t="str">
        <f t="shared" si="12"/>
        <v>Montagem</v>
      </c>
      <c r="H401" s="161" t="str">
        <f t="shared" si="13"/>
        <v>14h</v>
      </c>
    </row>
    <row r="402" spans="1:8" ht="30" x14ac:dyDescent="0.25">
      <c r="A402" s="10" t="s">
        <v>375</v>
      </c>
      <c r="B402" s="194">
        <v>0.62708333333333333</v>
      </c>
      <c r="C402" s="116">
        <v>1</v>
      </c>
      <c r="D402" s="116"/>
      <c r="E402" s="116">
        <v>0</v>
      </c>
      <c r="F402" s="116" t="s">
        <v>3358</v>
      </c>
      <c r="G402" s="162" t="str">
        <f t="shared" si="12"/>
        <v>Montagem</v>
      </c>
      <c r="H402" s="161" t="str">
        <f t="shared" si="13"/>
        <v>15h</v>
      </c>
    </row>
    <row r="403" spans="1:8" ht="30" x14ac:dyDescent="0.25">
      <c r="A403" s="10" t="s">
        <v>375</v>
      </c>
      <c r="B403" s="194">
        <v>0.65625</v>
      </c>
      <c r="C403" s="116">
        <v>1</v>
      </c>
      <c r="D403" s="116"/>
      <c r="E403" s="116">
        <v>0</v>
      </c>
      <c r="F403" s="116" t="s">
        <v>3358</v>
      </c>
      <c r="G403" s="162" t="str">
        <f t="shared" si="12"/>
        <v>Montagem</v>
      </c>
      <c r="H403" s="161" t="str">
        <f t="shared" si="13"/>
        <v>15h</v>
      </c>
    </row>
    <row r="404" spans="1:8" ht="30" x14ac:dyDescent="0.25">
      <c r="A404" s="10" t="s">
        <v>375</v>
      </c>
      <c r="B404" s="194">
        <v>0.6791666666666667</v>
      </c>
      <c r="C404" s="116">
        <v>1</v>
      </c>
      <c r="D404" s="116"/>
      <c r="E404" s="116">
        <v>0</v>
      </c>
      <c r="F404" s="116" t="s">
        <v>3363</v>
      </c>
      <c r="G404" s="162" t="str">
        <f t="shared" si="12"/>
        <v>Montagem</v>
      </c>
      <c r="H404" s="161" t="str">
        <f t="shared" si="13"/>
        <v>16h</v>
      </c>
    </row>
    <row r="405" spans="1:8" ht="30" x14ac:dyDescent="0.25">
      <c r="A405" s="10" t="s">
        <v>375</v>
      </c>
      <c r="B405" s="194">
        <v>0.6958333333333333</v>
      </c>
      <c r="C405" s="116">
        <v>1</v>
      </c>
      <c r="D405" s="116"/>
      <c r="E405" s="116">
        <v>0</v>
      </c>
      <c r="F405" s="116" t="s">
        <v>3363</v>
      </c>
      <c r="G405" s="162" t="str">
        <f t="shared" si="12"/>
        <v>Montagem</v>
      </c>
      <c r="H405" s="161" t="str">
        <f t="shared" si="13"/>
        <v>16h</v>
      </c>
    </row>
    <row r="406" spans="1:8" ht="30" x14ac:dyDescent="0.25">
      <c r="A406" s="10" t="s">
        <v>375</v>
      </c>
      <c r="B406" s="194">
        <v>0.71250000000000002</v>
      </c>
      <c r="C406" s="116">
        <v>1</v>
      </c>
      <c r="D406" s="116">
        <v>1</v>
      </c>
      <c r="E406" s="116">
        <v>1</v>
      </c>
      <c r="F406" s="116" t="s">
        <v>3361</v>
      </c>
      <c r="G406" s="162" t="str">
        <f t="shared" si="12"/>
        <v>Montagem</v>
      </c>
      <c r="H406" s="161" t="str">
        <f t="shared" si="13"/>
        <v>17h</v>
      </c>
    </row>
    <row r="407" spans="1:8" ht="30" x14ac:dyDescent="0.25">
      <c r="A407" s="10" t="s">
        <v>375</v>
      </c>
      <c r="B407" s="194">
        <v>0.75277777777777777</v>
      </c>
      <c r="C407" s="116">
        <v>1</v>
      </c>
      <c r="D407" s="116">
        <v>1</v>
      </c>
      <c r="E407" s="116">
        <v>0</v>
      </c>
      <c r="F407" s="116" t="s">
        <v>3359</v>
      </c>
      <c r="G407" s="162" t="str">
        <f t="shared" si="12"/>
        <v>Montagem</v>
      </c>
      <c r="H407" s="161" t="str">
        <f t="shared" si="13"/>
        <v>18h</v>
      </c>
    </row>
    <row r="408" spans="1:8" ht="30" x14ac:dyDescent="0.25">
      <c r="A408" s="10" t="s">
        <v>375</v>
      </c>
      <c r="B408" s="194">
        <v>0.86944444444444446</v>
      </c>
      <c r="C408" s="116">
        <v>1</v>
      </c>
      <c r="D408" s="116">
        <v>1</v>
      </c>
      <c r="E408" s="116">
        <v>0</v>
      </c>
      <c r="F408" s="116" t="s">
        <v>3364</v>
      </c>
      <c r="G408" s="162" t="str">
        <f t="shared" si="12"/>
        <v>Montagem</v>
      </c>
      <c r="H408" s="161" t="str">
        <f t="shared" si="13"/>
        <v>20h</v>
      </c>
    </row>
    <row r="409" spans="1:8" ht="30" x14ac:dyDescent="0.25">
      <c r="A409" s="10" t="s">
        <v>375</v>
      </c>
      <c r="B409" s="194">
        <v>0.94027777777777777</v>
      </c>
      <c r="C409" s="116">
        <v>1</v>
      </c>
      <c r="D409" s="116">
        <v>1</v>
      </c>
      <c r="E409" s="116">
        <v>0</v>
      </c>
      <c r="F409" s="116" t="s">
        <v>3362</v>
      </c>
      <c r="G409" s="162" t="str">
        <f t="shared" si="12"/>
        <v>Montagem</v>
      </c>
      <c r="H409" s="161" t="str">
        <f t="shared" si="13"/>
        <v>22h</v>
      </c>
    </row>
    <row r="410" spans="1:8" ht="30" x14ac:dyDescent="0.25">
      <c r="A410" s="10" t="s">
        <v>376</v>
      </c>
      <c r="B410" s="194">
        <v>0.28055555555555556</v>
      </c>
      <c r="C410" s="116">
        <v>1</v>
      </c>
      <c r="D410" s="116"/>
      <c r="E410" s="116">
        <v>0</v>
      </c>
      <c r="F410" s="116" t="s">
        <v>3372</v>
      </c>
      <c r="G410" s="162" t="str">
        <f t="shared" si="12"/>
        <v>Montagem</v>
      </c>
      <c r="H410" s="161" t="str">
        <f t="shared" si="13"/>
        <v>6h</v>
      </c>
    </row>
    <row r="411" spans="1:8" ht="30" x14ac:dyDescent="0.25">
      <c r="A411" s="10" t="s">
        <v>376</v>
      </c>
      <c r="B411" s="194">
        <v>0.28749999999999998</v>
      </c>
      <c r="C411" s="116">
        <v>1</v>
      </c>
      <c r="D411" s="116"/>
      <c r="E411" s="116">
        <v>1</v>
      </c>
      <c r="F411" s="116" t="s">
        <v>3372</v>
      </c>
      <c r="G411" s="162" t="str">
        <f t="shared" si="12"/>
        <v>Montagem</v>
      </c>
      <c r="H411" s="161" t="str">
        <f t="shared" si="13"/>
        <v>6h</v>
      </c>
    </row>
    <row r="412" spans="1:8" ht="30" x14ac:dyDescent="0.25">
      <c r="A412" s="10" t="s">
        <v>376</v>
      </c>
      <c r="B412" s="194">
        <v>0.29375000000000001</v>
      </c>
      <c r="C412" s="116">
        <v>1</v>
      </c>
      <c r="D412" s="116"/>
      <c r="E412" s="116">
        <v>0</v>
      </c>
      <c r="F412" s="116" t="s">
        <v>3373</v>
      </c>
      <c r="G412" s="162" t="str">
        <f t="shared" si="12"/>
        <v>Montagem</v>
      </c>
      <c r="H412" s="161" t="str">
        <f t="shared" si="13"/>
        <v>7h</v>
      </c>
    </row>
    <row r="413" spans="1:8" ht="30" x14ac:dyDescent="0.25">
      <c r="A413" s="10" t="s">
        <v>376</v>
      </c>
      <c r="B413" s="194">
        <v>0.30972222222222223</v>
      </c>
      <c r="C413" s="116">
        <v>1</v>
      </c>
      <c r="D413" s="116"/>
      <c r="E413" s="116">
        <v>0</v>
      </c>
      <c r="F413" s="116" t="s">
        <v>3373</v>
      </c>
      <c r="G413" s="162" t="str">
        <f t="shared" si="12"/>
        <v>Montagem</v>
      </c>
      <c r="H413" s="161" t="str">
        <f t="shared" si="13"/>
        <v>7h</v>
      </c>
    </row>
    <row r="414" spans="1:8" ht="30" x14ac:dyDescent="0.25">
      <c r="A414" s="10" t="s">
        <v>376</v>
      </c>
      <c r="B414" s="194">
        <v>0.33888888888888891</v>
      </c>
      <c r="C414" s="116">
        <v>1</v>
      </c>
      <c r="D414" s="116"/>
      <c r="E414" s="116">
        <v>0</v>
      </c>
      <c r="F414" s="116" t="s">
        <v>3374</v>
      </c>
      <c r="G414" s="162" t="str">
        <f t="shared" si="12"/>
        <v>Montagem</v>
      </c>
      <c r="H414" s="161" t="str">
        <f t="shared" si="13"/>
        <v>8h</v>
      </c>
    </row>
    <row r="415" spans="1:8" ht="30" x14ac:dyDescent="0.25">
      <c r="A415" s="10" t="s">
        <v>376</v>
      </c>
      <c r="B415" s="194">
        <v>0.37986111111111109</v>
      </c>
      <c r="C415" s="116">
        <v>1</v>
      </c>
      <c r="D415" s="116"/>
      <c r="E415" s="116">
        <v>1</v>
      </c>
      <c r="F415" s="116" t="s">
        <v>3370</v>
      </c>
      <c r="G415" s="162" t="str">
        <f t="shared" si="12"/>
        <v>Montagem</v>
      </c>
      <c r="H415" s="161" t="str">
        <f t="shared" si="13"/>
        <v>9h</v>
      </c>
    </row>
    <row r="416" spans="1:8" ht="30" x14ac:dyDescent="0.25">
      <c r="A416" s="10" t="s">
        <v>376</v>
      </c>
      <c r="B416" s="194">
        <v>0.38333333333333336</v>
      </c>
      <c r="C416" s="116">
        <v>1</v>
      </c>
      <c r="D416" s="116"/>
      <c r="E416" s="116">
        <v>0</v>
      </c>
      <c r="F416" s="116" t="s">
        <v>3370</v>
      </c>
      <c r="G416" s="162" t="str">
        <f t="shared" si="12"/>
        <v>Montagem</v>
      </c>
      <c r="H416" s="161" t="str">
        <f t="shared" si="13"/>
        <v>9h</v>
      </c>
    </row>
    <row r="417" spans="1:8" ht="30" x14ac:dyDescent="0.25">
      <c r="A417" s="10" t="s">
        <v>376</v>
      </c>
      <c r="B417" s="194">
        <v>0.39305555555555555</v>
      </c>
      <c r="C417" s="116">
        <v>1</v>
      </c>
      <c r="D417" s="116"/>
      <c r="E417" s="116">
        <v>0</v>
      </c>
      <c r="F417" s="116" t="s">
        <v>3370</v>
      </c>
      <c r="G417" s="162" t="str">
        <f t="shared" si="12"/>
        <v>Montagem</v>
      </c>
      <c r="H417" s="161" t="str">
        <f t="shared" si="13"/>
        <v>9h</v>
      </c>
    </row>
    <row r="418" spans="1:8" ht="30" x14ac:dyDescent="0.25">
      <c r="A418" s="10" t="s">
        <v>376</v>
      </c>
      <c r="B418" s="194">
        <v>0.41458333333333336</v>
      </c>
      <c r="C418" s="116">
        <v>1</v>
      </c>
      <c r="D418" s="116"/>
      <c r="E418" s="116">
        <v>0</v>
      </c>
      <c r="F418" s="116" t="s">
        <v>3370</v>
      </c>
      <c r="G418" s="162" t="str">
        <f t="shared" si="12"/>
        <v>Montagem</v>
      </c>
      <c r="H418" s="161" t="str">
        <f t="shared" si="13"/>
        <v>9h</v>
      </c>
    </row>
    <row r="419" spans="1:8" ht="30" x14ac:dyDescent="0.25">
      <c r="A419" s="10" t="s">
        <v>376</v>
      </c>
      <c r="B419" s="194">
        <v>0.44097222222222221</v>
      </c>
      <c r="C419" s="116">
        <v>1</v>
      </c>
      <c r="D419" s="116"/>
      <c r="E419" s="116">
        <v>0</v>
      </c>
      <c r="F419" s="116" t="s">
        <v>3371</v>
      </c>
      <c r="G419" s="162" t="str">
        <f t="shared" si="12"/>
        <v>Montagem</v>
      </c>
      <c r="H419" s="161" t="str">
        <f t="shared" si="13"/>
        <v>10h</v>
      </c>
    </row>
    <row r="420" spans="1:8" ht="30" x14ac:dyDescent="0.25">
      <c r="A420" s="10" t="s">
        <v>376</v>
      </c>
      <c r="B420" s="194">
        <v>0.50138888888888888</v>
      </c>
      <c r="C420" s="116">
        <v>0</v>
      </c>
      <c r="D420" s="116"/>
      <c r="E420" s="116">
        <v>1</v>
      </c>
      <c r="F420" s="116" t="s">
        <v>3367</v>
      </c>
      <c r="G420" s="162" t="str">
        <f t="shared" si="12"/>
        <v>Montagem</v>
      </c>
      <c r="H420" s="161" t="str">
        <f t="shared" si="13"/>
        <v>12h</v>
      </c>
    </row>
    <row r="421" spans="1:8" ht="30" x14ac:dyDescent="0.25">
      <c r="A421" s="10" t="s">
        <v>376</v>
      </c>
      <c r="B421" s="194">
        <v>0.51041666666666663</v>
      </c>
      <c r="C421" s="116">
        <v>1</v>
      </c>
      <c r="D421" s="116"/>
      <c r="E421" s="116">
        <v>0</v>
      </c>
      <c r="F421" s="116" t="s">
        <v>3367</v>
      </c>
      <c r="G421" s="162" t="str">
        <f t="shared" si="12"/>
        <v>Montagem</v>
      </c>
      <c r="H421" s="161" t="str">
        <f t="shared" si="13"/>
        <v>12h</v>
      </c>
    </row>
    <row r="422" spans="1:8" ht="30" x14ac:dyDescent="0.25">
      <c r="A422" s="10" t="s">
        <v>376</v>
      </c>
      <c r="B422" s="194">
        <v>0.53541666666666665</v>
      </c>
      <c r="C422" s="116">
        <v>1</v>
      </c>
      <c r="D422" s="116"/>
      <c r="E422" s="116">
        <v>0</v>
      </c>
      <c r="F422" s="116" t="s">
        <v>3367</v>
      </c>
      <c r="G422" s="162" t="str">
        <f t="shared" si="12"/>
        <v>Montagem</v>
      </c>
      <c r="H422" s="161" t="str">
        <f t="shared" si="13"/>
        <v>12h</v>
      </c>
    </row>
    <row r="423" spans="1:8" ht="30" x14ac:dyDescent="0.25">
      <c r="A423" s="10" t="s">
        <v>376</v>
      </c>
      <c r="B423" s="194">
        <v>0.57152777777777775</v>
      </c>
      <c r="C423" s="116">
        <v>1</v>
      </c>
      <c r="D423" s="116"/>
      <c r="E423" s="116">
        <v>0</v>
      </c>
      <c r="F423" s="116" t="s">
        <v>3368</v>
      </c>
      <c r="G423" s="162" t="str">
        <f t="shared" si="12"/>
        <v>Montagem</v>
      </c>
      <c r="H423" s="161" t="str">
        <f t="shared" si="13"/>
        <v>13h</v>
      </c>
    </row>
    <row r="424" spans="1:8" ht="30" x14ac:dyDescent="0.25">
      <c r="A424" s="10" t="s">
        <v>376</v>
      </c>
      <c r="B424" s="194">
        <v>0.6069444444444444</v>
      </c>
      <c r="C424" s="116">
        <v>1</v>
      </c>
      <c r="D424" s="116"/>
      <c r="E424" s="116">
        <v>0</v>
      </c>
      <c r="F424" s="116" t="s">
        <v>3369</v>
      </c>
      <c r="G424" s="162" t="str">
        <f t="shared" si="12"/>
        <v>Montagem</v>
      </c>
      <c r="H424" s="161" t="str">
        <f t="shared" si="13"/>
        <v>14h</v>
      </c>
    </row>
    <row r="425" spans="1:8" ht="30" x14ac:dyDescent="0.25">
      <c r="A425" s="10" t="s">
        <v>376</v>
      </c>
      <c r="B425" s="194">
        <v>0.7270833333333333</v>
      </c>
      <c r="C425" s="116">
        <v>1</v>
      </c>
      <c r="D425" s="116"/>
      <c r="E425" s="116">
        <v>1</v>
      </c>
      <c r="F425" s="116" t="s">
        <v>3361</v>
      </c>
      <c r="G425" s="162" t="str">
        <f t="shared" si="12"/>
        <v>Montagem</v>
      </c>
      <c r="H425" s="161" t="str">
        <f t="shared" si="13"/>
        <v>17h</v>
      </c>
    </row>
    <row r="426" spans="1:8" ht="30" x14ac:dyDescent="0.25">
      <c r="A426" s="10" t="s">
        <v>376</v>
      </c>
      <c r="B426" s="194">
        <v>0.73124999999999996</v>
      </c>
      <c r="C426" s="116">
        <v>0</v>
      </c>
      <c r="D426" s="116"/>
      <c r="E426" s="116">
        <v>0</v>
      </c>
      <c r="F426" s="116" t="s">
        <v>3361</v>
      </c>
      <c r="G426" s="162" t="str">
        <f t="shared" si="12"/>
        <v>Montagem</v>
      </c>
      <c r="H426" s="161" t="str">
        <f t="shared" si="13"/>
        <v>17h</v>
      </c>
    </row>
    <row r="427" spans="1:8" ht="30" x14ac:dyDescent="0.25">
      <c r="A427" s="10" t="s">
        <v>376</v>
      </c>
      <c r="B427" s="194">
        <v>0.74236111111111114</v>
      </c>
      <c r="C427" s="116">
        <v>1</v>
      </c>
      <c r="D427" s="116"/>
      <c r="E427" s="116">
        <v>0</v>
      </c>
      <c r="F427" s="116" t="s">
        <v>3361</v>
      </c>
      <c r="G427" s="162" t="str">
        <f t="shared" si="12"/>
        <v>Montagem</v>
      </c>
      <c r="H427" s="161" t="str">
        <f t="shared" si="13"/>
        <v>17h</v>
      </c>
    </row>
    <row r="428" spans="1:8" ht="30" x14ac:dyDescent="0.25">
      <c r="A428" s="10" t="s">
        <v>376</v>
      </c>
      <c r="B428" s="194">
        <v>0.85624999999999996</v>
      </c>
      <c r="C428" s="116">
        <v>0</v>
      </c>
      <c r="D428" s="116"/>
      <c r="E428" s="116">
        <v>0</v>
      </c>
      <c r="F428" s="116" t="s">
        <v>3364</v>
      </c>
      <c r="G428" s="162" t="str">
        <f t="shared" si="12"/>
        <v>Montagem</v>
      </c>
      <c r="H428" s="161" t="str">
        <f t="shared" si="13"/>
        <v>20h</v>
      </c>
    </row>
    <row r="429" spans="1:8" ht="30" x14ac:dyDescent="0.25">
      <c r="A429" s="10" t="s">
        <v>376</v>
      </c>
      <c r="B429" s="194">
        <v>0.86388888888888893</v>
      </c>
      <c r="C429" s="116">
        <v>1</v>
      </c>
      <c r="D429" s="116"/>
      <c r="E429" s="116">
        <v>0</v>
      </c>
      <c r="F429" s="116" t="s">
        <v>3364</v>
      </c>
      <c r="G429" s="162" t="str">
        <f t="shared" si="12"/>
        <v>Montagem</v>
      </c>
      <c r="H429" s="161" t="str">
        <f t="shared" si="13"/>
        <v>20h</v>
      </c>
    </row>
    <row r="430" spans="1:8" ht="30" x14ac:dyDescent="0.25">
      <c r="A430" s="10" t="s">
        <v>376</v>
      </c>
      <c r="B430" s="194">
        <v>0.92361111111111116</v>
      </c>
      <c r="C430" s="116">
        <v>0</v>
      </c>
      <c r="D430" s="116"/>
      <c r="E430" s="116">
        <v>0</v>
      </c>
      <c r="F430" s="116" t="s">
        <v>3362</v>
      </c>
      <c r="G430" s="162" t="str">
        <f t="shared" si="12"/>
        <v>Montagem</v>
      </c>
      <c r="H430" s="161" t="str">
        <f t="shared" si="13"/>
        <v>22h</v>
      </c>
    </row>
    <row r="431" spans="1:8" ht="30" x14ac:dyDescent="0.25">
      <c r="A431" s="10" t="s">
        <v>376</v>
      </c>
      <c r="B431" s="194">
        <v>0.92847222222222225</v>
      </c>
      <c r="C431" s="116">
        <v>1</v>
      </c>
      <c r="D431" s="116"/>
      <c r="E431" s="116">
        <v>0</v>
      </c>
      <c r="F431" s="116" t="s">
        <v>3362</v>
      </c>
      <c r="G431" s="162" t="str">
        <f t="shared" si="12"/>
        <v>Montagem</v>
      </c>
      <c r="H431" s="161" t="str">
        <f t="shared" si="13"/>
        <v>22h</v>
      </c>
    </row>
    <row r="432" spans="1:8" ht="30" x14ac:dyDescent="0.25">
      <c r="A432" s="10" t="s">
        <v>381</v>
      </c>
      <c r="B432" s="194">
        <v>0.28194444444444444</v>
      </c>
      <c r="C432" s="116">
        <v>1</v>
      </c>
      <c r="D432" s="116">
        <v>2</v>
      </c>
      <c r="E432" s="116">
        <v>0</v>
      </c>
      <c r="F432" s="116" t="s">
        <v>3372</v>
      </c>
      <c r="G432" s="162" t="str">
        <f t="shared" si="12"/>
        <v>Montagem</v>
      </c>
      <c r="H432" s="161" t="str">
        <f t="shared" si="13"/>
        <v>6h</v>
      </c>
    </row>
    <row r="433" spans="1:8" ht="30" x14ac:dyDescent="0.25">
      <c r="A433" s="10" t="s">
        <v>381</v>
      </c>
      <c r="B433" s="194">
        <v>0.28680555555555554</v>
      </c>
      <c r="C433" s="116">
        <v>1</v>
      </c>
      <c r="D433" s="116">
        <v>2</v>
      </c>
      <c r="E433" s="116">
        <v>0</v>
      </c>
      <c r="F433" s="116" t="s">
        <v>3372</v>
      </c>
      <c r="G433" s="162" t="str">
        <f t="shared" si="12"/>
        <v>Montagem</v>
      </c>
      <c r="H433" s="161" t="str">
        <f t="shared" si="13"/>
        <v>6h</v>
      </c>
    </row>
    <row r="434" spans="1:8" ht="30" x14ac:dyDescent="0.25">
      <c r="A434" s="10" t="s">
        <v>381</v>
      </c>
      <c r="B434" s="194">
        <v>0.29444444444444445</v>
      </c>
      <c r="C434" s="116">
        <v>1</v>
      </c>
      <c r="D434" s="116">
        <v>1</v>
      </c>
      <c r="E434" s="116">
        <v>1</v>
      </c>
      <c r="F434" s="116" t="s">
        <v>3373</v>
      </c>
      <c r="G434" s="162" t="str">
        <f t="shared" si="12"/>
        <v>Montagem</v>
      </c>
      <c r="H434" s="161" t="str">
        <f t="shared" si="13"/>
        <v>7h</v>
      </c>
    </row>
    <row r="435" spans="1:8" ht="30" x14ac:dyDescent="0.25">
      <c r="A435" s="10" t="s">
        <v>381</v>
      </c>
      <c r="B435" s="194">
        <v>0.30208333333333331</v>
      </c>
      <c r="C435" s="116">
        <v>1</v>
      </c>
      <c r="D435" s="116">
        <v>1</v>
      </c>
      <c r="E435" s="116">
        <v>0</v>
      </c>
      <c r="F435" s="116" t="s">
        <v>3373</v>
      </c>
      <c r="G435" s="162" t="str">
        <f t="shared" si="12"/>
        <v>Montagem</v>
      </c>
      <c r="H435" s="161" t="str">
        <f t="shared" si="13"/>
        <v>7h</v>
      </c>
    </row>
    <row r="436" spans="1:8" ht="30" x14ac:dyDescent="0.25">
      <c r="A436" s="10" t="s">
        <v>381</v>
      </c>
      <c r="B436" s="194">
        <v>0.30277777777777776</v>
      </c>
      <c r="C436" s="116">
        <v>0</v>
      </c>
      <c r="D436" s="116">
        <v>2</v>
      </c>
      <c r="E436" s="116">
        <v>1</v>
      </c>
      <c r="F436" s="116" t="s">
        <v>3373</v>
      </c>
      <c r="G436" s="162" t="str">
        <f t="shared" si="12"/>
        <v>Montagem</v>
      </c>
      <c r="H436" s="161" t="str">
        <f t="shared" si="13"/>
        <v>7h</v>
      </c>
    </row>
    <row r="437" spans="1:8" ht="30" x14ac:dyDescent="0.25">
      <c r="A437" s="10" t="s">
        <v>381</v>
      </c>
      <c r="B437" s="194">
        <v>0.30555555555555558</v>
      </c>
      <c r="C437" s="116">
        <v>1</v>
      </c>
      <c r="D437" s="116">
        <v>2</v>
      </c>
      <c r="E437" s="116">
        <v>0</v>
      </c>
      <c r="F437" s="116" t="s">
        <v>3373</v>
      </c>
      <c r="G437" s="162" t="str">
        <f t="shared" si="12"/>
        <v>Montagem</v>
      </c>
      <c r="H437" s="161" t="str">
        <f t="shared" si="13"/>
        <v>7h</v>
      </c>
    </row>
    <row r="438" spans="1:8" ht="30" x14ac:dyDescent="0.25">
      <c r="A438" s="10" t="s">
        <v>381</v>
      </c>
      <c r="B438" s="194">
        <v>0.30625000000000002</v>
      </c>
      <c r="C438" s="116">
        <v>0</v>
      </c>
      <c r="D438" s="116">
        <v>2</v>
      </c>
      <c r="E438" s="116">
        <v>1</v>
      </c>
      <c r="F438" s="116" t="s">
        <v>3373</v>
      </c>
      <c r="G438" s="162" t="str">
        <f t="shared" si="12"/>
        <v>Montagem</v>
      </c>
      <c r="H438" s="161" t="str">
        <f t="shared" si="13"/>
        <v>7h</v>
      </c>
    </row>
    <row r="439" spans="1:8" ht="30" x14ac:dyDescent="0.25">
      <c r="A439" s="10" t="s">
        <v>381</v>
      </c>
      <c r="B439" s="194">
        <v>0.32083333333333336</v>
      </c>
      <c r="C439" s="116">
        <v>1</v>
      </c>
      <c r="D439" s="116">
        <v>1</v>
      </c>
      <c r="E439" s="116">
        <v>1</v>
      </c>
      <c r="F439" s="116" t="s">
        <v>3373</v>
      </c>
      <c r="G439" s="162" t="str">
        <f t="shared" si="12"/>
        <v>Montagem</v>
      </c>
      <c r="H439" s="161" t="str">
        <f t="shared" si="13"/>
        <v>7h</v>
      </c>
    </row>
    <row r="440" spans="1:8" ht="30" x14ac:dyDescent="0.25">
      <c r="A440" s="10" t="s">
        <v>381</v>
      </c>
      <c r="B440" s="194">
        <v>0.44305555555555554</v>
      </c>
      <c r="C440" s="116">
        <v>1</v>
      </c>
      <c r="D440" s="116">
        <v>1</v>
      </c>
      <c r="E440" s="116">
        <v>0</v>
      </c>
      <c r="F440" s="116" t="s">
        <v>3371</v>
      </c>
      <c r="G440" s="162" t="str">
        <f t="shared" si="12"/>
        <v>Montagem</v>
      </c>
      <c r="H440" s="161" t="str">
        <f t="shared" si="13"/>
        <v>10h</v>
      </c>
    </row>
    <row r="441" spans="1:8" ht="30" x14ac:dyDescent="0.25">
      <c r="A441" s="10" t="s">
        <v>381</v>
      </c>
      <c r="B441" s="194">
        <v>0.69930555555555551</v>
      </c>
      <c r="C441" s="116">
        <v>1</v>
      </c>
      <c r="D441" s="116">
        <v>1</v>
      </c>
      <c r="E441" s="116">
        <v>0</v>
      </c>
      <c r="F441" s="116" t="s">
        <v>3363</v>
      </c>
      <c r="G441" s="162" t="str">
        <f t="shared" si="12"/>
        <v>Montagem</v>
      </c>
      <c r="H441" s="161" t="str">
        <f t="shared" si="13"/>
        <v>16h</v>
      </c>
    </row>
    <row r="442" spans="1:8" ht="30" x14ac:dyDescent="0.25">
      <c r="A442" s="10" t="s">
        <v>382</v>
      </c>
      <c r="B442" s="194">
        <v>0.28402777777777777</v>
      </c>
      <c r="C442" s="116">
        <v>1</v>
      </c>
      <c r="D442" s="116"/>
      <c r="E442" s="116">
        <v>0</v>
      </c>
      <c r="F442" s="116" t="s">
        <v>3372</v>
      </c>
      <c r="G442" s="162" t="str">
        <f t="shared" si="12"/>
        <v>Montagem</v>
      </c>
      <c r="H442" s="161" t="str">
        <f t="shared" si="13"/>
        <v>6h</v>
      </c>
    </row>
    <row r="443" spans="1:8" ht="30" x14ac:dyDescent="0.25">
      <c r="A443" s="10" t="s">
        <v>382</v>
      </c>
      <c r="B443" s="194">
        <v>0.28541666666666665</v>
      </c>
      <c r="C443" s="116">
        <v>0</v>
      </c>
      <c r="D443" s="116">
        <v>2</v>
      </c>
      <c r="E443" s="116">
        <v>1</v>
      </c>
      <c r="F443" s="116" t="s">
        <v>3372</v>
      </c>
      <c r="G443" s="162" t="str">
        <f t="shared" si="12"/>
        <v>Montagem</v>
      </c>
      <c r="H443" s="161" t="str">
        <f t="shared" si="13"/>
        <v>6h</v>
      </c>
    </row>
    <row r="444" spans="1:8" ht="30" x14ac:dyDescent="0.25">
      <c r="A444" s="10" t="s">
        <v>382</v>
      </c>
      <c r="B444" s="194">
        <v>0.33958333333333335</v>
      </c>
      <c r="C444" s="116">
        <v>1</v>
      </c>
      <c r="D444" s="116">
        <v>2</v>
      </c>
      <c r="E444" s="116">
        <v>0</v>
      </c>
      <c r="F444" s="116" t="s">
        <v>3374</v>
      </c>
      <c r="G444" s="162" t="str">
        <f t="shared" si="12"/>
        <v>Montagem</v>
      </c>
      <c r="H444" s="161" t="str">
        <f t="shared" si="13"/>
        <v>8h</v>
      </c>
    </row>
    <row r="445" spans="1:8" ht="30" x14ac:dyDescent="0.25">
      <c r="A445" s="10" t="s">
        <v>382</v>
      </c>
      <c r="B445" s="194">
        <v>0.37013888888888891</v>
      </c>
      <c r="C445" s="116">
        <v>1</v>
      </c>
      <c r="D445" s="116">
        <v>2</v>
      </c>
      <c r="E445" s="116">
        <v>0</v>
      </c>
      <c r="F445" s="116" t="s">
        <v>3374</v>
      </c>
      <c r="G445" s="162" t="str">
        <f t="shared" si="12"/>
        <v>Montagem</v>
      </c>
      <c r="H445" s="161" t="str">
        <f t="shared" si="13"/>
        <v>8h</v>
      </c>
    </row>
    <row r="446" spans="1:8" ht="30" x14ac:dyDescent="0.25">
      <c r="A446" s="10" t="s">
        <v>382</v>
      </c>
      <c r="B446" s="194">
        <v>0.37638888888888888</v>
      </c>
      <c r="C446" s="116">
        <v>0</v>
      </c>
      <c r="D446" s="116">
        <v>2</v>
      </c>
      <c r="E446" s="116">
        <v>1</v>
      </c>
      <c r="F446" s="116" t="s">
        <v>3370</v>
      </c>
      <c r="G446" s="162" t="str">
        <f t="shared" si="12"/>
        <v>Montagem</v>
      </c>
      <c r="H446" s="161" t="str">
        <f t="shared" si="13"/>
        <v>9h</v>
      </c>
    </row>
    <row r="447" spans="1:8" ht="30" x14ac:dyDescent="0.25">
      <c r="A447" s="10" t="s">
        <v>382</v>
      </c>
      <c r="B447" s="194">
        <v>0.38194444444444442</v>
      </c>
      <c r="C447" s="116">
        <v>1</v>
      </c>
      <c r="D447" s="116">
        <v>2</v>
      </c>
      <c r="E447" s="116">
        <v>0</v>
      </c>
      <c r="F447" s="116" t="s">
        <v>3370</v>
      </c>
      <c r="G447" s="162" t="str">
        <f t="shared" si="12"/>
        <v>Montagem</v>
      </c>
      <c r="H447" s="161" t="str">
        <f t="shared" si="13"/>
        <v>9h</v>
      </c>
    </row>
    <row r="448" spans="1:8" ht="30" x14ac:dyDescent="0.25">
      <c r="A448" s="10" t="s">
        <v>382</v>
      </c>
      <c r="B448" s="194">
        <v>0.3888888888888889</v>
      </c>
      <c r="C448" s="116">
        <v>1</v>
      </c>
      <c r="D448" s="116">
        <v>2</v>
      </c>
      <c r="E448" s="116">
        <v>0</v>
      </c>
      <c r="F448" s="116" t="s">
        <v>3370</v>
      </c>
      <c r="G448" s="162" t="str">
        <f t="shared" si="12"/>
        <v>Montagem</v>
      </c>
      <c r="H448" s="161" t="str">
        <f t="shared" si="13"/>
        <v>9h</v>
      </c>
    </row>
    <row r="449" spans="1:8" ht="30" x14ac:dyDescent="0.25">
      <c r="A449" s="10" t="s">
        <v>382</v>
      </c>
      <c r="B449" s="194">
        <v>0.39861111111111114</v>
      </c>
      <c r="C449" s="116">
        <v>1</v>
      </c>
      <c r="D449" s="116">
        <v>2</v>
      </c>
      <c r="E449" s="116">
        <v>0</v>
      </c>
      <c r="F449" s="116" t="s">
        <v>3370</v>
      </c>
      <c r="G449" s="162" t="str">
        <f t="shared" si="12"/>
        <v>Montagem</v>
      </c>
      <c r="H449" s="161" t="str">
        <f t="shared" si="13"/>
        <v>9h</v>
      </c>
    </row>
    <row r="450" spans="1:8" ht="30" x14ac:dyDescent="0.25">
      <c r="A450" s="10" t="s">
        <v>382</v>
      </c>
      <c r="B450" s="194">
        <v>0.53194444444444444</v>
      </c>
      <c r="C450" s="116">
        <v>0</v>
      </c>
      <c r="D450" s="116">
        <v>2</v>
      </c>
      <c r="E450" s="116">
        <v>1</v>
      </c>
      <c r="F450" s="116" t="s">
        <v>3367</v>
      </c>
      <c r="G450" s="162" t="str">
        <f t="shared" si="12"/>
        <v>Montagem</v>
      </c>
      <c r="H450" s="161" t="str">
        <f t="shared" si="13"/>
        <v>12h</v>
      </c>
    </row>
    <row r="451" spans="1:8" ht="30" x14ac:dyDescent="0.25">
      <c r="A451" s="10" t="s">
        <v>382</v>
      </c>
      <c r="B451" s="194">
        <v>0.59861111111111109</v>
      </c>
      <c r="C451" s="116">
        <v>1</v>
      </c>
      <c r="D451" s="116">
        <v>2</v>
      </c>
      <c r="E451" s="116">
        <v>0</v>
      </c>
      <c r="F451" s="116" t="s">
        <v>3369</v>
      </c>
      <c r="G451" s="162" t="str">
        <f t="shared" ref="G451:G514" si="14">IF(LEFT(A451,3)="S7P","Pintura",IF(LEFT(A451,3)="S7M","Montagem",
IF(LEFT(A451,3)="S7S","Serigrafia"," ")))</f>
        <v>Montagem</v>
      </c>
      <c r="H451" s="161" t="str">
        <f t="shared" ref="H451:H514" si="15">VALUE(LEFT(F451,2))&amp;"h"</f>
        <v>14h</v>
      </c>
    </row>
    <row r="452" spans="1:8" ht="30" x14ac:dyDescent="0.25">
      <c r="A452" s="10" t="s">
        <v>382</v>
      </c>
      <c r="B452" s="194">
        <v>0.73819444444444449</v>
      </c>
      <c r="C452" s="116">
        <v>1</v>
      </c>
      <c r="D452" s="116">
        <v>2</v>
      </c>
      <c r="E452" s="116">
        <v>0</v>
      </c>
      <c r="F452" s="116" t="s">
        <v>3361</v>
      </c>
      <c r="G452" s="162" t="str">
        <f t="shared" si="14"/>
        <v>Montagem</v>
      </c>
      <c r="H452" s="161" t="str">
        <f t="shared" si="15"/>
        <v>17h</v>
      </c>
    </row>
    <row r="453" spans="1:8" ht="30" x14ac:dyDescent="0.25">
      <c r="A453" s="10" t="s">
        <v>382</v>
      </c>
      <c r="B453" s="194">
        <v>0.76041666666666663</v>
      </c>
      <c r="C453" s="116">
        <v>1</v>
      </c>
      <c r="D453" s="116">
        <v>2</v>
      </c>
      <c r="E453" s="116">
        <v>0</v>
      </c>
      <c r="F453" s="116" t="s">
        <v>3359</v>
      </c>
      <c r="G453" s="162" t="str">
        <f t="shared" si="14"/>
        <v>Montagem</v>
      </c>
      <c r="H453" s="161" t="str">
        <f t="shared" si="15"/>
        <v>18h</v>
      </c>
    </row>
    <row r="454" spans="1:8" ht="30" x14ac:dyDescent="0.25">
      <c r="A454" s="10" t="s">
        <v>382</v>
      </c>
      <c r="B454" s="194">
        <v>0.79722222222222228</v>
      </c>
      <c r="C454" s="116">
        <v>0</v>
      </c>
      <c r="D454" s="116">
        <v>2</v>
      </c>
      <c r="E454" s="116">
        <v>1</v>
      </c>
      <c r="F454" s="116" t="s">
        <v>3366</v>
      </c>
      <c r="G454" s="162" t="str">
        <f t="shared" si="14"/>
        <v>Montagem</v>
      </c>
      <c r="H454" s="161" t="str">
        <f t="shared" si="15"/>
        <v>19h</v>
      </c>
    </row>
    <row r="455" spans="1:8" ht="30" x14ac:dyDescent="0.25">
      <c r="A455" s="10" t="s">
        <v>382</v>
      </c>
      <c r="B455" s="194">
        <v>0.92152777777777772</v>
      </c>
      <c r="C455" s="116">
        <v>1</v>
      </c>
      <c r="D455" s="116">
        <v>2</v>
      </c>
      <c r="E455" s="116">
        <v>0</v>
      </c>
      <c r="F455" s="116" t="s">
        <v>3362</v>
      </c>
      <c r="G455" s="162" t="str">
        <f t="shared" si="14"/>
        <v>Montagem</v>
      </c>
      <c r="H455" s="161" t="str">
        <f t="shared" si="15"/>
        <v>22h</v>
      </c>
    </row>
    <row r="456" spans="1:8" ht="30" x14ac:dyDescent="0.25">
      <c r="A456" s="10" t="s">
        <v>383</v>
      </c>
      <c r="B456" s="194">
        <v>0.28402777777777777</v>
      </c>
      <c r="C456" s="116">
        <v>1</v>
      </c>
      <c r="D456" s="116">
        <v>1</v>
      </c>
      <c r="E456" s="116">
        <v>0</v>
      </c>
      <c r="F456" s="116" t="s">
        <v>3372</v>
      </c>
      <c r="G456" s="162" t="str">
        <f t="shared" si="14"/>
        <v>Montagem</v>
      </c>
      <c r="H456" s="161" t="str">
        <f t="shared" si="15"/>
        <v>6h</v>
      </c>
    </row>
    <row r="457" spans="1:8" ht="30" x14ac:dyDescent="0.25">
      <c r="A457" s="10" t="s">
        <v>383</v>
      </c>
      <c r="B457" s="194">
        <v>0.30972222222222223</v>
      </c>
      <c r="C457" s="116">
        <v>1</v>
      </c>
      <c r="D457" s="116">
        <v>1</v>
      </c>
      <c r="E457" s="116">
        <v>0</v>
      </c>
      <c r="F457" s="116" t="s">
        <v>3373</v>
      </c>
      <c r="G457" s="162" t="str">
        <f t="shared" si="14"/>
        <v>Montagem</v>
      </c>
      <c r="H457" s="161" t="str">
        <f t="shared" si="15"/>
        <v>7h</v>
      </c>
    </row>
    <row r="458" spans="1:8" ht="30" x14ac:dyDescent="0.25">
      <c r="A458" s="10" t="s">
        <v>383</v>
      </c>
      <c r="B458" s="194">
        <v>0.37222222222222223</v>
      </c>
      <c r="C458" s="116">
        <v>1</v>
      </c>
      <c r="D458" s="116">
        <v>1</v>
      </c>
      <c r="E458" s="116">
        <v>0</v>
      </c>
      <c r="F458" s="116" t="s">
        <v>3374</v>
      </c>
      <c r="G458" s="162" t="str">
        <f t="shared" si="14"/>
        <v>Montagem</v>
      </c>
      <c r="H458" s="161" t="str">
        <f t="shared" si="15"/>
        <v>8h</v>
      </c>
    </row>
    <row r="459" spans="1:8" ht="30" x14ac:dyDescent="0.25">
      <c r="A459" s="10" t="s">
        <v>383</v>
      </c>
      <c r="B459" s="194">
        <v>0.44374999999999998</v>
      </c>
      <c r="C459" s="116">
        <v>1</v>
      </c>
      <c r="D459" s="116">
        <v>1</v>
      </c>
      <c r="E459" s="116">
        <v>0</v>
      </c>
      <c r="F459" s="116" t="s">
        <v>3371</v>
      </c>
      <c r="G459" s="162" t="str">
        <f t="shared" si="14"/>
        <v>Montagem</v>
      </c>
      <c r="H459" s="161" t="str">
        <f t="shared" si="15"/>
        <v>10h</v>
      </c>
    </row>
    <row r="460" spans="1:8" ht="30" x14ac:dyDescent="0.25">
      <c r="A460" s="10" t="s">
        <v>383</v>
      </c>
      <c r="B460" s="194">
        <v>0.5625</v>
      </c>
      <c r="C460" s="116">
        <v>1</v>
      </c>
      <c r="D460" s="116">
        <v>1</v>
      </c>
      <c r="E460" s="116">
        <v>0</v>
      </c>
      <c r="F460" s="116" t="s">
        <v>3368</v>
      </c>
      <c r="G460" s="162" t="str">
        <f t="shared" si="14"/>
        <v>Montagem</v>
      </c>
      <c r="H460" s="161" t="str">
        <f t="shared" si="15"/>
        <v>13h</v>
      </c>
    </row>
    <row r="461" spans="1:8" ht="30" x14ac:dyDescent="0.25">
      <c r="A461" s="10" t="s">
        <v>383</v>
      </c>
      <c r="B461" s="194">
        <v>0.61875000000000002</v>
      </c>
      <c r="C461" s="116">
        <v>1</v>
      </c>
      <c r="D461" s="116">
        <v>1</v>
      </c>
      <c r="E461" s="116">
        <v>0</v>
      </c>
      <c r="F461" s="116" t="s">
        <v>3369</v>
      </c>
      <c r="G461" s="162" t="str">
        <f t="shared" si="14"/>
        <v>Montagem</v>
      </c>
      <c r="H461" s="161" t="str">
        <f t="shared" si="15"/>
        <v>14h</v>
      </c>
    </row>
    <row r="462" spans="1:8" ht="30" x14ac:dyDescent="0.25">
      <c r="A462" s="10" t="s">
        <v>383</v>
      </c>
      <c r="B462" s="194">
        <v>0.62013888888888891</v>
      </c>
      <c r="C462" s="116">
        <v>1</v>
      </c>
      <c r="D462" s="116">
        <v>1</v>
      </c>
      <c r="E462" s="116">
        <v>1</v>
      </c>
      <c r="F462" s="116" t="s">
        <v>3369</v>
      </c>
      <c r="G462" s="162" t="str">
        <f t="shared" si="14"/>
        <v>Montagem</v>
      </c>
      <c r="H462" s="161" t="str">
        <f t="shared" si="15"/>
        <v>14h</v>
      </c>
    </row>
    <row r="463" spans="1:8" ht="30" x14ac:dyDescent="0.25">
      <c r="A463" s="10" t="s">
        <v>383</v>
      </c>
      <c r="B463" s="194">
        <v>0.62361111111111112</v>
      </c>
      <c r="C463" s="116">
        <v>1</v>
      </c>
      <c r="D463" s="116">
        <v>1</v>
      </c>
      <c r="E463" s="116">
        <v>0</v>
      </c>
      <c r="F463" s="116" t="s">
        <v>3369</v>
      </c>
      <c r="G463" s="162" t="str">
        <f t="shared" si="14"/>
        <v>Montagem</v>
      </c>
      <c r="H463" s="161" t="str">
        <f t="shared" si="15"/>
        <v>14h</v>
      </c>
    </row>
    <row r="464" spans="1:8" ht="30" x14ac:dyDescent="0.25">
      <c r="A464" s="10" t="s">
        <v>383</v>
      </c>
      <c r="B464" s="194">
        <v>0.62986111111111109</v>
      </c>
      <c r="C464" s="116">
        <v>1</v>
      </c>
      <c r="D464" s="116">
        <v>1</v>
      </c>
      <c r="E464" s="116">
        <v>0</v>
      </c>
      <c r="F464" s="116" t="s">
        <v>3358</v>
      </c>
      <c r="G464" s="162" t="str">
        <f t="shared" si="14"/>
        <v>Montagem</v>
      </c>
      <c r="H464" s="161" t="str">
        <f t="shared" si="15"/>
        <v>15h</v>
      </c>
    </row>
    <row r="465" spans="1:8" ht="30" x14ac:dyDescent="0.25">
      <c r="A465" s="10" t="s">
        <v>383</v>
      </c>
      <c r="B465" s="194">
        <v>0.64444444444444449</v>
      </c>
      <c r="C465" s="116">
        <v>1</v>
      </c>
      <c r="D465" s="116">
        <v>1</v>
      </c>
      <c r="E465" s="116">
        <v>0</v>
      </c>
      <c r="F465" s="116" t="s">
        <v>3358</v>
      </c>
      <c r="G465" s="162" t="str">
        <f t="shared" si="14"/>
        <v>Montagem</v>
      </c>
      <c r="H465" s="161" t="str">
        <f t="shared" si="15"/>
        <v>15h</v>
      </c>
    </row>
    <row r="466" spans="1:8" ht="30" x14ac:dyDescent="0.25">
      <c r="A466" s="10" t="s">
        <v>383</v>
      </c>
      <c r="B466" s="194">
        <v>0.65277777777777779</v>
      </c>
      <c r="C466" s="116">
        <v>1</v>
      </c>
      <c r="D466" s="116">
        <v>1</v>
      </c>
      <c r="E466" s="116">
        <v>0</v>
      </c>
      <c r="F466" s="116" t="s">
        <v>3358</v>
      </c>
      <c r="G466" s="162" t="str">
        <f t="shared" si="14"/>
        <v>Montagem</v>
      </c>
      <c r="H466" s="161" t="str">
        <f t="shared" si="15"/>
        <v>15h</v>
      </c>
    </row>
    <row r="467" spans="1:8" ht="30" x14ac:dyDescent="0.25">
      <c r="A467" s="10" t="s">
        <v>383</v>
      </c>
      <c r="B467" s="194">
        <v>0.65694444444444444</v>
      </c>
      <c r="C467" s="116">
        <v>1</v>
      </c>
      <c r="D467" s="116">
        <v>1</v>
      </c>
      <c r="E467" s="116">
        <v>0</v>
      </c>
      <c r="F467" s="116" t="s">
        <v>3358</v>
      </c>
      <c r="G467" s="162" t="str">
        <f t="shared" si="14"/>
        <v>Montagem</v>
      </c>
      <c r="H467" s="161" t="str">
        <f t="shared" si="15"/>
        <v>15h</v>
      </c>
    </row>
    <row r="468" spans="1:8" ht="30" x14ac:dyDescent="0.25">
      <c r="A468" s="10" t="s">
        <v>383</v>
      </c>
      <c r="B468" s="194">
        <v>0.66180555555555554</v>
      </c>
      <c r="C468" s="116">
        <v>1</v>
      </c>
      <c r="D468" s="116">
        <v>1</v>
      </c>
      <c r="E468" s="116">
        <v>1</v>
      </c>
      <c r="F468" s="116" t="s">
        <v>3358</v>
      </c>
      <c r="G468" s="162" t="str">
        <f t="shared" si="14"/>
        <v>Montagem</v>
      </c>
      <c r="H468" s="161" t="str">
        <f t="shared" si="15"/>
        <v>15h</v>
      </c>
    </row>
    <row r="469" spans="1:8" ht="30" x14ac:dyDescent="0.25">
      <c r="A469" s="10" t="s">
        <v>383</v>
      </c>
      <c r="B469" s="194">
        <v>0.68055555555555558</v>
      </c>
      <c r="C469" s="116">
        <v>1</v>
      </c>
      <c r="D469" s="116">
        <v>1</v>
      </c>
      <c r="E469" s="116">
        <v>0</v>
      </c>
      <c r="F469" s="116" t="s">
        <v>3363</v>
      </c>
      <c r="G469" s="162" t="str">
        <f t="shared" si="14"/>
        <v>Montagem</v>
      </c>
      <c r="H469" s="161" t="str">
        <f t="shared" si="15"/>
        <v>16h</v>
      </c>
    </row>
    <row r="470" spans="1:8" ht="30" x14ac:dyDescent="0.25">
      <c r="A470" s="10" t="s">
        <v>383</v>
      </c>
      <c r="B470" s="194">
        <v>0.71458333333333335</v>
      </c>
      <c r="C470" s="116">
        <v>1</v>
      </c>
      <c r="D470" s="116">
        <v>1</v>
      </c>
      <c r="E470" s="116">
        <v>0</v>
      </c>
      <c r="F470" s="116" t="s">
        <v>3361</v>
      </c>
      <c r="G470" s="162" t="str">
        <f t="shared" si="14"/>
        <v>Montagem</v>
      </c>
      <c r="H470" s="161" t="str">
        <f t="shared" si="15"/>
        <v>17h</v>
      </c>
    </row>
    <row r="471" spans="1:8" ht="30" x14ac:dyDescent="0.25">
      <c r="A471" s="10" t="s">
        <v>383</v>
      </c>
      <c r="B471" s="194">
        <v>0.7583333333333333</v>
      </c>
      <c r="C471" s="116">
        <v>1</v>
      </c>
      <c r="D471" s="116">
        <v>1</v>
      </c>
      <c r="E471" s="116">
        <v>0</v>
      </c>
      <c r="F471" s="116" t="s">
        <v>3359</v>
      </c>
      <c r="G471" s="162" t="str">
        <f t="shared" si="14"/>
        <v>Montagem</v>
      </c>
      <c r="H471" s="161" t="str">
        <f t="shared" si="15"/>
        <v>18h</v>
      </c>
    </row>
    <row r="472" spans="1:8" ht="30" x14ac:dyDescent="0.25">
      <c r="A472" s="10" t="s">
        <v>383</v>
      </c>
      <c r="B472" s="194">
        <v>0.80902777777777779</v>
      </c>
      <c r="C472" s="116">
        <v>1</v>
      </c>
      <c r="D472" s="116">
        <v>1</v>
      </c>
      <c r="E472" s="116">
        <v>0</v>
      </c>
      <c r="F472" s="116" t="s">
        <v>3366</v>
      </c>
      <c r="G472" s="162" t="str">
        <f t="shared" si="14"/>
        <v>Montagem</v>
      </c>
      <c r="H472" s="161" t="str">
        <f t="shared" si="15"/>
        <v>19h</v>
      </c>
    </row>
    <row r="473" spans="1:8" ht="30" x14ac:dyDescent="0.25">
      <c r="A473" s="10" t="s">
        <v>383</v>
      </c>
      <c r="B473" s="194">
        <v>0.87569444444444444</v>
      </c>
      <c r="C473" s="116">
        <v>1</v>
      </c>
      <c r="D473" s="116">
        <v>1</v>
      </c>
      <c r="E473" s="116">
        <v>0</v>
      </c>
      <c r="F473" s="116" t="s">
        <v>3360</v>
      </c>
      <c r="G473" s="162" t="str">
        <f t="shared" si="14"/>
        <v>Montagem</v>
      </c>
      <c r="H473" s="161" t="str">
        <f t="shared" si="15"/>
        <v>21h</v>
      </c>
    </row>
    <row r="474" spans="1:8" ht="30" x14ac:dyDescent="0.25">
      <c r="A474" s="10" t="s">
        <v>383</v>
      </c>
      <c r="B474" s="194">
        <v>0.89097222222222228</v>
      </c>
      <c r="C474" s="116">
        <v>1</v>
      </c>
      <c r="D474" s="116"/>
      <c r="E474" s="116">
        <v>1</v>
      </c>
      <c r="F474" s="116" t="s">
        <v>3360</v>
      </c>
      <c r="G474" s="162" t="str">
        <f t="shared" si="14"/>
        <v>Montagem</v>
      </c>
      <c r="H474" s="161" t="str">
        <f t="shared" si="15"/>
        <v>21h</v>
      </c>
    </row>
    <row r="475" spans="1:8" ht="30" x14ac:dyDescent="0.25">
      <c r="A475" s="10" t="s">
        <v>383</v>
      </c>
      <c r="B475" s="194">
        <v>0.96111111111111114</v>
      </c>
      <c r="C475" s="116">
        <v>1</v>
      </c>
      <c r="D475" s="116"/>
      <c r="E475" s="116">
        <v>0</v>
      </c>
      <c r="F475" s="116" t="s">
        <v>3365</v>
      </c>
      <c r="G475" s="162" t="str">
        <f t="shared" si="14"/>
        <v>Montagem</v>
      </c>
      <c r="H475" s="161" t="str">
        <f t="shared" si="15"/>
        <v>23h</v>
      </c>
    </row>
    <row r="476" spans="1:8" ht="30" x14ac:dyDescent="0.25">
      <c r="A476" s="10" t="s">
        <v>384</v>
      </c>
      <c r="B476" s="194">
        <v>0.28263888888888888</v>
      </c>
      <c r="C476" s="116">
        <v>1</v>
      </c>
      <c r="D476" s="116"/>
      <c r="E476" s="116">
        <v>0</v>
      </c>
      <c r="F476" s="116" t="s">
        <v>3372</v>
      </c>
      <c r="G476" s="162" t="str">
        <f t="shared" si="14"/>
        <v>Montagem</v>
      </c>
      <c r="H476" s="161" t="str">
        <f t="shared" si="15"/>
        <v>6h</v>
      </c>
    </row>
    <row r="477" spans="1:8" ht="30" x14ac:dyDescent="0.25">
      <c r="A477" s="10" t="s">
        <v>384</v>
      </c>
      <c r="B477" s="194">
        <v>0.2902777777777778</v>
      </c>
      <c r="C477" s="116">
        <v>1</v>
      </c>
      <c r="D477" s="116">
        <v>4</v>
      </c>
      <c r="E477" s="116">
        <v>1</v>
      </c>
      <c r="F477" s="116" t="s">
        <v>3372</v>
      </c>
      <c r="G477" s="162" t="str">
        <f t="shared" si="14"/>
        <v>Montagem</v>
      </c>
      <c r="H477" s="161" t="str">
        <f t="shared" si="15"/>
        <v>6h</v>
      </c>
    </row>
    <row r="478" spans="1:8" ht="30" x14ac:dyDescent="0.25">
      <c r="A478" s="10" t="s">
        <v>384</v>
      </c>
      <c r="B478" s="194">
        <v>0.29444444444444445</v>
      </c>
      <c r="C478" s="116">
        <v>1</v>
      </c>
      <c r="D478" s="116">
        <v>4</v>
      </c>
      <c r="E478" s="116">
        <v>0</v>
      </c>
      <c r="F478" s="116" t="s">
        <v>3373</v>
      </c>
      <c r="G478" s="162" t="str">
        <f t="shared" si="14"/>
        <v>Montagem</v>
      </c>
      <c r="H478" s="161" t="str">
        <f t="shared" si="15"/>
        <v>7h</v>
      </c>
    </row>
    <row r="479" spans="1:8" ht="30" x14ac:dyDescent="0.25">
      <c r="A479" s="10" t="s">
        <v>384</v>
      </c>
      <c r="B479" s="194">
        <v>0.29930555555555555</v>
      </c>
      <c r="C479" s="116">
        <v>1</v>
      </c>
      <c r="D479" s="116">
        <v>3</v>
      </c>
      <c r="E479" s="116">
        <v>1</v>
      </c>
      <c r="F479" s="116" t="s">
        <v>3373</v>
      </c>
      <c r="G479" s="162" t="str">
        <f t="shared" si="14"/>
        <v>Montagem</v>
      </c>
      <c r="H479" s="161" t="str">
        <f t="shared" si="15"/>
        <v>7h</v>
      </c>
    </row>
    <row r="480" spans="1:8" ht="30" x14ac:dyDescent="0.25">
      <c r="A480" s="10" t="s">
        <v>384</v>
      </c>
      <c r="B480" s="194">
        <v>0.30694444444444446</v>
      </c>
      <c r="C480" s="116">
        <v>1</v>
      </c>
      <c r="D480" s="116">
        <v>3</v>
      </c>
      <c r="E480" s="116">
        <v>0</v>
      </c>
      <c r="F480" s="116" t="s">
        <v>3373</v>
      </c>
      <c r="G480" s="162" t="str">
        <f t="shared" si="14"/>
        <v>Montagem</v>
      </c>
      <c r="H480" s="161" t="str">
        <f t="shared" si="15"/>
        <v>7h</v>
      </c>
    </row>
    <row r="481" spans="1:8" ht="30" x14ac:dyDescent="0.25">
      <c r="A481" s="10" t="s">
        <v>384</v>
      </c>
      <c r="B481" s="194">
        <v>0.31388888888888888</v>
      </c>
      <c r="C481" s="116">
        <v>1</v>
      </c>
      <c r="D481" s="116"/>
      <c r="E481" s="116">
        <v>1</v>
      </c>
      <c r="F481" s="116" t="s">
        <v>3373</v>
      </c>
      <c r="G481" s="162" t="str">
        <f t="shared" si="14"/>
        <v>Montagem</v>
      </c>
      <c r="H481" s="161" t="str">
        <f t="shared" si="15"/>
        <v>7h</v>
      </c>
    </row>
    <row r="482" spans="1:8" ht="30" x14ac:dyDescent="0.25">
      <c r="A482" s="10" t="s">
        <v>384</v>
      </c>
      <c r="B482" s="194">
        <v>0.4284722222222222</v>
      </c>
      <c r="C482" s="116">
        <v>1</v>
      </c>
      <c r="D482" s="116"/>
      <c r="E482" s="116">
        <v>0</v>
      </c>
      <c r="F482" s="116" t="s">
        <v>3371</v>
      </c>
      <c r="G482" s="162" t="str">
        <f t="shared" si="14"/>
        <v>Montagem</v>
      </c>
      <c r="H482" s="161" t="str">
        <f t="shared" si="15"/>
        <v>10h</v>
      </c>
    </row>
    <row r="483" spans="1:8" ht="30" x14ac:dyDescent="0.25">
      <c r="A483" s="10" t="s">
        <v>384</v>
      </c>
      <c r="B483" s="194">
        <v>0.74236111111111114</v>
      </c>
      <c r="C483" s="116">
        <v>1</v>
      </c>
      <c r="D483" s="116"/>
      <c r="E483" s="116">
        <v>0</v>
      </c>
      <c r="F483" s="116" t="s">
        <v>3361</v>
      </c>
      <c r="G483" s="162" t="str">
        <f t="shared" si="14"/>
        <v>Montagem</v>
      </c>
      <c r="H483" s="161" t="str">
        <f t="shared" si="15"/>
        <v>17h</v>
      </c>
    </row>
    <row r="484" spans="1:8" ht="30" x14ac:dyDescent="0.25">
      <c r="A484" s="10" t="s">
        <v>384</v>
      </c>
      <c r="B484" s="194">
        <v>0.80486111111111114</v>
      </c>
      <c r="C484" s="116">
        <v>1</v>
      </c>
      <c r="D484" s="116">
        <v>2</v>
      </c>
      <c r="E484" s="116">
        <v>1</v>
      </c>
      <c r="F484" s="116" t="s">
        <v>3366</v>
      </c>
      <c r="G484" s="162" t="str">
        <f t="shared" si="14"/>
        <v>Montagem</v>
      </c>
      <c r="H484" s="161" t="str">
        <f t="shared" si="15"/>
        <v>19h</v>
      </c>
    </row>
    <row r="485" spans="1:8" ht="30" x14ac:dyDescent="0.25">
      <c r="A485" s="10" t="s">
        <v>384</v>
      </c>
      <c r="B485" s="194">
        <v>0.90069444444444446</v>
      </c>
      <c r="C485" s="116">
        <v>0</v>
      </c>
      <c r="D485" s="116">
        <v>2</v>
      </c>
      <c r="E485" s="116">
        <v>0</v>
      </c>
      <c r="F485" s="116" t="s">
        <v>3360</v>
      </c>
      <c r="G485" s="162" t="str">
        <f t="shared" si="14"/>
        <v>Montagem</v>
      </c>
      <c r="H485" s="161" t="str">
        <f t="shared" si="15"/>
        <v>21h</v>
      </c>
    </row>
    <row r="486" spans="1:8" ht="30" x14ac:dyDescent="0.25">
      <c r="A486" s="10" t="s">
        <v>387</v>
      </c>
      <c r="B486" s="194">
        <v>0.27777777777777779</v>
      </c>
      <c r="C486" s="116">
        <v>1</v>
      </c>
      <c r="D486" s="116">
        <v>2</v>
      </c>
      <c r="E486" s="116">
        <v>0</v>
      </c>
      <c r="F486" s="116" t="s">
        <v>3372</v>
      </c>
      <c r="G486" s="162" t="str">
        <f t="shared" si="14"/>
        <v>Montagem</v>
      </c>
      <c r="H486" s="161" t="str">
        <f t="shared" si="15"/>
        <v>6h</v>
      </c>
    </row>
    <row r="487" spans="1:8" ht="30" x14ac:dyDescent="0.25">
      <c r="A487" s="10" t="s">
        <v>387</v>
      </c>
      <c r="B487" s="194">
        <v>0.33611111111111114</v>
      </c>
      <c r="C487" s="116">
        <v>1</v>
      </c>
      <c r="D487" s="116"/>
      <c r="E487" s="116">
        <v>1</v>
      </c>
      <c r="F487" s="116" t="s">
        <v>3374</v>
      </c>
      <c r="G487" s="162" t="str">
        <f t="shared" si="14"/>
        <v>Montagem</v>
      </c>
      <c r="H487" s="161" t="str">
        <f t="shared" si="15"/>
        <v>8h</v>
      </c>
    </row>
    <row r="488" spans="1:8" ht="30" x14ac:dyDescent="0.25">
      <c r="A488" s="10" t="s">
        <v>387</v>
      </c>
      <c r="B488" s="194">
        <v>0.40277777777777779</v>
      </c>
      <c r="C488" s="116">
        <v>1</v>
      </c>
      <c r="D488" s="116"/>
      <c r="E488" s="116">
        <v>0</v>
      </c>
      <c r="F488" s="116" t="s">
        <v>3370</v>
      </c>
      <c r="G488" s="162" t="str">
        <f t="shared" si="14"/>
        <v>Montagem</v>
      </c>
      <c r="H488" s="161" t="str">
        <f t="shared" si="15"/>
        <v>9h</v>
      </c>
    </row>
    <row r="489" spans="1:8" ht="30" x14ac:dyDescent="0.25">
      <c r="A489" s="10" t="s">
        <v>387</v>
      </c>
      <c r="B489" s="194">
        <v>0.4201388888888889</v>
      </c>
      <c r="C489" s="116">
        <v>0</v>
      </c>
      <c r="D489" s="116"/>
      <c r="E489" s="116">
        <v>0</v>
      </c>
      <c r="F489" s="116" t="s">
        <v>3371</v>
      </c>
      <c r="G489" s="162" t="str">
        <f t="shared" si="14"/>
        <v>Montagem</v>
      </c>
      <c r="H489" s="161" t="str">
        <f t="shared" si="15"/>
        <v>10h</v>
      </c>
    </row>
    <row r="490" spans="1:8" ht="30" x14ac:dyDescent="0.25">
      <c r="A490" s="10" t="s">
        <v>387</v>
      </c>
      <c r="B490" s="194">
        <v>0.51111111111111107</v>
      </c>
      <c r="C490" s="116">
        <v>1</v>
      </c>
      <c r="D490" s="116"/>
      <c r="E490" s="116">
        <v>0</v>
      </c>
      <c r="F490" s="116" t="s">
        <v>3367</v>
      </c>
      <c r="G490" s="162" t="str">
        <f t="shared" si="14"/>
        <v>Montagem</v>
      </c>
      <c r="H490" s="161" t="str">
        <f t="shared" si="15"/>
        <v>12h</v>
      </c>
    </row>
    <row r="491" spans="1:8" ht="30" x14ac:dyDescent="0.25">
      <c r="A491" s="10" t="s">
        <v>387</v>
      </c>
      <c r="B491" s="194">
        <v>0.57777777777777772</v>
      </c>
      <c r="C491" s="116">
        <v>0</v>
      </c>
      <c r="D491" s="116"/>
      <c r="E491" s="116">
        <v>0</v>
      </c>
      <c r="F491" s="116" t="s">
        <v>3368</v>
      </c>
      <c r="G491" s="162" t="str">
        <f t="shared" si="14"/>
        <v>Montagem</v>
      </c>
      <c r="H491" s="161" t="str">
        <f t="shared" si="15"/>
        <v>13h</v>
      </c>
    </row>
    <row r="492" spans="1:8" ht="30" x14ac:dyDescent="0.25">
      <c r="A492" s="10" t="s">
        <v>387</v>
      </c>
      <c r="B492" s="194">
        <v>0.6430555555555556</v>
      </c>
      <c r="C492" s="116">
        <v>1</v>
      </c>
      <c r="D492" s="116"/>
      <c r="E492" s="116">
        <v>0</v>
      </c>
      <c r="F492" s="116" t="s">
        <v>3358</v>
      </c>
      <c r="G492" s="162" t="str">
        <f t="shared" si="14"/>
        <v>Montagem</v>
      </c>
      <c r="H492" s="161" t="str">
        <f t="shared" si="15"/>
        <v>15h</v>
      </c>
    </row>
    <row r="493" spans="1:8" ht="30" x14ac:dyDescent="0.25">
      <c r="A493" s="10" t="s">
        <v>387</v>
      </c>
      <c r="B493" s="194">
        <v>0.70902777777777781</v>
      </c>
      <c r="C493" s="116">
        <v>0</v>
      </c>
      <c r="D493" s="116"/>
      <c r="E493" s="116">
        <v>0</v>
      </c>
      <c r="F493" s="116" t="s">
        <v>3361</v>
      </c>
      <c r="G493" s="162" t="str">
        <f t="shared" si="14"/>
        <v>Montagem</v>
      </c>
      <c r="H493" s="161" t="str">
        <f t="shared" si="15"/>
        <v>17h</v>
      </c>
    </row>
    <row r="494" spans="1:8" ht="30" x14ac:dyDescent="0.25">
      <c r="A494" s="10" t="s">
        <v>387</v>
      </c>
      <c r="B494" s="194">
        <v>0.87430555555555556</v>
      </c>
      <c r="C494" s="116">
        <v>1</v>
      </c>
      <c r="D494" s="116"/>
      <c r="E494" s="116">
        <v>0</v>
      </c>
      <c r="F494" s="116" t="s">
        <v>3364</v>
      </c>
      <c r="G494" s="162" t="str">
        <f t="shared" si="14"/>
        <v>Montagem</v>
      </c>
      <c r="H494" s="161" t="str">
        <f t="shared" si="15"/>
        <v>20h</v>
      </c>
    </row>
    <row r="495" spans="1:8" ht="30" x14ac:dyDescent="0.25">
      <c r="A495" s="10" t="s">
        <v>387</v>
      </c>
      <c r="B495" s="194">
        <v>0.93263888888888891</v>
      </c>
      <c r="C495" s="116">
        <v>0</v>
      </c>
      <c r="D495" s="116"/>
      <c r="E495" s="116">
        <v>0</v>
      </c>
      <c r="F495" s="116" t="s">
        <v>3362</v>
      </c>
      <c r="G495" s="162" t="str">
        <f t="shared" si="14"/>
        <v>Montagem</v>
      </c>
      <c r="H495" s="161" t="str">
        <f t="shared" si="15"/>
        <v>22h</v>
      </c>
    </row>
    <row r="496" spans="1:8" ht="30" x14ac:dyDescent="0.25">
      <c r="A496" s="10" t="s">
        <v>387</v>
      </c>
      <c r="B496" s="194">
        <v>0.99930555555555556</v>
      </c>
      <c r="C496" s="116">
        <v>1</v>
      </c>
      <c r="D496" s="116"/>
      <c r="E496" s="116">
        <v>0</v>
      </c>
      <c r="F496" s="116" t="s">
        <v>3365</v>
      </c>
      <c r="G496" s="162" t="str">
        <f t="shared" si="14"/>
        <v>Montagem</v>
      </c>
      <c r="H496" s="161" t="str">
        <f t="shared" si="15"/>
        <v>23h</v>
      </c>
    </row>
    <row r="497" spans="1:8" ht="30" x14ac:dyDescent="0.25">
      <c r="A497" s="10" t="s">
        <v>390</v>
      </c>
      <c r="B497" s="194">
        <v>0.28055555555555556</v>
      </c>
      <c r="C497" s="116">
        <v>1</v>
      </c>
      <c r="D497" s="116"/>
      <c r="E497" s="116">
        <v>0</v>
      </c>
      <c r="F497" s="116" t="s">
        <v>3372</v>
      </c>
      <c r="G497" s="162" t="str">
        <f t="shared" si="14"/>
        <v>Montagem</v>
      </c>
      <c r="H497" s="161" t="str">
        <f t="shared" si="15"/>
        <v>6h</v>
      </c>
    </row>
    <row r="498" spans="1:8" ht="30" x14ac:dyDescent="0.25">
      <c r="A498" s="10" t="s">
        <v>390</v>
      </c>
      <c r="B498" s="194">
        <v>0.37361111111111112</v>
      </c>
      <c r="C498" s="116">
        <v>0</v>
      </c>
      <c r="D498" s="116"/>
      <c r="E498" s="116">
        <v>1</v>
      </c>
      <c r="F498" s="116" t="s">
        <v>3374</v>
      </c>
      <c r="G498" s="162" t="str">
        <f t="shared" si="14"/>
        <v>Montagem</v>
      </c>
      <c r="H498" s="161" t="str">
        <f t="shared" si="15"/>
        <v>8h</v>
      </c>
    </row>
    <row r="499" spans="1:8" ht="30" x14ac:dyDescent="0.25">
      <c r="A499" s="10" t="s">
        <v>390</v>
      </c>
      <c r="B499" s="194">
        <v>0.45624999999999999</v>
      </c>
      <c r="C499" s="116">
        <v>1</v>
      </c>
      <c r="D499" s="116"/>
      <c r="E499" s="116">
        <v>0</v>
      </c>
      <c r="F499" s="116" t="s">
        <v>3371</v>
      </c>
      <c r="G499" s="162" t="str">
        <f t="shared" si="14"/>
        <v>Montagem</v>
      </c>
      <c r="H499" s="161" t="str">
        <f t="shared" si="15"/>
        <v>10h</v>
      </c>
    </row>
    <row r="500" spans="1:8" ht="30" x14ac:dyDescent="0.25">
      <c r="A500" s="10" t="s">
        <v>390</v>
      </c>
      <c r="B500" s="194">
        <v>0.65555555555555556</v>
      </c>
      <c r="C500" s="116">
        <v>1</v>
      </c>
      <c r="D500" s="116"/>
      <c r="E500" s="116">
        <v>0</v>
      </c>
      <c r="F500" s="116" t="s">
        <v>3358</v>
      </c>
      <c r="G500" s="162" t="str">
        <f t="shared" si="14"/>
        <v>Montagem</v>
      </c>
      <c r="H500" s="161" t="str">
        <f t="shared" si="15"/>
        <v>15h</v>
      </c>
    </row>
    <row r="501" spans="1:8" ht="30" x14ac:dyDescent="0.25">
      <c r="A501" s="10" t="s">
        <v>390</v>
      </c>
      <c r="B501" s="194">
        <v>0.73819444444444449</v>
      </c>
      <c r="C501" s="116">
        <v>1</v>
      </c>
      <c r="D501" s="116"/>
      <c r="E501" s="116">
        <v>0</v>
      </c>
      <c r="F501" s="116" t="s">
        <v>3361</v>
      </c>
      <c r="G501" s="162" t="str">
        <f t="shared" si="14"/>
        <v>Montagem</v>
      </c>
      <c r="H501" s="161" t="str">
        <f t="shared" si="15"/>
        <v>17h</v>
      </c>
    </row>
    <row r="502" spans="1:8" ht="30" x14ac:dyDescent="0.25">
      <c r="A502" s="10" t="s">
        <v>390</v>
      </c>
      <c r="B502" s="194">
        <v>0.96180555555555558</v>
      </c>
      <c r="C502" s="116">
        <v>1</v>
      </c>
      <c r="D502" s="116"/>
      <c r="E502" s="116">
        <v>1</v>
      </c>
      <c r="F502" s="116" t="s">
        <v>3365</v>
      </c>
      <c r="G502" s="162" t="str">
        <f t="shared" si="14"/>
        <v>Montagem</v>
      </c>
      <c r="H502" s="161" t="str">
        <f t="shared" si="15"/>
        <v>23h</v>
      </c>
    </row>
    <row r="503" spans="1:8" ht="30" x14ac:dyDescent="0.25">
      <c r="A503" s="10" t="s">
        <v>393</v>
      </c>
      <c r="B503" s="194">
        <v>0.31388888888888888</v>
      </c>
      <c r="C503" s="116">
        <v>1</v>
      </c>
      <c r="D503" s="116">
        <v>3</v>
      </c>
      <c r="E503" s="116">
        <v>0</v>
      </c>
      <c r="F503" s="116" t="s">
        <v>3373</v>
      </c>
      <c r="G503" s="162" t="str">
        <f t="shared" si="14"/>
        <v>Montagem</v>
      </c>
      <c r="H503" s="161" t="str">
        <f t="shared" si="15"/>
        <v>7h</v>
      </c>
    </row>
    <row r="504" spans="1:8" ht="30" x14ac:dyDescent="0.25">
      <c r="A504" s="10" t="s">
        <v>393</v>
      </c>
      <c r="B504" s="194">
        <v>0.33750000000000002</v>
      </c>
      <c r="C504" s="116">
        <v>1</v>
      </c>
      <c r="D504" s="116">
        <v>3</v>
      </c>
      <c r="E504" s="116">
        <v>0</v>
      </c>
      <c r="F504" s="116" t="s">
        <v>3374</v>
      </c>
      <c r="G504" s="162" t="str">
        <f t="shared" si="14"/>
        <v>Montagem</v>
      </c>
      <c r="H504" s="161" t="str">
        <f t="shared" si="15"/>
        <v>8h</v>
      </c>
    </row>
    <row r="505" spans="1:8" ht="30" x14ac:dyDescent="0.25">
      <c r="A505" s="10" t="s">
        <v>393</v>
      </c>
      <c r="B505" s="194">
        <v>0.52361111111111114</v>
      </c>
      <c r="C505" s="116">
        <v>1</v>
      </c>
      <c r="D505" s="116">
        <v>3</v>
      </c>
      <c r="E505" s="116">
        <v>0</v>
      </c>
      <c r="F505" s="116" t="s">
        <v>3367</v>
      </c>
      <c r="G505" s="162" t="str">
        <f t="shared" si="14"/>
        <v>Montagem</v>
      </c>
      <c r="H505" s="161" t="str">
        <f t="shared" si="15"/>
        <v>12h</v>
      </c>
    </row>
    <row r="506" spans="1:8" ht="30" x14ac:dyDescent="0.25">
      <c r="A506" s="10" t="s">
        <v>393</v>
      </c>
      <c r="B506" s="194">
        <v>0.61250000000000004</v>
      </c>
      <c r="C506" s="116">
        <v>1</v>
      </c>
      <c r="D506" s="116">
        <v>3</v>
      </c>
      <c r="E506" s="116">
        <v>0</v>
      </c>
      <c r="F506" s="116" t="s">
        <v>3369</v>
      </c>
      <c r="G506" s="162" t="str">
        <f t="shared" si="14"/>
        <v>Montagem</v>
      </c>
      <c r="H506" s="161" t="str">
        <f t="shared" si="15"/>
        <v>14h</v>
      </c>
    </row>
    <row r="507" spans="1:8" ht="30" x14ac:dyDescent="0.25">
      <c r="A507" s="10" t="s">
        <v>393</v>
      </c>
      <c r="B507" s="194">
        <v>0.65902777777777777</v>
      </c>
      <c r="C507" s="116">
        <v>1</v>
      </c>
      <c r="D507" s="116">
        <v>3</v>
      </c>
      <c r="E507" s="116">
        <v>1</v>
      </c>
      <c r="F507" s="116" t="s">
        <v>3358</v>
      </c>
      <c r="G507" s="162" t="str">
        <f t="shared" si="14"/>
        <v>Montagem</v>
      </c>
      <c r="H507" s="161" t="str">
        <f t="shared" si="15"/>
        <v>15h</v>
      </c>
    </row>
    <row r="508" spans="1:8" ht="30" x14ac:dyDescent="0.25">
      <c r="A508" s="10" t="s">
        <v>393</v>
      </c>
      <c r="B508" s="194">
        <v>0.67222222222222228</v>
      </c>
      <c r="C508" s="116">
        <v>1</v>
      </c>
      <c r="D508" s="116">
        <v>3</v>
      </c>
      <c r="E508" s="116">
        <v>0</v>
      </c>
      <c r="F508" s="116" t="s">
        <v>3363</v>
      </c>
      <c r="G508" s="162" t="str">
        <f t="shared" si="14"/>
        <v>Montagem</v>
      </c>
      <c r="H508" s="161" t="str">
        <f t="shared" si="15"/>
        <v>16h</v>
      </c>
    </row>
    <row r="509" spans="1:8" ht="30" x14ac:dyDescent="0.25">
      <c r="A509" s="10" t="s">
        <v>393</v>
      </c>
      <c r="B509" s="194">
        <v>0.71666666666666667</v>
      </c>
      <c r="C509" s="116">
        <v>1</v>
      </c>
      <c r="D509" s="116">
        <v>3</v>
      </c>
      <c r="E509" s="116">
        <v>0</v>
      </c>
      <c r="F509" s="116" t="s">
        <v>3361</v>
      </c>
      <c r="G509" s="162" t="str">
        <f t="shared" si="14"/>
        <v>Montagem</v>
      </c>
      <c r="H509" s="161" t="str">
        <f t="shared" si="15"/>
        <v>17h</v>
      </c>
    </row>
    <row r="510" spans="1:8" ht="30" x14ac:dyDescent="0.25">
      <c r="A510" s="10" t="s">
        <v>393</v>
      </c>
      <c r="B510" s="194">
        <v>0.72013888888888888</v>
      </c>
      <c r="C510" s="116">
        <v>1</v>
      </c>
      <c r="D510" s="116">
        <v>3</v>
      </c>
      <c r="E510" s="116">
        <v>0</v>
      </c>
      <c r="F510" s="116" t="s">
        <v>3361</v>
      </c>
      <c r="G510" s="162" t="str">
        <f t="shared" si="14"/>
        <v>Montagem</v>
      </c>
      <c r="H510" s="161" t="str">
        <f t="shared" si="15"/>
        <v>17h</v>
      </c>
    </row>
    <row r="511" spans="1:8" ht="30" x14ac:dyDescent="0.25">
      <c r="A511" s="10" t="s">
        <v>393</v>
      </c>
      <c r="B511" s="194">
        <v>0.80277777777777781</v>
      </c>
      <c r="C511" s="116">
        <v>1</v>
      </c>
      <c r="D511" s="116">
        <v>2</v>
      </c>
      <c r="E511" s="116">
        <v>1</v>
      </c>
      <c r="F511" s="116" t="s">
        <v>3366</v>
      </c>
      <c r="G511" s="162" t="str">
        <f t="shared" si="14"/>
        <v>Montagem</v>
      </c>
      <c r="H511" s="161" t="str">
        <f t="shared" si="15"/>
        <v>19h</v>
      </c>
    </row>
    <row r="512" spans="1:8" ht="30" x14ac:dyDescent="0.25">
      <c r="A512" s="10" t="s">
        <v>396</v>
      </c>
      <c r="B512" s="194">
        <v>0.29166666666666669</v>
      </c>
      <c r="C512" s="116">
        <v>1</v>
      </c>
      <c r="D512" s="116">
        <v>3</v>
      </c>
      <c r="E512" s="116">
        <v>0</v>
      </c>
      <c r="F512" s="116" t="s">
        <v>3377</v>
      </c>
      <c r="G512" s="162" t="str">
        <f t="shared" si="14"/>
        <v>Montagem</v>
      </c>
      <c r="H512" s="161" t="str">
        <f t="shared" si="15"/>
        <v>7h</v>
      </c>
    </row>
    <row r="513" spans="1:8" ht="30" x14ac:dyDescent="0.25">
      <c r="A513" s="10" t="s">
        <v>396</v>
      </c>
      <c r="B513" s="194">
        <v>0.32777777777777778</v>
      </c>
      <c r="C513" s="116">
        <v>1</v>
      </c>
      <c r="D513" s="116">
        <v>3</v>
      </c>
      <c r="E513" s="116">
        <v>0</v>
      </c>
      <c r="F513" s="116" t="s">
        <v>3373</v>
      </c>
      <c r="G513" s="162" t="str">
        <f t="shared" si="14"/>
        <v>Montagem</v>
      </c>
      <c r="H513" s="161" t="str">
        <f t="shared" si="15"/>
        <v>7h</v>
      </c>
    </row>
    <row r="514" spans="1:8" ht="30" x14ac:dyDescent="0.25">
      <c r="A514" s="10" t="s">
        <v>396</v>
      </c>
      <c r="B514" s="194">
        <v>0.33055555555555555</v>
      </c>
      <c r="C514" s="116">
        <v>1</v>
      </c>
      <c r="D514" s="116">
        <v>3</v>
      </c>
      <c r="E514" s="116">
        <v>0</v>
      </c>
      <c r="F514" s="116" t="s">
        <v>3373</v>
      </c>
      <c r="G514" s="162" t="str">
        <f t="shared" si="14"/>
        <v>Montagem</v>
      </c>
      <c r="H514" s="161" t="str">
        <f t="shared" si="15"/>
        <v>7h</v>
      </c>
    </row>
    <row r="515" spans="1:8" ht="30" x14ac:dyDescent="0.25">
      <c r="A515" s="10" t="s">
        <v>396</v>
      </c>
      <c r="B515" s="194">
        <v>0.37847222222222221</v>
      </c>
      <c r="C515" s="116">
        <v>1</v>
      </c>
      <c r="D515" s="116">
        <v>3</v>
      </c>
      <c r="E515" s="116">
        <v>0</v>
      </c>
      <c r="F515" s="116" t="s">
        <v>3370</v>
      </c>
      <c r="G515" s="162" t="str">
        <f t="shared" ref="G515:G578" si="16">IF(LEFT(A515,3)="S7P","Pintura",IF(LEFT(A515,3)="S7M","Montagem",
IF(LEFT(A515,3)="S7S","Serigrafia"," ")))</f>
        <v>Montagem</v>
      </c>
      <c r="H515" s="161" t="str">
        <f t="shared" ref="H515:H578" si="17">VALUE(LEFT(F515,2))&amp;"h"</f>
        <v>9h</v>
      </c>
    </row>
    <row r="516" spans="1:8" ht="30" x14ac:dyDescent="0.25">
      <c r="A516" s="10" t="s">
        <v>396</v>
      </c>
      <c r="B516" s="194">
        <v>0.38611111111111113</v>
      </c>
      <c r="C516" s="116">
        <v>1</v>
      </c>
      <c r="D516" s="116">
        <v>3</v>
      </c>
      <c r="E516" s="116">
        <v>0</v>
      </c>
      <c r="F516" s="116" t="s">
        <v>3370</v>
      </c>
      <c r="G516" s="162" t="str">
        <f t="shared" si="16"/>
        <v>Montagem</v>
      </c>
      <c r="H516" s="161" t="str">
        <f t="shared" si="17"/>
        <v>9h</v>
      </c>
    </row>
    <row r="517" spans="1:8" ht="30" x14ac:dyDescent="0.25">
      <c r="A517" s="10" t="s">
        <v>396</v>
      </c>
      <c r="B517" s="194">
        <v>0.42083333333333334</v>
      </c>
      <c r="C517" s="116">
        <v>1</v>
      </c>
      <c r="D517" s="116">
        <v>3</v>
      </c>
      <c r="E517" s="116">
        <v>0</v>
      </c>
      <c r="F517" s="116" t="s">
        <v>3371</v>
      </c>
      <c r="G517" s="162" t="str">
        <f t="shared" si="16"/>
        <v>Montagem</v>
      </c>
      <c r="H517" s="161" t="str">
        <f t="shared" si="17"/>
        <v>10h</v>
      </c>
    </row>
    <row r="518" spans="1:8" ht="30" x14ac:dyDescent="0.25">
      <c r="A518" s="10" t="s">
        <v>396</v>
      </c>
      <c r="B518" s="194">
        <v>0.43819444444444444</v>
      </c>
      <c r="C518" s="116">
        <v>1</v>
      </c>
      <c r="D518" s="116">
        <v>3</v>
      </c>
      <c r="E518" s="116">
        <v>0</v>
      </c>
      <c r="F518" s="116" t="s">
        <v>3371</v>
      </c>
      <c r="G518" s="162" t="str">
        <f t="shared" si="16"/>
        <v>Montagem</v>
      </c>
      <c r="H518" s="161" t="str">
        <f t="shared" si="17"/>
        <v>10h</v>
      </c>
    </row>
    <row r="519" spans="1:8" ht="30" x14ac:dyDescent="0.25">
      <c r="A519" s="10" t="s">
        <v>396</v>
      </c>
      <c r="B519" s="194">
        <v>0.44374999999999998</v>
      </c>
      <c r="C519" s="116">
        <v>1</v>
      </c>
      <c r="D519" s="116">
        <v>4</v>
      </c>
      <c r="E519" s="116">
        <v>1</v>
      </c>
      <c r="F519" s="116" t="s">
        <v>3371</v>
      </c>
      <c r="G519" s="162" t="str">
        <f t="shared" si="16"/>
        <v>Montagem</v>
      </c>
      <c r="H519" s="161" t="str">
        <f t="shared" si="17"/>
        <v>10h</v>
      </c>
    </row>
    <row r="520" spans="1:8" ht="30" x14ac:dyDescent="0.25">
      <c r="A520" s="10" t="s">
        <v>396</v>
      </c>
      <c r="B520" s="194">
        <v>0.50486111111111109</v>
      </c>
      <c r="C520" s="116">
        <v>1</v>
      </c>
      <c r="D520" s="116">
        <v>4</v>
      </c>
      <c r="E520" s="116">
        <v>0</v>
      </c>
      <c r="F520" s="116" t="s">
        <v>3367</v>
      </c>
      <c r="G520" s="162" t="str">
        <f t="shared" si="16"/>
        <v>Montagem</v>
      </c>
      <c r="H520" s="161" t="str">
        <f t="shared" si="17"/>
        <v>12h</v>
      </c>
    </row>
    <row r="521" spans="1:8" ht="30" x14ac:dyDescent="0.25">
      <c r="A521" s="10" t="s">
        <v>396</v>
      </c>
      <c r="B521" s="194">
        <v>0.54861111111111116</v>
      </c>
      <c r="C521" s="116">
        <v>1</v>
      </c>
      <c r="D521" s="116">
        <v>4</v>
      </c>
      <c r="E521" s="116">
        <v>0</v>
      </c>
      <c r="F521" s="116" t="s">
        <v>3368</v>
      </c>
      <c r="G521" s="162" t="str">
        <f t="shared" si="16"/>
        <v>Montagem</v>
      </c>
      <c r="H521" s="161" t="str">
        <f t="shared" si="17"/>
        <v>13h</v>
      </c>
    </row>
    <row r="522" spans="1:8" ht="30" x14ac:dyDescent="0.25">
      <c r="A522" s="10" t="s">
        <v>396</v>
      </c>
      <c r="B522" s="194">
        <v>0.59930555555555554</v>
      </c>
      <c r="C522" s="116">
        <v>1</v>
      </c>
      <c r="D522" s="116">
        <v>4</v>
      </c>
      <c r="E522" s="116">
        <v>0</v>
      </c>
      <c r="F522" s="116" t="s">
        <v>3369</v>
      </c>
      <c r="G522" s="162" t="str">
        <f t="shared" si="16"/>
        <v>Montagem</v>
      </c>
      <c r="H522" s="161" t="str">
        <f t="shared" si="17"/>
        <v>14h</v>
      </c>
    </row>
    <row r="523" spans="1:8" ht="30" x14ac:dyDescent="0.25">
      <c r="A523" s="10" t="s">
        <v>396</v>
      </c>
      <c r="B523" s="194">
        <v>0.6479166666666667</v>
      </c>
      <c r="C523" s="116">
        <v>1</v>
      </c>
      <c r="D523" s="116">
        <v>4</v>
      </c>
      <c r="E523" s="116">
        <v>0</v>
      </c>
      <c r="F523" s="116" t="s">
        <v>3358</v>
      </c>
      <c r="G523" s="162" t="str">
        <f t="shared" si="16"/>
        <v>Montagem</v>
      </c>
      <c r="H523" s="161" t="str">
        <f t="shared" si="17"/>
        <v>15h</v>
      </c>
    </row>
    <row r="524" spans="1:8" ht="30" x14ac:dyDescent="0.25">
      <c r="A524" s="10" t="s">
        <v>396</v>
      </c>
      <c r="B524" s="194">
        <v>0.68680555555555556</v>
      </c>
      <c r="C524" s="116">
        <v>1</v>
      </c>
      <c r="D524" s="116">
        <v>4</v>
      </c>
      <c r="E524" s="116">
        <v>0</v>
      </c>
      <c r="F524" s="116" t="s">
        <v>3363</v>
      </c>
      <c r="G524" s="162" t="str">
        <f t="shared" si="16"/>
        <v>Montagem</v>
      </c>
      <c r="H524" s="161" t="str">
        <f t="shared" si="17"/>
        <v>16h</v>
      </c>
    </row>
    <row r="525" spans="1:8" ht="30" x14ac:dyDescent="0.25">
      <c r="A525" s="10" t="s">
        <v>396</v>
      </c>
      <c r="B525" s="194">
        <v>0.69305555555555554</v>
      </c>
      <c r="C525" s="116">
        <v>1</v>
      </c>
      <c r="D525" s="116">
        <v>4</v>
      </c>
      <c r="E525" s="116">
        <v>0</v>
      </c>
      <c r="F525" s="116" t="s">
        <v>3363</v>
      </c>
      <c r="G525" s="162" t="str">
        <f t="shared" si="16"/>
        <v>Montagem</v>
      </c>
      <c r="H525" s="161" t="str">
        <f t="shared" si="17"/>
        <v>16h</v>
      </c>
    </row>
    <row r="526" spans="1:8" ht="30" x14ac:dyDescent="0.25">
      <c r="A526" s="10" t="s">
        <v>396</v>
      </c>
      <c r="B526" s="194">
        <v>0.69930555555555551</v>
      </c>
      <c r="C526" s="116">
        <v>0</v>
      </c>
      <c r="D526" s="116">
        <v>3</v>
      </c>
      <c r="E526" s="116">
        <v>1</v>
      </c>
      <c r="F526" s="116" t="s">
        <v>3363</v>
      </c>
      <c r="G526" s="162" t="str">
        <f t="shared" si="16"/>
        <v>Montagem</v>
      </c>
      <c r="H526" s="161" t="str">
        <f t="shared" si="17"/>
        <v>16h</v>
      </c>
    </row>
    <row r="527" spans="1:8" ht="30" x14ac:dyDescent="0.25">
      <c r="A527" s="10" t="s">
        <v>396</v>
      </c>
      <c r="B527" s="194">
        <v>0.70972222222222225</v>
      </c>
      <c r="C527" s="116">
        <v>1</v>
      </c>
      <c r="D527" s="116">
        <v>3</v>
      </c>
      <c r="E527" s="116">
        <v>0</v>
      </c>
      <c r="F527" s="116" t="s">
        <v>3361</v>
      </c>
      <c r="G527" s="162" t="str">
        <f t="shared" si="16"/>
        <v>Montagem</v>
      </c>
      <c r="H527" s="161" t="str">
        <f t="shared" si="17"/>
        <v>17h</v>
      </c>
    </row>
    <row r="528" spans="1:8" ht="30" x14ac:dyDescent="0.25">
      <c r="A528" s="10" t="s">
        <v>396</v>
      </c>
      <c r="B528" s="194">
        <v>0.73333333333333328</v>
      </c>
      <c r="C528" s="116">
        <v>1</v>
      </c>
      <c r="D528" s="116">
        <v>3</v>
      </c>
      <c r="E528" s="116">
        <v>0</v>
      </c>
      <c r="F528" s="116" t="s">
        <v>3361</v>
      </c>
      <c r="G528" s="162" t="str">
        <f t="shared" si="16"/>
        <v>Montagem</v>
      </c>
      <c r="H528" s="161" t="str">
        <f t="shared" si="17"/>
        <v>17h</v>
      </c>
    </row>
    <row r="529" spans="1:8" ht="30" x14ac:dyDescent="0.25">
      <c r="A529" s="10" t="s">
        <v>396</v>
      </c>
      <c r="B529" s="194">
        <v>0.7583333333333333</v>
      </c>
      <c r="C529" s="116">
        <v>1</v>
      </c>
      <c r="D529" s="116">
        <v>3</v>
      </c>
      <c r="E529" s="116">
        <v>0</v>
      </c>
      <c r="F529" s="116" t="s">
        <v>3359</v>
      </c>
      <c r="G529" s="162" t="str">
        <f t="shared" si="16"/>
        <v>Montagem</v>
      </c>
      <c r="H529" s="161" t="str">
        <f t="shared" si="17"/>
        <v>18h</v>
      </c>
    </row>
    <row r="530" spans="1:8" ht="30" x14ac:dyDescent="0.25">
      <c r="A530" s="10" t="s">
        <v>396</v>
      </c>
      <c r="B530" s="194">
        <v>0.79097222222222219</v>
      </c>
      <c r="C530" s="116">
        <v>1</v>
      </c>
      <c r="D530" s="116">
        <v>3</v>
      </c>
      <c r="E530" s="116">
        <v>0</v>
      </c>
      <c r="F530" s="116" t="s">
        <v>3359</v>
      </c>
      <c r="G530" s="162" t="str">
        <f t="shared" si="16"/>
        <v>Montagem</v>
      </c>
      <c r="H530" s="161" t="str">
        <f t="shared" si="17"/>
        <v>18h</v>
      </c>
    </row>
    <row r="531" spans="1:8" ht="30" x14ac:dyDescent="0.25">
      <c r="A531" s="10" t="s">
        <v>396</v>
      </c>
      <c r="B531" s="194">
        <v>0.80972222222222223</v>
      </c>
      <c r="C531" s="116">
        <v>1</v>
      </c>
      <c r="D531" s="116">
        <v>3</v>
      </c>
      <c r="E531" s="116">
        <v>0</v>
      </c>
      <c r="F531" s="116" t="s">
        <v>3366</v>
      </c>
      <c r="G531" s="162" t="str">
        <f t="shared" si="16"/>
        <v>Montagem</v>
      </c>
      <c r="H531" s="161" t="str">
        <f t="shared" si="17"/>
        <v>19h</v>
      </c>
    </row>
    <row r="532" spans="1:8" ht="30" x14ac:dyDescent="0.25">
      <c r="A532" s="10" t="s">
        <v>396</v>
      </c>
      <c r="B532" s="194">
        <v>0.85624999999999996</v>
      </c>
      <c r="C532" s="116">
        <v>1</v>
      </c>
      <c r="D532" s="116">
        <v>4</v>
      </c>
      <c r="E532" s="116">
        <v>1</v>
      </c>
      <c r="F532" s="116" t="s">
        <v>3364</v>
      </c>
      <c r="G532" s="162" t="str">
        <f t="shared" si="16"/>
        <v>Montagem</v>
      </c>
      <c r="H532" s="161" t="str">
        <f t="shared" si="17"/>
        <v>20h</v>
      </c>
    </row>
    <row r="533" spans="1:8" ht="30" x14ac:dyDescent="0.25">
      <c r="A533" s="10" t="s">
        <v>396</v>
      </c>
      <c r="B533" s="194">
        <v>0.85902777777777772</v>
      </c>
      <c r="C533" s="116">
        <v>1</v>
      </c>
      <c r="D533" s="116">
        <v>4</v>
      </c>
      <c r="E533" s="116">
        <v>0</v>
      </c>
      <c r="F533" s="116" t="s">
        <v>3364</v>
      </c>
      <c r="G533" s="162" t="str">
        <f t="shared" si="16"/>
        <v>Montagem</v>
      </c>
      <c r="H533" s="161" t="str">
        <f t="shared" si="17"/>
        <v>20h</v>
      </c>
    </row>
    <row r="534" spans="1:8" ht="30" x14ac:dyDescent="0.25">
      <c r="A534" s="10" t="s">
        <v>396</v>
      </c>
      <c r="B534" s="194">
        <v>0.87222222222222223</v>
      </c>
      <c r="C534" s="116">
        <v>1</v>
      </c>
      <c r="D534" s="116">
        <v>4</v>
      </c>
      <c r="E534" s="116">
        <v>0</v>
      </c>
      <c r="F534" s="116" t="s">
        <v>3364</v>
      </c>
      <c r="G534" s="162" t="str">
        <f t="shared" si="16"/>
        <v>Montagem</v>
      </c>
      <c r="H534" s="161" t="str">
        <f t="shared" si="17"/>
        <v>20h</v>
      </c>
    </row>
    <row r="535" spans="1:8" ht="30" x14ac:dyDescent="0.25">
      <c r="A535" s="10" t="s">
        <v>396</v>
      </c>
      <c r="B535" s="194">
        <v>0.89930555555555558</v>
      </c>
      <c r="C535" s="116">
        <v>1</v>
      </c>
      <c r="D535" s="116">
        <v>4</v>
      </c>
      <c r="E535" s="116">
        <v>0</v>
      </c>
      <c r="F535" s="116" t="s">
        <v>3360</v>
      </c>
      <c r="G535" s="162" t="str">
        <f t="shared" si="16"/>
        <v>Montagem</v>
      </c>
      <c r="H535" s="161" t="str">
        <f t="shared" si="17"/>
        <v>21h</v>
      </c>
    </row>
    <row r="536" spans="1:8" ht="30" x14ac:dyDescent="0.25">
      <c r="A536" s="10" t="s">
        <v>396</v>
      </c>
      <c r="B536" s="194">
        <v>0.92361111111111116</v>
      </c>
      <c r="C536" s="116">
        <v>1</v>
      </c>
      <c r="D536" s="116">
        <v>4</v>
      </c>
      <c r="E536" s="116">
        <v>0</v>
      </c>
      <c r="F536" s="116" t="s">
        <v>3362</v>
      </c>
      <c r="G536" s="162" t="str">
        <f t="shared" si="16"/>
        <v>Montagem</v>
      </c>
      <c r="H536" s="161" t="str">
        <f t="shared" si="17"/>
        <v>22h</v>
      </c>
    </row>
    <row r="537" spans="1:8" ht="30" x14ac:dyDescent="0.25">
      <c r="A537" s="10" t="s">
        <v>396</v>
      </c>
      <c r="B537" s="194">
        <v>0.94791666666666663</v>
      </c>
      <c r="C537" s="116">
        <v>1</v>
      </c>
      <c r="D537" s="116">
        <v>4</v>
      </c>
      <c r="E537" s="116">
        <v>0</v>
      </c>
      <c r="F537" s="116" t="s">
        <v>3362</v>
      </c>
      <c r="G537" s="162" t="str">
        <f t="shared" si="16"/>
        <v>Montagem</v>
      </c>
      <c r="H537" s="161" t="str">
        <f t="shared" si="17"/>
        <v>22h</v>
      </c>
    </row>
    <row r="538" spans="1:8" ht="30" x14ac:dyDescent="0.25">
      <c r="A538" s="10" t="s">
        <v>396</v>
      </c>
      <c r="B538" s="194">
        <v>0.97083333333333333</v>
      </c>
      <c r="C538" s="116">
        <v>1</v>
      </c>
      <c r="D538" s="116">
        <v>4</v>
      </c>
      <c r="E538" s="116">
        <v>0</v>
      </c>
      <c r="F538" s="116" t="s">
        <v>3365</v>
      </c>
      <c r="G538" s="162" t="str">
        <f t="shared" si="16"/>
        <v>Montagem</v>
      </c>
      <c r="H538" s="161" t="str">
        <f t="shared" si="17"/>
        <v>23h</v>
      </c>
    </row>
    <row r="539" spans="1:8" ht="30" x14ac:dyDescent="0.25">
      <c r="A539" s="10" t="s">
        <v>399</v>
      </c>
      <c r="B539" s="194">
        <v>0.28611111111111109</v>
      </c>
      <c r="C539" s="116">
        <v>1</v>
      </c>
      <c r="D539" s="116"/>
      <c r="E539" s="116">
        <v>0</v>
      </c>
      <c r="F539" s="116" t="s">
        <v>3372</v>
      </c>
      <c r="G539" s="162" t="str">
        <f t="shared" si="16"/>
        <v>Montagem</v>
      </c>
      <c r="H539" s="161" t="str">
        <f t="shared" si="17"/>
        <v>6h</v>
      </c>
    </row>
    <row r="540" spans="1:8" ht="30" x14ac:dyDescent="0.25">
      <c r="A540" s="10" t="s">
        <v>399</v>
      </c>
      <c r="B540" s="194">
        <v>0.29444444444444445</v>
      </c>
      <c r="C540" s="116">
        <v>1</v>
      </c>
      <c r="D540" s="116"/>
      <c r="E540" s="116">
        <v>0</v>
      </c>
      <c r="F540" s="116" t="s">
        <v>3373</v>
      </c>
      <c r="G540" s="162" t="str">
        <f t="shared" si="16"/>
        <v>Montagem</v>
      </c>
      <c r="H540" s="161" t="str">
        <f t="shared" si="17"/>
        <v>7h</v>
      </c>
    </row>
    <row r="541" spans="1:8" ht="30" x14ac:dyDescent="0.25">
      <c r="A541" s="10" t="s">
        <v>399</v>
      </c>
      <c r="B541" s="194">
        <v>0.33750000000000002</v>
      </c>
      <c r="C541" s="116">
        <v>1</v>
      </c>
      <c r="D541" s="116"/>
      <c r="E541" s="116">
        <v>0</v>
      </c>
      <c r="F541" s="116" t="s">
        <v>3374</v>
      </c>
      <c r="G541" s="162" t="str">
        <f t="shared" si="16"/>
        <v>Montagem</v>
      </c>
      <c r="H541" s="161" t="str">
        <f t="shared" si="17"/>
        <v>8h</v>
      </c>
    </row>
    <row r="542" spans="1:8" ht="30" x14ac:dyDescent="0.25">
      <c r="A542" s="10" t="s">
        <v>399</v>
      </c>
      <c r="B542" s="194">
        <v>0.44305555555555554</v>
      </c>
      <c r="C542" s="116">
        <v>1</v>
      </c>
      <c r="D542" s="116"/>
      <c r="E542" s="116">
        <v>0</v>
      </c>
      <c r="F542" s="116" t="s">
        <v>3371</v>
      </c>
      <c r="G542" s="162" t="str">
        <f t="shared" si="16"/>
        <v>Montagem</v>
      </c>
      <c r="H542" s="161" t="str">
        <f t="shared" si="17"/>
        <v>10h</v>
      </c>
    </row>
    <row r="543" spans="1:8" ht="30" x14ac:dyDescent="0.25">
      <c r="A543" s="10" t="s">
        <v>399</v>
      </c>
      <c r="B543" s="194">
        <v>0.57361111111111107</v>
      </c>
      <c r="C543" s="116">
        <v>1</v>
      </c>
      <c r="D543" s="116"/>
      <c r="E543" s="116">
        <v>0</v>
      </c>
      <c r="F543" s="116" t="s">
        <v>3368</v>
      </c>
      <c r="G543" s="162" t="str">
        <f t="shared" si="16"/>
        <v>Montagem</v>
      </c>
      <c r="H543" s="161" t="str">
        <f t="shared" si="17"/>
        <v>13h</v>
      </c>
    </row>
    <row r="544" spans="1:8" ht="30" x14ac:dyDescent="0.25">
      <c r="A544" s="10" t="s">
        <v>399</v>
      </c>
      <c r="B544" s="194">
        <v>0.60069444444444442</v>
      </c>
      <c r="C544" s="116">
        <v>1</v>
      </c>
      <c r="D544" s="116"/>
      <c r="E544" s="116">
        <v>0</v>
      </c>
      <c r="F544" s="116" t="s">
        <v>3369</v>
      </c>
      <c r="G544" s="162" t="str">
        <f t="shared" si="16"/>
        <v>Montagem</v>
      </c>
      <c r="H544" s="161" t="str">
        <f t="shared" si="17"/>
        <v>14h</v>
      </c>
    </row>
    <row r="545" spans="1:8" ht="30" x14ac:dyDescent="0.25">
      <c r="A545" s="10" t="s">
        <v>399</v>
      </c>
      <c r="B545" s="194">
        <v>0.63055555555555554</v>
      </c>
      <c r="C545" s="116">
        <v>0</v>
      </c>
      <c r="D545" s="116"/>
      <c r="E545" s="116">
        <v>1</v>
      </c>
      <c r="F545" s="116" t="s">
        <v>3358</v>
      </c>
      <c r="G545" s="162" t="str">
        <f t="shared" si="16"/>
        <v>Montagem</v>
      </c>
      <c r="H545" s="161" t="str">
        <f t="shared" si="17"/>
        <v>15h</v>
      </c>
    </row>
    <row r="546" spans="1:8" ht="30" x14ac:dyDescent="0.25">
      <c r="A546" s="10" t="s">
        <v>399</v>
      </c>
      <c r="B546" s="194">
        <v>0.64513888888888893</v>
      </c>
      <c r="C546" s="116">
        <v>1</v>
      </c>
      <c r="D546" s="116"/>
      <c r="E546" s="116">
        <v>0</v>
      </c>
      <c r="F546" s="116" t="s">
        <v>3358</v>
      </c>
      <c r="G546" s="162" t="str">
        <f t="shared" si="16"/>
        <v>Montagem</v>
      </c>
      <c r="H546" s="161" t="str">
        <f t="shared" si="17"/>
        <v>15h</v>
      </c>
    </row>
    <row r="547" spans="1:8" ht="30" x14ac:dyDescent="0.25">
      <c r="A547" s="10" t="s">
        <v>399</v>
      </c>
      <c r="B547" s="194">
        <v>0.68888888888888888</v>
      </c>
      <c r="C547" s="116">
        <v>1</v>
      </c>
      <c r="D547" s="116"/>
      <c r="E547" s="116">
        <v>0</v>
      </c>
      <c r="F547" s="116" t="s">
        <v>3363</v>
      </c>
      <c r="G547" s="162" t="str">
        <f t="shared" si="16"/>
        <v>Montagem</v>
      </c>
      <c r="H547" s="161" t="str">
        <f t="shared" si="17"/>
        <v>16h</v>
      </c>
    </row>
    <row r="548" spans="1:8" ht="30" x14ac:dyDescent="0.25">
      <c r="A548" s="10" t="s">
        <v>399</v>
      </c>
      <c r="B548" s="194">
        <v>0.7993055555555556</v>
      </c>
      <c r="C548" s="116">
        <v>1</v>
      </c>
      <c r="D548" s="116"/>
      <c r="E548" s="116">
        <v>0</v>
      </c>
      <c r="F548" s="116" t="s">
        <v>3366</v>
      </c>
      <c r="G548" s="162" t="str">
        <f t="shared" si="16"/>
        <v>Montagem</v>
      </c>
      <c r="H548" s="161" t="str">
        <f t="shared" si="17"/>
        <v>19h</v>
      </c>
    </row>
    <row r="549" spans="1:8" ht="30" x14ac:dyDescent="0.25">
      <c r="A549" s="10" t="s">
        <v>399</v>
      </c>
      <c r="B549" s="194">
        <v>0.96458333333333335</v>
      </c>
      <c r="C549" s="116">
        <v>1</v>
      </c>
      <c r="D549" s="116"/>
      <c r="E549" s="116">
        <v>0</v>
      </c>
      <c r="F549" s="116" t="s">
        <v>3365</v>
      </c>
      <c r="G549" s="162" t="str">
        <f t="shared" si="16"/>
        <v>Montagem</v>
      </c>
      <c r="H549" s="161" t="str">
        <f t="shared" si="17"/>
        <v>23h</v>
      </c>
    </row>
    <row r="550" spans="1:8" ht="30" x14ac:dyDescent="0.25">
      <c r="A550" s="10" t="s">
        <v>3401</v>
      </c>
      <c r="B550" s="194">
        <v>0.27986111111111112</v>
      </c>
      <c r="C550" s="116">
        <v>1</v>
      </c>
      <c r="D550" s="116">
        <v>2</v>
      </c>
      <c r="E550" s="116">
        <v>0</v>
      </c>
      <c r="F550" s="116" t="s">
        <v>3372</v>
      </c>
      <c r="G550" s="162" t="str">
        <f t="shared" si="16"/>
        <v>Montagem</v>
      </c>
      <c r="H550" s="161" t="str">
        <f t="shared" si="17"/>
        <v>6h</v>
      </c>
    </row>
    <row r="551" spans="1:8" ht="30" x14ac:dyDescent="0.25">
      <c r="A551" s="10" t="s">
        <v>3401</v>
      </c>
      <c r="B551" s="194">
        <v>0.28333333333333333</v>
      </c>
      <c r="C551" s="116">
        <v>1</v>
      </c>
      <c r="D551" s="116">
        <v>1</v>
      </c>
      <c r="E551" s="116">
        <v>1</v>
      </c>
      <c r="F551" s="116" t="s">
        <v>3372</v>
      </c>
      <c r="G551" s="162" t="str">
        <f t="shared" si="16"/>
        <v>Montagem</v>
      </c>
      <c r="H551" s="161" t="str">
        <f t="shared" si="17"/>
        <v>6h</v>
      </c>
    </row>
    <row r="552" spans="1:8" ht="30" x14ac:dyDescent="0.25">
      <c r="A552" s="10" t="s">
        <v>5445</v>
      </c>
      <c r="B552" s="194">
        <v>0.39097222222222222</v>
      </c>
      <c r="C552" s="116">
        <v>1</v>
      </c>
      <c r="D552" s="116"/>
      <c r="E552" s="116">
        <v>0</v>
      </c>
      <c r="F552" s="116" t="s">
        <v>3370</v>
      </c>
      <c r="G552" s="162" t="str">
        <f t="shared" si="16"/>
        <v>Montagem</v>
      </c>
      <c r="H552" s="161" t="str">
        <f t="shared" si="17"/>
        <v>9h</v>
      </c>
    </row>
    <row r="553" spans="1:8" ht="30" x14ac:dyDescent="0.25">
      <c r="A553" s="10" t="s">
        <v>5445</v>
      </c>
      <c r="B553" s="194">
        <v>0.56111111111111112</v>
      </c>
      <c r="C553" s="116">
        <v>1</v>
      </c>
      <c r="D553" s="116"/>
      <c r="E553" s="116">
        <v>0</v>
      </c>
      <c r="F553" s="116" t="s">
        <v>3368</v>
      </c>
      <c r="G553" s="162" t="str">
        <f t="shared" si="16"/>
        <v>Montagem</v>
      </c>
      <c r="H553" s="161" t="str">
        <f t="shared" si="17"/>
        <v>13h</v>
      </c>
    </row>
    <row r="554" spans="1:8" ht="30" x14ac:dyDescent="0.25">
      <c r="A554" s="10" t="s">
        <v>5445</v>
      </c>
      <c r="B554" s="194">
        <v>0.70625000000000004</v>
      </c>
      <c r="C554" s="116">
        <v>1</v>
      </c>
      <c r="D554" s="116"/>
      <c r="E554" s="116">
        <v>0</v>
      </c>
      <c r="F554" s="116" t="s">
        <v>3363</v>
      </c>
      <c r="G554" s="162" t="str">
        <f t="shared" si="16"/>
        <v>Montagem</v>
      </c>
      <c r="H554" s="161" t="str">
        <f t="shared" si="17"/>
        <v>16h</v>
      </c>
    </row>
    <row r="555" spans="1:8" ht="30" x14ac:dyDescent="0.25">
      <c r="A555" s="10" t="s">
        <v>5445</v>
      </c>
      <c r="B555" s="194">
        <v>0.88888888888888884</v>
      </c>
      <c r="C555" s="116">
        <v>1</v>
      </c>
      <c r="D555" s="116"/>
      <c r="E555" s="116">
        <v>0</v>
      </c>
      <c r="F555" s="116" t="s">
        <v>3360</v>
      </c>
      <c r="G555" s="162" t="str">
        <f t="shared" si="16"/>
        <v>Montagem</v>
      </c>
      <c r="H555" s="161" t="str">
        <f t="shared" si="17"/>
        <v>21h</v>
      </c>
    </row>
    <row r="556" spans="1:8" x14ac:dyDescent="0.25">
      <c r="A556" s="10" t="s">
        <v>5447</v>
      </c>
      <c r="B556" s="194">
        <v>0.30625000000000002</v>
      </c>
      <c r="C556" s="116">
        <v>1</v>
      </c>
      <c r="D556" s="116">
        <v>2</v>
      </c>
      <c r="E556" s="116">
        <v>0</v>
      </c>
      <c r="F556" s="116" t="s">
        <v>3373</v>
      </c>
      <c r="G556" s="162" t="str">
        <f t="shared" si="16"/>
        <v>Pintura</v>
      </c>
      <c r="H556" s="161" t="str">
        <f t="shared" si="17"/>
        <v>7h</v>
      </c>
    </row>
    <row r="557" spans="1:8" x14ac:dyDescent="0.25">
      <c r="A557" s="10" t="s">
        <v>5447</v>
      </c>
      <c r="B557" s="194">
        <v>0.38958333333333334</v>
      </c>
      <c r="C557" s="116">
        <v>1</v>
      </c>
      <c r="D557" s="116">
        <v>2</v>
      </c>
      <c r="E557" s="116">
        <v>0</v>
      </c>
      <c r="F557" s="116" t="s">
        <v>3370</v>
      </c>
      <c r="G557" s="162" t="str">
        <f t="shared" si="16"/>
        <v>Pintura</v>
      </c>
      <c r="H557" s="161" t="str">
        <f t="shared" si="17"/>
        <v>9h</v>
      </c>
    </row>
    <row r="558" spans="1:8" x14ac:dyDescent="0.25">
      <c r="A558" s="10" t="s">
        <v>5447</v>
      </c>
      <c r="B558" s="194">
        <v>0.51666666666666672</v>
      </c>
      <c r="C558" s="116">
        <v>1</v>
      </c>
      <c r="D558" s="116">
        <v>2</v>
      </c>
      <c r="E558" s="116">
        <v>0</v>
      </c>
      <c r="F558" s="116" t="s">
        <v>3367</v>
      </c>
      <c r="G558" s="162" t="str">
        <f t="shared" si="16"/>
        <v>Pintura</v>
      </c>
      <c r="H558" s="161" t="str">
        <f t="shared" si="17"/>
        <v>12h</v>
      </c>
    </row>
    <row r="559" spans="1:8" x14ac:dyDescent="0.25">
      <c r="A559" s="10" t="s">
        <v>5447</v>
      </c>
      <c r="B559" s="194">
        <v>0.55138888888888893</v>
      </c>
      <c r="C559" s="116">
        <v>1</v>
      </c>
      <c r="D559" s="116">
        <v>2</v>
      </c>
      <c r="E559" s="116">
        <v>0</v>
      </c>
      <c r="F559" s="116" t="s">
        <v>3368</v>
      </c>
      <c r="G559" s="162" t="str">
        <f t="shared" si="16"/>
        <v>Pintura</v>
      </c>
      <c r="H559" s="161" t="str">
        <f t="shared" si="17"/>
        <v>13h</v>
      </c>
    </row>
    <row r="560" spans="1:8" x14ac:dyDescent="0.25">
      <c r="A560" s="10" t="s">
        <v>5447</v>
      </c>
      <c r="B560" s="194">
        <v>0.57222222222222219</v>
      </c>
      <c r="C560" s="116">
        <v>1</v>
      </c>
      <c r="D560" s="116">
        <v>2</v>
      </c>
      <c r="E560" s="116">
        <v>1</v>
      </c>
      <c r="F560" s="116" t="s">
        <v>3368</v>
      </c>
      <c r="G560" s="162" t="str">
        <f t="shared" si="16"/>
        <v>Pintura</v>
      </c>
      <c r="H560" s="161" t="str">
        <f t="shared" si="17"/>
        <v>13h</v>
      </c>
    </row>
    <row r="561" spans="1:8" x14ac:dyDescent="0.25">
      <c r="A561" s="10" t="s">
        <v>5447</v>
      </c>
      <c r="B561" s="194">
        <v>0.6069444444444444</v>
      </c>
      <c r="C561" s="116">
        <v>1</v>
      </c>
      <c r="D561" s="116">
        <v>2</v>
      </c>
      <c r="E561" s="116">
        <v>0</v>
      </c>
      <c r="F561" s="116" t="s">
        <v>3369</v>
      </c>
      <c r="G561" s="162" t="str">
        <f t="shared" si="16"/>
        <v>Pintura</v>
      </c>
      <c r="H561" s="161" t="str">
        <f t="shared" si="17"/>
        <v>14h</v>
      </c>
    </row>
    <row r="562" spans="1:8" x14ac:dyDescent="0.25">
      <c r="A562" s="10" t="s">
        <v>5447</v>
      </c>
      <c r="B562" s="194">
        <v>0.65347222222222223</v>
      </c>
      <c r="C562" s="116">
        <v>1</v>
      </c>
      <c r="D562" s="116">
        <v>2</v>
      </c>
      <c r="E562" s="116">
        <v>0</v>
      </c>
      <c r="F562" s="116" t="s">
        <v>3358</v>
      </c>
      <c r="G562" s="162" t="str">
        <f t="shared" si="16"/>
        <v>Pintura</v>
      </c>
      <c r="H562" s="161" t="str">
        <f t="shared" si="17"/>
        <v>15h</v>
      </c>
    </row>
    <row r="563" spans="1:8" x14ac:dyDescent="0.25">
      <c r="A563" s="10" t="s">
        <v>5447</v>
      </c>
      <c r="B563" s="194">
        <v>0.6694444444444444</v>
      </c>
      <c r="C563" s="116">
        <v>1</v>
      </c>
      <c r="D563" s="116">
        <v>2</v>
      </c>
      <c r="E563" s="116">
        <v>0</v>
      </c>
      <c r="F563" s="116" t="s">
        <v>3363</v>
      </c>
      <c r="G563" s="162" t="str">
        <f t="shared" si="16"/>
        <v>Pintura</v>
      </c>
      <c r="H563" s="161" t="str">
        <f t="shared" si="17"/>
        <v>16h</v>
      </c>
    </row>
    <row r="564" spans="1:8" x14ac:dyDescent="0.25">
      <c r="A564" s="10" t="s">
        <v>5447</v>
      </c>
      <c r="B564" s="194">
        <v>0.74097222222222225</v>
      </c>
      <c r="C564" s="116">
        <v>1</v>
      </c>
      <c r="D564" s="116">
        <v>2</v>
      </c>
      <c r="E564" s="116">
        <v>1</v>
      </c>
      <c r="F564" s="116" t="s">
        <v>3361</v>
      </c>
      <c r="G564" s="162" t="str">
        <f t="shared" si="16"/>
        <v>Pintura</v>
      </c>
      <c r="H564" s="161" t="str">
        <f t="shared" si="17"/>
        <v>17h</v>
      </c>
    </row>
    <row r="565" spans="1:8" x14ac:dyDescent="0.25">
      <c r="A565" s="10" t="s">
        <v>5447</v>
      </c>
      <c r="B565" s="194">
        <v>0.96319444444444446</v>
      </c>
      <c r="C565" s="116">
        <v>1</v>
      </c>
      <c r="D565" s="116">
        <v>2</v>
      </c>
      <c r="E565" s="116">
        <v>0</v>
      </c>
      <c r="F565" s="116" t="s">
        <v>3365</v>
      </c>
      <c r="G565" s="162" t="str">
        <f t="shared" si="16"/>
        <v>Pintura</v>
      </c>
      <c r="H565" s="161" t="str">
        <f t="shared" si="17"/>
        <v>23h</v>
      </c>
    </row>
    <row r="566" spans="1:8" ht="30" x14ac:dyDescent="0.25">
      <c r="A566" s="10" t="s">
        <v>400</v>
      </c>
      <c r="B566" s="194">
        <v>0.27916666666666667</v>
      </c>
      <c r="C566" s="116">
        <v>1</v>
      </c>
      <c r="D566" s="116"/>
      <c r="E566" s="116">
        <v>0</v>
      </c>
      <c r="F566" s="116" t="s">
        <v>3372</v>
      </c>
      <c r="G566" s="162" t="str">
        <f t="shared" si="16"/>
        <v>Serigrafia</v>
      </c>
      <c r="H566" s="161" t="str">
        <f t="shared" si="17"/>
        <v>6h</v>
      </c>
    </row>
    <row r="567" spans="1:8" ht="30" x14ac:dyDescent="0.25">
      <c r="A567" s="10" t="s">
        <v>400</v>
      </c>
      <c r="B567" s="194">
        <v>0.28055555555555556</v>
      </c>
      <c r="C567" s="116">
        <v>1</v>
      </c>
      <c r="D567" s="116"/>
      <c r="E567" s="116">
        <v>1</v>
      </c>
      <c r="F567" s="116" t="s">
        <v>3372</v>
      </c>
      <c r="G567" s="162" t="str">
        <f t="shared" si="16"/>
        <v>Serigrafia</v>
      </c>
      <c r="H567" s="161" t="str">
        <f t="shared" si="17"/>
        <v>6h</v>
      </c>
    </row>
    <row r="568" spans="1:8" ht="30" x14ac:dyDescent="0.25">
      <c r="A568" s="10" t="s">
        <v>400</v>
      </c>
      <c r="B568" s="194">
        <v>0.28263888888888888</v>
      </c>
      <c r="C568" s="116">
        <v>1</v>
      </c>
      <c r="D568" s="116"/>
      <c r="E568" s="116">
        <v>1</v>
      </c>
      <c r="F568" s="116" t="s">
        <v>3372</v>
      </c>
      <c r="G568" s="162" t="str">
        <f t="shared" si="16"/>
        <v>Serigrafia</v>
      </c>
      <c r="H568" s="161" t="str">
        <f t="shared" si="17"/>
        <v>6h</v>
      </c>
    </row>
    <row r="569" spans="1:8" ht="30" x14ac:dyDescent="0.25">
      <c r="A569" s="10" t="s">
        <v>400</v>
      </c>
      <c r="B569" s="194">
        <v>0.29236111111111113</v>
      </c>
      <c r="C569" s="116">
        <v>1</v>
      </c>
      <c r="D569" s="116">
        <v>1</v>
      </c>
      <c r="E569" s="116">
        <v>1</v>
      </c>
      <c r="F569" s="116" t="s">
        <v>3373</v>
      </c>
      <c r="G569" s="162" t="str">
        <f t="shared" si="16"/>
        <v>Serigrafia</v>
      </c>
      <c r="H569" s="161" t="str">
        <f t="shared" si="17"/>
        <v>7h</v>
      </c>
    </row>
    <row r="570" spans="1:8" ht="30" x14ac:dyDescent="0.25">
      <c r="A570" s="10" t="s">
        <v>400</v>
      </c>
      <c r="B570" s="194">
        <v>0.50277777777777777</v>
      </c>
      <c r="C570" s="116">
        <v>1</v>
      </c>
      <c r="D570" s="116">
        <v>1</v>
      </c>
      <c r="E570" s="116">
        <v>0</v>
      </c>
      <c r="F570" s="116" t="s">
        <v>3367</v>
      </c>
      <c r="G570" s="162" t="str">
        <f t="shared" si="16"/>
        <v>Serigrafia</v>
      </c>
      <c r="H570" s="161" t="str">
        <f t="shared" si="17"/>
        <v>12h</v>
      </c>
    </row>
    <row r="571" spans="1:8" ht="30" x14ac:dyDescent="0.25">
      <c r="A571" s="10" t="s">
        <v>400</v>
      </c>
      <c r="B571" s="194">
        <v>0.5854166666666667</v>
      </c>
      <c r="C571" s="116">
        <v>1</v>
      </c>
      <c r="D571" s="116">
        <v>1</v>
      </c>
      <c r="E571" s="116">
        <v>1</v>
      </c>
      <c r="F571" s="116" t="s">
        <v>3369</v>
      </c>
      <c r="G571" s="162" t="str">
        <f t="shared" si="16"/>
        <v>Serigrafia</v>
      </c>
      <c r="H571" s="161" t="str">
        <f t="shared" si="17"/>
        <v>14h</v>
      </c>
    </row>
    <row r="572" spans="1:8" ht="30" x14ac:dyDescent="0.25">
      <c r="A572" s="10" t="s">
        <v>400</v>
      </c>
      <c r="B572" s="194">
        <v>0.74027777777777781</v>
      </c>
      <c r="C572" s="116">
        <v>1</v>
      </c>
      <c r="D572" s="116">
        <v>1</v>
      </c>
      <c r="E572" s="116">
        <v>0</v>
      </c>
      <c r="F572" s="116" t="s">
        <v>3361</v>
      </c>
      <c r="G572" s="162" t="str">
        <f t="shared" si="16"/>
        <v>Serigrafia</v>
      </c>
      <c r="H572" s="161" t="str">
        <f t="shared" si="17"/>
        <v>17h</v>
      </c>
    </row>
    <row r="573" spans="1:8" ht="30" x14ac:dyDescent="0.25">
      <c r="A573" s="10" t="s">
        <v>401</v>
      </c>
      <c r="B573" s="194">
        <v>0.28333333333333333</v>
      </c>
      <c r="C573" s="116">
        <v>1</v>
      </c>
      <c r="D573" s="116">
        <v>1</v>
      </c>
      <c r="E573" s="116">
        <v>0</v>
      </c>
      <c r="F573" s="116" t="s">
        <v>3372</v>
      </c>
      <c r="G573" s="162" t="str">
        <f t="shared" si="16"/>
        <v>Serigrafia</v>
      </c>
      <c r="H573" s="161" t="str">
        <f t="shared" si="17"/>
        <v>6h</v>
      </c>
    </row>
    <row r="574" spans="1:8" ht="30" x14ac:dyDescent="0.25">
      <c r="A574" s="10" t="s">
        <v>401</v>
      </c>
      <c r="B574" s="194">
        <v>0.29444444444444445</v>
      </c>
      <c r="C574" s="116">
        <v>1</v>
      </c>
      <c r="D574" s="116"/>
      <c r="E574" s="116">
        <v>1</v>
      </c>
      <c r="F574" s="116" t="s">
        <v>3373</v>
      </c>
      <c r="G574" s="162" t="str">
        <f t="shared" si="16"/>
        <v>Serigrafia</v>
      </c>
      <c r="H574" s="161" t="str">
        <f t="shared" si="17"/>
        <v>7h</v>
      </c>
    </row>
    <row r="575" spans="1:8" ht="30" x14ac:dyDescent="0.25">
      <c r="A575" s="10" t="s">
        <v>401</v>
      </c>
      <c r="B575" s="194">
        <v>0.30069444444444443</v>
      </c>
      <c r="C575" s="116">
        <v>1</v>
      </c>
      <c r="D575" s="116"/>
      <c r="E575" s="116">
        <v>0</v>
      </c>
      <c r="F575" s="116" t="s">
        <v>3373</v>
      </c>
      <c r="G575" s="162" t="str">
        <f t="shared" si="16"/>
        <v>Serigrafia</v>
      </c>
      <c r="H575" s="161" t="str">
        <f t="shared" si="17"/>
        <v>7h</v>
      </c>
    </row>
    <row r="576" spans="1:8" ht="30" x14ac:dyDescent="0.25">
      <c r="A576" s="10" t="s">
        <v>401</v>
      </c>
      <c r="B576" s="194">
        <v>0.30694444444444446</v>
      </c>
      <c r="C576" s="116">
        <v>1</v>
      </c>
      <c r="D576" s="116"/>
      <c r="E576" s="116">
        <v>0</v>
      </c>
      <c r="F576" s="116" t="s">
        <v>3373</v>
      </c>
      <c r="G576" s="162" t="str">
        <f t="shared" si="16"/>
        <v>Serigrafia</v>
      </c>
      <c r="H576" s="161" t="str">
        <f t="shared" si="17"/>
        <v>7h</v>
      </c>
    </row>
    <row r="577" spans="1:8" ht="30" x14ac:dyDescent="0.25">
      <c r="A577" s="10" t="s">
        <v>401</v>
      </c>
      <c r="B577" s="194">
        <v>0.38541666666666669</v>
      </c>
      <c r="C577" s="116">
        <v>1</v>
      </c>
      <c r="D577" s="116"/>
      <c r="E577" s="116">
        <v>1</v>
      </c>
      <c r="F577" s="116" t="s">
        <v>3370</v>
      </c>
      <c r="G577" s="162" t="str">
        <f t="shared" si="16"/>
        <v>Serigrafia</v>
      </c>
      <c r="H577" s="161" t="str">
        <f t="shared" si="17"/>
        <v>9h</v>
      </c>
    </row>
    <row r="578" spans="1:8" ht="30" x14ac:dyDescent="0.25">
      <c r="A578" s="10" t="s">
        <v>401</v>
      </c>
      <c r="B578" s="194">
        <v>0.52083333333333337</v>
      </c>
      <c r="C578" s="116">
        <v>1</v>
      </c>
      <c r="D578" s="116"/>
      <c r="E578" s="116">
        <v>0</v>
      </c>
      <c r="F578" s="116" t="s">
        <v>3367</v>
      </c>
      <c r="G578" s="162" t="str">
        <f t="shared" si="16"/>
        <v>Serigrafia</v>
      </c>
      <c r="H578" s="161" t="str">
        <f t="shared" si="17"/>
        <v>12h</v>
      </c>
    </row>
    <row r="579" spans="1:8" ht="30" x14ac:dyDescent="0.25">
      <c r="A579" s="10" t="s">
        <v>401</v>
      </c>
      <c r="B579" s="194">
        <v>0.7</v>
      </c>
      <c r="C579" s="116">
        <v>1</v>
      </c>
      <c r="D579" s="116"/>
      <c r="E579" s="116">
        <v>0</v>
      </c>
      <c r="F579" s="116" t="s">
        <v>3363</v>
      </c>
      <c r="G579" s="162" t="str">
        <f t="shared" ref="G579:G642" si="18">IF(LEFT(A579,3)="S7P","Pintura",IF(LEFT(A579,3)="S7M","Montagem",
IF(LEFT(A579,3)="S7S","Serigrafia"," ")))</f>
        <v>Serigrafia</v>
      </c>
      <c r="H579" s="161" t="str">
        <f t="shared" ref="H579:H642" si="19">VALUE(LEFT(F579,2))&amp;"h"</f>
        <v>16h</v>
      </c>
    </row>
    <row r="580" spans="1:8" ht="30" x14ac:dyDescent="0.25">
      <c r="A580" s="10" t="s">
        <v>401</v>
      </c>
      <c r="B580" s="194">
        <v>0.93611111111111112</v>
      </c>
      <c r="C580" s="116">
        <v>1</v>
      </c>
      <c r="D580" s="116"/>
      <c r="E580" s="116">
        <v>0</v>
      </c>
      <c r="F580" s="116" t="s">
        <v>3362</v>
      </c>
      <c r="G580" s="162" t="str">
        <f t="shared" si="18"/>
        <v>Serigrafia</v>
      </c>
      <c r="H580" s="161" t="str">
        <f t="shared" si="19"/>
        <v>22h</v>
      </c>
    </row>
    <row r="581" spans="1:8" ht="30" x14ac:dyDescent="0.25">
      <c r="A581" s="10" t="s">
        <v>405</v>
      </c>
      <c r="B581" s="194">
        <v>0.27916666666666667</v>
      </c>
      <c r="C581" s="116">
        <v>1</v>
      </c>
      <c r="D581" s="116">
        <v>1</v>
      </c>
      <c r="E581" s="116">
        <v>0</v>
      </c>
      <c r="F581" s="116" t="s">
        <v>3372</v>
      </c>
      <c r="G581" s="162" t="str">
        <f t="shared" si="18"/>
        <v>Serigrafia</v>
      </c>
      <c r="H581" s="161" t="str">
        <f t="shared" si="19"/>
        <v>6h</v>
      </c>
    </row>
    <row r="582" spans="1:8" ht="30" x14ac:dyDescent="0.25">
      <c r="A582" s="10" t="s">
        <v>405</v>
      </c>
      <c r="B582" s="194">
        <v>0.28333333333333333</v>
      </c>
      <c r="C582" s="116">
        <v>1</v>
      </c>
      <c r="D582" s="116">
        <v>1</v>
      </c>
      <c r="E582" s="116">
        <v>1</v>
      </c>
      <c r="F582" s="116" t="s">
        <v>3372</v>
      </c>
      <c r="G582" s="162" t="str">
        <f t="shared" si="18"/>
        <v>Serigrafia</v>
      </c>
      <c r="H582" s="161" t="str">
        <f t="shared" si="19"/>
        <v>6h</v>
      </c>
    </row>
    <row r="583" spans="1:8" ht="30" x14ac:dyDescent="0.25">
      <c r="A583" s="10" t="s">
        <v>405</v>
      </c>
      <c r="B583" s="194">
        <v>0.28958333333333336</v>
      </c>
      <c r="C583" s="116">
        <v>1</v>
      </c>
      <c r="D583" s="116">
        <v>1</v>
      </c>
      <c r="E583" s="116">
        <v>1</v>
      </c>
      <c r="F583" s="116" t="s">
        <v>3372</v>
      </c>
      <c r="G583" s="162" t="str">
        <f t="shared" si="18"/>
        <v>Serigrafia</v>
      </c>
      <c r="H583" s="161" t="str">
        <f t="shared" si="19"/>
        <v>6h</v>
      </c>
    </row>
    <row r="584" spans="1:8" ht="30" x14ac:dyDescent="0.25">
      <c r="A584" s="10" t="s">
        <v>405</v>
      </c>
      <c r="B584" s="194">
        <v>0.29375000000000001</v>
      </c>
      <c r="C584" s="116">
        <v>1</v>
      </c>
      <c r="D584" s="116">
        <v>1</v>
      </c>
      <c r="E584" s="116">
        <v>0</v>
      </c>
      <c r="F584" s="116" t="s">
        <v>3373</v>
      </c>
      <c r="G584" s="162" t="str">
        <f t="shared" si="18"/>
        <v>Serigrafia</v>
      </c>
      <c r="H584" s="161" t="str">
        <f t="shared" si="19"/>
        <v>7h</v>
      </c>
    </row>
    <row r="585" spans="1:8" ht="30" x14ac:dyDescent="0.25">
      <c r="A585" s="10" t="s">
        <v>405</v>
      </c>
      <c r="B585" s="194">
        <v>0.3659722222222222</v>
      </c>
      <c r="C585" s="116">
        <v>1</v>
      </c>
      <c r="D585" s="116">
        <v>1</v>
      </c>
      <c r="E585" s="116">
        <v>1</v>
      </c>
      <c r="F585" s="116" t="s">
        <v>3374</v>
      </c>
      <c r="G585" s="162" t="str">
        <f t="shared" si="18"/>
        <v>Serigrafia</v>
      </c>
      <c r="H585" s="161" t="str">
        <f t="shared" si="19"/>
        <v>8h</v>
      </c>
    </row>
    <row r="586" spans="1:8" ht="30" x14ac:dyDescent="0.25">
      <c r="A586" s="10" t="s">
        <v>405</v>
      </c>
      <c r="B586" s="194">
        <v>0.53541666666666665</v>
      </c>
      <c r="C586" s="116">
        <v>1</v>
      </c>
      <c r="D586" s="116">
        <v>1</v>
      </c>
      <c r="E586" s="116">
        <v>0</v>
      </c>
      <c r="F586" s="116" t="s">
        <v>3367</v>
      </c>
      <c r="G586" s="162" t="str">
        <f t="shared" si="18"/>
        <v>Serigrafia</v>
      </c>
      <c r="H586" s="161" t="str">
        <f t="shared" si="19"/>
        <v>12h</v>
      </c>
    </row>
    <row r="587" spans="1:8" ht="30" x14ac:dyDescent="0.25">
      <c r="A587" s="10" t="s">
        <v>405</v>
      </c>
      <c r="B587" s="194">
        <v>0.67500000000000004</v>
      </c>
      <c r="C587" s="116">
        <v>1</v>
      </c>
      <c r="D587" s="116">
        <v>1</v>
      </c>
      <c r="E587" s="116">
        <v>0</v>
      </c>
      <c r="F587" s="116" t="s">
        <v>3363</v>
      </c>
      <c r="G587" s="162" t="str">
        <f t="shared" si="18"/>
        <v>Serigrafia</v>
      </c>
      <c r="H587" s="161" t="str">
        <f t="shared" si="19"/>
        <v>16h</v>
      </c>
    </row>
    <row r="588" spans="1:8" ht="30" x14ac:dyDescent="0.25">
      <c r="A588" s="10" t="s">
        <v>405</v>
      </c>
      <c r="B588" s="194">
        <v>0.91666666666666663</v>
      </c>
      <c r="C588" s="116">
        <v>1</v>
      </c>
      <c r="D588" s="116">
        <v>1</v>
      </c>
      <c r="E588" s="116">
        <v>0</v>
      </c>
      <c r="F588" s="116" t="s">
        <v>3362</v>
      </c>
      <c r="G588" s="162" t="str">
        <f t="shared" si="18"/>
        <v>Serigrafia</v>
      </c>
      <c r="H588" s="161" t="str">
        <f t="shared" si="19"/>
        <v>22h</v>
      </c>
    </row>
    <row r="589" spans="1:8" ht="30" x14ac:dyDescent="0.25">
      <c r="A589" s="10" t="s">
        <v>409</v>
      </c>
      <c r="B589" s="194">
        <v>0.54722222222222228</v>
      </c>
      <c r="C589" s="116">
        <v>1</v>
      </c>
      <c r="D589" s="116">
        <v>1</v>
      </c>
      <c r="E589" s="116">
        <v>0</v>
      </c>
      <c r="F589" s="116" t="s">
        <v>3368</v>
      </c>
      <c r="G589" s="162" t="str">
        <f t="shared" si="18"/>
        <v>Serigrafia</v>
      </c>
      <c r="H589" s="161" t="str">
        <f t="shared" si="19"/>
        <v>13h</v>
      </c>
    </row>
    <row r="590" spans="1:8" ht="30" x14ac:dyDescent="0.25">
      <c r="A590" s="10" t="s">
        <v>409</v>
      </c>
      <c r="B590" s="194">
        <v>0.76527777777777772</v>
      </c>
      <c r="C590" s="116">
        <v>1</v>
      </c>
      <c r="D590" s="116">
        <v>1</v>
      </c>
      <c r="E590" s="116">
        <v>0</v>
      </c>
      <c r="F590" s="116" t="s">
        <v>3359</v>
      </c>
      <c r="G590" s="162" t="str">
        <f t="shared" si="18"/>
        <v>Serigrafia</v>
      </c>
      <c r="H590" s="161" t="str">
        <f t="shared" si="19"/>
        <v>18h</v>
      </c>
    </row>
    <row r="591" spans="1:8" ht="30" x14ac:dyDescent="0.25">
      <c r="A591" s="10" t="s">
        <v>409</v>
      </c>
      <c r="B591" s="194">
        <v>0.94097222222222221</v>
      </c>
      <c r="C591" s="116">
        <v>1</v>
      </c>
      <c r="D591" s="116">
        <v>1</v>
      </c>
      <c r="E591" s="116">
        <v>0</v>
      </c>
      <c r="F591" s="116" t="s">
        <v>3362</v>
      </c>
      <c r="G591" s="162" t="str">
        <f t="shared" si="18"/>
        <v>Serigrafia</v>
      </c>
      <c r="H591" s="161" t="str">
        <f t="shared" si="19"/>
        <v>22h</v>
      </c>
    </row>
    <row r="592" spans="1:8" ht="30" x14ac:dyDescent="0.25">
      <c r="A592" s="10" t="s">
        <v>413</v>
      </c>
      <c r="B592" s="194">
        <v>0.29097222222222224</v>
      </c>
      <c r="C592" s="116">
        <v>1</v>
      </c>
      <c r="D592" s="116"/>
      <c r="E592" s="116">
        <v>0</v>
      </c>
      <c r="F592" s="116" t="s">
        <v>3372</v>
      </c>
      <c r="G592" s="162" t="str">
        <f t="shared" si="18"/>
        <v>Serigrafia</v>
      </c>
      <c r="H592" s="161" t="str">
        <f t="shared" si="19"/>
        <v>6h</v>
      </c>
    </row>
    <row r="593" spans="1:8" ht="30" x14ac:dyDescent="0.25">
      <c r="A593" s="10" t="s">
        <v>413</v>
      </c>
      <c r="B593" s="194">
        <v>0.31041666666666667</v>
      </c>
      <c r="C593" s="116">
        <v>1</v>
      </c>
      <c r="D593" s="116"/>
      <c r="E593" s="116">
        <v>0</v>
      </c>
      <c r="F593" s="116" t="s">
        <v>3373</v>
      </c>
      <c r="G593" s="162" t="str">
        <f t="shared" si="18"/>
        <v>Serigrafia</v>
      </c>
      <c r="H593" s="161" t="str">
        <f t="shared" si="19"/>
        <v>7h</v>
      </c>
    </row>
    <row r="594" spans="1:8" ht="30" x14ac:dyDescent="0.25">
      <c r="A594" s="10" t="s">
        <v>413</v>
      </c>
      <c r="B594" s="194">
        <v>0.32083333333333336</v>
      </c>
      <c r="C594" s="116">
        <v>1</v>
      </c>
      <c r="D594" s="116"/>
      <c r="E594" s="116">
        <v>0</v>
      </c>
      <c r="F594" s="116" t="s">
        <v>3373</v>
      </c>
      <c r="G594" s="162" t="str">
        <f t="shared" si="18"/>
        <v>Serigrafia</v>
      </c>
      <c r="H594" s="161" t="str">
        <f t="shared" si="19"/>
        <v>7h</v>
      </c>
    </row>
    <row r="595" spans="1:8" ht="30" x14ac:dyDescent="0.25">
      <c r="A595" s="10" t="s">
        <v>413</v>
      </c>
      <c r="B595" s="194">
        <v>0.32361111111111113</v>
      </c>
      <c r="C595" s="116">
        <v>1</v>
      </c>
      <c r="D595" s="116"/>
      <c r="E595" s="116">
        <v>0</v>
      </c>
      <c r="F595" s="116" t="s">
        <v>3373</v>
      </c>
      <c r="G595" s="162" t="str">
        <f t="shared" si="18"/>
        <v>Serigrafia</v>
      </c>
      <c r="H595" s="161" t="str">
        <f t="shared" si="19"/>
        <v>7h</v>
      </c>
    </row>
    <row r="596" spans="1:8" ht="30" x14ac:dyDescent="0.25">
      <c r="A596" s="10" t="s">
        <v>413</v>
      </c>
      <c r="B596" s="194">
        <v>0.34027777777777779</v>
      </c>
      <c r="C596" s="116">
        <v>1</v>
      </c>
      <c r="D596" s="116"/>
      <c r="E596" s="116">
        <v>1</v>
      </c>
      <c r="F596" s="116" t="s">
        <v>3374</v>
      </c>
      <c r="G596" s="162" t="str">
        <f t="shared" si="18"/>
        <v>Serigrafia</v>
      </c>
      <c r="H596" s="161" t="str">
        <f t="shared" si="19"/>
        <v>8h</v>
      </c>
    </row>
    <row r="597" spans="1:8" ht="30" x14ac:dyDescent="0.25">
      <c r="A597" s="10" t="s">
        <v>413</v>
      </c>
      <c r="B597" s="194">
        <v>0.34305555555555556</v>
      </c>
      <c r="C597" s="116">
        <v>1</v>
      </c>
      <c r="D597" s="116"/>
      <c r="E597" s="116">
        <v>0</v>
      </c>
      <c r="F597" s="116" t="s">
        <v>3374</v>
      </c>
      <c r="G597" s="162" t="str">
        <f t="shared" si="18"/>
        <v>Serigrafia</v>
      </c>
      <c r="H597" s="161" t="str">
        <f t="shared" si="19"/>
        <v>8h</v>
      </c>
    </row>
    <row r="598" spans="1:8" ht="30" x14ac:dyDescent="0.25">
      <c r="A598" s="10" t="s">
        <v>413</v>
      </c>
      <c r="B598" s="194">
        <v>0.34583333333333333</v>
      </c>
      <c r="C598" s="116">
        <v>1</v>
      </c>
      <c r="D598" s="116"/>
      <c r="E598" s="116">
        <v>0</v>
      </c>
      <c r="F598" s="116" t="s">
        <v>3374</v>
      </c>
      <c r="G598" s="162" t="str">
        <f t="shared" si="18"/>
        <v>Serigrafia</v>
      </c>
      <c r="H598" s="161" t="str">
        <f t="shared" si="19"/>
        <v>8h</v>
      </c>
    </row>
    <row r="599" spans="1:8" ht="30" x14ac:dyDescent="0.25">
      <c r="A599" s="10" t="s">
        <v>413</v>
      </c>
      <c r="B599" s="194">
        <v>0.41875000000000001</v>
      </c>
      <c r="C599" s="116">
        <v>0</v>
      </c>
      <c r="D599" s="116"/>
      <c r="E599" s="116">
        <v>1</v>
      </c>
      <c r="F599" s="116" t="s">
        <v>3371</v>
      </c>
      <c r="G599" s="162" t="str">
        <f t="shared" si="18"/>
        <v>Serigrafia</v>
      </c>
      <c r="H599" s="161" t="str">
        <f t="shared" si="19"/>
        <v>10h</v>
      </c>
    </row>
    <row r="600" spans="1:8" ht="30" x14ac:dyDescent="0.25">
      <c r="A600" s="10" t="s">
        <v>413</v>
      </c>
      <c r="B600" s="194">
        <v>0.45833333333333331</v>
      </c>
      <c r="C600" s="116">
        <v>1</v>
      </c>
      <c r="D600" s="116"/>
      <c r="E600" s="116">
        <v>1</v>
      </c>
      <c r="F600" s="116" t="s">
        <v>3375</v>
      </c>
      <c r="G600" s="162" t="str">
        <f t="shared" si="18"/>
        <v>Serigrafia</v>
      </c>
      <c r="H600" s="161" t="str">
        <f t="shared" si="19"/>
        <v>11h</v>
      </c>
    </row>
    <row r="601" spans="1:8" ht="30" x14ac:dyDescent="0.25">
      <c r="A601" s="10" t="s">
        <v>413</v>
      </c>
      <c r="B601" s="194">
        <v>0.55972222222222223</v>
      </c>
      <c r="C601" s="116">
        <v>1</v>
      </c>
      <c r="D601" s="116"/>
      <c r="E601" s="116">
        <v>0</v>
      </c>
      <c r="F601" s="116" t="s">
        <v>3368</v>
      </c>
      <c r="G601" s="162" t="str">
        <f t="shared" si="18"/>
        <v>Serigrafia</v>
      </c>
      <c r="H601" s="161" t="str">
        <f t="shared" si="19"/>
        <v>13h</v>
      </c>
    </row>
    <row r="602" spans="1:8" ht="30" x14ac:dyDescent="0.25">
      <c r="A602" s="10" t="s">
        <v>413</v>
      </c>
      <c r="B602" s="194">
        <v>0.6743055555555556</v>
      </c>
      <c r="C602" s="116">
        <v>1</v>
      </c>
      <c r="D602" s="116"/>
      <c r="E602" s="116">
        <v>0</v>
      </c>
      <c r="F602" s="116" t="s">
        <v>3363</v>
      </c>
      <c r="G602" s="162" t="str">
        <f t="shared" si="18"/>
        <v>Serigrafia</v>
      </c>
      <c r="H602" s="161" t="str">
        <f t="shared" si="19"/>
        <v>16h</v>
      </c>
    </row>
    <row r="603" spans="1:8" ht="30" x14ac:dyDescent="0.25">
      <c r="A603" s="10" t="s">
        <v>413</v>
      </c>
      <c r="B603" s="194">
        <v>0.78194444444444444</v>
      </c>
      <c r="C603" s="116">
        <v>1</v>
      </c>
      <c r="D603" s="116"/>
      <c r="E603" s="116">
        <v>0</v>
      </c>
      <c r="F603" s="116" t="s">
        <v>3359</v>
      </c>
      <c r="G603" s="162" t="str">
        <f t="shared" si="18"/>
        <v>Serigrafia</v>
      </c>
      <c r="H603" s="161" t="str">
        <f t="shared" si="19"/>
        <v>18h</v>
      </c>
    </row>
    <row r="604" spans="1:8" ht="30" x14ac:dyDescent="0.25">
      <c r="A604" s="10" t="s">
        <v>413</v>
      </c>
      <c r="B604" s="194">
        <v>0.92291666666666672</v>
      </c>
      <c r="C604" s="116">
        <v>1</v>
      </c>
      <c r="D604" s="116"/>
      <c r="E604" s="116">
        <v>0</v>
      </c>
      <c r="F604" s="116" t="s">
        <v>3362</v>
      </c>
      <c r="G604" s="162" t="str">
        <f t="shared" si="18"/>
        <v>Serigrafia</v>
      </c>
      <c r="H604" s="161" t="str">
        <f t="shared" si="19"/>
        <v>22h</v>
      </c>
    </row>
    <row r="605" spans="1:8" ht="30" x14ac:dyDescent="0.25">
      <c r="A605" s="10" t="s">
        <v>418</v>
      </c>
      <c r="B605" s="194">
        <v>0.30763888888888891</v>
      </c>
      <c r="C605" s="116">
        <v>1</v>
      </c>
      <c r="D605" s="116">
        <v>1</v>
      </c>
      <c r="E605" s="116">
        <v>0</v>
      </c>
      <c r="F605" s="116" t="s">
        <v>3373</v>
      </c>
      <c r="G605" s="162" t="str">
        <f t="shared" si="18"/>
        <v>Serigrafia</v>
      </c>
      <c r="H605" s="161" t="str">
        <f t="shared" si="19"/>
        <v>7h</v>
      </c>
    </row>
    <row r="606" spans="1:8" ht="30" x14ac:dyDescent="0.25">
      <c r="A606" s="10" t="s">
        <v>418</v>
      </c>
      <c r="B606" s="194">
        <v>0.33888888888888891</v>
      </c>
      <c r="C606" s="116">
        <v>1</v>
      </c>
      <c r="D606" s="116">
        <v>1</v>
      </c>
      <c r="E606" s="116">
        <v>1</v>
      </c>
      <c r="F606" s="116" t="s">
        <v>3374</v>
      </c>
      <c r="G606" s="162" t="str">
        <f t="shared" si="18"/>
        <v>Serigrafia</v>
      </c>
      <c r="H606" s="161" t="str">
        <f t="shared" si="19"/>
        <v>8h</v>
      </c>
    </row>
    <row r="607" spans="1:8" ht="30" x14ac:dyDescent="0.25">
      <c r="A607" s="10" t="s">
        <v>418</v>
      </c>
      <c r="B607" s="194">
        <v>0.36805555555555558</v>
      </c>
      <c r="C607" s="116">
        <v>1</v>
      </c>
      <c r="D607" s="116">
        <v>1</v>
      </c>
      <c r="E607" s="116">
        <v>0</v>
      </c>
      <c r="F607" s="116" t="s">
        <v>3374</v>
      </c>
      <c r="G607" s="162" t="str">
        <f t="shared" si="18"/>
        <v>Serigrafia</v>
      </c>
      <c r="H607" s="161" t="str">
        <f t="shared" si="19"/>
        <v>8h</v>
      </c>
    </row>
    <row r="608" spans="1:8" ht="30" x14ac:dyDescent="0.25">
      <c r="A608" s="10" t="s">
        <v>418</v>
      </c>
      <c r="B608" s="194">
        <v>0.38194444444444442</v>
      </c>
      <c r="C608" s="116">
        <v>1</v>
      </c>
      <c r="D608" s="116">
        <v>1</v>
      </c>
      <c r="E608" s="116">
        <v>0</v>
      </c>
      <c r="F608" s="116" t="s">
        <v>3370</v>
      </c>
      <c r="G608" s="162" t="str">
        <f t="shared" si="18"/>
        <v>Serigrafia</v>
      </c>
      <c r="H608" s="161" t="str">
        <f t="shared" si="19"/>
        <v>9h</v>
      </c>
    </row>
    <row r="609" spans="1:8" ht="30" x14ac:dyDescent="0.25">
      <c r="A609" s="10" t="s">
        <v>418</v>
      </c>
      <c r="B609" s="194">
        <v>0.43680555555555556</v>
      </c>
      <c r="C609" s="116">
        <v>1</v>
      </c>
      <c r="D609" s="116">
        <v>1</v>
      </c>
      <c r="E609" s="116">
        <v>1</v>
      </c>
      <c r="F609" s="116" t="s">
        <v>3371</v>
      </c>
      <c r="G609" s="162" t="str">
        <f t="shared" si="18"/>
        <v>Serigrafia</v>
      </c>
      <c r="H609" s="161" t="str">
        <f t="shared" si="19"/>
        <v>10h</v>
      </c>
    </row>
    <row r="610" spans="1:8" ht="30" x14ac:dyDescent="0.25">
      <c r="A610" s="10" t="s">
        <v>418</v>
      </c>
      <c r="B610" s="194">
        <v>0.51527777777777772</v>
      </c>
      <c r="C610" s="116">
        <v>1</v>
      </c>
      <c r="D610" s="116">
        <v>1</v>
      </c>
      <c r="E610" s="116">
        <v>0</v>
      </c>
      <c r="F610" s="116" t="s">
        <v>3367</v>
      </c>
      <c r="G610" s="162" t="str">
        <f t="shared" si="18"/>
        <v>Serigrafia</v>
      </c>
      <c r="H610" s="161" t="str">
        <f t="shared" si="19"/>
        <v>12h</v>
      </c>
    </row>
    <row r="611" spans="1:8" ht="30" x14ac:dyDescent="0.25">
      <c r="A611" s="10" t="s">
        <v>418</v>
      </c>
      <c r="B611" s="194">
        <v>0.5395833333333333</v>
      </c>
      <c r="C611" s="116">
        <v>1</v>
      </c>
      <c r="D611" s="116">
        <v>1</v>
      </c>
      <c r="E611" s="116">
        <v>0</v>
      </c>
      <c r="F611" s="116" t="s">
        <v>3367</v>
      </c>
      <c r="G611" s="162" t="str">
        <f t="shared" si="18"/>
        <v>Serigrafia</v>
      </c>
      <c r="H611" s="161" t="str">
        <f t="shared" si="19"/>
        <v>12h</v>
      </c>
    </row>
    <row r="612" spans="1:8" ht="30" x14ac:dyDescent="0.25">
      <c r="A612" s="10" t="s">
        <v>418</v>
      </c>
      <c r="B612" s="194">
        <v>0.60069444444444442</v>
      </c>
      <c r="C612" s="116">
        <v>1</v>
      </c>
      <c r="D612" s="116">
        <v>1</v>
      </c>
      <c r="E612" s="116">
        <v>1</v>
      </c>
      <c r="F612" s="116" t="s">
        <v>3369</v>
      </c>
      <c r="G612" s="162" t="str">
        <f t="shared" si="18"/>
        <v>Serigrafia</v>
      </c>
      <c r="H612" s="161" t="str">
        <f t="shared" si="19"/>
        <v>14h</v>
      </c>
    </row>
    <row r="613" spans="1:8" ht="30" x14ac:dyDescent="0.25">
      <c r="A613" s="10" t="s">
        <v>418</v>
      </c>
      <c r="B613" s="194">
        <v>0.64444444444444449</v>
      </c>
      <c r="C613" s="116">
        <v>1</v>
      </c>
      <c r="D613" s="116">
        <v>1</v>
      </c>
      <c r="E613" s="116">
        <v>0</v>
      </c>
      <c r="F613" s="116" t="s">
        <v>3358</v>
      </c>
      <c r="G613" s="162" t="str">
        <f t="shared" si="18"/>
        <v>Serigrafia</v>
      </c>
      <c r="H613" s="161" t="str">
        <f t="shared" si="19"/>
        <v>15h</v>
      </c>
    </row>
    <row r="614" spans="1:8" ht="30" x14ac:dyDescent="0.25">
      <c r="A614" s="10" t="s">
        <v>418</v>
      </c>
      <c r="B614" s="194">
        <v>0.66874999999999996</v>
      </c>
      <c r="C614" s="116">
        <v>1</v>
      </c>
      <c r="D614" s="116">
        <v>1</v>
      </c>
      <c r="E614" s="116">
        <v>0</v>
      </c>
      <c r="F614" s="116" t="s">
        <v>3363</v>
      </c>
      <c r="G614" s="162" t="str">
        <f t="shared" si="18"/>
        <v>Serigrafia</v>
      </c>
      <c r="H614" s="161" t="str">
        <f t="shared" si="19"/>
        <v>16h</v>
      </c>
    </row>
    <row r="615" spans="1:8" ht="30" x14ac:dyDescent="0.25">
      <c r="A615" s="10" t="s">
        <v>418</v>
      </c>
      <c r="B615" s="194">
        <v>0.74305555555555558</v>
      </c>
      <c r="C615" s="116">
        <v>1</v>
      </c>
      <c r="D615" s="116">
        <v>1</v>
      </c>
      <c r="E615" s="116">
        <v>1</v>
      </c>
      <c r="F615" s="116" t="s">
        <v>3361</v>
      </c>
      <c r="G615" s="162" t="str">
        <f t="shared" si="18"/>
        <v>Serigrafia</v>
      </c>
      <c r="H615" s="161" t="str">
        <f t="shared" si="19"/>
        <v>17h</v>
      </c>
    </row>
    <row r="616" spans="1:8" ht="30" x14ac:dyDescent="0.25">
      <c r="A616" s="10" t="s">
        <v>418</v>
      </c>
      <c r="B616" s="194">
        <v>0.80347222222222225</v>
      </c>
      <c r="C616" s="116">
        <v>1</v>
      </c>
      <c r="D616" s="116">
        <v>1</v>
      </c>
      <c r="E616" s="116">
        <v>0</v>
      </c>
      <c r="F616" s="116" t="s">
        <v>3366</v>
      </c>
      <c r="G616" s="162" t="str">
        <f t="shared" si="18"/>
        <v>Serigrafia</v>
      </c>
      <c r="H616" s="161" t="str">
        <f t="shared" si="19"/>
        <v>19h</v>
      </c>
    </row>
    <row r="617" spans="1:8" ht="30" x14ac:dyDescent="0.25">
      <c r="A617" s="10" t="s">
        <v>418</v>
      </c>
      <c r="B617" s="194">
        <v>0.87986111111111109</v>
      </c>
      <c r="C617" s="116">
        <v>1</v>
      </c>
      <c r="D617" s="116">
        <v>1</v>
      </c>
      <c r="E617" s="116">
        <v>0</v>
      </c>
      <c r="F617" s="116" t="s">
        <v>3360</v>
      </c>
      <c r="G617" s="162" t="str">
        <f t="shared" si="18"/>
        <v>Serigrafia</v>
      </c>
      <c r="H617" s="161" t="str">
        <f t="shared" si="19"/>
        <v>21h</v>
      </c>
    </row>
    <row r="618" spans="1:8" ht="30" x14ac:dyDescent="0.25">
      <c r="A618" s="10" t="s">
        <v>418</v>
      </c>
      <c r="B618" s="194">
        <v>0.91111111111111109</v>
      </c>
      <c r="C618" s="116">
        <v>1</v>
      </c>
      <c r="D618" s="116">
        <v>1</v>
      </c>
      <c r="E618" s="116">
        <v>1</v>
      </c>
      <c r="F618" s="116" t="s">
        <v>3360</v>
      </c>
      <c r="G618" s="162" t="str">
        <f t="shared" si="18"/>
        <v>Serigrafia</v>
      </c>
      <c r="H618" s="161" t="str">
        <f t="shared" si="19"/>
        <v>21h</v>
      </c>
    </row>
    <row r="619" spans="1:8" ht="30" x14ac:dyDescent="0.25">
      <c r="A619" s="10" t="s">
        <v>418</v>
      </c>
      <c r="B619" s="194">
        <v>0.93194444444444446</v>
      </c>
      <c r="C619" s="116">
        <v>1</v>
      </c>
      <c r="D619" s="116">
        <v>1</v>
      </c>
      <c r="E619" s="116">
        <v>0</v>
      </c>
      <c r="F619" s="116" t="s">
        <v>3362</v>
      </c>
      <c r="G619" s="162" t="str">
        <f t="shared" si="18"/>
        <v>Serigrafia</v>
      </c>
      <c r="H619" s="161" t="str">
        <f t="shared" si="19"/>
        <v>22h</v>
      </c>
    </row>
    <row r="620" spans="1:8" ht="30" x14ac:dyDescent="0.25">
      <c r="A620" s="10" t="s">
        <v>418</v>
      </c>
      <c r="B620" s="194">
        <v>0.9458333333333333</v>
      </c>
      <c r="C620" s="116">
        <v>1</v>
      </c>
      <c r="D620" s="116">
        <v>1</v>
      </c>
      <c r="E620" s="116">
        <v>0</v>
      </c>
      <c r="F620" s="116" t="s">
        <v>3362</v>
      </c>
      <c r="G620" s="162" t="str">
        <f t="shared" si="18"/>
        <v>Serigrafia</v>
      </c>
      <c r="H620" s="161" t="str">
        <f t="shared" si="19"/>
        <v>22h</v>
      </c>
    </row>
    <row r="621" spans="1:8" ht="30" x14ac:dyDescent="0.25">
      <c r="A621" s="10" t="s">
        <v>3430</v>
      </c>
      <c r="B621" s="194">
        <v>0.29930555555555555</v>
      </c>
      <c r="C621" s="116">
        <v>1</v>
      </c>
      <c r="D621" s="116">
        <v>1</v>
      </c>
      <c r="E621" s="116">
        <v>0</v>
      </c>
      <c r="F621" s="116" t="s">
        <v>3373</v>
      </c>
      <c r="G621" s="162" t="str">
        <f t="shared" si="18"/>
        <v>Serigrafia</v>
      </c>
      <c r="H621" s="161" t="str">
        <f t="shared" si="19"/>
        <v>7h</v>
      </c>
    </row>
    <row r="622" spans="1:8" ht="30" x14ac:dyDescent="0.25">
      <c r="A622" s="10" t="s">
        <v>3430</v>
      </c>
      <c r="B622" s="194">
        <v>0.3125</v>
      </c>
      <c r="C622" s="116">
        <v>1</v>
      </c>
      <c r="D622" s="116">
        <v>1</v>
      </c>
      <c r="E622" s="116">
        <v>1</v>
      </c>
      <c r="F622" s="116" t="s">
        <v>3373</v>
      </c>
      <c r="G622" s="162" t="str">
        <f t="shared" si="18"/>
        <v>Serigrafia</v>
      </c>
      <c r="H622" s="161" t="str">
        <f t="shared" si="19"/>
        <v>7h</v>
      </c>
    </row>
    <row r="623" spans="1:8" ht="30" x14ac:dyDescent="0.25">
      <c r="A623" s="10" t="s">
        <v>3430</v>
      </c>
      <c r="B623" s="194">
        <v>0.33888888888888891</v>
      </c>
      <c r="C623" s="116">
        <v>1</v>
      </c>
      <c r="D623" s="116">
        <v>1</v>
      </c>
      <c r="E623" s="116">
        <v>0</v>
      </c>
      <c r="F623" s="116" t="s">
        <v>3374</v>
      </c>
      <c r="G623" s="162" t="str">
        <f t="shared" si="18"/>
        <v>Serigrafia</v>
      </c>
      <c r="H623" s="161" t="str">
        <f t="shared" si="19"/>
        <v>8h</v>
      </c>
    </row>
    <row r="624" spans="1:8" ht="30" x14ac:dyDescent="0.25">
      <c r="A624" s="10" t="s">
        <v>3430</v>
      </c>
      <c r="B624" s="194">
        <v>0.38194444444444442</v>
      </c>
      <c r="C624" s="116">
        <v>1</v>
      </c>
      <c r="D624" s="116">
        <v>1</v>
      </c>
      <c r="E624" s="116">
        <v>0</v>
      </c>
      <c r="F624" s="116" t="s">
        <v>3370</v>
      </c>
      <c r="G624" s="162" t="str">
        <f t="shared" si="18"/>
        <v>Serigrafia</v>
      </c>
      <c r="H624" s="161" t="str">
        <f t="shared" si="19"/>
        <v>9h</v>
      </c>
    </row>
    <row r="625" spans="1:8" ht="30" x14ac:dyDescent="0.25">
      <c r="A625" s="10" t="s">
        <v>3430</v>
      </c>
      <c r="B625" s="194">
        <v>0.39513888888888887</v>
      </c>
      <c r="C625" s="116">
        <v>1</v>
      </c>
      <c r="D625" s="116">
        <v>1</v>
      </c>
      <c r="E625" s="116">
        <v>1</v>
      </c>
      <c r="F625" s="116" t="s">
        <v>3370</v>
      </c>
      <c r="G625" s="162" t="str">
        <f t="shared" si="18"/>
        <v>Serigrafia</v>
      </c>
      <c r="H625" s="161" t="str">
        <f t="shared" si="19"/>
        <v>9h</v>
      </c>
    </row>
    <row r="626" spans="1:8" ht="30" x14ac:dyDescent="0.25">
      <c r="A626" s="10" t="s">
        <v>3430</v>
      </c>
      <c r="B626" s="194">
        <v>0.42152777777777778</v>
      </c>
      <c r="C626" s="116">
        <v>1</v>
      </c>
      <c r="D626" s="116">
        <v>1</v>
      </c>
      <c r="E626" s="116">
        <v>0</v>
      </c>
      <c r="F626" s="116" t="s">
        <v>3371</v>
      </c>
      <c r="G626" s="162" t="str">
        <f t="shared" si="18"/>
        <v>Serigrafia</v>
      </c>
      <c r="H626" s="161" t="str">
        <f t="shared" si="19"/>
        <v>10h</v>
      </c>
    </row>
    <row r="627" spans="1:8" ht="30" x14ac:dyDescent="0.25">
      <c r="A627" s="10" t="s">
        <v>3430</v>
      </c>
      <c r="B627" s="194">
        <v>0.45624999999999999</v>
      </c>
      <c r="C627" s="116">
        <v>1</v>
      </c>
      <c r="D627" s="116">
        <v>1</v>
      </c>
      <c r="E627" s="116">
        <v>0</v>
      </c>
      <c r="F627" s="116" t="s">
        <v>3371</v>
      </c>
      <c r="G627" s="162" t="str">
        <f t="shared" si="18"/>
        <v>Serigrafia</v>
      </c>
      <c r="H627" s="161" t="str">
        <f t="shared" si="19"/>
        <v>10h</v>
      </c>
    </row>
    <row r="628" spans="1:8" ht="30" x14ac:dyDescent="0.25">
      <c r="A628" s="10" t="s">
        <v>3430</v>
      </c>
      <c r="B628" s="194">
        <v>0.5083333333333333</v>
      </c>
      <c r="C628" s="116">
        <v>1</v>
      </c>
      <c r="D628" s="116">
        <v>1</v>
      </c>
      <c r="E628" s="116">
        <v>1</v>
      </c>
      <c r="F628" s="116" t="s">
        <v>3367</v>
      </c>
      <c r="G628" s="162" t="str">
        <f t="shared" si="18"/>
        <v>Serigrafia</v>
      </c>
      <c r="H628" s="161" t="str">
        <f t="shared" si="19"/>
        <v>12h</v>
      </c>
    </row>
    <row r="629" spans="1:8" ht="30" x14ac:dyDescent="0.25">
      <c r="A629" s="10" t="s">
        <v>3430</v>
      </c>
      <c r="B629" s="194">
        <v>0.52916666666666667</v>
      </c>
      <c r="C629" s="116">
        <v>1</v>
      </c>
      <c r="D629" s="116">
        <v>1</v>
      </c>
      <c r="E629" s="116">
        <v>0</v>
      </c>
      <c r="F629" s="116" t="s">
        <v>3367</v>
      </c>
      <c r="G629" s="162" t="str">
        <f t="shared" si="18"/>
        <v>Serigrafia</v>
      </c>
      <c r="H629" s="161" t="str">
        <f t="shared" si="19"/>
        <v>12h</v>
      </c>
    </row>
    <row r="630" spans="1:8" ht="30" x14ac:dyDescent="0.25">
      <c r="A630" s="10" t="s">
        <v>3430</v>
      </c>
      <c r="B630" s="194">
        <v>0.55694444444444446</v>
      </c>
      <c r="C630" s="116">
        <v>1</v>
      </c>
      <c r="D630" s="116">
        <v>1</v>
      </c>
      <c r="E630" s="116">
        <v>0</v>
      </c>
      <c r="F630" s="116" t="s">
        <v>3368</v>
      </c>
      <c r="G630" s="162" t="str">
        <f t="shared" si="18"/>
        <v>Serigrafia</v>
      </c>
      <c r="H630" s="161" t="str">
        <f t="shared" si="19"/>
        <v>13h</v>
      </c>
    </row>
    <row r="631" spans="1:8" ht="30" x14ac:dyDescent="0.25">
      <c r="A631" s="10" t="s">
        <v>3430</v>
      </c>
      <c r="B631" s="194">
        <v>0.58611111111111114</v>
      </c>
      <c r="C631" s="116">
        <v>1</v>
      </c>
      <c r="D631" s="116">
        <v>1</v>
      </c>
      <c r="E631" s="116">
        <v>1</v>
      </c>
      <c r="F631" s="116" t="s">
        <v>3369</v>
      </c>
      <c r="G631" s="162" t="str">
        <f t="shared" si="18"/>
        <v>Serigrafia</v>
      </c>
      <c r="H631" s="161" t="str">
        <f t="shared" si="19"/>
        <v>14h</v>
      </c>
    </row>
    <row r="632" spans="1:8" ht="30" x14ac:dyDescent="0.25">
      <c r="A632" s="10" t="s">
        <v>3430</v>
      </c>
      <c r="B632" s="194">
        <v>0.62777777777777777</v>
      </c>
      <c r="C632" s="116">
        <v>1</v>
      </c>
      <c r="D632" s="116">
        <v>1</v>
      </c>
      <c r="E632" s="116">
        <v>0</v>
      </c>
      <c r="F632" s="116" t="s">
        <v>3358</v>
      </c>
      <c r="G632" s="162" t="str">
        <f t="shared" si="18"/>
        <v>Serigrafia</v>
      </c>
      <c r="H632" s="161" t="str">
        <f t="shared" si="19"/>
        <v>15h</v>
      </c>
    </row>
    <row r="633" spans="1:8" ht="30" x14ac:dyDescent="0.25">
      <c r="A633" s="10" t="s">
        <v>3430</v>
      </c>
      <c r="B633" s="194">
        <v>0.69027777777777777</v>
      </c>
      <c r="C633" s="116">
        <v>1</v>
      </c>
      <c r="D633" s="116">
        <v>1</v>
      </c>
      <c r="E633" s="116">
        <v>0</v>
      </c>
      <c r="F633" s="116" t="s">
        <v>3363</v>
      </c>
      <c r="G633" s="162" t="str">
        <f t="shared" si="18"/>
        <v>Serigrafia</v>
      </c>
      <c r="H633" s="161" t="str">
        <f t="shared" si="19"/>
        <v>16h</v>
      </c>
    </row>
    <row r="634" spans="1:8" ht="30" x14ac:dyDescent="0.25">
      <c r="A634" s="10" t="s">
        <v>3430</v>
      </c>
      <c r="B634" s="194">
        <v>0.70277777777777772</v>
      </c>
      <c r="C634" s="116">
        <v>1</v>
      </c>
      <c r="D634" s="116"/>
      <c r="E634" s="116">
        <v>1</v>
      </c>
      <c r="F634" s="116" t="s">
        <v>3363</v>
      </c>
      <c r="G634" s="162" t="str">
        <f t="shared" si="18"/>
        <v>Serigrafia</v>
      </c>
      <c r="H634" s="161" t="str">
        <f t="shared" si="19"/>
        <v>16h</v>
      </c>
    </row>
    <row r="635" spans="1:8" ht="30" x14ac:dyDescent="0.25">
      <c r="A635" s="10" t="s">
        <v>3430</v>
      </c>
      <c r="B635" s="194">
        <v>0.72847222222222219</v>
      </c>
      <c r="C635" s="116">
        <v>1</v>
      </c>
      <c r="D635" s="116"/>
      <c r="E635" s="116">
        <v>0</v>
      </c>
      <c r="F635" s="116" t="s">
        <v>3361</v>
      </c>
      <c r="G635" s="162" t="str">
        <f t="shared" si="18"/>
        <v>Serigrafia</v>
      </c>
      <c r="H635" s="161" t="str">
        <f t="shared" si="19"/>
        <v>17h</v>
      </c>
    </row>
    <row r="636" spans="1:8" ht="30" x14ac:dyDescent="0.25">
      <c r="A636" s="10" t="s">
        <v>3430</v>
      </c>
      <c r="B636" s="194">
        <v>0.76666666666666672</v>
      </c>
      <c r="C636" s="116">
        <v>1</v>
      </c>
      <c r="D636" s="116"/>
      <c r="E636" s="116">
        <v>0</v>
      </c>
      <c r="F636" s="116" t="s">
        <v>3359</v>
      </c>
      <c r="G636" s="162" t="str">
        <f t="shared" si="18"/>
        <v>Serigrafia</v>
      </c>
      <c r="H636" s="161" t="str">
        <f t="shared" si="19"/>
        <v>18h</v>
      </c>
    </row>
    <row r="637" spans="1:8" ht="30" x14ac:dyDescent="0.25">
      <c r="A637" s="10" t="s">
        <v>3430</v>
      </c>
      <c r="B637" s="194">
        <v>0.85486111111111107</v>
      </c>
      <c r="C637" s="116">
        <v>1</v>
      </c>
      <c r="D637" s="116"/>
      <c r="E637" s="116">
        <v>0</v>
      </c>
      <c r="F637" s="116" t="s">
        <v>3364</v>
      </c>
      <c r="G637" s="162" t="str">
        <f t="shared" si="18"/>
        <v>Serigrafia</v>
      </c>
      <c r="H637" s="161" t="str">
        <f t="shared" si="19"/>
        <v>20h</v>
      </c>
    </row>
    <row r="638" spans="1:8" ht="30" x14ac:dyDescent="0.25">
      <c r="A638" s="10" t="s">
        <v>3430</v>
      </c>
      <c r="B638" s="194">
        <v>0.88055555555555554</v>
      </c>
      <c r="C638" s="116">
        <v>1</v>
      </c>
      <c r="D638" s="116"/>
      <c r="E638" s="116">
        <v>0</v>
      </c>
      <c r="F638" s="116" t="s">
        <v>3360</v>
      </c>
      <c r="G638" s="162" t="str">
        <f t="shared" si="18"/>
        <v>Serigrafia</v>
      </c>
      <c r="H638" s="161" t="str">
        <f t="shared" si="19"/>
        <v>21h</v>
      </c>
    </row>
    <row r="639" spans="1:8" ht="30" x14ac:dyDescent="0.25">
      <c r="A639" s="10" t="s">
        <v>3430</v>
      </c>
      <c r="B639" s="194">
        <v>0.8930555555555556</v>
      </c>
      <c r="C639" s="116">
        <v>1</v>
      </c>
      <c r="D639" s="116"/>
      <c r="E639" s="116">
        <v>0</v>
      </c>
      <c r="F639" s="116" t="s">
        <v>3360</v>
      </c>
      <c r="G639" s="162" t="str">
        <f t="shared" si="18"/>
        <v>Serigrafia</v>
      </c>
      <c r="H639" s="161" t="str">
        <f t="shared" si="19"/>
        <v>21h</v>
      </c>
    </row>
    <row r="640" spans="1:8" ht="30" x14ac:dyDescent="0.25">
      <c r="A640" s="10" t="s">
        <v>3430</v>
      </c>
      <c r="B640" s="194">
        <v>0.89652777777777781</v>
      </c>
      <c r="C640" s="116">
        <v>1</v>
      </c>
      <c r="D640" s="116">
        <v>4</v>
      </c>
      <c r="E640" s="116">
        <v>1</v>
      </c>
      <c r="F640" s="116" t="s">
        <v>3360</v>
      </c>
      <c r="G640" s="162" t="str">
        <f t="shared" si="18"/>
        <v>Serigrafia</v>
      </c>
      <c r="H640" s="161" t="str">
        <f t="shared" si="19"/>
        <v>21h</v>
      </c>
    </row>
    <row r="641" spans="1:8" ht="30" x14ac:dyDescent="0.25">
      <c r="A641" s="10" t="s">
        <v>5240</v>
      </c>
      <c r="B641" s="194">
        <v>0.28055555555555556</v>
      </c>
      <c r="C641" s="116">
        <v>1</v>
      </c>
      <c r="D641" s="116">
        <v>2</v>
      </c>
      <c r="E641" s="116">
        <v>0</v>
      </c>
      <c r="F641" s="116" t="s">
        <v>3372</v>
      </c>
      <c r="G641" s="162" t="str">
        <f t="shared" si="18"/>
        <v>Serigrafia</v>
      </c>
      <c r="H641" s="161" t="str">
        <f t="shared" si="19"/>
        <v>6h</v>
      </c>
    </row>
    <row r="642" spans="1:8" ht="30" x14ac:dyDescent="0.25">
      <c r="A642" s="10" t="s">
        <v>5240</v>
      </c>
      <c r="B642" s="194">
        <v>0.28263888888888888</v>
      </c>
      <c r="C642" s="116">
        <v>1</v>
      </c>
      <c r="D642" s="116">
        <v>1</v>
      </c>
      <c r="E642" s="116">
        <v>1</v>
      </c>
      <c r="F642" s="116" t="s">
        <v>3372</v>
      </c>
      <c r="G642" s="162" t="str">
        <f t="shared" si="18"/>
        <v>Serigrafia</v>
      </c>
      <c r="H642" s="161" t="str">
        <f t="shared" si="19"/>
        <v>6h</v>
      </c>
    </row>
    <row r="643" spans="1:8" ht="30" x14ac:dyDescent="0.25">
      <c r="A643" s="10" t="s">
        <v>5240</v>
      </c>
      <c r="B643" s="194">
        <v>0.28888888888888886</v>
      </c>
      <c r="C643" s="116">
        <v>1</v>
      </c>
      <c r="D643" s="116">
        <v>1</v>
      </c>
      <c r="E643" s="116">
        <v>0</v>
      </c>
      <c r="F643" s="116" t="s">
        <v>3372</v>
      </c>
      <c r="G643" s="162" t="str">
        <f t="shared" ref="G643:G706" si="20">IF(LEFT(A643,3)="S7P","Pintura",IF(LEFT(A643,3)="S7M","Montagem",
IF(LEFT(A643,3)="S7S","Serigrafia"," ")))</f>
        <v>Serigrafia</v>
      </c>
      <c r="H643" s="161" t="str">
        <f t="shared" ref="H643:H706" si="21">VALUE(LEFT(F643,2))&amp;"h"</f>
        <v>6h</v>
      </c>
    </row>
    <row r="644" spans="1:8" ht="30" x14ac:dyDescent="0.25">
      <c r="A644" s="10" t="s">
        <v>5240</v>
      </c>
      <c r="B644" s="194">
        <v>0.5541666666666667</v>
      </c>
      <c r="C644" s="116">
        <v>1</v>
      </c>
      <c r="D644" s="116">
        <v>1</v>
      </c>
      <c r="E644" s="116">
        <v>0</v>
      </c>
      <c r="F644" s="116" t="s">
        <v>3368</v>
      </c>
      <c r="G644" s="162" t="str">
        <f t="shared" si="20"/>
        <v>Serigrafia</v>
      </c>
      <c r="H644" s="161" t="str">
        <f t="shared" si="21"/>
        <v>13h</v>
      </c>
    </row>
    <row r="645" spans="1:8" ht="30" x14ac:dyDescent="0.25">
      <c r="A645" s="10" t="s">
        <v>5240</v>
      </c>
      <c r="B645" s="194">
        <v>0.70138888888888884</v>
      </c>
      <c r="C645" s="116">
        <v>1</v>
      </c>
      <c r="D645" s="116">
        <v>1</v>
      </c>
      <c r="E645" s="116">
        <v>0</v>
      </c>
      <c r="F645" s="116" t="s">
        <v>3363</v>
      </c>
      <c r="G645" s="162" t="str">
        <f t="shared" si="20"/>
        <v>Serigrafia</v>
      </c>
      <c r="H645" s="161" t="str">
        <f t="shared" si="21"/>
        <v>16h</v>
      </c>
    </row>
    <row r="646" spans="1:8" ht="30" x14ac:dyDescent="0.25">
      <c r="A646" s="10" t="s">
        <v>5240</v>
      </c>
      <c r="B646" s="194">
        <v>0.76944444444444449</v>
      </c>
      <c r="C646" s="116">
        <v>1</v>
      </c>
      <c r="D646" s="116">
        <v>1</v>
      </c>
      <c r="E646" s="116">
        <v>1</v>
      </c>
      <c r="F646" s="116" t="s">
        <v>3359</v>
      </c>
      <c r="G646" s="162" t="str">
        <f t="shared" si="20"/>
        <v>Serigrafia</v>
      </c>
      <c r="H646" s="161" t="str">
        <f t="shared" si="21"/>
        <v>18h</v>
      </c>
    </row>
    <row r="647" spans="1:8" ht="30" x14ac:dyDescent="0.25">
      <c r="A647" s="10" t="s">
        <v>5240</v>
      </c>
      <c r="B647" s="194">
        <v>0.9555555555555556</v>
      </c>
      <c r="C647" s="116">
        <v>1</v>
      </c>
      <c r="D647" s="116">
        <v>1</v>
      </c>
      <c r="E647" s="116">
        <v>0</v>
      </c>
      <c r="F647" s="116" t="s">
        <v>3362</v>
      </c>
      <c r="G647" s="162" t="str">
        <f t="shared" si="20"/>
        <v>Serigrafia</v>
      </c>
      <c r="H647" s="161" t="str">
        <f t="shared" si="21"/>
        <v>22h</v>
      </c>
    </row>
    <row r="648" spans="1:8" ht="30" x14ac:dyDescent="0.25">
      <c r="A648" s="10" t="s">
        <v>3431</v>
      </c>
      <c r="B648" s="194">
        <v>0.28819444444444442</v>
      </c>
      <c r="C648" s="116">
        <v>1</v>
      </c>
      <c r="D648" s="116"/>
      <c r="E648" s="116">
        <v>0</v>
      </c>
      <c r="F648" s="116" t="s">
        <v>3372</v>
      </c>
      <c r="G648" s="162" t="str">
        <f t="shared" si="20"/>
        <v>Serigrafia</v>
      </c>
      <c r="H648" s="161" t="str">
        <f t="shared" si="21"/>
        <v>6h</v>
      </c>
    </row>
    <row r="649" spans="1:8" ht="30" x14ac:dyDescent="0.25">
      <c r="A649" s="10" t="s">
        <v>3431</v>
      </c>
      <c r="B649" s="194">
        <v>0.31041666666666667</v>
      </c>
      <c r="C649" s="116">
        <v>1</v>
      </c>
      <c r="D649" s="116"/>
      <c r="E649" s="116">
        <v>0</v>
      </c>
      <c r="F649" s="116" t="s">
        <v>3373</v>
      </c>
      <c r="G649" s="162" t="str">
        <f t="shared" si="20"/>
        <v>Serigrafia</v>
      </c>
      <c r="H649" s="161" t="str">
        <f t="shared" si="21"/>
        <v>7h</v>
      </c>
    </row>
    <row r="650" spans="1:8" ht="30" x14ac:dyDescent="0.25">
      <c r="A650" s="10" t="s">
        <v>3431</v>
      </c>
      <c r="B650" s="194">
        <v>0.33263888888888887</v>
      </c>
      <c r="C650" s="116">
        <v>1</v>
      </c>
      <c r="D650" s="116"/>
      <c r="E650" s="116">
        <v>0</v>
      </c>
      <c r="F650" s="116" t="s">
        <v>3373</v>
      </c>
      <c r="G650" s="162" t="str">
        <f t="shared" si="20"/>
        <v>Serigrafia</v>
      </c>
      <c r="H650" s="161" t="str">
        <f t="shared" si="21"/>
        <v>7h</v>
      </c>
    </row>
    <row r="651" spans="1:8" ht="30" x14ac:dyDescent="0.25">
      <c r="A651" s="10" t="s">
        <v>3431</v>
      </c>
      <c r="B651" s="194">
        <v>0.36805555555555558</v>
      </c>
      <c r="C651" s="116">
        <v>1</v>
      </c>
      <c r="D651" s="116"/>
      <c r="E651" s="116">
        <v>1</v>
      </c>
      <c r="F651" s="116" t="s">
        <v>3374</v>
      </c>
      <c r="G651" s="162" t="str">
        <f t="shared" si="20"/>
        <v>Serigrafia</v>
      </c>
      <c r="H651" s="161" t="str">
        <f t="shared" si="21"/>
        <v>8h</v>
      </c>
    </row>
    <row r="652" spans="1:8" ht="30" x14ac:dyDescent="0.25">
      <c r="A652" s="10" t="s">
        <v>3431</v>
      </c>
      <c r="B652" s="194">
        <v>0.40763888888888888</v>
      </c>
      <c r="C652" s="116">
        <v>1</v>
      </c>
      <c r="D652" s="116"/>
      <c r="E652" s="116">
        <v>0</v>
      </c>
      <c r="F652" s="116" t="s">
        <v>3370</v>
      </c>
      <c r="G652" s="162" t="str">
        <f t="shared" si="20"/>
        <v>Serigrafia</v>
      </c>
      <c r="H652" s="161" t="str">
        <f t="shared" si="21"/>
        <v>9h</v>
      </c>
    </row>
    <row r="653" spans="1:8" ht="30" x14ac:dyDescent="0.25">
      <c r="A653" s="10" t="s">
        <v>3431</v>
      </c>
      <c r="B653" s="194">
        <v>0.5180555555555556</v>
      </c>
      <c r="C653" s="116">
        <v>1</v>
      </c>
      <c r="D653" s="116"/>
      <c r="E653" s="116">
        <v>0</v>
      </c>
      <c r="F653" s="116" t="s">
        <v>3367</v>
      </c>
      <c r="G653" s="162" t="str">
        <f t="shared" si="20"/>
        <v>Serigrafia</v>
      </c>
      <c r="H653" s="161" t="str">
        <f t="shared" si="21"/>
        <v>12h</v>
      </c>
    </row>
    <row r="654" spans="1:8" ht="30" x14ac:dyDescent="0.25">
      <c r="A654" s="10" t="s">
        <v>3431</v>
      </c>
      <c r="B654" s="194">
        <v>0.60138888888888886</v>
      </c>
      <c r="C654" s="116">
        <v>1</v>
      </c>
      <c r="D654" s="116"/>
      <c r="E654" s="116">
        <v>1</v>
      </c>
      <c r="F654" s="116" t="s">
        <v>3369</v>
      </c>
      <c r="G654" s="162" t="str">
        <f t="shared" si="20"/>
        <v>Serigrafia</v>
      </c>
      <c r="H654" s="161" t="str">
        <f t="shared" si="21"/>
        <v>14h</v>
      </c>
    </row>
    <row r="655" spans="1:8" ht="30" x14ac:dyDescent="0.25">
      <c r="A655" s="10" t="s">
        <v>3431</v>
      </c>
      <c r="B655" s="194">
        <v>0.70763888888888893</v>
      </c>
      <c r="C655" s="116">
        <v>1</v>
      </c>
      <c r="D655" s="116"/>
      <c r="E655" s="116">
        <v>0</v>
      </c>
      <c r="F655" s="116" t="s">
        <v>3363</v>
      </c>
      <c r="G655" s="162" t="str">
        <f t="shared" si="20"/>
        <v>Serigrafia</v>
      </c>
      <c r="H655" s="161" t="str">
        <f t="shared" si="21"/>
        <v>16h</v>
      </c>
    </row>
    <row r="656" spans="1:8" ht="30" x14ac:dyDescent="0.25">
      <c r="A656" s="10" t="s">
        <v>3431</v>
      </c>
      <c r="B656" s="194">
        <v>0.93194444444444446</v>
      </c>
      <c r="C656" s="116">
        <v>1</v>
      </c>
      <c r="D656" s="116"/>
      <c r="E656" s="116">
        <v>0</v>
      </c>
      <c r="F656" s="116" t="s">
        <v>3362</v>
      </c>
      <c r="G656" s="162" t="str">
        <f t="shared" si="20"/>
        <v>Serigrafia</v>
      </c>
      <c r="H656" s="161" t="str">
        <f t="shared" si="21"/>
        <v>22h</v>
      </c>
    </row>
    <row r="657" spans="1:8" ht="30" x14ac:dyDescent="0.25">
      <c r="A657" s="10" t="s">
        <v>3432</v>
      </c>
      <c r="B657" s="194">
        <v>0.37361111111111112</v>
      </c>
      <c r="C657" s="116">
        <v>1</v>
      </c>
      <c r="D657" s="116"/>
      <c r="E657" s="116">
        <v>0</v>
      </c>
      <c r="F657" s="116" t="s">
        <v>3374</v>
      </c>
      <c r="G657" s="162" t="str">
        <f t="shared" si="20"/>
        <v>Serigrafia</v>
      </c>
      <c r="H657" s="161" t="str">
        <f t="shared" si="21"/>
        <v>8h</v>
      </c>
    </row>
    <row r="658" spans="1:8" ht="30" x14ac:dyDescent="0.25">
      <c r="A658" s="10" t="s">
        <v>3432</v>
      </c>
      <c r="B658" s="194">
        <v>0.40416666666666667</v>
      </c>
      <c r="C658" s="116">
        <v>0</v>
      </c>
      <c r="D658" s="116"/>
      <c r="E658" s="116">
        <v>1</v>
      </c>
      <c r="F658" s="116" t="s">
        <v>3370</v>
      </c>
      <c r="G658" s="162" t="str">
        <f t="shared" si="20"/>
        <v>Serigrafia</v>
      </c>
      <c r="H658" s="161" t="str">
        <f t="shared" si="21"/>
        <v>9h</v>
      </c>
    </row>
    <row r="659" spans="1:8" ht="30" x14ac:dyDescent="0.25">
      <c r="A659" s="10" t="s">
        <v>3432</v>
      </c>
      <c r="B659" s="194">
        <v>0.40902777777777777</v>
      </c>
      <c r="C659" s="116">
        <v>1</v>
      </c>
      <c r="D659" s="116"/>
      <c r="E659" s="116">
        <v>1</v>
      </c>
      <c r="F659" s="116" t="s">
        <v>3370</v>
      </c>
      <c r="G659" s="162" t="str">
        <f t="shared" si="20"/>
        <v>Serigrafia</v>
      </c>
      <c r="H659" s="161" t="str">
        <f t="shared" si="21"/>
        <v>9h</v>
      </c>
    </row>
    <row r="660" spans="1:8" ht="30" x14ac:dyDescent="0.25">
      <c r="A660" s="10" t="s">
        <v>3432</v>
      </c>
      <c r="B660" s="194">
        <v>0.43125000000000002</v>
      </c>
      <c r="C660" s="116">
        <v>1</v>
      </c>
      <c r="D660" s="116"/>
      <c r="E660" s="116">
        <v>0</v>
      </c>
      <c r="F660" s="116" t="s">
        <v>3371</v>
      </c>
      <c r="G660" s="162" t="str">
        <f t="shared" si="20"/>
        <v>Serigrafia</v>
      </c>
      <c r="H660" s="161" t="str">
        <f t="shared" si="21"/>
        <v>10h</v>
      </c>
    </row>
    <row r="661" spans="1:8" ht="30" x14ac:dyDescent="0.25">
      <c r="A661" s="10" t="s">
        <v>3432</v>
      </c>
      <c r="B661" s="194">
        <v>0.52569444444444446</v>
      </c>
      <c r="C661" s="116">
        <v>1</v>
      </c>
      <c r="D661" s="116"/>
      <c r="E661" s="116">
        <v>1</v>
      </c>
      <c r="F661" s="116" t="s">
        <v>3367</v>
      </c>
      <c r="G661" s="162" t="str">
        <f t="shared" si="20"/>
        <v>Serigrafia</v>
      </c>
      <c r="H661" s="161" t="str">
        <f t="shared" si="21"/>
        <v>12h</v>
      </c>
    </row>
    <row r="662" spans="1:8" ht="30" x14ac:dyDescent="0.25">
      <c r="A662" s="10" t="s">
        <v>3432</v>
      </c>
      <c r="B662" s="194">
        <v>0.58819444444444446</v>
      </c>
      <c r="C662" s="116">
        <v>1</v>
      </c>
      <c r="D662" s="116"/>
      <c r="E662" s="116">
        <v>0</v>
      </c>
      <c r="F662" s="116" t="s">
        <v>3369</v>
      </c>
      <c r="G662" s="162" t="str">
        <f t="shared" si="20"/>
        <v>Serigrafia</v>
      </c>
      <c r="H662" s="161" t="str">
        <f t="shared" si="21"/>
        <v>14h</v>
      </c>
    </row>
    <row r="663" spans="1:8" ht="30" x14ac:dyDescent="0.25">
      <c r="A663" s="10" t="s">
        <v>3432</v>
      </c>
      <c r="B663" s="194">
        <v>0.87013888888888891</v>
      </c>
      <c r="C663" s="116">
        <v>1</v>
      </c>
      <c r="D663" s="116"/>
      <c r="E663" s="116">
        <v>1</v>
      </c>
      <c r="F663" s="116" t="s">
        <v>3364</v>
      </c>
      <c r="G663" s="162" t="str">
        <f t="shared" si="20"/>
        <v>Serigrafia</v>
      </c>
      <c r="H663" s="161" t="str">
        <f t="shared" si="21"/>
        <v>20h</v>
      </c>
    </row>
    <row r="664" spans="1:8" ht="30" x14ac:dyDescent="0.25">
      <c r="A664" s="10" t="s">
        <v>5460</v>
      </c>
      <c r="B664" s="194">
        <v>0.28125</v>
      </c>
      <c r="C664" s="116">
        <v>1</v>
      </c>
      <c r="D664" s="116">
        <v>2</v>
      </c>
      <c r="E664" s="116">
        <v>0</v>
      </c>
      <c r="F664" s="116" t="s">
        <v>3372</v>
      </c>
      <c r="G664" s="162" t="str">
        <f t="shared" si="20"/>
        <v>Serigrafia</v>
      </c>
      <c r="H664" s="161" t="str">
        <f t="shared" si="21"/>
        <v>6h</v>
      </c>
    </row>
    <row r="665" spans="1:8" ht="30" x14ac:dyDescent="0.25">
      <c r="A665" s="10" t="s">
        <v>5460</v>
      </c>
      <c r="B665" s="194">
        <v>0.3</v>
      </c>
      <c r="C665" s="116">
        <v>1</v>
      </c>
      <c r="D665" s="116">
        <v>2</v>
      </c>
      <c r="E665" s="116">
        <v>0</v>
      </c>
      <c r="F665" s="116" t="s">
        <v>3373</v>
      </c>
      <c r="G665" s="162" t="str">
        <f t="shared" si="20"/>
        <v>Serigrafia</v>
      </c>
      <c r="H665" s="161" t="str">
        <f t="shared" si="21"/>
        <v>7h</v>
      </c>
    </row>
    <row r="666" spans="1:8" ht="30" x14ac:dyDescent="0.25">
      <c r="A666" s="10" t="s">
        <v>5460</v>
      </c>
      <c r="B666" s="194">
        <v>0.3298611111111111</v>
      </c>
      <c r="C666" s="116">
        <v>1</v>
      </c>
      <c r="D666" s="116">
        <v>2</v>
      </c>
      <c r="E666" s="116">
        <v>0</v>
      </c>
      <c r="F666" s="116" t="s">
        <v>3373</v>
      </c>
      <c r="G666" s="162" t="str">
        <f t="shared" si="20"/>
        <v>Serigrafia</v>
      </c>
      <c r="H666" s="161" t="str">
        <f t="shared" si="21"/>
        <v>7h</v>
      </c>
    </row>
    <row r="667" spans="1:8" ht="30" x14ac:dyDescent="0.25">
      <c r="A667" s="10" t="s">
        <v>5460</v>
      </c>
      <c r="B667" s="194">
        <v>0.37291666666666667</v>
      </c>
      <c r="C667" s="116">
        <v>1</v>
      </c>
      <c r="D667" s="116">
        <v>2</v>
      </c>
      <c r="E667" s="116">
        <v>0</v>
      </c>
      <c r="F667" s="116" t="s">
        <v>3374</v>
      </c>
      <c r="G667" s="162" t="str">
        <f t="shared" si="20"/>
        <v>Serigrafia</v>
      </c>
      <c r="H667" s="161" t="str">
        <f t="shared" si="21"/>
        <v>8h</v>
      </c>
    </row>
    <row r="668" spans="1:8" ht="30" x14ac:dyDescent="0.25">
      <c r="A668" s="10" t="s">
        <v>5460</v>
      </c>
      <c r="B668" s="194">
        <v>0.40416666666666667</v>
      </c>
      <c r="C668" s="116">
        <v>1</v>
      </c>
      <c r="D668" s="116">
        <v>2</v>
      </c>
      <c r="E668" s="116">
        <v>0</v>
      </c>
      <c r="F668" s="116" t="s">
        <v>3370</v>
      </c>
      <c r="G668" s="162" t="str">
        <f t="shared" si="20"/>
        <v>Serigrafia</v>
      </c>
      <c r="H668" s="161" t="str">
        <f t="shared" si="21"/>
        <v>9h</v>
      </c>
    </row>
    <row r="669" spans="1:8" ht="30" x14ac:dyDescent="0.25">
      <c r="A669" s="10" t="s">
        <v>5460</v>
      </c>
      <c r="B669" s="194">
        <v>0.41458333333333336</v>
      </c>
      <c r="C669" s="116">
        <v>1</v>
      </c>
      <c r="D669" s="116">
        <v>2</v>
      </c>
      <c r="E669" s="116">
        <v>0</v>
      </c>
      <c r="F669" s="116" t="s">
        <v>3370</v>
      </c>
      <c r="G669" s="162" t="str">
        <f t="shared" si="20"/>
        <v>Serigrafia</v>
      </c>
      <c r="H669" s="161" t="str">
        <f t="shared" si="21"/>
        <v>9h</v>
      </c>
    </row>
    <row r="670" spans="1:8" ht="30" x14ac:dyDescent="0.25">
      <c r="A670" s="10" t="s">
        <v>5460</v>
      </c>
      <c r="B670" s="194">
        <v>0.42083333333333334</v>
      </c>
      <c r="C670" s="116">
        <v>1</v>
      </c>
      <c r="D670" s="116">
        <v>2</v>
      </c>
      <c r="E670" s="116">
        <v>1</v>
      </c>
      <c r="F670" s="116" t="s">
        <v>3371</v>
      </c>
      <c r="G670" s="162" t="str">
        <f t="shared" si="20"/>
        <v>Serigrafia</v>
      </c>
      <c r="H670" s="161" t="str">
        <f t="shared" si="21"/>
        <v>10h</v>
      </c>
    </row>
    <row r="671" spans="1:8" ht="30" x14ac:dyDescent="0.25">
      <c r="A671" s="10" t="s">
        <v>5460</v>
      </c>
      <c r="B671" s="194">
        <v>0.44930555555555557</v>
      </c>
      <c r="C671" s="116">
        <v>1</v>
      </c>
      <c r="D671" s="116">
        <v>2</v>
      </c>
      <c r="E671" s="116">
        <v>0</v>
      </c>
      <c r="F671" s="116" t="s">
        <v>3371</v>
      </c>
      <c r="G671" s="162" t="str">
        <f t="shared" si="20"/>
        <v>Serigrafia</v>
      </c>
      <c r="H671" s="161" t="str">
        <f t="shared" si="21"/>
        <v>10h</v>
      </c>
    </row>
    <row r="672" spans="1:8" ht="30" x14ac:dyDescent="0.25">
      <c r="A672" s="10" t="s">
        <v>5460</v>
      </c>
      <c r="B672" s="194">
        <v>0.53125</v>
      </c>
      <c r="C672" s="116">
        <v>1</v>
      </c>
      <c r="D672" s="116">
        <v>2</v>
      </c>
      <c r="E672" s="116">
        <v>0</v>
      </c>
      <c r="F672" s="116" t="s">
        <v>3367</v>
      </c>
      <c r="G672" s="162" t="str">
        <f t="shared" si="20"/>
        <v>Serigrafia</v>
      </c>
      <c r="H672" s="161" t="str">
        <f t="shared" si="21"/>
        <v>12h</v>
      </c>
    </row>
    <row r="673" spans="1:8" ht="30" x14ac:dyDescent="0.25">
      <c r="A673" s="10" t="s">
        <v>5460</v>
      </c>
      <c r="B673" s="194">
        <v>0.58750000000000002</v>
      </c>
      <c r="C673" s="116">
        <v>1</v>
      </c>
      <c r="D673" s="116">
        <v>2</v>
      </c>
      <c r="E673" s="116">
        <v>0</v>
      </c>
      <c r="F673" s="116" t="s">
        <v>3369</v>
      </c>
      <c r="G673" s="162" t="str">
        <f t="shared" si="20"/>
        <v>Serigrafia</v>
      </c>
      <c r="H673" s="161" t="str">
        <f t="shared" si="21"/>
        <v>14h</v>
      </c>
    </row>
    <row r="674" spans="1:8" ht="30" x14ac:dyDescent="0.25">
      <c r="A674" s="10" t="s">
        <v>5460</v>
      </c>
      <c r="B674" s="194">
        <v>0.62152777777777779</v>
      </c>
      <c r="C674" s="116">
        <v>1</v>
      </c>
      <c r="D674" s="116">
        <v>2</v>
      </c>
      <c r="E674" s="116">
        <v>0</v>
      </c>
      <c r="F674" s="116" t="s">
        <v>3369</v>
      </c>
      <c r="G674" s="162" t="str">
        <f t="shared" si="20"/>
        <v>Serigrafia</v>
      </c>
      <c r="H674" s="161" t="str">
        <f t="shared" si="21"/>
        <v>14h</v>
      </c>
    </row>
    <row r="675" spans="1:8" ht="30" x14ac:dyDescent="0.25">
      <c r="A675" s="10" t="s">
        <v>5460</v>
      </c>
      <c r="B675" s="194">
        <v>0.64652777777777781</v>
      </c>
      <c r="C675" s="116">
        <v>1</v>
      </c>
      <c r="D675" s="116">
        <v>2</v>
      </c>
      <c r="E675" s="116">
        <v>0</v>
      </c>
      <c r="F675" s="116" t="s">
        <v>3358</v>
      </c>
      <c r="G675" s="162" t="str">
        <f t="shared" si="20"/>
        <v>Serigrafia</v>
      </c>
      <c r="H675" s="161" t="str">
        <f t="shared" si="21"/>
        <v>15h</v>
      </c>
    </row>
    <row r="676" spans="1:8" ht="30" x14ac:dyDescent="0.25">
      <c r="A676" s="10" t="s">
        <v>5460</v>
      </c>
      <c r="B676" s="194">
        <v>0.65069444444444446</v>
      </c>
      <c r="C676" s="116">
        <v>1</v>
      </c>
      <c r="D676" s="116">
        <v>2</v>
      </c>
      <c r="E676" s="116">
        <v>1</v>
      </c>
      <c r="F676" s="116" t="s">
        <v>3358</v>
      </c>
      <c r="G676" s="162" t="str">
        <f t="shared" si="20"/>
        <v>Serigrafia</v>
      </c>
      <c r="H676" s="161" t="str">
        <f t="shared" si="21"/>
        <v>15h</v>
      </c>
    </row>
    <row r="677" spans="1:8" ht="30" x14ac:dyDescent="0.25">
      <c r="A677" s="10" t="s">
        <v>5460</v>
      </c>
      <c r="B677" s="194">
        <v>0.66388888888888886</v>
      </c>
      <c r="C677" s="116">
        <v>1</v>
      </c>
      <c r="D677" s="116">
        <v>2</v>
      </c>
      <c r="E677" s="116">
        <v>0</v>
      </c>
      <c r="F677" s="116" t="s">
        <v>3358</v>
      </c>
      <c r="G677" s="162" t="str">
        <f t="shared" si="20"/>
        <v>Serigrafia</v>
      </c>
      <c r="H677" s="161" t="str">
        <f t="shared" si="21"/>
        <v>15h</v>
      </c>
    </row>
    <row r="678" spans="1:8" ht="30" x14ac:dyDescent="0.25">
      <c r="A678" s="10" t="s">
        <v>5460</v>
      </c>
      <c r="B678" s="194">
        <v>0.68680555555555556</v>
      </c>
      <c r="C678" s="116">
        <v>1</v>
      </c>
      <c r="D678" s="116">
        <v>2</v>
      </c>
      <c r="E678" s="116">
        <v>0</v>
      </c>
      <c r="F678" s="116" t="s">
        <v>3363</v>
      </c>
      <c r="G678" s="162" t="str">
        <f t="shared" si="20"/>
        <v>Serigrafia</v>
      </c>
      <c r="H678" s="161" t="str">
        <f t="shared" si="21"/>
        <v>16h</v>
      </c>
    </row>
    <row r="679" spans="1:8" ht="30" x14ac:dyDescent="0.25">
      <c r="A679" s="10" t="s">
        <v>5460</v>
      </c>
      <c r="B679" s="194">
        <v>0.71319444444444446</v>
      </c>
      <c r="C679" s="116">
        <v>1</v>
      </c>
      <c r="D679" s="116">
        <v>2</v>
      </c>
      <c r="E679" s="116">
        <v>0</v>
      </c>
      <c r="F679" s="116" t="s">
        <v>3361</v>
      </c>
      <c r="G679" s="162" t="str">
        <f t="shared" si="20"/>
        <v>Serigrafia</v>
      </c>
      <c r="H679" s="161" t="str">
        <f t="shared" si="21"/>
        <v>17h</v>
      </c>
    </row>
    <row r="680" spans="1:8" ht="30" x14ac:dyDescent="0.25">
      <c r="A680" s="10" t="s">
        <v>5460</v>
      </c>
      <c r="B680" s="194">
        <v>0.7368055555555556</v>
      </c>
      <c r="C680" s="116">
        <v>1</v>
      </c>
      <c r="D680" s="116">
        <v>2</v>
      </c>
      <c r="E680" s="116">
        <v>0</v>
      </c>
      <c r="F680" s="116" t="s">
        <v>3361</v>
      </c>
      <c r="G680" s="162" t="str">
        <f t="shared" si="20"/>
        <v>Serigrafia</v>
      </c>
      <c r="H680" s="161" t="str">
        <f t="shared" si="21"/>
        <v>17h</v>
      </c>
    </row>
    <row r="681" spans="1:8" ht="30" x14ac:dyDescent="0.25">
      <c r="A681" s="10" t="s">
        <v>5460</v>
      </c>
      <c r="B681" s="194">
        <v>0.75138888888888888</v>
      </c>
      <c r="C681" s="116">
        <v>1</v>
      </c>
      <c r="D681" s="116">
        <v>2</v>
      </c>
      <c r="E681" s="116">
        <v>0</v>
      </c>
      <c r="F681" s="116" t="s">
        <v>3359</v>
      </c>
      <c r="G681" s="162" t="str">
        <f t="shared" si="20"/>
        <v>Serigrafia</v>
      </c>
      <c r="H681" s="161" t="str">
        <f t="shared" si="21"/>
        <v>18h</v>
      </c>
    </row>
    <row r="682" spans="1:8" ht="30" x14ac:dyDescent="0.25">
      <c r="A682" s="10" t="s">
        <v>5460</v>
      </c>
      <c r="B682" s="194">
        <v>0.75555555555555554</v>
      </c>
      <c r="C682" s="116">
        <v>1</v>
      </c>
      <c r="D682" s="116">
        <v>2</v>
      </c>
      <c r="E682" s="116">
        <v>1</v>
      </c>
      <c r="F682" s="116" t="s">
        <v>3359</v>
      </c>
      <c r="G682" s="162" t="str">
        <f t="shared" si="20"/>
        <v>Serigrafia</v>
      </c>
      <c r="H682" s="161" t="str">
        <f t="shared" si="21"/>
        <v>18h</v>
      </c>
    </row>
    <row r="683" spans="1:8" ht="30" x14ac:dyDescent="0.25">
      <c r="A683" s="10" t="s">
        <v>5460</v>
      </c>
      <c r="B683" s="194">
        <v>0.76944444444444449</v>
      </c>
      <c r="C683" s="116">
        <v>1</v>
      </c>
      <c r="D683" s="116">
        <v>2</v>
      </c>
      <c r="E683" s="116">
        <v>0</v>
      </c>
      <c r="F683" s="116" t="s">
        <v>3359</v>
      </c>
      <c r="G683" s="162" t="str">
        <f t="shared" si="20"/>
        <v>Serigrafia</v>
      </c>
      <c r="H683" s="161" t="str">
        <f t="shared" si="21"/>
        <v>18h</v>
      </c>
    </row>
    <row r="684" spans="1:8" ht="30" x14ac:dyDescent="0.25">
      <c r="A684" s="10" t="s">
        <v>5460</v>
      </c>
      <c r="B684" s="194">
        <v>0.79861111111111116</v>
      </c>
      <c r="C684" s="116">
        <v>1</v>
      </c>
      <c r="D684" s="116">
        <v>2</v>
      </c>
      <c r="E684" s="116">
        <v>0</v>
      </c>
      <c r="F684" s="116" t="s">
        <v>3366</v>
      </c>
      <c r="G684" s="162" t="str">
        <f t="shared" si="20"/>
        <v>Serigrafia</v>
      </c>
      <c r="H684" s="161" t="str">
        <f t="shared" si="21"/>
        <v>19h</v>
      </c>
    </row>
    <row r="685" spans="1:8" ht="30" x14ac:dyDescent="0.25">
      <c r="A685" s="10" t="s">
        <v>5460</v>
      </c>
      <c r="B685" s="194">
        <v>0.8618055555555556</v>
      </c>
      <c r="C685" s="116">
        <v>1</v>
      </c>
      <c r="D685" s="116">
        <v>2</v>
      </c>
      <c r="E685" s="116">
        <v>0</v>
      </c>
      <c r="F685" s="116" t="s">
        <v>3364</v>
      </c>
      <c r="G685" s="162" t="str">
        <f t="shared" si="20"/>
        <v>Serigrafia</v>
      </c>
      <c r="H685" s="161" t="str">
        <f t="shared" si="21"/>
        <v>20h</v>
      </c>
    </row>
    <row r="686" spans="1:8" ht="30" x14ac:dyDescent="0.25">
      <c r="A686" s="10" t="s">
        <v>5460</v>
      </c>
      <c r="B686" s="194">
        <v>0.88124999999999998</v>
      </c>
      <c r="C686" s="116">
        <v>1</v>
      </c>
      <c r="D686" s="116">
        <v>2</v>
      </c>
      <c r="E686" s="116">
        <v>0</v>
      </c>
      <c r="F686" s="116" t="s">
        <v>3360</v>
      </c>
      <c r="G686" s="162" t="str">
        <f t="shared" si="20"/>
        <v>Serigrafia</v>
      </c>
      <c r="H686" s="161" t="str">
        <f t="shared" si="21"/>
        <v>21h</v>
      </c>
    </row>
    <row r="687" spans="1:8" ht="30" x14ac:dyDescent="0.25">
      <c r="A687" s="10" t="s">
        <v>5460</v>
      </c>
      <c r="B687" s="194">
        <v>0.89097222222222228</v>
      </c>
      <c r="C687" s="116">
        <v>1</v>
      </c>
      <c r="D687" s="116">
        <v>2</v>
      </c>
      <c r="E687" s="116">
        <v>0</v>
      </c>
      <c r="F687" s="116" t="s">
        <v>3360</v>
      </c>
      <c r="G687" s="162" t="str">
        <f t="shared" si="20"/>
        <v>Serigrafia</v>
      </c>
      <c r="H687" s="161" t="str">
        <f t="shared" si="21"/>
        <v>21h</v>
      </c>
    </row>
    <row r="688" spans="1:8" ht="30" x14ac:dyDescent="0.25">
      <c r="A688" s="10" t="s">
        <v>5460</v>
      </c>
      <c r="B688" s="194">
        <v>0.90208333333333335</v>
      </c>
      <c r="C688" s="116">
        <v>1</v>
      </c>
      <c r="D688" s="116">
        <v>2</v>
      </c>
      <c r="E688" s="116">
        <v>1</v>
      </c>
      <c r="F688" s="116" t="s">
        <v>3360</v>
      </c>
      <c r="G688" s="162" t="str">
        <f t="shared" si="20"/>
        <v>Serigrafia</v>
      </c>
      <c r="H688" s="161" t="str">
        <f t="shared" si="21"/>
        <v>21h</v>
      </c>
    </row>
    <row r="689" spans="1:8" ht="30" x14ac:dyDescent="0.25">
      <c r="A689" s="10" t="s">
        <v>5460</v>
      </c>
      <c r="B689" s="194">
        <v>0.91666666666666663</v>
      </c>
      <c r="C689" s="116">
        <v>1</v>
      </c>
      <c r="D689" s="116">
        <v>2</v>
      </c>
      <c r="E689" s="116">
        <v>0</v>
      </c>
      <c r="F689" s="116" t="s">
        <v>3362</v>
      </c>
      <c r="G689" s="162" t="str">
        <f t="shared" si="20"/>
        <v>Serigrafia</v>
      </c>
      <c r="H689" s="161" t="str">
        <f t="shared" si="21"/>
        <v>22h</v>
      </c>
    </row>
    <row r="690" spans="1:8" ht="30" x14ac:dyDescent="0.25">
      <c r="A690" s="10" t="s">
        <v>5460</v>
      </c>
      <c r="B690" s="194">
        <v>0.93472222222222223</v>
      </c>
      <c r="C690" s="116">
        <v>1</v>
      </c>
      <c r="D690" s="116">
        <v>2</v>
      </c>
      <c r="E690" s="116">
        <v>0</v>
      </c>
      <c r="F690" s="116" t="s">
        <v>3362</v>
      </c>
      <c r="G690" s="162" t="str">
        <f t="shared" si="20"/>
        <v>Serigrafia</v>
      </c>
      <c r="H690" s="161" t="str">
        <f t="shared" si="21"/>
        <v>22h</v>
      </c>
    </row>
    <row r="691" spans="1:8" ht="30" x14ac:dyDescent="0.25">
      <c r="A691" s="10" t="s">
        <v>5460</v>
      </c>
      <c r="B691" s="194">
        <v>0.94305555555555554</v>
      </c>
      <c r="C691" s="116">
        <v>1</v>
      </c>
      <c r="D691" s="116">
        <v>2</v>
      </c>
      <c r="E691" s="116">
        <v>0</v>
      </c>
      <c r="F691" s="116" t="s">
        <v>3362</v>
      </c>
      <c r="G691" s="162" t="str">
        <f t="shared" si="20"/>
        <v>Serigrafia</v>
      </c>
      <c r="H691" s="161" t="str">
        <f t="shared" si="21"/>
        <v>22h</v>
      </c>
    </row>
    <row r="692" spans="1:8" ht="30" x14ac:dyDescent="0.25">
      <c r="A692" s="10" t="s">
        <v>5460</v>
      </c>
      <c r="B692" s="194">
        <v>0.95277777777777772</v>
      </c>
      <c r="C692" s="116">
        <v>1</v>
      </c>
      <c r="D692" s="116">
        <v>5</v>
      </c>
      <c r="E692" s="116">
        <v>1</v>
      </c>
      <c r="F692" s="116" t="s">
        <v>3362</v>
      </c>
      <c r="G692" s="162" t="str">
        <f t="shared" si="20"/>
        <v>Serigrafia</v>
      </c>
      <c r="H692" s="161" t="str">
        <f t="shared" si="21"/>
        <v>22h</v>
      </c>
    </row>
    <row r="693" spans="1:8" ht="30" x14ac:dyDescent="0.25">
      <c r="A693" s="10" t="s">
        <v>5460</v>
      </c>
      <c r="B693" s="194">
        <v>0.97152777777777777</v>
      </c>
      <c r="C693" s="116">
        <v>1</v>
      </c>
      <c r="D693" s="116">
        <v>5</v>
      </c>
      <c r="E693" s="116">
        <v>0</v>
      </c>
      <c r="F693" s="116" t="s">
        <v>3365</v>
      </c>
      <c r="G693" s="162" t="str">
        <f t="shared" si="20"/>
        <v>Serigrafia</v>
      </c>
      <c r="H693" s="161" t="str">
        <f t="shared" si="21"/>
        <v>23h</v>
      </c>
    </row>
    <row r="694" spans="1:8" ht="30" x14ac:dyDescent="0.25">
      <c r="A694" s="10" t="s">
        <v>5467</v>
      </c>
      <c r="B694" s="194">
        <v>0.29375000000000001</v>
      </c>
      <c r="C694" s="116">
        <v>1</v>
      </c>
      <c r="D694" s="116"/>
      <c r="E694" s="116">
        <v>0</v>
      </c>
      <c r="F694" s="116" t="s">
        <v>3373</v>
      </c>
      <c r="G694" s="162" t="str">
        <f t="shared" si="20"/>
        <v>Serigrafia</v>
      </c>
      <c r="H694" s="161" t="str">
        <f t="shared" si="21"/>
        <v>7h</v>
      </c>
    </row>
    <row r="695" spans="1:8" ht="30" x14ac:dyDescent="0.25">
      <c r="A695" s="10" t="s">
        <v>5467</v>
      </c>
      <c r="B695" s="194">
        <v>0.33750000000000002</v>
      </c>
      <c r="C695" s="116">
        <v>1</v>
      </c>
      <c r="D695" s="116"/>
      <c r="E695" s="116">
        <v>0</v>
      </c>
      <c r="F695" s="116" t="s">
        <v>3374</v>
      </c>
      <c r="G695" s="162" t="str">
        <f t="shared" si="20"/>
        <v>Serigrafia</v>
      </c>
      <c r="H695" s="161" t="str">
        <f t="shared" si="21"/>
        <v>8h</v>
      </c>
    </row>
    <row r="696" spans="1:8" ht="30" x14ac:dyDescent="0.25">
      <c r="A696" s="10" t="s">
        <v>5467</v>
      </c>
      <c r="B696" s="194">
        <v>0.41388888888888886</v>
      </c>
      <c r="C696" s="116">
        <v>1</v>
      </c>
      <c r="D696" s="116"/>
      <c r="E696" s="116">
        <v>0</v>
      </c>
      <c r="F696" s="116" t="s">
        <v>3370</v>
      </c>
      <c r="G696" s="162" t="str">
        <f t="shared" si="20"/>
        <v>Serigrafia</v>
      </c>
      <c r="H696" s="161" t="str">
        <f t="shared" si="21"/>
        <v>9h</v>
      </c>
    </row>
    <row r="697" spans="1:8" ht="30" x14ac:dyDescent="0.25">
      <c r="A697" s="10" t="s">
        <v>5467</v>
      </c>
      <c r="B697" s="194">
        <v>0.52708333333333335</v>
      </c>
      <c r="C697" s="116">
        <v>1</v>
      </c>
      <c r="D697" s="116"/>
      <c r="E697" s="116">
        <v>0</v>
      </c>
      <c r="F697" s="116" t="s">
        <v>3367</v>
      </c>
      <c r="G697" s="162" t="str">
        <f t="shared" si="20"/>
        <v>Serigrafia</v>
      </c>
      <c r="H697" s="161" t="str">
        <f t="shared" si="21"/>
        <v>12h</v>
      </c>
    </row>
    <row r="698" spans="1:8" ht="30" x14ac:dyDescent="0.25">
      <c r="A698" s="10" t="s">
        <v>5467</v>
      </c>
      <c r="B698" s="194">
        <v>0.6166666666666667</v>
      </c>
      <c r="C698" s="116">
        <v>1</v>
      </c>
      <c r="D698" s="116"/>
      <c r="E698" s="116">
        <v>0</v>
      </c>
      <c r="F698" s="116" t="s">
        <v>3369</v>
      </c>
      <c r="G698" s="162" t="str">
        <f t="shared" si="20"/>
        <v>Serigrafia</v>
      </c>
      <c r="H698" s="161" t="str">
        <f t="shared" si="21"/>
        <v>14h</v>
      </c>
    </row>
    <row r="699" spans="1:8" ht="30" x14ac:dyDescent="0.25">
      <c r="A699" s="10" t="s">
        <v>5467</v>
      </c>
      <c r="B699" s="194">
        <v>0.70486111111111116</v>
      </c>
      <c r="C699" s="116">
        <v>1</v>
      </c>
      <c r="D699" s="116"/>
      <c r="E699" s="116">
        <v>0</v>
      </c>
      <c r="F699" s="116" t="s">
        <v>3363</v>
      </c>
      <c r="G699" s="162" t="str">
        <f t="shared" si="20"/>
        <v>Serigrafia</v>
      </c>
      <c r="H699" s="161" t="str">
        <f t="shared" si="21"/>
        <v>16h</v>
      </c>
    </row>
    <row r="700" spans="1:8" ht="30" x14ac:dyDescent="0.25">
      <c r="A700" s="10" t="s">
        <v>5467</v>
      </c>
      <c r="B700" s="194">
        <v>0.7680555555555556</v>
      </c>
      <c r="C700" s="116">
        <v>1</v>
      </c>
      <c r="D700" s="116"/>
      <c r="E700" s="116">
        <v>0</v>
      </c>
      <c r="F700" s="116" t="s">
        <v>3359</v>
      </c>
      <c r="G700" s="162" t="str">
        <f t="shared" si="20"/>
        <v>Serigrafia</v>
      </c>
      <c r="H700" s="161" t="str">
        <f t="shared" si="21"/>
        <v>18h</v>
      </c>
    </row>
    <row r="701" spans="1:8" ht="30" x14ac:dyDescent="0.25">
      <c r="A701" s="10" t="s">
        <v>5467</v>
      </c>
      <c r="B701" s="194">
        <v>0.8569444444444444</v>
      </c>
      <c r="C701" s="116">
        <v>1</v>
      </c>
      <c r="D701" s="116"/>
      <c r="E701" s="116">
        <v>0</v>
      </c>
      <c r="F701" s="116" t="s">
        <v>3364</v>
      </c>
      <c r="G701" s="162" t="str">
        <f t="shared" si="20"/>
        <v>Serigrafia</v>
      </c>
      <c r="H701" s="161" t="str">
        <f t="shared" si="21"/>
        <v>20h</v>
      </c>
    </row>
    <row r="702" spans="1:8" ht="30" x14ac:dyDescent="0.25">
      <c r="A702" s="10" t="s">
        <v>5467</v>
      </c>
      <c r="B702" s="194">
        <v>0.86527777777777781</v>
      </c>
      <c r="C702" s="116">
        <v>1</v>
      </c>
      <c r="D702" s="116"/>
      <c r="E702" s="116">
        <v>1</v>
      </c>
      <c r="F702" s="116" t="s">
        <v>3364</v>
      </c>
      <c r="G702" s="162" t="str">
        <f t="shared" si="20"/>
        <v>Serigrafia</v>
      </c>
      <c r="H702" s="161" t="str">
        <f t="shared" si="21"/>
        <v>20h</v>
      </c>
    </row>
    <row r="703" spans="1:8" ht="30" x14ac:dyDescent="0.25">
      <c r="A703" s="10" t="s">
        <v>5467</v>
      </c>
      <c r="B703" s="194">
        <v>0.87708333333333333</v>
      </c>
      <c r="C703" s="116">
        <v>1</v>
      </c>
      <c r="D703" s="116"/>
      <c r="E703" s="116">
        <v>0</v>
      </c>
      <c r="F703" s="116" t="s">
        <v>3360</v>
      </c>
      <c r="G703" s="162" t="str">
        <f t="shared" si="20"/>
        <v>Serigrafia</v>
      </c>
      <c r="H703" s="161" t="str">
        <f t="shared" si="21"/>
        <v>21h</v>
      </c>
    </row>
    <row r="704" spans="1:8" ht="30" x14ac:dyDescent="0.25">
      <c r="A704" s="10" t="s">
        <v>5467</v>
      </c>
      <c r="B704" s="194">
        <v>0.89375000000000004</v>
      </c>
      <c r="C704" s="116">
        <v>1</v>
      </c>
      <c r="D704" s="116"/>
      <c r="E704" s="116">
        <v>0</v>
      </c>
      <c r="F704" s="116" t="s">
        <v>3360</v>
      </c>
      <c r="G704" s="162" t="str">
        <f t="shared" si="20"/>
        <v>Serigrafia</v>
      </c>
      <c r="H704" s="161" t="str">
        <f t="shared" si="21"/>
        <v>21h</v>
      </c>
    </row>
    <row r="705" spans="1:8" ht="30" x14ac:dyDescent="0.25">
      <c r="A705" s="10" t="s">
        <v>5467</v>
      </c>
      <c r="B705" s="194">
        <v>0.91041666666666665</v>
      </c>
      <c r="C705" s="116">
        <v>1</v>
      </c>
      <c r="D705" s="116"/>
      <c r="E705" s="116">
        <v>0</v>
      </c>
      <c r="F705" s="116" t="s">
        <v>3360</v>
      </c>
      <c r="G705" s="162" t="str">
        <f t="shared" si="20"/>
        <v>Serigrafia</v>
      </c>
      <c r="H705" s="161" t="str">
        <f t="shared" si="21"/>
        <v>21h</v>
      </c>
    </row>
    <row r="706" spans="1:8" ht="30" x14ac:dyDescent="0.25">
      <c r="A706" s="10" t="s">
        <v>5467</v>
      </c>
      <c r="B706" s="194">
        <v>0.93472222222222223</v>
      </c>
      <c r="C706" s="116">
        <v>1</v>
      </c>
      <c r="D706" s="116"/>
      <c r="E706" s="116">
        <v>0</v>
      </c>
      <c r="F706" s="116" t="s">
        <v>3362</v>
      </c>
      <c r="G706" s="162" t="str">
        <f t="shared" si="20"/>
        <v>Serigrafia</v>
      </c>
      <c r="H706" s="161" t="str">
        <f t="shared" si="21"/>
        <v>22h</v>
      </c>
    </row>
    <row r="707" spans="1:8" ht="30" x14ac:dyDescent="0.25">
      <c r="A707" s="10" t="s">
        <v>5467</v>
      </c>
      <c r="B707" s="194">
        <v>0.95902777777777781</v>
      </c>
      <c r="C707" s="116">
        <v>1</v>
      </c>
      <c r="D707" s="116"/>
      <c r="E707" s="116">
        <v>0</v>
      </c>
      <c r="F707" s="116" t="s">
        <v>3365</v>
      </c>
      <c r="G707" s="162" t="str">
        <f t="shared" ref="G707:G770" si="22">IF(LEFT(A707,3)="S7P","Pintura",IF(LEFT(A707,3)="S7M","Montagem",
IF(LEFT(A707,3)="S7S","Serigrafia"," ")))</f>
        <v>Serigrafia</v>
      </c>
      <c r="H707" s="161" t="str">
        <f t="shared" ref="H707:H770" si="23">VALUE(LEFT(F707,2))&amp;"h"</f>
        <v>23h</v>
      </c>
    </row>
    <row r="708" spans="1:8" ht="30" x14ac:dyDescent="0.25">
      <c r="A708" s="10" t="s">
        <v>5467</v>
      </c>
      <c r="B708" s="194">
        <v>0.96388888888888891</v>
      </c>
      <c r="C708" s="116">
        <v>1</v>
      </c>
      <c r="D708" s="116"/>
      <c r="E708" s="116">
        <v>0</v>
      </c>
      <c r="F708" s="116" t="s">
        <v>3365</v>
      </c>
      <c r="G708" s="162" t="str">
        <f t="shared" si="22"/>
        <v>Serigrafia</v>
      </c>
      <c r="H708" s="161" t="str">
        <f t="shared" si="23"/>
        <v>23h</v>
      </c>
    </row>
    <row r="709" spans="1:8" ht="30" x14ac:dyDescent="0.25">
      <c r="A709" s="10" t="s">
        <v>5467</v>
      </c>
      <c r="B709" s="194">
        <v>0.96736111111111112</v>
      </c>
      <c r="C709" s="116">
        <v>1</v>
      </c>
      <c r="D709" s="116"/>
      <c r="E709" s="116">
        <v>0</v>
      </c>
      <c r="F709" s="116" t="s">
        <v>3365</v>
      </c>
      <c r="G709" s="162" t="str">
        <f t="shared" si="22"/>
        <v>Serigrafia</v>
      </c>
      <c r="H709" s="161" t="str">
        <f t="shared" si="23"/>
        <v>23h</v>
      </c>
    </row>
    <row r="710" spans="1:8" ht="30" x14ac:dyDescent="0.25">
      <c r="A710" s="10" t="s">
        <v>5467</v>
      </c>
      <c r="B710" s="194">
        <v>0.97430555555555554</v>
      </c>
      <c r="C710" s="116">
        <v>1</v>
      </c>
      <c r="D710" s="116"/>
      <c r="E710" s="116">
        <v>1</v>
      </c>
      <c r="F710" s="116" t="s">
        <v>3365</v>
      </c>
      <c r="G710" s="162" t="str">
        <f t="shared" si="22"/>
        <v>Serigrafia</v>
      </c>
      <c r="H710" s="161" t="str">
        <f t="shared" si="23"/>
        <v>23h</v>
      </c>
    </row>
    <row r="711" spans="1:8" ht="30" x14ac:dyDescent="0.25">
      <c r="A711" s="10" t="s">
        <v>426</v>
      </c>
      <c r="B711" s="194">
        <v>0.28194444444444444</v>
      </c>
      <c r="C711" s="116">
        <v>1</v>
      </c>
      <c r="D711" s="116"/>
      <c r="E711" s="116">
        <v>0</v>
      </c>
      <c r="F711" s="116" t="s">
        <v>3372</v>
      </c>
      <c r="G711" s="162" t="str">
        <f t="shared" si="22"/>
        <v>Serigrafia</v>
      </c>
      <c r="H711" s="161" t="str">
        <f t="shared" si="23"/>
        <v>6h</v>
      </c>
    </row>
    <row r="712" spans="1:8" ht="30" x14ac:dyDescent="0.25">
      <c r="A712" s="10" t="s">
        <v>426</v>
      </c>
      <c r="B712" s="194">
        <v>0.28541666666666665</v>
      </c>
      <c r="C712" s="116">
        <v>1</v>
      </c>
      <c r="D712" s="116"/>
      <c r="E712" s="116">
        <v>0</v>
      </c>
      <c r="F712" s="116" t="s">
        <v>3372</v>
      </c>
      <c r="G712" s="162" t="str">
        <f t="shared" si="22"/>
        <v>Serigrafia</v>
      </c>
      <c r="H712" s="161" t="str">
        <f t="shared" si="23"/>
        <v>6h</v>
      </c>
    </row>
    <row r="713" spans="1:8" ht="30" x14ac:dyDescent="0.25">
      <c r="A713" s="10" t="s">
        <v>426</v>
      </c>
      <c r="B713" s="194">
        <v>0.28888888888888886</v>
      </c>
      <c r="C713" s="116">
        <v>1</v>
      </c>
      <c r="D713" s="116"/>
      <c r="E713" s="116">
        <v>0</v>
      </c>
      <c r="F713" s="116" t="s">
        <v>3372</v>
      </c>
      <c r="G713" s="162" t="str">
        <f t="shared" si="22"/>
        <v>Serigrafia</v>
      </c>
      <c r="H713" s="161" t="str">
        <f t="shared" si="23"/>
        <v>6h</v>
      </c>
    </row>
    <row r="714" spans="1:8" ht="30" x14ac:dyDescent="0.25">
      <c r="A714" s="10" t="s">
        <v>426</v>
      </c>
      <c r="B714" s="194">
        <v>0.31458333333333333</v>
      </c>
      <c r="C714" s="116">
        <v>1</v>
      </c>
      <c r="D714" s="116">
        <v>3</v>
      </c>
      <c r="E714" s="116">
        <v>1</v>
      </c>
      <c r="F714" s="116" t="s">
        <v>3373</v>
      </c>
      <c r="G714" s="162" t="str">
        <f t="shared" si="22"/>
        <v>Serigrafia</v>
      </c>
      <c r="H714" s="161" t="str">
        <f t="shared" si="23"/>
        <v>7h</v>
      </c>
    </row>
    <row r="715" spans="1:8" ht="30" x14ac:dyDescent="0.25">
      <c r="A715" s="10" t="s">
        <v>426</v>
      </c>
      <c r="B715" s="194">
        <v>0.38750000000000001</v>
      </c>
      <c r="C715" s="116">
        <v>1</v>
      </c>
      <c r="D715" s="116">
        <v>3</v>
      </c>
      <c r="E715" s="116">
        <v>0</v>
      </c>
      <c r="F715" s="116" t="s">
        <v>3370</v>
      </c>
      <c r="G715" s="162" t="str">
        <f t="shared" si="22"/>
        <v>Serigrafia</v>
      </c>
      <c r="H715" s="161" t="str">
        <f t="shared" si="23"/>
        <v>9h</v>
      </c>
    </row>
    <row r="716" spans="1:8" ht="30" x14ac:dyDescent="0.25">
      <c r="A716" s="10" t="s">
        <v>426</v>
      </c>
      <c r="B716" s="194">
        <v>0.40555555555555556</v>
      </c>
      <c r="C716" s="116">
        <v>1</v>
      </c>
      <c r="D716" s="116">
        <v>3</v>
      </c>
      <c r="E716" s="116">
        <v>0</v>
      </c>
      <c r="F716" s="116" t="s">
        <v>3370</v>
      </c>
      <c r="G716" s="162" t="str">
        <f t="shared" si="22"/>
        <v>Serigrafia</v>
      </c>
      <c r="H716" s="161" t="str">
        <f t="shared" si="23"/>
        <v>9h</v>
      </c>
    </row>
    <row r="717" spans="1:8" ht="30" x14ac:dyDescent="0.25">
      <c r="A717" s="10" t="s">
        <v>426</v>
      </c>
      <c r="B717" s="194">
        <v>0.42222222222222222</v>
      </c>
      <c r="C717" s="116">
        <v>0</v>
      </c>
      <c r="D717" s="116">
        <v>3</v>
      </c>
      <c r="E717" s="116">
        <v>1</v>
      </c>
      <c r="F717" s="116" t="s">
        <v>3371</v>
      </c>
      <c r="G717" s="162" t="str">
        <f t="shared" si="22"/>
        <v>Serigrafia</v>
      </c>
      <c r="H717" s="161" t="str">
        <f t="shared" si="23"/>
        <v>10h</v>
      </c>
    </row>
    <row r="718" spans="1:8" ht="30" x14ac:dyDescent="0.25">
      <c r="A718" s="10" t="s">
        <v>426</v>
      </c>
      <c r="B718" s="194">
        <v>0.43402777777777779</v>
      </c>
      <c r="C718" s="116">
        <v>1</v>
      </c>
      <c r="D718" s="116">
        <v>3</v>
      </c>
      <c r="E718" s="116">
        <v>0</v>
      </c>
      <c r="F718" s="116" t="s">
        <v>3371</v>
      </c>
      <c r="G718" s="162" t="str">
        <f t="shared" si="22"/>
        <v>Serigrafia</v>
      </c>
      <c r="H718" s="161" t="str">
        <f t="shared" si="23"/>
        <v>10h</v>
      </c>
    </row>
    <row r="719" spans="1:8" ht="30" x14ac:dyDescent="0.25">
      <c r="A719" s="10" t="s">
        <v>426</v>
      </c>
      <c r="B719" s="194">
        <v>0.5131944444444444</v>
      </c>
      <c r="C719" s="116">
        <v>1</v>
      </c>
      <c r="D719" s="116">
        <v>3</v>
      </c>
      <c r="E719" s="116">
        <v>0</v>
      </c>
      <c r="F719" s="116" t="s">
        <v>3367</v>
      </c>
      <c r="G719" s="162" t="str">
        <f t="shared" si="22"/>
        <v>Serigrafia</v>
      </c>
      <c r="H719" s="161" t="str">
        <f t="shared" si="23"/>
        <v>12h</v>
      </c>
    </row>
    <row r="720" spans="1:8" ht="30" x14ac:dyDescent="0.25">
      <c r="A720" s="10" t="s">
        <v>426</v>
      </c>
      <c r="B720" s="194">
        <v>0.61250000000000004</v>
      </c>
      <c r="C720" s="116">
        <v>0</v>
      </c>
      <c r="D720" s="116">
        <v>1</v>
      </c>
      <c r="E720" s="116">
        <v>1</v>
      </c>
      <c r="F720" s="116" t="s">
        <v>3369</v>
      </c>
      <c r="G720" s="162" t="str">
        <f t="shared" si="22"/>
        <v>Serigrafia</v>
      </c>
      <c r="H720" s="161" t="str">
        <f t="shared" si="23"/>
        <v>14h</v>
      </c>
    </row>
    <row r="721" spans="1:8" ht="30" x14ac:dyDescent="0.25">
      <c r="A721" s="10" t="s">
        <v>426</v>
      </c>
      <c r="B721" s="194">
        <v>0.62916666666666665</v>
      </c>
      <c r="C721" s="116">
        <v>1</v>
      </c>
      <c r="D721" s="116">
        <v>1</v>
      </c>
      <c r="E721" s="116">
        <v>0</v>
      </c>
      <c r="F721" s="116" t="s">
        <v>3358</v>
      </c>
      <c r="G721" s="162" t="str">
        <f t="shared" si="22"/>
        <v>Serigrafia</v>
      </c>
      <c r="H721" s="161" t="str">
        <f t="shared" si="23"/>
        <v>15h</v>
      </c>
    </row>
    <row r="722" spans="1:8" ht="30" x14ac:dyDescent="0.25">
      <c r="A722" s="10" t="s">
        <v>426</v>
      </c>
      <c r="B722" s="194">
        <v>0.64236111111111116</v>
      </c>
      <c r="C722" s="116">
        <v>1</v>
      </c>
      <c r="D722" s="116">
        <v>4</v>
      </c>
      <c r="E722" s="116">
        <v>1</v>
      </c>
      <c r="F722" s="116" t="s">
        <v>3358</v>
      </c>
      <c r="G722" s="162" t="str">
        <f t="shared" si="22"/>
        <v>Serigrafia</v>
      </c>
      <c r="H722" s="161" t="str">
        <f t="shared" si="23"/>
        <v>15h</v>
      </c>
    </row>
    <row r="723" spans="1:8" ht="30" x14ac:dyDescent="0.25">
      <c r="A723" s="10" t="s">
        <v>426</v>
      </c>
      <c r="B723" s="194">
        <v>0.64583333333333337</v>
      </c>
      <c r="C723" s="116">
        <v>1</v>
      </c>
      <c r="D723" s="116">
        <v>3</v>
      </c>
      <c r="E723" s="116">
        <v>1</v>
      </c>
      <c r="F723" s="116" t="s">
        <v>3358</v>
      </c>
      <c r="G723" s="162" t="str">
        <f t="shared" si="22"/>
        <v>Serigrafia</v>
      </c>
      <c r="H723" s="161" t="str">
        <f t="shared" si="23"/>
        <v>15h</v>
      </c>
    </row>
    <row r="724" spans="1:8" ht="30" x14ac:dyDescent="0.25">
      <c r="A724" s="10" t="s">
        <v>426</v>
      </c>
      <c r="B724" s="194">
        <v>0.65208333333333335</v>
      </c>
      <c r="C724" s="116">
        <v>1</v>
      </c>
      <c r="D724" s="116">
        <v>3</v>
      </c>
      <c r="E724" s="116">
        <v>0</v>
      </c>
      <c r="F724" s="116" t="s">
        <v>3358</v>
      </c>
      <c r="G724" s="162" t="str">
        <f t="shared" si="22"/>
        <v>Serigrafia</v>
      </c>
      <c r="H724" s="161" t="str">
        <f t="shared" si="23"/>
        <v>15h</v>
      </c>
    </row>
    <row r="725" spans="1:8" ht="30" x14ac:dyDescent="0.25">
      <c r="A725" s="10" t="s">
        <v>426</v>
      </c>
      <c r="B725" s="194">
        <v>0.65902777777777777</v>
      </c>
      <c r="C725" s="116">
        <v>1</v>
      </c>
      <c r="D725" s="116">
        <v>3</v>
      </c>
      <c r="E725" s="116">
        <v>0</v>
      </c>
      <c r="F725" s="116" t="s">
        <v>3358</v>
      </c>
      <c r="G725" s="162" t="str">
        <f t="shared" si="22"/>
        <v>Serigrafia</v>
      </c>
      <c r="H725" s="161" t="str">
        <f t="shared" si="23"/>
        <v>15h</v>
      </c>
    </row>
    <row r="726" spans="1:8" ht="30" x14ac:dyDescent="0.25">
      <c r="A726" s="10" t="s">
        <v>426</v>
      </c>
      <c r="B726" s="194">
        <v>0.66597222222222219</v>
      </c>
      <c r="C726" s="116">
        <v>1</v>
      </c>
      <c r="D726" s="116">
        <v>3</v>
      </c>
      <c r="E726" s="116">
        <v>0</v>
      </c>
      <c r="F726" s="116" t="s">
        <v>3358</v>
      </c>
      <c r="G726" s="162" t="str">
        <f t="shared" si="22"/>
        <v>Serigrafia</v>
      </c>
      <c r="H726" s="161" t="str">
        <f t="shared" si="23"/>
        <v>15h</v>
      </c>
    </row>
    <row r="727" spans="1:8" ht="30" x14ac:dyDescent="0.25">
      <c r="A727" s="10" t="s">
        <v>426</v>
      </c>
      <c r="B727" s="194">
        <v>0.66805555555555551</v>
      </c>
      <c r="C727" s="116">
        <v>1</v>
      </c>
      <c r="D727" s="116">
        <v>4</v>
      </c>
      <c r="E727" s="116">
        <v>1</v>
      </c>
      <c r="F727" s="116" t="s">
        <v>3363</v>
      </c>
      <c r="G727" s="162" t="str">
        <f t="shared" si="22"/>
        <v>Serigrafia</v>
      </c>
      <c r="H727" s="161" t="str">
        <f t="shared" si="23"/>
        <v>16h</v>
      </c>
    </row>
    <row r="728" spans="1:8" ht="30" x14ac:dyDescent="0.25">
      <c r="A728" s="10" t="s">
        <v>426</v>
      </c>
      <c r="B728" s="194">
        <v>0.67638888888888893</v>
      </c>
      <c r="C728" s="116">
        <v>1</v>
      </c>
      <c r="D728" s="116">
        <v>1</v>
      </c>
      <c r="E728" s="116">
        <v>1</v>
      </c>
      <c r="F728" s="116" t="s">
        <v>3363</v>
      </c>
      <c r="G728" s="162" t="str">
        <f t="shared" si="22"/>
        <v>Serigrafia</v>
      </c>
      <c r="H728" s="161" t="str">
        <f t="shared" si="23"/>
        <v>16h</v>
      </c>
    </row>
    <row r="729" spans="1:8" ht="30" x14ac:dyDescent="0.25">
      <c r="A729" s="10" t="s">
        <v>426</v>
      </c>
      <c r="B729" s="194">
        <v>0.69166666666666665</v>
      </c>
      <c r="C729" s="116">
        <v>1</v>
      </c>
      <c r="D729" s="116">
        <v>1</v>
      </c>
      <c r="E729" s="116">
        <v>0</v>
      </c>
      <c r="F729" s="116" t="s">
        <v>3363</v>
      </c>
      <c r="G729" s="162" t="str">
        <f t="shared" si="22"/>
        <v>Serigrafia</v>
      </c>
      <c r="H729" s="161" t="str">
        <f t="shared" si="23"/>
        <v>16h</v>
      </c>
    </row>
    <row r="730" spans="1:8" ht="30" x14ac:dyDescent="0.25">
      <c r="A730" s="10" t="s">
        <v>426</v>
      </c>
      <c r="B730" s="194">
        <v>0.70486111111111116</v>
      </c>
      <c r="C730" s="116">
        <v>1</v>
      </c>
      <c r="D730" s="116">
        <v>1</v>
      </c>
      <c r="E730" s="116">
        <v>0</v>
      </c>
      <c r="F730" s="116" t="s">
        <v>3363</v>
      </c>
      <c r="G730" s="162" t="str">
        <f t="shared" si="22"/>
        <v>Serigrafia</v>
      </c>
      <c r="H730" s="161" t="str">
        <f t="shared" si="23"/>
        <v>16h</v>
      </c>
    </row>
    <row r="731" spans="1:8" ht="30" x14ac:dyDescent="0.25">
      <c r="A731" s="10" t="s">
        <v>426</v>
      </c>
      <c r="B731" s="194">
        <v>0.71250000000000002</v>
      </c>
      <c r="C731" s="116">
        <v>1</v>
      </c>
      <c r="D731" s="116">
        <v>1</v>
      </c>
      <c r="E731" s="116">
        <v>0</v>
      </c>
      <c r="F731" s="116" t="s">
        <v>3361</v>
      </c>
      <c r="G731" s="162" t="str">
        <f t="shared" si="22"/>
        <v>Serigrafia</v>
      </c>
      <c r="H731" s="161" t="str">
        <f t="shared" si="23"/>
        <v>17h</v>
      </c>
    </row>
    <row r="732" spans="1:8" ht="30" x14ac:dyDescent="0.25">
      <c r="A732" s="10" t="s">
        <v>426</v>
      </c>
      <c r="B732" s="194">
        <v>0.72986111111111107</v>
      </c>
      <c r="C732" s="116">
        <v>1</v>
      </c>
      <c r="D732" s="116">
        <v>1</v>
      </c>
      <c r="E732" s="116">
        <v>1</v>
      </c>
      <c r="F732" s="116" t="s">
        <v>3361</v>
      </c>
      <c r="G732" s="162" t="str">
        <f t="shared" si="22"/>
        <v>Serigrafia</v>
      </c>
      <c r="H732" s="161" t="str">
        <f t="shared" si="23"/>
        <v>17h</v>
      </c>
    </row>
    <row r="733" spans="1:8" ht="30" x14ac:dyDescent="0.25">
      <c r="A733" s="10" t="s">
        <v>426</v>
      </c>
      <c r="B733" s="194">
        <v>0.74236111111111114</v>
      </c>
      <c r="C733" s="116">
        <v>1</v>
      </c>
      <c r="D733" s="116">
        <v>1</v>
      </c>
      <c r="E733" s="116">
        <v>0</v>
      </c>
      <c r="F733" s="116" t="s">
        <v>3361</v>
      </c>
      <c r="G733" s="162" t="str">
        <f t="shared" si="22"/>
        <v>Serigrafia</v>
      </c>
      <c r="H733" s="161" t="str">
        <f t="shared" si="23"/>
        <v>17h</v>
      </c>
    </row>
    <row r="734" spans="1:8" ht="30" x14ac:dyDescent="0.25">
      <c r="A734" s="10" t="s">
        <v>426</v>
      </c>
      <c r="B734" s="194">
        <v>0.74791666666666667</v>
      </c>
      <c r="C734" s="116">
        <v>1</v>
      </c>
      <c r="D734" s="116">
        <v>1</v>
      </c>
      <c r="E734" s="116">
        <v>0</v>
      </c>
      <c r="F734" s="116" t="s">
        <v>3361</v>
      </c>
      <c r="G734" s="162" t="str">
        <f t="shared" si="22"/>
        <v>Serigrafia</v>
      </c>
      <c r="H734" s="161" t="str">
        <f t="shared" si="23"/>
        <v>17h</v>
      </c>
    </row>
    <row r="735" spans="1:8" ht="30" x14ac:dyDescent="0.25">
      <c r="A735" s="10" t="s">
        <v>426</v>
      </c>
      <c r="B735" s="194">
        <v>0.75694444444444442</v>
      </c>
      <c r="C735" s="116">
        <v>1</v>
      </c>
      <c r="D735" s="116">
        <v>1</v>
      </c>
      <c r="E735" s="116">
        <v>1</v>
      </c>
      <c r="F735" s="116" t="s">
        <v>3359</v>
      </c>
      <c r="G735" s="162" t="str">
        <f t="shared" si="22"/>
        <v>Serigrafia</v>
      </c>
      <c r="H735" s="161" t="str">
        <f t="shared" si="23"/>
        <v>18h</v>
      </c>
    </row>
    <row r="736" spans="1:8" ht="30" x14ac:dyDescent="0.25">
      <c r="A736" s="10" t="s">
        <v>426</v>
      </c>
      <c r="B736" s="194">
        <v>0.78888888888888886</v>
      </c>
      <c r="C736" s="116">
        <v>1</v>
      </c>
      <c r="D736" s="116">
        <v>1</v>
      </c>
      <c r="E736" s="116">
        <v>0</v>
      </c>
      <c r="F736" s="116" t="s">
        <v>3359</v>
      </c>
      <c r="G736" s="162" t="str">
        <f t="shared" si="22"/>
        <v>Serigrafia</v>
      </c>
      <c r="H736" s="161" t="str">
        <f t="shared" si="23"/>
        <v>18h</v>
      </c>
    </row>
    <row r="737" spans="1:8" ht="30" x14ac:dyDescent="0.25">
      <c r="A737" s="10" t="s">
        <v>426</v>
      </c>
      <c r="B737" s="194">
        <v>0.8618055555555556</v>
      </c>
      <c r="C737" s="116">
        <v>1</v>
      </c>
      <c r="D737" s="116">
        <v>1</v>
      </c>
      <c r="E737" s="116">
        <v>0</v>
      </c>
      <c r="F737" s="116" t="s">
        <v>3364</v>
      </c>
      <c r="G737" s="162" t="str">
        <f t="shared" si="22"/>
        <v>Serigrafia</v>
      </c>
      <c r="H737" s="161" t="str">
        <f t="shared" si="23"/>
        <v>20h</v>
      </c>
    </row>
    <row r="738" spans="1:8" ht="30" x14ac:dyDescent="0.25">
      <c r="A738" s="10" t="s">
        <v>426</v>
      </c>
      <c r="B738" s="194">
        <v>0.90625</v>
      </c>
      <c r="C738" s="116">
        <v>1</v>
      </c>
      <c r="D738" s="116">
        <v>1</v>
      </c>
      <c r="E738" s="116">
        <v>0</v>
      </c>
      <c r="F738" s="116" t="s">
        <v>3360</v>
      </c>
      <c r="G738" s="162" t="str">
        <f t="shared" si="22"/>
        <v>Serigrafia</v>
      </c>
      <c r="H738" s="161" t="str">
        <f t="shared" si="23"/>
        <v>21h</v>
      </c>
    </row>
    <row r="739" spans="1:8" ht="30" x14ac:dyDescent="0.25">
      <c r="A739" s="10" t="s">
        <v>426</v>
      </c>
      <c r="B739" s="194">
        <v>0.93402777777777779</v>
      </c>
      <c r="C739" s="116">
        <v>1</v>
      </c>
      <c r="D739" s="116">
        <v>1</v>
      </c>
      <c r="E739" s="116">
        <v>0</v>
      </c>
      <c r="F739" s="116" t="s">
        <v>3362</v>
      </c>
      <c r="G739" s="162" t="str">
        <f t="shared" si="22"/>
        <v>Serigrafia</v>
      </c>
      <c r="H739" s="161" t="str">
        <f t="shared" si="23"/>
        <v>22h</v>
      </c>
    </row>
    <row r="740" spans="1:8" ht="30" x14ac:dyDescent="0.25">
      <c r="A740" s="10" t="s">
        <v>426</v>
      </c>
      <c r="B740" s="194">
        <v>0.95833333333333337</v>
      </c>
      <c r="C740" s="116">
        <v>1</v>
      </c>
      <c r="D740" s="116">
        <v>1</v>
      </c>
      <c r="E740" s="116">
        <v>0</v>
      </c>
      <c r="F740" s="116" t="s">
        <v>3365</v>
      </c>
      <c r="G740" s="162" t="str">
        <f t="shared" si="22"/>
        <v>Serigrafia</v>
      </c>
      <c r="H740" s="161" t="str">
        <f t="shared" si="23"/>
        <v>23h</v>
      </c>
    </row>
    <row r="741" spans="1:8" ht="30" x14ac:dyDescent="0.25">
      <c r="A741" s="10" t="s">
        <v>426</v>
      </c>
      <c r="B741" s="194">
        <v>0.96597222222222223</v>
      </c>
      <c r="C741" s="116">
        <v>0</v>
      </c>
      <c r="D741" s="116">
        <v>1</v>
      </c>
      <c r="E741" s="116">
        <v>1</v>
      </c>
      <c r="F741" s="116" t="s">
        <v>3365</v>
      </c>
      <c r="G741" s="162" t="str">
        <f t="shared" si="22"/>
        <v>Serigrafia</v>
      </c>
      <c r="H741" s="161" t="str">
        <f t="shared" si="23"/>
        <v>23h</v>
      </c>
    </row>
    <row r="742" spans="1:8" ht="30" x14ac:dyDescent="0.25">
      <c r="A742" s="10" t="s">
        <v>426</v>
      </c>
      <c r="B742" s="194">
        <v>0.97499999999999998</v>
      </c>
      <c r="C742" s="116">
        <v>1</v>
      </c>
      <c r="D742" s="116">
        <v>1</v>
      </c>
      <c r="E742" s="116">
        <v>0</v>
      </c>
      <c r="F742" s="116" t="s">
        <v>3365</v>
      </c>
      <c r="G742" s="162" t="str">
        <f t="shared" si="22"/>
        <v>Serigrafia</v>
      </c>
      <c r="H742" s="161" t="str">
        <f t="shared" si="23"/>
        <v>23h</v>
      </c>
    </row>
    <row r="743" spans="1:8" ht="30" x14ac:dyDescent="0.25">
      <c r="A743" s="10" t="s">
        <v>426</v>
      </c>
      <c r="B743" s="194">
        <v>0.99652777777777779</v>
      </c>
      <c r="C743" s="116">
        <v>1</v>
      </c>
      <c r="D743" s="116">
        <v>1</v>
      </c>
      <c r="E743" s="116">
        <v>0</v>
      </c>
      <c r="F743" s="116" t="s">
        <v>3365</v>
      </c>
      <c r="G743" s="162" t="str">
        <f t="shared" si="22"/>
        <v>Serigrafia</v>
      </c>
      <c r="H743" s="161" t="str">
        <f t="shared" si="23"/>
        <v>23h</v>
      </c>
    </row>
    <row r="744" spans="1:8" ht="30" x14ac:dyDescent="0.25">
      <c r="A744" s="10" t="s">
        <v>5469</v>
      </c>
      <c r="B744" s="194">
        <v>0.28125</v>
      </c>
      <c r="C744" s="116">
        <v>1</v>
      </c>
      <c r="D744" s="116"/>
      <c r="E744" s="116">
        <v>0</v>
      </c>
      <c r="F744" s="116" t="s">
        <v>3372</v>
      </c>
      <c r="G744" s="162" t="str">
        <f t="shared" si="22"/>
        <v>Serigrafia</v>
      </c>
      <c r="H744" s="161" t="str">
        <f t="shared" si="23"/>
        <v>6h</v>
      </c>
    </row>
    <row r="745" spans="1:8" ht="30" x14ac:dyDescent="0.25">
      <c r="A745" s="10" t="s">
        <v>5469</v>
      </c>
      <c r="B745" s="194">
        <v>0.2951388888888889</v>
      </c>
      <c r="C745" s="116">
        <v>1</v>
      </c>
      <c r="D745" s="116"/>
      <c r="E745" s="116">
        <v>0</v>
      </c>
      <c r="F745" s="116" t="s">
        <v>3373</v>
      </c>
      <c r="G745" s="162" t="str">
        <f t="shared" si="22"/>
        <v>Serigrafia</v>
      </c>
      <c r="H745" s="161" t="str">
        <f t="shared" si="23"/>
        <v>7h</v>
      </c>
    </row>
    <row r="746" spans="1:8" ht="30" x14ac:dyDescent="0.25">
      <c r="A746" s="10" t="s">
        <v>5469</v>
      </c>
      <c r="B746" s="194">
        <v>0.32708333333333334</v>
      </c>
      <c r="C746" s="116">
        <v>1</v>
      </c>
      <c r="D746" s="116"/>
      <c r="E746" s="116">
        <v>0</v>
      </c>
      <c r="F746" s="116" t="s">
        <v>3373</v>
      </c>
      <c r="G746" s="162" t="str">
        <f t="shared" si="22"/>
        <v>Serigrafia</v>
      </c>
      <c r="H746" s="161" t="str">
        <f t="shared" si="23"/>
        <v>7h</v>
      </c>
    </row>
    <row r="747" spans="1:8" ht="30" x14ac:dyDescent="0.25">
      <c r="A747" s="10" t="s">
        <v>5469</v>
      </c>
      <c r="B747" s="194">
        <v>0.37083333333333335</v>
      </c>
      <c r="C747" s="116">
        <v>1</v>
      </c>
      <c r="D747" s="116"/>
      <c r="E747" s="116">
        <v>0</v>
      </c>
      <c r="F747" s="116" t="s">
        <v>3374</v>
      </c>
      <c r="G747" s="162" t="str">
        <f t="shared" si="22"/>
        <v>Serigrafia</v>
      </c>
      <c r="H747" s="161" t="str">
        <f t="shared" si="23"/>
        <v>8h</v>
      </c>
    </row>
    <row r="748" spans="1:8" ht="30" x14ac:dyDescent="0.25">
      <c r="A748" s="10" t="s">
        <v>5469</v>
      </c>
      <c r="B748" s="194">
        <v>0.40486111111111112</v>
      </c>
      <c r="C748" s="116">
        <v>1</v>
      </c>
      <c r="D748" s="116"/>
      <c r="E748" s="116">
        <v>0</v>
      </c>
      <c r="F748" s="116" t="s">
        <v>3370</v>
      </c>
      <c r="G748" s="162" t="str">
        <f t="shared" si="22"/>
        <v>Serigrafia</v>
      </c>
      <c r="H748" s="161" t="str">
        <f t="shared" si="23"/>
        <v>9h</v>
      </c>
    </row>
    <row r="749" spans="1:8" ht="30" x14ac:dyDescent="0.25">
      <c r="A749" s="10" t="s">
        <v>5469</v>
      </c>
      <c r="B749" s="194">
        <v>0.42916666666666664</v>
      </c>
      <c r="C749" s="116">
        <v>1</v>
      </c>
      <c r="D749" s="116"/>
      <c r="E749" s="116">
        <v>0</v>
      </c>
      <c r="F749" s="116" t="s">
        <v>3371</v>
      </c>
      <c r="G749" s="162" t="str">
        <f t="shared" si="22"/>
        <v>Serigrafia</v>
      </c>
      <c r="H749" s="161" t="str">
        <f t="shared" si="23"/>
        <v>10h</v>
      </c>
    </row>
    <row r="750" spans="1:8" ht="30" x14ac:dyDescent="0.25">
      <c r="A750" s="10" t="s">
        <v>5469</v>
      </c>
      <c r="B750" s="194">
        <v>0.43263888888888891</v>
      </c>
      <c r="C750" s="116">
        <v>1</v>
      </c>
      <c r="D750" s="116"/>
      <c r="E750" s="116">
        <v>1</v>
      </c>
      <c r="F750" s="116" t="s">
        <v>3371</v>
      </c>
      <c r="G750" s="162" t="str">
        <f t="shared" si="22"/>
        <v>Serigrafia</v>
      </c>
      <c r="H750" s="161" t="str">
        <f t="shared" si="23"/>
        <v>10h</v>
      </c>
    </row>
    <row r="751" spans="1:8" ht="30" x14ac:dyDescent="0.25">
      <c r="A751" s="10" t="s">
        <v>5469</v>
      </c>
      <c r="B751" s="194">
        <v>0.44236111111111109</v>
      </c>
      <c r="C751" s="116">
        <v>1</v>
      </c>
      <c r="D751" s="116"/>
      <c r="E751" s="116">
        <v>0</v>
      </c>
      <c r="F751" s="116" t="s">
        <v>3371</v>
      </c>
      <c r="G751" s="162" t="str">
        <f t="shared" si="22"/>
        <v>Serigrafia</v>
      </c>
      <c r="H751" s="161" t="str">
        <f t="shared" si="23"/>
        <v>10h</v>
      </c>
    </row>
    <row r="752" spans="1:8" ht="30" x14ac:dyDescent="0.25">
      <c r="A752" s="10" t="s">
        <v>5469</v>
      </c>
      <c r="B752" s="194">
        <v>0.50694444444444442</v>
      </c>
      <c r="C752" s="116">
        <v>1</v>
      </c>
      <c r="D752" s="116"/>
      <c r="E752" s="116">
        <v>0</v>
      </c>
      <c r="F752" s="116" t="s">
        <v>3367</v>
      </c>
      <c r="G752" s="162" t="str">
        <f t="shared" si="22"/>
        <v>Serigrafia</v>
      </c>
      <c r="H752" s="161" t="str">
        <f t="shared" si="23"/>
        <v>12h</v>
      </c>
    </row>
    <row r="753" spans="1:8" ht="30" x14ac:dyDescent="0.25">
      <c r="A753" s="10" t="s">
        <v>5469</v>
      </c>
      <c r="B753" s="194">
        <v>0.53333333333333333</v>
      </c>
      <c r="C753" s="116">
        <v>1</v>
      </c>
      <c r="D753" s="116"/>
      <c r="E753" s="116">
        <v>0</v>
      </c>
      <c r="F753" s="116" t="s">
        <v>3367</v>
      </c>
      <c r="G753" s="162" t="str">
        <f t="shared" si="22"/>
        <v>Serigrafia</v>
      </c>
      <c r="H753" s="161" t="str">
        <f t="shared" si="23"/>
        <v>12h</v>
      </c>
    </row>
    <row r="754" spans="1:8" ht="30" x14ac:dyDescent="0.25">
      <c r="A754" s="10" t="s">
        <v>5469</v>
      </c>
      <c r="B754" s="194">
        <v>0.55902777777777779</v>
      </c>
      <c r="C754" s="116">
        <v>1</v>
      </c>
      <c r="D754" s="116"/>
      <c r="E754" s="116">
        <v>0</v>
      </c>
      <c r="F754" s="116" t="s">
        <v>3368</v>
      </c>
      <c r="G754" s="162" t="str">
        <f t="shared" si="22"/>
        <v>Serigrafia</v>
      </c>
      <c r="H754" s="161" t="str">
        <f t="shared" si="23"/>
        <v>13h</v>
      </c>
    </row>
    <row r="755" spans="1:8" ht="30" x14ac:dyDescent="0.25">
      <c r="A755" s="10" t="s">
        <v>5469</v>
      </c>
      <c r="B755" s="194">
        <v>0.58472222222222225</v>
      </c>
      <c r="C755" s="116">
        <v>1</v>
      </c>
      <c r="D755" s="116"/>
      <c r="E755" s="116">
        <v>0</v>
      </c>
      <c r="F755" s="116" t="s">
        <v>3369</v>
      </c>
      <c r="G755" s="162" t="str">
        <f t="shared" si="22"/>
        <v>Serigrafia</v>
      </c>
      <c r="H755" s="161" t="str">
        <f t="shared" si="23"/>
        <v>14h</v>
      </c>
    </row>
    <row r="756" spans="1:8" ht="30" x14ac:dyDescent="0.25">
      <c r="A756" s="10" t="s">
        <v>5469</v>
      </c>
      <c r="B756" s="194">
        <v>0.58888888888888891</v>
      </c>
      <c r="C756" s="116">
        <v>1</v>
      </c>
      <c r="D756" s="116"/>
      <c r="E756" s="116">
        <v>1</v>
      </c>
      <c r="F756" s="116" t="s">
        <v>3369</v>
      </c>
      <c r="G756" s="162" t="str">
        <f t="shared" si="22"/>
        <v>Serigrafia</v>
      </c>
      <c r="H756" s="161" t="str">
        <f t="shared" si="23"/>
        <v>14h</v>
      </c>
    </row>
    <row r="757" spans="1:8" ht="30" x14ac:dyDescent="0.25">
      <c r="A757" s="10" t="s">
        <v>5469</v>
      </c>
      <c r="B757" s="194">
        <v>0.59861111111111109</v>
      </c>
      <c r="C757" s="116">
        <v>1</v>
      </c>
      <c r="D757" s="116"/>
      <c r="E757" s="116">
        <v>0</v>
      </c>
      <c r="F757" s="116" t="s">
        <v>3369</v>
      </c>
      <c r="G757" s="162" t="str">
        <f t="shared" si="22"/>
        <v>Serigrafia</v>
      </c>
      <c r="H757" s="161" t="str">
        <f t="shared" si="23"/>
        <v>14h</v>
      </c>
    </row>
    <row r="758" spans="1:8" ht="30" x14ac:dyDescent="0.25">
      <c r="A758" s="10" t="s">
        <v>5469</v>
      </c>
      <c r="B758" s="194">
        <v>0.625</v>
      </c>
      <c r="C758" s="116">
        <v>1</v>
      </c>
      <c r="D758" s="116"/>
      <c r="E758" s="116">
        <v>0</v>
      </c>
      <c r="F758" s="116" t="s">
        <v>3358</v>
      </c>
      <c r="G758" s="162" t="str">
        <f t="shared" si="22"/>
        <v>Serigrafia</v>
      </c>
      <c r="H758" s="161" t="str">
        <f t="shared" si="23"/>
        <v>15h</v>
      </c>
    </row>
    <row r="759" spans="1:8" ht="30" x14ac:dyDescent="0.25">
      <c r="A759" s="10" t="s">
        <v>5469</v>
      </c>
      <c r="B759" s="194">
        <v>0.66041666666666665</v>
      </c>
      <c r="C759" s="116">
        <v>1</v>
      </c>
      <c r="D759" s="116"/>
      <c r="E759" s="116">
        <v>0</v>
      </c>
      <c r="F759" s="116" t="s">
        <v>3358</v>
      </c>
      <c r="G759" s="162" t="str">
        <f t="shared" si="22"/>
        <v>Serigrafia</v>
      </c>
      <c r="H759" s="161" t="str">
        <f t="shared" si="23"/>
        <v>15h</v>
      </c>
    </row>
    <row r="760" spans="1:8" ht="30" x14ac:dyDescent="0.25">
      <c r="A760" s="10" t="s">
        <v>5469</v>
      </c>
      <c r="B760" s="194">
        <v>0.68611111111111112</v>
      </c>
      <c r="C760" s="116">
        <v>1</v>
      </c>
      <c r="D760" s="116"/>
      <c r="E760" s="116">
        <v>0</v>
      </c>
      <c r="F760" s="116" t="s">
        <v>3363</v>
      </c>
      <c r="G760" s="162" t="str">
        <f t="shared" si="22"/>
        <v>Serigrafia</v>
      </c>
      <c r="H760" s="161" t="str">
        <f t="shared" si="23"/>
        <v>16h</v>
      </c>
    </row>
    <row r="761" spans="1:8" ht="30" x14ac:dyDescent="0.25">
      <c r="A761" s="10" t="s">
        <v>5469</v>
      </c>
      <c r="B761" s="194">
        <v>0.70277777777777772</v>
      </c>
      <c r="C761" s="116">
        <v>1</v>
      </c>
      <c r="D761" s="116"/>
      <c r="E761" s="116">
        <v>0</v>
      </c>
      <c r="F761" s="116" t="s">
        <v>3363</v>
      </c>
      <c r="G761" s="162" t="str">
        <f t="shared" si="22"/>
        <v>Serigrafia</v>
      </c>
      <c r="H761" s="161" t="str">
        <f t="shared" si="23"/>
        <v>16h</v>
      </c>
    </row>
    <row r="762" spans="1:8" ht="30" x14ac:dyDescent="0.25">
      <c r="A762" s="10" t="s">
        <v>5469</v>
      </c>
      <c r="B762" s="194">
        <v>0.70625000000000004</v>
      </c>
      <c r="C762" s="116">
        <v>1</v>
      </c>
      <c r="D762" s="116"/>
      <c r="E762" s="116">
        <v>1</v>
      </c>
      <c r="F762" s="116" t="s">
        <v>3363</v>
      </c>
      <c r="G762" s="162" t="str">
        <f t="shared" si="22"/>
        <v>Serigrafia</v>
      </c>
      <c r="H762" s="161" t="str">
        <f t="shared" si="23"/>
        <v>16h</v>
      </c>
    </row>
    <row r="763" spans="1:8" ht="30" x14ac:dyDescent="0.25">
      <c r="A763" s="10" t="s">
        <v>5469</v>
      </c>
      <c r="B763" s="194">
        <v>0.71388888888888891</v>
      </c>
      <c r="C763" s="116">
        <v>1</v>
      </c>
      <c r="D763" s="116"/>
      <c r="E763" s="116">
        <v>0</v>
      </c>
      <c r="F763" s="116" t="s">
        <v>3361</v>
      </c>
      <c r="G763" s="162" t="str">
        <f t="shared" si="22"/>
        <v>Serigrafia</v>
      </c>
      <c r="H763" s="161" t="str">
        <f t="shared" si="23"/>
        <v>17h</v>
      </c>
    </row>
    <row r="764" spans="1:8" ht="30" x14ac:dyDescent="0.25">
      <c r="A764" s="10" t="s">
        <v>5469</v>
      </c>
      <c r="B764" s="194">
        <v>0.72916666666666663</v>
      </c>
      <c r="C764" s="116">
        <v>1</v>
      </c>
      <c r="D764" s="116"/>
      <c r="E764" s="116">
        <v>0</v>
      </c>
      <c r="F764" s="116" t="s">
        <v>3361</v>
      </c>
      <c r="G764" s="162" t="str">
        <f t="shared" si="22"/>
        <v>Serigrafia</v>
      </c>
      <c r="H764" s="161" t="str">
        <f t="shared" si="23"/>
        <v>17h</v>
      </c>
    </row>
    <row r="765" spans="1:8" ht="30" x14ac:dyDescent="0.25">
      <c r="A765" s="10" t="s">
        <v>5469</v>
      </c>
      <c r="B765" s="194">
        <v>0.74652777777777779</v>
      </c>
      <c r="C765" s="116">
        <v>1</v>
      </c>
      <c r="D765" s="116"/>
      <c r="E765" s="116">
        <v>0</v>
      </c>
      <c r="F765" s="116" t="s">
        <v>3361</v>
      </c>
      <c r="G765" s="162" t="str">
        <f t="shared" si="22"/>
        <v>Serigrafia</v>
      </c>
      <c r="H765" s="161" t="str">
        <f t="shared" si="23"/>
        <v>17h</v>
      </c>
    </row>
    <row r="766" spans="1:8" ht="30" x14ac:dyDescent="0.25">
      <c r="A766" s="10" t="s">
        <v>5469</v>
      </c>
      <c r="B766" s="194">
        <v>0.76388888888888884</v>
      </c>
      <c r="C766" s="116">
        <v>1</v>
      </c>
      <c r="D766" s="116"/>
      <c r="E766" s="116">
        <v>0</v>
      </c>
      <c r="F766" s="116" t="s">
        <v>3359</v>
      </c>
      <c r="G766" s="162" t="str">
        <f t="shared" si="22"/>
        <v>Serigrafia</v>
      </c>
      <c r="H766" s="161" t="str">
        <f t="shared" si="23"/>
        <v>18h</v>
      </c>
    </row>
    <row r="767" spans="1:8" ht="30" x14ac:dyDescent="0.25">
      <c r="A767" s="10" t="s">
        <v>5469</v>
      </c>
      <c r="B767" s="194">
        <v>0.78472222222222221</v>
      </c>
      <c r="C767" s="116">
        <v>1</v>
      </c>
      <c r="D767" s="116"/>
      <c r="E767" s="116">
        <v>0</v>
      </c>
      <c r="F767" s="116" t="s">
        <v>3359</v>
      </c>
      <c r="G767" s="162" t="str">
        <f t="shared" si="22"/>
        <v>Serigrafia</v>
      </c>
      <c r="H767" s="161" t="str">
        <f t="shared" si="23"/>
        <v>18h</v>
      </c>
    </row>
    <row r="768" spans="1:8" ht="30" x14ac:dyDescent="0.25">
      <c r="A768" s="10" t="s">
        <v>5469</v>
      </c>
      <c r="B768" s="194">
        <v>0.78819444444444442</v>
      </c>
      <c r="C768" s="116">
        <v>1</v>
      </c>
      <c r="D768" s="116"/>
      <c r="E768" s="116">
        <v>1</v>
      </c>
      <c r="F768" s="116" t="s">
        <v>3359</v>
      </c>
      <c r="G768" s="162" t="str">
        <f t="shared" si="22"/>
        <v>Serigrafia</v>
      </c>
      <c r="H768" s="161" t="str">
        <f t="shared" si="23"/>
        <v>18h</v>
      </c>
    </row>
    <row r="769" spans="1:8" ht="30" x14ac:dyDescent="0.25">
      <c r="A769" s="10" t="s">
        <v>5469</v>
      </c>
      <c r="B769" s="194">
        <v>0.79722222222222228</v>
      </c>
      <c r="C769" s="116">
        <v>1</v>
      </c>
      <c r="D769" s="116"/>
      <c r="E769" s="116">
        <v>0</v>
      </c>
      <c r="F769" s="116" t="s">
        <v>3366</v>
      </c>
      <c r="G769" s="162" t="str">
        <f t="shared" si="22"/>
        <v>Serigrafia</v>
      </c>
      <c r="H769" s="161" t="str">
        <f t="shared" si="23"/>
        <v>19h</v>
      </c>
    </row>
    <row r="770" spans="1:8" ht="30" x14ac:dyDescent="0.25">
      <c r="A770" s="10" t="s">
        <v>5469</v>
      </c>
      <c r="B770" s="194">
        <v>0.85763888888888884</v>
      </c>
      <c r="C770" s="116">
        <v>1</v>
      </c>
      <c r="D770" s="116"/>
      <c r="E770" s="116">
        <v>0</v>
      </c>
      <c r="F770" s="116" t="s">
        <v>3364</v>
      </c>
      <c r="G770" s="162" t="str">
        <f t="shared" si="22"/>
        <v>Serigrafia</v>
      </c>
      <c r="H770" s="161" t="str">
        <f t="shared" si="23"/>
        <v>20h</v>
      </c>
    </row>
    <row r="771" spans="1:8" ht="30" x14ac:dyDescent="0.25">
      <c r="A771" s="10" t="s">
        <v>5469</v>
      </c>
      <c r="B771" s="194">
        <v>0.87777777777777777</v>
      </c>
      <c r="C771" s="116">
        <v>1</v>
      </c>
      <c r="D771" s="116"/>
      <c r="E771" s="116">
        <v>0</v>
      </c>
      <c r="F771" s="116" t="s">
        <v>3360</v>
      </c>
      <c r="G771" s="162" t="str">
        <f t="shared" ref="G771:G834" si="24">IF(LEFT(A771,3)="S7P","Pintura",IF(LEFT(A771,3)="S7M","Montagem",
IF(LEFT(A771,3)="S7S","Serigrafia"," ")))</f>
        <v>Serigrafia</v>
      </c>
      <c r="H771" s="161" t="str">
        <f t="shared" ref="H771:H834" si="25">VALUE(LEFT(F771,2))&amp;"h"</f>
        <v>21h</v>
      </c>
    </row>
    <row r="772" spans="1:8" ht="30" x14ac:dyDescent="0.25">
      <c r="A772" s="10" t="s">
        <v>5469</v>
      </c>
      <c r="B772" s="194">
        <v>0.8979166666666667</v>
      </c>
      <c r="C772" s="116">
        <v>1</v>
      </c>
      <c r="D772" s="116"/>
      <c r="E772" s="116">
        <v>0</v>
      </c>
      <c r="F772" s="116" t="s">
        <v>3360</v>
      </c>
      <c r="G772" s="162" t="str">
        <f t="shared" si="24"/>
        <v>Serigrafia</v>
      </c>
      <c r="H772" s="161" t="str">
        <f t="shared" si="25"/>
        <v>21h</v>
      </c>
    </row>
    <row r="773" spans="1:8" ht="30" x14ac:dyDescent="0.25">
      <c r="A773" s="10" t="s">
        <v>5469</v>
      </c>
      <c r="B773" s="194">
        <v>0.91180555555555554</v>
      </c>
      <c r="C773" s="116">
        <v>1</v>
      </c>
      <c r="D773" s="116"/>
      <c r="E773" s="116">
        <v>0</v>
      </c>
      <c r="F773" s="116" t="s">
        <v>3360</v>
      </c>
      <c r="G773" s="162" t="str">
        <f t="shared" si="24"/>
        <v>Serigrafia</v>
      </c>
      <c r="H773" s="161" t="str">
        <f t="shared" si="25"/>
        <v>21h</v>
      </c>
    </row>
    <row r="774" spans="1:8" ht="30" x14ac:dyDescent="0.25">
      <c r="A774" s="10" t="s">
        <v>431</v>
      </c>
      <c r="B774" s="194">
        <v>0.27986111111111112</v>
      </c>
      <c r="C774" s="116">
        <v>1</v>
      </c>
      <c r="D774" s="116">
        <v>3</v>
      </c>
      <c r="E774" s="116">
        <v>0</v>
      </c>
      <c r="F774" s="116" t="s">
        <v>3372</v>
      </c>
      <c r="G774" s="162" t="str">
        <f t="shared" si="24"/>
        <v>Serigrafia</v>
      </c>
      <c r="H774" s="161" t="str">
        <f t="shared" si="25"/>
        <v>6h</v>
      </c>
    </row>
    <row r="775" spans="1:8" ht="30" x14ac:dyDescent="0.25">
      <c r="A775" s="10" t="s">
        <v>431</v>
      </c>
      <c r="B775" s="194">
        <v>0.28402777777777777</v>
      </c>
      <c r="C775" s="116">
        <v>1</v>
      </c>
      <c r="D775" s="116">
        <v>3</v>
      </c>
      <c r="E775" s="116">
        <v>0</v>
      </c>
      <c r="F775" s="116" t="s">
        <v>3372</v>
      </c>
      <c r="G775" s="162" t="str">
        <f t="shared" si="24"/>
        <v>Serigrafia</v>
      </c>
      <c r="H775" s="161" t="str">
        <f t="shared" si="25"/>
        <v>6h</v>
      </c>
    </row>
    <row r="776" spans="1:8" ht="30" x14ac:dyDescent="0.25">
      <c r="A776" s="10" t="s">
        <v>431</v>
      </c>
      <c r="B776" s="194">
        <v>0.29305555555555557</v>
      </c>
      <c r="C776" s="116">
        <v>1</v>
      </c>
      <c r="D776" s="116">
        <v>3</v>
      </c>
      <c r="E776" s="116">
        <v>0</v>
      </c>
      <c r="F776" s="116" t="s">
        <v>3373</v>
      </c>
      <c r="G776" s="162" t="str">
        <f t="shared" si="24"/>
        <v>Serigrafia</v>
      </c>
      <c r="H776" s="161" t="str">
        <f t="shared" si="25"/>
        <v>7h</v>
      </c>
    </row>
    <row r="777" spans="1:8" ht="30" x14ac:dyDescent="0.25">
      <c r="A777" s="10" t="s">
        <v>431</v>
      </c>
      <c r="B777" s="194">
        <v>0.30277777777777776</v>
      </c>
      <c r="C777" s="116">
        <v>1</v>
      </c>
      <c r="D777" s="116"/>
      <c r="E777" s="116">
        <v>1</v>
      </c>
      <c r="F777" s="116" t="s">
        <v>3373</v>
      </c>
      <c r="G777" s="162" t="str">
        <f t="shared" si="24"/>
        <v>Serigrafia</v>
      </c>
      <c r="H777" s="161" t="str">
        <f t="shared" si="25"/>
        <v>7h</v>
      </c>
    </row>
    <row r="778" spans="1:8" ht="30" x14ac:dyDescent="0.25">
      <c r="A778" s="10" t="s">
        <v>431</v>
      </c>
      <c r="B778" s="194">
        <v>0.31041666666666667</v>
      </c>
      <c r="C778" s="116">
        <v>1</v>
      </c>
      <c r="D778" s="116"/>
      <c r="E778" s="116">
        <v>0</v>
      </c>
      <c r="F778" s="116" t="s">
        <v>3373</v>
      </c>
      <c r="G778" s="162" t="str">
        <f t="shared" si="24"/>
        <v>Serigrafia</v>
      </c>
      <c r="H778" s="161" t="str">
        <f t="shared" si="25"/>
        <v>7h</v>
      </c>
    </row>
    <row r="779" spans="1:8" ht="30" x14ac:dyDescent="0.25">
      <c r="A779" s="10" t="s">
        <v>431</v>
      </c>
      <c r="B779" s="194">
        <v>0.32916666666666666</v>
      </c>
      <c r="C779" s="116">
        <v>1</v>
      </c>
      <c r="D779" s="116">
        <v>2</v>
      </c>
      <c r="E779" s="116">
        <v>1</v>
      </c>
      <c r="F779" s="116" t="s">
        <v>3373</v>
      </c>
      <c r="G779" s="162" t="str">
        <f t="shared" si="24"/>
        <v>Serigrafia</v>
      </c>
      <c r="H779" s="161" t="str">
        <f t="shared" si="25"/>
        <v>7h</v>
      </c>
    </row>
    <row r="780" spans="1:8" ht="30" x14ac:dyDescent="0.25">
      <c r="A780" s="10" t="s">
        <v>431</v>
      </c>
      <c r="B780" s="194">
        <v>0.35138888888888886</v>
      </c>
      <c r="C780" s="116">
        <v>1</v>
      </c>
      <c r="D780" s="116">
        <v>2</v>
      </c>
      <c r="E780" s="116">
        <v>0</v>
      </c>
      <c r="F780" s="116" t="s">
        <v>3374</v>
      </c>
      <c r="G780" s="162" t="str">
        <f t="shared" si="24"/>
        <v>Serigrafia</v>
      </c>
      <c r="H780" s="161" t="str">
        <f t="shared" si="25"/>
        <v>8h</v>
      </c>
    </row>
    <row r="781" spans="1:8" ht="30" x14ac:dyDescent="0.25">
      <c r="A781" s="10" t="s">
        <v>431</v>
      </c>
      <c r="B781" s="194">
        <v>0.40555555555555556</v>
      </c>
      <c r="C781" s="116">
        <v>1</v>
      </c>
      <c r="D781" s="116">
        <v>2</v>
      </c>
      <c r="E781" s="116">
        <v>0</v>
      </c>
      <c r="F781" s="116" t="s">
        <v>3370</v>
      </c>
      <c r="G781" s="162" t="str">
        <f t="shared" si="24"/>
        <v>Serigrafia</v>
      </c>
      <c r="H781" s="161" t="str">
        <f t="shared" si="25"/>
        <v>9h</v>
      </c>
    </row>
    <row r="782" spans="1:8" ht="30" x14ac:dyDescent="0.25">
      <c r="A782" s="10" t="s">
        <v>431</v>
      </c>
      <c r="B782" s="194">
        <v>0.54374999999999996</v>
      </c>
      <c r="C782" s="116">
        <v>1</v>
      </c>
      <c r="D782" s="116">
        <v>2</v>
      </c>
      <c r="E782" s="116">
        <v>0</v>
      </c>
      <c r="F782" s="116" t="s">
        <v>3368</v>
      </c>
      <c r="G782" s="162" t="str">
        <f t="shared" si="24"/>
        <v>Serigrafia</v>
      </c>
      <c r="H782" s="161" t="str">
        <f t="shared" si="25"/>
        <v>13h</v>
      </c>
    </row>
    <row r="783" spans="1:8" ht="30" x14ac:dyDescent="0.25">
      <c r="A783" s="10" t="s">
        <v>431</v>
      </c>
      <c r="B783" s="194">
        <v>0.67500000000000004</v>
      </c>
      <c r="C783" s="116">
        <v>1</v>
      </c>
      <c r="D783" s="116">
        <v>2</v>
      </c>
      <c r="E783" s="116">
        <v>0</v>
      </c>
      <c r="F783" s="116" t="s">
        <v>3363</v>
      </c>
      <c r="G783" s="162" t="str">
        <f t="shared" si="24"/>
        <v>Serigrafia</v>
      </c>
      <c r="H783" s="161" t="str">
        <f t="shared" si="25"/>
        <v>16h</v>
      </c>
    </row>
    <row r="784" spans="1:8" ht="30" x14ac:dyDescent="0.25">
      <c r="A784" s="10" t="s">
        <v>431</v>
      </c>
      <c r="B784" s="194">
        <v>0.8041666666666667</v>
      </c>
      <c r="C784" s="116">
        <v>1</v>
      </c>
      <c r="D784" s="116">
        <v>2</v>
      </c>
      <c r="E784" s="116">
        <v>0</v>
      </c>
      <c r="F784" s="116" t="s">
        <v>3366</v>
      </c>
      <c r="G784" s="162" t="str">
        <f t="shared" si="24"/>
        <v>Serigrafia</v>
      </c>
      <c r="H784" s="161" t="str">
        <f t="shared" si="25"/>
        <v>19h</v>
      </c>
    </row>
    <row r="785" spans="1:8" ht="30" x14ac:dyDescent="0.25">
      <c r="A785" s="10" t="s">
        <v>431</v>
      </c>
      <c r="B785" s="194">
        <v>0.95625000000000004</v>
      </c>
      <c r="C785" s="116">
        <v>1</v>
      </c>
      <c r="D785" s="116">
        <v>2</v>
      </c>
      <c r="E785" s="116">
        <v>0</v>
      </c>
      <c r="F785" s="116" t="s">
        <v>3362</v>
      </c>
      <c r="G785" s="162" t="str">
        <f t="shared" si="24"/>
        <v>Serigrafia</v>
      </c>
      <c r="H785" s="161" t="str">
        <f t="shared" si="25"/>
        <v>22h</v>
      </c>
    </row>
    <row r="786" spans="1:8" ht="30" x14ac:dyDescent="0.25">
      <c r="A786" s="10" t="s">
        <v>431</v>
      </c>
      <c r="B786" s="194">
        <v>0.98958333333333337</v>
      </c>
      <c r="C786" s="116">
        <v>0</v>
      </c>
      <c r="D786" s="116">
        <v>2</v>
      </c>
      <c r="E786" s="116">
        <v>1</v>
      </c>
      <c r="F786" s="116" t="s">
        <v>3365</v>
      </c>
      <c r="G786" s="162" t="str">
        <f t="shared" si="24"/>
        <v>Serigrafia</v>
      </c>
      <c r="H786" s="161" t="str">
        <f t="shared" si="25"/>
        <v>23h</v>
      </c>
    </row>
    <row r="787" spans="1:8" ht="30" x14ac:dyDescent="0.25">
      <c r="A787" s="10" t="s">
        <v>5481</v>
      </c>
      <c r="B787" s="194">
        <v>0.31180555555555556</v>
      </c>
      <c r="C787" s="116">
        <v>1</v>
      </c>
      <c r="D787" s="116"/>
      <c r="E787" s="116">
        <v>0</v>
      </c>
      <c r="F787" s="116" t="s">
        <v>3373</v>
      </c>
      <c r="G787" s="162" t="str">
        <f t="shared" si="24"/>
        <v>Serigrafia</v>
      </c>
      <c r="H787" s="161" t="str">
        <f t="shared" si="25"/>
        <v>7h</v>
      </c>
    </row>
    <row r="788" spans="1:8" ht="30" x14ac:dyDescent="0.25">
      <c r="A788" s="10" t="s">
        <v>5481</v>
      </c>
      <c r="B788" s="194">
        <v>0.41458333333333336</v>
      </c>
      <c r="C788" s="116">
        <v>1</v>
      </c>
      <c r="D788" s="116"/>
      <c r="E788" s="116">
        <v>0</v>
      </c>
      <c r="F788" s="116" t="s">
        <v>3370</v>
      </c>
      <c r="G788" s="162" t="str">
        <f t="shared" si="24"/>
        <v>Serigrafia</v>
      </c>
      <c r="H788" s="161" t="str">
        <f t="shared" si="25"/>
        <v>9h</v>
      </c>
    </row>
    <row r="789" spans="1:8" ht="30" x14ac:dyDescent="0.25">
      <c r="A789" s="10" t="s">
        <v>5481</v>
      </c>
      <c r="B789" s="194">
        <v>0.58611111111111114</v>
      </c>
      <c r="C789" s="116">
        <v>1</v>
      </c>
      <c r="D789" s="116"/>
      <c r="E789" s="116">
        <v>0</v>
      </c>
      <c r="F789" s="116" t="s">
        <v>3369</v>
      </c>
      <c r="G789" s="162" t="str">
        <f t="shared" si="24"/>
        <v>Serigrafia</v>
      </c>
      <c r="H789" s="161" t="str">
        <f t="shared" si="25"/>
        <v>14h</v>
      </c>
    </row>
    <row r="790" spans="1:8" ht="30" x14ac:dyDescent="0.25">
      <c r="A790" s="10" t="s">
        <v>5481</v>
      </c>
      <c r="B790" s="194">
        <v>0.7416666666666667</v>
      </c>
      <c r="C790" s="116">
        <v>1</v>
      </c>
      <c r="D790" s="116"/>
      <c r="E790" s="116">
        <v>0</v>
      </c>
      <c r="F790" s="116" t="s">
        <v>3361</v>
      </c>
      <c r="G790" s="162" t="str">
        <f t="shared" si="24"/>
        <v>Serigrafia</v>
      </c>
      <c r="H790" s="161" t="str">
        <f t="shared" si="25"/>
        <v>17h</v>
      </c>
    </row>
    <row r="791" spans="1:8" ht="30" x14ac:dyDescent="0.25">
      <c r="A791" s="10" t="s">
        <v>5481</v>
      </c>
      <c r="B791" s="194">
        <v>0.90208333333333335</v>
      </c>
      <c r="C791" s="116">
        <v>1</v>
      </c>
      <c r="D791" s="116"/>
      <c r="E791" s="116">
        <v>0</v>
      </c>
      <c r="F791" s="116" t="s">
        <v>3360</v>
      </c>
      <c r="G791" s="162" t="str">
        <f t="shared" si="24"/>
        <v>Serigrafia</v>
      </c>
      <c r="H791" s="161" t="str">
        <f t="shared" si="25"/>
        <v>21h</v>
      </c>
    </row>
    <row r="792" spans="1:8" ht="30" x14ac:dyDescent="0.25">
      <c r="A792" s="10" t="s">
        <v>5481</v>
      </c>
      <c r="B792" s="194">
        <v>0.94722222222222219</v>
      </c>
      <c r="C792" s="116">
        <v>1</v>
      </c>
      <c r="D792" s="116"/>
      <c r="E792" s="116">
        <v>0</v>
      </c>
      <c r="F792" s="116" t="s">
        <v>3362</v>
      </c>
      <c r="G792" s="162" t="str">
        <f t="shared" si="24"/>
        <v>Serigrafia</v>
      </c>
      <c r="H792" s="161" t="str">
        <f t="shared" si="25"/>
        <v>22h</v>
      </c>
    </row>
    <row r="793" spans="1:8" ht="30" x14ac:dyDescent="0.25">
      <c r="A793" s="10" t="s">
        <v>435</v>
      </c>
      <c r="B793" s="194">
        <v>0.2902777777777778</v>
      </c>
      <c r="C793" s="116">
        <v>1</v>
      </c>
      <c r="D793" s="116"/>
      <c r="E793" s="116">
        <v>0</v>
      </c>
      <c r="F793" s="116" t="s">
        <v>3372</v>
      </c>
      <c r="G793" s="162" t="str">
        <f t="shared" si="24"/>
        <v>Serigrafia</v>
      </c>
      <c r="H793" s="161" t="str">
        <f t="shared" si="25"/>
        <v>6h</v>
      </c>
    </row>
    <row r="794" spans="1:8" ht="30" x14ac:dyDescent="0.25">
      <c r="A794" s="10" t="s">
        <v>435</v>
      </c>
      <c r="B794" s="194">
        <v>0.29444444444444445</v>
      </c>
      <c r="C794" s="116">
        <v>1</v>
      </c>
      <c r="D794" s="116"/>
      <c r="E794" s="116">
        <v>1</v>
      </c>
      <c r="F794" s="116" t="s">
        <v>3373</v>
      </c>
      <c r="G794" s="162" t="str">
        <f t="shared" si="24"/>
        <v>Serigrafia</v>
      </c>
      <c r="H794" s="161" t="str">
        <f t="shared" si="25"/>
        <v>7h</v>
      </c>
    </row>
    <row r="795" spans="1:8" ht="30" x14ac:dyDescent="0.25">
      <c r="A795" s="10" t="s">
        <v>435</v>
      </c>
      <c r="B795" s="194">
        <v>0.2986111111111111</v>
      </c>
      <c r="C795" s="116">
        <v>1</v>
      </c>
      <c r="D795" s="116">
        <v>4</v>
      </c>
      <c r="E795" s="116">
        <v>1</v>
      </c>
      <c r="F795" s="116" t="s">
        <v>3373</v>
      </c>
      <c r="G795" s="162" t="str">
        <f t="shared" si="24"/>
        <v>Serigrafia</v>
      </c>
      <c r="H795" s="161" t="str">
        <f t="shared" si="25"/>
        <v>7h</v>
      </c>
    </row>
    <row r="796" spans="1:8" ht="30" x14ac:dyDescent="0.25">
      <c r="A796" s="10" t="s">
        <v>435</v>
      </c>
      <c r="B796" s="194">
        <v>0.30069444444444443</v>
      </c>
      <c r="C796" s="116">
        <v>1</v>
      </c>
      <c r="D796" s="116">
        <v>4</v>
      </c>
      <c r="E796" s="116">
        <v>0</v>
      </c>
      <c r="F796" s="116" t="s">
        <v>3373</v>
      </c>
      <c r="G796" s="162" t="str">
        <f t="shared" si="24"/>
        <v>Serigrafia</v>
      </c>
      <c r="H796" s="161" t="str">
        <f t="shared" si="25"/>
        <v>7h</v>
      </c>
    </row>
    <row r="797" spans="1:8" ht="30" x14ac:dyDescent="0.25">
      <c r="A797" s="10" t="s">
        <v>435</v>
      </c>
      <c r="B797" s="194">
        <v>0.3034722222222222</v>
      </c>
      <c r="C797" s="116">
        <v>1</v>
      </c>
      <c r="D797" s="116"/>
      <c r="E797" s="116">
        <v>1</v>
      </c>
      <c r="F797" s="116" t="s">
        <v>3373</v>
      </c>
      <c r="G797" s="162" t="str">
        <f t="shared" si="24"/>
        <v>Serigrafia</v>
      </c>
      <c r="H797" s="161" t="str">
        <f t="shared" si="25"/>
        <v>7h</v>
      </c>
    </row>
    <row r="798" spans="1:8" ht="30" x14ac:dyDescent="0.25">
      <c r="A798" s="10" t="s">
        <v>435</v>
      </c>
      <c r="B798" s="194">
        <v>0.36458333333333331</v>
      </c>
      <c r="C798" s="116">
        <v>0</v>
      </c>
      <c r="D798" s="116"/>
      <c r="E798" s="116">
        <v>1</v>
      </c>
      <c r="F798" s="116" t="s">
        <v>3374</v>
      </c>
      <c r="G798" s="162" t="str">
        <f t="shared" si="24"/>
        <v>Serigrafia</v>
      </c>
      <c r="H798" s="161" t="str">
        <f t="shared" si="25"/>
        <v>8h</v>
      </c>
    </row>
    <row r="799" spans="1:8" ht="30" x14ac:dyDescent="0.25">
      <c r="A799" s="10" t="s">
        <v>435</v>
      </c>
      <c r="B799" s="194">
        <v>0.37083333333333335</v>
      </c>
      <c r="C799" s="116">
        <v>1</v>
      </c>
      <c r="D799" s="116"/>
      <c r="E799" s="116">
        <v>0</v>
      </c>
      <c r="F799" s="116" t="s">
        <v>3374</v>
      </c>
      <c r="G799" s="162" t="str">
        <f t="shared" si="24"/>
        <v>Serigrafia</v>
      </c>
      <c r="H799" s="161" t="str">
        <f t="shared" si="25"/>
        <v>8h</v>
      </c>
    </row>
    <row r="800" spans="1:8" ht="30" x14ac:dyDescent="0.25">
      <c r="A800" s="10" t="s">
        <v>435</v>
      </c>
      <c r="B800" s="194">
        <v>0.4513888888888889</v>
      </c>
      <c r="C800" s="116">
        <v>1</v>
      </c>
      <c r="D800" s="116"/>
      <c r="E800" s="116">
        <v>0</v>
      </c>
      <c r="F800" s="116" t="s">
        <v>3371</v>
      </c>
      <c r="G800" s="162" t="str">
        <f t="shared" si="24"/>
        <v>Serigrafia</v>
      </c>
      <c r="H800" s="161" t="str">
        <f t="shared" si="25"/>
        <v>10h</v>
      </c>
    </row>
    <row r="801" spans="1:8" ht="30" x14ac:dyDescent="0.25">
      <c r="A801" s="10" t="s">
        <v>435</v>
      </c>
      <c r="B801" s="194">
        <v>0.58888888888888891</v>
      </c>
      <c r="C801" s="116">
        <v>1</v>
      </c>
      <c r="D801" s="116"/>
      <c r="E801" s="116">
        <v>0</v>
      </c>
      <c r="F801" s="116" t="s">
        <v>3369</v>
      </c>
      <c r="G801" s="162" t="str">
        <f t="shared" si="24"/>
        <v>Serigrafia</v>
      </c>
      <c r="H801" s="161" t="str">
        <f t="shared" si="25"/>
        <v>14h</v>
      </c>
    </row>
    <row r="802" spans="1:8" ht="30" x14ac:dyDescent="0.25">
      <c r="A802" s="10" t="s">
        <v>435</v>
      </c>
      <c r="B802" s="194">
        <v>0.68194444444444446</v>
      </c>
      <c r="C802" s="116">
        <v>1</v>
      </c>
      <c r="D802" s="116"/>
      <c r="E802" s="116">
        <v>0</v>
      </c>
      <c r="F802" s="116" t="s">
        <v>3363</v>
      </c>
      <c r="G802" s="162" t="str">
        <f t="shared" si="24"/>
        <v>Serigrafia</v>
      </c>
      <c r="H802" s="161" t="str">
        <f t="shared" si="25"/>
        <v>16h</v>
      </c>
    </row>
    <row r="803" spans="1:8" ht="30" x14ac:dyDescent="0.25">
      <c r="A803" s="10" t="s">
        <v>435</v>
      </c>
      <c r="B803" s="194">
        <v>0.76458333333333328</v>
      </c>
      <c r="C803" s="116">
        <v>1</v>
      </c>
      <c r="D803" s="116"/>
      <c r="E803" s="116">
        <v>0</v>
      </c>
      <c r="F803" s="116" t="s">
        <v>3359</v>
      </c>
      <c r="G803" s="162" t="str">
        <f t="shared" si="24"/>
        <v>Serigrafia</v>
      </c>
      <c r="H803" s="161" t="str">
        <f t="shared" si="25"/>
        <v>18h</v>
      </c>
    </row>
    <row r="804" spans="1:8" ht="30" x14ac:dyDescent="0.25">
      <c r="A804" s="10" t="s">
        <v>435</v>
      </c>
      <c r="B804" s="194">
        <v>0.78541666666666665</v>
      </c>
      <c r="C804" s="116">
        <v>1</v>
      </c>
      <c r="D804" s="116"/>
      <c r="E804" s="116">
        <v>0</v>
      </c>
      <c r="F804" s="116" t="s">
        <v>3359</v>
      </c>
      <c r="G804" s="162" t="str">
        <f t="shared" si="24"/>
        <v>Serigrafia</v>
      </c>
      <c r="H804" s="161" t="str">
        <f t="shared" si="25"/>
        <v>18h</v>
      </c>
    </row>
    <row r="805" spans="1:8" ht="30" x14ac:dyDescent="0.25">
      <c r="A805" s="10" t="s">
        <v>435</v>
      </c>
      <c r="B805" s="194">
        <v>0.79236111111111107</v>
      </c>
      <c r="C805" s="116">
        <v>1</v>
      </c>
      <c r="D805" s="116"/>
      <c r="E805" s="116">
        <v>1</v>
      </c>
      <c r="F805" s="116" t="s">
        <v>3366</v>
      </c>
      <c r="G805" s="162" t="str">
        <f t="shared" si="24"/>
        <v>Serigrafia</v>
      </c>
      <c r="H805" s="161" t="str">
        <f t="shared" si="25"/>
        <v>19h</v>
      </c>
    </row>
    <row r="806" spans="1:8" ht="30" x14ac:dyDescent="0.25">
      <c r="A806" s="10" t="s">
        <v>435</v>
      </c>
      <c r="B806" s="194">
        <v>0.86388888888888893</v>
      </c>
      <c r="C806" s="116">
        <v>1</v>
      </c>
      <c r="D806" s="116"/>
      <c r="E806" s="116">
        <v>0</v>
      </c>
      <c r="F806" s="116" t="s">
        <v>3364</v>
      </c>
      <c r="G806" s="162" t="str">
        <f t="shared" si="24"/>
        <v>Serigrafia</v>
      </c>
      <c r="H806" s="161" t="str">
        <f t="shared" si="25"/>
        <v>20h</v>
      </c>
    </row>
    <row r="807" spans="1:8" ht="30" x14ac:dyDescent="0.25">
      <c r="A807" s="10" t="s">
        <v>435</v>
      </c>
      <c r="B807" s="194">
        <v>0.89722222222222225</v>
      </c>
      <c r="C807" s="116">
        <v>1</v>
      </c>
      <c r="D807" s="116"/>
      <c r="E807" s="116">
        <v>0</v>
      </c>
      <c r="F807" s="116" t="s">
        <v>3360</v>
      </c>
      <c r="G807" s="162" t="str">
        <f t="shared" si="24"/>
        <v>Serigrafia</v>
      </c>
      <c r="H807" s="161" t="str">
        <f t="shared" si="25"/>
        <v>21h</v>
      </c>
    </row>
    <row r="808" spans="1:8" ht="30" x14ac:dyDescent="0.25">
      <c r="A808" s="10" t="s">
        <v>435</v>
      </c>
      <c r="B808" s="194">
        <v>0.94722222222222219</v>
      </c>
      <c r="C808" s="116">
        <v>1</v>
      </c>
      <c r="D808" s="116"/>
      <c r="E808" s="116">
        <v>0</v>
      </c>
      <c r="F808" s="116" t="s">
        <v>3362</v>
      </c>
      <c r="G808" s="162" t="str">
        <f t="shared" si="24"/>
        <v>Serigrafia</v>
      </c>
      <c r="H808" s="161" t="str">
        <f t="shared" si="25"/>
        <v>22h</v>
      </c>
    </row>
    <row r="809" spans="1:8" ht="30" x14ac:dyDescent="0.25">
      <c r="A809" s="10" t="s">
        <v>439</v>
      </c>
      <c r="B809" s="194">
        <v>0.28125</v>
      </c>
      <c r="C809" s="116">
        <v>1</v>
      </c>
      <c r="D809" s="116">
        <v>4</v>
      </c>
      <c r="E809" s="116">
        <v>0</v>
      </c>
      <c r="F809" s="116" t="s">
        <v>3372</v>
      </c>
      <c r="G809" s="162" t="str">
        <f t="shared" si="24"/>
        <v>Serigrafia</v>
      </c>
      <c r="H809" s="161" t="str">
        <f t="shared" si="25"/>
        <v>6h</v>
      </c>
    </row>
    <row r="810" spans="1:8" ht="30" x14ac:dyDescent="0.25">
      <c r="A810" s="10" t="s">
        <v>439</v>
      </c>
      <c r="B810" s="194">
        <v>0.28680555555555554</v>
      </c>
      <c r="C810" s="116">
        <v>1</v>
      </c>
      <c r="D810" s="116">
        <v>1</v>
      </c>
      <c r="E810" s="116">
        <v>1</v>
      </c>
      <c r="F810" s="116" t="s">
        <v>3372</v>
      </c>
      <c r="G810" s="162" t="str">
        <f t="shared" si="24"/>
        <v>Serigrafia</v>
      </c>
      <c r="H810" s="161" t="str">
        <f t="shared" si="25"/>
        <v>6h</v>
      </c>
    </row>
    <row r="811" spans="1:8" ht="30" x14ac:dyDescent="0.25">
      <c r="A811" s="10" t="s">
        <v>439</v>
      </c>
      <c r="B811" s="194">
        <v>0.2902777777777778</v>
      </c>
      <c r="C811" s="116">
        <v>1</v>
      </c>
      <c r="D811" s="116">
        <v>1</v>
      </c>
      <c r="E811" s="116">
        <v>0</v>
      </c>
      <c r="F811" s="116" t="s">
        <v>3372</v>
      </c>
      <c r="G811" s="162" t="str">
        <f t="shared" si="24"/>
        <v>Serigrafia</v>
      </c>
      <c r="H811" s="161" t="str">
        <f t="shared" si="25"/>
        <v>6h</v>
      </c>
    </row>
    <row r="812" spans="1:8" ht="30" x14ac:dyDescent="0.25">
      <c r="A812" s="10" t="s">
        <v>439</v>
      </c>
      <c r="B812" s="194">
        <v>0.29791666666666666</v>
      </c>
      <c r="C812" s="116">
        <v>1</v>
      </c>
      <c r="D812" s="116">
        <v>1</v>
      </c>
      <c r="E812" s="116">
        <v>0</v>
      </c>
      <c r="F812" s="116" t="s">
        <v>3373</v>
      </c>
      <c r="G812" s="162" t="str">
        <f t="shared" si="24"/>
        <v>Serigrafia</v>
      </c>
      <c r="H812" s="161" t="str">
        <f t="shared" si="25"/>
        <v>7h</v>
      </c>
    </row>
    <row r="813" spans="1:8" ht="30" x14ac:dyDescent="0.25">
      <c r="A813" s="10" t="s">
        <v>439</v>
      </c>
      <c r="B813" s="194">
        <v>0.30694444444444446</v>
      </c>
      <c r="C813" s="116">
        <v>1</v>
      </c>
      <c r="D813" s="116">
        <v>1</v>
      </c>
      <c r="E813" s="116">
        <v>1</v>
      </c>
      <c r="F813" s="116" t="s">
        <v>3373</v>
      </c>
      <c r="G813" s="162" t="str">
        <f t="shared" si="24"/>
        <v>Serigrafia</v>
      </c>
      <c r="H813" s="161" t="str">
        <f t="shared" si="25"/>
        <v>7h</v>
      </c>
    </row>
    <row r="814" spans="1:8" ht="30" x14ac:dyDescent="0.25">
      <c r="A814" s="10" t="s">
        <v>439</v>
      </c>
      <c r="B814" s="194">
        <v>0.3125</v>
      </c>
      <c r="C814" s="116">
        <v>1</v>
      </c>
      <c r="D814" s="116">
        <v>1</v>
      </c>
      <c r="E814" s="116">
        <v>0</v>
      </c>
      <c r="F814" s="116" t="s">
        <v>3373</v>
      </c>
      <c r="G814" s="162" t="str">
        <f t="shared" si="24"/>
        <v>Serigrafia</v>
      </c>
      <c r="H814" s="161" t="str">
        <f t="shared" si="25"/>
        <v>7h</v>
      </c>
    </row>
    <row r="815" spans="1:8" ht="30" x14ac:dyDescent="0.25">
      <c r="A815" s="10" t="s">
        <v>439</v>
      </c>
      <c r="B815" s="194">
        <v>0.32013888888888886</v>
      </c>
      <c r="C815" s="116">
        <v>1</v>
      </c>
      <c r="D815" s="116">
        <v>1</v>
      </c>
      <c r="E815" s="116">
        <v>0</v>
      </c>
      <c r="F815" s="116" t="s">
        <v>3373</v>
      </c>
      <c r="G815" s="162" t="str">
        <f t="shared" si="24"/>
        <v>Serigrafia</v>
      </c>
      <c r="H815" s="161" t="str">
        <f t="shared" si="25"/>
        <v>7h</v>
      </c>
    </row>
    <row r="816" spans="1:8" ht="30" x14ac:dyDescent="0.25">
      <c r="A816" s="10" t="s">
        <v>439</v>
      </c>
      <c r="B816" s="194">
        <v>0.33333333333333331</v>
      </c>
      <c r="C816" s="116">
        <v>1</v>
      </c>
      <c r="D816" s="116">
        <v>1</v>
      </c>
      <c r="E816" s="116">
        <v>0</v>
      </c>
      <c r="F816" s="116" t="s">
        <v>3376</v>
      </c>
      <c r="G816" s="162" t="str">
        <f t="shared" si="24"/>
        <v>Serigrafia</v>
      </c>
      <c r="H816" s="161" t="str">
        <f t="shared" si="25"/>
        <v>8h</v>
      </c>
    </row>
    <row r="817" spans="1:8" ht="30" x14ac:dyDescent="0.25">
      <c r="A817" s="10" t="s">
        <v>439</v>
      </c>
      <c r="B817" s="194">
        <v>0.35069444444444442</v>
      </c>
      <c r="C817" s="116">
        <v>1</v>
      </c>
      <c r="D817" s="116">
        <v>1</v>
      </c>
      <c r="E817" s="116">
        <v>0</v>
      </c>
      <c r="F817" s="116" t="s">
        <v>3374</v>
      </c>
      <c r="G817" s="162" t="str">
        <f t="shared" si="24"/>
        <v>Serigrafia</v>
      </c>
      <c r="H817" s="161" t="str">
        <f t="shared" si="25"/>
        <v>8h</v>
      </c>
    </row>
    <row r="818" spans="1:8" ht="30" x14ac:dyDescent="0.25">
      <c r="A818" s="10" t="s">
        <v>439</v>
      </c>
      <c r="B818" s="194">
        <v>0.37083333333333335</v>
      </c>
      <c r="C818" s="116">
        <v>1</v>
      </c>
      <c r="D818" s="116">
        <v>1</v>
      </c>
      <c r="E818" s="116">
        <v>0</v>
      </c>
      <c r="F818" s="116" t="s">
        <v>3374</v>
      </c>
      <c r="G818" s="162" t="str">
        <f t="shared" si="24"/>
        <v>Serigrafia</v>
      </c>
      <c r="H818" s="161" t="str">
        <f t="shared" si="25"/>
        <v>8h</v>
      </c>
    </row>
    <row r="819" spans="1:8" ht="30" x14ac:dyDescent="0.25">
      <c r="A819" s="10" t="s">
        <v>439</v>
      </c>
      <c r="B819" s="194">
        <v>0.38333333333333336</v>
      </c>
      <c r="C819" s="116">
        <v>0</v>
      </c>
      <c r="D819" s="116">
        <v>1</v>
      </c>
      <c r="E819" s="116">
        <v>1</v>
      </c>
      <c r="F819" s="116" t="s">
        <v>3370</v>
      </c>
      <c r="G819" s="162" t="str">
        <f t="shared" si="24"/>
        <v>Serigrafia</v>
      </c>
      <c r="H819" s="161" t="str">
        <f t="shared" si="25"/>
        <v>9h</v>
      </c>
    </row>
    <row r="820" spans="1:8" ht="30" x14ac:dyDescent="0.25">
      <c r="A820" s="10" t="s">
        <v>439</v>
      </c>
      <c r="B820" s="194">
        <v>0.3888888888888889</v>
      </c>
      <c r="C820" s="116">
        <v>1</v>
      </c>
      <c r="D820" s="116">
        <v>1</v>
      </c>
      <c r="E820" s="116">
        <v>0</v>
      </c>
      <c r="F820" s="116" t="s">
        <v>3370</v>
      </c>
      <c r="G820" s="162" t="str">
        <f t="shared" si="24"/>
        <v>Serigrafia</v>
      </c>
      <c r="H820" s="161" t="str">
        <f t="shared" si="25"/>
        <v>9h</v>
      </c>
    </row>
    <row r="821" spans="1:8" ht="30" x14ac:dyDescent="0.25">
      <c r="A821" s="10" t="s">
        <v>439</v>
      </c>
      <c r="B821" s="194">
        <v>0.40138888888888891</v>
      </c>
      <c r="C821" s="116">
        <v>1</v>
      </c>
      <c r="D821" s="116">
        <v>1</v>
      </c>
      <c r="E821" s="116">
        <v>0</v>
      </c>
      <c r="F821" s="116" t="s">
        <v>3370</v>
      </c>
      <c r="G821" s="162" t="str">
        <f t="shared" si="24"/>
        <v>Serigrafia</v>
      </c>
      <c r="H821" s="161" t="str">
        <f t="shared" si="25"/>
        <v>9h</v>
      </c>
    </row>
    <row r="822" spans="1:8" ht="30" x14ac:dyDescent="0.25">
      <c r="A822" s="10" t="s">
        <v>439</v>
      </c>
      <c r="B822" s="194">
        <v>0.41944444444444445</v>
      </c>
      <c r="C822" s="116">
        <v>1</v>
      </c>
      <c r="D822" s="116">
        <v>1</v>
      </c>
      <c r="E822" s="116">
        <v>0</v>
      </c>
      <c r="F822" s="116" t="s">
        <v>3371</v>
      </c>
      <c r="G822" s="162" t="str">
        <f t="shared" si="24"/>
        <v>Serigrafia</v>
      </c>
      <c r="H822" s="161" t="str">
        <f t="shared" si="25"/>
        <v>10h</v>
      </c>
    </row>
    <row r="823" spans="1:8" ht="30" x14ac:dyDescent="0.25">
      <c r="A823" s="10" t="s">
        <v>439</v>
      </c>
      <c r="B823" s="194">
        <v>0.43888888888888888</v>
      </c>
      <c r="C823" s="116">
        <v>1</v>
      </c>
      <c r="D823" s="116">
        <v>1</v>
      </c>
      <c r="E823" s="116">
        <v>0</v>
      </c>
      <c r="F823" s="116" t="s">
        <v>3371</v>
      </c>
      <c r="G823" s="162" t="str">
        <f t="shared" si="24"/>
        <v>Serigrafia</v>
      </c>
      <c r="H823" s="161" t="str">
        <f t="shared" si="25"/>
        <v>10h</v>
      </c>
    </row>
    <row r="824" spans="1:8" ht="30" x14ac:dyDescent="0.25">
      <c r="A824" s="10" t="s">
        <v>439</v>
      </c>
      <c r="B824" s="194">
        <v>0.45069444444444445</v>
      </c>
      <c r="C824" s="116">
        <v>1</v>
      </c>
      <c r="D824" s="116">
        <v>1</v>
      </c>
      <c r="E824" s="116">
        <v>0</v>
      </c>
      <c r="F824" s="116" t="s">
        <v>3371</v>
      </c>
      <c r="G824" s="162" t="str">
        <f t="shared" si="24"/>
        <v>Serigrafia</v>
      </c>
      <c r="H824" s="161" t="str">
        <f t="shared" si="25"/>
        <v>10h</v>
      </c>
    </row>
    <row r="825" spans="1:8" ht="30" x14ac:dyDescent="0.25">
      <c r="A825" s="10" t="s">
        <v>439</v>
      </c>
      <c r="B825" s="194">
        <v>0.50208333333333333</v>
      </c>
      <c r="C825" s="116">
        <v>1</v>
      </c>
      <c r="D825" s="116"/>
      <c r="E825" s="116">
        <v>1</v>
      </c>
      <c r="F825" s="116" t="s">
        <v>3367</v>
      </c>
      <c r="G825" s="162" t="str">
        <f t="shared" si="24"/>
        <v>Serigrafia</v>
      </c>
      <c r="H825" s="161" t="str">
        <f t="shared" si="25"/>
        <v>12h</v>
      </c>
    </row>
    <row r="826" spans="1:8" ht="30" x14ac:dyDescent="0.25">
      <c r="A826" s="10" t="s">
        <v>439</v>
      </c>
      <c r="B826" s="194">
        <v>0.5131944444444444</v>
      </c>
      <c r="C826" s="116">
        <v>1</v>
      </c>
      <c r="D826" s="116"/>
      <c r="E826" s="116">
        <v>0</v>
      </c>
      <c r="F826" s="116" t="s">
        <v>3367</v>
      </c>
      <c r="G826" s="162" t="str">
        <f t="shared" si="24"/>
        <v>Serigrafia</v>
      </c>
      <c r="H826" s="161" t="str">
        <f t="shared" si="25"/>
        <v>12h</v>
      </c>
    </row>
    <row r="827" spans="1:8" ht="30" x14ac:dyDescent="0.25">
      <c r="A827" s="10" t="s">
        <v>439</v>
      </c>
      <c r="B827" s="194">
        <v>0.53055555555555556</v>
      </c>
      <c r="C827" s="116">
        <v>1</v>
      </c>
      <c r="D827" s="116"/>
      <c r="E827" s="116">
        <v>0</v>
      </c>
      <c r="F827" s="116" t="s">
        <v>3367</v>
      </c>
      <c r="G827" s="162" t="str">
        <f t="shared" si="24"/>
        <v>Serigrafia</v>
      </c>
      <c r="H827" s="161" t="str">
        <f t="shared" si="25"/>
        <v>12h</v>
      </c>
    </row>
    <row r="828" spans="1:8" ht="30" x14ac:dyDescent="0.25">
      <c r="A828" s="10" t="s">
        <v>439</v>
      </c>
      <c r="B828" s="194">
        <v>0.54722222222222228</v>
      </c>
      <c r="C828" s="116">
        <v>1</v>
      </c>
      <c r="D828" s="116"/>
      <c r="E828" s="116">
        <v>0</v>
      </c>
      <c r="F828" s="116" t="s">
        <v>3368</v>
      </c>
      <c r="G828" s="162" t="str">
        <f t="shared" si="24"/>
        <v>Serigrafia</v>
      </c>
      <c r="H828" s="161" t="str">
        <f t="shared" si="25"/>
        <v>13h</v>
      </c>
    </row>
    <row r="829" spans="1:8" ht="30" x14ac:dyDescent="0.25">
      <c r="A829" s="10" t="s">
        <v>439</v>
      </c>
      <c r="B829" s="194">
        <v>0.56180555555555556</v>
      </c>
      <c r="C829" s="116">
        <v>1</v>
      </c>
      <c r="D829" s="116"/>
      <c r="E829" s="116">
        <v>0</v>
      </c>
      <c r="F829" s="116" t="s">
        <v>3368</v>
      </c>
      <c r="G829" s="162" t="str">
        <f t="shared" si="24"/>
        <v>Serigrafia</v>
      </c>
      <c r="H829" s="161" t="str">
        <f t="shared" si="25"/>
        <v>13h</v>
      </c>
    </row>
    <row r="830" spans="1:8" ht="30" x14ac:dyDescent="0.25">
      <c r="A830" s="10" t="s">
        <v>439</v>
      </c>
      <c r="B830" s="194">
        <v>0.60138888888888886</v>
      </c>
      <c r="C830" s="116">
        <v>1</v>
      </c>
      <c r="D830" s="116"/>
      <c r="E830" s="116">
        <v>1</v>
      </c>
      <c r="F830" s="116" t="s">
        <v>3369</v>
      </c>
      <c r="G830" s="162" t="str">
        <f t="shared" si="24"/>
        <v>Serigrafia</v>
      </c>
      <c r="H830" s="161" t="str">
        <f t="shared" si="25"/>
        <v>14h</v>
      </c>
    </row>
    <row r="831" spans="1:8" ht="30" x14ac:dyDescent="0.25">
      <c r="A831" s="10" t="s">
        <v>439</v>
      </c>
      <c r="B831" s="194">
        <v>0.66527777777777775</v>
      </c>
      <c r="C831" s="116">
        <v>1</v>
      </c>
      <c r="D831" s="116"/>
      <c r="E831" s="116">
        <v>0</v>
      </c>
      <c r="F831" s="116" t="s">
        <v>3358</v>
      </c>
      <c r="G831" s="162" t="str">
        <f t="shared" si="24"/>
        <v>Serigrafia</v>
      </c>
      <c r="H831" s="161" t="str">
        <f t="shared" si="25"/>
        <v>15h</v>
      </c>
    </row>
    <row r="832" spans="1:8" ht="30" x14ac:dyDescent="0.25">
      <c r="A832" s="10" t="s">
        <v>439</v>
      </c>
      <c r="B832" s="194">
        <v>0.74930555555555556</v>
      </c>
      <c r="C832" s="116">
        <v>1</v>
      </c>
      <c r="D832" s="116"/>
      <c r="E832" s="116">
        <v>0</v>
      </c>
      <c r="F832" s="116" t="s">
        <v>3361</v>
      </c>
      <c r="G832" s="162" t="str">
        <f t="shared" si="24"/>
        <v>Serigrafia</v>
      </c>
      <c r="H832" s="161" t="str">
        <f t="shared" si="25"/>
        <v>17h</v>
      </c>
    </row>
    <row r="833" spans="1:8" ht="30" x14ac:dyDescent="0.25">
      <c r="A833" s="10" t="s">
        <v>439</v>
      </c>
      <c r="B833" s="194">
        <v>0.8833333333333333</v>
      </c>
      <c r="C833" s="116">
        <v>1</v>
      </c>
      <c r="D833" s="116"/>
      <c r="E833" s="116">
        <v>0</v>
      </c>
      <c r="F833" s="116" t="s">
        <v>3360</v>
      </c>
      <c r="G833" s="162" t="str">
        <f t="shared" si="24"/>
        <v>Serigrafia</v>
      </c>
      <c r="H833" s="161" t="str">
        <f t="shared" si="25"/>
        <v>21h</v>
      </c>
    </row>
    <row r="834" spans="1:8" ht="30" x14ac:dyDescent="0.25">
      <c r="A834" s="10" t="s">
        <v>439</v>
      </c>
      <c r="B834" s="194">
        <v>0.96527777777777779</v>
      </c>
      <c r="C834" s="116">
        <v>1</v>
      </c>
      <c r="D834" s="116"/>
      <c r="E834" s="116">
        <v>0</v>
      </c>
      <c r="F834" s="116" t="s">
        <v>3365</v>
      </c>
      <c r="G834" s="162" t="str">
        <f t="shared" si="24"/>
        <v>Serigrafia</v>
      </c>
      <c r="H834" s="161" t="str">
        <f t="shared" si="25"/>
        <v>23h</v>
      </c>
    </row>
    <row r="835" spans="1:8" ht="30" x14ac:dyDescent="0.25">
      <c r="A835" s="10" t="s">
        <v>439</v>
      </c>
      <c r="B835" s="194">
        <v>0.97083333333333333</v>
      </c>
      <c r="C835" s="116">
        <v>1</v>
      </c>
      <c r="D835" s="116"/>
      <c r="E835" s="116">
        <v>1</v>
      </c>
      <c r="F835" s="116" t="s">
        <v>3365</v>
      </c>
      <c r="G835" s="162" t="str">
        <f t="shared" ref="G835:G898" si="26">IF(LEFT(A835,3)="S7P","Pintura",IF(LEFT(A835,3)="S7M","Montagem",
IF(LEFT(A835,3)="S7S","Serigrafia"," ")))</f>
        <v>Serigrafia</v>
      </c>
      <c r="H835" s="161" t="str">
        <f t="shared" ref="H835:H898" si="27">VALUE(LEFT(F835,2))&amp;"h"</f>
        <v>23h</v>
      </c>
    </row>
    <row r="836" spans="1:8" ht="30" x14ac:dyDescent="0.25">
      <c r="A836" s="10" t="s">
        <v>439</v>
      </c>
      <c r="B836" s="194">
        <v>0.97638888888888886</v>
      </c>
      <c r="C836" s="116">
        <v>1</v>
      </c>
      <c r="D836" s="116"/>
      <c r="E836" s="116">
        <v>0</v>
      </c>
      <c r="F836" s="116" t="s">
        <v>3365</v>
      </c>
      <c r="G836" s="162" t="str">
        <f t="shared" si="26"/>
        <v>Serigrafia</v>
      </c>
      <c r="H836" s="161" t="str">
        <f t="shared" si="27"/>
        <v>23h</v>
      </c>
    </row>
    <row r="837" spans="1:8" ht="30" x14ac:dyDescent="0.25">
      <c r="A837" s="10" t="s">
        <v>439</v>
      </c>
      <c r="B837" s="194">
        <v>0.99305555555555558</v>
      </c>
      <c r="C837" s="116">
        <v>1</v>
      </c>
      <c r="D837" s="116"/>
      <c r="E837" s="116">
        <v>0</v>
      </c>
      <c r="F837" s="116" t="s">
        <v>3365</v>
      </c>
      <c r="G837" s="162" t="str">
        <f t="shared" si="26"/>
        <v>Serigrafia</v>
      </c>
      <c r="H837" s="161" t="str">
        <f t="shared" si="27"/>
        <v>23h</v>
      </c>
    </row>
    <row r="838" spans="1:8" ht="30" x14ac:dyDescent="0.25">
      <c r="A838" s="10" t="s">
        <v>443</v>
      </c>
      <c r="B838" s="194">
        <v>0.28402777777777777</v>
      </c>
      <c r="C838" s="116">
        <v>1</v>
      </c>
      <c r="D838" s="116">
        <v>2</v>
      </c>
      <c r="E838" s="116">
        <v>0</v>
      </c>
      <c r="F838" s="116" t="s">
        <v>3372</v>
      </c>
      <c r="G838" s="162" t="str">
        <f t="shared" si="26"/>
        <v>Serigrafia</v>
      </c>
      <c r="H838" s="161" t="str">
        <f t="shared" si="27"/>
        <v>6h</v>
      </c>
    </row>
    <row r="839" spans="1:8" ht="30" x14ac:dyDescent="0.25">
      <c r="A839" s="10" t="s">
        <v>443</v>
      </c>
      <c r="B839" s="194">
        <v>0.28819444444444442</v>
      </c>
      <c r="C839" s="116">
        <v>1</v>
      </c>
      <c r="D839" s="116">
        <v>6</v>
      </c>
      <c r="E839" s="116">
        <v>1</v>
      </c>
      <c r="F839" s="116" t="s">
        <v>3372</v>
      </c>
      <c r="G839" s="162" t="str">
        <f t="shared" si="26"/>
        <v>Serigrafia</v>
      </c>
      <c r="H839" s="161" t="str">
        <f t="shared" si="27"/>
        <v>6h</v>
      </c>
    </row>
    <row r="840" spans="1:8" ht="30" x14ac:dyDescent="0.25">
      <c r="A840" s="10" t="s">
        <v>443</v>
      </c>
      <c r="B840" s="194">
        <v>0.30902777777777779</v>
      </c>
      <c r="C840" s="116">
        <v>1</v>
      </c>
      <c r="D840" s="116">
        <v>7</v>
      </c>
      <c r="E840" s="116">
        <v>1</v>
      </c>
      <c r="F840" s="116" t="s">
        <v>3373</v>
      </c>
      <c r="G840" s="162" t="str">
        <f t="shared" si="26"/>
        <v>Serigrafia</v>
      </c>
      <c r="H840" s="161" t="str">
        <f t="shared" si="27"/>
        <v>7h</v>
      </c>
    </row>
    <row r="841" spans="1:8" ht="30" x14ac:dyDescent="0.25">
      <c r="A841" s="10" t="s">
        <v>443</v>
      </c>
      <c r="B841" s="194">
        <v>0.31041666666666667</v>
      </c>
      <c r="C841" s="116">
        <v>1</v>
      </c>
      <c r="D841" s="116">
        <v>7</v>
      </c>
      <c r="E841" s="116">
        <v>0</v>
      </c>
      <c r="F841" s="116" t="s">
        <v>3373</v>
      </c>
      <c r="G841" s="162" t="str">
        <f t="shared" si="26"/>
        <v>Serigrafia</v>
      </c>
      <c r="H841" s="161" t="str">
        <f t="shared" si="27"/>
        <v>7h</v>
      </c>
    </row>
    <row r="842" spans="1:8" ht="30" x14ac:dyDescent="0.25">
      <c r="A842" s="10" t="s">
        <v>443</v>
      </c>
      <c r="B842" s="194">
        <v>0.33750000000000002</v>
      </c>
      <c r="C842" s="116">
        <v>1</v>
      </c>
      <c r="D842" s="116">
        <v>7</v>
      </c>
      <c r="E842" s="116">
        <v>0</v>
      </c>
      <c r="F842" s="116" t="s">
        <v>3374</v>
      </c>
      <c r="G842" s="162" t="str">
        <f t="shared" si="26"/>
        <v>Serigrafia</v>
      </c>
      <c r="H842" s="161" t="str">
        <f t="shared" si="27"/>
        <v>8h</v>
      </c>
    </row>
    <row r="843" spans="1:8" ht="30" x14ac:dyDescent="0.25">
      <c r="A843" s="10" t="s">
        <v>443</v>
      </c>
      <c r="B843" s="194">
        <v>0.34652777777777777</v>
      </c>
      <c r="C843" s="116">
        <v>1</v>
      </c>
      <c r="D843" s="116">
        <v>1</v>
      </c>
      <c r="E843" s="116">
        <v>1</v>
      </c>
      <c r="F843" s="116" t="s">
        <v>3374</v>
      </c>
      <c r="G843" s="162" t="str">
        <f t="shared" si="26"/>
        <v>Serigrafia</v>
      </c>
      <c r="H843" s="161" t="str">
        <f t="shared" si="27"/>
        <v>8h</v>
      </c>
    </row>
    <row r="844" spans="1:8" ht="30" x14ac:dyDescent="0.25">
      <c r="A844" s="10" t="s">
        <v>443</v>
      </c>
      <c r="B844" s="194">
        <v>0.36388888888888887</v>
      </c>
      <c r="C844" s="116">
        <v>1</v>
      </c>
      <c r="D844" s="116">
        <v>1</v>
      </c>
      <c r="E844" s="116">
        <v>0</v>
      </c>
      <c r="F844" s="116" t="s">
        <v>3374</v>
      </c>
      <c r="G844" s="162" t="str">
        <f t="shared" si="26"/>
        <v>Serigrafia</v>
      </c>
      <c r="H844" s="161" t="str">
        <f t="shared" si="27"/>
        <v>8h</v>
      </c>
    </row>
    <row r="845" spans="1:8" ht="30" x14ac:dyDescent="0.25">
      <c r="A845" s="10" t="s">
        <v>443</v>
      </c>
      <c r="B845" s="194">
        <v>0.37777777777777777</v>
      </c>
      <c r="C845" s="116">
        <v>1</v>
      </c>
      <c r="D845" s="116">
        <v>1</v>
      </c>
      <c r="E845" s="116">
        <v>0</v>
      </c>
      <c r="F845" s="116" t="s">
        <v>3370</v>
      </c>
      <c r="G845" s="162" t="str">
        <f t="shared" si="26"/>
        <v>Serigrafia</v>
      </c>
      <c r="H845" s="161" t="str">
        <f t="shared" si="27"/>
        <v>9h</v>
      </c>
    </row>
    <row r="846" spans="1:8" ht="30" x14ac:dyDescent="0.25">
      <c r="A846" s="10" t="s">
        <v>443</v>
      </c>
      <c r="B846" s="194">
        <v>0.3923611111111111</v>
      </c>
      <c r="C846" s="116">
        <v>1</v>
      </c>
      <c r="D846" s="116">
        <v>1</v>
      </c>
      <c r="E846" s="116">
        <v>0</v>
      </c>
      <c r="F846" s="116" t="s">
        <v>3370</v>
      </c>
      <c r="G846" s="162" t="str">
        <f t="shared" si="26"/>
        <v>Serigrafia</v>
      </c>
      <c r="H846" s="161" t="str">
        <f t="shared" si="27"/>
        <v>9h</v>
      </c>
    </row>
    <row r="847" spans="1:8" ht="30" x14ac:dyDescent="0.25">
      <c r="A847" s="10" t="s">
        <v>443</v>
      </c>
      <c r="B847" s="194">
        <v>0.40625</v>
      </c>
      <c r="C847" s="116">
        <v>1</v>
      </c>
      <c r="D847" s="116">
        <v>1</v>
      </c>
      <c r="E847" s="116">
        <v>0</v>
      </c>
      <c r="F847" s="116" t="s">
        <v>3370</v>
      </c>
      <c r="G847" s="162" t="str">
        <f t="shared" si="26"/>
        <v>Serigrafia</v>
      </c>
      <c r="H847" s="161" t="str">
        <f t="shared" si="27"/>
        <v>9h</v>
      </c>
    </row>
    <row r="848" spans="1:8" ht="30" x14ac:dyDescent="0.25">
      <c r="A848" s="10" t="s">
        <v>443</v>
      </c>
      <c r="B848" s="194">
        <v>0.43958333333333333</v>
      </c>
      <c r="C848" s="116">
        <v>0</v>
      </c>
      <c r="D848" s="116">
        <v>1</v>
      </c>
      <c r="E848" s="116">
        <v>1</v>
      </c>
      <c r="F848" s="116" t="s">
        <v>3371</v>
      </c>
      <c r="G848" s="162" t="str">
        <f t="shared" si="26"/>
        <v>Serigrafia</v>
      </c>
      <c r="H848" s="161" t="str">
        <f t="shared" si="27"/>
        <v>10h</v>
      </c>
    </row>
    <row r="849" spans="1:8" ht="30" x14ac:dyDescent="0.25">
      <c r="A849" s="10" t="s">
        <v>443</v>
      </c>
      <c r="B849" s="194">
        <v>0.44166666666666665</v>
      </c>
      <c r="C849" s="116">
        <v>1</v>
      </c>
      <c r="D849" s="116">
        <v>5</v>
      </c>
      <c r="E849" s="116">
        <v>1</v>
      </c>
      <c r="F849" s="116" t="s">
        <v>3371</v>
      </c>
      <c r="G849" s="162" t="str">
        <f t="shared" si="26"/>
        <v>Serigrafia</v>
      </c>
      <c r="H849" s="161" t="str">
        <f t="shared" si="27"/>
        <v>10h</v>
      </c>
    </row>
    <row r="850" spans="1:8" ht="30" x14ac:dyDescent="0.25">
      <c r="A850" s="10" t="s">
        <v>443</v>
      </c>
      <c r="B850" s="194">
        <v>0.45208333333333334</v>
      </c>
      <c r="C850" s="116">
        <v>1</v>
      </c>
      <c r="D850" s="116">
        <v>5</v>
      </c>
      <c r="E850" s="116">
        <v>0</v>
      </c>
      <c r="F850" s="116" t="s">
        <v>3371</v>
      </c>
      <c r="G850" s="162" t="str">
        <f t="shared" si="26"/>
        <v>Serigrafia</v>
      </c>
      <c r="H850" s="161" t="str">
        <f t="shared" si="27"/>
        <v>10h</v>
      </c>
    </row>
    <row r="851" spans="1:8" ht="30" x14ac:dyDescent="0.25">
      <c r="A851" s="10" t="s">
        <v>443</v>
      </c>
      <c r="B851" s="194">
        <v>0.4548611111111111</v>
      </c>
      <c r="C851" s="116">
        <v>0</v>
      </c>
      <c r="D851" s="116">
        <v>4</v>
      </c>
      <c r="E851" s="116">
        <v>1</v>
      </c>
      <c r="F851" s="116" t="s">
        <v>3371</v>
      </c>
      <c r="G851" s="162" t="str">
        <f t="shared" si="26"/>
        <v>Serigrafia</v>
      </c>
      <c r="H851" s="161" t="str">
        <f t="shared" si="27"/>
        <v>10h</v>
      </c>
    </row>
    <row r="852" spans="1:8" ht="30" x14ac:dyDescent="0.25">
      <c r="A852" s="10" t="s">
        <v>443</v>
      </c>
      <c r="B852" s="194">
        <v>0.51527777777777772</v>
      </c>
      <c r="C852" s="116">
        <v>1</v>
      </c>
      <c r="D852" s="116">
        <v>6</v>
      </c>
      <c r="E852" s="116">
        <v>1</v>
      </c>
      <c r="F852" s="116" t="s">
        <v>3367</v>
      </c>
      <c r="G852" s="162" t="str">
        <f t="shared" si="26"/>
        <v>Serigrafia</v>
      </c>
      <c r="H852" s="161" t="str">
        <f t="shared" si="27"/>
        <v>12h</v>
      </c>
    </row>
    <row r="853" spans="1:8" ht="30" x14ac:dyDescent="0.25">
      <c r="A853" s="10" t="s">
        <v>443</v>
      </c>
      <c r="B853" s="194">
        <v>0.54722222222222228</v>
      </c>
      <c r="C853" s="116">
        <v>1</v>
      </c>
      <c r="D853" s="116">
        <v>6</v>
      </c>
      <c r="E853" s="116">
        <v>0</v>
      </c>
      <c r="F853" s="116" t="s">
        <v>3368</v>
      </c>
      <c r="G853" s="162" t="str">
        <f t="shared" si="26"/>
        <v>Serigrafia</v>
      </c>
      <c r="H853" s="161" t="str">
        <f t="shared" si="27"/>
        <v>13h</v>
      </c>
    </row>
    <row r="854" spans="1:8" ht="30" x14ac:dyDescent="0.25">
      <c r="A854" s="10" t="s">
        <v>443</v>
      </c>
      <c r="B854" s="194">
        <v>0.59097222222222223</v>
      </c>
      <c r="C854" s="116">
        <v>1</v>
      </c>
      <c r="D854" s="116">
        <v>6</v>
      </c>
      <c r="E854" s="116">
        <v>0</v>
      </c>
      <c r="F854" s="116" t="s">
        <v>3369</v>
      </c>
      <c r="G854" s="162" t="str">
        <f t="shared" si="26"/>
        <v>Serigrafia</v>
      </c>
      <c r="H854" s="161" t="str">
        <f t="shared" si="27"/>
        <v>14h</v>
      </c>
    </row>
    <row r="855" spans="1:8" ht="30" x14ac:dyDescent="0.25">
      <c r="A855" s="10" t="s">
        <v>443</v>
      </c>
      <c r="B855" s="194">
        <v>0.62777777777777777</v>
      </c>
      <c r="C855" s="116">
        <v>1</v>
      </c>
      <c r="D855" s="116">
        <v>6</v>
      </c>
      <c r="E855" s="116">
        <v>0</v>
      </c>
      <c r="F855" s="116" t="s">
        <v>3358</v>
      </c>
      <c r="G855" s="162" t="str">
        <f t="shared" si="26"/>
        <v>Serigrafia</v>
      </c>
      <c r="H855" s="161" t="str">
        <f t="shared" si="27"/>
        <v>15h</v>
      </c>
    </row>
    <row r="856" spans="1:8" ht="30" x14ac:dyDescent="0.25">
      <c r="A856" s="10" t="s">
        <v>443</v>
      </c>
      <c r="B856" s="194">
        <v>0.67083333333333328</v>
      </c>
      <c r="C856" s="116">
        <v>1</v>
      </c>
      <c r="D856" s="116">
        <v>6</v>
      </c>
      <c r="E856" s="116">
        <v>0</v>
      </c>
      <c r="F856" s="116" t="s">
        <v>3363</v>
      </c>
      <c r="G856" s="162" t="str">
        <f t="shared" si="26"/>
        <v>Serigrafia</v>
      </c>
      <c r="H856" s="161" t="str">
        <f t="shared" si="27"/>
        <v>16h</v>
      </c>
    </row>
    <row r="857" spans="1:8" ht="30" x14ac:dyDescent="0.25">
      <c r="A857" s="10" t="s">
        <v>443</v>
      </c>
      <c r="B857" s="194">
        <v>0.70694444444444449</v>
      </c>
      <c r="C857" s="116">
        <v>1</v>
      </c>
      <c r="D857" s="116">
        <v>6</v>
      </c>
      <c r="E857" s="116">
        <v>0</v>
      </c>
      <c r="F857" s="116" t="s">
        <v>3363</v>
      </c>
      <c r="G857" s="162" t="str">
        <f t="shared" si="26"/>
        <v>Serigrafia</v>
      </c>
      <c r="H857" s="161" t="str">
        <f t="shared" si="27"/>
        <v>16h</v>
      </c>
    </row>
    <row r="858" spans="1:8" ht="30" x14ac:dyDescent="0.25">
      <c r="A858" s="10" t="s">
        <v>443</v>
      </c>
      <c r="B858" s="194">
        <v>0.72569444444444442</v>
      </c>
      <c r="C858" s="116">
        <v>1</v>
      </c>
      <c r="D858" s="116">
        <v>6</v>
      </c>
      <c r="E858" s="116">
        <v>0</v>
      </c>
      <c r="F858" s="116" t="s">
        <v>3361</v>
      </c>
      <c r="G858" s="162" t="str">
        <f t="shared" si="26"/>
        <v>Serigrafia</v>
      </c>
      <c r="H858" s="161" t="str">
        <f t="shared" si="27"/>
        <v>17h</v>
      </c>
    </row>
    <row r="859" spans="1:8" ht="30" x14ac:dyDescent="0.25">
      <c r="A859" s="10" t="s">
        <v>443</v>
      </c>
      <c r="B859" s="194">
        <v>0.7368055555555556</v>
      </c>
      <c r="C859" s="116">
        <v>1</v>
      </c>
      <c r="D859" s="116">
        <v>4</v>
      </c>
      <c r="E859" s="116">
        <v>1</v>
      </c>
      <c r="F859" s="116" t="s">
        <v>3361</v>
      </c>
      <c r="G859" s="162" t="str">
        <f t="shared" si="26"/>
        <v>Serigrafia</v>
      </c>
      <c r="H859" s="161" t="str">
        <f t="shared" si="27"/>
        <v>17h</v>
      </c>
    </row>
    <row r="860" spans="1:8" ht="30" x14ac:dyDescent="0.25">
      <c r="A860" s="10" t="s">
        <v>443</v>
      </c>
      <c r="B860" s="194">
        <v>0.75416666666666665</v>
      </c>
      <c r="C860" s="116">
        <v>1</v>
      </c>
      <c r="D860" s="116">
        <v>4</v>
      </c>
      <c r="E860" s="116">
        <v>0</v>
      </c>
      <c r="F860" s="116" t="s">
        <v>3359</v>
      </c>
      <c r="G860" s="162" t="str">
        <f t="shared" si="26"/>
        <v>Serigrafia</v>
      </c>
      <c r="H860" s="161" t="str">
        <f t="shared" si="27"/>
        <v>18h</v>
      </c>
    </row>
    <row r="861" spans="1:8" ht="30" x14ac:dyDescent="0.25">
      <c r="A861" s="10" t="s">
        <v>443</v>
      </c>
      <c r="B861" s="194">
        <v>0.78055555555555556</v>
      </c>
      <c r="C861" s="116">
        <v>1</v>
      </c>
      <c r="D861" s="116">
        <v>4</v>
      </c>
      <c r="E861" s="116">
        <v>0</v>
      </c>
      <c r="F861" s="116" t="s">
        <v>3359</v>
      </c>
      <c r="G861" s="162" t="str">
        <f t="shared" si="26"/>
        <v>Serigrafia</v>
      </c>
      <c r="H861" s="161" t="str">
        <f t="shared" si="27"/>
        <v>18h</v>
      </c>
    </row>
    <row r="862" spans="1:8" ht="30" x14ac:dyDescent="0.25">
      <c r="A862" s="10" t="s">
        <v>443</v>
      </c>
      <c r="B862" s="194">
        <v>0.79861111111111116</v>
      </c>
      <c r="C862" s="116">
        <v>1</v>
      </c>
      <c r="D862" s="116">
        <v>4</v>
      </c>
      <c r="E862" s="116">
        <v>0</v>
      </c>
      <c r="F862" s="116" t="s">
        <v>3366</v>
      </c>
      <c r="G862" s="162" t="str">
        <f t="shared" si="26"/>
        <v>Serigrafia</v>
      </c>
      <c r="H862" s="161" t="str">
        <f t="shared" si="27"/>
        <v>19h</v>
      </c>
    </row>
    <row r="863" spans="1:8" ht="30" x14ac:dyDescent="0.25">
      <c r="A863" s="10" t="s">
        <v>443</v>
      </c>
      <c r="B863" s="194">
        <v>0.81180555555555556</v>
      </c>
      <c r="C863" s="116">
        <v>1</v>
      </c>
      <c r="D863" s="116">
        <v>4</v>
      </c>
      <c r="E863" s="116">
        <v>0</v>
      </c>
      <c r="F863" s="116" t="s">
        <v>3366</v>
      </c>
      <c r="G863" s="162" t="str">
        <f t="shared" si="26"/>
        <v>Serigrafia</v>
      </c>
      <c r="H863" s="161" t="str">
        <f t="shared" si="27"/>
        <v>19h</v>
      </c>
    </row>
    <row r="864" spans="1:8" ht="30" x14ac:dyDescent="0.25">
      <c r="A864" s="10" t="s">
        <v>443</v>
      </c>
      <c r="B864" s="194">
        <v>0.86805555555555558</v>
      </c>
      <c r="C864" s="116">
        <v>1</v>
      </c>
      <c r="D864" s="116">
        <v>4</v>
      </c>
      <c r="E864" s="116">
        <v>0</v>
      </c>
      <c r="F864" s="116" t="s">
        <v>3364</v>
      </c>
      <c r="G864" s="162" t="str">
        <f t="shared" si="26"/>
        <v>Serigrafia</v>
      </c>
      <c r="H864" s="161" t="str">
        <f t="shared" si="27"/>
        <v>20h</v>
      </c>
    </row>
    <row r="865" spans="1:8" ht="30" x14ac:dyDescent="0.25">
      <c r="A865" s="10" t="s">
        <v>443</v>
      </c>
      <c r="B865" s="194">
        <v>0.87708333333333333</v>
      </c>
      <c r="C865" s="116">
        <v>1</v>
      </c>
      <c r="D865" s="116">
        <v>2</v>
      </c>
      <c r="E865" s="116">
        <v>1</v>
      </c>
      <c r="F865" s="116" t="s">
        <v>3360</v>
      </c>
      <c r="G865" s="162" t="str">
        <f t="shared" si="26"/>
        <v>Serigrafia</v>
      </c>
      <c r="H865" s="161" t="str">
        <f t="shared" si="27"/>
        <v>21h</v>
      </c>
    </row>
    <row r="866" spans="1:8" ht="30" x14ac:dyDescent="0.25">
      <c r="A866" s="10" t="s">
        <v>443</v>
      </c>
      <c r="B866" s="194">
        <v>0.91249999999999998</v>
      </c>
      <c r="C866" s="116">
        <v>0</v>
      </c>
      <c r="D866" s="116">
        <v>2</v>
      </c>
      <c r="E866" s="116">
        <v>1</v>
      </c>
      <c r="F866" s="116" t="s">
        <v>3360</v>
      </c>
      <c r="G866" s="162" t="str">
        <f t="shared" si="26"/>
        <v>Serigrafia</v>
      </c>
      <c r="H866" s="161" t="str">
        <f t="shared" si="27"/>
        <v>21h</v>
      </c>
    </row>
    <row r="867" spans="1:8" ht="30" x14ac:dyDescent="0.25">
      <c r="A867" s="10" t="s">
        <v>443</v>
      </c>
      <c r="B867" s="194">
        <v>0.91666666666666663</v>
      </c>
      <c r="C867" s="116">
        <v>1</v>
      </c>
      <c r="D867" s="116">
        <v>2</v>
      </c>
      <c r="E867" s="116">
        <v>0</v>
      </c>
      <c r="F867" s="116" t="s">
        <v>3362</v>
      </c>
      <c r="G867" s="162" t="str">
        <f t="shared" si="26"/>
        <v>Serigrafia</v>
      </c>
      <c r="H867" s="161" t="str">
        <f t="shared" si="27"/>
        <v>22h</v>
      </c>
    </row>
    <row r="868" spans="1:8" ht="30" x14ac:dyDescent="0.25">
      <c r="A868" s="10" t="s">
        <v>443</v>
      </c>
      <c r="B868" s="194">
        <v>0.9555555555555556</v>
      </c>
      <c r="C868" s="116">
        <v>1</v>
      </c>
      <c r="D868" s="116">
        <v>2</v>
      </c>
      <c r="E868" s="116">
        <v>0</v>
      </c>
      <c r="F868" s="116" t="s">
        <v>3362</v>
      </c>
      <c r="G868" s="162" t="str">
        <f t="shared" si="26"/>
        <v>Serigrafia</v>
      </c>
      <c r="H868" s="161" t="str">
        <f t="shared" si="27"/>
        <v>22h</v>
      </c>
    </row>
    <row r="869" spans="1:8" ht="30" x14ac:dyDescent="0.25">
      <c r="A869" s="10" t="s">
        <v>450</v>
      </c>
      <c r="B869" s="194">
        <v>0.28263888888888888</v>
      </c>
      <c r="C869" s="116">
        <v>1</v>
      </c>
      <c r="D869" s="116"/>
      <c r="E869" s="116">
        <v>0</v>
      </c>
      <c r="F869" s="116" t="s">
        <v>3372</v>
      </c>
      <c r="G869" s="162" t="str">
        <f t="shared" si="26"/>
        <v>Serigrafia</v>
      </c>
      <c r="H869" s="161" t="str">
        <f t="shared" si="27"/>
        <v>6h</v>
      </c>
    </row>
    <row r="870" spans="1:8" ht="30" x14ac:dyDescent="0.25">
      <c r="A870" s="10" t="s">
        <v>450</v>
      </c>
      <c r="B870" s="194">
        <v>0.29166666666666669</v>
      </c>
      <c r="C870" s="116">
        <v>1</v>
      </c>
      <c r="D870" s="116"/>
      <c r="E870" s="116">
        <v>1</v>
      </c>
      <c r="F870" s="116" t="s">
        <v>3377</v>
      </c>
      <c r="G870" s="162" t="str">
        <f t="shared" si="26"/>
        <v>Serigrafia</v>
      </c>
      <c r="H870" s="161" t="str">
        <f t="shared" si="27"/>
        <v>7h</v>
      </c>
    </row>
    <row r="871" spans="1:8" ht="30" x14ac:dyDescent="0.25">
      <c r="A871" s="10" t="s">
        <v>450</v>
      </c>
      <c r="B871" s="194">
        <v>0.30138888888888887</v>
      </c>
      <c r="C871" s="116">
        <v>1</v>
      </c>
      <c r="D871" s="116"/>
      <c r="E871" s="116">
        <v>0</v>
      </c>
      <c r="F871" s="116" t="s">
        <v>3373</v>
      </c>
      <c r="G871" s="162" t="str">
        <f t="shared" si="26"/>
        <v>Serigrafia</v>
      </c>
      <c r="H871" s="161" t="str">
        <f t="shared" si="27"/>
        <v>7h</v>
      </c>
    </row>
    <row r="872" spans="1:8" ht="30" x14ac:dyDescent="0.25">
      <c r="A872" s="10" t="s">
        <v>450</v>
      </c>
      <c r="B872" s="194">
        <v>0.31805555555555554</v>
      </c>
      <c r="C872" s="116">
        <v>1</v>
      </c>
      <c r="D872" s="116"/>
      <c r="E872" s="116">
        <v>0</v>
      </c>
      <c r="F872" s="116" t="s">
        <v>3373</v>
      </c>
      <c r="G872" s="162" t="str">
        <f t="shared" si="26"/>
        <v>Serigrafia</v>
      </c>
      <c r="H872" s="161" t="str">
        <f t="shared" si="27"/>
        <v>7h</v>
      </c>
    </row>
    <row r="873" spans="1:8" ht="30" x14ac:dyDescent="0.25">
      <c r="A873" s="10" t="s">
        <v>450</v>
      </c>
      <c r="B873" s="194">
        <v>0.32569444444444445</v>
      </c>
      <c r="C873" s="116">
        <v>1</v>
      </c>
      <c r="D873" s="116"/>
      <c r="E873" s="116">
        <v>0</v>
      </c>
      <c r="F873" s="116" t="s">
        <v>3373</v>
      </c>
      <c r="G873" s="162" t="str">
        <f t="shared" si="26"/>
        <v>Serigrafia</v>
      </c>
      <c r="H873" s="161" t="str">
        <f t="shared" si="27"/>
        <v>7h</v>
      </c>
    </row>
    <row r="874" spans="1:8" ht="30" x14ac:dyDescent="0.25">
      <c r="A874" s="10" t="s">
        <v>450</v>
      </c>
      <c r="B874" s="194">
        <v>0.33194444444444443</v>
      </c>
      <c r="C874" s="116">
        <v>1</v>
      </c>
      <c r="D874" s="116"/>
      <c r="E874" s="116">
        <v>1</v>
      </c>
      <c r="F874" s="116" t="s">
        <v>3373</v>
      </c>
      <c r="G874" s="162" t="str">
        <f t="shared" si="26"/>
        <v>Serigrafia</v>
      </c>
      <c r="H874" s="161" t="str">
        <f t="shared" si="27"/>
        <v>7h</v>
      </c>
    </row>
    <row r="875" spans="1:8" ht="30" x14ac:dyDescent="0.25">
      <c r="A875" s="10" t="s">
        <v>450</v>
      </c>
      <c r="B875" s="194">
        <v>0.33888888888888891</v>
      </c>
      <c r="C875" s="116">
        <v>1</v>
      </c>
      <c r="D875" s="116"/>
      <c r="E875" s="116">
        <v>0</v>
      </c>
      <c r="F875" s="116" t="s">
        <v>3374</v>
      </c>
      <c r="G875" s="162" t="str">
        <f t="shared" si="26"/>
        <v>Serigrafia</v>
      </c>
      <c r="H875" s="161" t="str">
        <f t="shared" si="27"/>
        <v>8h</v>
      </c>
    </row>
    <row r="876" spans="1:8" ht="30" x14ac:dyDescent="0.25">
      <c r="A876" s="10" t="s">
        <v>450</v>
      </c>
      <c r="B876" s="194">
        <v>0.34652777777777777</v>
      </c>
      <c r="C876" s="116">
        <v>1</v>
      </c>
      <c r="D876" s="116"/>
      <c r="E876" s="116">
        <v>0</v>
      </c>
      <c r="F876" s="116" t="s">
        <v>3374</v>
      </c>
      <c r="G876" s="162" t="str">
        <f t="shared" si="26"/>
        <v>Serigrafia</v>
      </c>
      <c r="H876" s="161" t="str">
        <f t="shared" si="27"/>
        <v>8h</v>
      </c>
    </row>
    <row r="877" spans="1:8" ht="30" x14ac:dyDescent="0.25">
      <c r="A877" s="10" t="s">
        <v>450</v>
      </c>
      <c r="B877" s="194">
        <v>0.35347222222222224</v>
      </c>
      <c r="C877" s="116">
        <v>1</v>
      </c>
      <c r="D877" s="116"/>
      <c r="E877" s="116">
        <v>0</v>
      </c>
      <c r="F877" s="116" t="s">
        <v>3374</v>
      </c>
      <c r="G877" s="162" t="str">
        <f t="shared" si="26"/>
        <v>Serigrafia</v>
      </c>
      <c r="H877" s="161" t="str">
        <f t="shared" si="27"/>
        <v>8h</v>
      </c>
    </row>
    <row r="878" spans="1:8" ht="30" x14ac:dyDescent="0.25">
      <c r="A878" s="10" t="s">
        <v>450</v>
      </c>
      <c r="B878" s="194">
        <v>0.36736111111111114</v>
      </c>
      <c r="C878" s="116">
        <v>1</v>
      </c>
      <c r="D878" s="116"/>
      <c r="E878" s="116">
        <v>0</v>
      </c>
      <c r="F878" s="116" t="s">
        <v>3374</v>
      </c>
      <c r="G878" s="162" t="str">
        <f t="shared" si="26"/>
        <v>Serigrafia</v>
      </c>
      <c r="H878" s="161" t="str">
        <f t="shared" si="27"/>
        <v>8h</v>
      </c>
    </row>
    <row r="879" spans="1:8" ht="30" x14ac:dyDescent="0.25">
      <c r="A879" s="10" t="s">
        <v>450</v>
      </c>
      <c r="B879" s="194">
        <v>0.3840277777777778</v>
      </c>
      <c r="C879" s="116">
        <v>1</v>
      </c>
      <c r="D879" s="116">
        <v>2</v>
      </c>
      <c r="E879" s="116">
        <v>1</v>
      </c>
      <c r="F879" s="116" t="s">
        <v>3370</v>
      </c>
      <c r="G879" s="162" t="str">
        <f t="shared" si="26"/>
        <v>Serigrafia</v>
      </c>
      <c r="H879" s="161" t="str">
        <f t="shared" si="27"/>
        <v>9h</v>
      </c>
    </row>
    <row r="880" spans="1:8" ht="30" x14ac:dyDescent="0.25">
      <c r="A880" s="10" t="s">
        <v>450</v>
      </c>
      <c r="B880" s="194">
        <v>0.40833333333333333</v>
      </c>
      <c r="C880" s="116">
        <v>1</v>
      </c>
      <c r="D880" s="116">
        <v>2</v>
      </c>
      <c r="E880" s="116">
        <v>0</v>
      </c>
      <c r="F880" s="116" t="s">
        <v>3370</v>
      </c>
      <c r="G880" s="162" t="str">
        <f t="shared" si="26"/>
        <v>Serigrafia</v>
      </c>
      <c r="H880" s="161" t="str">
        <f t="shared" si="27"/>
        <v>9h</v>
      </c>
    </row>
    <row r="881" spans="1:8" ht="30" x14ac:dyDescent="0.25">
      <c r="A881" s="10" t="s">
        <v>450</v>
      </c>
      <c r="B881" s="194">
        <v>0.43402777777777779</v>
      </c>
      <c r="C881" s="116">
        <v>1</v>
      </c>
      <c r="D881" s="116">
        <v>2</v>
      </c>
      <c r="E881" s="116">
        <v>0</v>
      </c>
      <c r="F881" s="116" t="s">
        <v>3371</v>
      </c>
      <c r="G881" s="162" t="str">
        <f t="shared" si="26"/>
        <v>Serigrafia</v>
      </c>
      <c r="H881" s="161" t="str">
        <f t="shared" si="27"/>
        <v>10h</v>
      </c>
    </row>
    <row r="882" spans="1:8" ht="30" x14ac:dyDescent="0.25">
      <c r="A882" s="10" t="s">
        <v>450</v>
      </c>
      <c r="B882" s="194">
        <v>0.44930555555555557</v>
      </c>
      <c r="C882" s="116">
        <v>1</v>
      </c>
      <c r="D882" s="116">
        <v>2</v>
      </c>
      <c r="E882" s="116">
        <v>1</v>
      </c>
      <c r="F882" s="116" t="s">
        <v>3371</v>
      </c>
      <c r="G882" s="162" t="str">
        <f t="shared" si="26"/>
        <v>Serigrafia</v>
      </c>
      <c r="H882" s="161" t="str">
        <f t="shared" si="27"/>
        <v>10h</v>
      </c>
    </row>
    <row r="883" spans="1:8" ht="30" x14ac:dyDescent="0.25">
      <c r="A883" s="10" t="s">
        <v>450</v>
      </c>
      <c r="B883" s="194">
        <v>0.52361111111111114</v>
      </c>
      <c r="C883" s="116">
        <v>1</v>
      </c>
      <c r="D883" s="116">
        <v>2</v>
      </c>
      <c r="E883" s="116">
        <v>0</v>
      </c>
      <c r="F883" s="116" t="s">
        <v>3367</v>
      </c>
      <c r="G883" s="162" t="str">
        <f t="shared" si="26"/>
        <v>Serigrafia</v>
      </c>
      <c r="H883" s="161" t="str">
        <f t="shared" si="27"/>
        <v>12h</v>
      </c>
    </row>
    <row r="884" spans="1:8" ht="30" x14ac:dyDescent="0.25">
      <c r="A884" s="10" t="s">
        <v>450</v>
      </c>
      <c r="B884" s="194">
        <v>0.56041666666666667</v>
      </c>
      <c r="C884" s="116">
        <v>1</v>
      </c>
      <c r="D884" s="116">
        <v>2</v>
      </c>
      <c r="E884" s="116">
        <v>0</v>
      </c>
      <c r="F884" s="116" t="s">
        <v>3368</v>
      </c>
      <c r="G884" s="162" t="str">
        <f t="shared" si="26"/>
        <v>Serigrafia</v>
      </c>
      <c r="H884" s="161" t="str">
        <f t="shared" si="27"/>
        <v>13h</v>
      </c>
    </row>
    <row r="885" spans="1:8" ht="30" x14ac:dyDescent="0.25">
      <c r="A885" s="10" t="s">
        <v>450</v>
      </c>
      <c r="B885" s="194">
        <v>0.59444444444444444</v>
      </c>
      <c r="C885" s="116">
        <v>1</v>
      </c>
      <c r="D885" s="116">
        <v>2</v>
      </c>
      <c r="E885" s="116">
        <v>0</v>
      </c>
      <c r="F885" s="116" t="s">
        <v>3369</v>
      </c>
      <c r="G885" s="162" t="str">
        <f t="shared" si="26"/>
        <v>Serigrafia</v>
      </c>
      <c r="H885" s="161" t="str">
        <f t="shared" si="27"/>
        <v>14h</v>
      </c>
    </row>
    <row r="886" spans="1:8" ht="30" x14ac:dyDescent="0.25">
      <c r="A886" s="10" t="s">
        <v>450</v>
      </c>
      <c r="B886" s="194">
        <v>0.60347222222222219</v>
      </c>
      <c r="C886" s="116">
        <v>1</v>
      </c>
      <c r="D886" s="116">
        <v>2</v>
      </c>
      <c r="E886" s="116">
        <v>0</v>
      </c>
      <c r="F886" s="116" t="s">
        <v>3369</v>
      </c>
      <c r="G886" s="162" t="str">
        <f t="shared" si="26"/>
        <v>Serigrafia</v>
      </c>
      <c r="H886" s="161" t="str">
        <f t="shared" si="27"/>
        <v>14h</v>
      </c>
    </row>
    <row r="887" spans="1:8" ht="30" x14ac:dyDescent="0.25">
      <c r="A887" s="10" t="s">
        <v>450</v>
      </c>
      <c r="B887" s="194">
        <v>0.60833333333333328</v>
      </c>
      <c r="C887" s="116">
        <v>1</v>
      </c>
      <c r="D887" s="116">
        <v>2</v>
      </c>
      <c r="E887" s="116">
        <v>0</v>
      </c>
      <c r="F887" s="116" t="s">
        <v>3369</v>
      </c>
      <c r="G887" s="162" t="str">
        <f t="shared" si="26"/>
        <v>Serigrafia</v>
      </c>
      <c r="H887" s="161" t="str">
        <f t="shared" si="27"/>
        <v>14h</v>
      </c>
    </row>
    <row r="888" spans="1:8" ht="30" x14ac:dyDescent="0.25">
      <c r="A888" s="10" t="s">
        <v>450</v>
      </c>
      <c r="B888" s="194">
        <v>0.70208333333333328</v>
      </c>
      <c r="C888" s="116">
        <v>1</v>
      </c>
      <c r="D888" s="116">
        <v>2</v>
      </c>
      <c r="E888" s="116">
        <v>1</v>
      </c>
      <c r="F888" s="116" t="s">
        <v>3363</v>
      </c>
      <c r="G888" s="162" t="str">
        <f t="shared" si="26"/>
        <v>Serigrafia</v>
      </c>
      <c r="H888" s="161" t="str">
        <f t="shared" si="27"/>
        <v>16h</v>
      </c>
    </row>
    <row r="889" spans="1:8" ht="30" x14ac:dyDescent="0.25">
      <c r="A889" s="10" t="s">
        <v>450</v>
      </c>
      <c r="B889" s="194">
        <v>0.72222222222222221</v>
      </c>
      <c r="C889" s="116">
        <v>0</v>
      </c>
      <c r="D889" s="116">
        <v>2</v>
      </c>
      <c r="E889" s="116">
        <v>0</v>
      </c>
      <c r="F889" s="116" t="s">
        <v>3361</v>
      </c>
      <c r="G889" s="162" t="str">
        <f t="shared" si="26"/>
        <v>Serigrafia</v>
      </c>
      <c r="H889" s="161" t="str">
        <f t="shared" si="27"/>
        <v>17h</v>
      </c>
    </row>
    <row r="890" spans="1:8" ht="30" x14ac:dyDescent="0.25">
      <c r="A890" s="10" t="s">
        <v>450</v>
      </c>
      <c r="B890" s="194">
        <v>0.73472222222222228</v>
      </c>
      <c r="C890" s="116">
        <v>1</v>
      </c>
      <c r="D890" s="116">
        <v>2</v>
      </c>
      <c r="E890" s="116">
        <v>0</v>
      </c>
      <c r="F890" s="116" t="s">
        <v>3361</v>
      </c>
      <c r="G890" s="162" t="str">
        <f t="shared" si="26"/>
        <v>Serigrafia</v>
      </c>
      <c r="H890" s="161" t="str">
        <f t="shared" si="27"/>
        <v>17h</v>
      </c>
    </row>
    <row r="891" spans="1:8" ht="30" x14ac:dyDescent="0.25">
      <c r="A891" s="10" t="s">
        <v>450</v>
      </c>
      <c r="B891" s="194">
        <v>0.79583333333333328</v>
      </c>
      <c r="C891" s="116">
        <v>0</v>
      </c>
      <c r="D891" s="116">
        <v>2</v>
      </c>
      <c r="E891" s="116">
        <v>0</v>
      </c>
      <c r="F891" s="116" t="s">
        <v>3366</v>
      </c>
      <c r="G891" s="162" t="str">
        <f t="shared" si="26"/>
        <v>Serigrafia</v>
      </c>
      <c r="H891" s="161" t="str">
        <f t="shared" si="27"/>
        <v>19h</v>
      </c>
    </row>
    <row r="892" spans="1:8" ht="30" x14ac:dyDescent="0.25">
      <c r="A892" s="10" t="s">
        <v>450</v>
      </c>
      <c r="B892" s="194">
        <v>0.91249999999999998</v>
      </c>
      <c r="C892" s="116">
        <v>1</v>
      </c>
      <c r="D892" s="116">
        <v>2</v>
      </c>
      <c r="E892" s="116">
        <v>0</v>
      </c>
      <c r="F892" s="116" t="s">
        <v>3360</v>
      </c>
      <c r="G892" s="162" t="str">
        <f t="shared" si="26"/>
        <v>Serigrafia</v>
      </c>
      <c r="H892" s="161" t="str">
        <f t="shared" si="27"/>
        <v>21h</v>
      </c>
    </row>
    <row r="893" spans="1:8" ht="30" x14ac:dyDescent="0.25">
      <c r="A893" s="10" t="s">
        <v>450</v>
      </c>
      <c r="B893" s="194">
        <v>0.9291666666666667</v>
      </c>
      <c r="C893" s="116">
        <v>0</v>
      </c>
      <c r="D893" s="116">
        <v>2</v>
      </c>
      <c r="E893" s="116">
        <v>0</v>
      </c>
      <c r="F893" s="116" t="s">
        <v>3362</v>
      </c>
      <c r="G893" s="162" t="str">
        <f t="shared" si="26"/>
        <v>Serigrafia</v>
      </c>
      <c r="H893" s="161" t="str">
        <f t="shared" si="27"/>
        <v>22h</v>
      </c>
    </row>
    <row r="894" spans="1:8" ht="30" x14ac:dyDescent="0.25">
      <c r="A894" s="10" t="s">
        <v>450</v>
      </c>
      <c r="B894" s="194">
        <v>0.95347222222222228</v>
      </c>
      <c r="C894" s="116">
        <v>1</v>
      </c>
      <c r="D894" s="116">
        <v>2</v>
      </c>
      <c r="E894" s="116">
        <v>0</v>
      </c>
      <c r="F894" s="116" t="s">
        <v>3362</v>
      </c>
      <c r="G894" s="162" t="str">
        <f t="shared" si="26"/>
        <v>Serigrafia</v>
      </c>
      <c r="H894" s="161" t="str">
        <f t="shared" si="27"/>
        <v>22h</v>
      </c>
    </row>
    <row r="895" spans="1:8" ht="30" x14ac:dyDescent="0.25">
      <c r="A895" s="10" t="s">
        <v>454</v>
      </c>
      <c r="B895" s="194">
        <v>0.27916666666666667</v>
      </c>
      <c r="C895" s="116">
        <v>1</v>
      </c>
      <c r="D895" s="116"/>
      <c r="E895" s="116">
        <v>0</v>
      </c>
      <c r="F895" s="116" t="s">
        <v>3372</v>
      </c>
      <c r="G895" s="162" t="str">
        <f t="shared" si="26"/>
        <v>Serigrafia</v>
      </c>
      <c r="H895" s="161" t="str">
        <f t="shared" si="27"/>
        <v>6h</v>
      </c>
    </row>
    <row r="896" spans="1:8" ht="30" x14ac:dyDescent="0.25">
      <c r="A896" s="10" t="s">
        <v>454</v>
      </c>
      <c r="B896" s="194">
        <v>0.28402777777777777</v>
      </c>
      <c r="C896" s="116">
        <v>1</v>
      </c>
      <c r="D896" s="116"/>
      <c r="E896" s="116">
        <v>1</v>
      </c>
      <c r="F896" s="116" t="s">
        <v>3372</v>
      </c>
      <c r="G896" s="162" t="str">
        <f t="shared" si="26"/>
        <v>Serigrafia</v>
      </c>
      <c r="H896" s="161" t="str">
        <f t="shared" si="27"/>
        <v>6h</v>
      </c>
    </row>
    <row r="897" spans="1:8" ht="30" x14ac:dyDescent="0.25">
      <c r="A897" s="10" t="s">
        <v>454</v>
      </c>
      <c r="B897" s="194">
        <v>0.28958333333333336</v>
      </c>
      <c r="C897" s="116">
        <v>1</v>
      </c>
      <c r="D897" s="116">
        <v>5</v>
      </c>
      <c r="E897" s="116">
        <v>1</v>
      </c>
      <c r="F897" s="116" t="s">
        <v>3372</v>
      </c>
      <c r="G897" s="162" t="str">
        <f t="shared" si="26"/>
        <v>Serigrafia</v>
      </c>
      <c r="H897" s="161" t="str">
        <f t="shared" si="27"/>
        <v>6h</v>
      </c>
    </row>
    <row r="898" spans="1:8" ht="30" x14ac:dyDescent="0.25">
      <c r="A898" s="10" t="s">
        <v>454</v>
      </c>
      <c r="B898" s="194">
        <v>0.30694444444444446</v>
      </c>
      <c r="C898" s="116">
        <v>1</v>
      </c>
      <c r="D898" s="116"/>
      <c r="E898" s="116">
        <v>1</v>
      </c>
      <c r="F898" s="116" t="s">
        <v>3373</v>
      </c>
      <c r="G898" s="162" t="str">
        <f t="shared" si="26"/>
        <v>Serigrafia</v>
      </c>
      <c r="H898" s="161" t="str">
        <f t="shared" si="27"/>
        <v>7h</v>
      </c>
    </row>
    <row r="899" spans="1:8" ht="30" x14ac:dyDescent="0.25">
      <c r="A899" s="10" t="s">
        <v>454</v>
      </c>
      <c r="B899" s="194">
        <v>0.34166666666666667</v>
      </c>
      <c r="C899" s="116">
        <v>1</v>
      </c>
      <c r="D899" s="116"/>
      <c r="E899" s="116">
        <v>0</v>
      </c>
      <c r="F899" s="116" t="s">
        <v>3374</v>
      </c>
      <c r="G899" s="162" t="str">
        <f t="shared" ref="G899:G962" si="28">IF(LEFT(A899,3)="S7P","Pintura",IF(LEFT(A899,3)="S7M","Montagem",
IF(LEFT(A899,3)="S7S","Serigrafia"," ")))</f>
        <v>Serigrafia</v>
      </c>
      <c r="H899" s="161" t="str">
        <f t="shared" ref="H899:H962" si="29">VALUE(LEFT(F899,2))&amp;"h"</f>
        <v>8h</v>
      </c>
    </row>
    <row r="900" spans="1:8" ht="30" x14ac:dyDescent="0.25">
      <c r="A900" s="10" t="s">
        <v>454</v>
      </c>
      <c r="B900" s="194">
        <v>0.35347222222222224</v>
      </c>
      <c r="C900" s="116">
        <v>1</v>
      </c>
      <c r="D900" s="116"/>
      <c r="E900" s="116">
        <v>0</v>
      </c>
      <c r="F900" s="116" t="s">
        <v>3374</v>
      </c>
      <c r="G900" s="162" t="str">
        <f t="shared" si="28"/>
        <v>Serigrafia</v>
      </c>
      <c r="H900" s="161" t="str">
        <f t="shared" si="29"/>
        <v>8h</v>
      </c>
    </row>
    <row r="901" spans="1:8" ht="30" x14ac:dyDescent="0.25">
      <c r="A901" s="10" t="s">
        <v>454</v>
      </c>
      <c r="B901" s="194">
        <v>0.39305555555555555</v>
      </c>
      <c r="C901" s="116">
        <v>1</v>
      </c>
      <c r="D901" s="116"/>
      <c r="E901" s="116">
        <v>0</v>
      </c>
      <c r="F901" s="116" t="s">
        <v>3370</v>
      </c>
      <c r="G901" s="162" t="str">
        <f t="shared" si="28"/>
        <v>Serigrafia</v>
      </c>
      <c r="H901" s="161" t="str">
        <f t="shared" si="29"/>
        <v>9h</v>
      </c>
    </row>
    <row r="902" spans="1:8" ht="30" x14ac:dyDescent="0.25">
      <c r="A902" s="10" t="s">
        <v>454</v>
      </c>
      <c r="B902" s="194">
        <v>0.41597222222222224</v>
      </c>
      <c r="C902" s="116">
        <v>1</v>
      </c>
      <c r="D902" s="116">
        <v>2</v>
      </c>
      <c r="E902" s="116">
        <v>1</v>
      </c>
      <c r="F902" s="116" t="s">
        <v>3370</v>
      </c>
      <c r="G902" s="162" t="str">
        <f t="shared" si="28"/>
        <v>Serigrafia</v>
      </c>
      <c r="H902" s="161" t="str">
        <f t="shared" si="29"/>
        <v>9h</v>
      </c>
    </row>
    <row r="903" spans="1:8" ht="30" x14ac:dyDescent="0.25">
      <c r="A903" s="10" t="s">
        <v>454</v>
      </c>
      <c r="B903" s="194">
        <v>0.50416666666666665</v>
      </c>
      <c r="C903" s="116">
        <v>1</v>
      </c>
      <c r="D903" s="116">
        <v>2</v>
      </c>
      <c r="E903" s="116">
        <v>0</v>
      </c>
      <c r="F903" s="116" t="s">
        <v>3367</v>
      </c>
      <c r="G903" s="162" t="str">
        <f t="shared" si="28"/>
        <v>Serigrafia</v>
      </c>
      <c r="H903" s="161" t="str">
        <f t="shared" si="29"/>
        <v>12h</v>
      </c>
    </row>
    <row r="904" spans="1:8" ht="30" x14ac:dyDescent="0.25">
      <c r="A904" s="10" t="s">
        <v>454</v>
      </c>
      <c r="B904" s="194">
        <v>0.55902777777777779</v>
      </c>
      <c r="C904" s="116">
        <v>1</v>
      </c>
      <c r="D904" s="116">
        <v>2</v>
      </c>
      <c r="E904" s="116">
        <v>0</v>
      </c>
      <c r="F904" s="116" t="s">
        <v>3368</v>
      </c>
      <c r="G904" s="162" t="str">
        <f t="shared" si="28"/>
        <v>Serigrafia</v>
      </c>
      <c r="H904" s="161" t="str">
        <f t="shared" si="29"/>
        <v>13h</v>
      </c>
    </row>
    <row r="905" spans="1:8" ht="30" x14ac:dyDescent="0.25">
      <c r="A905" s="10" t="s">
        <v>454</v>
      </c>
      <c r="B905" s="194">
        <v>0.62638888888888888</v>
      </c>
      <c r="C905" s="116">
        <v>1</v>
      </c>
      <c r="D905" s="116">
        <v>2</v>
      </c>
      <c r="E905" s="116">
        <v>0</v>
      </c>
      <c r="F905" s="116" t="s">
        <v>3358</v>
      </c>
      <c r="G905" s="162" t="str">
        <f t="shared" si="28"/>
        <v>Serigrafia</v>
      </c>
      <c r="H905" s="161" t="str">
        <f t="shared" si="29"/>
        <v>15h</v>
      </c>
    </row>
    <row r="906" spans="1:8" ht="30" x14ac:dyDescent="0.25">
      <c r="A906" s="10" t="s">
        <v>454</v>
      </c>
      <c r="B906" s="194">
        <v>0.68680555555555556</v>
      </c>
      <c r="C906" s="116">
        <v>1</v>
      </c>
      <c r="D906" s="116">
        <v>2</v>
      </c>
      <c r="E906" s="116">
        <v>0</v>
      </c>
      <c r="F906" s="116" t="s">
        <v>3363</v>
      </c>
      <c r="G906" s="162" t="str">
        <f t="shared" si="28"/>
        <v>Serigrafia</v>
      </c>
      <c r="H906" s="161" t="str">
        <f t="shared" si="29"/>
        <v>16h</v>
      </c>
    </row>
    <row r="907" spans="1:8" ht="30" x14ac:dyDescent="0.25">
      <c r="A907" s="10" t="s">
        <v>454</v>
      </c>
      <c r="B907" s="194">
        <v>0.73958333333333337</v>
      </c>
      <c r="C907" s="116">
        <v>1</v>
      </c>
      <c r="D907" s="116">
        <v>2</v>
      </c>
      <c r="E907" s="116">
        <v>0</v>
      </c>
      <c r="F907" s="116" t="s">
        <v>3361</v>
      </c>
      <c r="G907" s="162" t="str">
        <f t="shared" si="28"/>
        <v>Serigrafia</v>
      </c>
      <c r="H907" s="161" t="str">
        <f t="shared" si="29"/>
        <v>17h</v>
      </c>
    </row>
    <row r="908" spans="1:8" ht="30" x14ac:dyDescent="0.25">
      <c r="A908" s="10" t="s">
        <v>454</v>
      </c>
      <c r="B908" s="194">
        <v>0.8</v>
      </c>
      <c r="C908" s="116">
        <v>1</v>
      </c>
      <c r="D908" s="116">
        <v>2</v>
      </c>
      <c r="E908" s="116">
        <v>0</v>
      </c>
      <c r="F908" s="116" t="s">
        <v>3366</v>
      </c>
      <c r="G908" s="162" t="str">
        <f t="shared" si="28"/>
        <v>Serigrafia</v>
      </c>
      <c r="H908" s="161" t="str">
        <f t="shared" si="29"/>
        <v>19h</v>
      </c>
    </row>
    <row r="909" spans="1:8" ht="30" x14ac:dyDescent="0.25">
      <c r="A909" s="10" t="s">
        <v>454</v>
      </c>
      <c r="B909" s="194">
        <v>0.94652777777777775</v>
      </c>
      <c r="C909" s="116">
        <v>0</v>
      </c>
      <c r="D909" s="116">
        <v>3</v>
      </c>
      <c r="E909" s="116">
        <v>1</v>
      </c>
      <c r="F909" s="116" t="s">
        <v>3362</v>
      </c>
      <c r="G909" s="162" t="str">
        <f t="shared" si="28"/>
        <v>Serigrafia</v>
      </c>
      <c r="H909" s="161" t="str">
        <f t="shared" si="29"/>
        <v>22h</v>
      </c>
    </row>
    <row r="910" spans="1:8" ht="30" x14ac:dyDescent="0.25">
      <c r="A910" s="10" t="s">
        <v>454</v>
      </c>
      <c r="B910" s="194">
        <v>0.99652777777777779</v>
      </c>
      <c r="C910" s="116">
        <v>1</v>
      </c>
      <c r="D910" s="116">
        <v>3</v>
      </c>
      <c r="E910" s="116">
        <v>0</v>
      </c>
      <c r="F910" s="116" t="s">
        <v>3365</v>
      </c>
      <c r="G910" s="162" t="str">
        <f t="shared" si="28"/>
        <v>Serigrafia</v>
      </c>
      <c r="H910" s="161" t="str">
        <f t="shared" si="29"/>
        <v>23h</v>
      </c>
    </row>
    <row r="911" spans="1:8" ht="30" x14ac:dyDescent="0.25">
      <c r="A911" s="10" t="s">
        <v>5279</v>
      </c>
      <c r="B911" s="194">
        <v>0.28263888888888888</v>
      </c>
      <c r="C911" s="116">
        <v>1</v>
      </c>
      <c r="D911" s="116"/>
      <c r="E911" s="116">
        <v>0</v>
      </c>
      <c r="F911" s="116" t="s">
        <v>3372</v>
      </c>
      <c r="G911" s="162" t="str">
        <f t="shared" si="28"/>
        <v>Serigrafia</v>
      </c>
      <c r="H911" s="161" t="str">
        <f t="shared" si="29"/>
        <v>6h</v>
      </c>
    </row>
    <row r="912" spans="1:8" ht="30" x14ac:dyDescent="0.25">
      <c r="A912" s="10" t="s">
        <v>5279</v>
      </c>
      <c r="B912" s="194">
        <v>0.29444444444444445</v>
      </c>
      <c r="C912" s="116">
        <v>1</v>
      </c>
      <c r="D912" s="116">
        <v>1</v>
      </c>
      <c r="E912" s="116">
        <v>1</v>
      </c>
      <c r="F912" s="116" t="s">
        <v>3373</v>
      </c>
      <c r="G912" s="162" t="str">
        <f t="shared" si="28"/>
        <v>Serigrafia</v>
      </c>
      <c r="H912" s="161" t="str">
        <f t="shared" si="29"/>
        <v>7h</v>
      </c>
    </row>
    <row r="913" spans="1:8" ht="30" x14ac:dyDescent="0.25">
      <c r="A913" s="10" t="s">
        <v>5279</v>
      </c>
      <c r="B913" s="194">
        <v>0.30416666666666664</v>
      </c>
      <c r="C913" s="116">
        <v>1</v>
      </c>
      <c r="D913" s="116">
        <v>1</v>
      </c>
      <c r="E913" s="116">
        <v>1</v>
      </c>
      <c r="F913" s="116" t="s">
        <v>3373</v>
      </c>
      <c r="G913" s="162" t="str">
        <f t="shared" si="28"/>
        <v>Serigrafia</v>
      </c>
      <c r="H913" s="161" t="str">
        <f t="shared" si="29"/>
        <v>7h</v>
      </c>
    </row>
    <row r="914" spans="1:8" ht="30" x14ac:dyDescent="0.25">
      <c r="A914" s="10" t="s">
        <v>5279</v>
      </c>
      <c r="B914" s="194">
        <v>0.30625000000000002</v>
      </c>
      <c r="C914" s="116">
        <v>1</v>
      </c>
      <c r="D914" s="116"/>
      <c r="E914" s="116">
        <v>1</v>
      </c>
      <c r="F914" s="116" t="s">
        <v>3373</v>
      </c>
      <c r="G914" s="162" t="str">
        <f t="shared" si="28"/>
        <v>Serigrafia</v>
      </c>
      <c r="H914" s="161" t="str">
        <f t="shared" si="29"/>
        <v>7h</v>
      </c>
    </row>
    <row r="915" spans="1:8" ht="30" x14ac:dyDescent="0.25">
      <c r="A915" s="10" t="s">
        <v>5279</v>
      </c>
      <c r="B915" s="194">
        <v>0.30763888888888891</v>
      </c>
      <c r="C915" s="116">
        <v>1</v>
      </c>
      <c r="D915" s="116"/>
      <c r="E915" s="116">
        <v>0</v>
      </c>
      <c r="F915" s="116" t="s">
        <v>3373</v>
      </c>
      <c r="G915" s="162" t="str">
        <f t="shared" si="28"/>
        <v>Serigrafia</v>
      </c>
      <c r="H915" s="161" t="str">
        <f t="shared" si="29"/>
        <v>7h</v>
      </c>
    </row>
    <row r="916" spans="1:8" ht="30" x14ac:dyDescent="0.25">
      <c r="A916" s="10" t="s">
        <v>5279</v>
      </c>
      <c r="B916" s="194">
        <v>0.34166666666666667</v>
      </c>
      <c r="C916" s="116">
        <v>1</v>
      </c>
      <c r="D916" s="116"/>
      <c r="E916" s="116">
        <v>1</v>
      </c>
      <c r="F916" s="116" t="s">
        <v>3374</v>
      </c>
      <c r="G916" s="162" t="str">
        <f t="shared" si="28"/>
        <v>Serigrafia</v>
      </c>
      <c r="H916" s="161" t="str">
        <f t="shared" si="29"/>
        <v>8h</v>
      </c>
    </row>
    <row r="917" spans="1:8" ht="30" x14ac:dyDescent="0.25">
      <c r="A917" s="10" t="s">
        <v>5279</v>
      </c>
      <c r="B917" s="194">
        <v>0.37638888888888888</v>
      </c>
      <c r="C917" s="116">
        <v>1</v>
      </c>
      <c r="D917" s="116"/>
      <c r="E917" s="116">
        <v>0</v>
      </c>
      <c r="F917" s="116" t="s">
        <v>3370</v>
      </c>
      <c r="G917" s="162" t="str">
        <f t="shared" si="28"/>
        <v>Serigrafia</v>
      </c>
      <c r="H917" s="161" t="str">
        <f t="shared" si="29"/>
        <v>9h</v>
      </c>
    </row>
    <row r="918" spans="1:8" ht="30" x14ac:dyDescent="0.25">
      <c r="A918" s="10" t="s">
        <v>5279</v>
      </c>
      <c r="B918" s="194">
        <v>0.45</v>
      </c>
      <c r="C918" s="116">
        <v>1</v>
      </c>
      <c r="D918" s="116"/>
      <c r="E918" s="116">
        <v>0</v>
      </c>
      <c r="F918" s="116" t="s">
        <v>3371</v>
      </c>
      <c r="G918" s="162" t="str">
        <f t="shared" si="28"/>
        <v>Serigrafia</v>
      </c>
      <c r="H918" s="161" t="str">
        <f t="shared" si="29"/>
        <v>10h</v>
      </c>
    </row>
    <row r="919" spans="1:8" ht="30" x14ac:dyDescent="0.25">
      <c r="A919" s="10" t="s">
        <v>5279</v>
      </c>
      <c r="B919" s="194">
        <v>0.57847222222222228</v>
      </c>
      <c r="C919" s="116">
        <v>1</v>
      </c>
      <c r="D919" s="116"/>
      <c r="E919" s="116">
        <v>0</v>
      </c>
      <c r="F919" s="116" t="s">
        <v>3368</v>
      </c>
      <c r="G919" s="162" t="str">
        <f t="shared" si="28"/>
        <v>Serigrafia</v>
      </c>
      <c r="H919" s="161" t="str">
        <f t="shared" si="29"/>
        <v>13h</v>
      </c>
    </row>
    <row r="920" spans="1:8" ht="30" x14ac:dyDescent="0.25">
      <c r="A920" s="10" t="s">
        <v>5279</v>
      </c>
      <c r="B920" s="194">
        <v>0.62986111111111109</v>
      </c>
      <c r="C920" s="116">
        <v>1</v>
      </c>
      <c r="D920" s="116"/>
      <c r="E920" s="116">
        <v>0</v>
      </c>
      <c r="F920" s="116" t="s">
        <v>3358</v>
      </c>
      <c r="G920" s="162" t="str">
        <f t="shared" si="28"/>
        <v>Serigrafia</v>
      </c>
      <c r="H920" s="161" t="str">
        <f t="shared" si="29"/>
        <v>15h</v>
      </c>
    </row>
    <row r="921" spans="1:8" ht="30" x14ac:dyDescent="0.25">
      <c r="A921" s="10" t="s">
        <v>5279</v>
      </c>
      <c r="B921" s="194">
        <v>0.67777777777777781</v>
      </c>
      <c r="C921" s="116">
        <v>1</v>
      </c>
      <c r="D921" s="116"/>
      <c r="E921" s="116">
        <v>0</v>
      </c>
      <c r="F921" s="116" t="s">
        <v>3363</v>
      </c>
      <c r="G921" s="162" t="str">
        <f t="shared" si="28"/>
        <v>Serigrafia</v>
      </c>
      <c r="H921" s="161" t="str">
        <f t="shared" si="29"/>
        <v>16h</v>
      </c>
    </row>
    <row r="922" spans="1:8" ht="30" x14ac:dyDescent="0.25">
      <c r="A922" s="10" t="s">
        <v>5279</v>
      </c>
      <c r="B922" s="194">
        <v>0.6875</v>
      </c>
      <c r="C922" s="116">
        <v>1</v>
      </c>
      <c r="D922" s="116"/>
      <c r="E922" s="116">
        <v>1</v>
      </c>
      <c r="F922" s="116" t="s">
        <v>3363</v>
      </c>
      <c r="G922" s="162" t="str">
        <f t="shared" si="28"/>
        <v>Serigrafia</v>
      </c>
      <c r="H922" s="161" t="str">
        <f t="shared" si="29"/>
        <v>16h</v>
      </c>
    </row>
    <row r="923" spans="1:8" ht="30" x14ac:dyDescent="0.25">
      <c r="A923" s="10" t="s">
        <v>5279</v>
      </c>
      <c r="B923" s="194">
        <v>0.7006944444444444</v>
      </c>
      <c r="C923" s="116">
        <v>1</v>
      </c>
      <c r="D923" s="116"/>
      <c r="E923" s="116">
        <v>0</v>
      </c>
      <c r="F923" s="116" t="s">
        <v>3363</v>
      </c>
      <c r="G923" s="162" t="str">
        <f t="shared" si="28"/>
        <v>Serigrafia</v>
      </c>
      <c r="H923" s="161" t="str">
        <f t="shared" si="29"/>
        <v>16h</v>
      </c>
    </row>
    <row r="924" spans="1:8" ht="30" x14ac:dyDescent="0.25">
      <c r="A924" s="10" t="s">
        <v>5279</v>
      </c>
      <c r="B924" s="194">
        <v>0.71736111111111112</v>
      </c>
      <c r="C924" s="116">
        <v>1</v>
      </c>
      <c r="D924" s="116"/>
      <c r="E924" s="116">
        <v>0</v>
      </c>
      <c r="F924" s="116" t="s">
        <v>3361</v>
      </c>
      <c r="G924" s="162" t="str">
        <f t="shared" si="28"/>
        <v>Serigrafia</v>
      </c>
      <c r="H924" s="161" t="str">
        <f t="shared" si="29"/>
        <v>17h</v>
      </c>
    </row>
    <row r="925" spans="1:8" ht="30" x14ac:dyDescent="0.25">
      <c r="A925" s="10" t="s">
        <v>5279</v>
      </c>
      <c r="B925" s="194">
        <v>0.73472222222222228</v>
      </c>
      <c r="C925" s="116">
        <v>1</v>
      </c>
      <c r="D925" s="116"/>
      <c r="E925" s="116">
        <v>0</v>
      </c>
      <c r="F925" s="116" t="s">
        <v>3361</v>
      </c>
      <c r="G925" s="162" t="str">
        <f t="shared" si="28"/>
        <v>Serigrafia</v>
      </c>
      <c r="H925" s="161" t="str">
        <f t="shared" si="29"/>
        <v>17h</v>
      </c>
    </row>
    <row r="926" spans="1:8" ht="30" x14ac:dyDescent="0.25">
      <c r="A926" s="10" t="s">
        <v>5279</v>
      </c>
      <c r="B926" s="194">
        <v>0.74861111111111112</v>
      </c>
      <c r="C926" s="116">
        <v>1</v>
      </c>
      <c r="D926" s="116"/>
      <c r="E926" s="116">
        <v>0</v>
      </c>
      <c r="F926" s="116" t="s">
        <v>3361</v>
      </c>
      <c r="G926" s="162" t="str">
        <f t="shared" si="28"/>
        <v>Serigrafia</v>
      </c>
      <c r="H926" s="161" t="str">
        <f t="shared" si="29"/>
        <v>17h</v>
      </c>
    </row>
    <row r="927" spans="1:8" ht="30" x14ac:dyDescent="0.25">
      <c r="A927" s="10" t="s">
        <v>5279</v>
      </c>
      <c r="B927" s="194">
        <v>0.7583333333333333</v>
      </c>
      <c r="C927" s="116">
        <v>1</v>
      </c>
      <c r="D927" s="116"/>
      <c r="E927" s="116">
        <v>0</v>
      </c>
      <c r="F927" s="116" t="s">
        <v>3359</v>
      </c>
      <c r="G927" s="162" t="str">
        <f t="shared" si="28"/>
        <v>Serigrafia</v>
      </c>
      <c r="H927" s="161" t="str">
        <f t="shared" si="29"/>
        <v>18h</v>
      </c>
    </row>
    <row r="928" spans="1:8" ht="30" x14ac:dyDescent="0.25">
      <c r="A928" s="10" t="s">
        <v>5279</v>
      </c>
      <c r="B928" s="194">
        <v>0.76944444444444449</v>
      </c>
      <c r="C928" s="116">
        <v>1</v>
      </c>
      <c r="D928" s="116"/>
      <c r="E928" s="116">
        <v>1</v>
      </c>
      <c r="F928" s="116" t="s">
        <v>3359</v>
      </c>
      <c r="G928" s="162" t="str">
        <f t="shared" si="28"/>
        <v>Serigrafia</v>
      </c>
      <c r="H928" s="161" t="str">
        <f t="shared" si="29"/>
        <v>18h</v>
      </c>
    </row>
    <row r="929" spans="1:8" ht="30" x14ac:dyDescent="0.25">
      <c r="A929" s="10" t="s">
        <v>5279</v>
      </c>
      <c r="B929" s="194">
        <v>0.79305555555555551</v>
      </c>
      <c r="C929" s="116">
        <v>1</v>
      </c>
      <c r="D929" s="116"/>
      <c r="E929" s="116">
        <v>0</v>
      </c>
      <c r="F929" s="116" t="s">
        <v>3366</v>
      </c>
      <c r="G929" s="162" t="str">
        <f t="shared" si="28"/>
        <v>Serigrafia</v>
      </c>
      <c r="H929" s="161" t="str">
        <f t="shared" si="29"/>
        <v>19h</v>
      </c>
    </row>
    <row r="930" spans="1:8" ht="30" x14ac:dyDescent="0.25">
      <c r="A930" s="10" t="s">
        <v>5279</v>
      </c>
      <c r="B930" s="194">
        <v>0.81180555555555556</v>
      </c>
      <c r="C930" s="116">
        <v>1</v>
      </c>
      <c r="D930" s="116"/>
      <c r="E930" s="116">
        <v>0</v>
      </c>
      <c r="F930" s="116" t="s">
        <v>3366</v>
      </c>
      <c r="G930" s="162" t="str">
        <f t="shared" si="28"/>
        <v>Serigrafia</v>
      </c>
      <c r="H930" s="161" t="str">
        <f t="shared" si="29"/>
        <v>19h</v>
      </c>
    </row>
    <row r="931" spans="1:8" ht="30" x14ac:dyDescent="0.25">
      <c r="A931" s="10" t="s">
        <v>5279</v>
      </c>
      <c r="B931" s="194">
        <v>0.87222222222222223</v>
      </c>
      <c r="C931" s="116">
        <v>1</v>
      </c>
      <c r="D931" s="116"/>
      <c r="E931" s="116">
        <v>0</v>
      </c>
      <c r="F931" s="116" t="s">
        <v>3364</v>
      </c>
      <c r="G931" s="162" t="str">
        <f t="shared" si="28"/>
        <v>Serigrafia</v>
      </c>
      <c r="H931" s="161" t="str">
        <f t="shared" si="29"/>
        <v>20h</v>
      </c>
    </row>
    <row r="932" spans="1:8" ht="30" x14ac:dyDescent="0.25">
      <c r="A932" s="10" t="s">
        <v>5279</v>
      </c>
      <c r="B932" s="194">
        <v>0.88611111111111107</v>
      </c>
      <c r="C932" s="116">
        <v>1</v>
      </c>
      <c r="D932" s="116"/>
      <c r="E932" s="116">
        <v>0</v>
      </c>
      <c r="F932" s="116" t="s">
        <v>3360</v>
      </c>
      <c r="G932" s="162" t="str">
        <f t="shared" si="28"/>
        <v>Serigrafia</v>
      </c>
      <c r="H932" s="161" t="str">
        <f t="shared" si="29"/>
        <v>21h</v>
      </c>
    </row>
    <row r="933" spans="1:8" ht="30" x14ac:dyDescent="0.25">
      <c r="A933" s="10" t="s">
        <v>5279</v>
      </c>
      <c r="B933" s="194">
        <v>0.89583333333333337</v>
      </c>
      <c r="C933" s="116">
        <v>1</v>
      </c>
      <c r="D933" s="116"/>
      <c r="E933" s="116">
        <v>0</v>
      </c>
      <c r="F933" s="116" t="s">
        <v>3360</v>
      </c>
      <c r="G933" s="162" t="str">
        <f t="shared" si="28"/>
        <v>Serigrafia</v>
      </c>
      <c r="H933" s="161" t="str">
        <f t="shared" si="29"/>
        <v>21h</v>
      </c>
    </row>
    <row r="934" spans="1:8" ht="30" x14ac:dyDescent="0.25">
      <c r="A934" s="10" t="s">
        <v>5279</v>
      </c>
      <c r="B934" s="194">
        <v>0.90208333333333335</v>
      </c>
      <c r="C934" s="116">
        <v>0</v>
      </c>
      <c r="D934" s="116"/>
      <c r="E934" s="116">
        <v>0</v>
      </c>
      <c r="F934" s="116" t="s">
        <v>3360</v>
      </c>
      <c r="G934" s="162" t="str">
        <f t="shared" si="28"/>
        <v>Serigrafia</v>
      </c>
      <c r="H934" s="161" t="str">
        <f t="shared" si="29"/>
        <v>21h</v>
      </c>
    </row>
    <row r="935" spans="1:8" ht="30" x14ac:dyDescent="0.25">
      <c r="A935" s="10" t="s">
        <v>5279</v>
      </c>
      <c r="B935" s="194">
        <v>0.90833333333333333</v>
      </c>
      <c r="C935" s="116">
        <v>1</v>
      </c>
      <c r="D935" s="116"/>
      <c r="E935" s="116">
        <v>0</v>
      </c>
      <c r="F935" s="116" t="s">
        <v>3360</v>
      </c>
      <c r="G935" s="162" t="str">
        <f t="shared" si="28"/>
        <v>Serigrafia</v>
      </c>
      <c r="H935" s="161" t="str">
        <f t="shared" si="29"/>
        <v>21h</v>
      </c>
    </row>
    <row r="936" spans="1:8" ht="30" x14ac:dyDescent="0.25">
      <c r="A936" s="10" t="s">
        <v>5279</v>
      </c>
      <c r="B936" s="194">
        <v>0.92013888888888884</v>
      </c>
      <c r="C936" s="116">
        <v>1</v>
      </c>
      <c r="D936" s="116"/>
      <c r="E936" s="116">
        <v>0</v>
      </c>
      <c r="F936" s="116" t="s">
        <v>3362</v>
      </c>
      <c r="G936" s="162" t="str">
        <f t="shared" si="28"/>
        <v>Serigrafia</v>
      </c>
      <c r="H936" s="161" t="str">
        <f t="shared" si="29"/>
        <v>22h</v>
      </c>
    </row>
    <row r="937" spans="1:8" ht="30" x14ac:dyDescent="0.25">
      <c r="A937" s="10" t="s">
        <v>5279</v>
      </c>
      <c r="B937" s="194">
        <v>0.93125000000000002</v>
      </c>
      <c r="C937" s="116">
        <v>1</v>
      </c>
      <c r="D937" s="116"/>
      <c r="E937" s="116">
        <v>0</v>
      </c>
      <c r="F937" s="116" t="s">
        <v>3362</v>
      </c>
      <c r="G937" s="162" t="str">
        <f t="shared" si="28"/>
        <v>Serigrafia</v>
      </c>
      <c r="H937" s="161" t="str">
        <f t="shared" si="29"/>
        <v>22h</v>
      </c>
    </row>
    <row r="938" spans="1:8" ht="30" x14ac:dyDescent="0.25">
      <c r="A938" s="10" t="s">
        <v>5279</v>
      </c>
      <c r="B938" s="194">
        <v>0.94236111111111109</v>
      </c>
      <c r="C938" s="116">
        <v>1</v>
      </c>
      <c r="D938" s="116"/>
      <c r="E938" s="116">
        <v>0</v>
      </c>
      <c r="F938" s="116" t="s">
        <v>3362</v>
      </c>
      <c r="G938" s="162" t="str">
        <f t="shared" si="28"/>
        <v>Serigrafia</v>
      </c>
      <c r="H938" s="161" t="str">
        <f t="shared" si="29"/>
        <v>22h</v>
      </c>
    </row>
    <row r="939" spans="1:8" ht="30" x14ac:dyDescent="0.25">
      <c r="A939" s="10" t="s">
        <v>5279</v>
      </c>
      <c r="B939" s="194">
        <v>0.94861111111111107</v>
      </c>
      <c r="C939" s="116">
        <v>1</v>
      </c>
      <c r="D939" s="116"/>
      <c r="E939" s="116">
        <v>0</v>
      </c>
      <c r="F939" s="116" t="s">
        <v>3362</v>
      </c>
      <c r="G939" s="162" t="str">
        <f t="shared" si="28"/>
        <v>Serigrafia</v>
      </c>
      <c r="H939" s="161" t="str">
        <f t="shared" si="29"/>
        <v>22h</v>
      </c>
    </row>
    <row r="940" spans="1:8" ht="30" x14ac:dyDescent="0.25">
      <c r="A940" s="10" t="s">
        <v>5279</v>
      </c>
      <c r="B940" s="194">
        <v>0.96458333333333335</v>
      </c>
      <c r="C940" s="116">
        <v>0</v>
      </c>
      <c r="D940" s="116"/>
      <c r="E940" s="116">
        <v>1</v>
      </c>
      <c r="F940" s="116" t="s">
        <v>3365</v>
      </c>
      <c r="G940" s="162" t="str">
        <f t="shared" si="28"/>
        <v>Serigrafia</v>
      </c>
      <c r="H940" s="161" t="str">
        <f t="shared" si="29"/>
        <v>23h</v>
      </c>
    </row>
    <row r="941" spans="1:8" ht="30" x14ac:dyDescent="0.25">
      <c r="A941" s="10" t="s">
        <v>5279</v>
      </c>
      <c r="B941" s="194">
        <v>0.99513888888888891</v>
      </c>
      <c r="C941" s="116">
        <v>1</v>
      </c>
      <c r="D941" s="116"/>
      <c r="E941" s="116">
        <v>0</v>
      </c>
      <c r="F941" s="116" t="s">
        <v>3365</v>
      </c>
      <c r="G941" s="162" t="str">
        <f t="shared" si="28"/>
        <v>Serigrafia</v>
      </c>
      <c r="H941" s="161" t="str">
        <f t="shared" si="29"/>
        <v>23h</v>
      </c>
    </row>
    <row r="942" spans="1:8" ht="30" x14ac:dyDescent="0.25">
      <c r="A942" s="10" t="s">
        <v>5503</v>
      </c>
      <c r="B942" s="194">
        <v>0.27986111111111112</v>
      </c>
      <c r="C942" s="116">
        <v>1</v>
      </c>
      <c r="D942" s="116">
        <v>1</v>
      </c>
      <c r="E942" s="116">
        <v>0</v>
      </c>
      <c r="F942" s="116" t="s">
        <v>3372</v>
      </c>
      <c r="G942" s="162" t="str">
        <f t="shared" si="28"/>
        <v>Serigrafia</v>
      </c>
      <c r="H942" s="161" t="str">
        <f t="shared" si="29"/>
        <v>6h</v>
      </c>
    </row>
    <row r="943" spans="1:8" ht="30" x14ac:dyDescent="0.25">
      <c r="A943" s="10" t="s">
        <v>5506</v>
      </c>
      <c r="B943" s="194">
        <v>0.31180555555555556</v>
      </c>
      <c r="C943" s="116">
        <v>1</v>
      </c>
      <c r="D943" s="116">
        <v>1</v>
      </c>
      <c r="E943" s="116">
        <v>0</v>
      </c>
      <c r="F943" s="116" t="s">
        <v>3373</v>
      </c>
      <c r="G943" s="162" t="str">
        <f t="shared" si="28"/>
        <v>Serigrafia</v>
      </c>
      <c r="H943" s="161" t="str">
        <f t="shared" si="29"/>
        <v>7h</v>
      </c>
    </row>
    <row r="944" spans="1:8" ht="30" x14ac:dyDescent="0.25">
      <c r="A944" s="10" t="s">
        <v>5506</v>
      </c>
      <c r="B944" s="194">
        <v>0.53749999999999998</v>
      </c>
      <c r="C944" s="116">
        <v>1</v>
      </c>
      <c r="D944" s="116">
        <v>1</v>
      </c>
      <c r="E944" s="116">
        <v>0</v>
      </c>
      <c r="F944" s="116" t="s">
        <v>3367</v>
      </c>
      <c r="G944" s="162" t="str">
        <f t="shared" si="28"/>
        <v>Serigrafia</v>
      </c>
      <c r="H944" s="161" t="str">
        <f t="shared" si="29"/>
        <v>12h</v>
      </c>
    </row>
    <row r="945" spans="1:8" ht="30" x14ac:dyDescent="0.25">
      <c r="A945" s="10" t="s">
        <v>5506</v>
      </c>
      <c r="B945" s="194">
        <v>0.78541666666666665</v>
      </c>
      <c r="C945" s="116">
        <v>1</v>
      </c>
      <c r="D945" s="116">
        <v>1</v>
      </c>
      <c r="E945" s="116">
        <v>0</v>
      </c>
      <c r="F945" s="116" t="s">
        <v>3359</v>
      </c>
      <c r="G945" s="162" t="str">
        <f t="shared" si="28"/>
        <v>Serigrafia</v>
      </c>
      <c r="H945" s="161" t="str">
        <f t="shared" si="29"/>
        <v>18h</v>
      </c>
    </row>
    <row r="946" spans="1:8" x14ac:dyDescent="0.25">
      <c r="A946" s="10" t="s">
        <v>5507</v>
      </c>
      <c r="B946" s="194">
        <v>0.28194444444444444</v>
      </c>
      <c r="C946" s="116">
        <v>1</v>
      </c>
      <c r="D946" s="116"/>
      <c r="E946" s="116">
        <v>0</v>
      </c>
      <c r="F946" s="116" t="s">
        <v>3372</v>
      </c>
      <c r="G946" s="162" t="str">
        <f t="shared" si="28"/>
        <v xml:space="preserve"> </v>
      </c>
      <c r="H946" s="161" t="str">
        <f t="shared" si="29"/>
        <v>6h</v>
      </c>
    </row>
    <row r="947" spans="1:8" x14ac:dyDescent="0.25">
      <c r="A947" s="10" t="s">
        <v>5507</v>
      </c>
      <c r="B947" s="194">
        <v>0.28888888888888886</v>
      </c>
      <c r="C947" s="116">
        <v>1</v>
      </c>
      <c r="D947" s="116"/>
      <c r="E947" s="116">
        <v>0</v>
      </c>
      <c r="F947" s="116" t="s">
        <v>3372</v>
      </c>
      <c r="G947" s="162" t="str">
        <f t="shared" si="28"/>
        <v xml:space="preserve"> </v>
      </c>
      <c r="H947" s="161" t="str">
        <f t="shared" si="29"/>
        <v>6h</v>
      </c>
    </row>
    <row r="948" spans="1:8" x14ac:dyDescent="0.25">
      <c r="A948" s="10" t="s">
        <v>5507</v>
      </c>
      <c r="B948" s="194">
        <v>0.29722222222222222</v>
      </c>
      <c r="C948" s="116">
        <v>1</v>
      </c>
      <c r="D948" s="116"/>
      <c r="E948" s="116">
        <v>0</v>
      </c>
      <c r="F948" s="116" t="s">
        <v>3373</v>
      </c>
      <c r="G948" s="162" t="str">
        <f t="shared" si="28"/>
        <v xml:space="preserve"> </v>
      </c>
      <c r="H948" s="161" t="str">
        <f t="shared" si="29"/>
        <v>7h</v>
      </c>
    </row>
    <row r="949" spans="1:8" x14ac:dyDescent="0.25">
      <c r="A949" s="10" t="s">
        <v>5507</v>
      </c>
      <c r="B949" s="194">
        <v>0.30555555555555558</v>
      </c>
      <c r="C949" s="116">
        <v>1</v>
      </c>
      <c r="D949" s="116"/>
      <c r="E949" s="116">
        <v>0</v>
      </c>
      <c r="F949" s="116" t="s">
        <v>3373</v>
      </c>
      <c r="G949" s="162" t="str">
        <f t="shared" si="28"/>
        <v xml:space="preserve"> </v>
      </c>
      <c r="H949" s="161" t="str">
        <f t="shared" si="29"/>
        <v>7h</v>
      </c>
    </row>
    <row r="950" spans="1:8" x14ac:dyDescent="0.25">
      <c r="A950" s="10" t="s">
        <v>5507</v>
      </c>
      <c r="B950" s="194">
        <v>0.31388888888888888</v>
      </c>
      <c r="C950" s="116">
        <v>1</v>
      </c>
      <c r="D950" s="116"/>
      <c r="E950" s="116">
        <v>0</v>
      </c>
      <c r="F950" s="116" t="s">
        <v>3373</v>
      </c>
      <c r="G950" s="162" t="str">
        <f t="shared" si="28"/>
        <v xml:space="preserve"> </v>
      </c>
      <c r="H950" s="161" t="str">
        <f t="shared" si="29"/>
        <v>7h</v>
      </c>
    </row>
    <row r="951" spans="1:8" x14ac:dyDescent="0.25">
      <c r="A951" s="10" t="s">
        <v>5507</v>
      </c>
      <c r="B951" s="194">
        <v>0.32222222222222224</v>
      </c>
      <c r="C951" s="116">
        <v>1</v>
      </c>
      <c r="D951" s="116"/>
      <c r="E951" s="116">
        <v>0</v>
      </c>
      <c r="F951" s="116" t="s">
        <v>3373</v>
      </c>
      <c r="G951" s="162" t="str">
        <f t="shared" si="28"/>
        <v xml:space="preserve"> </v>
      </c>
      <c r="H951" s="161" t="str">
        <f t="shared" si="29"/>
        <v>7h</v>
      </c>
    </row>
    <row r="952" spans="1:8" x14ac:dyDescent="0.25">
      <c r="A952" s="10" t="s">
        <v>5507</v>
      </c>
      <c r="B952" s="194">
        <v>0.32847222222222222</v>
      </c>
      <c r="C952" s="116">
        <v>1</v>
      </c>
      <c r="D952" s="116"/>
      <c r="E952" s="116">
        <v>0</v>
      </c>
      <c r="F952" s="116" t="s">
        <v>3373</v>
      </c>
      <c r="G952" s="162" t="str">
        <f t="shared" si="28"/>
        <v xml:space="preserve"> </v>
      </c>
      <c r="H952" s="161" t="str">
        <f t="shared" si="29"/>
        <v>7h</v>
      </c>
    </row>
    <row r="953" spans="1:8" x14ac:dyDescent="0.25">
      <c r="A953" s="10" t="s">
        <v>5507</v>
      </c>
      <c r="B953" s="194">
        <v>0.33194444444444443</v>
      </c>
      <c r="C953" s="116">
        <v>1</v>
      </c>
      <c r="D953" s="116"/>
      <c r="E953" s="116">
        <v>0</v>
      </c>
      <c r="F953" s="116" t="s">
        <v>3373</v>
      </c>
      <c r="G953" s="162" t="str">
        <f t="shared" si="28"/>
        <v xml:space="preserve"> </v>
      </c>
      <c r="H953" s="161" t="str">
        <f t="shared" si="29"/>
        <v>7h</v>
      </c>
    </row>
    <row r="954" spans="1:8" x14ac:dyDescent="0.25">
      <c r="A954" s="10" t="s">
        <v>5509</v>
      </c>
      <c r="B954" s="194">
        <v>0.32013888888888886</v>
      </c>
      <c r="C954" s="116">
        <v>1</v>
      </c>
      <c r="D954" s="116"/>
      <c r="E954" s="116">
        <v>0</v>
      </c>
      <c r="F954" s="116" t="s">
        <v>3373</v>
      </c>
      <c r="G954" s="162" t="str">
        <f t="shared" si="28"/>
        <v xml:space="preserve"> </v>
      </c>
      <c r="H954" s="161" t="str">
        <f t="shared" si="29"/>
        <v>7h</v>
      </c>
    </row>
    <row r="955" spans="1:8" x14ac:dyDescent="0.25">
      <c r="A955" s="10" t="s">
        <v>5509</v>
      </c>
      <c r="B955" s="194">
        <v>0.44305555555555554</v>
      </c>
      <c r="C955" s="116">
        <v>1</v>
      </c>
      <c r="D955" s="116"/>
      <c r="E955" s="116">
        <v>0</v>
      </c>
      <c r="F955" s="116" t="s">
        <v>3371</v>
      </c>
      <c r="G955" s="162" t="str">
        <f t="shared" si="28"/>
        <v xml:space="preserve"> </v>
      </c>
      <c r="H955" s="161" t="str">
        <f t="shared" si="29"/>
        <v>10h</v>
      </c>
    </row>
    <row r="956" spans="1:8" x14ac:dyDescent="0.25">
      <c r="A956" s="10" t="s">
        <v>5509</v>
      </c>
      <c r="B956" s="194">
        <v>0.63194444444444442</v>
      </c>
      <c r="C956" s="116">
        <v>1</v>
      </c>
      <c r="D956" s="116"/>
      <c r="E956" s="116">
        <v>0</v>
      </c>
      <c r="F956" s="116" t="s">
        <v>3358</v>
      </c>
      <c r="G956" s="162" t="str">
        <f t="shared" si="28"/>
        <v xml:space="preserve"> </v>
      </c>
      <c r="H956" s="161" t="str">
        <f t="shared" si="29"/>
        <v>15h</v>
      </c>
    </row>
    <row r="957" spans="1:8" x14ac:dyDescent="0.25">
      <c r="A957" s="10" t="s">
        <v>5509</v>
      </c>
      <c r="B957" s="194">
        <v>0.7055555555555556</v>
      </c>
      <c r="C957" s="116">
        <v>1</v>
      </c>
      <c r="D957" s="116"/>
      <c r="E957" s="116">
        <v>0</v>
      </c>
      <c r="F957" s="116" t="s">
        <v>3363</v>
      </c>
      <c r="G957" s="162" t="str">
        <f t="shared" si="28"/>
        <v xml:space="preserve"> </v>
      </c>
      <c r="H957" s="161" t="str">
        <f t="shared" si="29"/>
        <v>16h</v>
      </c>
    </row>
    <row r="958" spans="1:8" x14ac:dyDescent="0.25">
      <c r="A958" s="10" t="s">
        <v>5509</v>
      </c>
      <c r="B958" s="194">
        <v>0.71388888888888891</v>
      </c>
      <c r="C958" s="116">
        <v>1</v>
      </c>
      <c r="D958" s="116"/>
      <c r="E958" s="116">
        <v>1</v>
      </c>
      <c r="F958" s="116" t="s">
        <v>3361</v>
      </c>
      <c r="G958" s="162" t="str">
        <f t="shared" si="28"/>
        <v xml:space="preserve"> </v>
      </c>
      <c r="H958" s="161" t="str">
        <f t="shared" si="29"/>
        <v>17h</v>
      </c>
    </row>
    <row r="959" spans="1:8" x14ac:dyDescent="0.25">
      <c r="A959" s="10" t="s">
        <v>5509</v>
      </c>
      <c r="B959" s="194">
        <v>0.73472222222222228</v>
      </c>
      <c r="C959" s="116">
        <v>1</v>
      </c>
      <c r="D959" s="116"/>
      <c r="E959" s="116">
        <v>0</v>
      </c>
      <c r="F959" s="116" t="s">
        <v>3361</v>
      </c>
      <c r="G959" s="162" t="str">
        <f t="shared" si="28"/>
        <v xml:space="preserve"> </v>
      </c>
      <c r="H959" s="161" t="str">
        <f t="shared" si="29"/>
        <v>17h</v>
      </c>
    </row>
    <row r="960" spans="1:8" x14ac:dyDescent="0.25">
      <c r="A960" s="10" t="s">
        <v>5509</v>
      </c>
      <c r="B960" s="194">
        <v>0.76111111111111107</v>
      </c>
      <c r="C960" s="116">
        <v>1</v>
      </c>
      <c r="D960" s="116"/>
      <c r="E960" s="116">
        <v>0</v>
      </c>
      <c r="F960" s="116" t="s">
        <v>3359</v>
      </c>
      <c r="G960" s="162" t="str">
        <f t="shared" si="28"/>
        <v xml:space="preserve"> </v>
      </c>
      <c r="H960" s="161" t="str">
        <f t="shared" si="29"/>
        <v>18h</v>
      </c>
    </row>
    <row r="961" spans="1:8" x14ac:dyDescent="0.25">
      <c r="A961" s="10" t="s">
        <v>5509</v>
      </c>
      <c r="B961" s="194">
        <v>0.78194444444444444</v>
      </c>
      <c r="C961" s="116">
        <v>1</v>
      </c>
      <c r="D961" s="116"/>
      <c r="E961" s="116">
        <v>0</v>
      </c>
      <c r="F961" s="116" t="s">
        <v>3359</v>
      </c>
      <c r="G961" s="162" t="str">
        <f t="shared" si="28"/>
        <v xml:space="preserve"> </v>
      </c>
      <c r="H961" s="161" t="str">
        <f t="shared" si="29"/>
        <v>18h</v>
      </c>
    </row>
    <row r="962" spans="1:8" x14ac:dyDescent="0.25">
      <c r="A962" s="10" t="s">
        <v>5509</v>
      </c>
      <c r="B962" s="194">
        <v>0.78611111111111109</v>
      </c>
      <c r="C962" s="116">
        <v>1</v>
      </c>
      <c r="D962" s="116"/>
      <c r="E962" s="116">
        <v>1</v>
      </c>
      <c r="F962" s="116" t="s">
        <v>3359</v>
      </c>
      <c r="G962" s="162" t="str">
        <f t="shared" si="28"/>
        <v xml:space="preserve"> </v>
      </c>
      <c r="H962" s="161" t="str">
        <f t="shared" si="29"/>
        <v>18h</v>
      </c>
    </row>
    <row r="963" spans="1:8" x14ac:dyDescent="0.25">
      <c r="A963" s="10" t="s">
        <v>5509</v>
      </c>
      <c r="B963" s="194">
        <v>0.79236111111111107</v>
      </c>
      <c r="C963" s="116">
        <v>1</v>
      </c>
      <c r="D963" s="116"/>
      <c r="E963" s="116">
        <v>0</v>
      </c>
      <c r="F963" s="116" t="s">
        <v>3366</v>
      </c>
      <c r="G963" s="162" t="str">
        <f t="shared" ref="G963:G1026" si="30">IF(LEFT(A963,3)="S7P","Pintura",IF(LEFT(A963,3)="S7M","Montagem",
IF(LEFT(A963,3)="S7S","Serigrafia"," ")))</f>
        <v xml:space="preserve"> </v>
      </c>
      <c r="H963" s="161" t="str">
        <f t="shared" ref="H963:H1026" si="31">VALUE(LEFT(F963,2))&amp;"h"</f>
        <v>19h</v>
      </c>
    </row>
    <row r="964" spans="1:8" x14ac:dyDescent="0.25">
      <c r="A964" s="10" t="s">
        <v>5509</v>
      </c>
      <c r="B964" s="194">
        <v>0.80069444444444449</v>
      </c>
      <c r="C964" s="116">
        <v>1</v>
      </c>
      <c r="D964" s="116"/>
      <c r="E964" s="116">
        <v>0</v>
      </c>
      <c r="F964" s="116" t="s">
        <v>3366</v>
      </c>
      <c r="G964" s="162" t="str">
        <f t="shared" si="30"/>
        <v xml:space="preserve"> </v>
      </c>
      <c r="H964" s="161" t="str">
        <f t="shared" si="31"/>
        <v>19h</v>
      </c>
    </row>
    <row r="965" spans="1:8" x14ac:dyDescent="0.25">
      <c r="A965" s="10" t="s">
        <v>5509</v>
      </c>
      <c r="B965" s="194">
        <v>0.80555555555555558</v>
      </c>
      <c r="C965" s="116">
        <v>1</v>
      </c>
      <c r="D965" s="116"/>
      <c r="E965" s="116">
        <v>0</v>
      </c>
      <c r="F965" s="116" t="s">
        <v>3366</v>
      </c>
      <c r="G965" s="162" t="str">
        <f t="shared" si="30"/>
        <v xml:space="preserve"> </v>
      </c>
      <c r="H965" s="161" t="str">
        <f t="shared" si="31"/>
        <v>19h</v>
      </c>
    </row>
    <row r="966" spans="1:8" x14ac:dyDescent="0.25">
      <c r="A966" s="10" t="s">
        <v>5509</v>
      </c>
      <c r="B966" s="194">
        <v>0.91597222222222219</v>
      </c>
      <c r="C966" s="116">
        <v>1</v>
      </c>
      <c r="D966" s="116"/>
      <c r="E966" s="116">
        <v>1</v>
      </c>
      <c r="F966" s="116" t="s">
        <v>3360</v>
      </c>
      <c r="G966" s="162" t="str">
        <f t="shared" si="30"/>
        <v xml:space="preserve"> </v>
      </c>
      <c r="H966" s="161" t="str">
        <f t="shared" si="31"/>
        <v>21h</v>
      </c>
    </row>
    <row r="967" spans="1:8" x14ac:dyDescent="0.25">
      <c r="A967" s="10"/>
      <c r="B967" s="134"/>
      <c r="C967" s="116"/>
      <c r="D967" s="116"/>
      <c r="E967" s="116"/>
      <c r="F967" s="116" t="s">
        <v>3369</v>
      </c>
      <c r="G967" s="162" t="str">
        <f t="shared" si="30"/>
        <v xml:space="preserve"> </v>
      </c>
      <c r="H967" s="161" t="str">
        <f t="shared" si="31"/>
        <v>14h</v>
      </c>
    </row>
    <row r="968" spans="1:8" x14ac:dyDescent="0.25">
      <c r="A968" s="10"/>
      <c r="B968" s="134"/>
      <c r="C968" s="116"/>
      <c r="D968" s="116"/>
      <c r="E968" s="116"/>
      <c r="F968" s="116" t="s">
        <v>3358</v>
      </c>
      <c r="G968" s="162" t="str">
        <f t="shared" si="30"/>
        <v xml:space="preserve"> </v>
      </c>
      <c r="H968" s="161" t="str">
        <f t="shared" si="31"/>
        <v>15h</v>
      </c>
    </row>
    <row r="969" spans="1:8" x14ac:dyDescent="0.25">
      <c r="A969" s="10"/>
      <c r="B969" s="134"/>
      <c r="C969" s="116"/>
      <c r="D969" s="116"/>
      <c r="E969" s="116"/>
      <c r="F969" s="116" t="s">
        <v>3358</v>
      </c>
      <c r="G969" s="162" t="str">
        <f t="shared" si="30"/>
        <v xml:space="preserve"> </v>
      </c>
      <c r="H969" s="161" t="str">
        <f t="shared" si="31"/>
        <v>15h</v>
      </c>
    </row>
    <row r="970" spans="1:8" x14ac:dyDescent="0.25">
      <c r="A970" s="10"/>
      <c r="B970" s="134"/>
      <c r="C970" s="116"/>
      <c r="D970" s="116"/>
      <c r="E970" s="116"/>
      <c r="F970" s="116" t="s">
        <v>3358</v>
      </c>
      <c r="G970" s="162" t="str">
        <f t="shared" si="30"/>
        <v xml:space="preserve"> </v>
      </c>
      <c r="H970" s="161" t="str">
        <f t="shared" si="31"/>
        <v>15h</v>
      </c>
    </row>
    <row r="971" spans="1:8" x14ac:dyDescent="0.25">
      <c r="A971" s="10"/>
      <c r="B971" s="134"/>
      <c r="C971" s="116"/>
      <c r="D971" s="116"/>
      <c r="E971" s="116"/>
      <c r="F971" s="116" t="s">
        <v>3363</v>
      </c>
      <c r="G971" s="162" t="str">
        <f t="shared" si="30"/>
        <v xml:space="preserve"> </v>
      </c>
      <c r="H971" s="161" t="str">
        <f t="shared" si="31"/>
        <v>16h</v>
      </c>
    </row>
    <row r="972" spans="1:8" x14ac:dyDescent="0.25">
      <c r="A972" s="10"/>
      <c r="B972" s="134"/>
      <c r="C972" s="116"/>
      <c r="D972" s="116"/>
      <c r="E972" s="116"/>
      <c r="F972" s="116" t="s">
        <v>3363</v>
      </c>
      <c r="G972" s="162" t="str">
        <f t="shared" si="30"/>
        <v xml:space="preserve"> </v>
      </c>
      <c r="H972" s="161" t="str">
        <f t="shared" si="31"/>
        <v>16h</v>
      </c>
    </row>
    <row r="973" spans="1:8" x14ac:dyDescent="0.25">
      <c r="A973" s="10"/>
      <c r="B973" s="134"/>
      <c r="C973" s="116"/>
      <c r="D973" s="116"/>
      <c r="E973" s="116"/>
      <c r="F973" s="116" t="s">
        <v>3361</v>
      </c>
      <c r="G973" s="162" t="str">
        <f t="shared" si="30"/>
        <v xml:space="preserve"> </v>
      </c>
      <c r="H973" s="161" t="str">
        <f t="shared" si="31"/>
        <v>17h</v>
      </c>
    </row>
    <row r="974" spans="1:8" x14ac:dyDescent="0.25">
      <c r="A974" s="10"/>
      <c r="B974" s="134"/>
      <c r="C974" s="116"/>
      <c r="D974" s="116"/>
      <c r="E974" s="116"/>
      <c r="F974" s="116" t="s">
        <v>3361</v>
      </c>
      <c r="G974" s="162" t="str">
        <f t="shared" si="30"/>
        <v xml:space="preserve"> </v>
      </c>
      <c r="H974" s="161" t="str">
        <f t="shared" si="31"/>
        <v>17h</v>
      </c>
    </row>
    <row r="975" spans="1:8" x14ac:dyDescent="0.25">
      <c r="A975" s="10"/>
      <c r="B975" s="134"/>
      <c r="C975" s="116"/>
      <c r="D975" s="116"/>
      <c r="E975" s="116"/>
      <c r="F975" s="116" t="s">
        <v>3372</v>
      </c>
      <c r="G975" s="162" t="str">
        <f t="shared" si="30"/>
        <v xml:space="preserve"> </v>
      </c>
      <c r="H975" s="161" t="str">
        <f t="shared" si="31"/>
        <v>6h</v>
      </c>
    </row>
    <row r="976" spans="1:8" x14ac:dyDescent="0.25">
      <c r="A976" s="10"/>
      <c r="B976" s="134"/>
      <c r="C976" s="116"/>
      <c r="D976" s="116"/>
      <c r="E976" s="116"/>
      <c r="F976" s="116" t="s">
        <v>3374</v>
      </c>
      <c r="G976" s="162" t="str">
        <f t="shared" si="30"/>
        <v xml:space="preserve"> </v>
      </c>
      <c r="H976" s="161" t="str">
        <f t="shared" si="31"/>
        <v>8h</v>
      </c>
    </row>
    <row r="977" spans="1:8" x14ac:dyDescent="0.25">
      <c r="A977" s="10"/>
      <c r="B977" s="134"/>
      <c r="C977" s="116"/>
      <c r="D977" s="116"/>
      <c r="E977" s="116"/>
      <c r="F977" s="116" t="s">
        <v>3367</v>
      </c>
      <c r="G977" s="162" t="str">
        <f t="shared" si="30"/>
        <v xml:space="preserve"> </v>
      </c>
      <c r="H977" s="161" t="str">
        <f t="shared" si="31"/>
        <v>12h</v>
      </c>
    </row>
    <row r="978" spans="1:8" x14ac:dyDescent="0.25">
      <c r="A978" s="10"/>
      <c r="B978" s="134"/>
      <c r="C978" s="116"/>
      <c r="D978" s="116"/>
      <c r="E978" s="116"/>
      <c r="F978" s="116" t="s">
        <v>3358</v>
      </c>
      <c r="G978" s="162" t="str">
        <f t="shared" si="30"/>
        <v xml:space="preserve"> </v>
      </c>
      <c r="H978" s="161" t="str">
        <f t="shared" si="31"/>
        <v>15h</v>
      </c>
    </row>
    <row r="979" spans="1:8" x14ac:dyDescent="0.25">
      <c r="A979" s="10"/>
      <c r="B979" s="134"/>
      <c r="C979" s="116"/>
      <c r="D979" s="116"/>
      <c r="E979" s="116"/>
      <c r="F979" s="116" t="s">
        <v>3361</v>
      </c>
      <c r="G979" s="162" t="str">
        <f t="shared" si="30"/>
        <v xml:space="preserve"> </v>
      </c>
      <c r="H979" s="161" t="str">
        <f t="shared" si="31"/>
        <v>17h</v>
      </c>
    </row>
    <row r="980" spans="1:8" x14ac:dyDescent="0.25">
      <c r="A980" s="10"/>
      <c r="B980" s="134"/>
      <c r="C980" s="116"/>
      <c r="D980" s="116"/>
      <c r="E980" s="116"/>
      <c r="F980" s="116" t="s">
        <v>3366</v>
      </c>
      <c r="G980" s="162" t="str">
        <f t="shared" si="30"/>
        <v xml:space="preserve"> </v>
      </c>
      <c r="H980" s="161" t="str">
        <f t="shared" si="31"/>
        <v>19h</v>
      </c>
    </row>
    <row r="981" spans="1:8" x14ac:dyDescent="0.25">
      <c r="A981" s="10"/>
      <c r="B981" s="134"/>
      <c r="C981" s="116"/>
      <c r="D981" s="116"/>
      <c r="E981" s="116"/>
      <c r="F981" s="116" t="s">
        <v>3360</v>
      </c>
      <c r="G981" s="162" t="str">
        <f t="shared" si="30"/>
        <v xml:space="preserve"> </v>
      </c>
      <c r="H981" s="161" t="str">
        <f t="shared" si="31"/>
        <v>21h</v>
      </c>
    </row>
    <row r="982" spans="1:8" x14ac:dyDescent="0.25">
      <c r="A982" s="10"/>
      <c r="B982" s="134"/>
      <c r="C982" s="116"/>
      <c r="D982" s="116"/>
      <c r="E982" s="116"/>
      <c r="F982" s="116" t="s">
        <v>3362</v>
      </c>
      <c r="G982" s="162" t="str">
        <f t="shared" si="30"/>
        <v xml:space="preserve"> </v>
      </c>
      <c r="H982" s="161" t="str">
        <f t="shared" si="31"/>
        <v>22h</v>
      </c>
    </row>
    <row r="983" spans="1:8" x14ac:dyDescent="0.25">
      <c r="A983" s="10"/>
      <c r="B983" s="134"/>
      <c r="C983" s="116"/>
      <c r="D983" s="116"/>
      <c r="E983" s="116"/>
      <c r="F983" s="116" t="s">
        <v>3372</v>
      </c>
      <c r="G983" s="162" t="str">
        <f t="shared" si="30"/>
        <v xml:space="preserve"> </v>
      </c>
      <c r="H983" s="161" t="str">
        <f t="shared" si="31"/>
        <v>6h</v>
      </c>
    </row>
    <row r="984" spans="1:8" x14ac:dyDescent="0.25">
      <c r="A984" s="10"/>
      <c r="B984" s="134"/>
      <c r="C984" s="116"/>
      <c r="D984" s="116"/>
      <c r="E984" s="116"/>
      <c r="F984" s="116" t="s">
        <v>3372</v>
      </c>
      <c r="G984" s="162" t="str">
        <f t="shared" si="30"/>
        <v xml:space="preserve"> </v>
      </c>
      <c r="H984" s="161" t="str">
        <f t="shared" si="31"/>
        <v>6h</v>
      </c>
    </row>
    <row r="985" spans="1:8" x14ac:dyDescent="0.25">
      <c r="A985" s="10"/>
      <c r="B985" s="134"/>
      <c r="C985" s="116"/>
      <c r="D985" s="116"/>
      <c r="E985" s="116"/>
      <c r="F985" s="116" t="s">
        <v>3373</v>
      </c>
      <c r="G985" s="162" t="str">
        <f t="shared" si="30"/>
        <v xml:space="preserve"> </v>
      </c>
      <c r="H985" s="161" t="str">
        <f t="shared" si="31"/>
        <v>7h</v>
      </c>
    </row>
    <row r="986" spans="1:8" x14ac:dyDescent="0.25">
      <c r="A986" s="10"/>
      <c r="B986" s="134"/>
      <c r="C986" s="116"/>
      <c r="D986" s="116"/>
      <c r="E986" s="116"/>
      <c r="F986" s="116" t="s">
        <v>3370</v>
      </c>
      <c r="G986" s="162" t="str">
        <f t="shared" si="30"/>
        <v xml:space="preserve"> </v>
      </c>
      <c r="H986" s="161" t="str">
        <f t="shared" si="31"/>
        <v>9h</v>
      </c>
    </row>
    <row r="987" spans="1:8" x14ac:dyDescent="0.25">
      <c r="A987" s="10"/>
      <c r="B987" s="134"/>
      <c r="C987" s="116"/>
      <c r="D987" s="116"/>
      <c r="E987" s="116"/>
      <c r="F987" s="116" t="s">
        <v>3367</v>
      </c>
      <c r="G987" s="162" t="str">
        <f t="shared" si="30"/>
        <v xml:space="preserve"> </v>
      </c>
      <c r="H987" s="161" t="str">
        <f t="shared" si="31"/>
        <v>12h</v>
      </c>
    </row>
    <row r="988" spans="1:8" x14ac:dyDescent="0.25">
      <c r="A988" s="10"/>
      <c r="B988" s="134"/>
      <c r="C988" s="116"/>
      <c r="D988" s="116"/>
      <c r="E988" s="116"/>
      <c r="F988" s="116" t="s">
        <v>3368</v>
      </c>
      <c r="G988" s="162" t="str">
        <f t="shared" si="30"/>
        <v xml:space="preserve"> </v>
      </c>
      <c r="H988" s="161" t="str">
        <f t="shared" si="31"/>
        <v>13h</v>
      </c>
    </row>
    <row r="989" spans="1:8" x14ac:dyDescent="0.25">
      <c r="A989" s="10"/>
      <c r="B989" s="134"/>
      <c r="C989" s="116"/>
      <c r="D989" s="116"/>
      <c r="E989" s="116"/>
      <c r="F989" s="116" t="s">
        <v>3369</v>
      </c>
      <c r="G989" s="162" t="str">
        <f t="shared" si="30"/>
        <v xml:space="preserve"> </v>
      </c>
      <c r="H989" s="161" t="str">
        <f t="shared" si="31"/>
        <v>14h</v>
      </c>
    </row>
    <row r="990" spans="1:8" x14ac:dyDescent="0.25">
      <c r="A990" s="10"/>
      <c r="B990" s="134"/>
      <c r="C990" s="116"/>
      <c r="D990" s="116"/>
      <c r="E990" s="116"/>
      <c r="F990" s="116" t="s">
        <v>3363</v>
      </c>
      <c r="G990" s="162" t="str">
        <f t="shared" si="30"/>
        <v xml:space="preserve"> </v>
      </c>
      <c r="H990" s="161" t="str">
        <f t="shared" si="31"/>
        <v>16h</v>
      </c>
    </row>
    <row r="991" spans="1:8" x14ac:dyDescent="0.25">
      <c r="A991" s="10"/>
      <c r="B991" s="134"/>
      <c r="C991" s="116"/>
      <c r="D991" s="116"/>
      <c r="E991" s="116"/>
      <c r="F991" s="116" t="s">
        <v>3364</v>
      </c>
      <c r="G991" s="162" t="str">
        <f t="shared" si="30"/>
        <v xml:space="preserve"> </v>
      </c>
      <c r="H991" s="161" t="str">
        <f t="shared" si="31"/>
        <v>20h</v>
      </c>
    </row>
    <row r="992" spans="1:8" x14ac:dyDescent="0.25">
      <c r="A992" s="10"/>
      <c r="B992" s="134"/>
      <c r="C992" s="116"/>
      <c r="D992" s="116"/>
      <c r="E992" s="116"/>
      <c r="F992" s="116" t="s">
        <v>3365</v>
      </c>
      <c r="G992" s="162" t="str">
        <f t="shared" si="30"/>
        <v xml:space="preserve"> </v>
      </c>
      <c r="H992" s="161" t="str">
        <f t="shared" si="31"/>
        <v>23h</v>
      </c>
    </row>
    <row r="993" spans="1:8" x14ac:dyDescent="0.25">
      <c r="A993" s="10"/>
      <c r="B993" s="134"/>
      <c r="C993" s="116"/>
      <c r="D993" s="116"/>
      <c r="E993" s="116"/>
      <c r="F993" s="116" t="s">
        <v>3372</v>
      </c>
      <c r="G993" s="162" t="str">
        <f t="shared" si="30"/>
        <v xml:space="preserve"> </v>
      </c>
      <c r="H993" s="161" t="str">
        <f t="shared" si="31"/>
        <v>6h</v>
      </c>
    </row>
    <row r="994" spans="1:8" x14ac:dyDescent="0.25">
      <c r="A994" s="10"/>
      <c r="B994" s="134"/>
      <c r="C994" s="116"/>
      <c r="D994" s="116"/>
      <c r="E994" s="116"/>
      <c r="F994" s="116" t="s">
        <v>3372</v>
      </c>
      <c r="G994" s="162" t="str">
        <f t="shared" si="30"/>
        <v xml:space="preserve"> </v>
      </c>
      <c r="H994" s="161" t="str">
        <f t="shared" si="31"/>
        <v>6h</v>
      </c>
    </row>
    <row r="995" spans="1:8" x14ac:dyDescent="0.25">
      <c r="A995" s="10"/>
      <c r="B995" s="134"/>
      <c r="C995" s="116"/>
      <c r="D995" s="116"/>
      <c r="E995" s="116"/>
      <c r="F995" s="116" t="s">
        <v>3372</v>
      </c>
      <c r="G995" s="162" t="str">
        <f t="shared" si="30"/>
        <v xml:space="preserve"> </v>
      </c>
      <c r="H995" s="161" t="str">
        <f t="shared" si="31"/>
        <v>6h</v>
      </c>
    </row>
    <row r="996" spans="1:8" x14ac:dyDescent="0.25">
      <c r="A996" s="10"/>
      <c r="B996" s="134"/>
      <c r="C996" s="116"/>
      <c r="D996" s="116"/>
      <c r="E996" s="116"/>
      <c r="F996" s="116" t="s">
        <v>3373</v>
      </c>
      <c r="G996" s="162" t="str">
        <f t="shared" si="30"/>
        <v xml:space="preserve"> </v>
      </c>
      <c r="H996" s="161" t="str">
        <f t="shared" si="31"/>
        <v>7h</v>
      </c>
    </row>
    <row r="997" spans="1:8" x14ac:dyDescent="0.25">
      <c r="A997" s="10"/>
      <c r="B997" s="134"/>
      <c r="C997" s="116"/>
      <c r="D997" s="116"/>
      <c r="E997" s="116"/>
      <c r="F997" s="116" t="s">
        <v>3374</v>
      </c>
      <c r="G997" s="162" t="str">
        <f t="shared" si="30"/>
        <v xml:space="preserve"> </v>
      </c>
      <c r="H997" s="161" t="str">
        <f t="shared" si="31"/>
        <v>8h</v>
      </c>
    </row>
    <row r="998" spans="1:8" x14ac:dyDescent="0.25">
      <c r="A998" s="10"/>
      <c r="B998" s="134"/>
      <c r="C998" s="116"/>
      <c r="D998" s="116"/>
      <c r="E998" s="116"/>
      <c r="F998" s="116" t="s">
        <v>3370</v>
      </c>
      <c r="G998" s="162" t="str">
        <f t="shared" si="30"/>
        <v xml:space="preserve"> </v>
      </c>
      <c r="H998" s="161" t="str">
        <f t="shared" si="31"/>
        <v>9h</v>
      </c>
    </row>
    <row r="999" spans="1:8" x14ac:dyDescent="0.25">
      <c r="A999" s="10"/>
      <c r="B999" s="134"/>
      <c r="C999" s="116"/>
      <c r="D999" s="116"/>
      <c r="E999" s="116"/>
      <c r="F999" s="116" t="s">
        <v>3370</v>
      </c>
      <c r="G999" s="162" t="str">
        <f t="shared" si="30"/>
        <v xml:space="preserve"> </v>
      </c>
      <c r="H999" s="161" t="str">
        <f t="shared" si="31"/>
        <v>9h</v>
      </c>
    </row>
    <row r="1000" spans="1:8" x14ac:dyDescent="0.25">
      <c r="A1000" s="10"/>
      <c r="B1000" s="134"/>
      <c r="C1000" s="116"/>
      <c r="D1000" s="116"/>
      <c r="E1000" s="116"/>
      <c r="F1000" s="116" t="s">
        <v>3371</v>
      </c>
      <c r="G1000" s="162" t="str">
        <f t="shared" si="30"/>
        <v xml:space="preserve"> </v>
      </c>
      <c r="H1000" s="161" t="str">
        <f t="shared" si="31"/>
        <v>10h</v>
      </c>
    </row>
    <row r="1001" spans="1:8" x14ac:dyDescent="0.25">
      <c r="A1001" s="10"/>
      <c r="B1001" s="134"/>
      <c r="C1001" s="116"/>
      <c r="D1001" s="116"/>
      <c r="E1001" s="116"/>
      <c r="F1001" s="116" t="s">
        <v>3371</v>
      </c>
      <c r="G1001" s="162" t="str">
        <f t="shared" si="30"/>
        <v xml:space="preserve"> </v>
      </c>
      <c r="H1001" s="161" t="str">
        <f t="shared" si="31"/>
        <v>10h</v>
      </c>
    </row>
    <row r="1002" spans="1:8" x14ac:dyDescent="0.25">
      <c r="A1002" s="10"/>
      <c r="B1002" s="134"/>
      <c r="C1002" s="116"/>
      <c r="D1002" s="116"/>
      <c r="E1002" s="116"/>
      <c r="F1002" s="116" t="s">
        <v>3371</v>
      </c>
      <c r="G1002" s="162" t="str">
        <f t="shared" si="30"/>
        <v xml:space="preserve"> </v>
      </c>
      <c r="H1002" s="161" t="str">
        <f t="shared" si="31"/>
        <v>10h</v>
      </c>
    </row>
    <row r="1003" spans="1:8" x14ac:dyDescent="0.25">
      <c r="A1003" s="10"/>
      <c r="B1003" s="134"/>
      <c r="C1003" s="116"/>
      <c r="D1003" s="116"/>
      <c r="E1003" s="116"/>
      <c r="F1003" s="116" t="s">
        <v>3367</v>
      </c>
      <c r="G1003" s="162" t="str">
        <f t="shared" si="30"/>
        <v xml:space="preserve"> </v>
      </c>
      <c r="H1003" s="161" t="str">
        <f t="shared" si="31"/>
        <v>12h</v>
      </c>
    </row>
    <row r="1004" spans="1:8" x14ac:dyDescent="0.25">
      <c r="A1004" s="10"/>
      <c r="B1004" s="134"/>
      <c r="C1004" s="116"/>
      <c r="D1004" s="116"/>
      <c r="E1004" s="116"/>
      <c r="F1004" s="116" t="s">
        <v>3368</v>
      </c>
      <c r="G1004" s="162" t="str">
        <f t="shared" si="30"/>
        <v xml:space="preserve"> </v>
      </c>
      <c r="H1004" s="161" t="str">
        <f t="shared" si="31"/>
        <v>13h</v>
      </c>
    </row>
    <row r="1005" spans="1:8" x14ac:dyDescent="0.25">
      <c r="A1005" s="10"/>
      <c r="B1005" s="134"/>
      <c r="C1005" s="116"/>
      <c r="D1005" s="116"/>
      <c r="E1005" s="116"/>
      <c r="F1005" s="116" t="s">
        <v>3368</v>
      </c>
      <c r="G1005" s="162" t="str">
        <f t="shared" si="30"/>
        <v xml:space="preserve"> </v>
      </c>
      <c r="H1005" s="161" t="str">
        <f t="shared" si="31"/>
        <v>13h</v>
      </c>
    </row>
    <row r="1006" spans="1:8" x14ac:dyDescent="0.25">
      <c r="A1006" s="10"/>
      <c r="B1006" s="134"/>
      <c r="C1006" s="116"/>
      <c r="D1006" s="116"/>
      <c r="E1006" s="116"/>
      <c r="F1006" s="116" t="s">
        <v>3369</v>
      </c>
      <c r="G1006" s="162" t="str">
        <f t="shared" si="30"/>
        <v xml:space="preserve"> </v>
      </c>
      <c r="H1006" s="161" t="str">
        <f t="shared" si="31"/>
        <v>14h</v>
      </c>
    </row>
    <row r="1007" spans="1:8" x14ac:dyDescent="0.25">
      <c r="A1007" s="10"/>
      <c r="B1007" s="134"/>
      <c r="C1007" s="116"/>
      <c r="D1007" s="116"/>
      <c r="E1007" s="116"/>
      <c r="F1007" s="116" t="s">
        <v>3358</v>
      </c>
      <c r="G1007" s="162" t="str">
        <f t="shared" si="30"/>
        <v xml:space="preserve"> </v>
      </c>
      <c r="H1007" s="161" t="str">
        <f t="shared" si="31"/>
        <v>15h</v>
      </c>
    </row>
    <row r="1008" spans="1:8" x14ac:dyDescent="0.25">
      <c r="A1008" s="10"/>
      <c r="B1008" s="134"/>
      <c r="C1008" s="116"/>
      <c r="D1008" s="116"/>
      <c r="E1008" s="116"/>
      <c r="F1008" s="116" t="s">
        <v>3358</v>
      </c>
      <c r="G1008" s="162" t="str">
        <f t="shared" si="30"/>
        <v xml:space="preserve"> </v>
      </c>
      <c r="H1008" s="161" t="str">
        <f t="shared" si="31"/>
        <v>15h</v>
      </c>
    </row>
    <row r="1009" spans="1:8" x14ac:dyDescent="0.25">
      <c r="A1009" s="10"/>
      <c r="B1009" s="134"/>
      <c r="C1009" s="116"/>
      <c r="D1009" s="116"/>
      <c r="E1009" s="116"/>
      <c r="F1009" s="116" t="s">
        <v>3363</v>
      </c>
      <c r="G1009" s="162" t="str">
        <f t="shared" si="30"/>
        <v xml:space="preserve"> </v>
      </c>
      <c r="H1009" s="161" t="str">
        <f t="shared" si="31"/>
        <v>16h</v>
      </c>
    </row>
    <row r="1010" spans="1:8" x14ac:dyDescent="0.25">
      <c r="A1010" s="10"/>
      <c r="B1010" s="134"/>
      <c r="C1010" s="116"/>
      <c r="D1010" s="116"/>
      <c r="E1010" s="116"/>
      <c r="F1010" s="116" t="s">
        <v>3361</v>
      </c>
      <c r="G1010" s="162" t="str">
        <f t="shared" si="30"/>
        <v xml:space="preserve"> </v>
      </c>
      <c r="H1010" s="161" t="str">
        <f t="shared" si="31"/>
        <v>17h</v>
      </c>
    </row>
    <row r="1011" spans="1:8" x14ac:dyDescent="0.25">
      <c r="A1011" s="10"/>
      <c r="B1011" s="134"/>
      <c r="C1011" s="116"/>
      <c r="D1011" s="116"/>
      <c r="E1011" s="116"/>
      <c r="F1011" s="116" t="s">
        <v>3359</v>
      </c>
      <c r="G1011" s="162" t="str">
        <f t="shared" si="30"/>
        <v xml:space="preserve"> </v>
      </c>
      <c r="H1011" s="161" t="str">
        <f t="shared" si="31"/>
        <v>18h</v>
      </c>
    </row>
    <row r="1012" spans="1:8" x14ac:dyDescent="0.25">
      <c r="A1012" s="10"/>
      <c r="B1012" s="134"/>
      <c r="C1012" s="116"/>
      <c r="D1012" s="116"/>
      <c r="E1012" s="116"/>
      <c r="F1012" s="116" t="s">
        <v>3359</v>
      </c>
      <c r="G1012" s="162" t="str">
        <f t="shared" si="30"/>
        <v xml:space="preserve"> </v>
      </c>
      <c r="H1012" s="161" t="str">
        <f t="shared" si="31"/>
        <v>18h</v>
      </c>
    </row>
    <row r="1013" spans="1:8" x14ac:dyDescent="0.25">
      <c r="A1013" s="10"/>
      <c r="B1013" s="134"/>
      <c r="C1013" s="116"/>
      <c r="D1013" s="116"/>
      <c r="E1013" s="116"/>
      <c r="F1013" s="116" t="s">
        <v>3366</v>
      </c>
      <c r="G1013" s="162" t="str">
        <f t="shared" si="30"/>
        <v xml:space="preserve"> </v>
      </c>
      <c r="H1013" s="161" t="str">
        <f t="shared" si="31"/>
        <v>19h</v>
      </c>
    </row>
    <row r="1014" spans="1:8" x14ac:dyDescent="0.25">
      <c r="A1014" s="10"/>
      <c r="B1014" s="134"/>
      <c r="C1014" s="116"/>
      <c r="D1014" s="116"/>
      <c r="E1014" s="116"/>
      <c r="F1014" s="116" t="s">
        <v>3364</v>
      </c>
      <c r="G1014" s="162" t="str">
        <f t="shared" si="30"/>
        <v xml:space="preserve"> </v>
      </c>
      <c r="H1014" s="161" t="str">
        <f t="shared" si="31"/>
        <v>20h</v>
      </c>
    </row>
    <row r="1015" spans="1:8" x14ac:dyDescent="0.25">
      <c r="A1015" s="10"/>
      <c r="B1015" s="134"/>
      <c r="C1015" s="116"/>
      <c r="D1015" s="116"/>
      <c r="E1015" s="116"/>
      <c r="F1015" s="116" t="s">
        <v>3360</v>
      </c>
      <c r="G1015" s="162" t="str">
        <f t="shared" si="30"/>
        <v xml:space="preserve"> </v>
      </c>
      <c r="H1015" s="161" t="str">
        <f t="shared" si="31"/>
        <v>21h</v>
      </c>
    </row>
    <row r="1016" spans="1:8" x14ac:dyDescent="0.25">
      <c r="A1016" s="10"/>
      <c r="B1016" s="134"/>
      <c r="C1016" s="116"/>
      <c r="D1016" s="116"/>
      <c r="E1016" s="116"/>
      <c r="F1016" s="116" t="s">
        <v>3360</v>
      </c>
      <c r="G1016" s="162" t="str">
        <f t="shared" si="30"/>
        <v xml:space="preserve"> </v>
      </c>
      <c r="H1016" s="161" t="str">
        <f t="shared" si="31"/>
        <v>21h</v>
      </c>
    </row>
    <row r="1017" spans="1:8" x14ac:dyDescent="0.25">
      <c r="A1017" s="10"/>
      <c r="B1017" s="134"/>
      <c r="C1017" s="116"/>
      <c r="D1017" s="116"/>
      <c r="E1017" s="116"/>
      <c r="F1017" s="116" t="s">
        <v>3362</v>
      </c>
      <c r="G1017" s="162" t="str">
        <f t="shared" si="30"/>
        <v xml:space="preserve"> </v>
      </c>
      <c r="H1017" s="161" t="str">
        <f t="shared" si="31"/>
        <v>22h</v>
      </c>
    </row>
    <row r="1018" spans="1:8" x14ac:dyDescent="0.25">
      <c r="A1018" s="10"/>
      <c r="B1018" s="134"/>
      <c r="C1018" s="116"/>
      <c r="D1018" s="116"/>
      <c r="E1018" s="116"/>
      <c r="F1018" s="116" t="s">
        <v>3362</v>
      </c>
      <c r="G1018" s="162" t="str">
        <f t="shared" si="30"/>
        <v xml:space="preserve"> </v>
      </c>
      <c r="H1018" s="161" t="str">
        <f t="shared" si="31"/>
        <v>22h</v>
      </c>
    </row>
    <row r="1019" spans="1:8" x14ac:dyDescent="0.25">
      <c r="A1019" s="10"/>
      <c r="B1019" s="134"/>
      <c r="C1019" s="116"/>
      <c r="D1019" s="116"/>
      <c r="E1019" s="116"/>
      <c r="F1019" s="116" t="s">
        <v>3362</v>
      </c>
      <c r="G1019" s="162" t="str">
        <f t="shared" si="30"/>
        <v xml:space="preserve"> </v>
      </c>
      <c r="H1019" s="161" t="str">
        <f t="shared" si="31"/>
        <v>22h</v>
      </c>
    </row>
    <row r="1020" spans="1:8" x14ac:dyDescent="0.25">
      <c r="A1020" s="10"/>
      <c r="B1020" s="134"/>
      <c r="C1020" s="116"/>
      <c r="D1020" s="116"/>
      <c r="E1020" s="116"/>
      <c r="F1020" s="116" t="s">
        <v>3365</v>
      </c>
      <c r="G1020" s="162" t="str">
        <f t="shared" si="30"/>
        <v xml:space="preserve"> </v>
      </c>
      <c r="H1020" s="161" t="str">
        <f t="shared" si="31"/>
        <v>23h</v>
      </c>
    </row>
    <row r="1021" spans="1:8" x14ac:dyDescent="0.25">
      <c r="A1021" s="10"/>
      <c r="B1021" s="134"/>
      <c r="C1021" s="116"/>
      <c r="D1021" s="116"/>
      <c r="E1021" s="116"/>
      <c r="F1021" s="116" t="s">
        <v>3372</v>
      </c>
      <c r="G1021" s="162" t="str">
        <f t="shared" si="30"/>
        <v xml:space="preserve"> </v>
      </c>
      <c r="H1021" s="161" t="str">
        <f t="shared" si="31"/>
        <v>6h</v>
      </c>
    </row>
    <row r="1022" spans="1:8" x14ac:dyDescent="0.25">
      <c r="A1022" s="10"/>
      <c r="B1022" s="134"/>
      <c r="C1022" s="116"/>
      <c r="D1022" s="116"/>
      <c r="E1022" s="116"/>
      <c r="F1022" s="116" t="s">
        <v>3372</v>
      </c>
      <c r="G1022" s="162" t="str">
        <f t="shared" si="30"/>
        <v xml:space="preserve"> </v>
      </c>
      <c r="H1022" s="161" t="str">
        <f t="shared" si="31"/>
        <v>6h</v>
      </c>
    </row>
    <row r="1023" spans="1:8" x14ac:dyDescent="0.25">
      <c r="A1023" s="10"/>
      <c r="B1023" s="134"/>
      <c r="C1023" s="116"/>
      <c r="D1023" s="116"/>
      <c r="E1023" s="116"/>
      <c r="F1023" s="116" t="s">
        <v>3372</v>
      </c>
      <c r="G1023" s="162" t="str">
        <f t="shared" si="30"/>
        <v xml:space="preserve"> </v>
      </c>
      <c r="H1023" s="161" t="str">
        <f t="shared" si="31"/>
        <v>6h</v>
      </c>
    </row>
    <row r="1024" spans="1:8" x14ac:dyDescent="0.25">
      <c r="A1024" s="10"/>
      <c r="B1024" s="134"/>
      <c r="C1024" s="116"/>
      <c r="D1024" s="116"/>
      <c r="E1024" s="116"/>
      <c r="F1024" s="116" t="s">
        <v>3372</v>
      </c>
      <c r="G1024" s="162" t="str">
        <f t="shared" si="30"/>
        <v xml:space="preserve"> </v>
      </c>
      <c r="H1024" s="161" t="str">
        <f t="shared" si="31"/>
        <v>6h</v>
      </c>
    </row>
    <row r="1025" spans="1:8" x14ac:dyDescent="0.25">
      <c r="A1025" s="10"/>
      <c r="B1025" s="134"/>
      <c r="C1025" s="116"/>
      <c r="D1025" s="116"/>
      <c r="E1025" s="116"/>
      <c r="F1025" s="116" t="s">
        <v>3373</v>
      </c>
      <c r="G1025" s="162" t="str">
        <f t="shared" si="30"/>
        <v xml:space="preserve"> </v>
      </c>
      <c r="H1025" s="161" t="str">
        <f t="shared" si="31"/>
        <v>7h</v>
      </c>
    </row>
    <row r="1026" spans="1:8" x14ac:dyDescent="0.25">
      <c r="A1026" s="10"/>
      <c r="B1026" s="134"/>
      <c r="C1026" s="116"/>
      <c r="D1026" s="116"/>
      <c r="E1026" s="116"/>
      <c r="F1026" s="116" t="s">
        <v>3373</v>
      </c>
      <c r="G1026" s="162" t="str">
        <f t="shared" si="30"/>
        <v xml:space="preserve"> </v>
      </c>
      <c r="H1026" s="161" t="str">
        <f t="shared" si="31"/>
        <v>7h</v>
      </c>
    </row>
    <row r="1027" spans="1:8" x14ac:dyDescent="0.25">
      <c r="A1027" s="10"/>
      <c r="B1027" s="134"/>
      <c r="C1027" s="116"/>
      <c r="D1027" s="116"/>
      <c r="E1027" s="116"/>
      <c r="F1027" s="116" t="s">
        <v>3376</v>
      </c>
      <c r="G1027" s="162" t="str">
        <f t="shared" ref="G1027:G1090" si="32">IF(LEFT(A1027,3)="S7P","Pintura",IF(LEFT(A1027,3)="S7M","Montagem",
IF(LEFT(A1027,3)="S7S","Serigrafia"," ")))</f>
        <v xml:space="preserve"> </v>
      </c>
      <c r="H1027" s="161" t="str">
        <f t="shared" ref="H1027:H1090" si="33">VALUE(LEFT(F1027,2))&amp;"h"</f>
        <v>8h</v>
      </c>
    </row>
    <row r="1028" spans="1:8" x14ac:dyDescent="0.25">
      <c r="A1028" s="10"/>
      <c r="B1028" s="134"/>
      <c r="C1028" s="116"/>
      <c r="D1028" s="116"/>
      <c r="E1028" s="116"/>
      <c r="F1028" s="116" t="s">
        <v>3374</v>
      </c>
      <c r="G1028" s="162" t="str">
        <f t="shared" si="32"/>
        <v xml:space="preserve"> </v>
      </c>
      <c r="H1028" s="161" t="str">
        <f t="shared" si="33"/>
        <v>8h</v>
      </c>
    </row>
    <row r="1029" spans="1:8" x14ac:dyDescent="0.25">
      <c r="A1029" s="10"/>
      <c r="B1029" s="134"/>
      <c r="C1029" s="116"/>
      <c r="D1029" s="116"/>
      <c r="E1029" s="116"/>
      <c r="F1029" s="116" t="s">
        <v>3374</v>
      </c>
      <c r="G1029" s="162" t="str">
        <f t="shared" si="32"/>
        <v xml:space="preserve"> </v>
      </c>
      <c r="H1029" s="161" t="str">
        <f t="shared" si="33"/>
        <v>8h</v>
      </c>
    </row>
    <row r="1030" spans="1:8" x14ac:dyDescent="0.25">
      <c r="A1030" s="10"/>
      <c r="B1030" s="134"/>
      <c r="C1030" s="116"/>
      <c r="D1030" s="116"/>
      <c r="E1030" s="116"/>
      <c r="F1030" s="116" t="s">
        <v>3371</v>
      </c>
      <c r="G1030" s="162" t="str">
        <f t="shared" si="32"/>
        <v xml:space="preserve"> </v>
      </c>
      <c r="H1030" s="161" t="str">
        <f t="shared" si="33"/>
        <v>10h</v>
      </c>
    </row>
    <row r="1031" spans="1:8" x14ac:dyDescent="0.25">
      <c r="A1031" s="10"/>
      <c r="B1031" s="134"/>
      <c r="C1031" s="116"/>
      <c r="D1031" s="116"/>
      <c r="E1031" s="116"/>
      <c r="F1031" s="116" t="s">
        <v>3371</v>
      </c>
      <c r="G1031" s="162" t="str">
        <f t="shared" si="32"/>
        <v xml:space="preserve"> </v>
      </c>
      <c r="H1031" s="161" t="str">
        <f t="shared" si="33"/>
        <v>10h</v>
      </c>
    </row>
    <row r="1032" spans="1:8" x14ac:dyDescent="0.25">
      <c r="A1032" s="10"/>
      <c r="B1032" s="134"/>
      <c r="C1032" s="116"/>
      <c r="D1032" s="116"/>
      <c r="E1032" s="116"/>
      <c r="F1032" s="116" t="s">
        <v>3367</v>
      </c>
      <c r="G1032" s="162" t="str">
        <f t="shared" si="32"/>
        <v xml:space="preserve"> </v>
      </c>
      <c r="H1032" s="161" t="str">
        <f t="shared" si="33"/>
        <v>12h</v>
      </c>
    </row>
    <row r="1033" spans="1:8" x14ac:dyDescent="0.25">
      <c r="A1033" s="10"/>
      <c r="B1033" s="134"/>
      <c r="C1033" s="116"/>
      <c r="D1033" s="116"/>
      <c r="E1033" s="116"/>
      <c r="F1033" s="116" t="s">
        <v>3369</v>
      </c>
      <c r="G1033" s="162" t="str">
        <f t="shared" si="32"/>
        <v xml:space="preserve"> </v>
      </c>
      <c r="H1033" s="161" t="str">
        <f t="shared" si="33"/>
        <v>14h</v>
      </c>
    </row>
    <row r="1034" spans="1:8" x14ac:dyDescent="0.25">
      <c r="A1034" s="10"/>
      <c r="B1034" s="134"/>
      <c r="C1034" s="116"/>
      <c r="D1034" s="116"/>
      <c r="E1034" s="116"/>
      <c r="F1034" s="116" t="s">
        <v>3358</v>
      </c>
      <c r="G1034" s="162" t="str">
        <f t="shared" si="32"/>
        <v xml:space="preserve"> </v>
      </c>
      <c r="H1034" s="161" t="str">
        <f t="shared" si="33"/>
        <v>15h</v>
      </c>
    </row>
    <row r="1035" spans="1:8" x14ac:dyDescent="0.25">
      <c r="A1035" s="10"/>
      <c r="B1035" s="134"/>
      <c r="C1035" s="116"/>
      <c r="D1035" s="116"/>
      <c r="E1035" s="116"/>
      <c r="F1035" s="116" t="s">
        <v>3361</v>
      </c>
      <c r="G1035" s="162" t="str">
        <f t="shared" si="32"/>
        <v xml:space="preserve"> </v>
      </c>
      <c r="H1035" s="161" t="str">
        <f t="shared" si="33"/>
        <v>17h</v>
      </c>
    </row>
    <row r="1036" spans="1:8" x14ac:dyDescent="0.25">
      <c r="A1036" s="10"/>
      <c r="B1036" s="134"/>
      <c r="C1036" s="116"/>
      <c r="D1036" s="116"/>
      <c r="E1036" s="116"/>
      <c r="F1036" s="116" t="s">
        <v>3361</v>
      </c>
      <c r="G1036" s="162" t="str">
        <f t="shared" si="32"/>
        <v xml:space="preserve"> </v>
      </c>
      <c r="H1036" s="161" t="str">
        <f t="shared" si="33"/>
        <v>17h</v>
      </c>
    </row>
    <row r="1037" spans="1:8" x14ac:dyDescent="0.25">
      <c r="A1037" s="10"/>
      <c r="B1037" s="134"/>
      <c r="C1037" s="116"/>
      <c r="D1037" s="116"/>
      <c r="E1037" s="116"/>
      <c r="F1037" s="116" t="s">
        <v>3359</v>
      </c>
      <c r="G1037" s="162" t="str">
        <f t="shared" si="32"/>
        <v xml:space="preserve"> </v>
      </c>
      <c r="H1037" s="161" t="str">
        <f t="shared" si="33"/>
        <v>18h</v>
      </c>
    </row>
    <row r="1038" spans="1:8" x14ac:dyDescent="0.25">
      <c r="A1038" s="10"/>
      <c r="B1038" s="134"/>
      <c r="C1038" s="116"/>
      <c r="D1038" s="116"/>
      <c r="E1038" s="116"/>
      <c r="F1038" s="116" t="s">
        <v>3364</v>
      </c>
      <c r="G1038" s="162" t="str">
        <f t="shared" si="32"/>
        <v xml:space="preserve"> </v>
      </c>
      <c r="H1038" s="161" t="str">
        <f t="shared" si="33"/>
        <v>20h</v>
      </c>
    </row>
    <row r="1039" spans="1:8" x14ac:dyDescent="0.25">
      <c r="A1039" s="10"/>
      <c r="B1039" s="134"/>
      <c r="C1039" s="116"/>
      <c r="D1039" s="116"/>
      <c r="E1039" s="116"/>
      <c r="F1039" s="116" t="s">
        <v>3362</v>
      </c>
      <c r="G1039" s="162" t="str">
        <f t="shared" si="32"/>
        <v xml:space="preserve"> </v>
      </c>
      <c r="H1039" s="161" t="str">
        <f t="shared" si="33"/>
        <v>22h</v>
      </c>
    </row>
    <row r="1040" spans="1:8" x14ac:dyDescent="0.25">
      <c r="A1040" s="10"/>
      <c r="B1040" s="134"/>
      <c r="C1040" s="116"/>
      <c r="D1040" s="116"/>
      <c r="E1040" s="116"/>
      <c r="F1040" s="116" t="s">
        <v>3362</v>
      </c>
      <c r="G1040" s="162" t="str">
        <f t="shared" si="32"/>
        <v xml:space="preserve"> </v>
      </c>
      <c r="H1040" s="161" t="str">
        <f t="shared" si="33"/>
        <v>22h</v>
      </c>
    </row>
    <row r="1041" spans="1:8" x14ac:dyDescent="0.25">
      <c r="A1041" s="10"/>
      <c r="B1041" s="134"/>
      <c r="C1041" s="116"/>
      <c r="D1041" s="116"/>
      <c r="E1041" s="116"/>
      <c r="F1041" s="116" t="s">
        <v>3362</v>
      </c>
      <c r="G1041" s="162" t="str">
        <f t="shared" si="32"/>
        <v xml:space="preserve"> </v>
      </c>
      <c r="H1041" s="161" t="str">
        <f t="shared" si="33"/>
        <v>22h</v>
      </c>
    </row>
    <row r="1042" spans="1:8" x14ac:dyDescent="0.25">
      <c r="A1042" s="10"/>
      <c r="B1042" s="134"/>
      <c r="C1042" s="116"/>
      <c r="D1042" s="116"/>
      <c r="E1042" s="116"/>
      <c r="F1042" s="116" t="s">
        <v>3365</v>
      </c>
      <c r="G1042" s="162" t="str">
        <f t="shared" si="32"/>
        <v xml:space="preserve"> </v>
      </c>
      <c r="H1042" s="161" t="str">
        <f t="shared" si="33"/>
        <v>23h</v>
      </c>
    </row>
    <row r="1043" spans="1:8" x14ac:dyDescent="0.25">
      <c r="A1043" s="10"/>
      <c r="B1043" s="134"/>
      <c r="C1043" s="116"/>
      <c r="D1043" s="116"/>
      <c r="E1043" s="116"/>
      <c r="F1043" s="116" t="s">
        <v>3365</v>
      </c>
      <c r="G1043" s="162" t="str">
        <f t="shared" si="32"/>
        <v xml:space="preserve"> </v>
      </c>
      <c r="H1043" s="161" t="str">
        <f t="shared" si="33"/>
        <v>23h</v>
      </c>
    </row>
    <row r="1044" spans="1:8" x14ac:dyDescent="0.25">
      <c r="A1044" s="10"/>
      <c r="B1044" s="134"/>
      <c r="C1044" s="116"/>
      <c r="D1044" s="116"/>
      <c r="E1044" s="116"/>
      <c r="F1044" s="116" t="s">
        <v>3365</v>
      </c>
      <c r="G1044" s="162" t="str">
        <f t="shared" si="32"/>
        <v xml:space="preserve"> </v>
      </c>
      <c r="H1044" s="161" t="str">
        <f t="shared" si="33"/>
        <v>23h</v>
      </c>
    </row>
    <row r="1045" spans="1:8" x14ac:dyDescent="0.25">
      <c r="A1045" s="10"/>
      <c r="B1045" s="134"/>
      <c r="C1045" s="116"/>
      <c r="D1045" s="116"/>
      <c r="E1045" s="116"/>
      <c r="F1045" s="116" t="s">
        <v>3372</v>
      </c>
      <c r="G1045" s="162" t="str">
        <f t="shared" si="32"/>
        <v xml:space="preserve"> </v>
      </c>
      <c r="H1045" s="161" t="str">
        <f t="shared" si="33"/>
        <v>6h</v>
      </c>
    </row>
    <row r="1046" spans="1:8" x14ac:dyDescent="0.25">
      <c r="A1046" s="10"/>
      <c r="B1046" s="134"/>
      <c r="C1046" s="116"/>
      <c r="D1046" s="116"/>
      <c r="E1046" s="116"/>
      <c r="F1046" s="116" t="s">
        <v>3372</v>
      </c>
      <c r="G1046" s="162" t="str">
        <f t="shared" si="32"/>
        <v xml:space="preserve"> </v>
      </c>
      <c r="H1046" s="161" t="str">
        <f t="shared" si="33"/>
        <v>6h</v>
      </c>
    </row>
    <row r="1047" spans="1:8" x14ac:dyDescent="0.25">
      <c r="A1047" s="10"/>
      <c r="B1047" s="134"/>
      <c r="C1047" s="116"/>
      <c r="D1047" s="116"/>
      <c r="E1047" s="116"/>
      <c r="F1047" s="116" t="s">
        <v>3372</v>
      </c>
      <c r="G1047" s="162" t="str">
        <f t="shared" si="32"/>
        <v xml:space="preserve"> </v>
      </c>
      <c r="H1047" s="161" t="str">
        <f t="shared" si="33"/>
        <v>6h</v>
      </c>
    </row>
    <row r="1048" spans="1:8" x14ac:dyDescent="0.25">
      <c r="A1048" s="10"/>
      <c r="B1048" s="134"/>
      <c r="C1048" s="116"/>
      <c r="D1048" s="116"/>
      <c r="E1048" s="116"/>
      <c r="F1048" s="116" t="s">
        <v>3372</v>
      </c>
      <c r="G1048" s="162" t="str">
        <f t="shared" si="32"/>
        <v xml:space="preserve"> </v>
      </c>
      <c r="H1048" s="161" t="str">
        <f t="shared" si="33"/>
        <v>6h</v>
      </c>
    </row>
    <row r="1049" spans="1:8" x14ac:dyDescent="0.25">
      <c r="A1049" s="10"/>
      <c r="B1049" s="134"/>
      <c r="C1049" s="116"/>
      <c r="D1049" s="116"/>
      <c r="E1049" s="116"/>
      <c r="F1049" s="116" t="s">
        <v>3372</v>
      </c>
      <c r="G1049" s="162" t="str">
        <f t="shared" si="32"/>
        <v xml:space="preserve"> </v>
      </c>
      <c r="H1049" s="161" t="str">
        <f t="shared" si="33"/>
        <v>6h</v>
      </c>
    </row>
    <row r="1050" spans="1:8" x14ac:dyDescent="0.25">
      <c r="A1050" s="10"/>
      <c r="B1050" s="134"/>
      <c r="C1050" s="116"/>
      <c r="D1050" s="116"/>
      <c r="E1050" s="116"/>
      <c r="F1050" s="116" t="s">
        <v>3372</v>
      </c>
      <c r="G1050" s="162" t="str">
        <f t="shared" si="32"/>
        <v xml:space="preserve"> </v>
      </c>
      <c r="H1050" s="161" t="str">
        <f t="shared" si="33"/>
        <v>6h</v>
      </c>
    </row>
    <row r="1051" spans="1:8" x14ac:dyDescent="0.25">
      <c r="A1051" s="10"/>
      <c r="B1051" s="134"/>
      <c r="C1051" s="116"/>
      <c r="D1051" s="116"/>
      <c r="E1051" s="116"/>
      <c r="F1051" s="116" t="s">
        <v>3372</v>
      </c>
      <c r="G1051" s="162" t="str">
        <f t="shared" si="32"/>
        <v xml:space="preserve"> </v>
      </c>
      <c r="H1051" s="161" t="str">
        <f t="shared" si="33"/>
        <v>6h</v>
      </c>
    </row>
    <row r="1052" spans="1:8" x14ac:dyDescent="0.25">
      <c r="A1052" s="10"/>
      <c r="B1052" s="134"/>
      <c r="C1052" s="116"/>
      <c r="D1052" s="116"/>
      <c r="E1052" s="116"/>
      <c r="F1052" s="116" t="s">
        <v>3373</v>
      </c>
      <c r="G1052" s="162" t="str">
        <f t="shared" si="32"/>
        <v xml:space="preserve"> </v>
      </c>
      <c r="H1052" s="161" t="str">
        <f t="shared" si="33"/>
        <v>7h</v>
      </c>
    </row>
    <row r="1053" spans="1:8" x14ac:dyDescent="0.25">
      <c r="A1053" s="10"/>
      <c r="B1053" s="134"/>
      <c r="C1053" s="116"/>
      <c r="D1053" s="116"/>
      <c r="E1053" s="116"/>
      <c r="F1053" s="116" t="s">
        <v>3373</v>
      </c>
      <c r="G1053" s="162" t="str">
        <f t="shared" si="32"/>
        <v xml:space="preserve"> </v>
      </c>
      <c r="H1053" s="161" t="str">
        <f t="shared" si="33"/>
        <v>7h</v>
      </c>
    </row>
    <row r="1054" spans="1:8" x14ac:dyDescent="0.25">
      <c r="A1054" s="10"/>
      <c r="B1054" s="134"/>
      <c r="C1054" s="116"/>
      <c r="D1054" s="116"/>
      <c r="E1054" s="116"/>
      <c r="F1054" s="116" t="s">
        <v>3373</v>
      </c>
      <c r="G1054" s="162" t="str">
        <f t="shared" si="32"/>
        <v xml:space="preserve"> </v>
      </c>
      <c r="H1054" s="161" t="str">
        <f t="shared" si="33"/>
        <v>7h</v>
      </c>
    </row>
    <row r="1055" spans="1:8" x14ac:dyDescent="0.25">
      <c r="A1055" s="10"/>
      <c r="B1055" s="134"/>
      <c r="C1055" s="116"/>
      <c r="D1055" s="116"/>
      <c r="E1055" s="116"/>
      <c r="F1055" s="116" t="s">
        <v>3370</v>
      </c>
      <c r="G1055" s="162" t="str">
        <f t="shared" si="32"/>
        <v xml:space="preserve"> </v>
      </c>
      <c r="H1055" s="161" t="str">
        <f t="shared" si="33"/>
        <v>9h</v>
      </c>
    </row>
    <row r="1056" spans="1:8" x14ac:dyDescent="0.25">
      <c r="A1056" s="10"/>
      <c r="B1056" s="134"/>
      <c r="C1056" s="116"/>
      <c r="D1056" s="116"/>
      <c r="E1056" s="116"/>
      <c r="F1056" s="116" t="s">
        <v>3370</v>
      </c>
      <c r="G1056" s="162" t="str">
        <f t="shared" si="32"/>
        <v xml:space="preserve"> </v>
      </c>
      <c r="H1056" s="161" t="str">
        <f t="shared" si="33"/>
        <v>9h</v>
      </c>
    </row>
    <row r="1057" spans="1:8" x14ac:dyDescent="0.25">
      <c r="A1057" s="10"/>
      <c r="B1057" s="134"/>
      <c r="C1057" s="116"/>
      <c r="D1057" s="116"/>
      <c r="E1057" s="116"/>
      <c r="F1057" s="116" t="s">
        <v>3371</v>
      </c>
      <c r="G1057" s="162" t="str">
        <f t="shared" si="32"/>
        <v xml:space="preserve"> </v>
      </c>
      <c r="H1057" s="161" t="str">
        <f t="shared" si="33"/>
        <v>10h</v>
      </c>
    </row>
    <row r="1058" spans="1:8" x14ac:dyDescent="0.25">
      <c r="A1058" s="10"/>
      <c r="B1058" s="134"/>
      <c r="C1058" s="116"/>
      <c r="D1058" s="116"/>
      <c r="E1058" s="116"/>
      <c r="F1058" s="116" t="s">
        <v>3367</v>
      </c>
      <c r="G1058" s="162" t="str">
        <f t="shared" si="32"/>
        <v xml:space="preserve"> </v>
      </c>
      <c r="H1058" s="161" t="str">
        <f t="shared" si="33"/>
        <v>12h</v>
      </c>
    </row>
    <row r="1059" spans="1:8" x14ac:dyDescent="0.25">
      <c r="A1059" s="10"/>
      <c r="B1059" s="134"/>
      <c r="C1059" s="116"/>
      <c r="D1059" s="116"/>
      <c r="E1059" s="116"/>
      <c r="F1059" s="116" t="s">
        <v>3369</v>
      </c>
      <c r="G1059" s="162" t="str">
        <f t="shared" si="32"/>
        <v xml:space="preserve"> </v>
      </c>
      <c r="H1059" s="161" t="str">
        <f t="shared" si="33"/>
        <v>14h</v>
      </c>
    </row>
    <row r="1060" spans="1:8" x14ac:dyDescent="0.25">
      <c r="A1060" s="10"/>
      <c r="B1060" s="134"/>
      <c r="C1060" s="116"/>
      <c r="D1060" s="116"/>
      <c r="E1060" s="116"/>
      <c r="F1060" s="116" t="s">
        <v>3369</v>
      </c>
      <c r="G1060" s="162" t="str">
        <f t="shared" si="32"/>
        <v xml:space="preserve"> </v>
      </c>
      <c r="H1060" s="161" t="str">
        <f t="shared" si="33"/>
        <v>14h</v>
      </c>
    </row>
    <row r="1061" spans="1:8" x14ac:dyDescent="0.25">
      <c r="A1061" s="10"/>
      <c r="B1061" s="134"/>
      <c r="C1061" s="116"/>
      <c r="D1061" s="116"/>
      <c r="E1061" s="116"/>
      <c r="F1061" s="116" t="s">
        <v>3358</v>
      </c>
      <c r="G1061" s="162" t="str">
        <f t="shared" si="32"/>
        <v xml:space="preserve"> </v>
      </c>
      <c r="H1061" s="161" t="str">
        <f t="shared" si="33"/>
        <v>15h</v>
      </c>
    </row>
    <row r="1062" spans="1:8" x14ac:dyDescent="0.25">
      <c r="A1062" s="10"/>
      <c r="B1062" s="134"/>
      <c r="C1062" s="116"/>
      <c r="D1062" s="116"/>
      <c r="E1062" s="116"/>
      <c r="F1062" s="116" t="s">
        <v>3363</v>
      </c>
      <c r="G1062" s="162" t="str">
        <f t="shared" si="32"/>
        <v xml:space="preserve"> </v>
      </c>
      <c r="H1062" s="161" t="str">
        <f t="shared" si="33"/>
        <v>16h</v>
      </c>
    </row>
    <row r="1063" spans="1:8" x14ac:dyDescent="0.25">
      <c r="A1063" s="10"/>
      <c r="B1063" s="134"/>
      <c r="C1063" s="116"/>
      <c r="D1063" s="116"/>
      <c r="E1063" s="116"/>
      <c r="F1063" s="116" t="s">
        <v>3359</v>
      </c>
      <c r="G1063" s="162" t="str">
        <f t="shared" si="32"/>
        <v xml:space="preserve"> </v>
      </c>
      <c r="H1063" s="161" t="str">
        <f t="shared" si="33"/>
        <v>18h</v>
      </c>
    </row>
    <row r="1064" spans="1:8" x14ac:dyDescent="0.25">
      <c r="A1064" s="10"/>
      <c r="B1064" s="134"/>
      <c r="C1064" s="116"/>
      <c r="D1064" s="116"/>
      <c r="E1064" s="116"/>
      <c r="F1064" s="116" t="s">
        <v>3360</v>
      </c>
      <c r="G1064" s="162" t="str">
        <f t="shared" si="32"/>
        <v xml:space="preserve"> </v>
      </c>
      <c r="H1064" s="161" t="str">
        <f t="shared" si="33"/>
        <v>21h</v>
      </c>
    </row>
    <row r="1065" spans="1:8" x14ac:dyDescent="0.25">
      <c r="A1065" s="10"/>
      <c r="B1065" s="134"/>
      <c r="C1065" s="116"/>
      <c r="D1065" s="116"/>
      <c r="E1065" s="116"/>
      <c r="F1065" s="116" t="s">
        <v>3362</v>
      </c>
      <c r="G1065" s="162" t="str">
        <f t="shared" si="32"/>
        <v xml:space="preserve"> </v>
      </c>
      <c r="H1065" s="161" t="str">
        <f t="shared" si="33"/>
        <v>22h</v>
      </c>
    </row>
    <row r="1066" spans="1:8" x14ac:dyDescent="0.25">
      <c r="A1066" s="10"/>
      <c r="B1066" s="134"/>
      <c r="C1066" s="116"/>
      <c r="D1066" s="116"/>
      <c r="E1066" s="116"/>
      <c r="F1066" s="116" t="s">
        <v>3372</v>
      </c>
      <c r="G1066" s="162" t="str">
        <f t="shared" si="32"/>
        <v xml:space="preserve"> </v>
      </c>
      <c r="H1066" s="161" t="str">
        <f t="shared" si="33"/>
        <v>6h</v>
      </c>
    </row>
    <row r="1067" spans="1:8" x14ac:dyDescent="0.25">
      <c r="A1067" s="10"/>
      <c r="B1067" s="134"/>
      <c r="C1067" s="116"/>
      <c r="D1067" s="116"/>
      <c r="E1067" s="116"/>
      <c r="F1067" s="116" t="s">
        <v>3372</v>
      </c>
      <c r="G1067" s="162" t="str">
        <f t="shared" si="32"/>
        <v xml:space="preserve"> </v>
      </c>
      <c r="H1067" s="161" t="str">
        <f t="shared" si="33"/>
        <v>6h</v>
      </c>
    </row>
    <row r="1068" spans="1:8" x14ac:dyDescent="0.25">
      <c r="A1068" s="10"/>
      <c r="B1068" s="134"/>
      <c r="C1068" s="116"/>
      <c r="D1068" s="116"/>
      <c r="E1068" s="116"/>
      <c r="F1068" s="116" t="s">
        <v>3373</v>
      </c>
      <c r="G1068" s="162" t="str">
        <f t="shared" si="32"/>
        <v xml:space="preserve"> </v>
      </c>
      <c r="H1068" s="161" t="str">
        <f t="shared" si="33"/>
        <v>7h</v>
      </c>
    </row>
    <row r="1069" spans="1:8" x14ac:dyDescent="0.25">
      <c r="A1069" s="10"/>
      <c r="B1069" s="134"/>
      <c r="C1069" s="116"/>
      <c r="D1069" s="116"/>
      <c r="E1069" s="116"/>
      <c r="F1069" s="116" t="s">
        <v>3370</v>
      </c>
      <c r="G1069" s="162" t="str">
        <f t="shared" si="32"/>
        <v xml:space="preserve"> </v>
      </c>
      <c r="H1069" s="161" t="str">
        <f t="shared" si="33"/>
        <v>9h</v>
      </c>
    </row>
    <row r="1070" spans="1:8" x14ac:dyDescent="0.25">
      <c r="A1070" s="10"/>
      <c r="B1070" s="134"/>
      <c r="C1070" s="116"/>
      <c r="D1070" s="116"/>
      <c r="E1070" s="116"/>
      <c r="F1070" s="116" t="s">
        <v>3370</v>
      </c>
      <c r="G1070" s="162" t="str">
        <f t="shared" si="32"/>
        <v xml:space="preserve"> </v>
      </c>
      <c r="H1070" s="161" t="str">
        <f t="shared" si="33"/>
        <v>9h</v>
      </c>
    </row>
    <row r="1071" spans="1:8" x14ac:dyDescent="0.25">
      <c r="A1071" s="10"/>
      <c r="B1071" s="134"/>
      <c r="C1071" s="116"/>
      <c r="D1071" s="116"/>
      <c r="E1071" s="116"/>
      <c r="F1071" s="116" t="s">
        <v>3370</v>
      </c>
      <c r="G1071" s="162" t="str">
        <f t="shared" si="32"/>
        <v xml:space="preserve"> </v>
      </c>
      <c r="H1071" s="161" t="str">
        <f t="shared" si="33"/>
        <v>9h</v>
      </c>
    </row>
    <row r="1072" spans="1:8" x14ac:dyDescent="0.25">
      <c r="A1072" s="10"/>
      <c r="B1072" s="134"/>
      <c r="C1072" s="116"/>
      <c r="D1072" s="116"/>
      <c r="E1072" s="116"/>
      <c r="F1072" s="116" t="s">
        <v>3370</v>
      </c>
      <c r="G1072" s="162" t="str">
        <f t="shared" si="32"/>
        <v xml:space="preserve"> </v>
      </c>
      <c r="H1072" s="161" t="str">
        <f t="shared" si="33"/>
        <v>9h</v>
      </c>
    </row>
    <row r="1073" spans="1:8" x14ac:dyDescent="0.25">
      <c r="A1073" s="10"/>
      <c r="B1073" s="134"/>
      <c r="C1073" s="116"/>
      <c r="D1073" s="116"/>
      <c r="E1073" s="116"/>
      <c r="F1073" s="116" t="s">
        <v>3371</v>
      </c>
      <c r="G1073" s="162" t="str">
        <f t="shared" si="32"/>
        <v xml:space="preserve"> </v>
      </c>
      <c r="H1073" s="161" t="str">
        <f t="shared" si="33"/>
        <v>10h</v>
      </c>
    </row>
    <row r="1074" spans="1:8" x14ac:dyDescent="0.25">
      <c r="A1074" s="10"/>
      <c r="B1074" s="134"/>
      <c r="C1074" s="116"/>
      <c r="D1074" s="116"/>
      <c r="E1074" s="116"/>
      <c r="F1074" s="116" t="s">
        <v>3369</v>
      </c>
      <c r="G1074" s="162" t="str">
        <f t="shared" si="32"/>
        <v xml:space="preserve"> </v>
      </c>
      <c r="H1074" s="161" t="str">
        <f t="shared" si="33"/>
        <v>14h</v>
      </c>
    </row>
    <row r="1075" spans="1:8" x14ac:dyDescent="0.25">
      <c r="A1075" s="10"/>
      <c r="B1075" s="134"/>
      <c r="C1075" s="116"/>
      <c r="D1075" s="116"/>
      <c r="E1075" s="116"/>
      <c r="F1075" s="116" t="s">
        <v>3361</v>
      </c>
      <c r="G1075" s="162" t="str">
        <f t="shared" si="32"/>
        <v xml:space="preserve"> </v>
      </c>
      <c r="H1075" s="161" t="str">
        <f t="shared" si="33"/>
        <v>17h</v>
      </c>
    </row>
    <row r="1076" spans="1:8" x14ac:dyDescent="0.25">
      <c r="A1076" s="10"/>
      <c r="B1076" s="134"/>
      <c r="C1076" s="116"/>
      <c r="D1076" s="116"/>
      <c r="E1076" s="116"/>
      <c r="F1076" s="116" t="s">
        <v>3362</v>
      </c>
      <c r="G1076" s="162" t="str">
        <f t="shared" si="32"/>
        <v xml:space="preserve"> </v>
      </c>
      <c r="H1076" s="161" t="str">
        <f t="shared" si="33"/>
        <v>22h</v>
      </c>
    </row>
    <row r="1077" spans="1:8" x14ac:dyDescent="0.25">
      <c r="A1077" s="10"/>
      <c r="B1077" s="134"/>
      <c r="C1077" s="116"/>
      <c r="D1077" s="116"/>
      <c r="E1077" s="116"/>
      <c r="F1077" s="116" t="s">
        <v>3372</v>
      </c>
      <c r="G1077" s="162" t="str">
        <f t="shared" si="32"/>
        <v xml:space="preserve"> </v>
      </c>
      <c r="H1077" s="161" t="str">
        <f t="shared" si="33"/>
        <v>6h</v>
      </c>
    </row>
    <row r="1078" spans="1:8" x14ac:dyDescent="0.25">
      <c r="A1078" s="10"/>
      <c r="B1078" s="134"/>
      <c r="C1078" s="116"/>
      <c r="D1078" s="116"/>
      <c r="E1078" s="116"/>
      <c r="F1078" s="116" t="s">
        <v>3372</v>
      </c>
      <c r="G1078" s="162" t="str">
        <f t="shared" si="32"/>
        <v xml:space="preserve"> </v>
      </c>
      <c r="H1078" s="161" t="str">
        <f t="shared" si="33"/>
        <v>6h</v>
      </c>
    </row>
    <row r="1079" spans="1:8" x14ac:dyDescent="0.25">
      <c r="A1079" s="10"/>
      <c r="B1079" s="134"/>
      <c r="C1079" s="116"/>
      <c r="D1079" s="116"/>
      <c r="E1079" s="116"/>
      <c r="F1079" s="116" t="s">
        <v>3372</v>
      </c>
      <c r="G1079" s="162" t="str">
        <f t="shared" si="32"/>
        <v xml:space="preserve"> </v>
      </c>
      <c r="H1079" s="161" t="str">
        <f t="shared" si="33"/>
        <v>6h</v>
      </c>
    </row>
    <row r="1080" spans="1:8" x14ac:dyDescent="0.25">
      <c r="A1080" s="10"/>
      <c r="B1080" s="134"/>
      <c r="C1080" s="116"/>
      <c r="D1080" s="116"/>
      <c r="E1080" s="116"/>
      <c r="F1080" s="116" t="s">
        <v>3372</v>
      </c>
      <c r="G1080" s="162" t="str">
        <f t="shared" si="32"/>
        <v xml:space="preserve"> </v>
      </c>
      <c r="H1080" s="161" t="str">
        <f t="shared" si="33"/>
        <v>6h</v>
      </c>
    </row>
    <row r="1081" spans="1:8" x14ac:dyDescent="0.25">
      <c r="A1081" s="10"/>
      <c r="B1081" s="134"/>
      <c r="C1081" s="116"/>
      <c r="D1081" s="116"/>
      <c r="E1081" s="116"/>
      <c r="F1081" s="116" t="s">
        <v>3372</v>
      </c>
      <c r="G1081" s="162" t="str">
        <f t="shared" si="32"/>
        <v xml:space="preserve"> </v>
      </c>
      <c r="H1081" s="161" t="str">
        <f t="shared" si="33"/>
        <v>6h</v>
      </c>
    </row>
    <row r="1082" spans="1:8" x14ac:dyDescent="0.25">
      <c r="A1082" s="10"/>
      <c r="B1082" s="134"/>
      <c r="C1082" s="116"/>
      <c r="D1082" s="116"/>
      <c r="E1082" s="116"/>
      <c r="F1082" s="116" t="s">
        <v>3372</v>
      </c>
      <c r="G1082" s="162" t="str">
        <f t="shared" si="32"/>
        <v xml:space="preserve"> </v>
      </c>
      <c r="H1082" s="161" t="str">
        <f t="shared" si="33"/>
        <v>6h</v>
      </c>
    </row>
    <row r="1083" spans="1:8" x14ac:dyDescent="0.25">
      <c r="A1083" s="10"/>
      <c r="B1083" s="134"/>
      <c r="C1083" s="116"/>
      <c r="D1083" s="116"/>
      <c r="E1083" s="116"/>
      <c r="F1083" s="116" t="s">
        <v>3377</v>
      </c>
      <c r="G1083" s="162" t="str">
        <f t="shared" si="32"/>
        <v xml:space="preserve"> </v>
      </c>
      <c r="H1083" s="161" t="str">
        <f t="shared" si="33"/>
        <v>7h</v>
      </c>
    </row>
    <row r="1084" spans="1:8" x14ac:dyDescent="0.25">
      <c r="A1084" s="10"/>
      <c r="B1084" s="134"/>
      <c r="C1084" s="116"/>
      <c r="D1084" s="116"/>
      <c r="E1084" s="116"/>
      <c r="F1084" s="116" t="s">
        <v>3374</v>
      </c>
      <c r="G1084" s="162" t="str">
        <f t="shared" si="32"/>
        <v xml:space="preserve"> </v>
      </c>
      <c r="H1084" s="161" t="str">
        <f t="shared" si="33"/>
        <v>8h</v>
      </c>
    </row>
    <row r="1085" spans="1:8" x14ac:dyDescent="0.25">
      <c r="A1085" s="10"/>
      <c r="B1085" s="134"/>
      <c r="C1085" s="116"/>
      <c r="D1085" s="116"/>
      <c r="E1085" s="116"/>
      <c r="F1085" s="116" t="s">
        <v>3374</v>
      </c>
      <c r="G1085" s="162" t="str">
        <f t="shared" si="32"/>
        <v xml:space="preserve"> </v>
      </c>
      <c r="H1085" s="161" t="str">
        <f t="shared" si="33"/>
        <v>8h</v>
      </c>
    </row>
    <row r="1086" spans="1:8" x14ac:dyDescent="0.25">
      <c r="A1086" s="10"/>
      <c r="B1086" s="134"/>
      <c r="C1086" s="116"/>
      <c r="D1086" s="116"/>
      <c r="E1086" s="116"/>
      <c r="F1086" s="116" t="s">
        <v>3370</v>
      </c>
      <c r="G1086" s="162" t="str">
        <f t="shared" si="32"/>
        <v xml:space="preserve"> </v>
      </c>
      <c r="H1086" s="161" t="str">
        <f t="shared" si="33"/>
        <v>9h</v>
      </c>
    </row>
    <row r="1087" spans="1:8" x14ac:dyDescent="0.25">
      <c r="A1087" s="10"/>
      <c r="B1087" s="134"/>
      <c r="C1087" s="116"/>
      <c r="D1087" s="116"/>
      <c r="E1087" s="116"/>
      <c r="F1087" s="116" t="s">
        <v>3370</v>
      </c>
      <c r="G1087" s="162" t="str">
        <f t="shared" si="32"/>
        <v xml:space="preserve"> </v>
      </c>
      <c r="H1087" s="161" t="str">
        <f t="shared" si="33"/>
        <v>9h</v>
      </c>
    </row>
    <row r="1088" spans="1:8" x14ac:dyDescent="0.25">
      <c r="A1088" s="10"/>
      <c r="B1088" s="134"/>
      <c r="C1088" s="116"/>
      <c r="D1088" s="116"/>
      <c r="E1088" s="116"/>
      <c r="F1088" s="116" t="s">
        <v>3371</v>
      </c>
      <c r="G1088" s="162" t="str">
        <f t="shared" si="32"/>
        <v xml:space="preserve"> </v>
      </c>
      <c r="H1088" s="161" t="str">
        <f t="shared" si="33"/>
        <v>10h</v>
      </c>
    </row>
    <row r="1089" spans="1:8" x14ac:dyDescent="0.25">
      <c r="A1089" s="10"/>
      <c r="B1089" s="134"/>
      <c r="C1089" s="116"/>
      <c r="D1089" s="116"/>
      <c r="E1089" s="116"/>
      <c r="F1089" s="116" t="s">
        <v>3367</v>
      </c>
      <c r="G1089" s="162" t="str">
        <f t="shared" si="32"/>
        <v xml:space="preserve"> </v>
      </c>
      <c r="H1089" s="161" t="str">
        <f t="shared" si="33"/>
        <v>12h</v>
      </c>
    </row>
    <row r="1090" spans="1:8" x14ac:dyDescent="0.25">
      <c r="A1090" s="10"/>
      <c r="B1090" s="134"/>
      <c r="C1090" s="116"/>
      <c r="D1090" s="116"/>
      <c r="E1090" s="116"/>
      <c r="F1090" s="116" t="s">
        <v>3367</v>
      </c>
      <c r="G1090" s="162" t="str">
        <f t="shared" si="32"/>
        <v xml:space="preserve"> </v>
      </c>
      <c r="H1090" s="161" t="str">
        <f t="shared" si="33"/>
        <v>12h</v>
      </c>
    </row>
    <row r="1091" spans="1:8" x14ac:dyDescent="0.25">
      <c r="A1091" s="10"/>
      <c r="B1091" s="134"/>
      <c r="C1091" s="116"/>
      <c r="D1091" s="116"/>
      <c r="E1091" s="116"/>
      <c r="F1091" s="116" t="s">
        <v>3368</v>
      </c>
      <c r="G1091" s="162" t="str">
        <f t="shared" ref="G1091:G1154" si="34">IF(LEFT(A1091,3)="S7P","Pintura",IF(LEFT(A1091,3)="S7M","Montagem",
IF(LEFT(A1091,3)="S7S","Serigrafia"," ")))</f>
        <v xml:space="preserve"> </v>
      </c>
      <c r="H1091" s="161" t="str">
        <f t="shared" ref="H1091:H1154" si="35">VALUE(LEFT(F1091,2))&amp;"h"</f>
        <v>13h</v>
      </c>
    </row>
    <row r="1092" spans="1:8" x14ac:dyDescent="0.25">
      <c r="A1092" s="10"/>
      <c r="B1092" s="134"/>
      <c r="C1092" s="116"/>
      <c r="D1092" s="116"/>
      <c r="E1092" s="116"/>
      <c r="F1092" s="116" t="s">
        <v>3368</v>
      </c>
      <c r="G1092" s="162" t="str">
        <f t="shared" si="34"/>
        <v xml:space="preserve"> </v>
      </c>
      <c r="H1092" s="161" t="str">
        <f t="shared" si="35"/>
        <v>13h</v>
      </c>
    </row>
    <row r="1093" spans="1:8" x14ac:dyDescent="0.25">
      <c r="A1093" s="10"/>
      <c r="B1093" s="134"/>
      <c r="C1093" s="116"/>
      <c r="D1093" s="116"/>
      <c r="E1093" s="116"/>
      <c r="F1093" s="116" t="s">
        <v>3369</v>
      </c>
      <c r="G1093" s="162" t="str">
        <f t="shared" si="34"/>
        <v xml:space="preserve"> </v>
      </c>
      <c r="H1093" s="161" t="str">
        <f t="shared" si="35"/>
        <v>14h</v>
      </c>
    </row>
    <row r="1094" spans="1:8" x14ac:dyDescent="0.25">
      <c r="A1094" s="10"/>
      <c r="B1094" s="134"/>
      <c r="C1094" s="116"/>
      <c r="D1094" s="116"/>
      <c r="E1094" s="116"/>
      <c r="F1094" s="116" t="s">
        <v>3358</v>
      </c>
      <c r="G1094" s="162" t="str">
        <f t="shared" si="34"/>
        <v xml:space="preserve"> </v>
      </c>
      <c r="H1094" s="161" t="str">
        <f t="shared" si="35"/>
        <v>15h</v>
      </c>
    </row>
    <row r="1095" spans="1:8" x14ac:dyDescent="0.25">
      <c r="A1095" s="10"/>
      <c r="B1095" s="134"/>
      <c r="C1095" s="116"/>
      <c r="D1095" s="116"/>
      <c r="E1095" s="116"/>
      <c r="F1095" s="116" t="s">
        <v>3363</v>
      </c>
      <c r="G1095" s="162" t="str">
        <f t="shared" si="34"/>
        <v xml:space="preserve"> </v>
      </c>
      <c r="H1095" s="161" t="str">
        <f t="shared" si="35"/>
        <v>16h</v>
      </c>
    </row>
    <row r="1096" spans="1:8" x14ac:dyDescent="0.25">
      <c r="A1096" s="10"/>
      <c r="B1096" s="134"/>
      <c r="C1096" s="116"/>
      <c r="D1096" s="116"/>
      <c r="E1096" s="116"/>
      <c r="F1096" s="116" t="s">
        <v>3361</v>
      </c>
      <c r="G1096" s="162" t="str">
        <f t="shared" si="34"/>
        <v xml:space="preserve"> </v>
      </c>
      <c r="H1096" s="161" t="str">
        <f t="shared" si="35"/>
        <v>17h</v>
      </c>
    </row>
    <row r="1097" spans="1:8" x14ac:dyDescent="0.25">
      <c r="A1097" s="10"/>
      <c r="B1097" s="134"/>
      <c r="C1097" s="116"/>
      <c r="D1097" s="116"/>
      <c r="E1097" s="116"/>
      <c r="F1097" s="116" t="s">
        <v>3366</v>
      </c>
      <c r="G1097" s="162" t="str">
        <f t="shared" si="34"/>
        <v xml:space="preserve"> </v>
      </c>
      <c r="H1097" s="161" t="str">
        <f t="shared" si="35"/>
        <v>19h</v>
      </c>
    </row>
    <row r="1098" spans="1:8" x14ac:dyDescent="0.25">
      <c r="A1098" s="10"/>
      <c r="B1098" s="134"/>
      <c r="C1098" s="116"/>
      <c r="D1098" s="116"/>
      <c r="E1098" s="116"/>
      <c r="F1098" s="116" t="s">
        <v>3365</v>
      </c>
      <c r="G1098" s="162" t="str">
        <f t="shared" si="34"/>
        <v xml:space="preserve"> </v>
      </c>
      <c r="H1098" s="161" t="str">
        <f t="shared" si="35"/>
        <v>23h</v>
      </c>
    </row>
    <row r="1099" spans="1:8" x14ac:dyDescent="0.25">
      <c r="A1099" s="10"/>
      <c r="B1099" s="134"/>
      <c r="C1099" s="116"/>
      <c r="D1099" s="116"/>
      <c r="E1099" s="116"/>
      <c r="F1099" s="116" t="s">
        <v>3373</v>
      </c>
      <c r="G1099" s="162" t="str">
        <f t="shared" si="34"/>
        <v xml:space="preserve"> </v>
      </c>
      <c r="H1099" s="161" t="str">
        <f t="shared" si="35"/>
        <v>7h</v>
      </c>
    </row>
    <row r="1100" spans="1:8" x14ac:dyDescent="0.25">
      <c r="A1100" s="10"/>
      <c r="B1100" s="134"/>
      <c r="C1100" s="116"/>
      <c r="D1100" s="116"/>
      <c r="E1100" s="116"/>
      <c r="F1100" s="116" t="s">
        <v>3371</v>
      </c>
      <c r="G1100" s="162" t="str">
        <f t="shared" si="34"/>
        <v xml:space="preserve"> </v>
      </c>
      <c r="H1100" s="161" t="str">
        <f t="shared" si="35"/>
        <v>10h</v>
      </c>
    </row>
    <row r="1101" spans="1:8" x14ac:dyDescent="0.25">
      <c r="A1101" s="10"/>
      <c r="B1101" s="134"/>
      <c r="C1101" s="116"/>
      <c r="D1101" s="116"/>
      <c r="E1101" s="116"/>
      <c r="F1101" s="116" t="s">
        <v>3363</v>
      </c>
      <c r="G1101" s="162" t="str">
        <f t="shared" si="34"/>
        <v xml:space="preserve"> </v>
      </c>
      <c r="H1101" s="161" t="str">
        <f t="shared" si="35"/>
        <v>16h</v>
      </c>
    </row>
    <row r="1102" spans="1:8" x14ac:dyDescent="0.25">
      <c r="A1102" s="10"/>
      <c r="B1102" s="134"/>
      <c r="C1102" s="116"/>
      <c r="D1102" s="116"/>
      <c r="E1102" s="116"/>
      <c r="F1102" s="116" t="s">
        <v>3360</v>
      </c>
      <c r="G1102" s="162" t="str">
        <f t="shared" si="34"/>
        <v xml:space="preserve"> </v>
      </c>
      <c r="H1102" s="161" t="str">
        <f t="shared" si="35"/>
        <v>21h</v>
      </c>
    </row>
    <row r="1103" spans="1:8" x14ac:dyDescent="0.25">
      <c r="A1103" s="10"/>
      <c r="B1103" s="134"/>
      <c r="C1103" s="116"/>
      <c r="D1103" s="116"/>
      <c r="E1103" s="116"/>
      <c r="F1103" s="116" t="s">
        <v>3372</v>
      </c>
      <c r="G1103" s="162" t="str">
        <f t="shared" si="34"/>
        <v xml:space="preserve"> </v>
      </c>
      <c r="H1103" s="161" t="str">
        <f t="shared" si="35"/>
        <v>6h</v>
      </c>
    </row>
    <row r="1104" spans="1:8" x14ac:dyDescent="0.25">
      <c r="A1104" s="10"/>
      <c r="B1104" s="134"/>
      <c r="C1104" s="116"/>
      <c r="D1104" s="116"/>
      <c r="E1104" s="116"/>
      <c r="F1104" s="116" t="s">
        <v>3372</v>
      </c>
      <c r="G1104" s="162" t="str">
        <f t="shared" si="34"/>
        <v xml:space="preserve"> </v>
      </c>
      <c r="H1104" s="161" t="str">
        <f t="shared" si="35"/>
        <v>6h</v>
      </c>
    </row>
    <row r="1105" spans="1:8" x14ac:dyDescent="0.25">
      <c r="A1105" s="10"/>
      <c r="B1105" s="134"/>
      <c r="C1105" s="116"/>
      <c r="D1105" s="116"/>
      <c r="E1105" s="116"/>
      <c r="F1105" s="116" t="s">
        <v>3372</v>
      </c>
      <c r="G1105" s="162" t="str">
        <f t="shared" si="34"/>
        <v xml:space="preserve"> </v>
      </c>
      <c r="H1105" s="161" t="str">
        <f t="shared" si="35"/>
        <v>6h</v>
      </c>
    </row>
    <row r="1106" spans="1:8" x14ac:dyDescent="0.25">
      <c r="A1106" s="10"/>
      <c r="B1106" s="134"/>
      <c r="C1106" s="116"/>
      <c r="D1106" s="116"/>
      <c r="E1106" s="116"/>
      <c r="F1106" s="116" t="s">
        <v>3372</v>
      </c>
      <c r="G1106" s="162" t="str">
        <f t="shared" si="34"/>
        <v xml:space="preserve"> </v>
      </c>
      <c r="H1106" s="161" t="str">
        <f t="shared" si="35"/>
        <v>6h</v>
      </c>
    </row>
    <row r="1107" spans="1:8" x14ac:dyDescent="0.25">
      <c r="A1107" s="10"/>
      <c r="B1107" s="134"/>
      <c r="C1107" s="116"/>
      <c r="D1107" s="116"/>
      <c r="E1107" s="116"/>
      <c r="F1107" s="116" t="s">
        <v>3373</v>
      </c>
      <c r="G1107" s="162" t="str">
        <f t="shared" si="34"/>
        <v xml:space="preserve"> </v>
      </c>
      <c r="H1107" s="161" t="str">
        <f t="shared" si="35"/>
        <v>7h</v>
      </c>
    </row>
    <row r="1108" spans="1:8" x14ac:dyDescent="0.25">
      <c r="A1108" s="10"/>
      <c r="B1108" s="134"/>
      <c r="C1108" s="116"/>
      <c r="D1108" s="116"/>
      <c r="E1108" s="116"/>
      <c r="F1108" s="116" t="s">
        <v>3374</v>
      </c>
      <c r="G1108" s="162" t="str">
        <f t="shared" si="34"/>
        <v xml:space="preserve"> </v>
      </c>
      <c r="H1108" s="161" t="str">
        <f t="shared" si="35"/>
        <v>8h</v>
      </c>
    </row>
    <row r="1109" spans="1:8" x14ac:dyDescent="0.25">
      <c r="A1109" s="10"/>
      <c r="B1109" s="134"/>
      <c r="C1109" s="116"/>
      <c r="D1109" s="116"/>
      <c r="E1109" s="116"/>
      <c r="F1109" s="116" t="s">
        <v>3370</v>
      </c>
      <c r="G1109" s="162" t="str">
        <f t="shared" si="34"/>
        <v xml:space="preserve"> </v>
      </c>
      <c r="H1109" s="161" t="str">
        <f t="shared" si="35"/>
        <v>9h</v>
      </c>
    </row>
    <row r="1110" spans="1:8" x14ac:dyDescent="0.25">
      <c r="A1110" s="10"/>
      <c r="B1110" s="134"/>
      <c r="C1110" s="116"/>
      <c r="D1110" s="116"/>
      <c r="E1110" s="116"/>
      <c r="F1110" s="116" t="s">
        <v>3370</v>
      </c>
      <c r="G1110" s="162" t="str">
        <f t="shared" si="34"/>
        <v xml:space="preserve"> </v>
      </c>
      <c r="H1110" s="161" t="str">
        <f t="shared" si="35"/>
        <v>9h</v>
      </c>
    </row>
    <row r="1111" spans="1:8" x14ac:dyDescent="0.25">
      <c r="A1111" s="10"/>
      <c r="B1111" s="134"/>
      <c r="C1111" s="116"/>
      <c r="D1111" s="116"/>
      <c r="E1111" s="116"/>
      <c r="F1111" s="116" t="s">
        <v>3371</v>
      </c>
      <c r="G1111" s="162" t="str">
        <f t="shared" si="34"/>
        <v xml:space="preserve"> </v>
      </c>
      <c r="H1111" s="161" t="str">
        <f t="shared" si="35"/>
        <v>10h</v>
      </c>
    </row>
    <row r="1112" spans="1:8" x14ac:dyDescent="0.25">
      <c r="A1112" s="10"/>
      <c r="B1112" s="134"/>
      <c r="C1112" s="116"/>
      <c r="D1112" s="116"/>
      <c r="E1112" s="116"/>
      <c r="F1112" s="116" t="s">
        <v>3367</v>
      </c>
      <c r="G1112" s="162" t="str">
        <f t="shared" si="34"/>
        <v xml:space="preserve"> </v>
      </c>
      <c r="H1112" s="161" t="str">
        <f t="shared" si="35"/>
        <v>12h</v>
      </c>
    </row>
    <row r="1113" spans="1:8" x14ac:dyDescent="0.25">
      <c r="A1113" s="10"/>
      <c r="B1113" s="134"/>
      <c r="C1113" s="116"/>
      <c r="D1113" s="116"/>
      <c r="E1113" s="116"/>
      <c r="F1113" s="116" t="s">
        <v>3369</v>
      </c>
      <c r="G1113" s="162" t="str">
        <f t="shared" si="34"/>
        <v xml:space="preserve"> </v>
      </c>
      <c r="H1113" s="161" t="str">
        <f t="shared" si="35"/>
        <v>14h</v>
      </c>
    </row>
    <row r="1114" spans="1:8" x14ac:dyDescent="0.25">
      <c r="A1114" s="10"/>
      <c r="B1114" s="134"/>
      <c r="C1114" s="116"/>
      <c r="D1114" s="116"/>
      <c r="E1114" s="116"/>
      <c r="F1114" s="116" t="s">
        <v>3358</v>
      </c>
      <c r="G1114" s="162" t="str">
        <f t="shared" si="34"/>
        <v xml:space="preserve"> </v>
      </c>
      <c r="H1114" s="161" t="str">
        <f t="shared" si="35"/>
        <v>15h</v>
      </c>
    </row>
    <row r="1115" spans="1:8" x14ac:dyDescent="0.25">
      <c r="A1115" s="10"/>
      <c r="B1115" s="134"/>
      <c r="C1115" s="116"/>
      <c r="D1115" s="116"/>
      <c r="E1115" s="116"/>
      <c r="F1115" s="116" t="s">
        <v>3361</v>
      </c>
      <c r="G1115" s="162" t="str">
        <f t="shared" si="34"/>
        <v xml:space="preserve"> </v>
      </c>
      <c r="H1115" s="161" t="str">
        <f t="shared" si="35"/>
        <v>17h</v>
      </c>
    </row>
    <row r="1116" spans="1:8" x14ac:dyDescent="0.25">
      <c r="A1116" s="10"/>
      <c r="B1116" s="134"/>
      <c r="C1116" s="116"/>
      <c r="D1116" s="116"/>
      <c r="E1116" s="116"/>
      <c r="F1116" s="116" t="s">
        <v>3361</v>
      </c>
      <c r="G1116" s="162" t="str">
        <f t="shared" si="34"/>
        <v xml:space="preserve"> </v>
      </c>
      <c r="H1116" s="161" t="str">
        <f t="shared" si="35"/>
        <v>17h</v>
      </c>
    </row>
    <row r="1117" spans="1:8" x14ac:dyDescent="0.25">
      <c r="A1117" s="10"/>
      <c r="B1117" s="134"/>
      <c r="C1117" s="116"/>
      <c r="D1117" s="116"/>
      <c r="E1117" s="116"/>
      <c r="F1117" s="116" t="s">
        <v>3361</v>
      </c>
      <c r="G1117" s="162" t="str">
        <f t="shared" si="34"/>
        <v xml:space="preserve"> </v>
      </c>
      <c r="H1117" s="161" t="str">
        <f t="shared" si="35"/>
        <v>17h</v>
      </c>
    </row>
    <row r="1118" spans="1:8" x14ac:dyDescent="0.25">
      <c r="A1118" s="10"/>
      <c r="B1118" s="134"/>
      <c r="C1118" s="116"/>
      <c r="D1118" s="116"/>
      <c r="E1118" s="116"/>
      <c r="F1118" s="116" t="s">
        <v>3359</v>
      </c>
      <c r="G1118" s="162" t="str">
        <f t="shared" si="34"/>
        <v xml:space="preserve"> </v>
      </c>
      <c r="H1118" s="161" t="str">
        <f t="shared" si="35"/>
        <v>18h</v>
      </c>
    </row>
    <row r="1119" spans="1:8" x14ac:dyDescent="0.25">
      <c r="A1119" s="10"/>
      <c r="B1119" s="134"/>
      <c r="C1119" s="116"/>
      <c r="D1119" s="116"/>
      <c r="E1119" s="116"/>
      <c r="F1119" s="116" t="s">
        <v>3359</v>
      </c>
      <c r="G1119" s="162" t="str">
        <f t="shared" si="34"/>
        <v xml:space="preserve"> </v>
      </c>
      <c r="H1119" s="161" t="str">
        <f t="shared" si="35"/>
        <v>18h</v>
      </c>
    </row>
    <row r="1120" spans="1:8" x14ac:dyDescent="0.25">
      <c r="A1120" s="10"/>
      <c r="B1120" s="134"/>
      <c r="C1120" s="116"/>
      <c r="D1120" s="116"/>
      <c r="E1120" s="116"/>
      <c r="F1120" s="116" t="s">
        <v>3366</v>
      </c>
      <c r="G1120" s="162" t="str">
        <f t="shared" si="34"/>
        <v xml:space="preserve"> </v>
      </c>
      <c r="H1120" s="161" t="str">
        <f t="shared" si="35"/>
        <v>19h</v>
      </c>
    </row>
    <row r="1121" spans="1:8" x14ac:dyDescent="0.25">
      <c r="A1121" s="10"/>
      <c r="B1121" s="134"/>
      <c r="C1121" s="116"/>
      <c r="D1121" s="116"/>
      <c r="E1121" s="116"/>
      <c r="F1121" s="116" t="s">
        <v>3366</v>
      </c>
      <c r="G1121" s="162" t="str">
        <f t="shared" si="34"/>
        <v xml:space="preserve"> </v>
      </c>
      <c r="H1121" s="161" t="str">
        <f t="shared" si="35"/>
        <v>19h</v>
      </c>
    </row>
    <row r="1122" spans="1:8" x14ac:dyDescent="0.25">
      <c r="A1122" s="10"/>
      <c r="B1122" s="134"/>
      <c r="C1122" s="116"/>
      <c r="D1122" s="116"/>
      <c r="E1122" s="116"/>
      <c r="F1122" s="116" t="s">
        <v>3364</v>
      </c>
      <c r="G1122" s="162" t="str">
        <f t="shared" si="34"/>
        <v xml:space="preserve"> </v>
      </c>
      <c r="H1122" s="161" t="str">
        <f t="shared" si="35"/>
        <v>20h</v>
      </c>
    </row>
    <row r="1123" spans="1:8" x14ac:dyDescent="0.25">
      <c r="A1123" s="10"/>
      <c r="B1123" s="134"/>
      <c r="C1123" s="116"/>
      <c r="D1123" s="116"/>
      <c r="E1123" s="116"/>
      <c r="F1123" s="116" t="s">
        <v>3360</v>
      </c>
      <c r="G1123" s="162" t="str">
        <f t="shared" si="34"/>
        <v xml:space="preserve"> </v>
      </c>
      <c r="H1123" s="161" t="str">
        <f t="shared" si="35"/>
        <v>21h</v>
      </c>
    </row>
    <row r="1124" spans="1:8" x14ac:dyDescent="0.25">
      <c r="A1124" s="10"/>
      <c r="B1124" s="134"/>
      <c r="C1124" s="116"/>
      <c r="D1124" s="116"/>
      <c r="E1124" s="116"/>
      <c r="F1124" s="116" t="s">
        <v>3360</v>
      </c>
      <c r="G1124" s="162" t="str">
        <f t="shared" si="34"/>
        <v xml:space="preserve"> </v>
      </c>
      <c r="H1124" s="161" t="str">
        <f t="shared" si="35"/>
        <v>21h</v>
      </c>
    </row>
    <row r="1125" spans="1:8" x14ac:dyDescent="0.25">
      <c r="A1125" s="10"/>
      <c r="B1125" s="134"/>
      <c r="C1125" s="116"/>
      <c r="D1125" s="116"/>
      <c r="E1125" s="116"/>
      <c r="F1125" s="116" t="s">
        <v>3362</v>
      </c>
      <c r="G1125" s="162" t="str">
        <f t="shared" si="34"/>
        <v xml:space="preserve"> </v>
      </c>
      <c r="H1125" s="161" t="str">
        <f t="shared" si="35"/>
        <v>22h</v>
      </c>
    </row>
    <row r="1126" spans="1:8" x14ac:dyDescent="0.25">
      <c r="A1126" s="10"/>
      <c r="B1126" s="134"/>
      <c r="C1126" s="116"/>
      <c r="D1126" s="116"/>
      <c r="E1126" s="116"/>
      <c r="F1126" s="116" t="s">
        <v>3362</v>
      </c>
      <c r="G1126" s="162" t="str">
        <f t="shared" si="34"/>
        <v xml:space="preserve"> </v>
      </c>
      <c r="H1126" s="161" t="str">
        <f t="shared" si="35"/>
        <v>22h</v>
      </c>
    </row>
    <row r="1127" spans="1:8" x14ac:dyDescent="0.25">
      <c r="A1127" s="10"/>
      <c r="B1127" s="134"/>
      <c r="C1127" s="116"/>
      <c r="D1127" s="116"/>
      <c r="E1127" s="116"/>
      <c r="F1127" s="116" t="s">
        <v>3362</v>
      </c>
      <c r="G1127" s="162" t="str">
        <f t="shared" si="34"/>
        <v xml:space="preserve"> </v>
      </c>
      <c r="H1127" s="161" t="str">
        <f t="shared" si="35"/>
        <v>22h</v>
      </c>
    </row>
    <row r="1128" spans="1:8" x14ac:dyDescent="0.25">
      <c r="A1128" s="10"/>
      <c r="B1128" s="134"/>
      <c r="C1128" s="116"/>
      <c r="D1128" s="116"/>
      <c r="E1128" s="116"/>
      <c r="F1128" s="116" t="s">
        <v>3362</v>
      </c>
      <c r="G1128" s="162" t="str">
        <f t="shared" si="34"/>
        <v xml:space="preserve"> </v>
      </c>
      <c r="H1128" s="161" t="str">
        <f t="shared" si="35"/>
        <v>22h</v>
      </c>
    </row>
    <row r="1129" spans="1:8" x14ac:dyDescent="0.25">
      <c r="A1129" s="10"/>
      <c r="B1129" s="134"/>
      <c r="C1129" s="116"/>
      <c r="D1129" s="116"/>
      <c r="E1129" s="116"/>
      <c r="F1129" s="116" t="s">
        <v>3365</v>
      </c>
      <c r="G1129" s="162" t="str">
        <f t="shared" si="34"/>
        <v xml:space="preserve"> </v>
      </c>
      <c r="H1129" s="161" t="str">
        <f t="shared" si="35"/>
        <v>23h</v>
      </c>
    </row>
    <row r="1130" spans="1:8" x14ac:dyDescent="0.25">
      <c r="A1130" s="10"/>
      <c r="B1130" s="134"/>
      <c r="C1130" s="116"/>
      <c r="D1130" s="116"/>
      <c r="E1130" s="116"/>
      <c r="F1130" s="116" t="s">
        <v>3365</v>
      </c>
      <c r="G1130" s="162" t="str">
        <f t="shared" si="34"/>
        <v xml:space="preserve"> </v>
      </c>
      <c r="H1130" s="161" t="str">
        <f t="shared" si="35"/>
        <v>23h</v>
      </c>
    </row>
    <row r="1131" spans="1:8" x14ac:dyDescent="0.25">
      <c r="A1131" s="10"/>
      <c r="B1131" s="134"/>
      <c r="C1131" s="116"/>
      <c r="D1131" s="116"/>
      <c r="E1131" s="116"/>
      <c r="F1131" s="116" t="s">
        <v>3365</v>
      </c>
      <c r="G1131" s="162" t="str">
        <f t="shared" si="34"/>
        <v xml:space="preserve"> </v>
      </c>
      <c r="H1131" s="161" t="str">
        <f t="shared" si="35"/>
        <v>23h</v>
      </c>
    </row>
    <row r="1132" spans="1:8" x14ac:dyDescent="0.25">
      <c r="A1132" s="10"/>
      <c r="B1132" s="134"/>
      <c r="C1132" s="116"/>
      <c r="D1132" s="116"/>
      <c r="E1132" s="116"/>
      <c r="F1132" s="116" t="s">
        <v>3365</v>
      </c>
      <c r="G1132" s="162" t="str">
        <f t="shared" si="34"/>
        <v xml:space="preserve"> </v>
      </c>
      <c r="H1132" s="161" t="str">
        <f t="shared" si="35"/>
        <v>23h</v>
      </c>
    </row>
    <row r="1133" spans="1:8" x14ac:dyDescent="0.25">
      <c r="A1133" s="10"/>
      <c r="B1133" s="134"/>
      <c r="C1133" s="116"/>
      <c r="D1133" s="116"/>
      <c r="E1133" s="116"/>
      <c r="F1133" s="116" t="s">
        <v>3372</v>
      </c>
      <c r="G1133" s="162" t="str">
        <f t="shared" si="34"/>
        <v xml:space="preserve"> </v>
      </c>
      <c r="H1133" s="161" t="str">
        <f t="shared" si="35"/>
        <v>6h</v>
      </c>
    </row>
    <row r="1134" spans="1:8" x14ac:dyDescent="0.25">
      <c r="A1134" s="10"/>
      <c r="B1134" s="134"/>
      <c r="C1134" s="116"/>
      <c r="D1134" s="116"/>
      <c r="E1134" s="116"/>
      <c r="F1134" s="116" t="s">
        <v>3372</v>
      </c>
      <c r="G1134" s="162" t="str">
        <f t="shared" si="34"/>
        <v xml:space="preserve"> </v>
      </c>
      <c r="H1134" s="161" t="str">
        <f t="shared" si="35"/>
        <v>6h</v>
      </c>
    </row>
    <row r="1135" spans="1:8" x14ac:dyDescent="0.25">
      <c r="A1135" s="10"/>
      <c r="B1135" s="134"/>
      <c r="C1135" s="116"/>
      <c r="D1135" s="116"/>
      <c r="E1135" s="116"/>
      <c r="F1135" s="116" t="s">
        <v>3372</v>
      </c>
      <c r="G1135" s="162" t="str">
        <f t="shared" si="34"/>
        <v xml:space="preserve"> </v>
      </c>
      <c r="H1135" s="161" t="str">
        <f t="shared" si="35"/>
        <v>6h</v>
      </c>
    </row>
    <row r="1136" spans="1:8" x14ac:dyDescent="0.25">
      <c r="A1136" s="10"/>
      <c r="B1136" s="134"/>
      <c r="C1136" s="116"/>
      <c r="D1136" s="116"/>
      <c r="E1136" s="116"/>
      <c r="F1136" s="116" t="s">
        <v>3373</v>
      </c>
      <c r="G1136" s="162" t="str">
        <f t="shared" si="34"/>
        <v xml:space="preserve"> </v>
      </c>
      <c r="H1136" s="161" t="str">
        <f t="shared" si="35"/>
        <v>7h</v>
      </c>
    </row>
    <row r="1137" spans="1:8" x14ac:dyDescent="0.25">
      <c r="A1137" s="10"/>
      <c r="B1137" s="134"/>
      <c r="C1137" s="116"/>
      <c r="D1137" s="116"/>
      <c r="E1137" s="116"/>
      <c r="F1137" s="116" t="s">
        <v>3373</v>
      </c>
      <c r="G1137" s="162" t="str">
        <f t="shared" si="34"/>
        <v xml:space="preserve"> </v>
      </c>
      <c r="H1137" s="161" t="str">
        <f t="shared" si="35"/>
        <v>7h</v>
      </c>
    </row>
    <row r="1138" spans="1:8" x14ac:dyDescent="0.25">
      <c r="A1138" s="10"/>
      <c r="B1138" s="134"/>
      <c r="C1138" s="116"/>
      <c r="D1138" s="116"/>
      <c r="E1138" s="116"/>
      <c r="F1138" s="116" t="s">
        <v>3373</v>
      </c>
      <c r="G1138" s="162" t="str">
        <f t="shared" si="34"/>
        <v xml:space="preserve"> </v>
      </c>
      <c r="H1138" s="161" t="str">
        <f t="shared" si="35"/>
        <v>7h</v>
      </c>
    </row>
    <row r="1139" spans="1:8" x14ac:dyDescent="0.25">
      <c r="A1139" s="10"/>
      <c r="B1139" s="134"/>
      <c r="C1139" s="116"/>
      <c r="D1139" s="116"/>
      <c r="E1139" s="116"/>
      <c r="F1139" s="116" t="s">
        <v>3374</v>
      </c>
      <c r="G1139" s="162" t="str">
        <f t="shared" si="34"/>
        <v xml:space="preserve"> </v>
      </c>
      <c r="H1139" s="161" t="str">
        <f t="shared" si="35"/>
        <v>8h</v>
      </c>
    </row>
    <row r="1140" spans="1:8" x14ac:dyDescent="0.25">
      <c r="A1140" s="10"/>
      <c r="B1140" s="134"/>
      <c r="C1140" s="116"/>
      <c r="D1140" s="116"/>
      <c r="E1140" s="116"/>
      <c r="F1140" s="116" t="s">
        <v>3374</v>
      </c>
      <c r="G1140" s="162" t="str">
        <f t="shared" si="34"/>
        <v xml:space="preserve"> </v>
      </c>
      <c r="H1140" s="161" t="str">
        <f t="shared" si="35"/>
        <v>8h</v>
      </c>
    </row>
    <row r="1141" spans="1:8" x14ac:dyDescent="0.25">
      <c r="A1141" s="10"/>
      <c r="B1141" s="134"/>
      <c r="C1141" s="116"/>
      <c r="D1141" s="116"/>
      <c r="E1141" s="116"/>
      <c r="F1141" s="116" t="s">
        <v>3370</v>
      </c>
      <c r="G1141" s="162" t="str">
        <f t="shared" si="34"/>
        <v xml:space="preserve"> </v>
      </c>
      <c r="H1141" s="161" t="str">
        <f t="shared" si="35"/>
        <v>9h</v>
      </c>
    </row>
    <row r="1142" spans="1:8" x14ac:dyDescent="0.25">
      <c r="A1142" s="10"/>
      <c r="B1142" s="134"/>
      <c r="C1142" s="116"/>
      <c r="D1142" s="116"/>
      <c r="E1142" s="116"/>
      <c r="F1142" s="116" t="s">
        <v>3370</v>
      </c>
      <c r="G1142" s="162" t="str">
        <f t="shared" si="34"/>
        <v xml:space="preserve"> </v>
      </c>
      <c r="H1142" s="161" t="str">
        <f t="shared" si="35"/>
        <v>9h</v>
      </c>
    </row>
    <row r="1143" spans="1:8" x14ac:dyDescent="0.25">
      <c r="A1143" s="10"/>
      <c r="B1143" s="134"/>
      <c r="C1143" s="116"/>
      <c r="D1143" s="116"/>
      <c r="E1143" s="116"/>
      <c r="F1143" s="116" t="s">
        <v>3370</v>
      </c>
      <c r="G1143" s="162" t="str">
        <f t="shared" si="34"/>
        <v xml:space="preserve"> </v>
      </c>
      <c r="H1143" s="161" t="str">
        <f t="shared" si="35"/>
        <v>9h</v>
      </c>
    </row>
    <row r="1144" spans="1:8" x14ac:dyDescent="0.25">
      <c r="A1144" s="10"/>
      <c r="B1144" s="134"/>
      <c r="C1144" s="116"/>
      <c r="D1144" s="116"/>
      <c r="E1144" s="116"/>
      <c r="F1144" s="116" t="s">
        <v>3371</v>
      </c>
      <c r="G1144" s="162" t="str">
        <f t="shared" si="34"/>
        <v xml:space="preserve"> </v>
      </c>
      <c r="H1144" s="161" t="str">
        <f t="shared" si="35"/>
        <v>10h</v>
      </c>
    </row>
    <row r="1145" spans="1:8" x14ac:dyDescent="0.25">
      <c r="A1145" s="10"/>
      <c r="B1145" s="134"/>
      <c r="C1145" s="116"/>
      <c r="D1145" s="116"/>
      <c r="E1145" s="116"/>
      <c r="F1145" s="116" t="s">
        <v>3371</v>
      </c>
      <c r="G1145" s="162" t="str">
        <f t="shared" si="34"/>
        <v xml:space="preserve"> </v>
      </c>
      <c r="H1145" s="161" t="str">
        <f t="shared" si="35"/>
        <v>10h</v>
      </c>
    </row>
    <row r="1146" spans="1:8" x14ac:dyDescent="0.25">
      <c r="A1146" s="10"/>
      <c r="B1146" s="134"/>
      <c r="C1146" s="116"/>
      <c r="D1146" s="116"/>
      <c r="E1146" s="116"/>
      <c r="F1146" s="116" t="s">
        <v>3371</v>
      </c>
      <c r="G1146" s="162" t="str">
        <f t="shared" si="34"/>
        <v xml:space="preserve"> </v>
      </c>
      <c r="H1146" s="161" t="str">
        <f t="shared" si="35"/>
        <v>10h</v>
      </c>
    </row>
    <row r="1147" spans="1:8" x14ac:dyDescent="0.25">
      <c r="A1147" s="10"/>
      <c r="B1147" s="134"/>
      <c r="C1147" s="116"/>
      <c r="D1147" s="116"/>
      <c r="E1147" s="116"/>
      <c r="F1147" s="116" t="s">
        <v>3367</v>
      </c>
      <c r="G1147" s="162" t="str">
        <f t="shared" si="34"/>
        <v xml:space="preserve"> </v>
      </c>
      <c r="H1147" s="161" t="str">
        <f t="shared" si="35"/>
        <v>12h</v>
      </c>
    </row>
    <row r="1148" spans="1:8" x14ac:dyDescent="0.25">
      <c r="A1148" s="10"/>
      <c r="B1148" s="134"/>
      <c r="C1148" s="116"/>
      <c r="D1148" s="116"/>
      <c r="E1148" s="116"/>
      <c r="F1148" s="116" t="s">
        <v>3368</v>
      </c>
      <c r="G1148" s="162" t="str">
        <f t="shared" si="34"/>
        <v xml:space="preserve"> </v>
      </c>
      <c r="H1148" s="161" t="str">
        <f t="shared" si="35"/>
        <v>13h</v>
      </c>
    </row>
    <row r="1149" spans="1:8" x14ac:dyDescent="0.25">
      <c r="A1149" s="10"/>
      <c r="B1149" s="134"/>
      <c r="C1149" s="116"/>
      <c r="D1149" s="116"/>
      <c r="E1149" s="116"/>
      <c r="F1149" s="116" t="s">
        <v>3369</v>
      </c>
      <c r="G1149" s="162" t="str">
        <f t="shared" si="34"/>
        <v xml:space="preserve"> </v>
      </c>
      <c r="H1149" s="161" t="str">
        <f t="shared" si="35"/>
        <v>14h</v>
      </c>
    </row>
    <row r="1150" spans="1:8" x14ac:dyDescent="0.25">
      <c r="A1150" s="10"/>
      <c r="B1150" s="134"/>
      <c r="C1150" s="116"/>
      <c r="D1150" s="116"/>
      <c r="E1150" s="116"/>
      <c r="F1150" s="116" t="s">
        <v>3369</v>
      </c>
      <c r="G1150" s="162" t="str">
        <f t="shared" si="34"/>
        <v xml:space="preserve"> </v>
      </c>
      <c r="H1150" s="161" t="str">
        <f t="shared" si="35"/>
        <v>14h</v>
      </c>
    </row>
    <row r="1151" spans="1:8" x14ac:dyDescent="0.25">
      <c r="A1151" s="10"/>
      <c r="B1151" s="134"/>
      <c r="C1151" s="116"/>
      <c r="D1151" s="116"/>
      <c r="E1151" s="116"/>
      <c r="F1151" s="116" t="s">
        <v>3358</v>
      </c>
      <c r="G1151" s="162" t="str">
        <f t="shared" si="34"/>
        <v xml:space="preserve"> </v>
      </c>
      <c r="H1151" s="161" t="str">
        <f t="shared" si="35"/>
        <v>15h</v>
      </c>
    </row>
    <row r="1152" spans="1:8" x14ac:dyDescent="0.25">
      <c r="A1152" s="10"/>
      <c r="B1152" s="134"/>
      <c r="C1152" s="116"/>
      <c r="D1152" s="116"/>
      <c r="E1152" s="116"/>
      <c r="F1152" s="116" t="s">
        <v>3363</v>
      </c>
      <c r="G1152" s="162" t="str">
        <f t="shared" si="34"/>
        <v xml:space="preserve"> </v>
      </c>
      <c r="H1152" s="161" t="str">
        <f t="shared" si="35"/>
        <v>16h</v>
      </c>
    </row>
    <row r="1153" spans="1:8" x14ac:dyDescent="0.25">
      <c r="A1153" s="10"/>
      <c r="B1153" s="134"/>
      <c r="C1153" s="116"/>
      <c r="D1153" s="116"/>
      <c r="E1153" s="116"/>
      <c r="F1153" s="116" t="s">
        <v>3359</v>
      </c>
      <c r="G1153" s="162" t="str">
        <f t="shared" si="34"/>
        <v xml:space="preserve"> </v>
      </c>
      <c r="H1153" s="161" t="str">
        <f t="shared" si="35"/>
        <v>18h</v>
      </c>
    </row>
    <row r="1154" spans="1:8" x14ac:dyDescent="0.25">
      <c r="A1154" s="10"/>
      <c r="B1154" s="134"/>
      <c r="C1154" s="116"/>
      <c r="D1154" s="116"/>
      <c r="E1154" s="116"/>
      <c r="F1154" s="116" t="s">
        <v>3360</v>
      </c>
      <c r="G1154" s="162" t="str">
        <f t="shared" si="34"/>
        <v xml:space="preserve"> </v>
      </c>
      <c r="H1154" s="161" t="str">
        <f t="shared" si="35"/>
        <v>21h</v>
      </c>
    </row>
    <row r="1155" spans="1:8" x14ac:dyDescent="0.25">
      <c r="A1155" s="10"/>
      <c r="B1155" s="134"/>
      <c r="C1155" s="116"/>
      <c r="D1155" s="116"/>
      <c r="E1155" s="116"/>
      <c r="F1155" s="116" t="s">
        <v>3362</v>
      </c>
      <c r="G1155" s="162" t="str">
        <f t="shared" ref="G1155:G1218" si="36">IF(LEFT(A1155,3)="S7P","Pintura",IF(LEFT(A1155,3)="S7M","Montagem",
IF(LEFT(A1155,3)="S7S","Serigrafia"," ")))</f>
        <v xml:space="preserve"> </v>
      </c>
      <c r="H1155" s="161" t="str">
        <f t="shared" ref="H1155:H1218" si="37">VALUE(LEFT(F1155,2))&amp;"h"</f>
        <v>22h</v>
      </c>
    </row>
    <row r="1156" spans="1:8" x14ac:dyDescent="0.25">
      <c r="A1156" s="10"/>
      <c r="B1156" s="134"/>
      <c r="C1156" s="116"/>
      <c r="D1156" s="116"/>
      <c r="E1156" s="116"/>
      <c r="F1156" s="116" t="s">
        <v>3362</v>
      </c>
      <c r="G1156" s="162" t="str">
        <f t="shared" si="36"/>
        <v xml:space="preserve"> </v>
      </c>
      <c r="H1156" s="161" t="str">
        <f t="shared" si="37"/>
        <v>22h</v>
      </c>
    </row>
    <row r="1157" spans="1:8" x14ac:dyDescent="0.25">
      <c r="A1157" s="10"/>
      <c r="B1157" s="134"/>
      <c r="C1157" s="116"/>
      <c r="D1157" s="116"/>
      <c r="E1157" s="116"/>
      <c r="F1157" s="116" t="s">
        <v>3373</v>
      </c>
      <c r="G1157" s="162" t="str">
        <f t="shared" si="36"/>
        <v xml:space="preserve"> </v>
      </c>
      <c r="H1157" s="161" t="str">
        <f t="shared" si="37"/>
        <v>7h</v>
      </c>
    </row>
    <row r="1158" spans="1:8" x14ac:dyDescent="0.25">
      <c r="A1158" s="10"/>
      <c r="B1158" s="134"/>
      <c r="C1158" s="116"/>
      <c r="D1158" s="116"/>
      <c r="E1158" s="116"/>
      <c r="F1158" s="116" t="s">
        <v>3370</v>
      </c>
      <c r="G1158" s="162" t="str">
        <f t="shared" si="36"/>
        <v xml:space="preserve"> </v>
      </c>
      <c r="H1158" s="161" t="str">
        <f t="shared" si="37"/>
        <v>9h</v>
      </c>
    </row>
    <row r="1159" spans="1:8" x14ac:dyDescent="0.25">
      <c r="A1159" s="10"/>
      <c r="B1159" s="134"/>
      <c r="C1159" s="116"/>
      <c r="D1159" s="116"/>
      <c r="E1159" s="116"/>
      <c r="F1159" s="116" t="s">
        <v>3367</v>
      </c>
      <c r="G1159" s="162" t="str">
        <f t="shared" si="36"/>
        <v xml:space="preserve"> </v>
      </c>
      <c r="H1159" s="161" t="str">
        <f t="shared" si="37"/>
        <v>12h</v>
      </c>
    </row>
    <row r="1160" spans="1:8" x14ac:dyDescent="0.25">
      <c r="A1160" s="10"/>
      <c r="B1160" s="134"/>
      <c r="C1160" s="116"/>
      <c r="D1160" s="116"/>
      <c r="E1160" s="116"/>
      <c r="F1160" s="116" t="s">
        <v>3369</v>
      </c>
      <c r="G1160" s="162" t="str">
        <f t="shared" si="36"/>
        <v xml:space="preserve"> </v>
      </c>
      <c r="H1160" s="161" t="str">
        <f t="shared" si="37"/>
        <v>14h</v>
      </c>
    </row>
    <row r="1161" spans="1:8" x14ac:dyDescent="0.25">
      <c r="A1161" s="10"/>
      <c r="B1161" s="134"/>
      <c r="C1161" s="116"/>
      <c r="D1161" s="116"/>
      <c r="E1161" s="116"/>
      <c r="F1161" s="116" t="s">
        <v>3363</v>
      </c>
      <c r="G1161" s="162" t="str">
        <f t="shared" si="36"/>
        <v xml:space="preserve"> </v>
      </c>
      <c r="H1161" s="161" t="str">
        <f t="shared" si="37"/>
        <v>16h</v>
      </c>
    </row>
    <row r="1162" spans="1:8" x14ac:dyDescent="0.25">
      <c r="A1162" s="10"/>
      <c r="B1162" s="134"/>
      <c r="C1162" s="116"/>
      <c r="D1162" s="116"/>
      <c r="E1162" s="116"/>
      <c r="F1162" s="116" t="s">
        <v>3360</v>
      </c>
      <c r="G1162" s="162" t="str">
        <f t="shared" si="36"/>
        <v xml:space="preserve"> </v>
      </c>
      <c r="H1162" s="161" t="str">
        <f t="shared" si="37"/>
        <v>21h</v>
      </c>
    </row>
    <row r="1163" spans="1:8" x14ac:dyDescent="0.25">
      <c r="A1163" s="10"/>
      <c r="B1163" s="134"/>
      <c r="C1163" s="116"/>
      <c r="D1163" s="116"/>
      <c r="E1163" s="116"/>
      <c r="F1163" s="116"/>
      <c r="G1163" s="162" t="str">
        <f t="shared" si="36"/>
        <v xml:space="preserve"> </v>
      </c>
      <c r="H1163" s="161" t="e">
        <f t="shared" si="37"/>
        <v>#VALUE!</v>
      </c>
    </row>
    <row r="1164" spans="1:8" x14ac:dyDescent="0.25">
      <c r="A1164" s="10"/>
      <c r="B1164" s="134"/>
      <c r="C1164" s="116"/>
      <c r="D1164" s="116"/>
      <c r="E1164" s="116"/>
      <c r="F1164" s="116"/>
      <c r="G1164" s="162" t="str">
        <f t="shared" si="36"/>
        <v xml:space="preserve"> </v>
      </c>
      <c r="H1164" s="161" t="e">
        <f t="shared" si="37"/>
        <v>#VALUE!</v>
      </c>
    </row>
    <row r="1165" spans="1:8" x14ac:dyDescent="0.25">
      <c r="A1165" s="10"/>
      <c r="B1165" s="134"/>
      <c r="C1165" s="116"/>
      <c r="D1165" s="116"/>
      <c r="E1165" s="116"/>
      <c r="F1165" s="116"/>
      <c r="G1165" s="162" t="str">
        <f t="shared" si="36"/>
        <v xml:space="preserve"> </v>
      </c>
      <c r="H1165" s="161" t="e">
        <f t="shared" si="37"/>
        <v>#VALUE!</v>
      </c>
    </row>
    <row r="1166" spans="1:8" x14ac:dyDescent="0.25">
      <c r="A1166" s="10"/>
      <c r="B1166" s="134"/>
      <c r="C1166" s="116"/>
      <c r="D1166" s="116"/>
      <c r="E1166" s="116"/>
      <c r="F1166" s="116"/>
      <c r="G1166" s="162" t="str">
        <f t="shared" si="36"/>
        <v xml:space="preserve"> </v>
      </c>
      <c r="H1166" s="161" t="e">
        <f t="shared" si="37"/>
        <v>#VALUE!</v>
      </c>
    </row>
    <row r="1167" spans="1:8" x14ac:dyDescent="0.25">
      <c r="A1167" s="10"/>
      <c r="B1167" s="134"/>
      <c r="C1167" s="116"/>
      <c r="D1167" s="116"/>
      <c r="E1167" s="116"/>
      <c r="F1167" s="116"/>
      <c r="G1167" s="162" t="str">
        <f t="shared" si="36"/>
        <v xml:space="preserve"> </v>
      </c>
      <c r="H1167" s="161" t="e">
        <f t="shared" si="37"/>
        <v>#VALUE!</v>
      </c>
    </row>
    <row r="1168" spans="1:8" x14ac:dyDescent="0.25">
      <c r="A1168" s="10"/>
      <c r="B1168" s="134"/>
      <c r="C1168" s="116"/>
      <c r="D1168" s="116"/>
      <c r="E1168" s="116"/>
      <c r="F1168" s="116"/>
      <c r="G1168" s="162" t="str">
        <f t="shared" si="36"/>
        <v xml:space="preserve"> </v>
      </c>
      <c r="H1168" s="161" t="e">
        <f t="shared" si="37"/>
        <v>#VALUE!</v>
      </c>
    </row>
    <row r="1169" spans="1:8" x14ac:dyDescent="0.25">
      <c r="A1169" s="10"/>
      <c r="B1169" s="134"/>
      <c r="C1169" s="116"/>
      <c r="D1169" s="116"/>
      <c r="E1169" s="116"/>
      <c r="F1169" s="116"/>
      <c r="G1169" s="162" t="str">
        <f t="shared" si="36"/>
        <v xml:space="preserve"> </v>
      </c>
      <c r="H1169" s="161" t="e">
        <f t="shared" si="37"/>
        <v>#VALUE!</v>
      </c>
    </row>
    <row r="1170" spans="1:8" x14ac:dyDescent="0.25">
      <c r="A1170" s="10"/>
      <c r="B1170" s="134"/>
      <c r="C1170" s="116"/>
      <c r="D1170" s="116"/>
      <c r="E1170" s="116"/>
      <c r="F1170" s="116"/>
      <c r="G1170" s="162" t="str">
        <f t="shared" si="36"/>
        <v xml:space="preserve"> </v>
      </c>
      <c r="H1170" s="161" t="e">
        <f t="shared" si="37"/>
        <v>#VALUE!</v>
      </c>
    </row>
    <row r="1171" spans="1:8" x14ac:dyDescent="0.25">
      <c r="A1171" s="10"/>
      <c r="B1171" s="134"/>
      <c r="C1171" s="116"/>
      <c r="D1171" s="116"/>
      <c r="E1171" s="116"/>
      <c r="F1171" s="116"/>
      <c r="G1171" s="162" t="str">
        <f t="shared" si="36"/>
        <v xml:space="preserve"> </v>
      </c>
      <c r="H1171" s="161" t="e">
        <f t="shared" si="37"/>
        <v>#VALUE!</v>
      </c>
    </row>
    <row r="1172" spans="1:8" x14ac:dyDescent="0.25">
      <c r="A1172" s="10"/>
      <c r="B1172" s="134"/>
      <c r="C1172" s="116"/>
      <c r="D1172" s="116"/>
      <c r="E1172" s="116"/>
      <c r="F1172" s="116"/>
      <c r="G1172" s="162" t="str">
        <f t="shared" si="36"/>
        <v xml:space="preserve"> </v>
      </c>
      <c r="H1172" s="161" t="e">
        <f t="shared" si="37"/>
        <v>#VALUE!</v>
      </c>
    </row>
    <row r="1173" spans="1:8" x14ac:dyDescent="0.25">
      <c r="A1173" s="10"/>
      <c r="B1173" s="134"/>
      <c r="C1173" s="116"/>
      <c r="D1173" s="116"/>
      <c r="E1173" s="116"/>
      <c r="F1173" s="116"/>
      <c r="G1173" s="162" t="str">
        <f t="shared" si="36"/>
        <v xml:space="preserve"> </v>
      </c>
      <c r="H1173" s="161" t="e">
        <f t="shared" si="37"/>
        <v>#VALUE!</v>
      </c>
    </row>
    <row r="1174" spans="1:8" x14ac:dyDescent="0.25">
      <c r="A1174" s="10"/>
      <c r="B1174" s="134"/>
      <c r="C1174" s="116"/>
      <c r="D1174" s="116"/>
      <c r="E1174" s="116"/>
      <c r="F1174" s="116"/>
      <c r="G1174" s="162" t="str">
        <f t="shared" si="36"/>
        <v xml:space="preserve"> </v>
      </c>
      <c r="H1174" s="161" t="e">
        <f t="shared" si="37"/>
        <v>#VALUE!</v>
      </c>
    </row>
    <row r="1175" spans="1:8" x14ac:dyDescent="0.25">
      <c r="A1175" s="10"/>
      <c r="B1175" s="134"/>
      <c r="C1175" s="116"/>
      <c r="D1175" s="116"/>
      <c r="E1175" s="116"/>
      <c r="F1175" s="116"/>
      <c r="G1175" s="162" t="str">
        <f t="shared" si="36"/>
        <v xml:space="preserve"> </v>
      </c>
      <c r="H1175" s="161" t="e">
        <f t="shared" si="37"/>
        <v>#VALUE!</v>
      </c>
    </row>
    <row r="1176" spans="1:8" x14ac:dyDescent="0.25">
      <c r="A1176" s="10"/>
      <c r="B1176" s="134"/>
      <c r="C1176" s="116"/>
      <c r="D1176" s="116"/>
      <c r="E1176" s="116"/>
      <c r="F1176" s="116"/>
      <c r="G1176" s="162" t="str">
        <f t="shared" si="36"/>
        <v xml:space="preserve"> </v>
      </c>
      <c r="H1176" s="161" t="e">
        <f t="shared" si="37"/>
        <v>#VALUE!</v>
      </c>
    </row>
    <row r="1177" spans="1:8" x14ac:dyDescent="0.25">
      <c r="A1177" s="10"/>
      <c r="B1177" s="134"/>
      <c r="C1177" s="116"/>
      <c r="D1177" s="116"/>
      <c r="E1177" s="116"/>
      <c r="F1177" s="116"/>
      <c r="G1177" s="162" t="str">
        <f t="shared" si="36"/>
        <v xml:space="preserve"> </v>
      </c>
      <c r="H1177" s="161" t="e">
        <f t="shared" si="37"/>
        <v>#VALUE!</v>
      </c>
    </row>
    <row r="1178" spans="1:8" x14ac:dyDescent="0.25">
      <c r="A1178" s="10"/>
      <c r="B1178" s="134"/>
      <c r="C1178" s="116"/>
      <c r="D1178" s="116"/>
      <c r="E1178" s="116"/>
      <c r="F1178" s="116"/>
      <c r="G1178" s="162" t="str">
        <f t="shared" si="36"/>
        <v xml:space="preserve"> </v>
      </c>
      <c r="H1178" s="161" t="e">
        <f t="shared" si="37"/>
        <v>#VALUE!</v>
      </c>
    </row>
    <row r="1179" spans="1:8" x14ac:dyDescent="0.25">
      <c r="A1179" s="10"/>
      <c r="B1179" s="134"/>
      <c r="C1179" s="116"/>
      <c r="D1179" s="116"/>
      <c r="E1179" s="116"/>
      <c r="F1179" s="116"/>
      <c r="G1179" s="162" t="str">
        <f t="shared" si="36"/>
        <v xml:space="preserve"> </v>
      </c>
      <c r="H1179" s="161" t="e">
        <f t="shared" si="37"/>
        <v>#VALUE!</v>
      </c>
    </row>
    <row r="1180" spans="1:8" x14ac:dyDescent="0.25">
      <c r="A1180" s="10"/>
      <c r="B1180" s="134"/>
      <c r="C1180" s="116"/>
      <c r="D1180" s="116"/>
      <c r="E1180" s="116"/>
      <c r="F1180" s="116"/>
      <c r="G1180" s="162" t="str">
        <f t="shared" si="36"/>
        <v xml:space="preserve"> </v>
      </c>
      <c r="H1180" s="161" t="e">
        <f t="shared" si="37"/>
        <v>#VALUE!</v>
      </c>
    </row>
    <row r="1181" spans="1:8" x14ac:dyDescent="0.25">
      <c r="A1181" s="10"/>
      <c r="B1181" s="134"/>
      <c r="C1181" s="116"/>
      <c r="D1181" s="116"/>
      <c r="E1181" s="116"/>
      <c r="F1181" s="116"/>
      <c r="G1181" s="162" t="str">
        <f t="shared" si="36"/>
        <v xml:space="preserve"> </v>
      </c>
      <c r="H1181" s="161" t="e">
        <f t="shared" si="37"/>
        <v>#VALUE!</v>
      </c>
    </row>
    <row r="1182" spans="1:8" x14ac:dyDescent="0.25">
      <c r="A1182" s="10"/>
      <c r="B1182" s="134"/>
      <c r="C1182" s="116"/>
      <c r="D1182" s="116"/>
      <c r="E1182" s="116"/>
      <c r="F1182" s="116"/>
      <c r="G1182" s="162" t="str">
        <f t="shared" si="36"/>
        <v xml:space="preserve"> </v>
      </c>
      <c r="H1182" s="161" t="e">
        <f t="shared" si="37"/>
        <v>#VALUE!</v>
      </c>
    </row>
    <row r="1183" spans="1:8" x14ac:dyDescent="0.25">
      <c r="A1183" s="10"/>
      <c r="B1183" s="134"/>
      <c r="C1183" s="116"/>
      <c r="D1183" s="116"/>
      <c r="E1183" s="116"/>
      <c r="F1183" s="116"/>
      <c r="G1183" s="162" t="str">
        <f t="shared" si="36"/>
        <v xml:space="preserve"> </v>
      </c>
      <c r="H1183" s="161" t="e">
        <f t="shared" si="37"/>
        <v>#VALUE!</v>
      </c>
    </row>
    <row r="1184" spans="1:8" x14ac:dyDescent="0.25">
      <c r="A1184" s="10"/>
      <c r="B1184" s="134"/>
      <c r="C1184" s="116"/>
      <c r="D1184" s="116"/>
      <c r="E1184" s="116"/>
      <c r="F1184" s="116"/>
      <c r="G1184" s="162" t="str">
        <f t="shared" si="36"/>
        <v xml:space="preserve"> </v>
      </c>
      <c r="H1184" s="161" t="e">
        <f t="shared" si="37"/>
        <v>#VALUE!</v>
      </c>
    </row>
    <row r="1185" spans="1:8" x14ac:dyDescent="0.25">
      <c r="A1185" s="10"/>
      <c r="B1185" s="134"/>
      <c r="C1185" s="116"/>
      <c r="D1185" s="116"/>
      <c r="E1185" s="116"/>
      <c r="F1185" s="116"/>
      <c r="G1185" s="162" t="str">
        <f t="shared" si="36"/>
        <v xml:space="preserve"> </v>
      </c>
      <c r="H1185" s="161" t="e">
        <f t="shared" si="37"/>
        <v>#VALUE!</v>
      </c>
    </row>
    <row r="1186" spans="1:8" x14ac:dyDescent="0.25">
      <c r="A1186" s="10"/>
      <c r="B1186" s="134"/>
      <c r="C1186" s="116"/>
      <c r="D1186" s="116"/>
      <c r="E1186" s="116"/>
      <c r="F1186" s="116"/>
      <c r="G1186" s="162" t="str">
        <f t="shared" si="36"/>
        <v xml:space="preserve"> </v>
      </c>
      <c r="H1186" s="161" t="e">
        <f t="shared" si="37"/>
        <v>#VALUE!</v>
      </c>
    </row>
    <row r="1187" spans="1:8" x14ac:dyDescent="0.25">
      <c r="A1187" s="10"/>
      <c r="B1187" s="134"/>
      <c r="C1187" s="116"/>
      <c r="D1187" s="116"/>
      <c r="E1187" s="116"/>
      <c r="F1187" s="116"/>
      <c r="G1187" s="162" t="str">
        <f t="shared" si="36"/>
        <v xml:space="preserve"> </v>
      </c>
      <c r="H1187" s="161" t="e">
        <f t="shared" si="37"/>
        <v>#VALUE!</v>
      </c>
    </row>
    <row r="1188" spans="1:8" x14ac:dyDescent="0.25">
      <c r="A1188" s="10"/>
      <c r="B1188" s="134"/>
      <c r="C1188" s="116"/>
      <c r="D1188" s="116"/>
      <c r="E1188" s="116"/>
      <c r="F1188" s="116"/>
      <c r="G1188" s="162" t="str">
        <f t="shared" si="36"/>
        <v xml:space="preserve"> </v>
      </c>
      <c r="H1188" s="161" t="e">
        <f t="shared" si="37"/>
        <v>#VALUE!</v>
      </c>
    </row>
    <row r="1189" spans="1:8" x14ac:dyDescent="0.25">
      <c r="A1189" s="10"/>
      <c r="B1189" s="134"/>
      <c r="C1189" s="116"/>
      <c r="D1189" s="116"/>
      <c r="E1189" s="116"/>
      <c r="F1189" s="116"/>
      <c r="G1189" s="162" t="str">
        <f t="shared" si="36"/>
        <v xml:space="preserve"> </v>
      </c>
      <c r="H1189" s="161" t="e">
        <f t="shared" si="37"/>
        <v>#VALUE!</v>
      </c>
    </row>
    <row r="1190" spans="1:8" x14ac:dyDescent="0.25">
      <c r="A1190" s="10"/>
      <c r="B1190" s="134"/>
      <c r="C1190" s="116"/>
      <c r="D1190" s="116"/>
      <c r="E1190" s="116"/>
      <c r="F1190" s="116"/>
      <c r="G1190" s="162" t="str">
        <f t="shared" si="36"/>
        <v xml:space="preserve"> </v>
      </c>
      <c r="H1190" s="161" t="e">
        <f t="shared" si="37"/>
        <v>#VALUE!</v>
      </c>
    </row>
    <row r="1191" spans="1:8" x14ac:dyDescent="0.25">
      <c r="A1191" s="10"/>
      <c r="B1191" s="134"/>
      <c r="C1191" s="116"/>
      <c r="D1191" s="116"/>
      <c r="E1191" s="116"/>
      <c r="F1191" s="116"/>
      <c r="G1191" s="162" t="str">
        <f t="shared" si="36"/>
        <v xml:space="preserve"> </v>
      </c>
      <c r="H1191" s="161" t="e">
        <f t="shared" si="37"/>
        <v>#VALUE!</v>
      </c>
    </row>
    <row r="1192" spans="1:8" x14ac:dyDescent="0.25">
      <c r="A1192" s="10"/>
      <c r="B1192" s="134"/>
      <c r="C1192" s="116"/>
      <c r="D1192" s="116"/>
      <c r="E1192" s="116"/>
      <c r="F1192" s="116"/>
      <c r="G1192" s="162" t="str">
        <f t="shared" si="36"/>
        <v xml:space="preserve"> </v>
      </c>
      <c r="H1192" s="161" t="e">
        <f t="shared" si="37"/>
        <v>#VALUE!</v>
      </c>
    </row>
    <row r="1193" spans="1:8" x14ac:dyDescent="0.25">
      <c r="A1193" s="10"/>
      <c r="B1193" s="134"/>
      <c r="C1193" s="116"/>
      <c r="D1193" s="116"/>
      <c r="E1193" s="116"/>
      <c r="F1193" s="116"/>
      <c r="G1193" s="162" t="str">
        <f t="shared" si="36"/>
        <v xml:space="preserve"> </v>
      </c>
      <c r="H1193" s="161" t="e">
        <f t="shared" si="37"/>
        <v>#VALUE!</v>
      </c>
    </row>
    <row r="1194" spans="1:8" x14ac:dyDescent="0.25">
      <c r="A1194" s="10"/>
      <c r="B1194" s="134"/>
      <c r="C1194" s="116"/>
      <c r="D1194" s="116"/>
      <c r="E1194" s="116"/>
      <c r="F1194" s="116"/>
      <c r="G1194" s="162" t="str">
        <f t="shared" si="36"/>
        <v xml:space="preserve"> </v>
      </c>
      <c r="H1194" s="161" t="e">
        <f t="shared" si="37"/>
        <v>#VALUE!</v>
      </c>
    </row>
    <row r="1195" spans="1:8" x14ac:dyDescent="0.25">
      <c r="A1195" s="10"/>
      <c r="B1195" s="134"/>
      <c r="C1195" s="116"/>
      <c r="D1195" s="116"/>
      <c r="E1195" s="116"/>
      <c r="F1195" s="116"/>
      <c r="G1195" s="162" t="str">
        <f t="shared" si="36"/>
        <v xml:space="preserve"> </v>
      </c>
      <c r="H1195" s="161" t="e">
        <f t="shared" si="37"/>
        <v>#VALUE!</v>
      </c>
    </row>
    <row r="1196" spans="1:8" x14ac:dyDescent="0.25">
      <c r="A1196" s="10"/>
      <c r="B1196" s="134"/>
      <c r="C1196" s="116"/>
      <c r="D1196" s="116"/>
      <c r="E1196" s="116"/>
      <c r="F1196" s="116"/>
      <c r="G1196" s="162" t="str">
        <f t="shared" si="36"/>
        <v xml:space="preserve"> </v>
      </c>
      <c r="H1196" s="161" t="e">
        <f t="shared" si="37"/>
        <v>#VALUE!</v>
      </c>
    </row>
    <row r="1197" spans="1:8" x14ac:dyDescent="0.25">
      <c r="A1197" s="10"/>
      <c r="B1197" s="134"/>
      <c r="C1197" s="116"/>
      <c r="D1197" s="116"/>
      <c r="E1197" s="116"/>
      <c r="F1197" s="116"/>
      <c r="G1197" s="162" t="str">
        <f t="shared" si="36"/>
        <v xml:space="preserve"> </v>
      </c>
      <c r="H1197" s="161" t="e">
        <f t="shared" si="37"/>
        <v>#VALUE!</v>
      </c>
    </row>
    <row r="1198" spans="1:8" x14ac:dyDescent="0.25">
      <c r="A1198" s="10"/>
      <c r="B1198" s="134"/>
      <c r="C1198" s="116"/>
      <c r="D1198" s="116"/>
      <c r="E1198" s="116"/>
      <c r="F1198" s="116"/>
      <c r="G1198" s="162" t="str">
        <f t="shared" si="36"/>
        <v xml:space="preserve"> </v>
      </c>
      <c r="H1198" s="161" t="e">
        <f t="shared" si="37"/>
        <v>#VALUE!</v>
      </c>
    </row>
    <row r="1199" spans="1:8" x14ac:dyDescent="0.25">
      <c r="A1199" s="10"/>
      <c r="B1199" s="134"/>
      <c r="C1199" s="116"/>
      <c r="D1199" s="116"/>
      <c r="E1199" s="116"/>
      <c r="F1199" s="116"/>
      <c r="G1199" s="162" t="str">
        <f t="shared" si="36"/>
        <v xml:space="preserve"> </v>
      </c>
      <c r="H1199" s="161" t="e">
        <f t="shared" si="37"/>
        <v>#VALUE!</v>
      </c>
    </row>
    <row r="1200" spans="1:8" x14ac:dyDescent="0.25">
      <c r="A1200" s="10"/>
      <c r="B1200" s="134"/>
      <c r="C1200" s="116"/>
      <c r="D1200" s="116"/>
      <c r="E1200" s="116"/>
      <c r="F1200" s="116"/>
      <c r="G1200" s="162" t="str">
        <f t="shared" si="36"/>
        <v xml:space="preserve"> </v>
      </c>
      <c r="H1200" s="161" t="e">
        <f t="shared" si="37"/>
        <v>#VALUE!</v>
      </c>
    </row>
    <row r="1201" spans="1:8" x14ac:dyDescent="0.25">
      <c r="A1201" s="10"/>
      <c r="B1201" s="134"/>
      <c r="C1201" s="116"/>
      <c r="D1201" s="116"/>
      <c r="E1201" s="116"/>
      <c r="F1201" s="116"/>
      <c r="G1201" s="162" t="str">
        <f t="shared" si="36"/>
        <v xml:space="preserve"> </v>
      </c>
      <c r="H1201" s="161" t="e">
        <f t="shared" si="37"/>
        <v>#VALUE!</v>
      </c>
    </row>
    <row r="1202" spans="1:8" x14ac:dyDescent="0.25">
      <c r="A1202" s="10"/>
      <c r="B1202" s="134"/>
      <c r="C1202" s="116"/>
      <c r="D1202" s="116"/>
      <c r="E1202" s="116"/>
      <c r="F1202" s="116"/>
      <c r="G1202" s="162" t="str">
        <f t="shared" si="36"/>
        <v xml:space="preserve"> </v>
      </c>
      <c r="H1202" s="161" t="e">
        <f t="shared" si="37"/>
        <v>#VALUE!</v>
      </c>
    </row>
    <row r="1203" spans="1:8" x14ac:dyDescent="0.25">
      <c r="A1203" s="10"/>
      <c r="B1203" s="134"/>
      <c r="C1203" s="116"/>
      <c r="D1203" s="116"/>
      <c r="E1203" s="116"/>
      <c r="F1203" s="116"/>
      <c r="G1203" s="162" t="str">
        <f t="shared" si="36"/>
        <v xml:space="preserve"> </v>
      </c>
      <c r="H1203" s="161" t="e">
        <f t="shared" si="37"/>
        <v>#VALUE!</v>
      </c>
    </row>
    <row r="1204" spans="1:8" x14ac:dyDescent="0.25">
      <c r="A1204" s="10"/>
      <c r="B1204" s="134"/>
      <c r="C1204" s="116"/>
      <c r="D1204" s="116"/>
      <c r="E1204" s="116"/>
      <c r="F1204" s="116"/>
      <c r="G1204" s="162" t="str">
        <f t="shared" si="36"/>
        <v xml:space="preserve"> </v>
      </c>
      <c r="H1204" s="161" t="e">
        <f t="shared" si="37"/>
        <v>#VALUE!</v>
      </c>
    </row>
    <row r="1205" spans="1:8" x14ac:dyDescent="0.25">
      <c r="A1205" s="10"/>
      <c r="B1205" s="134"/>
      <c r="C1205" s="116"/>
      <c r="D1205" s="116"/>
      <c r="E1205" s="116"/>
      <c r="F1205" s="116"/>
      <c r="G1205" s="162" t="str">
        <f t="shared" si="36"/>
        <v xml:space="preserve"> </v>
      </c>
      <c r="H1205" s="161" t="e">
        <f t="shared" si="37"/>
        <v>#VALUE!</v>
      </c>
    </row>
    <row r="1206" spans="1:8" x14ac:dyDescent="0.25">
      <c r="A1206" s="10"/>
      <c r="B1206" s="134"/>
      <c r="C1206" s="116"/>
      <c r="D1206" s="116"/>
      <c r="E1206" s="116"/>
      <c r="F1206" s="116"/>
      <c r="G1206" s="162" t="str">
        <f t="shared" si="36"/>
        <v xml:space="preserve"> </v>
      </c>
      <c r="H1206" s="161" t="e">
        <f t="shared" si="37"/>
        <v>#VALUE!</v>
      </c>
    </row>
    <row r="1207" spans="1:8" x14ac:dyDescent="0.25">
      <c r="A1207" s="10"/>
      <c r="B1207" s="134"/>
      <c r="C1207" s="116"/>
      <c r="D1207" s="116"/>
      <c r="E1207" s="116"/>
      <c r="F1207" s="116"/>
      <c r="G1207" s="162" t="str">
        <f t="shared" si="36"/>
        <v xml:space="preserve"> </v>
      </c>
      <c r="H1207" s="161" t="e">
        <f t="shared" si="37"/>
        <v>#VALUE!</v>
      </c>
    </row>
    <row r="1208" spans="1:8" x14ac:dyDescent="0.25">
      <c r="A1208" s="10"/>
      <c r="B1208" s="134"/>
      <c r="C1208" s="116"/>
      <c r="D1208" s="116"/>
      <c r="E1208" s="116"/>
      <c r="F1208" s="116"/>
      <c r="G1208" s="162" t="str">
        <f t="shared" si="36"/>
        <v xml:space="preserve"> </v>
      </c>
      <c r="H1208" s="161" t="e">
        <f t="shared" si="37"/>
        <v>#VALUE!</v>
      </c>
    </row>
    <row r="1209" spans="1:8" x14ac:dyDescent="0.25">
      <c r="A1209" s="10"/>
      <c r="B1209" s="134"/>
      <c r="C1209" s="116"/>
      <c r="D1209" s="116"/>
      <c r="E1209" s="116"/>
      <c r="F1209" s="116"/>
      <c r="G1209" s="162" t="str">
        <f t="shared" si="36"/>
        <v xml:space="preserve"> </v>
      </c>
      <c r="H1209" s="161" t="e">
        <f t="shared" si="37"/>
        <v>#VALUE!</v>
      </c>
    </row>
    <row r="1210" spans="1:8" x14ac:dyDescent="0.25">
      <c r="A1210" s="10"/>
      <c r="B1210" s="134"/>
      <c r="C1210" s="116"/>
      <c r="D1210" s="116"/>
      <c r="E1210" s="116"/>
      <c r="F1210" s="116"/>
      <c r="G1210" s="162" t="str">
        <f t="shared" si="36"/>
        <v xml:space="preserve"> </v>
      </c>
      <c r="H1210" s="161" t="e">
        <f t="shared" si="37"/>
        <v>#VALUE!</v>
      </c>
    </row>
    <row r="1211" spans="1:8" x14ac:dyDescent="0.25">
      <c r="A1211" s="10"/>
      <c r="B1211" s="134"/>
      <c r="C1211" s="116"/>
      <c r="D1211" s="116"/>
      <c r="E1211" s="116"/>
      <c r="F1211" s="116"/>
      <c r="G1211" s="162" t="str">
        <f t="shared" si="36"/>
        <v xml:space="preserve"> </v>
      </c>
      <c r="H1211" s="161" t="e">
        <f t="shared" si="37"/>
        <v>#VALUE!</v>
      </c>
    </row>
    <row r="1212" spans="1:8" x14ac:dyDescent="0.25">
      <c r="A1212" s="10"/>
      <c r="B1212" s="134"/>
      <c r="C1212" s="116"/>
      <c r="D1212" s="116"/>
      <c r="E1212" s="116"/>
      <c r="F1212" s="116"/>
      <c r="G1212" s="162" t="str">
        <f t="shared" si="36"/>
        <v xml:space="preserve"> </v>
      </c>
      <c r="H1212" s="161" t="e">
        <f t="shared" si="37"/>
        <v>#VALUE!</v>
      </c>
    </row>
    <row r="1213" spans="1:8" x14ac:dyDescent="0.25">
      <c r="A1213" s="10"/>
      <c r="B1213" s="134"/>
      <c r="C1213" s="116"/>
      <c r="D1213" s="116"/>
      <c r="E1213" s="116"/>
      <c r="F1213" s="116"/>
      <c r="G1213" s="162" t="str">
        <f t="shared" si="36"/>
        <v xml:space="preserve"> </v>
      </c>
      <c r="H1213" s="161" t="e">
        <f t="shared" si="37"/>
        <v>#VALUE!</v>
      </c>
    </row>
    <row r="1214" spans="1:8" x14ac:dyDescent="0.25">
      <c r="A1214" s="10"/>
      <c r="B1214" s="134"/>
      <c r="C1214" s="116"/>
      <c r="D1214" s="116"/>
      <c r="E1214" s="116"/>
      <c r="F1214" s="116"/>
      <c r="G1214" s="162" t="str">
        <f t="shared" si="36"/>
        <v xml:space="preserve"> </v>
      </c>
      <c r="H1214" s="161" t="e">
        <f t="shared" si="37"/>
        <v>#VALUE!</v>
      </c>
    </row>
    <row r="1215" spans="1:8" x14ac:dyDescent="0.25">
      <c r="A1215" s="10"/>
      <c r="B1215" s="134"/>
      <c r="C1215" s="116"/>
      <c r="D1215" s="116"/>
      <c r="E1215" s="116"/>
      <c r="F1215" s="116"/>
      <c r="G1215" s="162" t="str">
        <f t="shared" si="36"/>
        <v xml:space="preserve"> </v>
      </c>
      <c r="H1215" s="161" t="e">
        <f t="shared" si="37"/>
        <v>#VALUE!</v>
      </c>
    </row>
    <row r="1216" spans="1:8" x14ac:dyDescent="0.25">
      <c r="A1216" s="10"/>
      <c r="B1216" s="134"/>
      <c r="C1216" s="116"/>
      <c r="D1216" s="116"/>
      <c r="E1216" s="116"/>
      <c r="F1216" s="116"/>
      <c r="G1216" s="162" t="str">
        <f t="shared" si="36"/>
        <v xml:space="preserve"> </v>
      </c>
      <c r="H1216" s="161" t="e">
        <f t="shared" si="37"/>
        <v>#VALUE!</v>
      </c>
    </row>
    <row r="1217" spans="1:8" x14ac:dyDescent="0.25">
      <c r="A1217" s="10"/>
      <c r="B1217" s="134"/>
      <c r="C1217" s="116"/>
      <c r="D1217" s="116"/>
      <c r="E1217" s="116"/>
      <c r="F1217" s="116"/>
      <c r="G1217" s="162" t="str">
        <f t="shared" si="36"/>
        <v xml:space="preserve"> </v>
      </c>
      <c r="H1217" s="161" t="e">
        <f t="shared" si="37"/>
        <v>#VALUE!</v>
      </c>
    </row>
    <row r="1218" spans="1:8" x14ac:dyDescent="0.25">
      <c r="A1218" s="10"/>
      <c r="B1218" s="134"/>
      <c r="C1218" s="116"/>
      <c r="D1218" s="116"/>
      <c r="E1218" s="116"/>
      <c r="F1218" s="116"/>
      <c r="G1218" s="162" t="str">
        <f t="shared" si="36"/>
        <v xml:space="preserve"> </v>
      </c>
      <c r="H1218" s="161" t="e">
        <f t="shared" si="37"/>
        <v>#VALUE!</v>
      </c>
    </row>
    <row r="1219" spans="1:8" x14ac:dyDescent="0.25">
      <c r="A1219" s="10"/>
      <c r="B1219" s="134"/>
      <c r="C1219" s="116"/>
      <c r="D1219" s="116"/>
      <c r="E1219" s="116"/>
      <c r="F1219" s="116"/>
      <c r="G1219" s="162" t="str">
        <f t="shared" ref="G1219:G1282" si="38">IF(LEFT(A1219,3)="S7P","Pintura",IF(LEFT(A1219,3)="S7M","Montagem",
IF(LEFT(A1219,3)="S7S","Serigrafia"," ")))</f>
        <v xml:space="preserve"> </v>
      </c>
      <c r="H1219" s="161" t="e">
        <f t="shared" ref="H1219:H1282" si="39">VALUE(LEFT(F1219,2))&amp;"h"</f>
        <v>#VALUE!</v>
      </c>
    </row>
    <row r="1220" spans="1:8" x14ac:dyDescent="0.25">
      <c r="A1220" s="10"/>
      <c r="B1220" s="134"/>
      <c r="C1220" s="116"/>
      <c r="D1220" s="116"/>
      <c r="E1220" s="116"/>
      <c r="F1220" s="116"/>
      <c r="G1220" s="162" t="str">
        <f t="shared" si="38"/>
        <v xml:space="preserve"> </v>
      </c>
      <c r="H1220" s="161" t="e">
        <f t="shared" si="39"/>
        <v>#VALUE!</v>
      </c>
    </row>
    <row r="1221" spans="1:8" x14ac:dyDescent="0.25">
      <c r="A1221" s="10"/>
      <c r="B1221" s="134"/>
      <c r="C1221" s="116"/>
      <c r="D1221" s="116"/>
      <c r="E1221" s="116"/>
      <c r="F1221" s="116"/>
      <c r="G1221" s="162" t="str">
        <f t="shared" si="38"/>
        <v xml:space="preserve"> </v>
      </c>
      <c r="H1221" s="161" t="e">
        <f t="shared" si="39"/>
        <v>#VALUE!</v>
      </c>
    </row>
    <row r="1222" spans="1:8" x14ac:dyDescent="0.25">
      <c r="A1222" s="10"/>
      <c r="B1222" s="134"/>
      <c r="C1222" s="116"/>
      <c r="D1222" s="116"/>
      <c r="E1222" s="116"/>
      <c r="F1222" s="116"/>
      <c r="G1222" s="162" t="str">
        <f t="shared" si="38"/>
        <v xml:space="preserve"> </v>
      </c>
      <c r="H1222" s="161" t="e">
        <f t="shared" si="39"/>
        <v>#VALUE!</v>
      </c>
    </row>
    <row r="1223" spans="1:8" x14ac:dyDescent="0.25">
      <c r="A1223" s="10"/>
      <c r="B1223" s="134"/>
      <c r="C1223" s="116"/>
      <c r="D1223" s="116"/>
      <c r="E1223" s="116"/>
      <c r="F1223" s="116"/>
      <c r="G1223" s="162" t="str">
        <f t="shared" si="38"/>
        <v xml:space="preserve"> </v>
      </c>
      <c r="H1223" s="161" t="e">
        <f t="shared" si="39"/>
        <v>#VALUE!</v>
      </c>
    </row>
    <row r="1224" spans="1:8" x14ac:dyDescent="0.25">
      <c r="A1224" s="10"/>
      <c r="B1224" s="134"/>
      <c r="C1224" s="116"/>
      <c r="D1224" s="116"/>
      <c r="E1224" s="116"/>
      <c r="F1224" s="116"/>
      <c r="G1224" s="162" t="str">
        <f t="shared" si="38"/>
        <v xml:space="preserve"> </v>
      </c>
      <c r="H1224" s="161" t="e">
        <f t="shared" si="39"/>
        <v>#VALUE!</v>
      </c>
    </row>
    <row r="1225" spans="1:8" x14ac:dyDescent="0.25">
      <c r="A1225" s="10"/>
      <c r="B1225" s="134"/>
      <c r="C1225" s="116"/>
      <c r="D1225" s="116"/>
      <c r="E1225" s="116"/>
      <c r="F1225" s="116"/>
      <c r="G1225" s="162" t="str">
        <f t="shared" si="38"/>
        <v xml:space="preserve"> </v>
      </c>
      <c r="H1225" s="161" t="e">
        <f t="shared" si="39"/>
        <v>#VALUE!</v>
      </c>
    </row>
    <row r="1226" spans="1:8" x14ac:dyDescent="0.25">
      <c r="A1226" s="10"/>
      <c r="B1226" s="134"/>
      <c r="C1226" s="116"/>
      <c r="D1226" s="116"/>
      <c r="E1226" s="116"/>
      <c r="F1226" s="116"/>
      <c r="G1226" s="162" t="str">
        <f t="shared" si="38"/>
        <v xml:space="preserve"> </v>
      </c>
      <c r="H1226" s="161" t="e">
        <f t="shared" si="39"/>
        <v>#VALUE!</v>
      </c>
    </row>
    <row r="1227" spans="1:8" x14ac:dyDescent="0.25">
      <c r="A1227" s="10"/>
      <c r="B1227" s="134"/>
      <c r="C1227" s="116"/>
      <c r="D1227" s="116"/>
      <c r="E1227" s="116"/>
      <c r="F1227" s="116"/>
      <c r="G1227" s="162" t="str">
        <f t="shared" si="38"/>
        <v xml:space="preserve"> </v>
      </c>
      <c r="H1227" s="161" t="e">
        <f t="shared" si="39"/>
        <v>#VALUE!</v>
      </c>
    </row>
    <row r="1228" spans="1:8" x14ac:dyDescent="0.25">
      <c r="A1228" s="10"/>
      <c r="B1228" s="134"/>
      <c r="C1228" s="116"/>
      <c r="D1228" s="116"/>
      <c r="E1228" s="116"/>
      <c r="F1228" s="116"/>
      <c r="G1228" s="162" t="str">
        <f t="shared" si="38"/>
        <v xml:space="preserve"> </v>
      </c>
      <c r="H1228" s="161" t="e">
        <f t="shared" si="39"/>
        <v>#VALUE!</v>
      </c>
    </row>
    <row r="1229" spans="1:8" x14ac:dyDescent="0.25">
      <c r="A1229" s="10"/>
      <c r="B1229" s="134"/>
      <c r="C1229" s="116"/>
      <c r="D1229" s="116"/>
      <c r="E1229" s="116"/>
      <c r="F1229" s="116"/>
      <c r="G1229" s="162" t="str">
        <f t="shared" si="38"/>
        <v xml:space="preserve"> </v>
      </c>
      <c r="H1229" s="161" t="e">
        <f t="shared" si="39"/>
        <v>#VALUE!</v>
      </c>
    </row>
    <row r="1230" spans="1:8" x14ac:dyDescent="0.25">
      <c r="A1230" s="10"/>
      <c r="B1230" s="134"/>
      <c r="C1230" s="116"/>
      <c r="D1230" s="116"/>
      <c r="E1230" s="116"/>
      <c r="F1230" s="116"/>
      <c r="G1230" s="162" t="str">
        <f t="shared" si="38"/>
        <v xml:space="preserve"> </v>
      </c>
      <c r="H1230" s="161" t="e">
        <f t="shared" si="39"/>
        <v>#VALUE!</v>
      </c>
    </row>
    <row r="1231" spans="1:8" x14ac:dyDescent="0.25">
      <c r="A1231" s="10"/>
      <c r="B1231" s="134"/>
      <c r="C1231" s="116"/>
      <c r="D1231" s="116"/>
      <c r="E1231" s="116"/>
      <c r="F1231" s="116"/>
      <c r="G1231" s="162" t="str">
        <f t="shared" si="38"/>
        <v xml:space="preserve"> </v>
      </c>
      <c r="H1231" s="161" t="e">
        <f t="shared" si="39"/>
        <v>#VALUE!</v>
      </c>
    </row>
    <row r="1232" spans="1:8" x14ac:dyDescent="0.25">
      <c r="A1232" s="10"/>
      <c r="B1232" s="134"/>
      <c r="C1232" s="116"/>
      <c r="D1232" s="116"/>
      <c r="E1232" s="116"/>
      <c r="F1232" s="116"/>
      <c r="G1232" s="162" t="str">
        <f t="shared" si="38"/>
        <v xml:space="preserve"> </v>
      </c>
      <c r="H1232" s="161" t="e">
        <f t="shared" si="39"/>
        <v>#VALUE!</v>
      </c>
    </row>
    <row r="1233" spans="1:8" x14ac:dyDescent="0.25">
      <c r="A1233" s="10"/>
      <c r="B1233" s="134"/>
      <c r="C1233" s="116"/>
      <c r="D1233" s="116"/>
      <c r="E1233" s="116"/>
      <c r="F1233" s="116"/>
      <c r="G1233" s="162" t="str">
        <f t="shared" si="38"/>
        <v xml:space="preserve"> </v>
      </c>
      <c r="H1233" s="161" t="e">
        <f t="shared" si="39"/>
        <v>#VALUE!</v>
      </c>
    </row>
    <row r="1234" spans="1:8" x14ac:dyDescent="0.25">
      <c r="A1234" s="10"/>
      <c r="B1234" s="134"/>
      <c r="C1234" s="116"/>
      <c r="D1234" s="116"/>
      <c r="E1234" s="116"/>
      <c r="F1234" s="116"/>
      <c r="G1234" s="162" t="str">
        <f t="shared" si="38"/>
        <v xml:space="preserve"> </v>
      </c>
      <c r="H1234" s="161" t="e">
        <f t="shared" si="39"/>
        <v>#VALUE!</v>
      </c>
    </row>
    <row r="1235" spans="1:8" x14ac:dyDescent="0.25">
      <c r="A1235" s="10"/>
      <c r="B1235" s="134"/>
      <c r="C1235" s="116"/>
      <c r="D1235" s="116"/>
      <c r="E1235" s="116"/>
      <c r="F1235" s="116"/>
      <c r="G1235" s="162" t="str">
        <f t="shared" si="38"/>
        <v xml:space="preserve"> </v>
      </c>
      <c r="H1235" s="161" t="e">
        <f t="shared" si="39"/>
        <v>#VALUE!</v>
      </c>
    </row>
    <row r="1236" spans="1:8" x14ac:dyDescent="0.25">
      <c r="A1236" s="10"/>
      <c r="B1236" s="134"/>
      <c r="C1236" s="116"/>
      <c r="D1236" s="116"/>
      <c r="E1236" s="116"/>
      <c r="F1236" s="116"/>
      <c r="G1236" s="162" t="str">
        <f t="shared" si="38"/>
        <v xml:space="preserve"> </v>
      </c>
      <c r="H1236" s="161" t="e">
        <f t="shared" si="39"/>
        <v>#VALUE!</v>
      </c>
    </row>
    <row r="1237" spans="1:8" x14ac:dyDescent="0.25">
      <c r="A1237" s="10"/>
      <c r="B1237" s="134"/>
      <c r="C1237" s="116"/>
      <c r="D1237" s="116"/>
      <c r="E1237" s="116"/>
      <c r="F1237" s="116"/>
      <c r="G1237" s="162" t="str">
        <f t="shared" si="38"/>
        <v xml:space="preserve"> </v>
      </c>
      <c r="H1237" s="161" t="e">
        <f t="shared" si="39"/>
        <v>#VALUE!</v>
      </c>
    </row>
    <row r="1238" spans="1:8" x14ac:dyDescent="0.25">
      <c r="A1238" s="10"/>
      <c r="B1238" s="134"/>
      <c r="C1238" s="116"/>
      <c r="D1238" s="116"/>
      <c r="E1238" s="116"/>
      <c r="F1238" s="116"/>
      <c r="G1238" s="162" t="str">
        <f t="shared" si="38"/>
        <v xml:space="preserve"> </v>
      </c>
      <c r="H1238" s="161" t="e">
        <f t="shared" si="39"/>
        <v>#VALUE!</v>
      </c>
    </row>
    <row r="1239" spans="1:8" x14ac:dyDescent="0.25">
      <c r="A1239" s="10"/>
      <c r="B1239" s="134"/>
      <c r="C1239" s="116"/>
      <c r="D1239" s="116"/>
      <c r="E1239" s="116"/>
      <c r="F1239" s="116"/>
      <c r="G1239" s="162" t="str">
        <f t="shared" si="38"/>
        <v xml:space="preserve"> </v>
      </c>
      <c r="H1239" s="161" t="e">
        <f t="shared" si="39"/>
        <v>#VALUE!</v>
      </c>
    </row>
    <row r="1240" spans="1:8" x14ac:dyDescent="0.25">
      <c r="A1240" s="10"/>
      <c r="B1240" s="134"/>
      <c r="C1240" s="116"/>
      <c r="D1240" s="116"/>
      <c r="E1240" s="116"/>
      <c r="F1240" s="116"/>
      <c r="G1240" s="162" t="str">
        <f t="shared" si="38"/>
        <v xml:space="preserve"> </v>
      </c>
      <c r="H1240" s="161" t="e">
        <f t="shared" si="39"/>
        <v>#VALUE!</v>
      </c>
    </row>
    <row r="1241" spans="1:8" x14ac:dyDescent="0.25">
      <c r="A1241" s="10"/>
      <c r="B1241" s="134"/>
      <c r="C1241" s="116"/>
      <c r="D1241" s="116"/>
      <c r="E1241" s="116"/>
      <c r="F1241" s="116"/>
      <c r="G1241" s="162" t="str">
        <f t="shared" si="38"/>
        <v xml:space="preserve"> </v>
      </c>
      <c r="H1241" s="161" t="e">
        <f t="shared" si="39"/>
        <v>#VALUE!</v>
      </c>
    </row>
    <row r="1242" spans="1:8" x14ac:dyDescent="0.25">
      <c r="A1242" s="10"/>
      <c r="B1242" s="134"/>
      <c r="C1242" s="116"/>
      <c r="D1242" s="116"/>
      <c r="E1242" s="116"/>
      <c r="F1242" s="116"/>
      <c r="G1242" s="162" t="str">
        <f t="shared" si="38"/>
        <v xml:space="preserve"> </v>
      </c>
      <c r="H1242" s="161" t="e">
        <f t="shared" si="39"/>
        <v>#VALUE!</v>
      </c>
    </row>
    <row r="1243" spans="1:8" x14ac:dyDescent="0.25">
      <c r="A1243" s="10"/>
      <c r="B1243" s="134"/>
      <c r="C1243" s="116"/>
      <c r="D1243" s="116"/>
      <c r="E1243" s="116"/>
      <c r="F1243" s="116"/>
      <c r="G1243" s="162" t="str">
        <f t="shared" si="38"/>
        <v xml:space="preserve"> </v>
      </c>
      <c r="H1243" s="161" t="e">
        <f t="shared" si="39"/>
        <v>#VALUE!</v>
      </c>
    </row>
    <row r="1244" spans="1:8" x14ac:dyDescent="0.25">
      <c r="A1244" s="10"/>
      <c r="B1244" s="134"/>
      <c r="C1244" s="116"/>
      <c r="D1244" s="116"/>
      <c r="E1244" s="116"/>
      <c r="F1244" s="116"/>
      <c r="G1244" s="162" t="str">
        <f t="shared" si="38"/>
        <v xml:space="preserve"> </v>
      </c>
      <c r="H1244" s="161" t="e">
        <f t="shared" si="39"/>
        <v>#VALUE!</v>
      </c>
    </row>
    <row r="1245" spans="1:8" x14ac:dyDescent="0.25">
      <c r="A1245" s="10"/>
      <c r="B1245" s="134"/>
      <c r="C1245" s="116"/>
      <c r="D1245" s="116"/>
      <c r="E1245" s="116"/>
      <c r="F1245" s="116"/>
      <c r="G1245" s="162" t="str">
        <f t="shared" si="38"/>
        <v xml:space="preserve"> </v>
      </c>
      <c r="H1245" s="161" t="e">
        <f t="shared" si="39"/>
        <v>#VALUE!</v>
      </c>
    </row>
    <row r="1246" spans="1:8" x14ac:dyDescent="0.25">
      <c r="A1246" s="10"/>
      <c r="B1246" s="134"/>
      <c r="C1246" s="116"/>
      <c r="D1246" s="116"/>
      <c r="E1246" s="116"/>
      <c r="F1246" s="116"/>
      <c r="G1246" s="162" t="str">
        <f t="shared" si="38"/>
        <v xml:space="preserve"> </v>
      </c>
      <c r="H1246" s="161" t="e">
        <f t="shared" si="39"/>
        <v>#VALUE!</v>
      </c>
    </row>
    <row r="1247" spans="1:8" x14ac:dyDescent="0.25">
      <c r="A1247" s="10"/>
      <c r="B1247" s="134"/>
      <c r="C1247" s="116"/>
      <c r="D1247" s="116"/>
      <c r="E1247" s="116"/>
      <c r="F1247" s="116"/>
      <c r="G1247" s="162" t="str">
        <f t="shared" si="38"/>
        <v xml:space="preserve"> </v>
      </c>
      <c r="H1247" s="161" t="e">
        <f t="shared" si="39"/>
        <v>#VALUE!</v>
      </c>
    </row>
    <row r="1248" spans="1:8" x14ac:dyDescent="0.25">
      <c r="A1248" s="10"/>
      <c r="B1248" s="134"/>
      <c r="C1248" s="116"/>
      <c r="D1248" s="116"/>
      <c r="E1248" s="116"/>
      <c r="F1248" s="116"/>
      <c r="G1248" s="162" t="str">
        <f t="shared" si="38"/>
        <v xml:space="preserve"> </v>
      </c>
      <c r="H1248" s="161" t="e">
        <f t="shared" si="39"/>
        <v>#VALUE!</v>
      </c>
    </row>
    <row r="1249" spans="1:8" x14ac:dyDescent="0.25">
      <c r="A1249" s="10"/>
      <c r="B1249" s="134"/>
      <c r="C1249" s="116"/>
      <c r="D1249" s="116"/>
      <c r="E1249" s="116"/>
      <c r="F1249" s="116"/>
      <c r="G1249" s="162" t="str">
        <f t="shared" si="38"/>
        <v xml:space="preserve"> </v>
      </c>
      <c r="H1249" s="161" t="e">
        <f t="shared" si="39"/>
        <v>#VALUE!</v>
      </c>
    </row>
    <row r="1250" spans="1:8" x14ac:dyDescent="0.25">
      <c r="A1250" s="10"/>
      <c r="B1250" s="134"/>
      <c r="C1250" s="116"/>
      <c r="D1250" s="116"/>
      <c r="E1250" s="116"/>
      <c r="F1250" s="116"/>
      <c r="G1250" s="162" t="str">
        <f t="shared" si="38"/>
        <v xml:space="preserve"> </v>
      </c>
      <c r="H1250" s="161" t="e">
        <f t="shared" si="39"/>
        <v>#VALUE!</v>
      </c>
    </row>
    <row r="1251" spans="1:8" x14ac:dyDescent="0.25">
      <c r="A1251" s="10"/>
      <c r="B1251" s="134"/>
      <c r="C1251" s="116"/>
      <c r="D1251" s="116"/>
      <c r="E1251" s="116"/>
      <c r="F1251" s="116"/>
      <c r="G1251" s="162" t="str">
        <f t="shared" si="38"/>
        <v xml:space="preserve"> </v>
      </c>
      <c r="H1251" s="161" t="e">
        <f t="shared" si="39"/>
        <v>#VALUE!</v>
      </c>
    </row>
    <row r="1252" spans="1:8" x14ac:dyDescent="0.25">
      <c r="A1252" s="10"/>
      <c r="B1252" s="134"/>
      <c r="C1252" s="116"/>
      <c r="D1252" s="116"/>
      <c r="E1252" s="116"/>
      <c r="F1252" s="116"/>
      <c r="G1252" s="162" t="str">
        <f t="shared" si="38"/>
        <v xml:space="preserve"> </v>
      </c>
      <c r="H1252" s="161" t="e">
        <f t="shared" si="39"/>
        <v>#VALUE!</v>
      </c>
    </row>
    <row r="1253" spans="1:8" x14ac:dyDescent="0.25">
      <c r="A1253" s="10"/>
      <c r="B1253" s="134"/>
      <c r="C1253" s="116"/>
      <c r="D1253" s="116"/>
      <c r="E1253" s="116"/>
      <c r="F1253" s="116"/>
      <c r="G1253" s="162" t="str">
        <f t="shared" si="38"/>
        <v xml:space="preserve"> </v>
      </c>
      <c r="H1253" s="161" t="e">
        <f t="shared" si="39"/>
        <v>#VALUE!</v>
      </c>
    </row>
    <row r="1254" spans="1:8" x14ac:dyDescent="0.25">
      <c r="A1254" s="10"/>
      <c r="B1254" s="134"/>
      <c r="C1254" s="116"/>
      <c r="D1254" s="116"/>
      <c r="E1254" s="116"/>
      <c r="F1254" s="116"/>
      <c r="G1254" s="162" t="str">
        <f t="shared" si="38"/>
        <v xml:space="preserve"> </v>
      </c>
      <c r="H1254" s="161" t="e">
        <f t="shared" si="39"/>
        <v>#VALUE!</v>
      </c>
    </row>
    <row r="1255" spans="1:8" x14ac:dyDescent="0.25">
      <c r="A1255" s="10"/>
      <c r="B1255" s="134"/>
      <c r="C1255" s="116"/>
      <c r="D1255" s="116"/>
      <c r="E1255" s="116"/>
      <c r="F1255" s="116"/>
      <c r="G1255" s="162" t="str">
        <f t="shared" si="38"/>
        <v xml:space="preserve"> </v>
      </c>
      <c r="H1255" s="161" t="e">
        <f t="shared" si="39"/>
        <v>#VALUE!</v>
      </c>
    </row>
    <row r="1256" spans="1:8" x14ac:dyDescent="0.25">
      <c r="A1256" s="10"/>
      <c r="B1256" s="134"/>
      <c r="C1256" s="116"/>
      <c r="D1256" s="116"/>
      <c r="E1256" s="116"/>
      <c r="F1256" s="116"/>
      <c r="G1256" s="162" t="str">
        <f t="shared" si="38"/>
        <v xml:space="preserve"> </v>
      </c>
      <c r="H1256" s="161" t="e">
        <f t="shared" si="39"/>
        <v>#VALUE!</v>
      </c>
    </row>
    <row r="1257" spans="1:8" x14ac:dyDescent="0.25">
      <c r="A1257" s="10"/>
      <c r="B1257" s="134"/>
      <c r="C1257" s="116"/>
      <c r="D1257" s="116"/>
      <c r="E1257" s="116"/>
      <c r="F1257" s="116"/>
      <c r="G1257" s="162" t="str">
        <f t="shared" si="38"/>
        <v xml:space="preserve"> </v>
      </c>
      <c r="H1257" s="161" t="e">
        <f t="shared" si="39"/>
        <v>#VALUE!</v>
      </c>
    </row>
    <row r="1258" spans="1:8" x14ac:dyDescent="0.25">
      <c r="A1258" s="10"/>
      <c r="B1258" s="134"/>
      <c r="C1258" s="116"/>
      <c r="D1258" s="116"/>
      <c r="E1258" s="116"/>
      <c r="F1258" s="116"/>
      <c r="G1258" s="162" t="str">
        <f t="shared" si="38"/>
        <v xml:space="preserve"> </v>
      </c>
      <c r="H1258" s="161" t="e">
        <f t="shared" si="39"/>
        <v>#VALUE!</v>
      </c>
    </row>
    <row r="1259" spans="1:8" x14ac:dyDescent="0.25">
      <c r="A1259" s="10"/>
      <c r="B1259" s="134"/>
      <c r="C1259" s="116"/>
      <c r="D1259" s="116"/>
      <c r="E1259" s="116"/>
      <c r="F1259" s="116"/>
      <c r="G1259" s="162" t="str">
        <f t="shared" si="38"/>
        <v xml:space="preserve"> </v>
      </c>
      <c r="H1259" s="161" t="e">
        <f t="shared" si="39"/>
        <v>#VALUE!</v>
      </c>
    </row>
    <row r="1260" spans="1:8" x14ac:dyDescent="0.25">
      <c r="A1260" s="10"/>
      <c r="B1260" s="134"/>
      <c r="C1260" s="116"/>
      <c r="D1260" s="116"/>
      <c r="E1260" s="116"/>
      <c r="F1260" s="116"/>
      <c r="G1260" s="162" t="str">
        <f t="shared" si="38"/>
        <v xml:space="preserve"> </v>
      </c>
      <c r="H1260" s="161" t="e">
        <f t="shared" si="39"/>
        <v>#VALUE!</v>
      </c>
    </row>
    <row r="1261" spans="1:8" x14ac:dyDescent="0.25">
      <c r="A1261" s="10"/>
      <c r="B1261" s="134"/>
      <c r="C1261" s="116"/>
      <c r="D1261" s="116"/>
      <c r="E1261" s="116"/>
      <c r="F1261" s="116"/>
      <c r="G1261" s="162" t="str">
        <f t="shared" si="38"/>
        <v xml:space="preserve"> </v>
      </c>
      <c r="H1261" s="161" t="e">
        <f t="shared" si="39"/>
        <v>#VALUE!</v>
      </c>
    </row>
    <row r="1262" spans="1:8" x14ac:dyDescent="0.25">
      <c r="A1262" s="10"/>
      <c r="B1262" s="134"/>
      <c r="C1262" s="116"/>
      <c r="D1262" s="116"/>
      <c r="E1262" s="116"/>
      <c r="F1262" s="116"/>
      <c r="G1262" s="162" t="str">
        <f t="shared" si="38"/>
        <v xml:space="preserve"> </v>
      </c>
      <c r="H1262" s="161" t="e">
        <f t="shared" si="39"/>
        <v>#VALUE!</v>
      </c>
    </row>
    <row r="1263" spans="1:8" x14ac:dyDescent="0.25">
      <c r="A1263" s="10"/>
      <c r="B1263" s="134"/>
      <c r="C1263" s="116"/>
      <c r="D1263" s="116"/>
      <c r="E1263" s="116"/>
      <c r="F1263" s="116"/>
      <c r="G1263" s="162" t="str">
        <f t="shared" si="38"/>
        <v xml:space="preserve"> </v>
      </c>
      <c r="H1263" s="161" t="e">
        <f t="shared" si="39"/>
        <v>#VALUE!</v>
      </c>
    </row>
    <row r="1264" spans="1:8" x14ac:dyDescent="0.25">
      <c r="A1264" s="10"/>
      <c r="B1264" s="134"/>
      <c r="C1264" s="116"/>
      <c r="D1264" s="116"/>
      <c r="E1264" s="116"/>
      <c r="F1264" s="116"/>
      <c r="G1264" s="162" t="str">
        <f t="shared" si="38"/>
        <v xml:space="preserve"> </v>
      </c>
      <c r="H1264" s="161" t="e">
        <f t="shared" si="39"/>
        <v>#VALUE!</v>
      </c>
    </row>
    <row r="1265" spans="1:8" x14ac:dyDescent="0.25">
      <c r="A1265" s="10"/>
      <c r="B1265" s="134"/>
      <c r="C1265" s="116"/>
      <c r="D1265" s="116"/>
      <c r="E1265" s="116"/>
      <c r="F1265" s="116"/>
      <c r="G1265" s="162" t="str">
        <f t="shared" si="38"/>
        <v xml:space="preserve"> </v>
      </c>
      <c r="H1265" s="161" t="e">
        <f t="shared" si="39"/>
        <v>#VALUE!</v>
      </c>
    </row>
    <row r="1266" spans="1:8" x14ac:dyDescent="0.25">
      <c r="A1266" s="10"/>
      <c r="B1266" s="134"/>
      <c r="C1266" s="116"/>
      <c r="D1266" s="116"/>
      <c r="E1266" s="116"/>
      <c r="F1266" s="116"/>
      <c r="G1266" s="162" t="str">
        <f t="shared" si="38"/>
        <v xml:space="preserve"> </v>
      </c>
      <c r="H1266" s="161" t="e">
        <f t="shared" si="39"/>
        <v>#VALUE!</v>
      </c>
    </row>
    <row r="1267" spans="1:8" x14ac:dyDescent="0.25">
      <c r="A1267" s="10"/>
      <c r="B1267" s="134"/>
      <c r="C1267" s="116"/>
      <c r="D1267" s="116"/>
      <c r="E1267" s="116"/>
      <c r="F1267" s="116"/>
      <c r="G1267" s="162" t="str">
        <f t="shared" si="38"/>
        <v xml:space="preserve"> </v>
      </c>
      <c r="H1267" s="161" t="e">
        <f t="shared" si="39"/>
        <v>#VALUE!</v>
      </c>
    </row>
    <row r="1268" spans="1:8" x14ac:dyDescent="0.25">
      <c r="A1268" s="10"/>
      <c r="B1268" s="134"/>
      <c r="C1268" s="116"/>
      <c r="D1268" s="116"/>
      <c r="E1268" s="116"/>
      <c r="F1268" s="116"/>
      <c r="G1268" s="162" t="str">
        <f t="shared" si="38"/>
        <v xml:space="preserve"> </v>
      </c>
      <c r="H1268" s="161" t="e">
        <f t="shared" si="39"/>
        <v>#VALUE!</v>
      </c>
    </row>
    <row r="1269" spans="1:8" x14ac:dyDescent="0.25">
      <c r="A1269" s="10"/>
      <c r="B1269" s="134"/>
      <c r="C1269" s="116"/>
      <c r="D1269" s="116"/>
      <c r="E1269" s="116"/>
      <c r="F1269" s="116"/>
      <c r="G1269" s="162" t="str">
        <f t="shared" si="38"/>
        <v xml:space="preserve"> </v>
      </c>
      <c r="H1269" s="161" t="e">
        <f t="shared" si="39"/>
        <v>#VALUE!</v>
      </c>
    </row>
    <row r="1270" spans="1:8" x14ac:dyDescent="0.25">
      <c r="A1270" s="10"/>
      <c r="B1270" s="134"/>
      <c r="C1270" s="116"/>
      <c r="D1270" s="116"/>
      <c r="E1270" s="116"/>
      <c r="F1270" s="116"/>
      <c r="G1270" s="162" t="str">
        <f t="shared" si="38"/>
        <v xml:space="preserve"> </v>
      </c>
      <c r="H1270" s="161" t="e">
        <f t="shared" si="39"/>
        <v>#VALUE!</v>
      </c>
    </row>
    <row r="1271" spans="1:8" x14ac:dyDescent="0.25">
      <c r="A1271" s="10"/>
      <c r="B1271" s="134"/>
      <c r="C1271" s="116"/>
      <c r="D1271" s="116"/>
      <c r="E1271" s="116"/>
      <c r="F1271" s="116"/>
      <c r="G1271" s="162" t="str">
        <f t="shared" si="38"/>
        <v xml:space="preserve"> </v>
      </c>
      <c r="H1271" s="161" t="e">
        <f t="shared" si="39"/>
        <v>#VALUE!</v>
      </c>
    </row>
    <row r="1272" spans="1:8" x14ac:dyDescent="0.25">
      <c r="A1272" s="10"/>
      <c r="B1272" s="134"/>
      <c r="C1272" s="116"/>
      <c r="D1272" s="116"/>
      <c r="E1272" s="116"/>
      <c r="F1272" s="116"/>
      <c r="G1272" s="162" t="str">
        <f t="shared" si="38"/>
        <v xml:space="preserve"> </v>
      </c>
      <c r="H1272" s="161" t="e">
        <f t="shared" si="39"/>
        <v>#VALUE!</v>
      </c>
    </row>
    <row r="1273" spans="1:8" x14ac:dyDescent="0.25">
      <c r="A1273" s="10"/>
      <c r="B1273" s="134"/>
      <c r="C1273" s="116"/>
      <c r="D1273" s="116"/>
      <c r="E1273" s="116"/>
      <c r="F1273" s="116"/>
      <c r="G1273" s="162" t="str">
        <f t="shared" si="38"/>
        <v xml:space="preserve"> </v>
      </c>
      <c r="H1273" s="161" t="e">
        <f t="shared" si="39"/>
        <v>#VALUE!</v>
      </c>
    </row>
    <row r="1274" spans="1:8" x14ac:dyDescent="0.25">
      <c r="A1274" s="10"/>
      <c r="B1274" s="134"/>
      <c r="C1274" s="116"/>
      <c r="D1274" s="116"/>
      <c r="E1274" s="116"/>
      <c r="F1274" s="116"/>
      <c r="G1274" s="162" t="str">
        <f t="shared" si="38"/>
        <v xml:space="preserve"> </v>
      </c>
      <c r="H1274" s="161" t="e">
        <f t="shared" si="39"/>
        <v>#VALUE!</v>
      </c>
    </row>
    <row r="1275" spans="1:8" x14ac:dyDescent="0.25">
      <c r="A1275" s="10"/>
      <c r="B1275" s="134"/>
      <c r="C1275" s="116"/>
      <c r="D1275" s="116"/>
      <c r="E1275" s="116"/>
      <c r="F1275" s="116"/>
      <c r="G1275" s="162" t="str">
        <f t="shared" si="38"/>
        <v xml:space="preserve"> </v>
      </c>
      <c r="H1275" s="161" t="e">
        <f t="shared" si="39"/>
        <v>#VALUE!</v>
      </c>
    </row>
    <row r="1276" spans="1:8" x14ac:dyDescent="0.25">
      <c r="A1276" s="10"/>
      <c r="B1276" s="134"/>
      <c r="C1276" s="116"/>
      <c r="D1276" s="116"/>
      <c r="E1276" s="116"/>
      <c r="F1276" s="116"/>
      <c r="G1276" s="162" t="str">
        <f t="shared" si="38"/>
        <v xml:space="preserve"> </v>
      </c>
      <c r="H1276" s="161" t="e">
        <f t="shared" si="39"/>
        <v>#VALUE!</v>
      </c>
    </row>
    <row r="1277" spans="1:8" x14ac:dyDescent="0.25">
      <c r="A1277" s="10"/>
      <c r="B1277" s="134"/>
      <c r="C1277" s="116"/>
      <c r="D1277" s="116"/>
      <c r="E1277" s="116"/>
      <c r="F1277" s="116"/>
      <c r="G1277" s="162" t="str">
        <f t="shared" si="38"/>
        <v xml:space="preserve"> </v>
      </c>
      <c r="H1277" s="161" t="e">
        <f t="shared" si="39"/>
        <v>#VALUE!</v>
      </c>
    </row>
    <row r="1278" spans="1:8" x14ac:dyDescent="0.25">
      <c r="A1278" s="10"/>
      <c r="B1278" s="134"/>
      <c r="C1278" s="116"/>
      <c r="D1278" s="116"/>
      <c r="E1278" s="116"/>
      <c r="F1278" s="116"/>
      <c r="G1278" s="162" t="str">
        <f t="shared" si="38"/>
        <v xml:space="preserve"> </v>
      </c>
      <c r="H1278" s="161" t="e">
        <f t="shared" si="39"/>
        <v>#VALUE!</v>
      </c>
    </row>
    <row r="1279" spans="1:8" x14ac:dyDescent="0.25">
      <c r="A1279" s="10"/>
      <c r="B1279" s="134"/>
      <c r="C1279" s="116"/>
      <c r="D1279" s="116"/>
      <c r="E1279" s="116"/>
      <c r="F1279" s="116"/>
      <c r="G1279" s="162" t="str">
        <f t="shared" si="38"/>
        <v xml:space="preserve"> </v>
      </c>
      <c r="H1279" s="161" t="e">
        <f t="shared" si="39"/>
        <v>#VALUE!</v>
      </c>
    </row>
    <row r="1280" spans="1:8" x14ac:dyDescent="0.25">
      <c r="A1280" s="10"/>
      <c r="B1280" s="134"/>
      <c r="C1280" s="116"/>
      <c r="D1280" s="116"/>
      <c r="E1280" s="116"/>
      <c r="F1280" s="116"/>
      <c r="G1280" s="162" t="str">
        <f t="shared" si="38"/>
        <v xml:space="preserve"> </v>
      </c>
      <c r="H1280" s="161" t="e">
        <f t="shared" si="39"/>
        <v>#VALUE!</v>
      </c>
    </row>
    <row r="1281" spans="1:8" x14ac:dyDescent="0.25">
      <c r="A1281" s="10"/>
      <c r="B1281" s="134"/>
      <c r="C1281" s="116"/>
      <c r="D1281" s="116"/>
      <c r="E1281" s="116"/>
      <c r="F1281" s="116"/>
      <c r="G1281" s="162" t="str">
        <f t="shared" si="38"/>
        <v xml:space="preserve"> </v>
      </c>
      <c r="H1281" s="161" t="e">
        <f t="shared" si="39"/>
        <v>#VALUE!</v>
      </c>
    </row>
    <row r="1282" spans="1:8" x14ac:dyDescent="0.25">
      <c r="A1282" s="10"/>
      <c r="B1282" s="134"/>
      <c r="C1282" s="116"/>
      <c r="D1282" s="116"/>
      <c r="E1282" s="116"/>
      <c r="F1282" s="116"/>
      <c r="G1282" s="162" t="str">
        <f t="shared" si="38"/>
        <v xml:space="preserve"> </v>
      </c>
      <c r="H1282" s="161" t="e">
        <f t="shared" si="39"/>
        <v>#VALUE!</v>
      </c>
    </row>
    <row r="1283" spans="1:8" x14ac:dyDescent="0.25">
      <c r="A1283" s="10"/>
      <c r="B1283" s="134"/>
      <c r="C1283" s="116"/>
      <c r="D1283" s="116"/>
      <c r="E1283" s="116"/>
      <c r="F1283" s="116"/>
      <c r="G1283" s="162" t="str">
        <f t="shared" ref="G1283:G1346" si="40">IF(LEFT(A1283,3)="S7P","Pintura",IF(LEFT(A1283,3)="S7M","Montagem",
IF(LEFT(A1283,3)="S7S","Serigrafia"," ")))</f>
        <v xml:space="preserve"> </v>
      </c>
      <c r="H1283" s="161" t="e">
        <f t="shared" ref="H1283:H1346" si="41">VALUE(LEFT(F1283,2))&amp;"h"</f>
        <v>#VALUE!</v>
      </c>
    </row>
    <row r="1284" spans="1:8" x14ac:dyDescent="0.25">
      <c r="A1284" s="10"/>
      <c r="B1284" s="134"/>
      <c r="C1284" s="116"/>
      <c r="D1284" s="116"/>
      <c r="E1284" s="116"/>
      <c r="F1284" s="116"/>
      <c r="G1284" s="162" t="str">
        <f t="shared" si="40"/>
        <v xml:space="preserve"> </v>
      </c>
      <c r="H1284" s="161" t="e">
        <f t="shared" si="41"/>
        <v>#VALUE!</v>
      </c>
    </row>
    <row r="1285" spans="1:8" x14ac:dyDescent="0.25">
      <c r="A1285" s="10"/>
      <c r="B1285" s="134"/>
      <c r="C1285" s="116"/>
      <c r="D1285" s="116"/>
      <c r="E1285" s="116"/>
      <c r="F1285" s="116"/>
      <c r="G1285" s="162" t="str">
        <f t="shared" si="40"/>
        <v xml:space="preserve"> </v>
      </c>
      <c r="H1285" s="161" t="e">
        <f t="shared" si="41"/>
        <v>#VALUE!</v>
      </c>
    </row>
    <row r="1286" spans="1:8" x14ac:dyDescent="0.25">
      <c r="A1286" s="10"/>
      <c r="B1286" s="134"/>
      <c r="C1286" s="116"/>
      <c r="D1286" s="116"/>
      <c r="E1286" s="116"/>
      <c r="F1286" s="116"/>
      <c r="G1286" s="162" t="str">
        <f t="shared" si="40"/>
        <v xml:space="preserve"> </v>
      </c>
      <c r="H1286" s="161" t="e">
        <f t="shared" si="41"/>
        <v>#VALUE!</v>
      </c>
    </row>
    <row r="1287" spans="1:8" x14ac:dyDescent="0.25">
      <c r="A1287" s="10"/>
      <c r="B1287" s="134"/>
      <c r="C1287" s="116"/>
      <c r="D1287" s="116"/>
      <c r="E1287" s="116"/>
      <c r="F1287" s="116"/>
      <c r="G1287" s="162" t="str">
        <f t="shared" si="40"/>
        <v xml:space="preserve"> </v>
      </c>
      <c r="H1287" s="161" t="e">
        <f t="shared" si="41"/>
        <v>#VALUE!</v>
      </c>
    </row>
    <row r="1288" spans="1:8" x14ac:dyDescent="0.25">
      <c r="A1288" s="10"/>
      <c r="B1288" s="134"/>
      <c r="C1288" s="116"/>
      <c r="D1288" s="116"/>
      <c r="E1288" s="116"/>
      <c r="F1288" s="116"/>
      <c r="G1288" s="162" t="str">
        <f t="shared" si="40"/>
        <v xml:space="preserve"> </v>
      </c>
      <c r="H1288" s="161" t="e">
        <f t="shared" si="41"/>
        <v>#VALUE!</v>
      </c>
    </row>
    <row r="1289" spans="1:8" x14ac:dyDescent="0.25">
      <c r="A1289" s="10"/>
      <c r="B1289" s="134"/>
      <c r="C1289" s="116"/>
      <c r="D1289" s="116"/>
      <c r="E1289" s="116"/>
      <c r="F1289" s="116"/>
      <c r="G1289" s="162" t="str">
        <f t="shared" si="40"/>
        <v xml:space="preserve"> </v>
      </c>
      <c r="H1289" s="161" t="e">
        <f t="shared" si="41"/>
        <v>#VALUE!</v>
      </c>
    </row>
    <row r="1290" spans="1:8" x14ac:dyDescent="0.25">
      <c r="A1290" s="10"/>
      <c r="B1290" s="134"/>
      <c r="C1290" s="116"/>
      <c r="D1290" s="116"/>
      <c r="E1290" s="116"/>
      <c r="F1290" s="116"/>
      <c r="G1290" s="162" t="str">
        <f t="shared" si="40"/>
        <v xml:space="preserve"> </v>
      </c>
      <c r="H1290" s="161" t="e">
        <f t="shared" si="41"/>
        <v>#VALUE!</v>
      </c>
    </row>
    <row r="1291" spans="1:8" x14ac:dyDescent="0.25">
      <c r="A1291" s="10"/>
      <c r="B1291" s="134"/>
      <c r="C1291" s="116"/>
      <c r="D1291" s="116"/>
      <c r="E1291" s="116"/>
      <c r="F1291" s="116"/>
      <c r="G1291" s="162" t="str">
        <f t="shared" si="40"/>
        <v xml:space="preserve"> </v>
      </c>
      <c r="H1291" s="161" t="e">
        <f t="shared" si="41"/>
        <v>#VALUE!</v>
      </c>
    </row>
    <row r="1292" spans="1:8" x14ac:dyDescent="0.25">
      <c r="A1292" s="10"/>
      <c r="B1292" s="134"/>
      <c r="C1292" s="116"/>
      <c r="D1292" s="116"/>
      <c r="E1292" s="116"/>
      <c r="F1292" s="116"/>
      <c r="G1292" s="162" t="str">
        <f t="shared" si="40"/>
        <v xml:space="preserve"> </v>
      </c>
      <c r="H1292" s="161" t="e">
        <f t="shared" si="41"/>
        <v>#VALUE!</v>
      </c>
    </row>
    <row r="1293" spans="1:8" x14ac:dyDescent="0.25">
      <c r="A1293" s="10"/>
      <c r="B1293" s="134"/>
      <c r="C1293" s="116"/>
      <c r="D1293" s="116"/>
      <c r="E1293" s="116"/>
      <c r="F1293" s="116"/>
      <c r="G1293" s="162" t="str">
        <f t="shared" si="40"/>
        <v xml:space="preserve"> </v>
      </c>
      <c r="H1293" s="161" t="e">
        <f t="shared" si="41"/>
        <v>#VALUE!</v>
      </c>
    </row>
    <row r="1294" spans="1:8" x14ac:dyDescent="0.25">
      <c r="A1294" s="10"/>
      <c r="B1294" s="134"/>
      <c r="C1294" s="116"/>
      <c r="D1294" s="116"/>
      <c r="E1294" s="116"/>
      <c r="F1294" s="116"/>
      <c r="G1294" s="162" t="str">
        <f t="shared" si="40"/>
        <v xml:space="preserve"> </v>
      </c>
      <c r="H1294" s="161" t="e">
        <f t="shared" si="41"/>
        <v>#VALUE!</v>
      </c>
    </row>
    <row r="1295" spans="1:8" x14ac:dyDescent="0.25">
      <c r="A1295" s="10"/>
      <c r="B1295" s="134"/>
      <c r="C1295" s="116"/>
      <c r="D1295" s="116"/>
      <c r="E1295" s="116"/>
      <c r="F1295" s="116"/>
      <c r="G1295" s="162" t="str">
        <f t="shared" si="40"/>
        <v xml:space="preserve"> </v>
      </c>
      <c r="H1295" s="161" t="e">
        <f t="shared" si="41"/>
        <v>#VALUE!</v>
      </c>
    </row>
    <row r="1296" spans="1:8" x14ac:dyDescent="0.25">
      <c r="A1296" s="10"/>
      <c r="B1296" s="134"/>
      <c r="C1296" s="116"/>
      <c r="D1296" s="116"/>
      <c r="E1296" s="116"/>
      <c r="F1296" s="116"/>
      <c r="G1296" s="162" t="str">
        <f t="shared" si="40"/>
        <v xml:space="preserve"> </v>
      </c>
      <c r="H1296" s="161" t="e">
        <f t="shared" si="41"/>
        <v>#VALUE!</v>
      </c>
    </row>
    <row r="1297" spans="1:8" x14ac:dyDescent="0.25">
      <c r="A1297" s="10"/>
      <c r="B1297" s="134"/>
      <c r="C1297" s="116"/>
      <c r="D1297" s="116"/>
      <c r="E1297" s="116"/>
      <c r="F1297" s="116"/>
      <c r="G1297" s="162" t="str">
        <f t="shared" si="40"/>
        <v xml:space="preserve"> </v>
      </c>
      <c r="H1297" s="161" t="e">
        <f t="shared" si="41"/>
        <v>#VALUE!</v>
      </c>
    </row>
    <row r="1298" spans="1:8" x14ac:dyDescent="0.25">
      <c r="A1298" s="10"/>
      <c r="B1298" s="134"/>
      <c r="C1298" s="116"/>
      <c r="D1298" s="116"/>
      <c r="E1298" s="116"/>
      <c r="F1298" s="116"/>
      <c r="G1298" s="162" t="str">
        <f t="shared" si="40"/>
        <v xml:space="preserve"> </v>
      </c>
      <c r="H1298" s="161" t="e">
        <f t="shared" si="41"/>
        <v>#VALUE!</v>
      </c>
    </row>
    <row r="1299" spans="1:8" x14ac:dyDescent="0.25">
      <c r="A1299" s="10"/>
      <c r="B1299" s="134"/>
      <c r="C1299" s="116"/>
      <c r="D1299" s="116"/>
      <c r="E1299" s="116"/>
      <c r="F1299" s="116"/>
      <c r="G1299" s="162" t="str">
        <f t="shared" si="40"/>
        <v xml:space="preserve"> </v>
      </c>
      <c r="H1299" s="161" t="e">
        <f t="shared" si="41"/>
        <v>#VALUE!</v>
      </c>
    </row>
    <row r="1300" spans="1:8" x14ac:dyDescent="0.25">
      <c r="A1300" s="10"/>
      <c r="B1300" s="134"/>
      <c r="C1300" s="116"/>
      <c r="D1300" s="116"/>
      <c r="E1300" s="116"/>
      <c r="F1300" s="116"/>
      <c r="G1300" s="162" t="str">
        <f t="shared" si="40"/>
        <v xml:space="preserve"> </v>
      </c>
      <c r="H1300" s="161" t="e">
        <f t="shared" si="41"/>
        <v>#VALUE!</v>
      </c>
    </row>
    <row r="1301" spans="1:8" x14ac:dyDescent="0.25">
      <c r="A1301" s="10"/>
      <c r="B1301" s="134"/>
      <c r="C1301" s="116"/>
      <c r="D1301" s="116"/>
      <c r="E1301" s="116"/>
      <c r="F1301" s="116"/>
      <c r="G1301" s="162" t="str">
        <f t="shared" si="40"/>
        <v xml:space="preserve"> </v>
      </c>
      <c r="H1301" s="161" t="e">
        <f t="shared" si="41"/>
        <v>#VALUE!</v>
      </c>
    </row>
    <row r="1302" spans="1:8" x14ac:dyDescent="0.25">
      <c r="A1302" s="10"/>
      <c r="B1302" s="134"/>
      <c r="C1302" s="116"/>
      <c r="D1302" s="116"/>
      <c r="E1302" s="116"/>
      <c r="F1302" s="116"/>
      <c r="G1302" s="162" t="str">
        <f t="shared" si="40"/>
        <v xml:space="preserve"> </v>
      </c>
      <c r="H1302" s="161" t="e">
        <f t="shared" si="41"/>
        <v>#VALUE!</v>
      </c>
    </row>
    <row r="1303" spans="1:8" x14ac:dyDescent="0.25">
      <c r="A1303" s="10"/>
      <c r="B1303" s="134"/>
      <c r="C1303" s="116"/>
      <c r="D1303" s="116"/>
      <c r="E1303" s="116"/>
      <c r="F1303" s="116"/>
      <c r="G1303" s="162" t="str">
        <f t="shared" si="40"/>
        <v xml:space="preserve"> </v>
      </c>
      <c r="H1303" s="161" t="e">
        <f t="shared" si="41"/>
        <v>#VALUE!</v>
      </c>
    </row>
    <row r="1304" spans="1:8" x14ac:dyDescent="0.25">
      <c r="A1304" s="10"/>
      <c r="B1304" s="134"/>
      <c r="C1304" s="116"/>
      <c r="D1304" s="116"/>
      <c r="E1304" s="116"/>
      <c r="F1304" s="116"/>
      <c r="G1304" s="162" t="str">
        <f t="shared" si="40"/>
        <v xml:space="preserve"> </v>
      </c>
      <c r="H1304" s="161" t="e">
        <f t="shared" si="41"/>
        <v>#VALUE!</v>
      </c>
    </row>
    <row r="1305" spans="1:8" x14ac:dyDescent="0.25">
      <c r="A1305" s="10"/>
      <c r="B1305" s="134"/>
      <c r="C1305" s="116"/>
      <c r="D1305" s="116"/>
      <c r="E1305" s="116"/>
      <c r="F1305" s="116"/>
      <c r="G1305" s="162" t="str">
        <f t="shared" si="40"/>
        <v xml:space="preserve"> </v>
      </c>
      <c r="H1305" s="161" t="e">
        <f t="shared" si="41"/>
        <v>#VALUE!</v>
      </c>
    </row>
    <row r="1306" spans="1:8" x14ac:dyDescent="0.25">
      <c r="A1306" s="10"/>
      <c r="B1306" s="134"/>
      <c r="C1306" s="116"/>
      <c r="D1306" s="116"/>
      <c r="E1306" s="116"/>
      <c r="F1306" s="116"/>
      <c r="G1306" s="162" t="str">
        <f t="shared" si="40"/>
        <v xml:space="preserve"> </v>
      </c>
      <c r="H1306" s="161" t="e">
        <f t="shared" si="41"/>
        <v>#VALUE!</v>
      </c>
    </row>
    <row r="1307" spans="1:8" x14ac:dyDescent="0.25">
      <c r="A1307" s="10"/>
      <c r="B1307" s="134"/>
      <c r="C1307" s="116"/>
      <c r="D1307" s="116"/>
      <c r="E1307" s="116"/>
      <c r="F1307" s="116"/>
      <c r="G1307" s="162" t="str">
        <f t="shared" si="40"/>
        <v xml:space="preserve"> </v>
      </c>
      <c r="H1307" s="161" t="e">
        <f t="shared" si="41"/>
        <v>#VALUE!</v>
      </c>
    </row>
    <row r="1308" spans="1:8" x14ac:dyDescent="0.25">
      <c r="A1308" s="10"/>
      <c r="B1308" s="134"/>
      <c r="C1308" s="116"/>
      <c r="D1308" s="116"/>
      <c r="E1308" s="116"/>
      <c r="F1308" s="116"/>
      <c r="G1308" s="162" t="str">
        <f t="shared" si="40"/>
        <v xml:space="preserve"> </v>
      </c>
      <c r="H1308" s="161" t="e">
        <f t="shared" si="41"/>
        <v>#VALUE!</v>
      </c>
    </row>
    <row r="1309" spans="1:8" x14ac:dyDescent="0.25">
      <c r="A1309" s="10"/>
      <c r="B1309" s="134"/>
      <c r="C1309" s="116"/>
      <c r="D1309" s="116"/>
      <c r="E1309" s="116"/>
      <c r="F1309" s="116"/>
      <c r="G1309" s="162" t="str">
        <f t="shared" si="40"/>
        <v xml:space="preserve"> </v>
      </c>
      <c r="H1309" s="161" t="e">
        <f t="shared" si="41"/>
        <v>#VALUE!</v>
      </c>
    </row>
    <row r="1310" spans="1:8" x14ac:dyDescent="0.25">
      <c r="A1310" s="10"/>
      <c r="B1310" s="134"/>
      <c r="C1310" s="116"/>
      <c r="D1310" s="116"/>
      <c r="E1310" s="116"/>
      <c r="F1310" s="116"/>
      <c r="G1310" s="162" t="str">
        <f t="shared" si="40"/>
        <v xml:space="preserve"> </v>
      </c>
      <c r="H1310" s="161" t="e">
        <f t="shared" si="41"/>
        <v>#VALUE!</v>
      </c>
    </row>
    <row r="1311" spans="1:8" x14ac:dyDescent="0.25">
      <c r="A1311" s="10"/>
      <c r="B1311" s="134"/>
      <c r="C1311" s="116"/>
      <c r="D1311" s="116"/>
      <c r="E1311" s="116"/>
      <c r="F1311" s="116"/>
      <c r="G1311" s="162" t="str">
        <f t="shared" si="40"/>
        <v xml:space="preserve"> </v>
      </c>
      <c r="H1311" s="161" t="e">
        <f t="shared" si="41"/>
        <v>#VALUE!</v>
      </c>
    </row>
    <row r="1312" spans="1:8" x14ac:dyDescent="0.25">
      <c r="A1312" s="10"/>
      <c r="B1312" s="134"/>
      <c r="C1312" s="116"/>
      <c r="D1312" s="116"/>
      <c r="E1312" s="116"/>
      <c r="F1312" s="116"/>
      <c r="G1312" s="162" t="str">
        <f t="shared" si="40"/>
        <v xml:space="preserve"> </v>
      </c>
      <c r="H1312" s="161" t="e">
        <f t="shared" si="41"/>
        <v>#VALUE!</v>
      </c>
    </row>
    <row r="1313" spans="1:8" x14ac:dyDescent="0.25">
      <c r="A1313" s="10"/>
      <c r="B1313" s="134"/>
      <c r="C1313" s="116"/>
      <c r="D1313" s="116"/>
      <c r="E1313" s="116"/>
      <c r="F1313" s="116"/>
      <c r="G1313" s="162" t="str">
        <f t="shared" si="40"/>
        <v xml:space="preserve"> </v>
      </c>
      <c r="H1313" s="161" t="e">
        <f t="shared" si="41"/>
        <v>#VALUE!</v>
      </c>
    </row>
    <row r="1314" spans="1:8" x14ac:dyDescent="0.25">
      <c r="A1314" s="10"/>
      <c r="B1314" s="134"/>
      <c r="C1314" s="116"/>
      <c r="D1314" s="116"/>
      <c r="E1314" s="116"/>
      <c r="F1314" s="116"/>
      <c r="G1314" s="162" t="str">
        <f t="shared" si="40"/>
        <v xml:space="preserve"> </v>
      </c>
      <c r="H1314" s="161" t="e">
        <f t="shared" si="41"/>
        <v>#VALUE!</v>
      </c>
    </row>
    <row r="1315" spans="1:8" x14ac:dyDescent="0.25">
      <c r="A1315" s="10"/>
      <c r="B1315" s="134"/>
      <c r="C1315" s="116"/>
      <c r="D1315" s="116"/>
      <c r="E1315" s="116"/>
      <c r="F1315" s="116"/>
      <c r="G1315" s="162" t="str">
        <f t="shared" si="40"/>
        <v xml:space="preserve"> </v>
      </c>
      <c r="H1315" s="161" t="e">
        <f t="shared" si="41"/>
        <v>#VALUE!</v>
      </c>
    </row>
    <row r="1316" spans="1:8" x14ac:dyDescent="0.25">
      <c r="A1316" s="10"/>
      <c r="B1316" s="134"/>
      <c r="C1316" s="116"/>
      <c r="D1316" s="116"/>
      <c r="E1316" s="116"/>
      <c r="F1316" s="116"/>
      <c r="G1316" s="162" t="str">
        <f t="shared" si="40"/>
        <v xml:space="preserve"> </v>
      </c>
      <c r="H1316" s="161" t="e">
        <f t="shared" si="41"/>
        <v>#VALUE!</v>
      </c>
    </row>
    <row r="1317" spans="1:8" x14ac:dyDescent="0.25">
      <c r="A1317" s="10"/>
      <c r="B1317" s="134"/>
      <c r="C1317" s="116"/>
      <c r="D1317" s="116"/>
      <c r="E1317" s="116"/>
      <c r="F1317" s="116"/>
      <c r="G1317" s="162" t="str">
        <f t="shared" si="40"/>
        <v xml:space="preserve"> </v>
      </c>
      <c r="H1317" s="161" t="e">
        <f t="shared" si="41"/>
        <v>#VALUE!</v>
      </c>
    </row>
    <row r="1318" spans="1:8" x14ac:dyDescent="0.25">
      <c r="A1318" s="10"/>
      <c r="B1318" s="134"/>
      <c r="C1318" s="116"/>
      <c r="D1318" s="116"/>
      <c r="E1318" s="116"/>
      <c r="F1318" s="116"/>
      <c r="G1318" s="162" t="str">
        <f t="shared" si="40"/>
        <v xml:space="preserve"> </v>
      </c>
      <c r="H1318" s="161" t="e">
        <f t="shared" si="41"/>
        <v>#VALUE!</v>
      </c>
    </row>
    <row r="1319" spans="1:8" x14ac:dyDescent="0.25">
      <c r="A1319" s="10"/>
      <c r="B1319" s="134"/>
      <c r="C1319" s="116"/>
      <c r="D1319" s="116"/>
      <c r="E1319" s="116"/>
      <c r="F1319" s="116"/>
      <c r="G1319" s="162" t="str">
        <f t="shared" si="40"/>
        <v xml:space="preserve"> </v>
      </c>
      <c r="H1319" s="161" t="e">
        <f t="shared" si="41"/>
        <v>#VALUE!</v>
      </c>
    </row>
    <row r="1320" spans="1:8" x14ac:dyDescent="0.25">
      <c r="A1320" s="10"/>
      <c r="B1320" s="134"/>
      <c r="C1320" s="116"/>
      <c r="D1320" s="116"/>
      <c r="E1320" s="116"/>
      <c r="F1320" s="116"/>
      <c r="G1320" s="162" t="str">
        <f t="shared" si="40"/>
        <v xml:space="preserve"> </v>
      </c>
      <c r="H1320" s="161" t="e">
        <f t="shared" si="41"/>
        <v>#VALUE!</v>
      </c>
    </row>
    <row r="1321" spans="1:8" x14ac:dyDescent="0.25">
      <c r="A1321" s="10"/>
      <c r="B1321" s="134"/>
      <c r="C1321" s="116"/>
      <c r="D1321" s="116"/>
      <c r="E1321" s="116"/>
      <c r="F1321" s="116"/>
      <c r="G1321" s="162" t="str">
        <f t="shared" si="40"/>
        <v xml:space="preserve"> </v>
      </c>
      <c r="H1321" s="161" t="e">
        <f t="shared" si="41"/>
        <v>#VALUE!</v>
      </c>
    </row>
    <row r="1322" spans="1:8" x14ac:dyDescent="0.25">
      <c r="A1322" s="10"/>
      <c r="B1322" s="134"/>
      <c r="C1322" s="116"/>
      <c r="D1322" s="116"/>
      <c r="E1322" s="116"/>
      <c r="F1322" s="116"/>
      <c r="G1322" s="162" t="str">
        <f t="shared" si="40"/>
        <v xml:space="preserve"> </v>
      </c>
      <c r="H1322" s="161" t="e">
        <f t="shared" si="41"/>
        <v>#VALUE!</v>
      </c>
    </row>
    <row r="1323" spans="1:8" x14ac:dyDescent="0.25">
      <c r="A1323" s="10"/>
      <c r="B1323" s="134"/>
      <c r="C1323" s="116"/>
      <c r="D1323" s="116"/>
      <c r="E1323" s="116"/>
      <c r="F1323" s="116"/>
      <c r="G1323" s="162" t="str">
        <f t="shared" si="40"/>
        <v xml:space="preserve"> </v>
      </c>
      <c r="H1323" s="161" t="e">
        <f t="shared" si="41"/>
        <v>#VALUE!</v>
      </c>
    </row>
    <row r="1324" spans="1:8" x14ac:dyDescent="0.25">
      <c r="A1324" s="10"/>
      <c r="B1324" s="134"/>
      <c r="C1324" s="116"/>
      <c r="D1324" s="116"/>
      <c r="E1324" s="116"/>
      <c r="F1324" s="116"/>
      <c r="G1324" s="162" t="str">
        <f t="shared" si="40"/>
        <v xml:space="preserve"> </v>
      </c>
      <c r="H1324" s="161" t="e">
        <f t="shared" si="41"/>
        <v>#VALUE!</v>
      </c>
    </row>
    <row r="1325" spans="1:8" x14ac:dyDescent="0.25">
      <c r="A1325" s="10"/>
      <c r="B1325" s="134"/>
      <c r="C1325" s="116"/>
      <c r="D1325" s="116"/>
      <c r="E1325" s="116"/>
      <c r="F1325" s="116"/>
      <c r="G1325" s="162" t="str">
        <f t="shared" si="40"/>
        <v xml:space="preserve"> </v>
      </c>
      <c r="H1325" s="161" t="e">
        <f t="shared" si="41"/>
        <v>#VALUE!</v>
      </c>
    </row>
    <row r="1326" spans="1:8" x14ac:dyDescent="0.25">
      <c r="A1326" s="10"/>
      <c r="B1326" s="134"/>
      <c r="C1326" s="116"/>
      <c r="D1326" s="116"/>
      <c r="E1326" s="116"/>
      <c r="F1326" s="116"/>
      <c r="G1326" s="162" t="str">
        <f t="shared" si="40"/>
        <v xml:space="preserve"> </v>
      </c>
      <c r="H1326" s="161" t="e">
        <f t="shared" si="41"/>
        <v>#VALUE!</v>
      </c>
    </row>
    <row r="1327" spans="1:8" x14ac:dyDescent="0.25">
      <c r="A1327" s="10"/>
      <c r="B1327" s="134"/>
      <c r="C1327" s="116"/>
      <c r="D1327" s="116"/>
      <c r="E1327" s="116"/>
      <c r="F1327" s="116"/>
      <c r="G1327" s="162" t="str">
        <f t="shared" si="40"/>
        <v xml:space="preserve"> </v>
      </c>
      <c r="H1327" s="161" t="e">
        <f t="shared" si="41"/>
        <v>#VALUE!</v>
      </c>
    </row>
    <row r="1328" spans="1:8" x14ac:dyDescent="0.25">
      <c r="A1328" s="10"/>
      <c r="B1328" s="134"/>
      <c r="C1328" s="116"/>
      <c r="D1328" s="116"/>
      <c r="E1328" s="116"/>
      <c r="F1328" s="116"/>
      <c r="G1328" s="162" t="str">
        <f t="shared" si="40"/>
        <v xml:space="preserve"> </v>
      </c>
      <c r="H1328" s="161" t="e">
        <f t="shared" si="41"/>
        <v>#VALUE!</v>
      </c>
    </row>
    <row r="1329" spans="1:8" x14ac:dyDescent="0.25">
      <c r="A1329" s="10"/>
      <c r="B1329" s="134"/>
      <c r="C1329" s="116"/>
      <c r="D1329" s="116"/>
      <c r="E1329" s="116"/>
      <c r="F1329" s="116"/>
      <c r="G1329" s="162" t="str">
        <f t="shared" si="40"/>
        <v xml:space="preserve"> </v>
      </c>
      <c r="H1329" s="161" t="e">
        <f t="shared" si="41"/>
        <v>#VALUE!</v>
      </c>
    </row>
    <row r="1330" spans="1:8" x14ac:dyDescent="0.25">
      <c r="A1330" s="10"/>
      <c r="B1330" s="134"/>
      <c r="C1330" s="116"/>
      <c r="D1330" s="116"/>
      <c r="E1330" s="116"/>
      <c r="F1330" s="116"/>
      <c r="G1330" s="162" t="str">
        <f t="shared" si="40"/>
        <v xml:space="preserve"> </v>
      </c>
      <c r="H1330" s="161" t="e">
        <f t="shared" si="41"/>
        <v>#VALUE!</v>
      </c>
    </row>
    <row r="1331" spans="1:8" x14ac:dyDescent="0.25">
      <c r="A1331" s="10"/>
      <c r="B1331" s="134"/>
      <c r="C1331" s="116"/>
      <c r="D1331" s="116"/>
      <c r="E1331" s="116"/>
      <c r="F1331" s="116"/>
      <c r="G1331" s="162" t="str">
        <f t="shared" si="40"/>
        <v xml:space="preserve"> </v>
      </c>
      <c r="H1331" s="161" t="e">
        <f t="shared" si="41"/>
        <v>#VALUE!</v>
      </c>
    </row>
    <row r="1332" spans="1:8" x14ac:dyDescent="0.25">
      <c r="A1332" s="10"/>
      <c r="B1332" s="134"/>
      <c r="C1332" s="116"/>
      <c r="D1332" s="116"/>
      <c r="E1332" s="116"/>
      <c r="F1332" s="116"/>
      <c r="G1332" s="162" t="str">
        <f t="shared" si="40"/>
        <v xml:space="preserve"> </v>
      </c>
      <c r="H1332" s="161" t="e">
        <f t="shared" si="41"/>
        <v>#VALUE!</v>
      </c>
    </row>
    <row r="1333" spans="1:8" x14ac:dyDescent="0.25">
      <c r="A1333" s="10"/>
      <c r="B1333" s="134"/>
      <c r="C1333" s="116"/>
      <c r="D1333" s="116"/>
      <c r="E1333" s="116"/>
      <c r="F1333" s="116"/>
      <c r="G1333" s="162" t="str">
        <f t="shared" si="40"/>
        <v xml:space="preserve"> </v>
      </c>
      <c r="H1333" s="161" t="e">
        <f t="shared" si="41"/>
        <v>#VALUE!</v>
      </c>
    </row>
    <row r="1334" spans="1:8" x14ac:dyDescent="0.25">
      <c r="A1334" s="10"/>
      <c r="B1334" s="134"/>
      <c r="C1334" s="116"/>
      <c r="D1334" s="116"/>
      <c r="E1334" s="116"/>
      <c r="F1334" s="116"/>
      <c r="G1334" s="162" t="str">
        <f t="shared" si="40"/>
        <v xml:space="preserve"> </v>
      </c>
      <c r="H1334" s="161" t="e">
        <f t="shared" si="41"/>
        <v>#VALUE!</v>
      </c>
    </row>
    <row r="1335" spans="1:8" x14ac:dyDescent="0.25">
      <c r="A1335" s="10"/>
      <c r="B1335" s="134"/>
      <c r="C1335" s="116"/>
      <c r="D1335" s="116"/>
      <c r="E1335" s="116"/>
      <c r="F1335" s="116"/>
      <c r="G1335" s="162" t="str">
        <f t="shared" si="40"/>
        <v xml:space="preserve"> </v>
      </c>
      <c r="H1335" s="161" t="e">
        <f t="shared" si="41"/>
        <v>#VALUE!</v>
      </c>
    </row>
    <row r="1336" spans="1:8" x14ac:dyDescent="0.25">
      <c r="A1336" s="10"/>
      <c r="B1336" s="134"/>
      <c r="C1336" s="116"/>
      <c r="D1336" s="116"/>
      <c r="E1336" s="116"/>
      <c r="F1336" s="116"/>
      <c r="G1336" s="162" t="str">
        <f t="shared" si="40"/>
        <v xml:space="preserve"> </v>
      </c>
      <c r="H1336" s="161" t="e">
        <f t="shared" si="41"/>
        <v>#VALUE!</v>
      </c>
    </row>
    <row r="1337" spans="1:8" x14ac:dyDescent="0.25">
      <c r="A1337" s="10"/>
      <c r="B1337" s="134"/>
      <c r="C1337" s="116"/>
      <c r="D1337" s="116"/>
      <c r="E1337" s="116"/>
      <c r="F1337" s="116"/>
      <c r="G1337" s="162" t="str">
        <f t="shared" si="40"/>
        <v xml:space="preserve"> </v>
      </c>
      <c r="H1337" s="161" t="e">
        <f t="shared" si="41"/>
        <v>#VALUE!</v>
      </c>
    </row>
    <row r="1338" spans="1:8" x14ac:dyDescent="0.25">
      <c r="A1338" s="10"/>
      <c r="B1338" s="134"/>
      <c r="C1338" s="116"/>
      <c r="D1338" s="116"/>
      <c r="E1338" s="116"/>
      <c r="F1338" s="116"/>
      <c r="G1338" s="162" t="str">
        <f t="shared" si="40"/>
        <v xml:space="preserve"> </v>
      </c>
      <c r="H1338" s="161" t="e">
        <f t="shared" si="41"/>
        <v>#VALUE!</v>
      </c>
    </row>
    <row r="1339" spans="1:8" x14ac:dyDescent="0.25">
      <c r="A1339" s="10"/>
      <c r="B1339" s="134"/>
      <c r="C1339" s="116"/>
      <c r="D1339" s="116"/>
      <c r="E1339" s="116"/>
      <c r="F1339" s="116"/>
      <c r="G1339" s="162" t="str">
        <f t="shared" si="40"/>
        <v xml:space="preserve"> </v>
      </c>
      <c r="H1339" s="161" t="e">
        <f t="shared" si="41"/>
        <v>#VALUE!</v>
      </c>
    </row>
    <row r="1340" spans="1:8" x14ac:dyDescent="0.25">
      <c r="A1340" s="10"/>
      <c r="B1340" s="134"/>
      <c r="C1340" s="116"/>
      <c r="D1340" s="116"/>
      <c r="E1340" s="116"/>
      <c r="F1340" s="116"/>
      <c r="G1340" s="162" t="str">
        <f t="shared" si="40"/>
        <v xml:space="preserve"> </v>
      </c>
      <c r="H1340" s="161" t="e">
        <f t="shared" si="41"/>
        <v>#VALUE!</v>
      </c>
    </row>
    <row r="1341" spans="1:8" x14ac:dyDescent="0.25">
      <c r="A1341" s="10"/>
      <c r="B1341" s="134"/>
      <c r="C1341" s="116"/>
      <c r="D1341" s="116"/>
      <c r="E1341" s="116"/>
      <c r="F1341" s="116"/>
      <c r="G1341" s="162" t="str">
        <f t="shared" si="40"/>
        <v xml:space="preserve"> </v>
      </c>
      <c r="H1341" s="161" t="e">
        <f t="shared" si="41"/>
        <v>#VALUE!</v>
      </c>
    </row>
    <row r="1342" spans="1:8" x14ac:dyDescent="0.25">
      <c r="A1342" s="10"/>
      <c r="B1342" s="134"/>
      <c r="C1342" s="116"/>
      <c r="D1342" s="116"/>
      <c r="E1342" s="116"/>
      <c r="F1342" s="116"/>
      <c r="G1342" s="162" t="str">
        <f t="shared" si="40"/>
        <v xml:space="preserve"> </v>
      </c>
      <c r="H1342" s="161" t="e">
        <f t="shared" si="41"/>
        <v>#VALUE!</v>
      </c>
    </row>
    <row r="1343" spans="1:8" x14ac:dyDescent="0.25">
      <c r="A1343" s="10"/>
      <c r="B1343" s="134"/>
      <c r="C1343" s="116"/>
      <c r="D1343" s="116"/>
      <c r="E1343" s="116"/>
      <c r="F1343" s="116"/>
      <c r="G1343" s="162" t="str">
        <f t="shared" si="40"/>
        <v xml:space="preserve"> </v>
      </c>
      <c r="H1343" s="161" t="e">
        <f t="shared" si="41"/>
        <v>#VALUE!</v>
      </c>
    </row>
    <row r="1344" spans="1:8" x14ac:dyDescent="0.25">
      <c r="A1344" s="10"/>
      <c r="B1344" s="134"/>
      <c r="C1344" s="116"/>
      <c r="D1344" s="116"/>
      <c r="E1344" s="116"/>
      <c r="F1344" s="116"/>
      <c r="G1344" s="162" t="str">
        <f t="shared" si="40"/>
        <v xml:space="preserve"> </v>
      </c>
      <c r="H1344" s="161" t="e">
        <f t="shared" si="41"/>
        <v>#VALUE!</v>
      </c>
    </row>
    <row r="1345" spans="1:8" x14ac:dyDescent="0.25">
      <c r="A1345" s="10"/>
      <c r="B1345" s="134"/>
      <c r="C1345" s="116"/>
      <c r="D1345" s="116"/>
      <c r="E1345" s="116"/>
      <c r="F1345" s="116"/>
      <c r="G1345" s="162" t="str">
        <f t="shared" si="40"/>
        <v xml:space="preserve"> </v>
      </c>
      <c r="H1345" s="161" t="e">
        <f t="shared" si="41"/>
        <v>#VALUE!</v>
      </c>
    </row>
    <row r="1346" spans="1:8" x14ac:dyDescent="0.25">
      <c r="A1346" s="10"/>
      <c r="B1346" s="134"/>
      <c r="C1346" s="116"/>
      <c r="D1346" s="116"/>
      <c r="E1346" s="116"/>
      <c r="F1346" s="116"/>
      <c r="G1346" s="162" t="str">
        <f t="shared" si="40"/>
        <v xml:space="preserve"> </v>
      </c>
      <c r="H1346" s="161" t="e">
        <f t="shared" si="41"/>
        <v>#VALUE!</v>
      </c>
    </row>
    <row r="1347" spans="1:8" x14ac:dyDescent="0.25">
      <c r="A1347" s="10"/>
      <c r="B1347" s="134"/>
      <c r="C1347" s="116"/>
      <c r="D1347" s="116"/>
      <c r="E1347" s="116"/>
      <c r="F1347" s="116"/>
      <c r="G1347" s="162" t="str">
        <f t="shared" ref="G1347:G1410" si="42">IF(LEFT(A1347,3)="S7P","Pintura",IF(LEFT(A1347,3)="S7M","Montagem",
IF(LEFT(A1347,3)="S7S","Serigrafia"," ")))</f>
        <v xml:space="preserve"> </v>
      </c>
      <c r="H1347" s="161" t="e">
        <f t="shared" ref="H1347:H1410" si="43">VALUE(LEFT(F1347,2))&amp;"h"</f>
        <v>#VALUE!</v>
      </c>
    </row>
    <row r="1348" spans="1:8" x14ac:dyDescent="0.25">
      <c r="A1348" s="10"/>
      <c r="B1348" s="134"/>
      <c r="C1348" s="116"/>
      <c r="D1348" s="116"/>
      <c r="E1348" s="116"/>
      <c r="F1348" s="116"/>
      <c r="G1348" s="162" t="str">
        <f t="shared" si="42"/>
        <v xml:space="preserve"> </v>
      </c>
      <c r="H1348" s="161" t="e">
        <f t="shared" si="43"/>
        <v>#VALUE!</v>
      </c>
    </row>
    <row r="1349" spans="1:8" x14ac:dyDescent="0.25">
      <c r="A1349" s="10"/>
      <c r="B1349" s="134"/>
      <c r="C1349" s="116"/>
      <c r="D1349" s="116"/>
      <c r="E1349" s="116"/>
      <c r="F1349" s="116"/>
      <c r="G1349" s="162" t="str">
        <f t="shared" si="42"/>
        <v xml:space="preserve"> </v>
      </c>
      <c r="H1349" s="161" t="e">
        <f t="shared" si="43"/>
        <v>#VALUE!</v>
      </c>
    </row>
    <row r="1350" spans="1:8" x14ac:dyDescent="0.25">
      <c r="A1350" s="10"/>
      <c r="B1350" s="134"/>
      <c r="C1350" s="116"/>
      <c r="D1350" s="116"/>
      <c r="E1350" s="116"/>
      <c r="F1350" s="116"/>
      <c r="G1350" s="162" t="str">
        <f t="shared" si="42"/>
        <v xml:space="preserve"> </v>
      </c>
      <c r="H1350" s="161" t="e">
        <f t="shared" si="43"/>
        <v>#VALUE!</v>
      </c>
    </row>
    <row r="1351" spans="1:8" x14ac:dyDescent="0.25">
      <c r="A1351" s="10"/>
      <c r="B1351" s="134"/>
      <c r="C1351" s="116"/>
      <c r="D1351" s="116"/>
      <c r="E1351" s="116"/>
      <c r="F1351" s="116"/>
      <c r="G1351" s="162" t="str">
        <f t="shared" si="42"/>
        <v xml:space="preserve"> </v>
      </c>
      <c r="H1351" s="161" t="e">
        <f t="shared" si="43"/>
        <v>#VALUE!</v>
      </c>
    </row>
    <row r="1352" spans="1:8" x14ac:dyDescent="0.25">
      <c r="A1352" s="10"/>
      <c r="B1352" s="134"/>
      <c r="C1352" s="116"/>
      <c r="D1352" s="116"/>
      <c r="E1352" s="116"/>
      <c r="F1352" s="116"/>
      <c r="G1352" s="162" t="str">
        <f t="shared" si="42"/>
        <v xml:space="preserve"> </v>
      </c>
      <c r="H1352" s="161" t="e">
        <f t="shared" si="43"/>
        <v>#VALUE!</v>
      </c>
    </row>
    <row r="1353" spans="1:8" x14ac:dyDescent="0.25">
      <c r="A1353" s="10"/>
      <c r="B1353" s="134"/>
      <c r="C1353" s="116"/>
      <c r="D1353" s="116"/>
      <c r="E1353" s="116"/>
      <c r="F1353" s="116"/>
      <c r="G1353" s="162" t="str">
        <f t="shared" si="42"/>
        <v xml:space="preserve"> </v>
      </c>
      <c r="H1353" s="161" t="e">
        <f t="shared" si="43"/>
        <v>#VALUE!</v>
      </c>
    </row>
    <row r="1354" spans="1:8" x14ac:dyDescent="0.25">
      <c r="A1354" s="10"/>
      <c r="B1354" s="134"/>
      <c r="C1354" s="116"/>
      <c r="D1354" s="116"/>
      <c r="E1354" s="116"/>
      <c r="F1354" s="116"/>
      <c r="G1354" s="162" t="str">
        <f t="shared" si="42"/>
        <v xml:space="preserve"> </v>
      </c>
      <c r="H1354" s="161" t="e">
        <f t="shared" si="43"/>
        <v>#VALUE!</v>
      </c>
    </row>
    <row r="1355" spans="1:8" x14ac:dyDescent="0.25">
      <c r="A1355" s="10"/>
      <c r="B1355" s="134"/>
      <c r="C1355" s="116"/>
      <c r="D1355" s="116"/>
      <c r="E1355" s="116"/>
      <c r="F1355" s="116"/>
      <c r="G1355" s="162" t="str">
        <f t="shared" si="42"/>
        <v xml:space="preserve"> </v>
      </c>
      <c r="H1355" s="161" t="e">
        <f t="shared" si="43"/>
        <v>#VALUE!</v>
      </c>
    </row>
    <row r="1356" spans="1:8" x14ac:dyDescent="0.25">
      <c r="A1356" s="10"/>
      <c r="B1356" s="134"/>
      <c r="C1356" s="116"/>
      <c r="D1356" s="116"/>
      <c r="E1356" s="116"/>
      <c r="F1356" s="116"/>
      <c r="G1356" s="162" t="str">
        <f t="shared" si="42"/>
        <v xml:space="preserve"> </v>
      </c>
      <c r="H1356" s="161" t="e">
        <f t="shared" si="43"/>
        <v>#VALUE!</v>
      </c>
    </row>
    <row r="1357" spans="1:8" x14ac:dyDescent="0.25">
      <c r="A1357" s="10"/>
      <c r="B1357" s="134"/>
      <c r="C1357" s="116"/>
      <c r="D1357" s="116"/>
      <c r="E1357" s="116"/>
      <c r="F1357" s="116"/>
      <c r="G1357" s="162" t="str">
        <f t="shared" si="42"/>
        <v xml:space="preserve"> </v>
      </c>
      <c r="H1357" s="161" t="e">
        <f t="shared" si="43"/>
        <v>#VALUE!</v>
      </c>
    </row>
    <row r="1358" spans="1:8" x14ac:dyDescent="0.25">
      <c r="A1358" s="10"/>
      <c r="B1358" s="134"/>
      <c r="C1358" s="116"/>
      <c r="D1358" s="116"/>
      <c r="E1358" s="116"/>
      <c r="F1358" s="116"/>
      <c r="G1358" s="162" t="str">
        <f t="shared" si="42"/>
        <v xml:space="preserve"> </v>
      </c>
      <c r="H1358" s="161" t="e">
        <f t="shared" si="43"/>
        <v>#VALUE!</v>
      </c>
    </row>
    <row r="1359" spans="1:8" x14ac:dyDescent="0.25">
      <c r="A1359" s="10"/>
      <c r="B1359" s="134"/>
      <c r="C1359" s="116"/>
      <c r="D1359" s="116"/>
      <c r="E1359" s="116"/>
      <c r="F1359" s="116"/>
      <c r="G1359" s="162" t="str">
        <f t="shared" si="42"/>
        <v xml:space="preserve"> </v>
      </c>
      <c r="H1359" s="161" t="e">
        <f t="shared" si="43"/>
        <v>#VALUE!</v>
      </c>
    </row>
    <row r="1360" spans="1:8" x14ac:dyDescent="0.25">
      <c r="A1360" s="10"/>
      <c r="B1360" s="134"/>
      <c r="C1360" s="116"/>
      <c r="D1360" s="116"/>
      <c r="E1360" s="116"/>
      <c r="F1360" s="116"/>
      <c r="G1360" s="162" t="str">
        <f t="shared" si="42"/>
        <v xml:space="preserve"> </v>
      </c>
      <c r="H1360" s="161" t="e">
        <f t="shared" si="43"/>
        <v>#VALUE!</v>
      </c>
    </row>
    <row r="1361" spans="1:8" x14ac:dyDescent="0.25">
      <c r="A1361" s="10"/>
      <c r="B1361" s="134"/>
      <c r="C1361" s="116"/>
      <c r="D1361" s="116"/>
      <c r="E1361" s="116"/>
      <c r="F1361" s="116"/>
      <c r="G1361" s="162" t="str">
        <f t="shared" si="42"/>
        <v xml:space="preserve"> </v>
      </c>
      <c r="H1361" s="161" t="e">
        <f t="shared" si="43"/>
        <v>#VALUE!</v>
      </c>
    </row>
    <row r="1362" spans="1:8" x14ac:dyDescent="0.25">
      <c r="A1362" s="10"/>
      <c r="B1362" s="134"/>
      <c r="C1362" s="116"/>
      <c r="D1362" s="116"/>
      <c r="E1362" s="116"/>
      <c r="F1362" s="116"/>
      <c r="G1362" s="162" t="str">
        <f t="shared" si="42"/>
        <v xml:space="preserve"> </v>
      </c>
      <c r="H1362" s="161" t="e">
        <f t="shared" si="43"/>
        <v>#VALUE!</v>
      </c>
    </row>
    <row r="1363" spans="1:8" x14ac:dyDescent="0.25">
      <c r="A1363" s="10"/>
      <c r="B1363" s="134"/>
      <c r="C1363" s="116"/>
      <c r="D1363" s="116"/>
      <c r="E1363" s="116"/>
      <c r="F1363" s="116"/>
      <c r="G1363" s="162" t="str">
        <f t="shared" si="42"/>
        <v xml:space="preserve"> </v>
      </c>
      <c r="H1363" s="161" t="e">
        <f t="shared" si="43"/>
        <v>#VALUE!</v>
      </c>
    </row>
    <row r="1364" spans="1:8" x14ac:dyDescent="0.25">
      <c r="A1364" s="10"/>
      <c r="B1364" s="134"/>
      <c r="C1364" s="116"/>
      <c r="D1364" s="116"/>
      <c r="E1364" s="116"/>
      <c r="F1364" s="116"/>
      <c r="G1364" s="162" t="str">
        <f t="shared" si="42"/>
        <v xml:space="preserve"> </v>
      </c>
      <c r="H1364" s="161" t="e">
        <f t="shared" si="43"/>
        <v>#VALUE!</v>
      </c>
    </row>
    <row r="1365" spans="1:8" x14ac:dyDescent="0.25">
      <c r="A1365" s="10"/>
      <c r="B1365" s="134"/>
      <c r="C1365" s="116"/>
      <c r="D1365" s="116"/>
      <c r="E1365" s="116"/>
      <c r="F1365" s="116"/>
      <c r="G1365" s="162" t="str">
        <f t="shared" si="42"/>
        <v xml:space="preserve"> </v>
      </c>
      <c r="H1365" s="161" t="e">
        <f t="shared" si="43"/>
        <v>#VALUE!</v>
      </c>
    </row>
    <row r="1366" spans="1:8" x14ac:dyDescent="0.25">
      <c r="A1366" s="10"/>
      <c r="B1366" s="134"/>
      <c r="C1366" s="116"/>
      <c r="D1366" s="116"/>
      <c r="E1366" s="116"/>
      <c r="F1366" s="116"/>
      <c r="G1366" s="162" t="str">
        <f t="shared" si="42"/>
        <v xml:space="preserve"> </v>
      </c>
      <c r="H1366" s="161" t="e">
        <f t="shared" si="43"/>
        <v>#VALUE!</v>
      </c>
    </row>
    <row r="1367" spans="1:8" x14ac:dyDescent="0.25">
      <c r="A1367" s="10"/>
      <c r="B1367" s="134"/>
      <c r="C1367" s="116"/>
      <c r="D1367" s="116"/>
      <c r="E1367" s="116"/>
      <c r="F1367" s="116"/>
      <c r="G1367" s="162" t="str">
        <f t="shared" si="42"/>
        <v xml:space="preserve"> </v>
      </c>
      <c r="H1367" s="161" t="e">
        <f t="shared" si="43"/>
        <v>#VALUE!</v>
      </c>
    </row>
    <row r="1368" spans="1:8" x14ac:dyDescent="0.25">
      <c r="A1368" s="10"/>
      <c r="B1368" s="134"/>
      <c r="C1368" s="116"/>
      <c r="D1368" s="116"/>
      <c r="E1368" s="116"/>
      <c r="F1368" s="116"/>
      <c r="G1368" s="162" t="str">
        <f t="shared" si="42"/>
        <v xml:space="preserve"> </v>
      </c>
      <c r="H1368" s="161" t="e">
        <f t="shared" si="43"/>
        <v>#VALUE!</v>
      </c>
    </row>
    <row r="1369" spans="1:8" x14ac:dyDescent="0.25">
      <c r="A1369" s="10"/>
      <c r="B1369" s="134"/>
      <c r="C1369" s="116"/>
      <c r="D1369" s="116"/>
      <c r="E1369" s="116"/>
      <c r="F1369" s="116"/>
      <c r="G1369" s="162" t="str">
        <f t="shared" si="42"/>
        <v xml:space="preserve"> </v>
      </c>
      <c r="H1369" s="161" t="e">
        <f t="shared" si="43"/>
        <v>#VALUE!</v>
      </c>
    </row>
    <row r="1370" spans="1:8" x14ac:dyDescent="0.25">
      <c r="A1370" s="10"/>
      <c r="B1370" s="134"/>
      <c r="C1370" s="116"/>
      <c r="D1370" s="116"/>
      <c r="E1370" s="116"/>
      <c r="F1370" s="116"/>
      <c r="G1370" s="162" t="str">
        <f t="shared" si="42"/>
        <v xml:space="preserve"> </v>
      </c>
      <c r="H1370" s="161" t="e">
        <f t="shared" si="43"/>
        <v>#VALUE!</v>
      </c>
    </row>
    <row r="1371" spans="1:8" x14ac:dyDescent="0.25">
      <c r="A1371" s="10"/>
      <c r="B1371" s="134"/>
      <c r="C1371" s="116"/>
      <c r="D1371" s="116"/>
      <c r="E1371" s="116"/>
      <c r="F1371" s="116"/>
      <c r="G1371" s="162" t="str">
        <f t="shared" si="42"/>
        <v xml:space="preserve"> </v>
      </c>
      <c r="H1371" s="161" t="e">
        <f t="shared" si="43"/>
        <v>#VALUE!</v>
      </c>
    </row>
    <row r="1372" spans="1:8" x14ac:dyDescent="0.25">
      <c r="A1372" s="10"/>
      <c r="B1372" s="134"/>
      <c r="C1372" s="116"/>
      <c r="D1372" s="116"/>
      <c r="E1372" s="116"/>
      <c r="F1372" s="116"/>
      <c r="G1372" s="162" t="str">
        <f t="shared" si="42"/>
        <v xml:space="preserve"> </v>
      </c>
      <c r="H1372" s="161" t="e">
        <f t="shared" si="43"/>
        <v>#VALUE!</v>
      </c>
    </row>
    <row r="1373" spans="1:8" x14ac:dyDescent="0.25">
      <c r="A1373" s="10"/>
      <c r="B1373" s="134"/>
      <c r="C1373" s="116"/>
      <c r="D1373" s="116"/>
      <c r="E1373" s="116"/>
      <c r="F1373" s="116"/>
      <c r="G1373" s="162" t="str">
        <f t="shared" si="42"/>
        <v xml:space="preserve"> </v>
      </c>
      <c r="H1373" s="161" t="e">
        <f t="shared" si="43"/>
        <v>#VALUE!</v>
      </c>
    </row>
    <row r="1374" spans="1:8" x14ac:dyDescent="0.25">
      <c r="A1374" s="10"/>
      <c r="B1374" s="134"/>
      <c r="C1374" s="116"/>
      <c r="D1374" s="116"/>
      <c r="E1374" s="116"/>
      <c r="F1374" s="116"/>
      <c r="G1374" s="162" t="str">
        <f t="shared" si="42"/>
        <v xml:space="preserve"> </v>
      </c>
      <c r="H1374" s="161" t="e">
        <f t="shared" si="43"/>
        <v>#VALUE!</v>
      </c>
    </row>
    <row r="1375" spans="1:8" x14ac:dyDescent="0.25">
      <c r="A1375" s="10"/>
      <c r="B1375" s="134"/>
      <c r="C1375" s="116"/>
      <c r="D1375" s="116"/>
      <c r="E1375" s="116"/>
      <c r="F1375" s="116"/>
      <c r="G1375" s="162" t="str">
        <f t="shared" si="42"/>
        <v xml:space="preserve"> </v>
      </c>
      <c r="H1375" s="161" t="e">
        <f t="shared" si="43"/>
        <v>#VALUE!</v>
      </c>
    </row>
    <row r="1376" spans="1:8" x14ac:dyDescent="0.25">
      <c r="A1376" s="10"/>
      <c r="B1376" s="134"/>
      <c r="C1376" s="116"/>
      <c r="D1376" s="116"/>
      <c r="E1376" s="116"/>
      <c r="F1376" s="116"/>
      <c r="G1376" s="162" t="str">
        <f t="shared" si="42"/>
        <v xml:space="preserve"> </v>
      </c>
      <c r="H1376" s="161" t="e">
        <f t="shared" si="43"/>
        <v>#VALUE!</v>
      </c>
    </row>
    <row r="1377" spans="1:8" x14ac:dyDescent="0.25">
      <c r="A1377" s="10"/>
      <c r="B1377" s="134"/>
      <c r="C1377" s="116"/>
      <c r="D1377" s="116"/>
      <c r="E1377" s="116"/>
      <c r="F1377" s="116"/>
      <c r="G1377" s="162" t="str">
        <f t="shared" si="42"/>
        <v xml:space="preserve"> </v>
      </c>
      <c r="H1377" s="161" t="e">
        <f t="shared" si="43"/>
        <v>#VALUE!</v>
      </c>
    </row>
    <row r="1378" spans="1:8" x14ac:dyDescent="0.25">
      <c r="A1378" s="10"/>
      <c r="B1378" s="134"/>
      <c r="C1378" s="116"/>
      <c r="D1378" s="116"/>
      <c r="E1378" s="116"/>
      <c r="F1378" s="116"/>
      <c r="G1378" s="162" t="str">
        <f t="shared" si="42"/>
        <v xml:space="preserve"> </v>
      </c>
      <c r="H1378" s="161" t="e">
        <f t="shared" si="43"/>
        <v>#VALUE!</v>
      </c>
    </row>
    <row r="1379" spans="1:8" x14ac:dyDescent="0.25">
      <c r="A1379" s="10"/>
      <c r="B1379" s="134"/>
      <c r="C1379" s="116"/>
      <c r="D1379" s="116"/>
      <c r="E1379" s="116"/>
      <c r="F1379" s="116"/>
      <c r="G1379" s="162" t="str">
        <f t="shared" si="42"/>
        <v xml:space="preserve"> </v>
      </c>
      <c r="H1379" s="161" t="e">
        <f t="shared" si="43"/>
        <v>#VALUE!</v>
      </c>
    </row>
    <row r="1380" spans="1:8" x14ac:dyDescent="0.25">
      <c r="A1380" s="10"/>
      <c r="B1380" s="134"/>
      <c r="C1380" s="116"/>
      <c r="D1380" s="116"/>
      <c r="E1380" s="116"/>
      <c r="F1380" s="116"/>
      <c r="G1380" s="162" t="str">
        <f t="shared" si="42"/>
        <v xml:space="preserve"> </v>
      </c>
      <c r="H1380" s="161" t="e">
        <f t="shared" si="43"/>
        <v>#VALUE!</v>
      </c>
    </row>
    <row r="1381" spans="1:8" x14ac:dyDescent="0.25">
      <c r="A1381" s="10"/>
      <c r="B1381" s="134"/>
      <c r="C1381" s="116"/>
      <c r="D1381" s="116"/>
      <c r="E1381" s="116"/>
      <c r="F1381" s="116"/>
      <c r="G1381" s="162" t="str">
        <f t="shared" si="42"/>
        <v xml:space="preserve"> </v>
      </c>
      <c r="H1381" s="161" t="e">
        <f t="shared" si="43"/>
        <v>#VALUE!</v>
      </c>
    </row>
    <row r="1382" spans="1:8" x14ac:dyDescent="0.25">
      <c r="A1382" s="10"/>
      <c r="B1382" s="134"/>
      <c r="C1382" s="116"/>
      <c r="D1382" s="116"/>
      <c r="E1382" s="116"/>
      <c r="F1382" s="116"/>
      <c r="G1382" s="162" t="str">
        <f t="shared" si="42"/>
        <v xml:space="preserve"> </v>
      </c>
      <c r="H1382" s="161" t="e">
        <f t="shared" si="43"/>
        <v>#VALUE!</v>
      </c>
    </row>
    <row r="1383" spans="1:8" x14ac:dyDescent="0.25">
      <c r="A1383" s="10"/>
      <c r="B1383" s="134"/>
      <c r="C1383" s="116"/>
      <c r="D1383" s="116"/>
      <c r="E1383" s="116"/>
      <c r="F1383" s="116"/>
      <c r="G1383" s="162" t="str">
        <f t="shared" si="42"/>
        <v xml:space="preserve"> </v>
      </c>
      <c r="H1383" s="161" t="e">
        <f t="shared" si="43"/>
        <v>#VALUE!</v>
      </c>
    </row>
    <row r="1384" spans="1:8" x14ac:dyDescent="0.25">
      <c r="A1384" s="10"/>
      <c r="B1384" s="134"/>
      <c r="C1384" s="116"/>
      <c r="D1384" s="116"/>
      <c r="E1384" s="116"/>
      <c r="F1384" s="116"/>
      <c r="G1384" s="162" t="str">
        <f t="shared" si="42"/>
        <v xml:space="preserve"> </v>
      </c>
      <c r="H1384" s="161" t="e">
        <f t="shared" si="43"/>
        <v>#VALUE!</v>
      </c>
    </row>
    <row r="1385" spans="1:8" x14ac:dyDescent="0.25">
      <c r="A1385" s="10"/>
      <c r="B1385" s="134"/>
      <c r="C1385" s="116"/>
      <c r="D1385" s="116"/>
      <c r="E1385" s="116"/>
      <c r="F1385" s="116"/>
      <c r="G1385" s="162" t="str">
        <f t="shared" si="42"/>
        <v xml:space="preserve"> </v>
      </c>
      <c r="H1385" s="161" t="e">
        <f t="shared" si="43"/>
        <v>#VALUE!</v>
      </c>
    </row>
    <row r="1386" spans="1:8" x14ac:dyDescent="0.25">
      <c r="A1386" s="10"/>
      <c r="B1386" s="134"/>
      <c r="C1386" s="116"/>
      <c r="D1386" s="116"/>
      <c r="E1386" s="116"/>
      <c r="F1386" s="116"/>
      <c r="G1386" s="162" t="str">
        <f t="shared" si="42"/>
        <v xml:space="preserve"> </v>
      </c>
      <c r="H1386" s="161" t="e">
        <f t="shared" si="43"/>
        <v>#VALUE!</v>
      </c>
    </row>
    <row r="1387" spans="1:8" x14ac:dyDescent="0.25">
      <c r="A1387" s="10"/>
      <c r="B1387" s="134"/>
      <c r="C1387" s="116"/>
      <c r="D1387" s="116"/>
      <c r="E1387" s="116"/>
      <c r="F1387" s="116"/>
      <c r="G1387" s="162" t="str">
        <f t="shared" si="42"/>
        <v xml:space="preserve"> </v>
      </c>
      <c r="H1387" s="161" t="e">
        <f t="shared" si="43"/>
        <v>#VALUE!</v>
      </c>
    </row>
    <row r="1388" spans="1:8" x14ac:dyDescent="0.25">
      <c r="A1388" s="10"/>
      <c r="B1388" s="134"/>
      <c r="C1388" s="116"/>
      <c r="D1388" s="116"/>
      <c r="E1388" s="116"/>
      <c r="F1388" s="116"/>
      <c r="G1388" s="162" t="str">
        <f t="shared" si="42"/>
        <v xml:space="preserve"> </v>
      </c>
      <c r="H1388" s="161" t="e">
        <f t="shared" si="43"/>
        <v>#VALUE!</v>
      </c>
    </row>
    <row r="1389" spans="1:8" x14ac:dyDescent="0.25">
      <c r="A1389" s="10"/>
      <c r="B1389" s="134"/>
      <c r="C1389" s="116"/>
      <c r="D1389" s="116"/>
      <c r="E1389" s="116"/>
      <c r="F1389" s="116"/>
      <c r="G1389" s="162" t="str">
        <f t="shared" si="42"/>
        <v xml:space="preserve"> </v>
      </c>
      <c r="H1389" s="161" t="e">
        <f t="shared" si="43"/>
        <v>#VALUE!</v>
      </c>
    </row>
    <row r="1390" spans="1:8" x14ac:dyDescent="0.25">
      <c r="A1390" s="10"/>
      <c r="B1390" s="134"/>
      <c r="C1390" s="116"/>
      <c r="D1390" s="116"/>
      <c r="E1390" s="116"/>
      <c r="F1390" s="116"/>
      <c r="G1390" s="162" t="str">
        <f t="shared" si="42"/>
        <v xml:space="preserve"> </v>
      </c>
      <c r="H1390" s="161" t="e">
        <f t="shared" si="43"/>
        <v>#VALUE!</v>
      </c>
    </row>
    <row r="1391" spans="1:8" x14ac:dyDescent="0.25">
      <c r="A1391" s="10"/>
      <c r="B1391" s="134"/>
      <c r="C1391" s="116"/>
      <c r="D1391" s="116"/>
      <c r="E1391" s="116"/>
      <c r="F1391" s="116"/>
      <c r="G1391" s="162" t="str">
        <f t="shared" si="42"/>
        <v xml:space="preserve"> </v>
      </c>
      <c r="H1391" s="161" t="e">
        <f t="shared" si="43"/>
        <v>#VALUE!</v>
      </c>
    </row>
    <row r="1392" spans="1:8" x14ac:dyDescent="0.25">
      <c r="A1392" s="10"/>
      <c r="B1392" s="134"/>
      <c r="C1392" s="116"/>
      <c r="D1392" s="116"/>
      <c r="E1392" s="116"/>
      <c r="F1392" s="116"/>
      <c r="G1392" s="162" t="str">
        <f t="shared" si="42"/>
        <v xml:space="preserve"> </v>
      </c>
      <c r="H1392" s="161" t="e">
        <f t="shared" si="43"/>
        <v>#VALUE!</v>
      </c>
    </row>
    <row r="1393" spans="1:8" x14ac:dyDescent="0.25">
      <c r="A1393" s="10"/>
      <c r="B1393" s="134"/>
      <c r="C1393" s="116"/>
      <c r="D1393" s="116"/>
      <c r="E1393" s="116"/>
      <c r="F1393" s="116"/>
      <c r="G1393" s="162" t="str">
        <f t="shared" si="42"/>
        <v xml:space="preserve"> </v>
      </c>
      <c r="H1393" s="161" t="e">
        <f t="shared" si="43"/>
        <v>#VALUE!</v>
      </c>
    </row>
    <row r="1394" spans="1:8" x14ac:dyDescent="0.25">
      <c r="A1394" s="10"/>
      <c r="B1394" s="134"/>
      <c r="C1394" s="116"/>
      <c r="D1394" s="116"/>
      <c r="E1394" s="116"/>
      <c r="F1394" s="116"/>
      <c r="G1394" s="162" t="str">
        <f t="shared" si="42"/>
        <v xml:space="preserve"> </v>
      </c>
      <c r="H1394" s="161" t="e">
        <f t="shared" si="43"/>
        <v>#VALUE!</v>
      </c>
    </row>
    <row r="1395" spans="1:8" x14ac:dyDescent="0.25">
      <c r="A1395" s="10"/>
      <c r="B1395" s="134"/>
      <c r="C1395" s="116"/>
      <c r="D1395" s="116"/>
      <c r="E1395" s="116"/>
      <c r="F1395" s="116"/>
      <c r="G1395" s="162" t="str">
        <f t="shared" si="42"/>
        <v xml:space="preserve"> </v>
      </c>
      <c r="H1395" s="161" t="e">
        <f t="shared" si="43"/>
        <v>#VALUE!</v>
      </c>
    </row>
    <row r="1396" spans="1:8" x14ac:dyDescent="0.25">
      <c r="A1396" s="10"/>
      <c r="B1396" s="134"/>
      <c r="C1396" s="116"/>
      <c r="D1396" s="116"/>
      <c r="E1396" s="116"/>
      <c r="F1396" s="116"/>
      <c r="G1396" s="162" t="str">
        <f t="shared" si="42"/>
        <v xml:space="preserve"> </v>
      </c>
      <c r="H1396" s="161" t="e">
        <f t="shared" si="43"/>
        <v>#VALUE!</v>
      </c>
    </row>
    <row r="1397" spans="1:8" x14ac:dyDescent="0.25">
      <c r="A1397" s="10"/>
      <c r="B1397" s="134"/>
      <c r="C1397" s="116"/>
      <c r="D1397" s="116"/>
      <c r="E1397" s="116"/>
      <c r="F1397" s="116"/>
      <c r="G1397" s="162" t="str">
        <f t="shared" si="42"/>
        <v xml:space="preserve"> </v>
      </c>
      <c r="H1397" s="161" t="e">
        <f t="shared" si="43"/>
        <v>#VALUE!</v>
      </c>
    </row>
    <row r="1398" spans="1:8" x14ac:dyDescent="0.25">
      <c r="A1398" s="10"/>
      <c r="B1398" s="134"/>
      <c r="C1398" s="116"/>
      <c r="D1398" s="116"/>
      <c r="E1398" s="116"/>
      <c r="F1398" s="116"/>
      <c r="G1398" s="162" t="str">
        <f t="shared" si="42"/>
        <v xml:space="preserve"> </v>
      </c>
      <c r="H1398" s="161" t="e">
        <f t="shared" si="43"/>
        <v>#VALUE!</v>
      </c>
    </row>
    <row r="1399" spans="1:8" x14ac:dyDescent="0.25">
      <c r="A1399" s="10"/>
      <c r="B1399" s="134"/>
      <c r="C1399" s="116"/>
      <c r="D1399" s="116"/>
      <c r="E1399" s="116"/>
      <c r="F1399" s="116"/>
      <c r="G1399" s="162" t="str">
        <f t="shared" si="42"/>
        <v xml:space="preserve"> </v>
      </c>
      <c r="H1399" s="161" t="e">
        <f t="shared" si="43"/>
        <v>#VALUE!</v>
      </c>
    </row>
    <row r="1400" spans="1:8" x14ac:dyDescent="0.25">
      <c r="A1400" s="10"/>
      <c r="B1400" s="134"/>
      <c r="C1400" s="116"/>
      <c r="D1400" s="116"/>
      <c r="E1400" s="116"/>
      <c r="F1400" s="116"/>
      <c r="G1400" s="162" t="str">
        <f t="shared" si="42"/>
        <v xml:space="preserve"> </v>
      </c>
      <c r="H1400" s="161" t="e">
        <f t="shared" si="43"/>
        <v>#VALUE!</v>
      </c>
    </row>
    <row r="1401" spans="1:8" x14ac:dyDescent="0.25">
      <c r="A1401" s="10"/>
      <c r="B1401" s="134"/>
      <c r="C1401" s="116"/>
      <c r="D1401" s="116"/>
      <c r="E1401" s="116"/>
      <c r="F1401" s="116"/>
      <c r="G1401" s="162" t="str">
        <f t="shared" si="42"/>
        <v xml:space="preserve"> </v>
      </c>
      <c r="H1401" s="161" t="e">
        <f t="shared" si="43"/>
        <v>#VALUE!</v>
      </c>
    </row>
    <row r="1402" spans="1:8" x14ac:dyDescent="0.25">
      <c r="A1402" s="10"/>
      <c r="B1402" s="134"/>
      <c r="C1402" s="116"/>
      <c r="D1402" s="116"/>
      <c r="E1402" s="116"/>
      <c r="F1402" s="116"/>
      <c r="G1402" s="162" t="str">
        <f t="shared" si="42"/>
        <v xml:space="preserve"> </v>
      </c>
      <c r="H1402" s="161" t="e">
        <f t="shared" si="43"/>
        <v>#VALUE!</v>
      </c>
    </row>
    <row r="1403" spans="1:8" x14ac:dyDescent="0.25">
      <c r="A1403" s="10"/>
      <c r="B1403" s="134"/>
      <c r="C1403" s="116"/>
      <c r="D1403" s="116"/>
      <c r="E1403" s="116"/>
      <c r="F1403" s="116"/>
      <c r="G1403" s="162" t="str">
        <f t="shared" si="42"/>
        <v xml:space="preserve"> </v>
      </c>
      <c r="H1403" s="161" t="e">
        <f t="shared" si="43"/>
        <v>#VALUE!</v>
      </c>
    </row>
    <row r="1404" spans="1:8" x14ac:dyDescent="0.25">
      <c r="A1404" s="10"/>
      <c r="B1404" s="134"/>
      <c r="C1404" s="116"/>
      <c r="D1404" s="116"/>
      <c r="E1404" s="116"/>
      <c r="F1404" s="116"/>
      <c r="G1404" s="162" t="str">
        <f t="shared" si="42"/>
        <v xml:space="preserve"> </v>
      </c>
      <c r="H1404" s="161" t="e">
        <f t="shared" si="43"/>
        <v>#VALUE!</v>
      </c>
    </row>
    <row r="1405" spans="1:8" x14ac:dyDescent="0.25">
      <c r="A1405" s="10"/>
      <c r="B1405" s="134"/>
      <c r="C1405" s="116"/>
      <c r="D1405" s="116"/>
      <c r="E1405" s="116"/>
      <c r="F1405" s="116"/>
      <c r="G1405" s="162" t="str">
        <f t="shared" si="42"/>
        <v xml:space="preserve"> </v>
      </c>
      <c r="H1405" s="161" t="e">
        <f t="shared" si="43"/>
        <v>#VALUE!</v>
      </c>
    </row>
    <row r="1406" spans="1:8" x14ac:dyDescent="0.25">
      <c r="A1406" s="10"/>
      <c r="B1406" s="134"/>
      <c r="C1406" s="116"/>
      <c r="D1406" s="116"/>
      <c r="E1406" s="116"/>
      <c r="F1406" s="116"/>
      <c r="G1406" s="162" t="str">
        <f t="shared" si="42"/>
        <v xml:space="preserve"> </v>
      </c>
      <c r="H1406" s="161" t="e">
        <f t="shared" si="43"/>
        <v>#VALUE!</v>
      </c>
    </row>
    <row r="1407" spans="1:8" x14ac:dyDescent="0.25">
      <c r="A1407" s="10"/>
      <c r="B1407" s="134"/>
      <c r="C1407" s="116"/>
      <c r="D1407" s="116"/>
      <c r="E1407" s="116"/>
      <c r="F1407" s="116"/>
      <c r="G1407" s="162" t="str">
        <f t="shared" si="42"/>
        <v xml:space="preserve"> </v>
      </c>
      <c r="H1407" s="161" t="e">
        <f t="shared" si="43"/>
        <v>#VALUE!</v>
      </c>
    </row>
    <row r="1408" spans="1:8" x14ac:dyDescent="0.25">
      <c r="A1408" s="10"/>
      <c r="B1408" s="134"/>
      <c r="C1408" s="116"/>
      <c r="D1408" s="116"/>
      <c r="E1408" s="116"/>
      <c r="F1408" s="116"/>
      <c r="G1408" s="162" t="str">
        <f t="shared" si="42"/>
        <v xml:space="preserve"> </v>
      </c>
      <c r="H1408" s="161" t="e">
        <f t="shared" si="43"/>
        <v>#VALUE!</v>
      </c>
    </row>
    <row r="1409" spans="1:8" x14ac:dyDescent="0.25">
      <c r="A1409" s="10"/>
      <c r="B1409" s="134"/>
      <c r="C1409" s="116"/>
      <c r="D1409" s="116"/>
      <c r="E1409" s="116"/>
      <c r="F1409" s="116"/>
      <c r="G1409" s="162" t="str">
        <f t="shared" si="42"/>
        <v xml:space="preserve"> </v>
      </c>
      <c r="H1409" s="161" t="e">
        <f t="shared" si="43"/>
        <v>#VALUE!</v>
      </c>
    </row>
    <row r="1410" spans="1:8" x14ac:dyDescent="0.25">
      <c r="A1410" s="10"/>
      <c r="B1410" s="134"/>
      <c r="C1410" s="116"/>
      <c r="D1410" s="116"/>
      <c r="E1410" s="116"/>
      <c r="F1410" s="116"/>
      <c r="G1410" s="162" t="str">
        <f t="shared" si="42"/>
        <v xml:space="preserve"> </v>
      </c>
      <c r="H1410" s="161" t="e">
        <f t="shared" si="43"/>
        <v>#VALUE!</v>
      </c>
    </row>
    <row r="1411" spans="1:8" x14ac:dyDescent="0.25">
      <c r="A1411" s="10"/>
      <c r="B1411" s="134"/>
      <c r="C1411" s="116"/>
      <c r="D1411" s="116"/>
      <c r="E1411" s="116"/>
      <c r="F1411" s="116"/>
      <c r="G1411" s="162" t="str">
        <f t="shared" ref="G1411:G1474" si="44">IF(LEFT(A1411,3)="S7P","Pintura",IF(LEFT(A1411,3)="S7M","Montagem",
IF(LEFT(A1411,3)="S7S","Serigrafia"," ")))</f>
        <v xml:space="preserve"> </v>
      </c>
      <c r="H1411" s="161" t="e">
        <f t="shared" ref="H1411:H1474" si="45">VALUE(LEFT(F1411,2))&amp;"h"</f>
        <v>#VALUE!</v>
      </c>
    </row>
    <row r="1412" spans="1:8" x14ac:dyDescent="0.25">
      <c r="A1412" s="10"/>
      <c r="B1412" s="134"/>
      <c r="C1412" s="116"/>
      <c r="D1412" s="116"/>
      <c r="E1412" s="116"/>
      <c r="F1412" s="116"/>
      <c r="G1412" s="162" t="str">
        <f t="shared" si="44"/>
        <v xml:space="preserve"> </v>
      </c>
      <c r="H1412" s="161" t="e">
        <f t="shared" si="45"/>
        <v>#VALUE!</v>
      </c>
    </row>
    <row r="1413" spans="1:8" x14ac:dyDescent="0.25">
      <c r="A1413" s="10"/>
      <c r="B1413" s="134"/>
      <c r="C1413" s="116"/>
      <c r="D1413" s="116"/>
      <c r="E1413" s="116"/>
      <c r="F1413" s="116"/>
      <c r="G1413" s="162" t="str">
        <f t="shared" si="44"/>
        <v xml:space="preserve"> </v>
      </c>
      <c r="H1413" s="161" t="e">
        <f t="shared" si="45"/>
        <v>#VALUE!</v>
      </c>
    </row>
    <row r="1414" spans="1:8" x14ac:dyDescent="0.25">
      <c r="A1414" s="10"/>
      <c r="B1414" s="134"/>
      <c r="C1414" s="116"/>
      <c r="D1414" s="116"/>
      <c r="E1414" s="116"/>
      <c r="F1414" s="116"/>
      <c r="G1414" s="162" t="str">
        <f t="shared" si="44"/>
        <v xml:space="preserve"> </v>
      </c>
      <c r="H1414" s="161" t="e">
        <f t="shared" si="45"/>
        <v>#VALUE!</v>
      </c>
    </row>
    <row r="1415" spans="1:8" x14ac:dyDescent="0.25">
      <c r="A1415" s="10"/>
      <c r="B1415" s="134"/>
      <c r="C1415" s="116"/>
      <c r="D1415" s="116"/>
      <c r="E1415" s="116"/>
      <c r="F1415" s="116"/>
      <c r="G1415" s="162" t="str">
        <f t="shared" si="44"/>
        <v xml:space="preserve"> </v>
      </c>
      <c r="H1415" s="161" t="e">
        <f t="shared" si="45"/>
        <v>#VALUE!</v>
      </c>
    </row>
    <row r="1416" spans="1:8" x14ac:dyDescent="0.25">
      <c r="A1416" s="10"/>
      <c r="B1416" s="134"/>
      <c r="C1416" s="116"/>
      <c r="D1416" s="116"/>
      <c r="E1416" s="116"/>
      <c r="F1416" s="116"/>
      <c r="G1416" s="162" t="str">
        <f t="shared" si="44"/>
        <v xml:space="preserve"> </v>
      </c>
      <c r="H1416" s="161" t="e">
        <f t="shared" si="45"/>
        <v>#VALUE!</v>
      </c>
    </row>
    <row r="1417" spans="1:8" x14ac:dyDescent="0.25">
      <c r="A1417" s="10"/>
      <c r="B1417" s="134"/>
      <c r="C1417" s="116"/>
      <c r="D1417" s="116"/>
      <c r="E1417" s="116"/>
      <c r="F1417" s="116"/>
      <c r="G1417" s="162" t="str">
        <f t="shared" si="44"/>
        <v xml:space="preserve"> </v>
      </c>
      <c r="H1417" s="161" t="e">
        <f t="shared" si="45"/>
        <v>#VALUE!</v>
      </c>
    </row>
    <row r="1418" spans="1:8" x14ac:dyDescent="0.25">
      <c r="A1418" s="10"/>
      <c r="B1418" s="134"/>
      <c r="C1418" s="116"/>
      <c r="D1418" s="116"/>
      <c r="E1418" s="116"/>
      <c r="F1418" s="116"/>
      <c r="G1418" s="162" t="str">
        <f t="shared" si="44"/>
        <v xml:space="preserve"> </v>
      </c>
      <c r="H1418" s="161" t="e">
        <f t="shared" si="45"/>
        <v>#VALUE!</v>
      </c>
    </row>
    <row r="1419" spans="1:8" x14ac:dyDescent="0.25">
      <c r="A1419" s="10"/>
      <c r="B1419" s="134"/>
      <c r="C1419" s="116"/>
      <c r="D1419" s="116"/>
      <c r="E1419" s="116"/>
      <c r="F1419" s="116"/>
      <c r="G1419" s="162" t="str">
        <f t="shared" si="44"/>
        <v xml:space="preserve"> </v>
      </c>
      <c r="H1419" s="161" t="e">
        <f t="shared" si="45"/>
        <v>#VALUE!</v>
      </c>
    </row>
    <row r="1420" spans="1:8" x14ac:dyDescent="0.25">
      <c r="A1420" s="10"/>
      <c r="B1420" s="134"/>
      <c r="C1420" s="116"/>
      <c r="D1420" s="116"/>
      <c r="E1420" s="116"/>
      <c r="F1420" s="116"/>
      <c r="G1420" s="162" t="str">
        <f t="shared" si="44"/>
        <v xml:space="preserve"> </v>
      </c>
      <c r="H1420" s="161" t="e">
        <f t="shared" si="45"/>
        <v>#VALUE!</v>
      </c>
    </row>
    <row r="1421" spans="1:8" x14ac:dyDescent="0.25">
      <c r="A1421" s="10"/>
      <c r="B1421" s="134"/>
      <c r="C1421" s="116"/>
      <c r="D1421" s="116"/>
      <c r="E1421" s="116"/>
      <c r="F1421" s="116"/>
      <c r="G1421" s="162" t="str">
        <f t="shared" si="44"/>
        <v xml:space="preserve"> </v>
      </c>
      <c r="H1421" s="161" t="e">
        <f t="shared" si="45"/>
        <v>#VALUE!</v>
      </c>
    </row>
    <row r="1422" spans="1:8" x14ac:dyDescent="0.25">
      <c r="A1422" s="10"/>
      <c r="B1422" s="134"/>
      <c r="C1422" s="116"/>
      <c r="D1422" s="116"/>
      <c r="E1422" s="116"/>
      <c r="F1422" s="116"/>
      <c r="G1422" s="162" t="str">
        <f t="shared" si="44"/>
        <v xml:space="preserve"> </v>
      </c>
      <c r="H1422" s="161" t="e">
        <f t="shared" si="45"/>
        <v>#VALUE!</v>
      </c>
    </row>
    <row r="1423" spans="1:8" x14ac:dyDescent="0.25">
      <c r="A1423" s="10"/>
      <c r="B1423" s="134"/>
      <c r="C1423" s="116"/>
      <c r="D1423" s="116"/>
      <c r="E1423" s="116"/>
      <c r="F1423" s="116"/>
      <c r="G1423" s="162" t="str">
        <f t="shared" si="44"/>
        <v xml:space="preserve"> </v>
      </c>
      <c r="H1423" s="161" t="e">
        <f t="shared" si="45"/>
        <v>#VALUE!</v>
      </c>
    </row>
    <row r="1424" spans="1:8" x14ac:dyDescent="0.25">
      <c r="A1424" s="10"/>
      <c r="B1424" s="134"/>
      <c r="C1424" s="116"/>
      <c r="D1424" s="116"/>
      <c r="E1424" s="116"/>
      <c r="F1424" s="116"/>
      <c r="G1424" s="162" t="str">
        <f t="shared" si="44"/>
        <v xml:space="preserve"> </v>
      </c>
      <c r="H1424" s="161" t="e">
        <f t="shared" si="45"/>
        <v>#VALUE!</v>
      </c>
    </row>
    <row r="1425" spans="1:8" x14ac:dyDescent="0.25">
      <c r="A1425" s="10"/>
      <c r="B1425" s="134"/>
      <c r="C1425" s="116"/>
      <c r="D1425" s="116"/>
      <c r="E1425" s="116"/>
      <c r="F1425" s="116"/>
      <c r="G1425" s="162" t="str">
        <f t="shared" si="44"/>
        <v xml:space="preserve"> </v>
      </c>
      <c r="H1425" s="161" t="e">
        <f t="shared" si="45"/>
        <v>#VALUE!</v>
      </c>
    </row>
    <row r="1426" spans="1:8" x14ac:dyDescent="0.25">
      <c r="A1426" s="10"/>
      <c r="B1426" s="134"/>
      <c r="C1426" s="116"/>
      <c r="D1426" s="116"/>
      <c r="E1426" s="116"/>
      <c r="F1426" s="116"/>
      <c r="G1426" s="162" t="str">
        <f t="shared" si="44"/>
        <v xml:space="preserve"> </v>
      </c>
      <c r="H1426" s="161" t="e">
        <f t="shared" si="45"/>
        <v>#VALUE!</v>
      </c>
    </row>
    <row r="1427" spans="1:8" x14ac:dyDescent="0.25">
      <c r="A1427" s="10"/>
      <c r="B1427" s="134"/>
      <c r="C1427" s="116"/>
      <c r="D1427" s="116"/>
      <c r="E1427" s="116"/>
      <c r="F1427" s="116"/>
      <c r="G1427" s="162" t="str">
        <f t="shared" si="44"/>
        <v xml:space="preserve"> </v>
      </c>
      <c r="H1427" s="161" t="e">
        <f t="shared" si="45"/>
        <v>#VALUE!</v>
      </c>
    </row>
    <row r="1428" spans="1:8" x14ac:dyDescent="0.25">
      <c r="A1428" s="10"/>
      <c r="B1428" s="134"/>
      <c r="C1428" s="116"/>
      <c r="D1428" s="116"/>
      <c r="E1428" s="116"/>
      <c r="F1428" s="116"/>
      <c r="G1428" s="162" t="str">
        <f t="shared" si="44"/>
        <v xml:space="preserve"> </v>
      </c>
      <c r="H1428" s="161" t="e">
        <f t="shared" si="45"/>
        <v>#VALUE!</v>
      </c>
    </row>
    <row r="1429" spans="1:8" x14ac:dyDescent="0.25">
      <c r="A1429" s="10"/>
      <c r="B1429" s="134"/>
      <c r="C1429" s="116"/>
      <c r="D1429" s="116"/>
      <c r="E1429" s="116"/>
      <c r="F1429" s="116"/>
      <c r="G1429" s="162" t="str">
        <f t="shared" si="44"/>
        <v xml:space="preserve"> </v>
      </c>
      <c r="H1429" s="161" t="e">
        <f t="shared" si="45"/>
        <v>#VALUE!</v>
      </c>
    </row>
    <row r="1430" spans="1:8" x14ac:dyDescent="0.25">
      <c r="A1430" s="10"/>
      <c r="B1430" s="134"/>
      <c r="C1430" s="116"/>
      <c r="D1430" s="116"/>
      <c r="E1430" s="116"/>
      <c r="F1430" s="116"/>
      <c r="G1430" s="162" t="str">
        <f t="shared" si="44"/>
        <v xml:space="preserve"> </v>
      </c>
      <c r="H1430" s="161" t="e">
        <f t="shared" si="45"/>
        <v>#VALUE!</v>
      </c>
    </row>
    <row r="1431" spans="1:8" x14ac:dyDescent="0.25">
      <c r="A1431" s="10"/>
      <c r="B1431" s="134"/>
      <c r="C1431" s="116"/>
      <c r="D1431" s="116"/>
      <c r="E1431" s="116"/>
      <c r="F1431" s="116"/>
      <c r="G1431" s="162" t="str">
        <f t="shared" si="44"/>
        <v xml:space="preserve"> </v>
      </c>
      <c r="H1431" s="161" t="e">
        <f t="shared" si="45"/>
        <v>#VALUE!</v>
      </c>
    </row>
    <row r="1432" spans="1:8" x14ac:dyDescent="0.25">
      <c r="A1432" s="10"/>
      <c r="B1432" s="134"/>
      <c r="C1432" s="116"/>
      <c r="D1432" s="116"/>
      <c r="E1432" s="116"/>
      <c r="F1432" s="116"/>
      <c r="G1432" s="162" t="str">
        <f t="shared" si="44"/>
        <v xml:space="preserve"> </v>
      </c>
      <c r="H1432" s="161" t="e">
        <f t="shared" si="45"/>
        <v>#VALUE!</v>
      </c>
    </row>
    <row r="1433" spans="1:8" x14ac:dyDescent="0.25">
      <c r="A1433" s="10"/>
      <c r="B1433" s="134"/>
      <c r="C1433" s="116"/>
      <c r="D1433" s="116"/>
      <c r="E1433" s="116"/>
      <c r="F1433" s="116"/>
      <c r="G1433" s="162" t="str">
        <f t="shared" si="44"/>
        <v xml:space="preserve"> </v>
      </c>
      <c r="H1433" s="161" t="e">
        <f t="shared" si="45"/>
        <v>#VALUE!</v>
      </c>
    </row>
    <row r="1434" spans="1:8" x14ac:dyDescent="0.25">
      <c r="A1434" s="10"/>
      <c r="B1434" s="134"/>
      <c r="C1434" s="116"/>
      <c r="D1434" s="116"/>
      <c r="E1434" s="116"/>
      <c r="F1434" s="116"/>
      <c r="G1434" s="162" t="str">
        <f t="shared" si="44"/>
        <v xml:space="preserve"> </v>
      </c>
      <c r="H1434" s="161" t="e">
        <f t="shared" si="45"/>
        <v>#VALUE!</v>
      </c>
    </row>
    <row r="1435" spans="1:8" x14ac:dyDescent="0.25">
      <c r="A1435" s="10"/>
      <c r="B1435" s="134"/>
      <c r="C1435" s="116"/>
      <c r="D1435" s="116"/>
      <c r="E1435" s="116"/>
      <c r="F1435" s="116"/>
      <c r="G1435" s="162" t="str">
        <f t="shared" si="44"/>
        <v xml:space="preserve"> </v>
      </c>
      <c r="H1435" s="161" t="e">
        <f t="shared" si="45"/>
        <v>#VALUE!</v>
      </c>
    </row>
    <row r="1436" spans="1:8" x14ac:dyDescent="0.25">
      <c r="A1436" s="10"/>
      <c r="B1436" s="134"/>
      <c r="C1436" s="116"/>
      <c r="D1436" s="116"/>
      <c r="E1436" s="116"/>
      <c r="F1436" s="116"/>
      <c r="G1436" s="162" t="str">
        <f t="shared" si="44"/>
        <v xml:space="preserve"> </v>
      </c>
      <c r="H1436" s="161" t="e">
        <f t="shared" si="45"/>
        <v>#VALUE!</v>
      </c>
    </row>
    <row r="1437" spans="1:8" x14ac:dyDescent="0.25">
      <c r="A1437" s="10"/>
      <c r="B1437" s="134"/>
      <c r="C1437" s="116"/>
      <c r="D1437" s="116"/>
      <c r="E1437" s="116"/>
      <c r="F1437" s="116"/>
      <c r="G1437" s="162" t="str">
        <f t="shared" si="44"/>
        <v xml:space="preserve"> </v>
      </c>
      <c r="H1437" s="161" t="e">
        <f t="shared" si="45"/>
        <v>#VALUE!</v>
      </c>
    </row>
    <row r="1438" spans="1:8" x14ac:dyDescent="0.25">
      <c r="A1438" s="10"/>
      <c r="B1438" s="134"/>
      <c r="C1438" s="116"/>
      <c r="D1438" s="116"/>
      <c r="E1438" s="116"/>
      <c r="F1438" s="116"/>
      <c r="G1438" s="162" t="str">
        <f t="shared" si="44"/>
        <v xml:space="preserve"> </v>
      </c>
      <c r="H1438" s="161" t="e">
        <f t="shared" si="45"/>
        <v>#VALUE!</v>
      </c>
    </row>
    <row r="1439" spans="1:8" x14ac:dyDescent="0.25">
      <c r="A1439" s="10"/>
      <c r="B1439" s="134"/>
      <c r="C1439" s="116"/>
      <c r="D1439" s="116"/>
      <c r="E1439" s="116"/>
      <c r="F1439" s="116"/>
      <c r="G1439" s="162" t="str">
        <f t="shared" si="44"/>
        <v xml:space="preserve"> </v>
      </c>
      <c r="H1439" s="161" t="e">
        <f t="shared" si="45"/>
        <v>#VALUE!</v>
      </c>
    </row>
    <row r="1440" spans="1:8" x14ac:dyDescent="0.25">
      <c r="A1440" s="10"/>
      <c r="B1440" s="134"/>
      <c r="C1440" s="116"/>
      <c r="D1440" s="116"/>
      <c r="E1440" s="116"/>
      <c r="F1440" s="116"/>
      <c r="G1440" s="162" t="str">
        <f t="shared" si="44"/>
        <v xml:space="preserve"> </v>
      </c>
      <c r="H1440" s="161" t="e">
        <f t="shared" si="45"/>
        <v>#VALUE!</v>
      </c>
    </row>
    <row r="1441" spans="1:8" x14ac:dyDescent="0.25">
      <c r="A1441" s="10"/>
      <c r="B1441" s="134"/>
      <c r="C1441" s="116"/>
      <c r="D1441" s="116"/>
      <c r="E1441" s="116"/>
      <c r="F1441" s="116"/>
      <c r="G1441" s="162" t="str">
        <f t="shared" si="44"/>
        <v xml:space="preserve"> </v>
      </c>
      <c r="H1441" s="161" t="e">
        <f t="shared" si="45"/>
        <v>#VALUE!</v>
      </c>
    </row>
    <row r="1442" spans="1:8" x14ac:dyDescent="0.25">
      <c r="A1442" s="10"/>
      <c r="B1442" s="134"/>
      <c r="C1442" s="116"/>
      <c r="D1442" s="116"/>
      <c r="E1442" s="116"/>
      <c r="F1442" s="116"/>
      <c r="G1442" s="162" t="str">
        <f t="shared" si="44"/>
        <v xml:space="preserve"> </v>
      </c>
      <c r="H1442" s="161" t="e">
        <f t="shared" si="45"/>
        <v>#VALUE!</v>
      </c>
    </row>
    <row r="1443" spans="1:8" x14ac:dyDescent="0.25">
      <c r="A1443" s="10"/>
      <c r="B1443" s="134"/>
      <c r="C1443" s="116"/>
      <c r="D1443" s="116"/>
      <c r="E1443" s="116"/>
      <c r="F1443" s="116"/>
      <c r="G1443" s="162" t="str">
        <f t="shared" si="44"/>
        <v xml:space="preserve"> </v>
      </c>
      <c r="H1443" s="161" t="e">
        <f t="shared" si="45"/>
        <v>#VALUE!</v>
      </c>
    </row>
    <row r="1444" spans="1:8" x14ac:dyDescent="0.25">
      <c r="A1444" s="10"/>
      <c r="B1444" s="134"/>
      <c r="C1444" s="116"/>
      <c r="D1444" s="116"/>
      <c r="E1444" s="116"/>
      <c r="F1444" s="116"/>
      <c r="G1444" s="162" t="str">
        <f t="shared" si="44"/>
        <v xml:space="preserve"> </v>
      </c>
      <c r="H1444" s="161" t="e">
        <f t="shared" si="45"/>
        <v>#VALUE!</v>
      </c>
    </row>
    <row r="1445" spans="1:8" x14ac:dyDescent="0.25">
      <c r="A1445" s="10"/>
      <c r="B1445" s="134"/>
      <c r="C1445" s="116"/>
      <c r="D1445" s="116"/>
      <c r="E1445" s="116"/>
      <c r="F1445" s="116"/>
      <c r="G1445" s="162" t="str">
        <f t="shared" si="44"/>
        <v xml:space="preserve"> </v>
      </c>
      <c r="H1445" s="161" t="e">
        <f t="shared" si="45"/>
        <v>#VALUE!</v>
      </c>
    </row>
    <row r="1446" spans="1:8" x14ac:dyDescent="0.25">
      <c r="A1446" s="10"/>
      <c r="B1446" s="134"/>
      <c r="C1446" s="116"/>
      <c r="D1446" s="116"/>
      <c r="E1446" s="116"/>
      <c r="F1446" s="116"/>
      <c r="G1446" s="162" t="str">
        <f t="shared" si="44"/>
        <v xml:space="preserve"> </v>
      </c>
      <c r="H1446" s="161" t="e">
        <f t="shared" si="45"/>
        <v>#VALUE!</v>
      </c>
    </row>
    <row r="1447" spans="1:8" x14ac:dyDescent="0.25">
      <c r="A1447" s="10"/>
      <c r="B1447" s="134"/>
      <c r="C1447" s="116"/>
      <c r="D1447" s="116"/>
      <c r="E1447" s="116"/>
      <c r="F1447" s="116"/>
      <c r="G1447" s="162" t="str">
        <f t="shared" si="44"/>
        <v xml:space="preserve"> </v>
      </c>
      <c r="H1447" s="161" t="e">
        <f t="shared" si="45"/>
        <v>#VALUE!</v>
      </c>
    </row>
    <row r="1448" spans="1:8" x14ac:dyDescent="0.25">
      <c r="A1448" s="10"/>
      <c r="B1448" s="134"/>
      <c r="C1448" s="116"/>
      <c r="D1448" s="116"/>
      <c r="E1448" s="116"/>
      <c r="F1448" s="116"/>
      <c r="G1448" s="162" t="str">
        <f t="shared" si="44"/>
        <v xml:space="preserve"> </v>
      </c>
      <c r="H1448" s="161" t="e">
        <f t="shared" si="45"/>
        <v>#VALUE!</v>
      </c>
    </row>
    <row r="1449" spans="1:8" x14ac:dyDescent="0.25">
      <c r="A1449" s="10"/>
      <c r="B1449" s="134"/>
      <c r="C1449" s="116"/>
      <c r="D1449" s="116"/>
      <c r="E1449" s="116"/>
      <c r="F1449" s="116"/>
      <c r="G1449" s="162" t="str">
        <f t="shared" si="44"/>
        <v xml:space="preserve"> </v>
      </c>
      <c r="H1449" s="161" t="e">
        <f t="shared" si="45"/>
        <v>#VALUE!</v>
      </c>
    </row>
    <row r="1450" spans="1:8" x14ac:dyDescent="0.25">
      <c r="A1450" s="10"/>
      <c r="B1450" s="134"/>
      <c r="C1450" s="116"/>
      <c r="D1450" s="116"/>
      <c r="E1450" s="116"/>
      <c r="F1450" s="116"/>
      <c r="G1450" s="162" t="str">
        <f t="shared" si="44"/>
        <v xml:space="preserve"> </v>
      </c>
      <c r="H1450" s="161" t="e">
        <f t="shared" si="45"/>
        <v>#VALUE!</v>
      </c>
    </row>
    <row r="1451" spans="1:8" x14ac:dyDescent="0.25">
      <c r="A1451" s="10"/>
      <c r="B1451" s="134"/>
      <c r="C1451" s="116"/>
      <c r="D1451" s="116"/>
      <c r="E1451" s="116"/>
      <c r="F1451" s="116"/>
      <c r="G1451" s="162" t="str">
        <f t="shared" si="44"/>
        <v xml:space="preserve"> </v>
      </c>
      <c r="H1451" s="161" t="e">
        <f t="shared" si="45"/>
        <v>#VALUE!</v>
      </c>
    </row>
    <row r="1452" spans="1:8" x14ac:dyDescent="0.25">
      <c r="A1452" s="10"/>
      <c r="B1452" s="134"/>
      <c r="C1452" s="116"/>
      <c r="D1452" s="116"/>
      <c r="E1452" s="116"/>
      <c r="F1452" s="116"/>
      <c r="G1452" s="162" t="str">
        <f t="shared" si="44"/>
        <v xml:space="preserve"> </v>
      </c>
      <c r="H1452" s="161" t="e">
        <f t="shared" si="45"/>
        <v>#VALUE!</v>
      </c>
    </row>
    <row r="1453" spans="1:8" x14ac:dyDescent="0.25">
      <c r="A1453" s="10"/>
      <c r="B1453" s="134"/>
      <c r="C1453" s="116"/>
      <c r="D1453" s="116"/>
      <c r="E1453" s="116"/>
      <c r="F1453" s="116"/>
      <c r="G1453" s="162" t="str">
        <f t="shared" si="44"/>
        <v xml:space="preserve"> </v>
      </c>
      <c r="H1453" s="161" t="e">
        <f t="shared" si="45"/>
        <v>#VALUE!</v>
      </c>
    </row>
    <row r="1454" spans="1:8" x14ac:dyDescent="0.25">
      <c r="A1454" s="10"/>
      <c r="B1454" s="134"/>
      <c r="C1454" s="116"/>
      <c r="D1454" s="116"/>
      <c r="E1454" s="116"/>
      <c r="F1454" s="116"/>
      <c r="G1454" s="162" t="str">
        <f t="shared" si="44"/>
        <v xml:space="preserve"> </v>
      </c>
      <c r="H1454" s="161" t="e">
        <f t="shared" si="45"/>
        <v>#VALUE!</v>
      </c>
    </row>
    <row r="1455" spans="1:8" x14ac:dyDescent="0.25">
      <c r="A1455" s="10"/>
      <c r="B1455" s="134"/>
      <c r="C1455" s="116"/>
      <c r="D1455" s="116"/>
      <c r="E1455" s="116"/>
      <c r="F1455" s="116"/>
      <c r="G1455" s="162" t="str">
        <f t="shared" si="44"/>
        <v xml:space="preserve"> </v>
      </c>
      <c r="H1455" s="161" t="e">
        <f t="shared" si="45"/>
        <v>#VALUE!</v>
      </c>
    </row>
    <row r="1456" spans="1:8" x14ac:dyDescent="0.25">
      <c r="A1456" s="10"/>
      <c r="B1456" s="134"/>
      <c r="C1456" s="116"/>
      <c r="D1456" s="116"/>
      <c r="E1456" s="116"/>
      <c r="F1456" s="116"/>
      <c r="G1456" s="162" t="str">
        <f t="shared" si="44"/>
        <v xml:space="preserve"> </v>
      </c>
      <c r="H1456" s="161" t="e">
        <f t="shared" si="45"/>
        <v>#VALUE!</v>
      </c>
    </row>
    <row r="1457" spans="1:8" x14ac:dyDescent="0.25">
      <c r="A1457" s="10"/>
      <c r="B1457" s="134"/>
      <c r="C1457" s="116"/>
      <c r="D1457" s="116"/>
      <c r="E1457" s="116"/>
      <c r="F1457" s="116"/>
      <c r="G1457" s="162" t="str">
        <f t="shared" si="44"/>
        <v xml:space="preserve"> </v>
      </c>
      <c r="H1457" s="161" t="e">
        <f t="shared" si="45"/>
        <v>#VALUE!</v>
      </c>
    </row>
    <row r="1458" spans="1:8" x14ac:dyDescent="0.25">
      <c r="A1458" s="10"/>
      <c r="B1458" s="134"/>
      <c r="C1458" s="116"/>
      <c r="D1458" s="116"/>
      <c r="E1458" s="116"/>
      <c r="F1458" s="116"/>
      <c r="G1458" s="162" t="str">
        <f t="shared" si="44"/>
        <v xml:space="preserve"> </v>
      </c>
      <c r="H1458" s="161" t="e">
        <f t="shared" si="45"/>
        <v>#VALUE!</v>
      </c>
    </row>
    <row r="1459" spans="1:8" x14ac:dyDescent="0.25">
      <c r="A1459" s="10"/>
      <c r="B1459" s="134"/>
      <c r="C1459" s="116"/>
      <c r="D1459" s="116"/>
      <c r="E1459" s="116"/>
      <c r="F1459" s="116"/>
      <c r="G1459" s="162" t="str">
        <f t="shared" si="44"/>
        <v xml:space="preserve"> </v>
      </c>
      <c r="H1459" s="161" t="e">
        <f t="shared" si="45"/>
        <v>#VALUE!</v>
      </c>
    </row>
    <row r="1460" spans="1:8" x14ac:dyDescent="0.25">
      <c r="A1460" s="10"/>
      <c r="B1460" s="134"/>
      <c r="C1460" s="116"/>
      <c r="D1460" s="116"/>
      <c r="E1460" s="116"/>
      <c r="F1460" s="116"/>
      <c r="G1460" s="162" t="str">
        <f t="shared" si="44"/>
        <v xml:space="preserve"> </v>
      </c>
      <c r="H1460" s="161" t="e">
        <f t="shared" si="45"/>
        <v>#VALUE!</v>
      </c>
    </row>
    <row r="1461" spans="1:8" x14ac:dyDescent="0.25">
      <c r="A1461" s="10"/>
      <c r="B1461" s="134"/>
      <c r="C1461" s="116"/>
      <c r="D1461" s="116"/>
      <c r="E1461" s="116"/>
      <c r="F1461" s="116"/>
      <c r="G1461" s="162" t="str">
        <f t="shared" si="44"/>
        <v xml:space="preserve"> </v>
      </c>
      <c r="H1461" s="161" t="e">
        <f t="shared" si="45"/>
        <v>#VALUE!</v>
      </c>
    </row>
    <row r="1462" spans="1:8" x14ac:dyDescent="0.25">
      <c r="A1462" s="10"/>
      <c r="B1462" s="134"/>
      <c r="C1462" s="116"/>
      <c r="D1462" s="116"/>
      <c r="E1462" s="116"/>
      <c r="F1462" s="116"/>
      <c r="G1462" s="162" t="str">
        <f t="shared" si="44"/>
        <v xml:space="preserve"> </v>
      </c>
      <c r="H1462" s="161" t="e">
        <f t="shared" si="45"/>
        <v>#VALUE!</v>
      </c>
    </row>
    <row r="1463" spans="1:8" x14ac:dyDescent="0.25">
      <c r="A1463" s="10"/>
      <c r="B1463" s="134"/>
      <c r="C1463" s="116"/>
      <c r="D1463" s="116"/>
      <c r="E1463" s="116"/>
      <c r="F1463" s="116"/>
      <c r="G1463" s="162" t="str">
        <f t="shared" si="44"/>
        <v xml:space="preserve"> </v>
      </c>
      <c r="H1463" s="161" t="e">
        <f t="shared" si="45"/>
        <v>#VALUE!</v>
      </c>
    </row>
    <row r="1464" spans="1:8" x14ac:dyDescent="0.25">
      <c r="A1464" s="10"/>
      <c r="B1464" s="134"/>
      <c r="C1464" s="116"/>
      <c r="D1464" s="116"/>
      <c r="E1464" s="116"/>
      <c r="F1464" s="116"/>
      <c r="G1464" s="162" t="str">
        <f t="shared" si="44"/>
        <v xml:space="preserve"> </v>
      </c>
      <c r="H1464" s="161" t="e">
        <f t="shared" si="45"/>
        <v>#VALUE!</v>
      </c>
    </row>
    <row r="1465" spans="1:8" x14ac:dyDescent="0.25">
      <c r="A1465" s="10"/>
      <c r="B1465" s="134"/>
      <c r="C1465" s="116"/>
      <c r="D1465" s="116"/>
      <c r="E1465" s="116"/>
      <c r="F1465" s="116"/>
      <c r="G1465" s="162" t="str">
        <f t="shared" si="44"/>
        <v xml:space="preserve"> </v>
      </c>
      <c r="H1465" s="161" t="e">
        <f t="shared" si="45"/>
        <v>#VALUE!</v>
      </c>
    </row>
    <row r="1466" spans="1:8" x14ac:dyDescent="0.25">
      <c r="A1466" s="10"/>
      <c r="B1466" s="134"/>
      <c r="C1466" s="116"/>
      <c r="D1466" s="116"/>
      <c r="E1466" s="116"/>
      <c r="F1466" s="116"/>
      <c r="G1466" s="162" t="str">
        <f t="shared" si="44"/>
        <v xml:space="preserve"> </v>
      </c>
      <c r="H1466" s="161" t="e">
        <f t="shared" si="45"/>
        <v>#VALUE!</v>
      </c>
    </row>
    <row r="1467" spans="1:8" x14ac:dyDescent="0.25">
      <c r="A1467" s="10"/>
      <c r="B1467" s="134"/>
      <c r="C1467" s="116"/>
      <c r="D1467" s="116"/>
      <c r="E1467" s="116"/>
      <c r="F1467" s="116"/>
      <c r="G1467" s="162" t="str">
        <f t="shared" si="44"/>
        <v xml:space="preserve"> </v>
      </c>
      <c r="H1467" s="161" t="e">
        <f t="shared" si="45"/>
        <v>#VALUE!</v>
      </c>
    </row>
    <row r="1468" spans="1:8" x14ac:dyDescent="0.25">
      <c r="A1468" s="10"/>
      <c r="B1468" s="134"/>
      <c r="C1468" s="116"/>
      <c r="D1468" s="116"/>
      <c r="E1468" s="116"/>
      <c r="F1468" s="116"/>
      <c r="G1468" s="162" t="str">
        <f t="shared" si="44"/>
        <v xml:space="preserve"> </v>
      </c>
      <c r="H1468" s="161" t="e">
        <f t="shared" si="45"/>
        <v>#VALUE!</v>
      </c>
    </row>
    <row r="1469" spans="1:8" x14ac:dyDescent="0.25">
      <c r="A1469" s="10"/>
      <c r="B1469" s="134"/>
      <c r="C1469" s="116"/>
      <c r="D1469" s="116"/>
      <c r="E1469" s="116"/>
      <c r="F1469" s="116"/>
      <c r="G1469" s="162" t="str">
        <f t="shared" si="44"/>
        <v xml:space="preserve"> </v>
      </c>
      <c r="H1469" s="161" t="e">
        <f t="shared" si="45"/>
        <v>#VALUE!</v>
      </c>
    </row>
    <row r="1470" spans="1:8" x14ac:dyDescent="0.25">
      <c r="A1470" s="10"/>
      <c r="B1470" s="134"/>
      <c r="C1470" s="116"/>
      <c r="D1470" s="116"/>
      <c r="E1470" s="116"/>
      <c r="F1470" s="116"/>
      <c r="G1470" s="162" t="str">
        <f t="shared" si="44"/>
        <v xml:space="preserve"> </v>
      </c>
      <c r="H1470" s="161" t="e">
        <f t="shared" si="45"/>
        <v>#VALUE!</v>
      </c>
    </row>
    <row r="1471" spans="1:8" x14ac:dyDescent="0.25">
      <c r="A1471" s="10"/>
      <c r="B1471" s="134"/>
      <c r="C1471" s="116"/>
      <c r="D1471" s="116"/>
      <c r="E1471" s="116"/>
      <c r="F1471" s="116"/>
      <c r="G1471" s="162" t="str">
        <f t="shared" si="44"/>
        <v xml:space="preserve"> </v>
      </c>
      <c r="H1471" s="161" t="e">
        <f t="shared" si="45"/>
        <v>#VALUE!</v>
      </c>
    </row>
    <row r="1472" spans="1:8" x14ac:dyDescent="0.25">
      <c r="A1472" s="10"/>
      <c r="B1472" s="134"/>
      <c r="C1472" s="116"/>
      <c r="D1472" s="116"/>
      <c r="E1472" s="116"/>
      <c r="F1472" s="116"/>
      <c r="G1472" s="162" t="str">
        <f t="shared" si="44"/>
        <v xml:space="preserve"> </v>
      </c>
      <c r="H1472" s="161" t="e">
        <f t="shared" si="45"/>
        <v>#VALUE!</v>
      </c>
    </row>
    <row r="1473" spans="1:8" x14ac:dyDescent="0.25">
      <c r="A1473" s="10"/>
      <c r="B1473" s="134"/>
      <c r="C1473" s="116"/>
      <c r="D1473" s="116"/>
      <c r="E1473" s="116"/>
      <c r="F1473" s="116"/>
      <c r="G1473" s="162" t="str">
        <f t="shared" si="44"/>
        <v xml:space="preserve"> </v>
      </c>
      <c r="H1473" s="161" t="e">
        <f t="shared" si="45"/>
        <v>#VALUE!</v>
      </c>
    </row>
    <row r="1474" spans="1:8" x14ac:dyDescent="0.25">
      <c r="A1474" s="10"/>
      <c r="B1474" s="134"/>
      <c r="C1474" s="116"/>
      <c r="D1474" s="116"/>
      <c r="E1474" s="116"/>
      <c r="F1474" s="116"/>
      <c r="G1474" s="162" t="str">
        <f t="shared" si="44"/>
        <v xml:space="preserve"> </v>
      </c>
      <c r="H1474" s="161" t="e">
        <f t="shared" si="45"/>
        <v>#VALUE!</v>
      </c>
    </row>
    <row r="1475" spans="1:8" x14ac:dyDescent="0.25">
      <c r="A1475" s="10"/>
      <c r="B1475" s="134"/>
      <c r="C1475" s="116"/>
      <c r="D1475" s="116"/>
      <c r="E1475" s="116"/>
      <c r="F1475" s="116"/>
      <c r="G1475" s="162" t="str">
        <f t="shared" ref="G1475:G1538" si="46">IF(LEFT(A1475,3)="S7P","Pintura",IF(LEFT(A1475,3)="S7M","Montagem",
IF(LEFT(A1475,3)="S7S","Serigrafia"," ")))</f>
        <v xml:space="preserve"> </v>
      </c>
      <c r="H1475" s="161" t="e">
        <f t="shared" ref="H1475:H1538" si="47">VALUE(LEFT(F1475,2))&amp;"h"</f>
        <v>#VALUE!</v>
      </c>
    </row>
    <row r="1476" spans="1:8" x14ac:dyDescent="0.25">
      <c r="A1476" s="10"/>
      <c r="B1476" s="134"/>
      <c r="C1476" s="116"/>
      <c r="D1476" s="116"/>
      <c r="E1476" s="116"/>
      <c r="F1476" s="116"/>
      <c r="G1476" s="162" t="str">
        <f t="shared" si="46"/>
        <v xml:space="preserve"> </v>
      </c>
      <c r="H1476" s="161" t="e">
        <f t="shared" si="47"/>
        <v>#VALUE!</v>
      </c>
    </row>
    <row r="1477" spans="1:8" x14ac:dyDescent="0.25">
      <c r="A1477" s="10"/>
      <c r="B1477" s="134"/>
      <c r="C1477" s="116"/>
      <c r="D1477" s="116"/>
      <c r="E1477" s="116"/>
      <c r="F1477" s="116"/>
      <c r="G1477" s="162" t="str">
        <f t="shared" si="46"/>
        <v xml:space="preserve"> </v>
      </c>
      <c r="H1477" s="161" t="e">
        <f t="shared" si="47"/>
        <v>#VALUE!</v>
      </c>
    </row>
    <row r="1478" spans="1:8" x14ac:dyDescent="0.25">
      <c r="A1478" s="10"/>
      <c r="B1478" s="134"/>
      <c r="C1478" s="116"/>
      <c r="D1478" s="116"/>
      <c r="E1478" s="116"/>
      <c r="F1478" s="116"/>
      <c r="G1478" s="162" t="str">
        <f t="shared" si="46"/>
        <v xml:space="preserve"> </v>
      </c>
      <c r="H1478" s="161" t="e">
        <f t="shared" si="47"/>
        <v>#VALUE!</v>
      </c>
    </row>
    <row r="1479" spans="1:8" x14ac:dyDescent="0.25">
      <c r="A1479" s="10"/>
      <c r="B1479" s="134"/>
      <c r="C1479" s="116"/>
      <c r="D1479" s="116"/>
      <c r="E1479" s="116"/>
      <c r="F1479" s="116"/>
      <c r="G1479" s="162" t="str">
        <f t="shared" si="46"/>
        <v xml:space="preserve"> </v>
      </c>
      <c r="H1479" s="161" t="e">
        <f t="shared" si="47"/>
        <v>#VALUE!</v>
      </c>
    </row>
    <row r="1480" spans="1:8" x14ac:dyDescent="0.25">
      <c r="A1480" s="10"/>
      <c r="B1480" s="134"/>
      <c r="C1480" s="116"/>
      <c r="D1480" s="116"/>
      <c r="E1480" s="116"/>
      <c r="F1480" s="116"/>
      <c r="G1480" s="162" t="str">
        <f t="shared" si="46"/>
        <v xml:space="preserve"> </v>
      </c>
      <c r="H1480" s="161" t="e">
        <f t="shared" si="47"/>
        <v>#VALUE!</v>
      </c>
    </row>
    <row r="1481" spans="1:8" x14ac:dyDescent="0.25">
      <c r="A1481" s="10"/>
      <c r="B1481" s="134"/>
      <c r="C1481" s="116"/>
      <c r="D1481" s="116"/>
      <c r="E1481" s="116"/>
      <c r="F1481" s="116"/>
      <c r="G1481" s="162" t="str">
        <f t="shared" si="46"/>
        <v xml:space="preserve"> </v>
      </c>
      <c r="H1481" s="161" t="e">
        <f t="shared" si="47"/>
        <v>#VALUE!</v>
      </c>
    </row>
    <row r="1482" spans="1:8" x14ac:dyDescent="0.25">
      <c r="A1482" s="10"/>
      <c r="B1482" s="134"/>
      <c r="C1482" s="116"/>
      <c r="D1482" s="116"/>
      <c r="E1482" s="116"/>
      <c r="F1482" s="116"/>
      <c r="G1482" s="162" t="str">
        <f t="shared" si="46"/>
        <v xml:space="preserve"> </v>
      </c>
      <c r="H1482" s="161" t="e">
        <f t="shared" si="47"/>
        <v>#VALUE!</v>
      </c>
    </row>
    <row r="1483" spans="1:8" x14ac:dyDescent="0.25">
      <c r="A1483" s="10"/>
      <c r="B1483" s="134"/>
      <c r="C1483" s="116"/>
      <c r="D1483" s="116"/>
      <c r="E1483" s="116"/>
      <c r="F1483" s="116"/>
      <c r="G1483" s="162" t="str">
        <f t="shared" si="46"/>
        <v xml:space="preserve"> </v>
      </c>
      <c r="H1483" s="161" t="e">
        <f t="shared" si="47"/>
        <v>#VALUE!</v>
      </c>
    </row>
    <row r="1484" spans="1:8" x14ac:dyDescent="0.25">
      <c r="A1484" s="10"/>
      <c r="B1484" s="134"/>
      <c r="C1484" s="116"/>
      <c r="D1484" s="116"/>
      <c r="E1484" s="116"/>
      <c r="F1484" s="116"/>
      <c r="G1484" s="162" t="str">
        <f t="shared" si="46"/>
        <v xml:space="preserve"> </v>
      </c>
      <c r="H1484" s="161" t="e">
        <f t="shared" si="47"/>
        <v>#VALUE!</v>
      </c>
    </row>
    <row r="1485" spans="1:8" x14ac:dyDescent="0.25">
      <c r="A1485" s="10"/>
      <c r="B1485" s="134"/>
      <c r="C1485" s="116"/>
      <c r="D1485" s="116"/>
      <c r="E1485" s="116"/>
      <c r="F1485" s="116"/>
      <c r="G1485" s="162" t="str">
        <f t="shared" si="46"/>
        <v xml:space="preserve"> </v>
      </c>
      <c r="H1485" s="161" t="e">
        <f t="shared" si="47"/>
        <v>#VALUE!</v>
      </c>
    </row>
    <row r="1486" spans="1:8" x14ac:dyDescent="0.25">
      <c r="A1486" s="10"/>
      <c r="B1486" s="134"/>
      <c r="C1486" s="116"/>
      <c r="D1486" s="116"/>
      <c r="E1486" s="116"/>
      <c r="F1486" s="116"/>
      <c r="G1486" s="162" t="str">
        <f t="shared" si="46"/>
        <v xml:space="preserve"> </v>
      </c>
      <c r="H1486" s="161" t="e">
        <f t="shared" si="47"/>
        <v>#VALUE!</v>
      </c>
    </row>
    <row r="1487" spans="1:8" x14ac:dyDescent="0.25">
      <c r="A1487" s="10"/>
      <c r="B1487" s="134"/>
      <c r="C1487" s="116"/>
      <c r="D1487" s="116"/>
      <c r="E1487" s="116"/>
      <c r="F1487" s="116"/>
      <c r="G1487" s="162" t="str">
        <f t="shared" si="46"/>
        <v xml:space="preserve"> </v>
      </c>
      <c r="H1487" s="161" t="e">
        <f t="shared" si="47"/>
        <v>#VALUE!</v>
      </c>
    </row>
    <row r="1488" spans="1:8" x14ac:dyDescent="0.25">
      <c r="A1488" s="10"/>
      <c r="B1488" s="134"/>
      <c r="C1488" s="116"/>
      <c r="D1488" s="116"/>
      <c r="E1488" s="116"/>
      <c r="F1488" s="116"/>
      <c r="G1488" s="162" t="str">
        <f t="shared" si="46"/>
        <v xml:space="preserve"> </v>
      </c>
      <c r="H1488" s="161" t="e">
        <f t="shared" si="47"/>
        <v>#VALUE!</v>
      </c>
    </row>
    <row r="1489" spans="1:8" x14ac:dyDescent="0.25">
      <c r="A1489" s="10"/>
      <c r="B1489" s="134"/>
      <c r="C1489" s="116"/>
      <c r="D1489" s="116"/>
      <c r="E1489" s="116"/>
      <c r="F1489" s="116"/>
      <c r="G1489" s="162" t="str">
        <f t="shared" si="46"/>
        <v xml:space="preserve"> </v>
      </c>
      <c r="H1489" s="161" t="e">
        <f t="shared" si="47"/>
        <v>#VALUE!</v>
      </c>
    </row>
    <row r="1490" spans="1:8" x14ac:dyDescent="0.25">
      <c r="A1490" s="10"/>
      <c r="B1490" s="134"/>
      <c r="C1490" s="116"/>
      <c r="D1490" s="116"/>
      <c r="E1490" s="116"/>
      <c r="F1490" s="116"/>
      <c r="G1490" s="162" t="str">
        <f t="shared" si="46"/>
        <v xml:space="preserve"> </v>
      </c>
      <c r="H1490" s="161" t="e">
        <f t="shared" si="47"/>
        <v>#VALUE!</v>
      </c>
    </row>
    <row r="1491" spans="1:8" x14ac:dyDescent="0.25">
      <c r="A1491" s="10"/>
      <c r="B1491" s="134"/>
      <c r="C1491" s="116"/>
      <c r="D1491" s="116"/>
      <c r="E1491" s="116"/>
      <c r="F1491" s="116"/>
      <c r="G1491" s="162" t="str">
        <f t="shared" si="46"/>
        <v xml:space="preserve"> </v>
      </c>
      <c r="H1491" s="161" t="e">
        <f t="shared" si="47"/>
        <v>#VALUE!</v>
      </c>
    </row>
    <row r="1492" spans="1:8" x14ac:dyDescent="0.25">
      <c r="A1492" s="10"/>
      <c r="B1492" s="134"/>
      <c r="C1492" s="116"/>
      <c r="D1492" s="116"/>
      <c r="E1492" s="116"/>
      <c r="F1492" s="116"/>
      <c r="G1492" s="162" t="str">
        <f t="shared" si="46"/>
        <v xml:space="preserve"> </v>
      </c>
      <c r="H1492" s="161" t="e">
        <f t="shared" si="47"/>
        <v>#VALUE!</v>
      </c>
    </row>
    <row r="1493" spans="1:8" x14ac:dyDescent="0.25">
      <c r="A1493" s="10"/>
      <c r="B1493" s="134"/>
      <c r="C1493" s="116"/>
      <c r="D1493" s="116"/>
      <c r="E1493" s="116"/>
      <c r="F1493" s="116"/>
      <c r="G1493" s="162" t="str">
        <f t="shared" si="46"/>
        <v xml:space="preserve"> </v>
      </c>
      <c r="H1493" s="161" t="e">
        <f t="shared" si="47"/>
        <v>#VALUE!</v>
      </c>
    </row>
    <row r="1494" spans="1:8" x14ac:dyDescent="0.25">
      <c r="A1494" s="10"/>
      <c r="B1494" s="134"/>
      <c r="C1494" s="116"/>
      <c r="D1494" s="116"/>
      <c r="E1494" s="116"/>
      <c r="F1494" s="116"/>
      <c r="G1494" s="162" t="str">
        <f t="shared" si="46"/>
        <v xml:space="preserve"> </v>
      </c>
      <c r="H1494" s="161" t="e">
        <f t="shared" si="47"/>
        <v>#VALUE!</v>
      </c>
    </row>
    <row r="1495" spans="1:8" x14ac:dyDescent="0.25">
      <c r="A1495" s="10"/>
      <c r="B1495" s="134"/>
      <c r="C1495" s="116"/>
      <c r="D1495" s="116"/>
      <c r="E1495" s="116"/>
      <c r="F1495" s="116"/>
      <c r="G1495" s="162" t="str">
        <f t="shared" si="46"/>
        <v xml:space="preserve"> </v>
      </c>
      <c r="H1495" s="161" t="e">
        <f t="shared" si="47"/>
        <v>#VALUE!</v>
      </c>
    </row>
    <row r="1496" spans="1:8" x14ac:dyDescent="0.25">
      <c r="A1496" s="10"/>
      <c r="B1496" s="134"/>
      <c r="C1496" s="116"/>
      <c r="D1496" s="116"/>
      <c r="E1496" s="116"/>
      <c r="F1496" s="116"/>
      <c r="G1496" s="162" t="str">
        <f t="shared" si="46"/>
        <v xml:space="preserve"> </v>
      </c>
      <c r="H1496" s="161" t="e">
        <f t="shared" si="47"/>
        <v>#VALUE!</v>
      </c>
    </row>
    <row r="1497" spans="1:8" x14ac:dyDescent="0.25">
      <c r="A1497" s="10"/>
      <c r="B1497" s="134"/>
      <c r="C1497" s="116"/>
      <c r="D1497" s="116"/>
      <c r="E1497" s="116"/>
      <c r="F1497" s="116"/>
      <c r="G1497" s="162" t="str">
        <f t="shared" si="46"/>
        <v xml:space="preserve"> </v>
      </c>
      <c r="H1497" s="161" t="e">
        <f t="shared" si="47"/>
        <v>#VALUE!</v>
      </c>
    </row>
    <row r="1498" spans="1:8" x14ac:dyDescent="0.25">
      <c r="A1498" s="10"/>
      <c r="B1498" s="134"/>
      <c r="C1498" s="116"/>
      <c r="D1498" s="116"/>
      <c r="E1498" s="116"/>
      <c r="F1498" s="116"/>
      <c r="G1498" s="162" t="str">
        <f t="shared" si="46"/>
        <v xml:space="preserve"> </v>
      </c>
      <c r="H1498" s="161" t="e">
        <f t="shared" si="47"/>
        <v>#VALUE!</v>
      </c>
    </row>
    <row r="1499" spans="1:8" x14ac:dyDescent="0.25">
      <c r="A1499" s="10"/>
      <c r="B1499" s="134"/>
      <c r="C1499" s="116"/>
      <c r="D1499" s="116"/>
      <c r="E1499" s="116"/>
      <c r="F1499" s="116"/>
      <c r="G1499" s="162" t="str">
        <f t="shared" si="46"/>
        <v xml:space="preserve"> </v>
      </c>
      <c r="H1499" s="161" t="e">
        <f t="shared" si="47"/>
        <v>#VALUE!</v>
      </c>
    </row>
    <row r="1500" spans="1:8" x14ac:dyDescent="0.25">
      <c r="A1500" s="10"/>
      <c r="B1500" s="134"/>
      <c r="C1500" s="116"/>
      <c r="D1500" s="116"/>
      <c r="E1500" s="116"/>
      <c r="F1500" s="116"/>
      <c r="G1500" s="162" t="str">
        <f t="shared" si="46"/>
        <v xml:space="preserve"> </v>
      </c>
      <c r="H1500" s="161" t="e">
        <f t="shared" si="47"/>
        <v>#VALUE!</v>
      </c>
    </row>
    <row r="1501" spans="1:8" x14ac:dyDescent="0.25">
      <c r="A1501" s="10"/>
      <c r="B1501" s="134"/>
      <c r="C1501" s="116"/>
      <c r="D1501" s="116"/>
      <c r="E1501" s="116"/>
      <c r="F1501" s="116"/>
      <c r="G1501" s="162" t="str">
        <f t="shared" si="46"/>
        <v xml:space="preserve"> </v>
      </c>
      <c r="H1501" s="161" t="e">
        <f t="shared" si="47"/>
        <v>#VALUE!</v>
      </c>
    </row>
    <row r="1502" spans="1:8" x14ac:dyDescent="0.25">
      <c r="A1502" s="10"/>
      <c r="B1502" s="134"/>
      <c r="C1502" s="116"/>
      <c r="D1502" s="116"/>
      <c r="E1502" s="116"/>
      <c r="F1502" s="116"/>
      <c r="G1502" s="162" t="str">
        <f t="shared" si="46"/>
        <v xml:space="preserve"> </v>
      </c>
      <c r="H1502" s="161" t="e">
        <f t="shared" si="47"/>
        <v>#VALUE!</v>
      </c>
    </row>
    <row r="1503" spans="1:8" x14ac:dyDescent="0.25">
      <c r="A1503" s="10"/>
      <c r="B1503" s="134"/>
      <c r="C1503" s="116"/>
      <c r="D1503" s="116"/>
      <c r="E1503" s="116"/>
      <c r="F1503" s="116"/>
      <c r="G1503" s="162" t="str">
        <f t="shared" si="46"/>
        <v xml:space="preserve"> </v>
      </c>
      <c r="H1503" s="161" t="e">
        <f t="shared" si="47"/>
        <v>#VALUE!</v>
      </c>
    </row>
    <row r="1504" spans="1:8" x14ac:dyDescent="0.25">
      <c r="A1504" s="10"/>
      <c r="B1504" s="134"/>
      <c r="C1504" s="116"/>
      <c r="D1504" s="116"/>
      <c r="E1504" s="116"/>
      <c r="F1504" s="116"/>
      <c r="G1504" s="162" t="str">
        <f t="shared" si="46"/>
        <v xml:space="preserve"> </v>
      </c>
      <c r="H1504" s="161" t="e">
        <f t="shared" si="47"/>
        <v>#VALUE!</v>
      </c>
    </row>
    <row r="1505" spans="1:8" x14ac:dyDescent="0.25">
      <c r="A1505" s="10"/>
      <c r="B1505" s="134"/>
      <c r="C1505" s="116"/>
      <c r="D1505" s="116"/>
      <c r="E1505" s="116"/>
      <c r="F1505" s="116"/>
      <c r="G1505" s="162" t="str">
        <f t="shared" si="46"/>
        <v xml:space="preserve"> </v>
      </c>
      <c r="H1505" s="161" t="e">
        <f t="shared" si="47"/>
        <v>#VALUE!</v>
      </c>
    </row>
    <row r="1506" spans="1:8" x14ac:dyDescent="0.25">
      <c r="A1506" s="10"/>
      <c r="B1506" s="134"/>
      <c r="C1506" s="116"/>
      <c r="D1506" s="116"/>
      <c r="E1506" s="116"/>
      <c r="F1506" s="116"/>
      <c r="G1506" s="162" t="str">
        <f t="shared" si="46"/>
        <v xml:space="preserve"> </v>
      </c>
      <c r="H1506" s="161" t="e">
        <f t="shared" si="47"/>
        <v>#VALUE!</v>
      </c>
    </row>
    <row r="1507" spans="1:8" x14ac:dyDescent="0.25">
      <c r="A1507" s="10"/>
      <c r="B1507" s="134"/>
      <c r="C1507" s="116"/>
      <c r="D1507" s="116"/>
      <c r="E1507" s="116"/>
      <c r="F1507" s="116"/>
      <c r="G1507" s="162" t="str">
        <f t="shared" si="46"/>
        <v xml:space="preserve"> </v>
      </c>
      <c r="H1507" s="161" t="e">
        <f t="shared" si="47"/>
        <v>#VALUE!</v>
      </c>
    </row>
    <row r="1508" spans="1:8" x14ac:dyDescent="0.25">
      <c r="A1508" s="10"/>
      <c r="B1508" s="134"/>
      <c r="C1508" s="116"/>
      <c r="D1508" s="116"/>
      <c r="E1508" s="116"/>
      <c r="F1508" s="116"/>
      <c r="G1508" s="162" t="str">
        <f t="shared" si="46"/>
        <v xml:space="preserve"> </v>
      </c>
      <c r="H1508" s="161" t="e">
        <f t="shared" si="47"/>
        <v>#VALUE!</v>
      </c>
    </row>
    <row r="1509" spans="1:8" x14ac:dyDescent="0.25">
      <c r="A1509" s="10"/>
      <c r="B1509" s="134"/>
      <c r="C1509" s="116"/>
      <c r="D1509" s="116"/>
      <c r="E1509" s="116"/>
      <c r="F1509" s="116"/>
      <c r="G1509" s="162" t="str">
        <f t="shared" si="46"/>
        <v xml:space="preserve"> </v>
      </c>
      <c r="H1509" s="161" t="e">
        <f t="shared" si="47"/>
        <v>#VALUE!</v>
      </c>
    </row>
    <row r="1510" spans="1:8" x14ac:dyDescent="0.25">
      <c r="A1510" s="10"/>
      <c r="B1510" s="134"/>
      <c r="C1510" s="116"/>
      <c r="D1510" s="116"/>
      <c r="E1510" s="116"/>
      <c r="F1510" s="116"/>
      <c r="G1510" s="162" t="str">
        <f t="shared" si="46"/>
        <v xml:space="preserve"> </v>
      </c>
      <c r="H1510" s="161" t="e">
        <f t="shared" si="47"/>
        <v>#VALUE!</v>
      </c>
    </row>
    <row r="1511" spans="1:8" x14ac:dyDescent="0.25">
      <c r="A1511" s="10"/>
      <c r="B1511" s="134"/>
      <c r="C1511" s="116"/>
      <c r="D1511" s="116"/>
      <c r="E1511" s="116"/>
      <c r="F1511" s="116"/>
      <c r="G1511" s="162" t="str">
        <f t="shared" si="46"/>
        <v xml:space="preserve"> </v>
      </c>
      <c r="H1511" s="161" t="e">
        <f t="shared" si="47"/>
        <v>#VALUE!</v>
      </c>
    </row>
    <row r="1512" spans="1:8" x14ac:dyDescent="0.25">
      <c r="A1512" s="10"/>
      <c r="B1512" s="134"/>
      <c r="C1512" s="116"/>
      <c r="D1512" s="116"/>
      <c r="E1512" s="116"/>
      <c r="F1512" s="116"/>
      <c r="G1512" s="162" t="str">
        <f t="shared" si="46"/>
        <v xml:space="preserve"> </v>
      </c>
      <c r="H1512" s="161" t="e">
        <f t="shared" si="47"/>
        <v>#VALUE!</v>
      </c>
    </row>
    <row r="1513" spans="1:8" x14ac:dyDescent="0.25">
      <c r="A1513" s="10"/>
      <c r="B1513" s="134"/>
      <c r="C1513" s="116"/>
      <c r="D1513" s="116"/>
      <c r="E1513" s="116"/>
      <c r="F1513" s="116"/>
      <c r="G1513" s="162" t="str">
        <f t="shared" si="46"/>
        <v xml:space="preserve"> </v>
      </c>
      <c r="H1513" s="161" t="e">
        <f t="shared" si="47"/>
        <v>#VALUE!</v>
      </c>
    </row>
    <row r="1514" spans="1:8" x14ac:dyDescent="0.25">
      <c r="A1514" s="10"/>
      <c r="B1514" s="134"/>
      <c r="C1514" s="116"/>
      <c r="D1514" s="116"/>
      <c r="E1514" s="116"/>
      <c r="F1514" s="116"/>
      <c r="G1514" s="162" t="str">
        <f t="shared" si="46"/>
        <v xml:space="preserve"> </v>
      </c>
      <c r="H1514" s="161" t="e">
        <f t="shared" si="47"/>
        <v>#VALUE!</v>
      </c>
    </row>
    <row r="1515" spans="1:8" x14ac:dyDescent="0.25">
      <c r="A1515" s="10"/>
      <c r="B1515" s="134"/>
      <c r="C1515" s="116"/>
      <c r="D1515" s="116"/>
      <c r="E1515" s="116"/>
      <c r="F1515" s="116"/>
      <c r="G1515" s="162" t="str">
        <f t="shared" si="46"/>
        <v xml:space="preserve"> </v>
      </c>
      <c r="H1515" s="161" t="e">
        <f t="shared" si="47"/>
        <v>#VALUE!</v>
      </c>
    </row>
    <row r="1516" spans="1:8" x14ac:dyDescent="0.25">
      <c r="A1516" s="10"/>
      <c r="B1516" s="134"/>
      <c r="C1516" s="116"/>
      <c r="D1516" s="116"/>
      <c r="E1516" s="116"/>
      <c r="F1516" s="116"/>
      <c r="G1516" s="162" t="str">
        <f t="shared" si="46"/>
        <v xml:space="preserve"> </v>
      </c>
      <c r="H1516" s="161" t="e">
        <f t="shared" si="47"/>
        <v>#VALUE!</v>
      </c>
    </row>
    <row r="1517" spans="1:8" x14ac:dyDescent="0.25">
      <c r="A1517" s="10"/>
      <c r="B1517" s="134"/>
      <c r="C1517" s="116"/>
      <c r="D1517" s="116"/>
      <c r="E1517" s="116"/>
      <c r="F1517" s="116"/>
      <c r="G1517" s="162" t="str">
        <f t="shared" si="46"/>
        <v xml:space="preserve"> </v>
      </c>
      <c r="H1517" s="161" t="e">
        <f t="shared" si="47"/>
        <v>#VALUE!</v>
      </c>
    </row>
    <row r="1518" spans="1:8" x14ac:dyDescent="0.25">
      <c r="A1518" s="10"/>
      <c r="B1518" s="134"/>
      <c r="C1518" s="116"/>
      <c r="D1518" s="116"/>
      <c r="E1518" s="116"/>
      <c r="F1518" s="116"/>
      <c r="G1518" s="162" t="str">
        <f t="shared" si="46"/>
        <v xml:space="preserve"> </v>
      </c>
      <c r="H1518" s="161" t="e">
        <f t="shared" si="47"/>
        <v>#VALUE!</v>
      </c>
    </row>
    <row r="1519" spans="1:8" x14ac:dyDescent="0.25">
      <c r="A1519" s="10"/>
      <c r="B1519" s="134"/>
      <c r="C1519" s="116"/>
      <c r="D1519" s="116"/>
      <c r="E1519" s="116"/>
      <c r="F1519" s="116"/>
      <c r="G1519" s="162" t="str">
        <f t="shared" si="46"/>
        <v xml:space="preserve"> </v>
      </c>
      <c r="H1519" s="161" t="e">
        <f t="shared" si="47"/>
        <v>#VALUE!</v>
      </c>
    </row>
    <row r="1520" spans="1:8" x14ac:dyDescent="0.25">
      <c r="A1520" s="10"/>
      <c r="B1520" s="134"/>
      <c r="C1520" s="116"/>
      <c r="D1520" s="116"/>
      <c r="E1520" s="116"/>
      <c r="F1520" s="116"/>
      <c r="G1520" s="162" t="str">
        <f t="shared" si="46"/>
        <v xml:space="preserve"> </v>
      </c>
      <c r="H1520" s="161" t="e">
        <f t="shared" si="47"/>
        <v>#VALUE!</v>
      </c>
    </row>
    <row r="1521" spans="1:8" x14ac:dyDescent="0.25">
      <c r="A1521" s="10"/>
      <c r="B1521" s="134"/>
      <c r="C1521" s="116"/>
      <c r="D1521" s="116"/>
      <c r="E1521" s="116"/>
      <c r="F1521" s="116"/>
      <c r="G1521" s="162" t="str">
        <f t="shared" si="46"/>
        <v xml:space="preserve"> </v>
      </c>
      <c r="H1521" s="161" t="e">
        <f t="shared" si="47"/>
        <v>#VALUE!</v>
      </c>
    </row>
    <row r="1522" spans="1:8" x14ac:dyDescent="0.25">
      <c r="A1522" s="10"/>
      <c r="B1522" s="134"/>
      <c r="C1522" s="116"/>
      <c r="D1522" s="116"/>
      <c r="E1522" s="116"/>
      <c r="F1522" s="116"/>
      <c r="G1522" s="162" t="str">
        <f t="shared" si="46"/>
        <v xml:space="preserve"> </v>
      </c>
      <c r="H1522" s="161" t="e">
        <f t="shared" si="47"/>
        <v>#VALUE!</v>
      </c>
    </row>
    <row r="1523" spans="1:8" x14ac:dyDescent="0.25">
      <c r="A1523" s="10"/>
      <c r="B1523" s="134"/>
      <c r="C1523" s="116"/>
      <c r="D1523" s="116"/>
      <c r="E1523" s="116"/>
      <c r="F1523" s="116"/>
      <c r="G1523" s="162" t="str">
        <f t="shared" si="46"/>
        <v xml:space="preserve"> </v>
      </c>
      <c r="H1523" s="161" t="e">
        <f t="shared" si="47"/>
        <v>#VALUE!</v>
      </c>
    </row>
    <row r="1524" spans="1:8" x14ac:dyDescent="0.25">
      <c r="A1524" s="10"/>
      <c r="B1524" s="134"/>
      <c r="C1524" s="116"/>
      <c r="D1524" s="116"/>
      <c r="E1524" s="116"/>
      <c r="F1524" s="116"/>
      <c r="G1524" s="162" t="str">
        <f t="shared" si="46"/>
        <v xml:space="preserve"> </v>
      </c>
      <c r="H1524" s="161" t="e">
        <f t="shared" si="47"/>
        <v>#VALUE!</v>
      </c>
    </row>
    <row r="1525" spans="1:8" x14ac:dyDescent="0.25">
      <c r="A1525" s="10"/>
      <c r="B1525" s="134"/>
      <c r="C1525" s="116"/>
      <c r="D1525" s="116"/>
      <c r="E1525" s="116"/>
      <c r="F1525" s="116"/>
      <c r="G1525" s="162" t="str">
        <f t="shared" si="46"/>
        <v xml:space="preserve"> </v>
      </c>
      <c r="H1525" s="161" t="e">
        <f t="shared" si="47"/>
        <v>#VALUE!</v>
      </c>
    </row>
    <row r="1526" spans="1:8" x14ac:dyDescent="0.25">
      <c r="A1526" s="10"/>
      <c r="B1526" s="134"/>
      <c r="C1526" s="116"/>
      <c r="D1526" s="116"/>
      <c r="E1526" s="116"/>
      <c r="F1526" s="116"/>
      <c r="G1526" s="162" t="str">
        <f t="shared" si="46"/>
        <v xml:space="preserve"> </v>
      </c>
      <c r="H1526" s="161" t="e">
        <f t="shared" si="47"/>
        <v>#VALUE!</v>
      </c>
    </row>
    <row r="1527" spans="1:8" x14ac:dyDescent="0.25">
      <c r="A1527" s="10"/>
      <c r="B1527" s="134"/>
      <c r="C1527" s="116"/>
      <c r="D1527" s="116"/>
      <c r="E1527" s="116"/>
      <c r="F1527" s="116"/>
      <c r="G1527" s="162" t="str">
        <f t="shared" si="46"/>
        <v xml:space="preserve"> </v>
      </c>
      <c r="H1527" s="161" t="e">
        <f t="shared" si="47"/>
        <v>#VALUE!</v>
      </c>
    </row>
    <row r="1528" spans="1:8" x14ac:dyDescent="0.25">
      <c r="A1528" s="10"/>
      <c r="B1528" s="134"/>
      <c r="C1528" s="116"/>
      <c r="D1528" s="116"/>
      <c r="E1528" s="116"/>
      <c r="F1528" s="116"/>
      <c r="G1528" s="162" t="str">
        <f t="shared" si="46"/>
        <v xml:space="preserve"> </v>
      </c>
      <c r="H1528" s="161" t="e">
        <f t="shared" si="47"/>
        <v>#VALUE!</v>
      </c>
    </row>
    <row r="1529" spans="1:8" x14ac:dyDescent="0.25">
      <c r="A1529" s="10"/>
      <c r="B1529" s="134"/>
      <c r="C1529" s="116"/>
      <c r="D1529" s="116"/>
      <c r="E1529" s="116"/>
      <c r="F1529" s="116"/>
      <c r="G1529" s="162" t="str">
        <f t="shared" si="46"/>
        <v xml:space="preserve"> </v>
      </c>
      <c r="H1529" s="161" t="e">
        <f t="shared" si="47"/>
        <v>#VALUE!</v>
      </c>
    </row>
    <row r="1530" spans="1:8" x14ac:dyDescent="0.25">
      <c r="A1530" s="10"/>
      <c r="B1530" s="134"/>
      <c r="C1530" s="116"/>
      <c r="D1530" s="116"/>
      <c r="E1530" s="116"/>
      <c r="F1530" s="116"/>
      <c r="G1530" s="162" t="str">
        <f t="shared" si="46"/>
        <v xml:space="preserve"> </v>
      </c>
      <c r="H1530" s="161" t="e">
        <f t="shared" si="47"/>
        <v>#VALUE!</v>
      </c>
    </row>
    <row r="1531" spans="1:8" x14ac:dyDescent="0.25">
      <c r="A1531" s="10"/>
      <c r="B1531" s="134"/>
      <c r="C1531" s="116"/>
      <c r="D1531" s="116"/>
      <c r="E1531" s="116"/>
      <c r="F1531" s="116"/>
      <c r="G1531" s="162" t="str">
        <f t="shared" si="46"/>
        <v xml:space="preserve"> </v>
      </c>
      <c r="H1531" s="161" t="e">
        <f t="shared" si="47"/>
        <v>#VALUE!</v>
      </c>
    </row>
    <row r="1532" spans="1:8" x14ac:dyDescent="0.25">
      <c r="A1532" s="10"/>
      <c r="B1532" s="134"/>
      <c r="C1532" s="116"/>
      <c r="D1532" s="116"/>
      <c r="E1532" s="116"/>
      <c r="F1532" s="116"/>
      <c r="G1532" s="162" t="str">
        <f t="shared" si="46"/>
        <v xml:space="preserve"> </v>
      </c>
      <c r="H1532" s="161" t="e">
        <f t="shared" si="47"/>
        <v>#VALUE!</v>
      </c>
    </row>
    <row r="1533" spans="1:8" x14ac:dyDescent="0.25">
      <c r="A1533" s="10"/>
      <c r="B1533" s="134"/>
      <c r="C1533" s="116"/>
      <c r="D1533" s="116"/>
      <c r="E1533" s="116"/>
      <c r="F1533" s="116"/>
      <c r="G1533" s="162" t="str">
        <f t="shared" si="46"/>
        <v xml:space="preserve"> </v>
      </c>
      <c r="H1533" s="161" t="e">
        <f t="shared" si="47"/>
        <v>#VALUE!</v>
      </c>
    </row>
    <row r="1534" spans="1:8" x14ac:dyDescent="0.25">
      <c r="A1534" s="10"/>
      <c r="B1534" s="134"/>
      <c r="C1534" s="116"/>
      <c r="D1534" s="116"/>
      <c r="E1534" s="116"/>
      <c r="F1534" s="116"/>
      <c r="G1534" s="162" t="str">
        <f t="shared" si="46"/>
        <v xml:space="preserve"> </v>
      </c>
      <c r="H1534" s="161" t="e">
        <f t="shared" si="47"/>
        <v>#VALUE!</v>
      </c>
    </row>
    <row r="1535" spans="1:8" x14ac:dyDescent="0.25">
      <c r="A1535" s="10"/>
      <c r="B1535" s="134"/>
      <c r="C1535" s="116"/>
      <c r="D1535" s="116"/>
      <c r="E1535" s="116"/>
      <c r="F1535" s="116"/>
      <c r="G1535" s="162" t="str">
        <f t="shared" si="46"/>
        <v xml:space="preserve"> </v>
      </c>
      <c r="H1535" s="161" t="e">
        <f t="shared" si="47"/>
        <v>#VALUE!</v>
      </c>
    </row>
    <row r="1536" spans="1:8" x14ac:dyDescent="0.25">
      <c r="A1536" s="10"/>
      <c r="B1536" s="134"/>
      <c r="C1536" s="116"/>
      <c r="D1536" s="116"/>
      <c r="E1536" s="116"/>
      <c r="F1536" s="116"/>
      <c r="G1536" s="162" t="str">
        <f t="shared" si="46"/>
        <v xml:space="preserve"> </v>
      </c>
      <c r="H1536" s="161" t="e">
        <f t="shared" si="47"/>
        <v>#VALUE!</v>
      </c>
    </row>
    <row r="1537" spans="1:8" x14ac:dyDescent="0.25">
      <c r="A1537" s="10"/>
      <c r="B1537" s="134"/>
      <c r="C1537" s="116"/>
      <c r="D1537" s="116"/>
      <c r="E1537" s="116"/>
      <c r="F1537" s="116"/>
      <c r="G1537" s="162" t="str">
        <f t="shared" si="46"/>
        <v xml:space="preserve"> </v>
      </c>
      <c r="H1537" s="161" t="e">
        <f t="shared" si="47"/>
        <v>#VALUE!</v>
      </c>
    </row>
    <row r="1538" spans="1:8" x14ac:dyDescent="0.25">
      <c r="A1538" s="10"/>
      <c r="B1538" s="134"/>
      <c r="C1538" s="116"/>
      <c r="D1538" s="116"/>
      <c r="E1538" s="116"/>
      <c r="F1538" s="116"/>
      <c r="G1538" s="162" t="str">
        <f t="shared" si="46"/>
        <v xml:space="preserve"> </v>
      </c>
      <c r="H1538" s="161" t="e">
        <f t="shared" si="47"/>
        <v>#VALUE!</v>
      </c>
    </row>
    <row r="1539" spans="1:8" x14ac:dyDescent="0.25">
      <c r="A1539" s="10"/>
      <c r="B1539" s="134"/>
      <c r="C1539" s="116"/>
      <c r="D1539" s="116"/>
      <c r="E1539" s="116"/>
      <c r="F1539" s="116"/>
      <c r="G1539" s="162" t="str">
        <f t="shared" ref="G1539:G1602" si="48">IF(LEFT(A1539,3)="S7P","Pintura",IF(LEFT(A1539,3)="S7M","Montagem",
IF(LEFT(A1539,3)="S7S","Serigrafia"," ")))</f>
        <v xml:space="preserve"> </v>
      </c>
      <c r="H1539" s="161" t="e">
        <f t="shared" ref="H1539:H1602" si="49">VALUE(LEFT(F1539,2))&amp;"h"</f>
        <v>#VALUE!</v>
      </c>
    </row>
    <row r="1540" spans="1:8" x14ac:dyDescent="0.25">
      <c r="A1540" s="10"/>
      <c r="B1540" s="134"/>
      <c r="C1540" s="116"/>
      <c r="D1540" s="116"/>
      <c r="E1540" s="116"/>
      <c r="F1540" s="116"/>
      <c r="G1540" s="162" t="str">
        <f t="shared" si="48"/>
        <v xml:space="preserve"> </v>
      </c>
      <c r="H1540" s="161" t="e">
        <f t="shared" si="49"/>
        <v>#VALUE!</v>
      </c>
    </row>
    <row r="1541" spans="1:8" x14ac:dyDescent="0.25">
      <c r="A1541" s="10"/>
      <c r="B1541" s="134"/>
      <c r="C1541" s="116"/>
      <c r="D1541" s="116"/>
      <c r="E1541" s="116"/>
      <c r="F1541" s="116"/>
      <c r="G1541" s="162" t="str">
        <f t="shared" si="48"/>
        <v xml:space="preserve"> </v>
      </c>
      <c r="H1541" s="161" t="e">
        <f t="shared" si="49"/>
        <v>#VALUE!</v>
      </c>
    </row>
    <row r="1542" spans="1:8" x14ac:dyDescent="0.25">
      <c r="A1542" s="10"/>
      <c r="B1542" s="134"/>
      <c r="C1542" s="116"/>
      <c r="D1542" s="116"/>
      <c r="E1542" s="116"/>
      <c r="F1542" s="116"/>
      <c r="G1542" s="162" t="str">
        <f t="shared" si="48"/>
        <v xml:space="preserve"> </v>
      </c>
      <c r="H1542" s="161" t="e">
        <f t="shared" si="49"/>
        <v>#VALUE!</v>
      </c>
    </row>
    <row r="1543" spans="1:8" x14ac:dyDescent="0.25">
      <c r="A1543" s="10"/>
      <c r="B1543" s="134"/>
      <c r="C1543" s="116"/>
      <c r="D1543" s="116"/>
      <c r="E1543" s="116"/>
      <c r="F1543" s="116"/>
      <c r="G1543" s="162" t="str">
        <f t="shared" si="48"/>
        <v xml:space="preserve"> </v>
      </c>
      <c r="H1543" s="161" t="e">
        <f t="shared" si="49"/>
        <v>#VALUE!</v>
      </c>
    </row>
    <row r="1544" spans="1:8" x14ac:dyDescent="0.25">
      <c r="A1544" s="10"/>
      <c r="B1544" s="134"/>
      <c r="C1544" s="116"/>
      <c r="D1544" s="116"/>
      <c r="E1544" s="116"/>
      <c r="F1544" s="116"/>
      <c r="G1544" s="162" t="str">
        <f t="shared" si="48"/>
        <v xml:space="preserve"> </v>
      </c>
      <c r="H1544" s="161" t="e">
        <f t="shared" si="49"/>
        <v>#VALUE!</v>
      </c>
    </row>
    <row r="1545" spans="1:8" x14ac:dyDescent="0.25">
      <c r="A1545" s="10"/>
      <c r="B1545" s="134"/>
      <c r="C1545" s="116"/>
      <c r="D1545" s="116"/>
      <c r="E1545" s="116"/>
      <c r="F1545" s="116"/>
      <c r="G1545" s="162" t="str">
        <f t="shared" si="48"/>
        <v xml:space="preserve"> </v>
      </c>
      <c r="H1545" s="161" t="e">
        <f t="shared" si="49"/>
        <v>#VALUE!</v>
      </c>
    </row>
    <row r="1546" spans="1:8" x14ac:dyDescent="0.25">
      <c r="A1546" s="10"/>
      <c r="B1546" s="134"/>
      <c r="C1546" s="116"/>
      <c r="D1546" s="116"/>
      <c r="E1546" s="116"/>
      <c r="F1546" s="116"/>
      <c r="G1546" s="162" t="str">
        <f t="shared" si="48"/>
        <v xml:space="preserve"> </v>
      </c>
      <c r="H1546" s="161" t="e">
        <f t="shared" si="49"/>
        <v>#VALUE!</v>
      </c>
    </row>
    <row r="1547" spans="1:8" x14ac:dyDescent="0.25">
      <c r="A1547" s="10"/>
      <c r="B1547" s="134"/>
      <c r="C1547" s="116"/>
      <c r="D1547" s="116"/>
      <c r="E1547" s="116"/>
      <c r="F1547" s="116"/>
      <c r="G1547" s="162" t="str">
        <f t="shared" si="48"/>
        <v xml:space="preserve"> </v>
      </c>
      <c r="H1547" s="161" t="e">
        <f t="shared" si="49"/>
        <v>#VALUE!</v>
      </c>
    </row>
    <row r="1548" spans="1:8" x14ac:dyDescent="0.25">
      <c r="A1548" s="10"/>
      <c r="B1548" s="134"/>
      <c r="C1548" s="116"/>
      <c r="D1548" s="116"/>
      <c r="E1548" s="116"/>
      <c r="F1548" s="116"/>
      <c r="G1548" s="162" t="str">
        <f t="shared" si="48"/>
        <v xml:space="preserve"> </v>
      </c>
      <c r="H1548" s="161" t="e">
        <f t="shared" si="49"/>
        <v>#VALUE!</v>
      </c>
    </row>
    <row r="1549" spans="1:8" x14ac:dyDescent="0.25">
      <c r="A1549" s="10"/>
      <c r="B1549" s="134"/>
      <c r="C1549" s="116"/>
      <c r="D1549" s="116"/>
      <c r="E1549" s="116"/>
      <c r="F1549" s="116"/>
      <c r="G1549" s="162" t="str">
        <f t="shared" si="48"/>
        <v xml:space="preserve"> </v>
      </c>
      <c r="H1549" s="161" t="e">
        <f t="shared" si="49"/>
        <v>#VALUE!</v>
      </c>
    </row>
    <row r="1550" spans="1:8" x14ac:dyDescent="0.25">
      <c r="A1550" s="10"/>
      <c r="B1550" s="134"/>
      <c r="C1550" s="116"/>
      <c r="D1550" s="116"/>
      <c r="E1550" s="116"/>
      <c r="F1550" s="116"/>
      <c r="G1550" s="162" t="str">
        <f t="shared" si="48"/>
        <v xml:space="preserve"> </v>
      </c>
      <c r="H1550" s="161" t="e">
        <f t="shared" si="49"/>
        <v>#VALUE!</v>
      </c>
    </row>
    <row r="1551" spans="1:8" x14ac:dyDescent="0.25">
      <c r="A1551" s="10"/>
      <c r="B1551" s="134"/>
      <c r="C1551" s="116"/>
      <c r="D1551" s="116"/>
      <c r="E1551" s="116"/>
      <c r="F1551" s="116"/>
      <c r="G1551" s="162" t="str">
        <f t="shared" si="48"/>
        <v xml:space="preserve"> </v>
      </c>
      <c r="H1551" s="161" t="e">
        <f t="shared" si="49"/>
        <v>#VALUE!</v>
      </c>
    </row>
    <row r="1552" spans="1:8" x14ac:dyDescent="0.25">
      <c r="A1552" s="10"/>
      <c r="B1552" s="134"/>
      <c r="C1552" s="116"/>
      <c r="D1552" s="116"/>
      <c r="E1552" s="116"/>
      <c r="F1552" s="116"/>
      <c r="G1552" s="162" t="str">
        <f t="shared" si="48"/>
        <v xml:space="preserve"> </v>
      </c>
      <c r="H1552" s="161" t="e">
        <f t="shared" si="49"/>
        <v>#VALUE!</v>
      </c>
    </row>
    <row r="1553" spans="1:8" x14ac:dyDescent="0.25">
      <c r="A1553" s="10"/>
      <c r="B1553" s="134"/>
      <c r="C1553" s="116"/>
      <c r="D1553" s="116"/>
      <c r="E1553" s="116"/>
      <c r="F1553" s="116"/>
      <c r="G1553" s="162" t="str">
        <f t="shared" si="48"/>
        <v xml:space="preserve"> </v>
      </c>
      <c r="H1553" s="161" t="e">
        <f t="shared" si="49"/>
        <v>#VALUE!</v>
      </c>
    </row>
    <row r="1554" spans="1:8" x14ac:dyDescent="0.25">
      <c r="A1554" s="10"/>
      <c r="B1554" s="134"/>
      <c r="C1554" s="116"/>
      <c r="D1554" s="116"/>
      <c r="E1554" s="116"/>
      <c r="F1554" s="116"/>
      <c r="G1554" s="162" t="str">
        <f t="shared" si="48"/>
        <v xml:space="preserve"> </v>
      </c>
      <c r="H1554" s="161" t="e">
        <f t="shared" si="49"/>
        <v>#VALUE!</v>
      </c>
    </row>
    <row r="1555" spans="1:8" x14ac:dyDescent="0.25">
      <c r="A1555" s="10"/>
      <c r="B1555" s="134"/>
      <c r="C1555" s="116"/>
      <c r="D1555" s="116"/>
      <c r="E1555" s="116"/>
      <c r="F1555" s="116"/>
      <c r="G1555" s="162" t="str">
        <f t="shared" si="48"/>
        <v xml:space="preserve"> </v>
      </c>
      <c r="H1555" s="161" t="e">
        <f t="shared" si="49"/>
        <v>#VALUE!</v>
      </c>
    </row>
    <row r="1556" spans="1:8" x14ac:dyDescent="0.25">
      <c r="A1556" s="10"/>
      <c r="B1556" s="134"/>
      <c r="C1556" s="116"/>
      <c r="D1556" s="116"/>
      <c r="E1556" s="116"/>
      <c r="F1556" s="116"/>
      <c r="G1556" s="162" t="str">
        <f t="shared" si="48"/>
        <v xml:space="preserve"> </v>
      </c>
      <c r="H1556" s="161" t="e">
        <f t="shared" si="49"/>
        <v>#VALUE!</v>
      </c>
    </row>
    <row r="1557" spans="1:8" x14ac:dyDescent="0.25">
      <c r="A1557" s="10"/>
      <c r="B1557" s="134"/>
      <c r="C1557" s="116"/>
      <c r="D1557" s="116"/>
      <c r="E1557" s="116"/>
      <c r="F1557" s="116"/>
      <c r="G1557" s="162" t="str">
        <f t="shared" si="48"/>
        <v xml:space="preserve"> </v>
      </c>
      <c r="H1557" s="161" t="e">
        <f t="shared" si="49"/>
        <v>#VALUE!</v>
      </c>
    </row>
    <row r="1558" spans="1:8" x14ac:dyDescent="0.25">
      <c r="A1558" s="10"/>
      <c r="B1558" s="134"/>
      <c r="C1558" s="116"/>
      <c r="D1558" s="116"/>
      <c r="E1558" s="116"/>
      <c r="F1558" s="116"/>
      <c r="G1558" s="162" t="str">
        <f t="shared" si="48"/>
        <v xml:space="preserve"> </v>
      </c>
      <c r="H1558" s="161" t="e">
        <f t="shared" si="49"/>
        <v>#VALUE!</v>
      </c>
    </row>
    <row r="1559" spans="1:8" x14ac:dyDescent="0.25">
      <c r="A1559" s="10"/>
      <c r="B1559" s="134"/>
      <c r="C1559" s="116"/>
      <c r="D1559" s="116"/>
      <c r="E1559" s="116"/>
      <c r="F1559" s="116"/>
      <c r="G1559" s="162" t="str">
        <f t="shared" si="48"/>
        <v xml:space="preserve"> </v>
      </c>
      <c r="H1559" s="161" t="e">
        <f t="shared" si="49"/>
        <v>#VALUE!</v>
      </c>
    </row>
    <row r="1560" spans="1:8" x14ac:dyDescent="0.25">
      <c r="A1560" s="10"/>
      <c r="B1560" s="134"/>
      <c r="C1560" s="116"/>
      <c r="D1560" s="116"/>
      <c r="E1560" s="116"/>
      <c r="F1560" s="116"/>
      <c r="G1560" s="162" t="str">
        <f t="shared" si="48"/>
        <v xml:space="preserve"> </v>
      </c>
      <c r="H1560" s="161" t="e">
        <f t="shared" si="49"/>
        <v>#VALUE!</v>
      </c>
    </row>
    <row r="1561" spans="1:8" x14ac:dyDescent="0.25">
      <c r="A1561" s="10"/>
      <c r="B1561" s="134"/>
      <c r="C1561" s="116"/>
      <c r="D1561" s="116"/>
      <c r="E1561" s="116"/>
      <c r="F1561" s="116"/>
      <c r="G1561" s="162" t="str">
        <f t="shared" si="48"/>
        <v xml:space="preserve"> </v>
      </c>
      <c r="H1561" s="161" t="e">
        <f t="shared" si="49"/>
        <v>#VALUE!</v>
      </c>
    </row>
    <row r="1562" spans="1:8" x14ac:dyDescent="0.25">
      <c r="A1562" s="10"/>
      <c r="B1562" s="134"/>
      <c r="C1562" s="116"/>
      <c r="D1562" s="116"/>
      <c r="E1562" s="116"/>
      <c r="F1562" s="116"/>
      <c r="G1562" s="162" t="str">
        <f t="shared" si="48"/>
        <v xml:space="preserve"> </v>
      </c>
      <c r="H1562" s="161" t="e">
        <f t="shared" si="49"/>
        <v>#VALUE!</v>
      </c>
    </row>
    <row r="1563" spans="1:8" x14ac:dyDescent="0.25">
      <c r="A1563" s="10"/>
      <c r="B1563" s="134"/>
      <c r="C1563" s="116"/>
      <c r="D1563" s="116"/>
      <c r="E1563" s="116"/>
      <c r="F1563" s="116"/>
      <c r="G1563" s="162" t="str">
        <f t="shared" si="48"/>
        <v xml:space="preserve"> </v>
      </c>
      <c r="H1563" s="161" t="e">
        <f t="shared" si="49"/>
        <v>#VALUE!</v>
      </c>
    </row>
    <row r="1564" spans="1:8" x14ac:dyDescent="0.25">
      <c r="A1564" s="10"/>
      <c r="B1564" s="134"/>
      <c r="C1564" s="116"/>
      <c r="D1564" s="116"/>
      <c r="E1564" s="116"/>
      <c r="F1564" s="116"/>
      <c r="G1564" s="162" t="str">
        <f t="shared" si="48"/>
        <v xml:space="preserve"> </v>
      </c>
      <c r="H1564" s="161" t="e">
        <f t="shared" si="49"/>
        <v>#VALUE!</v>
      </c>
    </row>
    <row r="1565" spans="1:8" x14ac:dyDescent="0.25">
      <c r="A1565" s="10"/>
      <c r="B1565" s="134"/>
      <c r="C1565" s="116"/>
      <c r="D1565" s="116"/>
      <c r="E1565" s="116"/>
      <c r="F1565" s="116"/>
      <c r="G1565" s="162" t="str">
        <f t="shared" si="48"/>
        <v xml:space="preserve"> </v>
      </c>
      <c r="H1565" s="161" t="e">
        <f t="shared" si="49"/>
        <v>#VALUE!</v>
      </c>
    </row>
    <row r="1566" spans="1:8" x14ac:dyDescent="0.25">
      <c r="A1566" s="10"/>
      <c r="B1566" s="134"/>
      <c r="C1566" s="116"/>
      <c r="D1566" s="116"/>
      <c r="E1566" s="116"/>
      <c r="F1566" s="116"/>
      <c r="G1566" s="162" t="str">
        <f t="shared" si="48"/>
        <v xml:space="preserve"> </v>
      </c>
      <c r="H1566" s="161" t="e">
        <f t="shared" si="49"/>
        <v>#VALUE!</v>
      </c>
    </row>
    <row r="1567" spans="1:8" x14ac:dyDescent="0.25">
      <c r="A1567" s="10"/>
      <c r="B1567" s="134"/>
      <c r="C1567" s="116"/>
      <c r="D1567" s="116"/>
      <c r="E1567" s="116"/>
      <c r="F1567" s="116"/>
      <c r="G1567" s="162" t="str">
        <f t="shared" si="48"/>
        <v xml:space="preserve"> </v>
      </c>
      <c r="H1567" s="161" t="e">
        <f t="shared" si="49"/>
        <v>#VALUE!</v>
      </c>
    </row>
    <row r="1568" spans="1:8" x14ac:dyDescent="0.25">
      <c r="A1568" s="10"/>
      <c r="B1568" s="134"/>
      <c r="C1568" s="116"/>
      <c r="D1568" s="116"/>
      <c r="E1568" s="116"/>
      <c r="F1568" s="116"/>
      <c r="G1568" s="162" t="str">
        <f t="shared" si="48"/>
        <v xml:space="preserve"> </v>
      </c>
      <c r="H1568" s="161" t="e">
        <f t="shared" si="49"/>
        <v>#VALUE!</v>
      </c>
    </row>
    <row r="1569" spans="1:8" x14ac:dyDescent="0.25">
      <c r="A1569" s="10"/>
      <c r="B1569" s="134"/>
      <c r="C1569" s="116"/>
      <c r="D1569" s="116"/>
      <c r="E1569" s="116"/>
      <c r="F1569" s="116"/>
      <c r="G1569" s="162" t="str">
        <f t="shared" si="48"/>
        <v xml:space="preserve"> </v>
      </c>
      <c r="H1569" s="161" t="e">
        <f t="shared" si="49"/>
        <v>#VALUE!</v>
      </c>
    </row>
    <row r="1570" spans="1:8" x14ac:dyDescent="0.25">
      <c r="A1570" s="10"/>
      <c r="B1570" s="134"/>
      <c r="C1570" s="116"/>
      <c r="D1570" s="116"/>
      <c r="E1570" s="116"/>
      <c r="F1570" s="116"/>
      <c r="G1570" s="162" t="str">
        <f t="shared" si="48"/>
        <v xml:space="preserve"> </v>
      </c>
      <c r="H1570" s="161" t="e">
        <f t="shared" si="49"/>
        <v>#VALUE!</v>
      </c>
    </row>
    <row r="1571" spans="1:8" x14ac:dyDescent="0.25">
      <c r="A1571" s="10"/>
      <c r="B1571" s="134"/>
      <c r="C1571" s="116"/>
      <c r="D1571" s="116"/>
      <c r="E1571" s="116"/>
      <c r="F1571" s="116"/>
      <c r="G1571" s="162" t="str">
        <f t="shared" si="48"/>
        <v xml:space="preserve"> </v>
      </c>
      <c r="H1571" s="161" t="e">
        <f t="shared" si="49"/>
        <v>#VALUE!</v>
      </c>
    </row>
    <row r="1572" spans="1:8" x14ac:dyDescent="0.25">
      <c r="A1572" s="10"/>
      <c r="B1572" s="134"/>
      <c r="C1572" s="116"/>
      <c r="D1572" s="116"/>
      <c r="E1572" s="116"/>
      <c r="F1572" s="116"/>
      <c r="G1572" s="162" t="str">
        <f t="shared" si="48"/>
        <v xml:space="preserve"> </v>
      </c>
      <c r="H1572" s="161" t="e">
        <f t="shared" si="49"/>
        <v>#VALUE!</v>
      </c>
    </row>
    <row r="1573" spans="1:8" x14ac:dyDescent="0.25">
      <c r="A1573" s="10"/>
      <c r="B1573" s="134"/>
      <c r="C1573" s="116"/>
      <c r="D1573" s="116"/>
      <c r="E1573" s="116"/>
      <c r="F1573" s="116"/>
      <c r="G1573" s="162" t="str">
        <f t="shared" si="48"/>
        <v xml:space="preserve"> </v>
      </c>
      <c r="H1573" s="161" t="e">
        <f t="shared" si="49"/>
        <v>#VALUE!</v>
      </c>
    </row>
    <row r="1574" spans="1:8" x14ac:dyDescent="0.25">
      <c r="A1574" s="10"/>
      <c r="B1574" s="134"/>
      <c r="C1574" s="116"/>
      <c r="D1574" s="116"/>
      <c r="E1574" s="116"/>
      <c r="F1574" s="116"/>
      <c r="G1574" s="162" t="str">
        <f t="shared" si="48"/>
        <v xml:space="preserve"> </v>
      </c>
      <c r="H1574" s="161" t="e">
        <f t="shared" si="49"/>
        <v>#VALUE!</v>
      </c>
    </row>
    <row r="1575" spans="1:8" x14ac:dyDescent="0.25">
      <c r="A1575" s="10"/>
      <c r="B1575" s="134"/>
      <c r="C1575" s="116"/>
      <c r="D1575" s="116"/>
      <c r="E1575" s="116"/>
      <c r="F1575" s="116"/>
      <c r="G1575" s="162" t="str">
        <f t="shared" si="48"/>
        <v xml:space="preserve"> </v>
      </c>
      <c r="H1575" s="161" t="e">
        <f t="shared" si="49"/>
        <v>#VALUE!</v>
      </c>
    </row>
    <row r="1576" spans="1:8" x14ac:dyDescent="0.25">
      <c r="A1576" s="10"/>
      <c r="B1576" s="134"/>
      <c r="C1576" s="116"/>
      <c r="D1576" s="116"/>
      <c r="E1576" s="116"/>
      <c r="F1576" s="116"/>
      <c r="G1576" s="162" t="str">
        <f t="shared" si="48"/>
        <v xml:space="preserve"> </v>
      </c>
      <c r="H1576" s="161" t="e">
        <f t="shared" si="49"/>
        <v>#VALUE!</v>
      </c>
    </row>
    <row r="1577" spans="1:8" x14ac:dyDescent="0.25">
      <c r="A1577" s="10"/>
      <c r="B1577" s="134"/>
      <c r="C1577" s="116"/>
      <c r="D1577" s="116"/>
      <c r="E1577" s="116"/>
      <c r="F1577" s="116"/>
      <c r="G1577" s="162" t="str">
        <f t="shared" si="48"/>
        <v xml:space="preserve"> </v>
      </c>
      <c r="H1577" s="161" t="e">
        <f t="shared" si="49"/>
        <v>#VALUE!</v>
      </c>
    </row>
    <row r="1578" spans="1:8" x14ac:dyDescent="0.25">
      <c r="A1578" s="10"/>
      <c r="B1578" s="134"/>
      <c r="C1578" s="116"/>
      <c r="D1578" s="116"/>
      <c r="E1578" s="116"/>
      <c r="F1578" s="116"/>
      <c r="G1578" s="162" t="str">
        <f t="shared" si="48"/>
        <v xml:space="preserve"> </v>
      </c>
      <c r="H1578" s="161" t="e">
        <f t="shared" si="49"/>
        <v>#VALUE!</v>
      </c>
    </row>
    <row r="1579" spans="1:8" x14ac:dyDescent="0.25">
      <c r="A1579" s="10"/>
      <c r="B1579" s="134"/>
      <c r="C1579" s="116"/>
      <c r="D1579" s="116"/>
      <c r="E1579" s="116"/>
      <c r="F1579" s="116"/>
      <c r="G1579" s="162" t="str">
        <f t="shared" si="48"/>
        <v xml:space="preserve"> </v>
      </c>
      <c r="H1579" s="161" t="e">
        <f t="shared" si="49"/>
        <v>#VALUE!</v>
      </c>
    </row>
    <row r="1580" spans="1:8" x14ac:dyDescent="0.25">
      <c r="A1580" s="10"/>
      <c r="B1580" s="134"/>
      <c r="C1580" s="116"/>
      <c r="D1580" s="116"/>
      <c r="E1580" s="116"/>
      <c r="F1580" s="116"/>
      <c r="G1580" s="162" t="str">
        <f t="shared" si="48"/>
        <v xml:space="preserve"> </v>
      </c>
      <c r="H1580" s="161" t="e">
        <f t="shared" si="49"/>
        <v>#VALUE!</v>
      </c>
    </row>
    <row r="1581" spans="1:8" x14ac:dyDescent="0.25">
      <c r="A1581" s="10"/>
      <c r="B1581" s="134"/>
      <c r="C1581" s="116"/>
      <c r="D1581" s="116"/>
      <c r="E1581" s="116"/>
      <c r="F1581" s="116"/>
      <c r="G1581" s="162" t="str">
        <f t="shared" si="48"/>
        <v xml:space="preserve"> </v>
      </c>
      <c r="H1581" s="161" t="e">
        <f t="shared" si="49"/>
        <v>#VALUE!</v>
      </c>
    </row>
    <row r="1582" spans="1:8" x14ac:dyDescent="0.25">
      <c r="A1582" s="10"/>
      <c r="B1582" s="134"/>
      <c r="C1582" s="116"/>
      <c r="D1582" s="116"/>
      <c r="E1582" s="116"/>
      <c r="F1582" s="116"/>
      <c r="G1582" s="162" t="str">
        <f t="shared" si="48"/>
        <v xml:space="preserve"> </v>
      </c>
      <c r="H1582" s="161" t="e">
        <f t="shared" si="49"/>
        <v>#VALUE!</v>
      </c>
    </row>
    <row r="1583" spans="1:8" x14ac:dyDescent="0.25">
      <c r="A1583" s="10"/>
      <c r="B1583" s="134"/>
      <c r="C1583" s="116"/>
      <c r="D1583" s="116"/>
      <c r="E1583" s="116"/>
      <c r="F1583" s="116"/>
      <c r="G1583" s="162" t="str">
        <f t="shared" si="48"/>
        <v xml:space="preserve"> </v>
      </c>
      <c r="H1583" s="161" t="e">
        <f t="shared" si="49"/>
        <v>#VALUE!</v>
      </c>
    </row>
    <row r="1584" spans="1:8" x14ac:dyDescent="0.25">
      <c r="A1584" s="10"/>
      <c r="B1584" s="134"/>
      <c r="C1584" s="116"/>
      <c r="D1584" s="116"/>
      <c r="E1584" s="116"/>
      <c r="F1584" s="116"/>
      <c r="G1584" s="162" t="str">
        <f t="shared" si="48"/>
        <v xml:space="preserve"> </v>
      </c>
      <c r="H1584" s="161" t="e">
        <f t="shared" si="49"/>
        <v>#VALUE!</v>
      </c>
    </row>
    <row r="1585" spans="1:8" x14ac:dyDescent="0.25">
      <c r="A1585" s="10"/>
      <c r="B1585" s="134"/>
      <c r="C1585" s="116"/>
      <c r="D1585" s="116"/>
      <c r="E1585" s="116"/>
      <c r="F1585" s="116"/>
      <c r="G1585" s="162" t="str">
        <f t="shared" si="48"/>
        <v xml:space="preserve"> </v>
      </c>
      <c r="H1585" s="161" t="e">
        <f t="shared" si="49"/>
        <v>#VALUE!</v>
      </c>
    </row>
    <row r="1586" spans="1:8" x14ac:dyDescent="0.25">
      <c r="A1586" s="10"/>
      <c r="B1586" s="134"/>
      <c r="C1586" s="116"/>
      <c r="D1586" s="116"/>
      <c r="E1586" s="116"/>
      <c r="F1586" s="116"/>
      <c r="G1586" s="162" t="str">
        <f t="shared" si="48"/>
        <v xml:space="preserve"> </v>
      </c>
      <c r="H1586" s="161" t="e">
        <f t="shared" si="49"/>
        <v>#VALUE!</v>
      </c>
    </row>
    <row r="1587" spans="1:8" x14ac:dyDescent="0.25">
      <c r="A1587" s="10"/>
      <c r="B1587" s="134"/>
      <c r="C1587" s="116"/>
      <c r="D1587" s="116"/>
      <c r="E1587" s="116"/>
      <c r="F1587" s="116"/>
      <c r="G1587" s="162" t="str">
        <f t="shared" si="48"/>
        <v xml:space="preserve"> </v>
      </c>
      <c r="H1587" s="161" t="e">
        <f t="shared" si="49"/>
        <v>#VALUE!</v>
      </c>
    </row>
    <row r="1588" spans="1:8" x14ac:dyDescent="0.25">
      <c r="A1588" s="10"/>
      <c r="B1588" s="134"/>
      <c r="C1588" s="116"/>
      <c r="D1588" s="116"/>
      <c r="E1588" s="116"/>
      <c r="F1588" s="116"/>
      <c r="G1588" s="162" t="str">
        <f t="shared" si="48"/>
        <v xml:space="preserve"> </v>
      </c>
      <c r="H1588" s="161" t="e">
        <f t="shared" si="49"/>
        <v>#VALUE!</v>
      </c>
    </row>
    <row r="1589" spans="1:8" x14ac:dyDescent="0.25">
      <c r="A1589" s="10"/>
      <c r="B1589" s="134"/>
      <c r="C1589" s="116"/>
      <c r="D1589" s="116"/>
      <c r="E1589" s="116"/>
      <c r="F1589" s="116"/>
      <c r="G1589" s="162" t="str">
        <f t="shared" si="48"/>
        <v xml:space="preserve"> </v>
      </c>
      <c r="H1589" s="161" t="e">
        <f t="shared" si="49"/>
        <v>#VALUE!</v>
      </c>
    </row>
    <row r="1590" spans="1:8" x14ac:dyDescent="0.25">
      <c r="A1590" s="10"/>
      <c r="B1590" s="134"/>
      <c r="C1590" s="116"/>
      <c r="D1590" s="116"/>
      <c r="E1590" s="116"/>
      <c r="F1590" s="116"/>
      <c r="G1590" s="162" t="str">
        <f t="shared" si="48"/>
        <v xml:space="preserve"> </v>
      </c>
      <c r="H1590" s="161" t="e">
        <f t="shared" si="49"/>
        <v>#VALUE!</v>
      </c>
    </row>
    <row r="1591" spans="1:8" x14ac:dyDescent="0.25">
      <c r="A1591" s="10"/>
      <c r="B1591" s="134"/>
      <c r="C1591" s="116"/>
      <c r="D1591" s="116"/>
      <c r="E1591" s="116"/>
      <c r="F1591" s="116"/>
      <c r="G1591" s="162" t="str">
        <f t="shared" si="48"/>
        <v xml:space="preserve"> </v>
      </c>
      <c r="H1591" s="161" t="e">
        <f t="shared" si="49"/>
        <v>#VALUE!</v>
      </c>
    </row>
    <row r="1592" spans="1:8" x14ac:dyDescent="0.25">
      <c r="A1592" s="10"/>
      <c r="B1592" s="134"/>
      <c r="C1592" s="116"/>
      <c r="D1592" s="116"/>
      <c r="E1592" s="116"/>
      <c r="F1592" s="116"/>
      <c r="G1592" s="162" t="str">
        <f t="shared" si="48"/>
        <v xml:space="preserve"> </v>
      </c>
      <c r="H1592" s="161" t="e">
        <f t="shared" si="49"/>
        <v>#VALUE!</v>
      </c>
    </row>
    <row r="1593" spans="1:8" x14ac:dyDescent="0.25">
      <c r="A1593" s="10"/>
      <c r="B1593" s="134"/>
      <c r="C1593" s="116"/>
      <c r="D1593" s="116"/>
      <c r="E1593" s="116"/>
      <c r="F1593" s="116"/>
      <c r="G1593" s="162" t="str">
        <f t="shared" si="48"/>
        <v xml:space="preserve"> </v>
      </c>
      <c r="H1593" s="161" t="e">
        <f t="shared" si="49"/>
        <v>#VALUE!</v>
      </c>
    </row>
    <row r="1594" spans="1:8" x14ac:dyDescent="0.25">
      <c r="A1594" s="10"/>
      <c r="B1594" s="134"/>
      <c r="C1594" s="116"/>
      <c r="D1594" s="116"/>
      <c r="E1594" s="116"/>
      <c r="F1594" s="116"/>
      <c r="G1594" s="162" t="str">
        <f t="shared" si="48"/>
        <v xml:space="preserve"> </v>
      </c>
      <c r="H1594" s="161" t="e">
        <f t="shared" si="49"/>
        <v>#VALUE!</v>
      </c>
    </row>
    <row r="1595" spans="1:8" x14ac:dyDescent="0.25">
      <c r="A1595" s="10"/>
      <c r="B1595" s="134"/>
      <c r="C1595" s="116"/>
      <c r="D1595" s="116"/>
      <c r="E1595" s="116"/>
      <c r="F1595" s="116"/>
      <c r="G1595" s="162" t="str">
        <f t="shared" si="48"/>
        <v xml:space="preserve"> </v>
      </c>
      <c r="H1595" s="161" t="e">
        <f t="shared" si="49"/>
        <v>#VALUE!</v>
      </c>
    </row>
    <row r="1596" spans="1:8" x14ac:dyDescent="0.25">
      <c r="A1596" s="10"/>
      <c r="B1596" s="134"/>
      <c r="C1596" s="116"/>
      <c r="D1596" s="116"/>
      <c r="E1596" s="116"/>
      <c r="F1596" s="116"/>
      <c r="G1596" s="162" t="str">
        <f t="shared" si="48"/>
        <v xml:space="preserve"> </v>
      </c>
      <c r="H1596" s="161" t="e">
        <f t="shared" si="49"/>
        <v>#VALUE!</v>
      </c>
    </row>
    <row r="1597" spans="1:8" x14ac:dyDescent="0.25">
      <c r="A1597" s="10"/>
      <c r="B1597" s="134"/>
      <c r="C1597" s="116"/>
      <c r="D1597" s="116"/>
      <c r="E1597" s="116"/>
      <c r="F1597" s="116"/>
      <c r="G1597" s="162" t="str">
        <f t="shared" si="48"/>
        <v xml:space="preserve"> </v>
      </c>
      <c r="H1597" s="161" t="e">
        <f t="shared" si="49"/>
        <v>#VALUE!</v>
      </c>
    </row>
    <row r="1598" spans="1:8" x14ac:dyDescent="0.25">
      <c r="A1598" s="10"/>
      <c r="B1598" s="134"/>
      <c r="C1598" s="116"/>
      <c r="D1598" s="116"/>
      <c r="E1598" s="116"/>
      <c r="F1598" s="116"/>
      <c r="G1598" s="162" t="str">
        <f t="shared" si="48"/>
        <v xml:space="preserve"> </v>
      </c>
      <c r="H1598" s="161" t="e">
        <f t="shared" si="49"/>
        <v>#VALUE!</v>
      </c>
    </row>
    <row r="1599" spans="1:8" x14ac:dyDescent="0.25">
      <c r="A1599" s="10"/>
      <c r="B1599" s="134"/>
      <c r="C1599" s="116"/>
      <c r="D1599" s="116"/>
      <c r="E1599" s="116"/>
      <c r="F1599" s="116"/>
      <c r="G1599" s="162" t="str">
        <f t="shared" si="48"/>
        <v xml:space="preserve"> </v>
      </c>
      <c r="H1599" s="161" t="e">
        <f t="shared" si="49"/>
        <v>#VALUE!</v>
      </c>
    </row>
    <row r="1600" spans="1:8" x14ac:dyDescent="0.25">
      <c r="A1600" s="10"/>
      <c r="B1600" s="134"/>
      <c r="C1600" s="116"/>
      <c r="D1600" s="116"/>
      <c r="E1600" s="116"/>
      <c r="F1600" s="116"/>
      <c r="G1600" s="162" t="str">
        <f t="shared" si="48"/>
        <v xml:space="preserve"> </v>
      </c>
      <c r="H1600" s="161" t="e">
        <f t="shared" si="49"/>
        <v>#VALUE!</v>
      </c>
    </row>
    <row r="1601" spans="1:8" x14ac:dyDescent="0.25">
      <c r="A1601" s="10"/>
      <c r="B1601" s="134"/>
      <c r="C1601" s="116"/>
      <c r="D1601" s="116"/>
      <c r="E1601" s="116"/>
      <c r="F1601" s="116"/>
      <c r="G1601" s="162" t="str">
        <f t="shared" si="48"/>
        <v xml:space="preserve"> </v>
      </c>
      <c r="H1601" s="161" t="e">
        <f t="shared" si="49"/>
        <v>#VALUE!</v>
      </c>
    </row>
    <row r="1602" spans="1:8" x14ac:dyDescent="0.25">
      <c r="A1602" s="10"/>
      <c r="B1602" s="134"/>
      <c r="C1602" s="116"/>
      <c r="D1602" s="116"/>
      <c r="E1602" s="116"/>
      <c r="F1602" s="116"/>
      <c r="G1602" s="162" t="str">
        <f t="shared" si="48"/>
        <v xml:space="preserve"> </v>
      </c>
      <c r="H1602" s="161" t="e">
        <f t="shared" si="49"/>
        <v>#VALUE!</v>
      </c>
    </row>
    <row r="1603" spans="1:8" x14ac:dyDescent="0.25">
      <c r="A1603" s="10"/>
      <c r="B1603" s="134"/>
      <c r="C1603" s="116"/>
      <c r="D1603" s="116"/>
      <c r="E1603" s="116"/>
      <c r="F1603" s="116"/>
      <c r="G1603" s="162" t="str">
        <f t="shared" ref="G1603:G1666" si="50">IF(LEFT(A1603,3)="S7P","Pintura",IF(LEFT(A1603,3)="S7M","Montagem",
IF(LEFT(A1603,3)="S7S","Serigrafia"," ")))</f>
        <v xml:space="preserve"> </v>
      </c>
      <c r="H1603" s="161" t="e">
        <f t="shared" ref="H1603:H1666" si="51">VALUE(LEFT(F1603,2))&amp;"h"</f>
        <v>#VALUE!</v>
      </c>
    </row>
    <row r="1604" spans="1:8" x14ac:dyDescent="0.25">
      <c r="A1604" s="10"/>
      <c r="B1604" s="134"/>
      <c r="C1604" s="116"/>
      <c r="D1604" s="116"/>
      <c r="E1604" s="116"/>
      <c r="F1604" s="116"/>
      <c r="G1604" s="162" t="str">
        <f t="shared" si="50"/>
        <v xml:space="preserve"> </v>
      </c>
      <c r="H1604" s="161" t="e">
        <f t="shared" si="51"/>
        <v>#VALUE!</v>
      </c>
    </row>
    <row r="1605" spans="1:8" x14ac:dyDescent="0.25">
      <c r="A1605" s="10"/>
      <c r="B1605" s="134"/>
      <c r="C1605" s="116"/>
      <c r="D1605" s="116"/>
      <c r="E1605" s="116"/>
      <c r="F1605" s="116"/>
      <c r="G1605" s="162" t="str">
        <f t="shared" si="50"/>
        <v xml:space="preserve"> </v>
      </c>
      <c r="H1605" s="161" t="e">
        <f t="shared" si="51"/>
        <v>#VALUE!</v>
      </c>
    </row>
    <row r="1606" spans="1:8" x14ac:dyDescent="0.25">
      <c r="A1606" s="10"/>
      <c r="B1606" s="134"/>
      <c r="C1606" s="116"/>
      <c r="D1606" s="116"/>
      <c r="E1606" s="116"/>
      <c r="F1606" s="116"/>
      <c r="G1606" s="162" t="str">
        <f t="shared" si="50"/>
        <v xml:space="preserve"> </v>
      </c>
      <c r="H1606" s="161" t="e">
        <f t="shared" si="51"/>
        <v>#VALUE!</v>
      </c>
    </row>
    <row r="1607" spans="1:8" x14ac:dyDescent="0.25">
      <c r="A1607" s="10"/>
      <c r="B1607" s="134"/>
      <c r="C1607" s="116"/>
      <c r="D1607" s="116"/>
      <c r="E1607" s="116"/>
      <c r="F1607" s="116"/>
      <c r="G1607" s="162" t="str">
        <f t="shared" si="50"/>
        <v xml:space="preserve"> </v>
      </c>
      <c r="H1607" s="161" t="e">
        <f t="shared" si="51"/>
        <v>#VALUE!</v>
      </c>
    </row>
    <row r="1608" spans="1:8" x14ac:dyDescent="0.25">
      <c r="A1608" s="10"/>
      <c r="B1608" s="134"/>
      <c r="C1608" s="116"/>
      <c r="D1608" s="116"/>
      <c r="E1608" s="116"/>
      <c r="F1608" s="116"/>
      <c r="G1608" s="162" t="str">
        <f t="shared" si="50"/>
        <v xml:space="preserve"> </v>
      </c>
      <c r="H1608" s="161" t="e">
        <f t="shared" si="51"/>
        <v>#VALUE!</v>
      </c>
    </row>
    <row r="1609" spans="1:8" x14ac:dyDescent="0.25">
      <c r="A1609" s="10"/>
      <c r="B1609" s="134"/>
      <c r="C1609" s="116"/>
      <c r="D1609" s="116"/>
      <c r="E1609" s="116"/>
      <c r="F1609" s="116"/>
      <c r="G1609" s="162" t="str">
        <f t="shared" si="50"/>
        <v xml:space="preserve"> </v>
      </c>
      <c r="H1609" s="161" t="e">
        <f t="shared" si="51"/>
        <v>#VALUE!</v>
      </c>
    </row>
    <row r="1610" spans="1:8" x14ac:dyDescent="0.25">
      <c r="A1610" s="10"/>
      <c r="B1610" s="134"/>
      <c r="C1610" s="116"/>
      <c r="D1610" s="116"/>
      <c r="E1610" s="116"/>
      <c r="F1610" s="116"/>
      <c r="G1610" s="162" t="str">
        <f t="shared" si="50"/>
        <v xml:space="preserve"> </v>
      </c>
      <c r="H1610" s="161" t="e">
        <f t="shared" si="51"/>
        <v>#VALUE!</v>
      </c>
    </row>
    <row r="1611" spans="1:8" x14ac:dyDescent="0.25">
      <c r="A1611" s="10"/>
      <c r="B1611" s="134"/>
      <c r="C1611" s="116"/>
      <c r="D1611" s="116"/>
      <c r="E1611" s="116"/>
      <c r="F1611" s="116"/>
      <c r="G1611" s="162" t="str">
        <f t="shared" si="50"/>
        <v xml:space="preserve"> </v>
      </c>
      <c r="H1611" s="161" t="e">
        <f t="shared" si="51"/>
        <v>#VALUE!</v>
      </c>
    </row>
    <row r="1612" spans="1:8" x14ac:dyDescent="0.25">
      <c r="A1612" s="10"/>
      <c r="B1612" s="134"/>
      <c r="C1612" s="116"/>
      <c r="D1612" s="116"/>
      <c r="E1612" s="116"/>
      <c r="F1612" s="116"/>
      <c r="G1612" s="162" t="str">
        <f t="shared" si="50"/>
        <v xml:space="preserve"> </v>
      </c>
      <c r="H1612" s="161" t="e">
        <f t="shared" si="51"/>
        <v>#VALUE!</v>
      </c>
    </row>
    <row r="1613" spans="1:8" x14ac:dyDescent="0.25">
      <c r="A1613" s="10"/>
      <c r="B1613" s="134"/>
      <c r="C1613" s="116"/>
      <c r="D1613" s="116"/>
      <c r="E1613" s="116"/>
      <c r="F1613" s="116"/>
      <c r="G1613" s="162" t="str">
        <f t="shared" si="50"/>
        <v xml:space="preserve"> </v>
      </c>
      <c r="H1613" s="161" t="e">
        <f t="shared" si="51"/>
        <v>#VALUE!</v>
      </c>
    </row>
    <row r="1614" spans="1:8" x14ac:dyDescent="0.25">
      <c r="A1614" s="10"/>
      <c r="B1614" s="134"/>
      <c r="C1614" s="116"/>
      <c r="D1614" s="116"/>
      <c r="E1614" s="116"/>
      <c r="F1614" s="116"/>
      <c r="G1614" s="162" t="str">
        <f t="shared" si="50"/>
        <v xml:space="preserve"> </v>
      </c>
      <c r="H1614" s="161" t="e">
        <f t="shared" si="51"/>
        <v>#VALUE!</v>
      </c>
    </row>
    <row r="1615" spans="1:8" x14ac:dyDescent="0.25">
      <c r="A1615" s="10"/>
      <c r="B1615" s="134"/>
      <c r="C1615" s="116"/>
      <c r="D1615" s="116"/>
      <c r="E1615" s="116"/>
      <c r="F1615" s="116"/>
      <c r="G1615" s="162" t="str">
        <f t="shared" si="50"/>
        <v xml:space="preserve"> </v>
      </c>
      <c r="H1615" s="161" t="e">
        <f t="shared" si="51"/>
        <v>#VALUE!</v>
      </c>
    </row>
    <row r="1616" spans="1:8" x14ac:dyDescent="0.25">
      <c r="A1616" s="10"/>
      <c r="B1616" s="134"/>
      <c r="C1616" s="116"/>
      <c r="D1616" s="116"/>
      <c r="E1616" s="116"/>
      <c r="F1616" s="116"/>
      <c r="G1616" s="162" t="str">
        <f t="shared" si="50"/>
        <v xml:space="preserve"> </v>
      </c>
      <c r="H1616" s="161" t="e">
        <f t="shared" si="51"/>
        <v>#VALUE!</v>
      </c>
    </row>
    <row r="1617" spans="1:8" x14ac:dyDescent="0.25">
      <c r="A1617" s="10"/>
      <c r="B1617" s="134"/>
      <c r="C1617" s="116"/>
      <c r="D1617" s="116"/>
      <c r="E1617" s="116"/>
      <c r="F1617" s="116"/>
      <c r="G1617" s="162" t="str">
        <f t="shared" si="50"/>
        <v xml:space="preserve"> </v>
      </c>
      <c r="H1617" s="161" t="e">
        <f t="shared" si="51"/>
        <v>#VALUE!</v>
      </c>
    </row>
    <row r="1618" spans="1:8" x14ac:dyDescent="0.25">
      <c r="A1618" s="10"/>
      <c r="B1618" s="134"/>
      <c r="C1618" s="116"/>
      <c r="D1618" s="116"/>
      <c r="E1618" s="116"/>
      <c r="F1618" s="116"/>
      <c r="G1618" s="162" t="str">
        <f t="shared" si="50"/>
        <v xml:space="preserve"> </v>
      </c>
      <c r="H1618" s="161" t="e">
        <f t="shared" si="51"/>
        <v>#VALUE!</v>
      </c>
    </row>
    <row r="1619" spans="1:8" x14ac:dyDescent="0.25">
      <c r="A1619" s="10"/>
      <c r="B1619" s="134"/>
      <c r="C1619" s="116"/>
      <c r="D1619" s="116"/>
      <c r="E1619" s="116"/>
      <c r="F1619" s="116"/>
      <c r="G1619" s="162" t="str">
        <f t="shared" si="50"/>
        <v xml:space="preserve"> </v>
      </c>
      <c r="H1619" s="161" t="e">
        <f t="shared" si="51"/>
        <v>#VALUE!</v>
      </c>
    </row>
    <row r="1620" spans="1:8" x14ac:dyDescent="0.25">
      <c r="A1620" s="10"/>
      <c r="B1620" s="134"/>
      <c r="C1620" s="116"/>
      <c r="D1620" s="116"/>
      <c r="E1620" s="116"/>
      <c r="F1620" s="116"/>
      <c r="G1620" s="162" t="str">
        <f t="shared" si="50"/>
        <v xml:space="preserve"> </v>
      </c>
      <c r="H1620" s="161" t="e">
        <f t="shared" si="51"/>
        <v>#VALUE!</v>
      </c>
    </row>
    <row r="1621" spans="1:8" x14ac:dyDescent="0.25">
      <c r="A1621" s="10"/>
      <c r="B1621" s="134"/>
      <c r="C1621" s="116"/>
      <c r="D1621" s="116"/>
      <c r="E1621" s="116"/>
      <c r="F1621" s="116"/>
      <c r="G1621" s="162" t="str">
        <f t="shared" si="50"/>
        <v xml:space="preserve"> </v>
      </c>
      <c r="H1621" s="161" t="e">
        <f t="shared" si="51"/>
        <v>#VALUE!</v>
      </c>
    </row>
    <row r="1622" spans="1:8" x14ac:dyDescent="0.25">
      <c r="A1622" s="10"/>
      <c r="B1622" s="134"/>
      <c r="C1622" s="116"/>
      <c r="D1622" s="116"/>
      <c r="E1622" s="116"/>
      <c r="F1622" s="116"/>
      <c r="G1622" s="162" t="str">
        <f t="shared" si="50"/>
        <v xml:space="preserve"> </v>
      </c>
      <c r="H1622" s="161" t="e">
        <f t="shared" si="51"/>
        <v>#VALUE!</v>
      </c>
    </row>
    <row r="1623" spans="1:8" x14ac:dyDescent="0.25">
      <c r="A1623" s="10"/>
      <c r="B1623" s="134"/>
      <c r="C1623" s="116"/>
      <c r="D1623" s="116"/>
      <c r="E1623" s="116"/>
      <c r="F1623" s="116"/>
      <c r="G1623" s="162" t="str">
        <f t="shared" si="50"/>
        <v xml:space="preserve"> </v>
      </c>
      <c r="H1623" s="161" t="e">
        <f t="shared" si="51"/>
        <v>#VALUE!</v>
      </c>
    </row>
    <row r="1624" spans="1:8" x14ac:dyDescent="0.25">
      <c r="A1624" s="10"/>
      <c r="B1624" s="134"/>
      <c r="C1624" s="116"/>
      <c r="D1624" s="116"/>
      <c r="E1624" s="116"/>
      <c r="F1624" s="116"/>
      <c r="G1624" s="162" t="str">
        <f t="shared" si="50"/>
        <v xml:space="preserve"> </v>
      </c>
      <c r="H1624" s="161" t="e">
        <f t="shared" si="51"/>
        <v>#VALUE!</v>
      </c>
    </row>
    <row r="1625" spans="1:8" x14ac:dyDescent="0.25">
      <c r="A1625" s="10"/>
      <c r="B1625" s="134"/>
      <c r="C1625" s="116"/>
      <c r="D1625" s="116"/>
      <c r="E1625" s="116"/>
      <c r="F1625" s="116"/>
      <c r="G1625" s="162" t="str">
        <f t="shared" si="50"/>
        <v xml:space="preserve"> </v>
      </c>
      <c r="H1625" s="161" t="e">
        <f t="shared" si="51"/>
        <v>#VALUE!</v>
      </c>
    </row>
    <row r="1626" spans="1:8" x14ac:dyDescent="0.25">
      <c r="A1626" s="10"/>
      <c r="B1626" s="134"/>
      <c r="C1626" s="116"/>
      <c r="D1626" s="116"/>
      <c r="E1626" s="116"/>
      <c r="F1626" s="116"/>
      <c r="G1626" s="162" t="str">
        <f t="shared" si="50"/>
        <v xml:space="preserve"> </v>
      </c>
      <c r="H1626" s="161" t="e">
        <f t="shared" si="51"/>
        <v>#VALUE!</v>
      </c>
    </row>
    <row r="1627" spans="1:8" x14ac:dyDescent="0.25">
      <c r="A1627" s="10"/>
      <c r="B1627" s="134"/>
      <c r="C1627" s="116"/>
      <c r="D1627" s="116"/>
      <c r="E1627" s="116"/>
      <c r="F1627" s="116"/>
      <c r="G1627" s="162" t="str">
        <f t="shared" si="50"/>
        <v xml:space="preserve"> </v>
      </c>
      <c r="H1627" s="161" t="e">
        <f t="shared" si="51"/>
        <v>#VALUE!</v>
      </c>
    </row>
    <row r="1628" spans="1:8" x14ac:dyDescent="0.25">
      <c r="A1628" s="10"/>
      <c r="B1628" s="134"/>
      <c r="C1628" s="116"/>
      <c r="D1628" s="116"/>
      <c r="E1628" s="116"/>
      <c r="F1628" s="116"/>
      <c r="G1628" s="162" t="str">
        <f t="shared" si="50"/>
        <v xml:space="preserve"> </v>
      </c>
      <c r="H1628" s="161" t="e">
        <f t="shared" si="51"/>
        <v>#VALUE!</v>
      </c>
    </row>
    <row r="1629" spans="1:8" x14ac:dyDescent="0.25">
      <c r="A1629" s="10"/>
      <c r="B1629" s="134"/>
      <c r="C1629" s="116"/>
      <c r="D1629" s="116"/>
      <c r="E1629" s="116"/>
      <c r="F1629" s="116"/>
      <c r="G1629" s="162" t="str">
        <f t="shared" si="50"/>
        <v xml:space="preserve"> </v>
      </c>
      <c r="H1629" s="161" t="e">
        <f t="shared" si="51"/>
        <v>#VALUE!</v>
      </c>
    </row>
    <row r="1630" spans="1:8" x14ac:dyDescent="0.25">
      <c r="A1630" s="10"/>
      <c r="B1630" s="134"/>
      <c r="C1630" s="116"/>
      <c r="D1630" s="116"/>
      <c r="E1630" s="116"/>
      <c r="F1630" s="116"/>
      <c r="G1630" s="162" t="str">
        <f t="shared" si="50"/>
        <v xml:space="preserve"> </v>
      </c>
      <c r="H1630" s="161" t="e">
        <f t="shared" si="51"/>
        <v>#VALUE!</v>
      </c>
    </row>
    <row r="1631" spans="1:8" x14ac:dyDescent="0.25">
      <c r="A1631" s="10"/>
      <c r="B1631" s="134"/>
      <c r="C1631" s="116"/>
      <c r="D1631" s="116"/>
      <c r="E1631" s="116"/>
      <c r="F1631" s="116"/>
      <c r="G1631" s="162" t="str">
        <f t="shared" si="50"/>
        <v xml:space="preserve"> </v>
      </c>
      <c r="H1631" s="161" t="e">
        <f t="shared" si="51"/>
        <v>#VALUE!</v>
      </c>
    </row>
    <row r="1632" spans="1:8" x14ac:dyDescent="0.25">
      <c r="A1632" s="10"/>
      <c r="B1632" s="134"/>
      <c r="C1632" s="116"/>
      <c r="D1632" s="116"/>
      <c r="E1632" s="116"/>
      <c r="F1632" s="116"/>
      <c r="G1632" s="162" t="str">
        <f t="shared" si="50"/>
        <v xml:space="preserve"> </v>
      </c>
      <c r="H1632" s="161" t="e">
        <f t="shared" si="51"/>
        <v>#VALUE!</v>
      </c>
    </row>
    <row r="1633" spans="1:8" x14ac:dyDescent="0.25">
      <c r="A1633" s="10"/>
      <c r="B1633" s="134"/>
      <c r="C1633" s="116"/>
      <c r="D1633" s="116"/>
      <c r="E1633" s="116"/>
      <c r="F1633" s="116"/>
      <c r="G1633" s="162" t="str">
        <f t="shared" si="50"/>
        <v xml:space="preserve"> </v>
      </c>
      <c r="H1633" s="161" t="e">
        <f t="shared" si="51"/>
        <v>#VALUE!</v>
      </c>
    </row>
    <row r="1634" spans="1:8" x14ac:dyDescent="0.25">
      <c r="A1634" s="10"/>
      <c r="B1634" s="134"/>
      <c r="C1634" s="116"/>
      <c r="D1634" s="116"/>
      <c r="E1634" s="116"/>
      <c r="F1634" s="116"/>
      <c r="G1634" s="162" t="str">
        <f t="shared" si="50"/>
        <v xml:space="preserve"> </v>
      </c>
      <c r="H1634" s="161" t="e">
        <f t="shared" si="51"/>
        <v>#VALUE!</v>
      </c>
    </row>
    <row r="1635" spans="1:8" x14ac:dyDescent="0.25">
      <c r="A1635" s="10"/>
      <c r="B1635" s="134"/>
      <c r="C1635" s="116"/>
      <c r="D1635" s="116"/>
      <c r="E1635" s="116"/>
      <c r="F1635" s="116"/>
      <c r="G1635" s="162" t="str">
        <f t="shared" si="50"/>
        <v xml:space="preserve"> </v>
      </c>
      <c r="H1635" s="161" t="e">
        <f t="shared" si="51"/>
        <v>#VALUE!</v>
      </c>
    </row>
    <row r="1636" spans="1:8" x14ac:dyDescent="0.25">
      <c r="A1636" s="10"/>
      <c r="B1636" s="134"/>
      <c r="C1636" s="116"/>
      <c r="D1636" s="116"/>
      <c r="E1636" s="116"/>
      <c r="F1636" s="116"/>
      <c r="G1636" s="162" t="str">
        <f t="shared" si="50"/>
        <v xml:space="preserve"> </v>
      </c>
      <c r="H1636" s="161" t="e">
        <f t="shared" si="51"/>
        <v>#VALUE!</v>
      </c>
    </row>
    <row r="1637" spans="1:8" x14ac:dyDescent="0.25">
      <c r="A1637" s="10"/>
      <c r="B1637" s="134"/>
      <c r="C1637" s="116"/>
      <c r="D1637" s="116"/>
      <c r="E1637" s="116"/>
      <c r="F1637" s="116"/>
      <c r="G1637" s="162" t="str">
        <f t="shared" si="50"/>
        <v xml:space="preserve"> </v>
      </c>
      <c r="H1637" s="161" t="e">
        <f t="shared" si="51"/>
        <v>#VALUE!</v>
      </c>
    </row>
    <row r="1638" spans="1:8" x14ac:dyDescent="0.25">
      <c r="A1638" s="10"/>
      <c r="B1638" s="134"/>
      <c r="C1638" s="116"/>
      <c r="D1638" s="116"/>
      <c r="E1638" s="116"/>
      <c r="F1638" s="116"/>
      <c r="G1638" s="162" t="str">
        <f t="shared" si="50"/>
        <v xml:space="preserve"> </v>
      </c>
      <c r="H1638" s="161" t="e">
        <f t="shared" si="51"/>
        <v>#VALUE!</v>
      </c>
    </row>
    <row r="1639" spans="1:8" x14ac:dyDescent="0.25">
      <c r="A1639" s="10"/>
      <c r="B1639" s="134"/>
      <c r="C1639" s="116"/>
      <c r="D1639" s="116"/>
      <c r="E1639" s="116"/>
      <c r="F1639" s="116"/>
      <c r="G1639" s="162" t="str">
        <f t="shared" si="50"/>
        <v xml:space="preserve"> </v>
      </c>
      <c r="H1639" s="161" t="e">
        <f t="shared" si="51"/>
        <v>#VALUE!</v>
      </c>
    </row>
    <row r="1640" spans="1:8" x14ac:dyDescent="0.25">
      <c r="A1640" s="10"/>
      <c r="B1640" s="134"/>
      <c r="C1640" s="116"/>
      <c r="D1640" s="116"/>
      <c r="E1640" s="116"/>
      <c r="F1640" s="116"/>
      <c r="G1640" s="162" t="str">
        <f t="shared" si="50"/>
        <v xml:space="preserve"> </v>
      </c>
      <c r="H1640" s="161" t="e">
        <f t="shared" si="51"/>
        <v>#VALUE!</v>
      </c>
    </row>
    <row r="1641" spans="1:8" x14ac:dyDescent="0.25">
      <c r="A1641" s="10"/>
      <c r="B1641" s="134"/>
      <c r="C1641" s="116"/>
      <c r="D1641" s="116"/>
      <c r="E1641" s="116"/>
      <c r="F1641" s="116"/>
      <c r="G1641" s="162" t="str">
        <f t="shared" si="50"/>
        <v xml:space="preserve"> </v>
      </c>
      <c r="H1641" s="161" t="e">
        <f t="shared" si="51"/>
        <v>#VALUE!</v>
      </c>
    </row>
    <row r="1642" spans="1:8" x14ac:dyDescent="0.25">
      <c r="A1642" s="10"/>
      <c r="B1642" s="134"/>
      <c r="C1642" s="116"/>
      <c r="D1642" s="116"/>
      <c r="E1642" s="116"/>
      <c r="F1642" s="116"/>
      <c r="G1642" s="162" t="str">
        <f t="shared" si="50"/>
        <v xml:space="preserve"> </v>
      </c>
      <c r="H1642" s="161" t="e">
        <f t="shared" si="51"/>
        <v>#VALUE!</v>
      </c>
    </row>
    <row r="1643" spans="1:8" x14ac:dyDescent="0.25">
      <c r="A1643" s="10"/>
      <c r="B1643" s="134"/>
      <c r="C1643" s="116"/>
      <c r="D1643" s="116"/>
      <c r="E1643" s="116"/>
      <c r="F1643" s="116"/>
      <c r="G1643" s="162" t="str">
        <f t="shared" si="50"/>
        <v xml:space="preserve"> </v>
      </c>
      <c r="H1643" s="161" t="e">
        <f t="shared" si="51"/>
        <v>#VALUE!</v>
      </c>
    </row>
    <row r="1644" spans="1:8" x14ac:dyDescent="0.25">
      <c r="A1644" s="10"/>
      <c r="B1644" s="134"/>
      <c r="C1644" s="116"/>
      <c r="D1644" s="116"/>
      <c r="E1644" s="116"/>
      <c r="F1644" s="116"/>
      <c r="G1644" s="162" t="str">
        <f t="shared" si="50"/>
        <v xml:space="preserve"> </v>
      </c>
      <c r="H1644" s="161" t="e">
        <f t="shared" si="51"/>
        <v>#VALUE!</v>
      </c>
    </row>
    <row r="1645" spans="1:8" x14ac:dyDescent="0.25">
      <c r="A1645" s="10"/>
      <c r="B1645" s="134"/>
      <c r="C1645" s="116"/>
      <c r="D1645" s="116"/>
      <c r="E1645" s="116"/>
      <c r="F1645" s="116"/>
      <c r="G1645" s="162" t="str">
        <f t="shared" si="50"/>
        <v xml:space="preserve"> </v>
      </c>
      <c r="H1645" s="161" t="e">
        <f t="shared" si="51"/>
        <v>#VALUE!</v>
      </c>
    </row>
    <row r="1646" spans="1:8" x14ac:dyDescent="0.25">
      <c r="A1646" s="10"/>
      <c r="B1646" s="134"/>
      <c r="C1646" s="116"/>
      <c r="D1646" s="116"/>
      <c r="E1646" s="116"/>
      <c r="F1646" s="116"/>
      <c r="G1646" s="162" t="str">
        <f t="shared" si="50"/>
        <v xml:space="preserve"> </v>
      </c>
      <c r="H1646" s="161" t="e">
        <f t="shared" si="51"/>
        <v>#VALUE!</v>
      </c>
    </row>
    <row r="1647" spans="1:8" x14ac:dyDescent="0.25">
      <c r="A1647" s="10"/>
      <c r="B1647" s="134"/>
      <c r="C1647" s="116"/>
      <c r="D1647" s="116"/>
      <c r="E1647" s="116"/>
      <c r="F1647" s="116"/>
      <c r="G1647" s="162" t="str">
        <f t="shared" si="50"/>
        <v xml:space="preserve"> </v>
      </c>
      <c r="H1647" s="161" t="e">
        <f t="shared" si="51"/>
        <v>#VALUE!</v>
      </c>
    </row>
    <row r="1648" spans="1:8" x14ac:dyDescent="0.25">
      <c r="A1648" s="10"/>
      <c r="B1648" s="134"/>
      <c r="C1648" s="116"/>
      <c r="D1648" s="116"/>
      <c r="E1648" s="116"/>
      <c r="F1648" s="116"/>
      <c r="G1648" s="162" t="str">
        <f t="shared" si="50"/>
        <v xml:space="preserve"> </v>
      </c>
      <c r="H1648" s="161" t="e">
        <f t="shared" si="51"/>
        <v>#VALUE!</v>
      </c>
    </row>
    <row r="1649" spans="1:8" x14ac:dyDescent="0.25">
      <c r="A1649" s="10"/>
      <c r="B1649" s="134"/>
      <c r="C1649" s="116"/>
      <c r="D1649" s="116"/>
      <c r="E1649" s="116"/>
      <c r="F1649" s="116"/>
      <c r="G1649" s="162" t="str">
        <f t="shared" si="50"/>
        <v xml:space="preserve"> </v>
      </c>
      <c r="H1649" s="161" t="e">
        <f t="shared" si="51"/>
        <v>#VALUE!</v>
      </c>
    </row>
    <row r="1650" spans="1:8" x14ac:dyDescent="0.25">
      <c r="A1650" s="10"/>
      <c r="B1650" s="134"/>
      <c r="C1650" s="116"/>
      <c r="D1650" s="116"/>
      <c r="E1650" s="116"/>
      <c r="F1650" s="116"/>
      <c r="G1650" s="162" t="str">
        <f t="shared" si="50"/>
        <v xml:space="preserve"> </v>
      </c>
      <c r="H1650" s="161" t="e">
        <f t="shared" si="51"/>
        <v>#VALUE!</v>
      </c>
    </row>
    <row r="1651" spans="1:8" x14ac:dyDescent="0.25">
      <c r="A1651" s="10"/>
      <c r="B1651" s="134"/>
      <c r="C1651" s="116"/>
      <c r="D1651" s="116"/>
      <c r="E1651" s="116"/>
      <c r="F1651" s="116"/>
      <c r="G1651" s="162" t="str">
        <f t="shared" si="50"/>
        <v xml:space="preserve"> </v>
      </c>
      <c r="H1651" s="161" t="e">
        <f t="shared" si="51"/>
        <v>#VALUE!</v>
      </c>
    </row>
    <row r="1652" spans="1:8" x14ac:dyDescent="0.25">
      <c r="A1652" s="10"/>
      <c r="B1652" s="134"/>
      <c r="C1652" s="116"/>
      <c r="D1652" s="116"/>
      <c r="E1652" s="116"/>
      <c r="F1652" s="116"/>
      <c r="G1652" s="162" t="str">
        <f t="shared" si="50"/>
        <v xml:space="preserve"> </v>
      </c>
      <c r="H1652" s="161" t="e">
        <f t="shared" si="51"/>
        <v>#VALUE!</v>
      </c>
    </row>
    <row r="1653" spans="1:8" x14ac:dyDescent="0.25">
      <c r="A1653" s="10"/>
      <c r="B1653" s="134"/>
      <c r="C1653" s="116"/>
      <c r="D1653" s="116"/>
      <c r="E1653" s="116"/>
      <c r="F1653" s="116"/>
      <c r="G1653" s="162" t="str">
        <f t="shared" si="50"/>
        <v xml:space="preserve"> </v>
      </c>
      <c r="H1653" s="161" t="e">
        <f t="shared" si="51"/>
        <v>#VALUE!</v>
      </c>
    </row>
    <row r="1654" spans="1:8" x14ac:dyDescent="0.25">
      <c r="A1654" s="10"/>
      <c r="B1654" s="134"/>
      <c r="C1654" s="116"/>
      <c r="D1654" s="116"/>
      <c r="E1654" s="116"/>
      <c r="F1654" s="116"/>
      <c r="G1654" s="162" t="str">
        <f t="shared" si="50"/>
        <v xml:space="preserve"> </v>
      </c>
      <c r="H1654" s="161" t="e">
        <f t="shared" si="51"/>
        <v>#VALUE!</v>
      </c>
    </row>
    <row r="1655" spans="1:8" x14ac:dyDescent="0.25">
      <c r="A1655" s="10"/>
      <c r="B1655" s="134"/>
      <c r="C1655" s="116"/>
      <c r="D1655" s="116"/>
      <c r="E1655" s="116"/>
      <c r="F1655" s="116"/>
      <c r="G1655" s="162" t="str">
        <f t="shared" si="50"/>
        <v xml:space="preserve"> </v>
      </c>
      <c r="H1655" s="161" t="e">
        <f t="shared" si="51"/>
        <v>#VALUE!</v>
      </c>
    </row>
    <row r="1656" spans="1:8" x14ac:dyDescent="0.25">
      <c r="A1656" s="10"/>
      <c r="B1656" s="134"/>
      <c r="C1656" s="116"/>
      <c r="D1656" s="116"/>
      <c r="E1656" s="116"/>
      <c r="F1656" s="116"/>
      <c r="G1656" s="162" t="str">
        <f t="shared" si="50"/>
        <v xml:space="preserve"> </v>
      </c>
      <c r="H1656" s="161" t="e">
        <f t="shared" si="51"/>
        <v>#VALUE!</v>
      </c>
    </row>
    <row r="1657" spans="1:8" x14ac:dyDescent="0.25">
      <c r="A1657" s="10"/>
      <c r="B1657" s="134"/>
      <c r="C1657" s="116"/>
      <c r="D1657" s="116"/>
      <c r="E1657" s="116"/>
      <c r="F1657" s="116"/>
      <c r="G1657" s="162" t="str">
        <f t="shared" si="50"/>
        <v xml:space="preserve"> </v>
      </c>
      <c r="H1657" s="161" t="e">
        <f t="shared" si="51"/>
        <v>#VALUE!</v>
      </c>
    </row>
    <row r="1658" spans="1:8" x14ac:dyDescent="0.25">
      <c r="A1658" s="10"/>
      <c r="B1658" s="134"/>
      <c r="C1658" s="116"/>
      <c r="D1658" s="116"/>
      <c r="E1658" s="116"/>
      <c r="F1658" s="116"/>
      <c r="G1658" s="162" t="str">
        <f t="shared" si="50"/>
        <v xml:space="preserve"> </v>
      </c>
      <c r="H1658" s="161" t="e">
        <f t="shared" si="51"/>
        <v>#VALUE!</v>
      </c>
    </row>
    <row r="1659" spans="1:8" x14ac:dyDescent="0.25">
      <c r="A1659" s="10"/>
      <c r="B1659" s="134"/>
      <c r="C1659" s="116"/>
      <c r="D1659" s="116"/>
      <c r="E1659" s="116"/>
      <c r="F1659" s="116"/>
      <c r="G1659" s="162" t="str">
        <f t="shared" si="50"/>
        <v xml:space="preserve"> </v>
      </c>
      <c r="H1659" s="161" t="e">
        <f t="shared" si="51"/>
        <v>#VALUE!</v>
      </c>
    </row>
    <row r="1660" spans="1:8" x14ac:dyDescent="0.25">
      <c r="A1660" s="10"/>
      <c r="B1660" s="134"/>
      <c r="C1660" s="116"/>
      <c r="D1660" s="116"/>
      <c r="E1660" s="116"/>
      <c r="F1660" s="116"/>
      <c r="G1660" s="162" t="str">
        <f t="shared" si="50"/>
        <v xml:space="preserve"> </v>
      </c>
      <c r="H1660" s="161" t="e">
        <f t="shared" si="51"/>
        <v>#VALUE!</v>
      </c>
    </row>
    <row r="1661" spans="1:8" x14ac:dyDescent="0.25">
      <c r="A1661" s="10"/>
      <c r="B1661" s="134"/>
      <c r="C1661" s="116"/>
      <c r="D1661" s="116"/>
      <c r="E1661" s="116"/>
      <c r="F1661" s="116"/>
      <c r="G1661" s="162" t="str">
        <f t="shared" si="50"/>
        <v xml:space="preserve"> </v>
      </c>
      <c r="H1661" s="161" t="e">
        <f t="shared" si="51"/>
        <v>#VALUE!</v>
      </c>
    </row>
    <row r="1662" spans="1:8" x14ac:dyDescent="0.25">
      <c r="A1662" s="10"/>
      <c r="B1662" s="134"/>
      <c r="C1662" s="116"/>
      <c r="D1662" s="116"/>
      <c r="E1662" s="116"/>
      <c r="F1662" s="116"/>
      <c r="G1662" s="162" t="str">
        <f t="shared" si="50"/>
        <v xml:space="preserve"> </v>
      </c>
      <c r="H1662" s="161" t="e">
        <f t="shared" si="51"/>
        <v>#VALUE!</v>
      </c>
    </row>
    <row r="1663" spans="1:8" x14ac:dyDescent="0.25">
      <c r="A1663" s="10"/>
      <c r="B1663" s="134"/>
      <c r="C1663" s="116"/>
      <c r="D1663" s="116"/>
      <c r="E1663" s="116"/>
      <c r="F1663" s="116"/>
      <c r="G1663" s="162" t="str">
        <f t="shared" si="50"/>
        <v xml:space="preserve"> </v>
      </c>
      <c r="H1663" s="161" t="e">
        <f t="shared" si="51"/>
        <v>#VALUE!</v>
      </c>
    </row>
    <row r="1664" spans="1:8" x14ac:dyDescent="0.25">
      <c r="A1664" s="10"/>
      <c r="B1664" s="134"/>
      <c r="C1664" s="116"/>
      <c r="D1664" s="116"/>
      <c r="E1664" s="116"/>
      <c r="F1664" s="116"/>
      <c r="G1664" s="162" t="str">
        <f t="shared" si="50"/>
        <v xml:space="preserve"> </v>
      </c>
      <c r="H1664" s="161" t="e">
        <f t="shared" si="51"/>
        <v>#VALUE!</v>
      </c>
    </row>
    <row r="1665" spans="1:8" x14ac:dyDescent="0.25">
      <c r="A1665" s="10"/>
      <c r="B1665" s="134"/>
      <c r="C1665" s="116"/>
      <c r="D1665" s="116"/>
      <c r="E1665" s="116"/>
      <c r="F1665" s="116"/>
      <c r="G1665" s="162" t="str">
        <f t="shared" si="50"/>
        <v xml:space="preserve"> </v>
      </c>
      <c r="H1665" s="161" t="e">
        <f t="shared" si="51"/>
        <v>#VALUE!</v>
      </c>
    </row>
    <row r="1666" spans="1:8" x14ac:dyDescent="0.25">
      <c r="A1666" s="10"/>
      <c r="B1666" s="134"/>
      <c r="C1666" s="116"/>
      <c r="D1666" s="116"/>
      <c r="E1666" s="116"/>
      <c r="F1666" s="116"/>
      <c r="G1666" s="162" t="str">
        <f t="shared" si="50"/>
        <v xml:space="preserve"> </v>
      </c>
      <c r="H1666" s="161" t="e">
        <f t="shared" si="51"/>
        <v>#VALUE!</v>
      </c>
    </row>
    <row r="1667" spans="1:8" x14ac:dyDescent="0.25">
      <c r="A1667" s="10"/>
      <c r="B1667" s="134"/>
      <c r="C1667" s="116"/>
      <c r="D1667" s="116"/>
      <c r="E1667" s="116"/>
      <c r="F1667" s="116"/>
      <c r="G1667" s="162" t="str">
        <f t="shared" ref="G1667:G1730" si="52">IF(LEFT(A1667,3)="S7P","Pintura",IF(LEFT(A1667,3)="S7M","Montagem",
IF(LEFT(A1667,3)="S7S","Serigrafia"," ")))</f>
        <v xml:space="preserve"> </v>
      </c>
      <c r="H1667" s="161" t="e">
        <f t="shared" ref="H1667:H1730" si="53">VALUE(LEFT(F1667,2))&amp;"h"</f>
        <v>#VALUE!</v>
      </c>
    </row>
    <row r="1668" spans="1:8" x14ac:dyDescent="0.25">
      <c r="A1668" s="10"/>
      <c r="B1668" s="134"/>
      <c r="C1668" s="116"/>
      <c r="D1668" s="116"/>
      <c r="E1668" s="116"/>
      <c r="F1668" s="116"/>
      <c r="G1668" s="162" t="str">
        <f t="shared" si="52"/>
        <v xml:space="preserve"> </v>
      </c>
      <c r="H1668" s="161" t="e">
        <f t="shared" si="53"/>
        <v>#VALUE!</v>
      </c>
    </row>
    <row r="1669" spans="1:8" x14ac:dyDescent="0.25">
      <c r="A1669" s="10"/>
      <c r="B1669" s="134"/>
      <c r="C1669" s="116"/>
      <c r="D1669" s="116"/>
      <c r="E1669" s="116"/>
      <c r="F1669" s="116"/>
      <c r="G1669" s="162" t="str">
        <f t="shared" si="52"/>
        <v xml:space="preserve"> </v>
      </c>
      <c r="H1669" s="161" t="e">
        <f t="shared" si="53"/>
        <v>#VALUE!</v>
      </c>
    </row>
    <row r="1670" spans="1:8" x14ac:dyDescent="0.25">
      <c r="A1670" s="10"/>
      <c r="B1670" s="134"/>
      <c r="C1670" s="116"/>
      <c r="D1670" s="116"/>
      <c r="E1670" s="116"/>
      <c r="F1670" s="116"/>
      <c r="G1670" s="162" t="str">
        <f t="shared" si="52"/>
        <v xml:space="preserve"> </v>
      </c>
      <c r="H1670" s="161" t="e">
        <f t="shared" si="53"/>
        <v>#VALUE!</v>
      </c>
    </row>
    <row r="1671" spans="1:8" x14ac:dyDescent="0.25">
      <c r="A1671" s="10"/>
      <c r="B1671" s="134"/>
      <c r="C1671" s="116"/>
      <c r="D1671" s="116"/>
      <c r="E1671" s="116"/>
      <c r="F1671" s="116"/>
      <c r="G1671" s="162" t="str">
        <f t="shared" si="52"/>
        <v xml:space="preserve"> </v>
      </c>
      <c r="H1671" s="161" t="e">
        <f t="shared" si="53"/>
        <v>#VALUE!</v>
      </c>
    </row>
    <row r="1672" spans="1:8" x14ac:dyDescent="0.25">
      <c r="A1672" s="10"/>
      <c r="B1672" s="134"/>
      <c r="C1672" s="116"/>
      <c r="D1672" s="116"/>
      <c r="E1672" s="116"/>
      <c r="F1672" s="116"/>
      <c r="G1672" s="162" t="str">
        <f t="shared" si="52"/>
        <v xml:space="preserve"> </v>
      </c>
      <c r="H1672" s="161" t="e">
        <f t="shared" si="53"/>
        <v>#VALUE!</v>
      </c>
    </row>
    <row r="1673" spans="1:8" x14ac:dyDescent="0.25">
      <c r="A1673" s="10"/>
      <c r="B1673" s="134"/>
      <c r="C1673" s="116"/>
      <c r="D1673" s="116"/>
      <c r="E1673" s="116"/>
      <c r="F1673" s="116"/>
      <c r="G1673" s="162" t="str">
        <f t="shared" si="52"/>
        <v xml:space="preserve"> </v>
      </c>
      <c r="H1673" s="161" t="e">
        <f t="shared" si="53"/>
        <v>#VALUE!</v>
      </c>
    </row>
    <row r="1674" spans="1:8" x14ac:dyDescent="0.25">
      <c r="A1674" s="10"/>
      <c r="B1674" s="134"/>
      <c r="C1674" s="116"/>
      <c r="D1674" s="116"/>
      <c r="E1674" s="116"/>
      <c r="F1674" s="116"/>
      <c r="G1674" s="162" t="str">
        <f t="shared" si="52"/>
        <v xml:space="preserve"> </v>
      </c>
      <c r="H1674" s="161" t="e">
        <f t="shared" si="53"/>
        <v>#VALUE!</v>
      </c>
    </row>
    <row r="1675" spans="1:8" x14ac:dyDescent="0.25">
      <c r="A1675" s="10"/>
      <c r="B1675" s="134"/>
      <c r="C1675" s="116"/>
      <c r="D1675" s="116"/>
      <c r="E1675" s="116"/>
      <c r="F1675" s="116"/>
      <c r="G1675" s="162" t="str">
        <f t="shared" si="52"/>
        <v xml:space="preserve"> </v>
      </c>
      <c r="H1675" s="161" t="e">
        <f t="shared" si="53"/>
        <v>#VALUE!</v>
      </c>
    </row>
    <row r="1676" spans="1:8" x14ac:dyDescent="0.25">
      <c r="A1676" s="10"/>
      <c r="B1676" s="134"/>
      <c r="C1676" s="116"/>
      <c r="D1676" s="116"/>
      <c r="E1676" s="116"/>
      <c r="F1676" s="116"/>
      <c r="G1676" s="162" t="str">
        <f t="shared" si="52"/>
        <v xml:space="preserve"> </v>
      </c>
      <c r="H1676" s="161" t="e">
        <f t="shared" si="53"/>
        <v>#VALUE!</v>
      </c>
    </row>
    <row r="1677" spans="1:8" x14ac:dyDescent="0.25">
      <c r="A1677" s="10"/>
      <c r="B1677" s="134"/>
      <c r="C1677" s="116"/>
      <c r="D1677" s="116"/>
      <c r="E1677" s="116"/>
      <c r="F1677" s="116"/>
      <c r="G1677" s="162" t="str">
        <f t="shared" si="52"/>
        <v xml:space="preserve"> </v>
      </c>
      <c r="H1677" s="161" t="e">
        <f t="shared" si="53"/>
        <v>#VALUE!</v>
      </c>
    </row>
    <row r="1678" spans="1:8" x14ac:dyDescent="0.25">
      <c r="A1678" s="10"/>
      <c r="B1678" s="134"/>
      <c r="C1678" s="116"/>
      <c r="D1678" s="116"/>
      <c r="E1678" s="116"/>
      <c r="F1678" s="116"/>
      <c r="G1678" s="162" t="str">
        <f t="shared" si="52"/>
        <v xml:space="preserve"> </v>
      </c>
      <c r="H1678" s="161" t="e">
        <f t="shared" si="53"/>
        <v>#VALUE!</v>
      </c>
    </row>
    <row r="1679" spans="1:8" x14ac:dyDescent="0.25">
      <c r="A1679" s="10"/>
      <c r="B1679" s="134"/>
      <c r="C1679" s="116"/>
      <c r="D1679" s="116"/>
      <c r="E1679" s="116"/>
      <c r="F1679" s="116"/>
      <c r="G1679" s="162" t="str">
        <f t="shared" si="52"/>
        <v xml:space="preserve"> </v>
      </c>
      <c r="H1679" s="161" t="e">
        <f t="shared" si="53"/>
        <v>#VALUE!</v>
      </c>
    </row>
    <row r="1680" spans="1:8" x14ac:dyDescent="0.25">
      <c r="A1680" s="10"/>
      <c r="B1680" s="134"/>
      <c r="C1680" s="116"/>
      <c r="D1680" s="116"/>
      <c r="E1680" s="116"/>
      <c r="F1680" s="116"/>
      <c r="G1680" s="162" t="str">
        <f t="shared" si="52"/>
        <v xml:space="preserve"> </v>
      </c>
      <c r="H1680" s="161" t="e">
        <f t="shared" si="53"/>
        <v>#VALUE!</v>
      </c>
    </row>
    <row r="1681" spans="1:8" x14ac:dyDescent="0.25">
      <c r="A1681" s="10"/>
      <c r="B1681" s="134"/>
      <c r="C1681" s="116"/>
      <c r="D1681" s="116"/>
      <c r="E1681" s="116"/>
      <c r="F1681" s="116"/>
      <c r="G1681" s="162" t="str">
        <f t="shared" si="52"/>
        <v xml:space="preserve"> </v>
      </c>
      <c r="H1681" s="161" t="e">
        <f t="shared" si="53"/>
        <v>#VALUE!</v>
      </c>
    </row>
    <row r="1682" spans="1:8" x14ac:dyDescent="0.25">
      <c r="A1682" s="10"/>
      <c r="B1682" s="134"/>
      <c r="C1682" s="116"/>
      <c r="D1682" s="116"/>
      <c r="E1682" s="116"/>
      <c r="F1682" s="116"/>
      <c r="G1682" s="162" t="str">
        <f t="shared" si="52"/>
        <v xml:space="preserve"> </v>
      </c>
      <c r="H1682" s="161" t="e">
        <f t="shared" si="53"/>
        <v>#VALUE!</v>
      </c>
    </row>
    <row r="1683" spans="1:8" x14ac:dyDescent="0.25">
      <c r="A1683" s="10"/>
      <c r="B1683" s="134"/>
      <c r="C1683" s="116"/>
      <c r="D1683" s="116"/>
      <c r="E1683" s="116"/>
      <c r="F1683" s="116"/>
      <c r="G1683" s="162" t="str">
        <f t="shared" si="52"/>
        <v xml:space="preserve"> </v>
      </c>
      <c r="H1683" s="161" t="e">
        <f t="shared" si="53"/>
        <v>#VALUE!</v>
      </c>
    </row>
    <row r="1684" spans="1:8" x14ac:dyDescent="0.25">
      <c r="A1684" s="10"/>
      <c r="B1684" s="134"/>
      <c r="C1684" s="116"/>
      <c r="D1684" s="116"/>
      <c r="E1684" s="116"/>
      <c r="F1684" s="116"/>
      <c r="G1684" s="162" t="str">
        <f t="shared" si="52"/>
        <v xml:space="preserve"> </v>
      </c>
      <c r="H1684" s="161" t="e">
        <f t="shared" si="53"/>
        <v>#VALUE!</v>
      </c>
    </row>
    <row r="1685" spans="1:8" x14ac:dyDescent="0.25">
      <c r="A1685" s="10"/>
      <c r="B1685" s="134"/>
      <c r="C1685" s="116"/>
      <c r="D1685" s="116"/>
      <c r="E1685" s="116"/>
      <c r="F1685" s="116"/>
      <c r="G1685" s="162" t="str">
        <f t="shared" si="52"/>
        <v xml:space="preserve"> </v>
      </c>
      <c r="H1685" s="161" t="e">
        <f t="shared" si="53"/>
        <v>#VALUE!</v>
      </c>
    </row>
    <row r="1686" spans="1:8" x14ac:dyDescent="0.25">
      <c r="A1686" s="10"/>
      <c r="B1686" s="134"/>
      <c r="C1686" s="116"/>
      <c r="D1686" s="116"/>
      <c r="E1686" s="116"/>
      <c r="F1686" s="116"/>
      <c r="G1686" s="162" t="str">
        <f t="shared" si="52"/>
        <v xml:space="preserve"> </v>
      </c>
      <c r="H1686" s="161" t="e">
        <f t="shared" si="53"/>
        <v>#VALUE!</v>
      </c>
    </row>
    <row r="1687" spans="1:8" x14ac:dyDescent="0.25">
      <c r="A1687" s="10"/>
      <c r="B1687" s="134"/>
      <c r="C1687" s="116"/>
      <c r="D1687" s="116"/>
      <c r="E1687" s="116"/>
      <c r="F1687" s="116"/>
      <c r="G1687" s="162" t="str">
        <f t="shared" si="52"/>
        <v xml:space="preserve"> </v>
      </c>
      <c r="H1687" s="161" t="e">
        <f t="shared" si="53"/>
        <v>#VALUE!</v>
      </c>
    </row>
    <row r="1688" spans="1:8" x14ac:dyDescent="0.25">
      <c r="A1688" s="10"/>
      <c r="B1688" s="134"/>
      <c r="C1688" s="116"/>
      <c r="D1688" s="116"/>
      <c r="E1688" s="116"/>
      <c r="F1688" s="116"/>
      <c r="G1688" s="162" t="str">
        <f t="shared" si="52"/>
        <v xml:space="preserve"> </v>
      </c>
      <c r="H1688" s="161" t="e">
        <f t="shared" si="53"/>
        <v>#VALUE!</v>
      </c>
    </row>
    <row r="1689" spans="1:8" x14ac:dyDescent="0.25">
      <c r="A1689" s="10"/>
      <c r="B1689" s="134"/>
      <c r="C1689" s="116"/>
      <c r="D1689" s="116"/>
      <c r="E1689" s="116"/>
      <c r="F1689" s="116"/>
      <c r="G1689" s="162" t="str">
        <f t="shared" si="52"/>
        <v xml:space="preserve"> </v>
      </c>
      <c r="H1689" s="161" t="e">
        <f t="shared" si="53"/>
        <v>#VALUE!</v>
      </c>
    </row>
    <row r="1690" spans="1:8" x14ac:dyDescent="0.25">
      <c r="A1690" s="10"/>
      <c r="B1690" s="134"/>
      <c r="C1690" s="116"/>
      <c r="D1690" s="116"/>
      <c r="E1690" s="116"/>
      <c r="F1690" s="116"/>
      <c r="G1690" s="162" t="str">
        <f t="shared" si="52"/>
        <v xml:space="preserve"> </v>
      </c>
      <c r="H1690" s="161" t="e">
        <f t="shared" si="53"/>
        <v>#VALUE!</v>
      </c>
    </row>
    <row r="1691" spans="1:8" x14ac:dyDescent="0.25">
      <c r="A1691" s="10"/>
      <c r="B1691" s="134"/>
      <c r="C1691" s="116"/>
      <c r="D1691" s="116"/>
      <c r="E1691" s="116"/>
      <c r="F1691" s="116"/>
      <c r="G1691" s="162" t="str">
        <f t="shared" si="52"/>
        <v xml:space="preserve"> </v>
      </c>
      <c r="H1691" s="161" t="e">
        <f t="shared" si="53"/>
        <v>#VALUE!</v>
      </c>
    </row>
    <row r="1692" spans="1:8" x14ac:dyDescent="0.25">
      <c r="A1692" s="10"/>
      <c r="B1692" s="134"/>
      <c r="C1692" s="116"/>
      <c r="D1692" s="116"/>
      <c r="E1692" s="116"/>
      <c r="F1692" s="116"/>
      <c r="G1692" s="162" t="str">
        <f t="shared" si="52"/>
        <v xml:space="preserve"> </v>
      </c>
      <c r="H1692" s="161" t="e">
        <f t="shared" si="53"/>
        <v>#VALUE!</v>
      </c>
    </row>
    <row r="1693" spans="1:8" x14ac:dyDescent="0.25">
      <c r="A1693" s="10"/>
      <c r="B1693" s="134"/>
      <c r="C1693" s="116"/>
      <c r="D1693" s="116"/>
      <c r="E1693" s="116"/>
      <c r="F1693" s="116"/>
      <c r="G1693" s="162" t="str">
        <f t="shared" si="52"/>
        <v xml:space="preserve"> </v>
      </c>
      <c r="H1693" s="161" t="e">
        <f t="shared" si="53"/>
        <v>#VALUE!</v>
      </c>
    </row>
    <row r="1694" spans="1:8" x14ac:dyDescent="0.25">
      <c r="A1694" s="10"/>
      <c r="B1694" s="134"/>
      <c r="C1694" s="116"/>
      <c r="D1694" s="116"/>
      <c r="E1694" s="116"/>
      <c r="F1694" s="116"/>
      <c r="G1694" s="162" t="str">
        <f t="shared" si="52"/>
        <v xml:space="preserve"> </v>
      </c>
      <c r="H1694" s="161" t="e">
        <f t="shared" si="53"/>
        <v>#VALUE!</v>
      </c>
    </row>
    <row r="1695" spans="1:8" x14ac:dyDescent="0.25">
      <c r="A1695" s="10"/>
      <c r="B1695" s="134"/>
      <c r="C1695" s="116"/>
      <c r="D1695" s="116"/>
      <c r="E1695" s="116"/>
      <c r="F1695" s="116"/>
      <c r="G1695" s="162" t="str">
        <f t="shared" si="52"/>
        <v xml:space="preserve"> </v>
      </c>
      <c r="H1695" s="161" t="e">
        <f t="shared" si="53"/>
        <v>#VALUE!</v>
      </c>
    </row>
    <row r="1696" spans="1:8" x14ac:dyDescent="0.25">
      <c r="A1696" s="10"/>
      <c r="B1696" s="134"/>
      <c r="C1696" s="116"/>
      <c r="D1696" s="116"/>
      <c r="E1696" s="116"/>
      <c r="F1696" s="116"/>
      <c r="G1696" s="162" t="str">
        <f t="shared" si="52"/>
        <v xml:space="preserve"> </v>
      </c>
      <c r="H1696" s="161" t="e">
        <f t="shared" si="53"/>
        <v>#VALUE!</v>
      </c>
    </row>
    <row r="1697" spans="1:8" x14ac:dyDescent="0.25">
      <c r="A1697" s="10"/>
      <c r="B1697" s="134"/>
      <c r="C1697" s="116"/>
      <c r="D1697" s="116"/>
      <c r="E1697" s="116"/>
      <c r="F1697" s="116"/>
      <c r="G1697" s="162" t="str">
        <f t="shared" si="52"/>
        <v xml:space="preserve"> </v>
      </c>
      <c r="H1697" s="161" t="e">
        <f t="shared" si="53"/>
        <v>#VALUE!</v>
      </c>
    </row>
    <row r="1698" spans="1:8" x14ac:dyDescent="0.25">
      <c r="A1698" s="10"/>
      <c r="B1698" s="134"/>
      <c r="C1698" s="116"/>
      <c r="D1698" s="116"/>
      <c r="E1698" s="116"/>
      <c r="F1698" s="116"/>
      <c r="G1698" s="162" t="str">
        <f t="shared" si="52"/>
        <v xml:space="preserve"> </v>
      </c>
      <c r="H1698" s="161" t="e">
        <f t="shared" si="53"/>
        <v>#VALUE!</v>
      </c>
    </row>
    <row r="1699" spans="1:8" x14ac:dyDescent="0.25">
      <c r="A1699" s="10"/>
      <c r="B1699" s="134"/>
      <c r="C1699" s="116"/>
      <c r="D1699" s="116"/>
      <c r="E1699" s="116"/>
      <c r="F1699" s="116"/>
      <c r="G1699" s="162" t="str">
        <f t="shared" si="52"/>
        <v xml:space="preserve"> </v>
      </c>
      <c r="H1699" s="161" t="e">
        <f t="shared" si="53"/>
        <v>#VALUE!</v>
      </c>
    </row>
    <row r="1700" spans="1:8" x14ac:dyDescent="0.25">
      <c r="A1700" s="10"/>
      <c r="B1700" s="134"/>
      <c r="C1700" s="116"/>
      <c r="D1700" s="116"/>
      <c r="E1700" s="116"/>
      <c r="F1700" s="116"/>
      <c r="G1700" s="162" t="str">
        <f t="shared" si="52"/>
        <v xml:space="preserve"> </v>
      </c>
      <c r="H1700" s="161" t="e">
        <f t="shared" si="53"/>
        <v>#VALUE!</v>
      </c>
    </row>
    <row r="1701" spans="1:8" x14ac:dyDescent="0.25">
      <c r="A1701" s="10"/>
      <c r="B1701" s="134"/>
      <c r="C1701" s="116"/>
      <c r="D1701" s="116"/>
      <c r="E1701" s="116"/>
      <c r="F1701" s="116"/>
      <c r="G1701" s="162" t="str">
        <f t="shared" si="52"/>
        <v xml:space="preserve"> </v>
      </c>
      <c r="H1701" s="161" t="e">
        <f t="shared" si="53"/>
        <v>#VALUE!</v>
      </c>
    </row>
    <row r="1702" spans="1:8" x14ac:dyDescent="0.25">
      <c r="A1702" s="10"/>
      <c r="B1702" s="134"/>
      <c r="C1702" s="116"/>
      <c r="D1702" s="116"/>
      <c r="E1702" s="116"/>
      <c r="F1702" s="116"/>
      <c r="G1702" s="162" t="str">
        <f t="shared" si="52"/>
        <v xml:space="preserve"> </v>
      </c>
      <c r="H1702" s="161" t="e">
        <f t="shared" si="53"/>
        <v>#VALUE!</v>
      </c>
    </row>
    <row r="1703" spans="1:8" x14ac:dyDescent="0.25">
      <c r="A1703" s="10"/>
      <c r="B1703" s="134"/>
      <c r="C1703" s="116"/>
      <c r="D1703" s="116"/>
      <c r="E1703" s="116"/>
      <c r="F1703" s="116"/>
      <c r="G1703" s="162" t="str">
        <f t="shared" si="52"/>
        <v xml:space="preserve"> </v>
      </c>
      <c r="H1703" s="161" t="e">
        <f t="shared" si="53"/>
        <v>#VALUE!</v>
      </c>
    </row>
    <row r="1704" spans="1:8" x14ac:dyDescent="0.25">
      <c r="A1704" s="10"/>
      <c r="B1704" s="134"/>
      <c r="C1704" s="116"/>
      <c r="D1704" s="116"/>
      <c r="E1704" s="116"/>
      <c r="F1704" s="116"/>
      <c r="G1704" s="162" t="str">
        <f t="shared" si="52"/>
        <v xml:space="preserve"> </v>
      </c>
      <c r="H1704" s="161" t="e">
        <f t="shared" si="53"/>
        <v>#VALUE!</v>
      </c>
    </row>
    <row r="1705" spans="1:8" x14ac:dyDescent="0.25">
      <c r="A1705" s="10"/>
      <c r="B1705" s="134"/>
      <c r="C1705" s="116"/>
      <c r="D1705" s="116"/>
      <c r="E1705" s="116"/>
      <c r="F1705" s="116"/>
      <c r="G1705" s="162" t="str">
        <f t="shared" si="52"/>
        <v xml:space="preserve"> </v>
      </c>
      <c r="H1705" s="161" t="e">
        <f t="shared" si="53"/>
        <v>#VALUE!</v>
      </c>
    </row>
    <row r="1706" spans="1:8" x14ac:dyDescent="0.25">
      <c r="A1706" s="10"/>
      <c r="B1706" s="134"/>
      <c r="C1706" s="116"/>
      <c r="D1706" s="116"/>
      <c r="E1706" s="116"/>
      <c r="F1706" s="116"/>
      <c r="G1706" s="162" t="str">
        <f t="shared" si="52"/>
        <v xml:space="preserve"> </v>
      </c>
      <c r="H1706" s="161" t="e">
        <f t="shared" si="53"/>
        <v>#VALUE!</v>
      </c>
    </row>
    <row r="1707" spans="1:8" x14ac:dyDescent="0.25">
      <c r="A1707" s="10"/>
      <c r="B1707" s="134"/>
      <c r="C1707" s="116"/>
      <c r="D1707" s="116"/>
      <c r="E1707" s="116"/>
      <c r="F1707" s="116"/>
      <c r="G1707" s="162" t="str">
        <f t="shared" si="52"/>
        <v xml:space="preserve"> </v>
      </c>
      <c r="H1707" s="161" t="e">
        <f t="shared" si="53"/>
        <v>#VALUE!</v>
      </c>
    </row>
    <row r="1708" spans="1:8" x14ac:dyDescent="0.25">
      <c r="A1708" s="10"/>
      <c r="B1708" s="134"/>
      <c r="C1708" s="116"/>
      <c r="D1708" s="116"/>
      <c r="E1708" s="116"/>
      <c r="F1708" s="116"/>
      <c r="G1708" s="162" t="str">
        <f t="shared" si="52"/>
        <v xml:space="preserve"> </v>
      </c>
      <c r="H1708" s="161" t="e">
        <f t="shared" si="53"/>
        <v>#VALUE!</v>
      </c>
    </row>
    <row r="1709" spans="1:8" x14ac:dyDescent="0.25">
      <c r="A1709" s="10"/>
      <c r="B1709" s="134"/>
      <c r="C1709" s="116"/>
      <c r="D1709" s="116"/>
      <c r="E1709" s="116"/>
      <c r="F1709" s="116"/>
      <c r="G1709" s="162" t="str">
        <f t="shared" si="52"/>
        <v xml:space="preserve"> </v>
      </c>
      <c r="H1709" s="161" t="e">
        <f t="shared" si="53"/>
        <v>#VALUE!</v>
      </c>
    </row>
    <row r="1710" spans="1:8" x14ac:dyDescent="0.25">
      <c r="A1710" s="10"/>
      <c r="B1710" s="134"/>
      <c r="C1710" s="116"/>
      <c r="D1710" s="116"/>
      <c r="E1710" s="116"/>
      <c r="F1710" s="116"/>
      <c r="G1710" s="162" t="str">
        <f t="shared" si="52"/>
        <v xml:space="preserve"> </v>
      </c>
      <c r="H1710" s="161" t="e">
        <f t="shared" si="53"/>
        <v>#VALUE!</v>
      </c>
    </row>
    <row r="1711" spans="1:8" x14ac:dyDescent="0.25">
      <c r="A1711" s="10"/>
      <c r="B1711" s="134"/>
      <c r="C1711" s="116"/>
      <c r="D1711" s="116"/>
      <c r="E1711" s="116"/>
      <c r="F1711" s="116"/>
      <c r="G1711" s="162" t="str">
        <f t="shared" si="52"/>
        <v xml:space="preserve"> </v>
      </c>
      <c r="H1711" s="161" t="e">
        <f t="shared" si="53"/>
        <v>#VALUE!</v>
      </c>
    </row>
    <row r="1712" spans="1:8" x14ac:dyDescent="0.25">
      <c r="A1712" s="10"/>
      <c r="B1712" s="134"/>
      <c r="C1712" s="116"/>
      <c r="D1712" s="116"/>
      <c r="E1712" s="116"/>
      <c r="F1712" s="116"/>
      <c r="G1712" s="162" t="str">
        <f t="shared" si="52"/>
        <v xml:space="preserve"> </v>
      </c>
      <c r="H1712" s="161" t="e">
        <f t="shared" si="53"/>
        <v>#VALUE!</v>
      </c>
    </row>
    <row r="1713" spans="1:8" x14ac:dyDescent="0.25">
      <c r="A1713" s="10"/>
      <c r="B1713" s="134"/>
      <c r="C1713" s="116"/>
      <c r="D1713" s="116"/>
      <c r="E1713" s="116"/>
      <c r="F1713" s="116"/>
      <c r="G1713" s="162" t="str">
        <f t="shared" si="52"/>
        <v xml:space="preserve"> </v>
      </c>
      <c r="H1713" s="161" t="e">
        <f t="shared" si="53"/>
        <v>#VALUE!</v>
      </c>
    </row>
    <row r="1714" spans="1:8" x14ac:dyDescent="0.25">
      <c r="A1714" s="10"/>
      <c r="B1714" s="134"/>
      <c r="C1714" s="116"/>
      <c r="D1714" s="116"/>
      <c r="E1714" s="116"/>
      <c r="F1714" s="116"/>
      <c r="G1714" s="162" t="str">
        <f t="shared" si="52"/>
        <v xml:space="preserve"> </v>
      </c>
      <c r="H1714" s="161" t="e">
        <f t="shared" si="53"/>
        <v>#VALUE!</v>
      </c>
    </row>
    <row r="1715" spans="1:8" x14ac:dyDescent="0.25">
      <c r="A1715" s="10"/>
      <c r="B1715" s="134"/>
      <c r="C1715" s="116"/>
      <c r="D1715" s="116"/>
      <c r="E1715" s="116"/>
      <c r="F1715" s="116"/>
      <c r="G1715" s="162" t="str">
        <f t="shared" si="52"/>
        <v xml:space="preserve"> </v>
      </c>
      <c r="H1715" s="161" t="e">
        <f t="shared" si="53"/>
        <v>#VALUE!</v>
      </c>
    </row>
    <row r="1716" spans="1:8" x14ac:dyDescent="0.25">
      <c r="A1716" s="10"/>
      <c r="B1716" s="134"/>
      <c r="C1716" s="116"/>
      <c r="D1716" s="116"/>
      <c r="E1716" s="116"/>
      <c r="F1716" s="116"/>
      <c r="G1716" s="162" t="str">
        <f t="shared" si="52"/>
        <v xml:space="preserve"> </v>
      </c>
      <c r="H1716" s="161" t="e">
        <f t="shared" si="53"/>
        <v>#VALUE!</v>
      </c>
    </row>
    <row r="1717" spans="1:8" x14ac:dyDescent="0.25">
      <c r="A1717" s="10"/>
      <c r="B1717" s="134"/>
      <c r="C1717" s="116"/>
      <c r="D1717" s="116"/>
      <c r="E1717" s="116"/>
      <c r="F1717" s="116"/>
      <c r="G1717" s="162" t="str">
        <f t="shared" si="52"/>
        <v xml:space="preserve"> </v>
      </c>
      <c r="H1717" s="161" t="e">
        <f t="shared" si="53"/>
        <v>#VALUE!</v>
      </c>
    </row>
    <row r="1718" spans="1:8" x14ac:dyDescent="0.25">
      <c r="A1718" s="10"/>
      <c r="B1718" s="134"/>
      <c r="C1718" s="116"/>
      <c r="D1718" s="116"/>
      <c r="E1718" s="116"/>
      <c r="F1718" s="116"/>
      <c r="G1718" s="162" t="str">
        <f t="shared" si="52"/>
        <v xml:space="preserve"> </v>
      </c>
      <c r="H1718" s="161" t="e">
        <f t="shared" si="53"/>
        <v>#VALUE!</v>
      </c>
    </row>
    <row r="1719" spans="1:8" x14ac:dyDescent="0.25">
      <c r="A1719" s="10"/>
      <c r="B1719" s="134"/>
      <c r="C1719" s="116"/>
      <c r="D1719" s="116"/>
      <c r="E1719" s="116"/>
      <c r="F1719" s="116"/>
      <c r="G1719" s="162" t="str">
        <f t="shared" si="52"/>
        <v xml:space="preserve"> </v>
      </c>
      <c r="H1719" s="161" t="e">
        <f t="shared" si="53"/>
        <v>#VALUE!</v>
      </c>
    </row>
    <row r="1720" spans="1:8" x14ac:dyDescent="0.25">
      <c r="A1720" s="10"/>
      <c r="B1720" s="134"/>
      <c r="C1720" s="116"/>
      <c r="D1720" s="116"/>
      <c r="E1720" s="116"/>
      <c r="F1720" s="116"/>
      <c r="G1720" s="162" t="str">
        <f t="shared" si="52"/>
        <v xml:space="preserve"> </v>
      </c>
      <c r="H1720" s="161" t="e">
        <f t="shared" si="53"/>
        <v>#VALUE!</v>
      </c>
    </row>
    <row r="1721" spans="1:8" x14ac:dyDescent="0.25">
      <c r="A1721" s="10"/>
      <c r="B1721" s="134"/>
      <c r="C1721" s="116"/>
      <c r="D1721" s="116"/>
      <c r="E1721" s="116"/>
      <c r="F1721" s="116"/>
      <c r="G1721" s="162" t="str">
        <f t="shared" si="52"/>
        <v xml:space="preserve"> </v>
      </c>
      <c r="H1721" s="161" t="e">
        <f t="shared" si="53"/>
        <v>#VALUE!</v>
      </c>
    </row>
    <row r="1722" spans="1:8" x14ac:dyDescent="0.25">
      <c r="A1722" s="10"/>
      <c r="B1722" s="134"/>
      <c r="C1722" s="116"/>
      <c r="D1722" s="116"/>
      <c r="E1722" s="116"/>
      <c r="F1722" s="116"/>
      <c r="G1722" s="162" t="str">
        <f t="shared" si="52"/>
        <v xml:space="preserve"> </v>
      </c>
      <c r="H1722" s="161" t="e">
        <f t="shared" si="53"/>
        <v>#VALUE!</v>
      </c>
    </row>
    <row r="1723" spans="1:8" x14ac:dyDescent="0.25">
      <c r="A1723" s="10"/>
      <c r="B1723" s="134"/>
      <c r="C1723" s="116"/>
      <c r="D1723" s="116"/>
      <c r="E1723" s="116"/>
      <c r="F1723" s="116"/>
      <c r="G1723" s="162" t="str">
        <f t="shared" si="52"/>
        <v xml:space="preserve"> </v>
      </c>
      <c r="H1723" s="161" t="e">
        <f t="shared" si="53"/>
        <v>#VALUE!</v>
      </c>
    </row>
    <row r="1724" spans="1:8" x14ac:dyDescent="0.25">
      <c r="A1724" s="10"/>
      <c r="B1724" s="134"/>
      <c r="C1724" s="116"/>
      <c r="D1724" s="116"/>
      <c r="E1724" s="116"/>
      <c r="F1724" s="116"/>
      <c r="G1724" s="162" t="str">
        <f t="shared" si="52"/>
        <v xml:space="preserve"> </v>
      </c>
      <c r="H1724" s="161" t="e">
        <f t="shared" si="53"/>
        <v>#VALUE!</v>
      </c>
    </row>
    <row r="1725" spans="1:8" x14ac:dyDescent="0.25">
      <c r="A1725" s="10"/>
      <c r="B1725" s="134"/>
      <c r="C1725" s="116"/>
      <c r="D1725" s="116"/>
      <c r="E1725" s="116"/>
      <c r="F1725" s="116"/>
      <c r="G1725" s="162" t="str">
        <f t="shared" si="52"/>
        <v xml:space="preserve"> </v>
      </c>
      <c r="H1725" s="161" t="e">
        <f t="shared" si="53"/>
        <v>#VALUE!</v>
      </c>
    </row>
    <row r="1726" spans="1:8" x14ac:dyDescent="0.25">
      <c r="A1726" s="10"/>
      <c r="B1726" s="134"/>
      <c r="C1726" s="116"/>
      <c r="D1726" s="116"/>
      <c r="E1726" s="116"/>
      <c r="F1726" s="116"/>
      <c r="G1726" s="162" t="str">
        <f t="shared" si="52"/>
        <v xml:space="preserve"> </v>
      </c>
      <c r="H1726" s="161" t="e">
        <f t="shared" si="53"/>
        <v>#VALUE!</v>
      </c>
    </row>
    <row r="1727" spans="1:8" x14ac:dyDescent="0.25">
      <c r="A1727" s="10"/>
      <c r="B1727" s="134"/>
      <c r="C1727" s="116"/>
      <c r="D1727" s="116"/>
      <c r="E1727" s="116"/>
      <c r="F1727" s="116"/>
      <c r="G1727" s="162" t="str">
        <f t="shared" si="52"/>
        <v xml:space="preserve"> </v>
      </c>
      <c r="H1727" s="161" t="e">
        <f t="shared" si="53"/>
        <v>#VALUE!</v>
      </c>
    </row>
    <row r="1728" spans="1:8" x14ac:dyDescent="0.25">
      <c r="A1728" s="10"/>
      <c r="B1728" s="134"/>
      <c r="C1728" s="116"/>
      <c r="D1728" s="116"/>
      <c r="E1728" s="116"/>
      <c r="F1728" s="116"/>
      <c r="G1728" s="162" t="str">
        <f t="shared" si="52"/>
        <v xml:space="preserve"> </v>
      </c>
      <c r="H1728" s="161" t="e">
        <f t="shared" si="53"/>
        <v>#VALUE!</v>
      </c>
    </row>
    <row r="1729" spans="1:8" x14ac:dyDescent="0.25">
      <c r="A1729" s="10"/>
      <c r="B1729" s="134"/>
      <c r="C1729" s="116"/>
      <c r="D1729" s="116"/>
      <c r="E1729" s="116"/>
      <c r="F1729" s="116"/>
      <c r="G1729" s="162" t="str">
        <f t="shared" si="52"/>
        <v xml:space="preserve"> </v>
      </c>
      <c r="H1729" s="161" t="e">
        <f t="shared" si="53"/>
        <v>#VALUE!</v>
      </c>
    </row>
    <row r="1730" spans="1:8" x14ac:dyDescent="0.25">
      <c r="A1730" s="10"/>
      <c r="B1730" s="134"/>
      <c r="C1730" s="116"/>
      <c r="D1730" s="116"/>
      <c r="E1730" s="116"/>
      <c r="F1730" s="116"/>
      <c r="G1730" s="162" t="str">
        <f t="shared" si="52"/>
        <v xml:space="preserve"> </v>
      </c>
      <c r="H1730" s="161" t="e">
        <f t="shared" si="53"/>
        <v>#VALUE!</v>
      </c>
    </row>
    <row r="1731" spans="1:8" x14ac:dyDescent="0.25">
      <c r="A1731" s="10"/>
      <c r="B1731" s="134"/>
      <c r="C1731" s="116"/>
      <c r="D1731" s="116"/>
      <c r="E1731" s="116"/>
      <c r="F1731" s="116"/>
      <c r="G1731" s="162" t="str">
        <f t="shared" ref="G1731:G1794" si="54">IF(LEFT(A1731,3)="S7P","Pintura",IF(LEFT(A1731,3)="S7M","Montagem",
IF(LEFT(A1731,3)="S7S","Serigrafia"," ")))</f>
        <v xml:space="preserve"> </v>
      </c>
      <c r="H1731" s="161" t="e">
        <f t="shared" ref="H1731:H1794" si="55">VALUE(LEFT(F1731,2))&amp;"h"</f>
        <v>#VALUE!</v>
      </c>
    </row>
    <row r="1732" spans="1:8" x14ac:dyDescent="0.25">
      <c r="A1732" s="10"/>
      <c r="B1732" s="134"/>
      <c r="C1732" s="116"/>
      <c r="D1732" s="116"/>
      <c r="E1732" s="116"/>
      <c r="F1732" s="116"/>
      <c r="G1732" s="162" t="str">
        <f t="shared" si="54"/>
        <v xml:space="preserve"> </v>
      </c>
      <c r="H1732" s="161" t="e">
        <f t="shared" si="55"/>
        <v>#VALUE!</v>
      </c>
    </row>
    <row r="1733" spans="1:8" x14ac:dyDescent="0.25">
      <c r="A1733" s="10"/>
      <c r="B1733" s="134"/>
      <c r="C1733" s="116"/>
      <c r="D1733" s="116"/>
      <c r="E1733" s="116"/>
      <c r="F1733" s="116"/>
      <c r="G1733" s="162" t="str">
        <f t="shared" si="54"/>
        <v xml:space="preserve"> </v>
      </c>
      <c r="H1733" s="161" t="e">
        <f t="shared" si="55"/>
        <v>#VALUE!</v>
      </c>
    </row>
    <row r="1734" spans="1:8" x14ac:dyDescent="0.25">
      <c r="A1734" s="10"/>
      <c r="B1734" s="134"/>
      <c r="C1734" s="116"/>
      <c r="D1734" s="116"/>
      <c r="E1734" s="116"/>
      <c r="F1734" s="116"/>
      <c r="G1734" s="162" t="str">
        <f t="shared" si="54"/>
        <v xml:space="preserve"> </v>
      </c>
      <c r="H1734" s="161" t="e">
        <f t="shared" si="55"/>
        <v>#VALUE!</v>
      </c>
    </row>
    <row r="1735" spans="1:8" x14ac:dyDescent="0.25">
      <c r="A1735" s="10"/>
      <c r="B1735" s="134"/>
      <c r="C1735" s="116"/>
      <c r="D1735" s="116"/>
      <c r="E1735" s="116"/>
      <c r="F1735" s="116"/>
      <c r="G1735" s="162" t="str">
        <f t="shared" si="54"/>
        <v xml:space="preserve"> </v>
      </c>
      <c r="H1735" s="161" t="e">
        <f t="shared" si="55"/>
        <v>#VALUE!</v>
      </c>
    </row>
    <row r="1736" spans="1:8" x14ac:dyDescent="0.25">
      <c r="A1736" s="10"/>
      <c r="B1736" s="134"/>
      <c r="C1736" s="116"/>
      <c r="D1736" s="116"/>
      <c r="E1736" s="116"/>
      <c r="F1736" s="116"/>
      <c r="G1736" s="162" t="str">
        <f t="shared" si="54"/>
        <v xml:space="preserve"> </v>
      </c>
      <c r="H1736" s="161" t="e">
        <f t="shared" si="55"/>
        <v>#VALUE!</v>
      </c>
    </row>
    <row r="1737" spans="1:8" x14ac:dyDescent="0.25">
      <c r="A1737" s="10"/>
      <c r="B1737" s="134"/>
      <c r="C1737" s="116"/>
      <c r="D1737" s="116"/>
      <c r="E1737" s="116"/>
      <c r="F1737" s="116"/>
      <c r="G1737" s="162" t="str">
        <f t="shared" si="54"/>
        <v xml:space="preserve"> </v>
      </c>
      <c r="H1737" s="161" t="e">
        <f t="shared" si="55"/>
        <v>#VALUE!</v>
      </c>
    </row>
    <row r="1738" spans="1:8" x14ac:dyDescent="0.25">
      <c r="A1738" s="10"/>
      <c r="B1738" s="134"/>
      <c r="C1738" s="116"/>
      <c r="D1738" s="116"/>
      <c r="E1738" s="116"/>
      <c r="F1738" s="116"/>
      <c r="G1738" s="162" t="str">
        <f t="shared" si="54"/>
        <v xml:space="preserve"> </v>
      </c>
      <c r="H1738" s="161" t="e">
        <f t="shared" si="55"/>
        <v>#VALUE!</v>
      </c>
    </row>
    <row r="1739" spans="1:8" x14ac:dyDescent="0.25">
      <c r="A1739" s="10"/>
      <c r="B1739" s="134"/>
      <c r="C1739" s="116"/>
      <c r="D1739" s="116"/>
      <c r="E1739" s="116"/>
      <c r="F1739" s="116"/>
      <c r="G1739" s="162" t="str">
        <f t="shared" si="54"/>
        <v xml:space="preserve"> </v>
      </c>
      <c r="H1739" s="161" t="e">
        <f t="shared" si="55"/>
        <v>#VALUE!</v>
      </c>
    </row>
    <row r="1740" spans="1:8" x14ac:dyDescent="0.25">
      <c r="A1740" s="10"/>
      <c r="B1740" s="134"/>
      <c r="C1740" s="116"/>
      <c r="D1740" s="116"/>
      <c r="E1740" s="116"/>
      <c r="F1740" s="116"/>
      <c r="G1740" s="162" t="str">
        <f t="shared" si="54"/>
        <v xml:space="preserve"> </v>
      </c>
      <c r="H1740" s="161" t="e">
        <f t="shared" si="55"/>
        <v>#VALUE!</v>
      </c>
    </row>
    <row r="1741" spans="1:8" x14ac:dyDescent="0.25">
      <c r="A1741" s="10"/>
      <c r="B1741" s="134"/>
      <c r="C1741" s="116"/>
      <c r="D1741" s="116"/>
      <c r="E1741" s="116"/>
      <c r="F1741" s="116"/>
      <c r="G1741" s="162" t="str">
        <f t="shared" si="54"/>
        <v xml:space="preserve"> </v>
      </c>
      <c r="H1741" s="161" t="e">
        <f t="shared" si="55"/>
        <v>#VALUE!</v>
      </c>
    </row>
    <row r="1742" spans="1:8" x14ac:dyDescent="0.25">
      <c r="A1742" s="10"/>
      <c r="B1742" s="134"/>
      <c r="C1742" s="116"/>
      <c r="D1742" s="116"/>
      <c r="E1742" s="116"/>
      <c r="F1742" s="116"/>
      <c r="G1742" s="162" t="str">
        <f t="shared" si="54"/>
        <v xml:space="preserve"> </v>
      </c>
      <c r="H1742" s="161" t="e">
        <f t="shared" si="55"/>
        <v>#VALUE!</v>
      </c>
    </row>
    <row r="1743" spans="1:8" x14ac:dyDescent="0.25">
      <c r="A1743" s="10"/>
      <c r="B1743" s="134"/>
      <c r="C1743" s="116"/>
      <c r="D1743" s="116"/>
      <c r="E1743" s="116"/>
      <c r="F1743" s="116"/>
      <c r="G1743" s="162" t="str">
        <f t="shared" si="54"/>
        <v xml:space="preserve"> </v>
      </c>
      <c r="H1743" s="161" t="e">
        <f t="shared" si="55"/>
        <v>#VALUE!</v>
      </c>
    </row>
    <row r="1744" spans="1:8" x14ac:dyDescent="0.25">
      <c r="A1744" s="10"/>
      <c r="B1744" s="134"/>
      <c r="C1744" s="116"/>
      <c r="D1744" s="116"/>
      <c r="E1744" s="116"/>
      <c r="F1744" s="116"/>
      <c r="G1744" s="162" t="str">
        <f t="shared" si="54"/>
        <v xml:space="preserve"> </v>
      </c>
      <c r="H1744" s="161" t="e">
        <f t="shared" si="55"/>
        <v>#VALUE!</v>
      </c>
    </row>
    <row r="1745" spans="1:8" x14ac:dyDescent="0.25">
      <c r="A1745" s="10"/>
      <c r="B1745" s="134"/>
      <c r="C1745" s="116"/>
      <c r="D1745" s="116"/>
      <c r="E1745" s="116"/>
      <c r="F1745" s="116"/>
      <c r="G1745" s="162" t="str">
        <f t="shared" si="54"/>
        <v xml:space="preserve"> </v>
      </c>
      <c r="H1745" s="161" t="e">
        <f t="shared" si="55"/>
        <v>#VALUE!</v>
      </c>
    </row>
    <row r="1746" spans="1:8" x14ac:dyDescent="0.25">
      <c r="A1746" s="10"/>
      <c r="B1746" s="134"/>
      <c r="C1746" s="116"/>
      <c r="D1746" s="116"/>
      <c r="E1746" s="116"/>
      <c r="F1746" s="116"/>
      <c r="G1746" s="162" t="str">
        <f t="shared" si="54"/>
        <v xml:space="preserve"> </v>
      </c>
      <c r="H1746" s="161" t="e">
        <f t="shared" si="55"/>
        <v>#VALUE!</v>
      </c>
    </row>
    <row r="1747" spans="1:8" x14ac:dyDescent="0.25">
      <c r="A1747" s="10"/>
      <c r="B1747" s="134"/>
      <c r="C1747" s="116"/>
      <c r="D1747" s="116"/>
      <c r="E1747" s="116"/>
      <c r="F1747" s="116"/>
      <c r="G1747" s="162" t="str">
        <f t="shared" si="54"/>
        <v xml:space="preserve"> </v>
      </c>
      <c r="H1747" s="161" t="e">
        <f t="shared" si="55"/>
        <v>#VALUE!</v>
      </c>
    </row>
    <row r="1748" spans="1:8" x14ac:dyDescent="0.25">
      <c r="A1748" s="10"/>
      <c r="B1748" s="134"/>
      <c r="C1748" s="116"/>
      <c r="D1748" s="116"/>
      <c r="E1748" s="116"/>
      <c r="F1748" s="116"/>
      <c r="G1748" s="162" t="str">
        <f t="shared" si="54"/>
        <v xml:space="preserve"> </v>
      </c>
      <c r="H1748" s="161" t="e">
        <f t="shared" si="55"/>
        <v>#VALUE!</v>
      </c>
    </row>
    <row r="1749" spans="1:8" x14ac:dyDescent="0.25">
      <c r="A1749" s="10"/>
      <c r="B1749" s="134"/>
      <c r="C1749" s="116"/>
      <c r="D1749" s="116"/>
      <c r="E1749" s="116"/>
      <c r="F1749" s="116"/>
      <c r="G1749" s="162" t="str">
        <f t="shared" si="54"/>
        <v xml:space="preserve"> </v>
      </c>
      <c r="H1749" s="161" t="e">
        <f t="shared" si="55"/>
        <v>#VALUE!</v>
      </c>
    </row>
    <row r="1750" spans="1:8" x14ac:dyDescent="0.25">
      <c r="A1750" s="10"/>
      <c r="B1750" s="134"/>
      <c r="C1750" s="116"/>
      <c r="D1750" s="116"/>
      <c r="E1750" s="116"/>
      <c r="F1750" s="116"/>
      <c r="G1750" s="162" t="str">
        <f t="shared" si="54"/>
        <v xml:space="preserve"> </v>
      </c>
      <c r="H1750" s="161" t="e">
        <f t="shared" si="55"/>
        <v>#VALUE!</v>
      </c>
    </row>
    <row r="1751" spans="1:8" x14ac:dyDescent="0.25">
      <c r="A1751" s="10"/>
      <c r="B1751" s="134"/>
      <c r="C1751" s="116"/>
      <c r="D1751" s="116"/>
      <c r="E1751" s="116"/>
      <c r="F1751" s="116"/>
      <c r="G1751" s="162" t="str">
        <f t="shared" si="54"/>
        <v xml:space="preserve"> </v>
      </c>
      <c r="H1751" s="161" t="e">
        <f t="shared" si="55"/>
        <v>#VALUE!</v>
      </c>
    </row>
    <row r="1752" spans="1:8" x14ac:dyDescent="0.25">
      <c r="A1752" s="10"/>
      <c r="B1752" s="134"/>
      <c r="C1752" s="116"/>
      <c r="D1752" s="116"/>
      <c r="E1752" s="116"/>
      <c r="F1752" s="116"/>
      <c r="G1752" s="162" t="str">
        <f t="shared" si="54"/>
        <v xml:space="preserve"> </v>
      </c>
      <c r="H1752" s="161" t="e">
        <f t="shared" si="55"/>
        <v>#VALUE!</v>
      </c>
    </row>
    <row r="1753" spans="1:8" x14ac:dyDescent="0.25">
      <c r="A1753" s="10"/>
      <c r="B1753" s="134"/>
      <c r="C1753" s="116"/>
      <c r="D1753" s="116"/>
      <c r="E1753" s="116"/>
      <c r="F1753" s="116"/>
      <c r="G1753" s="162" t="str">
        <f t="shared" si="54"/>
        <v xml:space="preserve"> </v>
      </c>
      <c r="H1753" s="161" t="e">
        <f t="shared" si="55"/>
        <v>#VALUE!</v>
      </c>
    </row>
    <row r="1754" spans="1:8" x14ac:dyDescent="0.25">
      <c r="A1754" s="10"/>
      <c r="B1754" s="134"/>
      <c r="C1754" s="116"/>
      <c r="D1754" s="116"/>
      <c r="E1754" s="116"/>
      <c r="F1754" s="116"/>
      <c r="G1754" s="162" t="str">
        <f t="shared" si="54"/>
        <v xml:space="preserve"> </v>
      </c>
      <c r="H1754" s="161" t="e">
        <f t="shared" si="55"/>
        <v>#VALUE!</v>
      </c>
    </row>
    <row r="1755" spans="1:8" x14ac:dyDescent="0.25">
      <c r="A1755" s="10"/>
      <c r="B1755" s="134"/>
      <c r="C1755" s="116"/>
      <c r="D1755" s="116"/>
      <c r="E1755" s="116"/>
      <c r="F1755" s="116"/>
      <c r="G1755" s="162" t="str">
        <f t="shared" si="54"/>
        <v xml:space="preserve"> </v>
      </c>
      <c r="H1755" s="161" t="e">
        <f t="shared" si="55"/>
        <v>#VALUE!</v>
      </c>
    </row>
    <row r="1756" spans="1:8" x14ac:dyDescent="0.25">
      <c r="A1756" s="10"/>
      <c r="B1756" s="134"/>
      <c r="C1756" s="116"/>
      <c r="D1756" s="116"/>
      <c r="E1756" s="116"/>
      <c r="F1756" s="116"/>
      <c r="G1756" s="162" t="str">
        <f t="shared" si="54"/>
        <v xml:space="preserve"> </v>
      </c>
      <c r="H1756" s="161" t="e">
        <f t="shared" si="55"/>
        <v>#VALUE!</v>
      </c>
    </row>
    <row r="1757" spans="1:8" x14ac:dyDescent="0.25">
      <c r="A1757" s="10"/>
      <c r="B1757" s="134"/>
      <c r="C1757" s="116"/>
      <c r="D1757" s="116"/>
      <c r="E1757" s="116"/>
      <c r="F1757" s="116"/>
      <c r="G1757" s="162" t="str">
        <f t="shared" si="54"/>
        <v xml:space="preserve"> </v>
      </c>
      <c r="H1757" s="161" t="e">
        <f t="shared" si="55"/>
        <v>#VALUE!</v>
      </c>
    </row>
    <row r="1758" spans="1:8" x14ac:dyDescent="0.25">
      <c r="A1758" s="10"/>
      <c r="B1758" s="134"/>
      <c r="C1758" s="116"/>
      <c r="D1758" s="116"/>
      <c r="E1758" s="116"/>
      <c r="F1758" s="116"/>
      <c r="G1758" s="162" t="str">
        <f t="shared" si="54"/>
        <v xml:space="preserve"> </v>
      </c>
      <c r="H1758" s="161" t="e">
        <f t="shared" si="55"/>
        <v>#VALUE!</v>
      </c>
    </row>
    <row r="1759" spans="1:8" x14ac:dyDescent="0.25">
      <c r="A1759" s="10"/>
      <c r="B1759" s="134"/>
      <c r="C1759" s="116"/>
      <c r="D1759" s="116"/>
      <c r="E1759" s="116"/>
      <c r="F1759" s="116"/>
      <c r="G1759" s="162" t="str">
        <f t="shared" si="54"/>
        <v xml:space="preserve"> </v>
      </c>
      <c r="H1759" s="161" t="e">
        <f t="shared" si="55"/>
        <v>#VALUE!</v>
      </c>
    </row>
    <row r="1760" spans="1:8" x14ac:dyDescent="0.25">
      <c r="A1760" s="10"/>
      <c r="B1760" s="134"/>
      <c r="C1760" s="116"/>
      <c r="D1760" s="116"/>
      <c r="E1760" s="116"/>
      <c r="F1760" s="116"/>
      <c r="G1760" s="162" t="str">
        <f t="shared" si="54"/>
        <v xml:space="preserve"> </v>
      </c>
      <c r="H1760" s="161" t="e">
        <f t="shared" si="55"/>
        <v>#VALUE!</v>
      </c>
    </row>
    <row r="1761" spans="1:8" x14ac:dyDescent="0.25">
      <c r="A1761" s="10"/>
      <c r="B1761" s="134"/>
      <c r="C1761" s="116"/>
      <c r="D1761" s="116"/>
      <c r="E1761" s="116"/>
      <c r="F1761" s="116"/>
      <c r="G1761" s="162" t="str">
        <f t="shared" si="54"/>
        <v xml:space="preserve"> </v>
      </c>
      <c r="H1761" s="161" t="e">
        <f t="shared" si="55"/>
        <v>#VALUE!</v>
      </c>
    </row>
    <row r="1762" spans="1:8" x14ac:dyDescent="0.25">
      <c r="A1762" s="10"/>
      <c r="B1762" s="134"/>
      <c r="C1762" s="116"/>
      <c r="D1762" s="116"/>
      <c r="E1762" s="116"/>
      <c r="F1762" s="116"/>
      <c r="G1762" s="162" t="str">
        <f t="shared" si="54"/>
        <v xml:space="preserve"> </v>
      </c>
      <c r="H1762" s="161" t="e">
        <f t="shared" si="55"/>
        <v>#VALUE!</v>
      </c>
    </row>
    <row r="1763" spans="1:8" x14ac:dyDescent="0.25">
      <c r="A1763" s="10"/>
      <c r="B1763" s="134"/>
      <c r="C1763" s="116"/>
      <c r="D1763" s="116"/>
      <c r="E1763" s="116"/>
      <c r="F1763" s="116"/>
      <c r="G1763" s="162" t="str">
        <f t="shared" si="54"/>
        <v xml:space="preserve"> </v>
      </c>
      <c r="H1763" s="161" t="e">
        <f t="shared" si="55"/>
        <v>#VALUE!</v>
      </c>
    </row>
    <row r="1764" spans="1:8" x14ac:dyDescent="0.25">
      <c r="A1764" s="10"/>
      <c r="B1764" s="134"/>
      <c r="C1764" s="116"/>
      <c r="D1764" s="116"/>
      <c r="E1764" s="116"/>
      <c r="F1764" s="116"/>
      <c r="G1764" s="162" t="str">
        <f t="shared" si="54"/>
        <v xml:space="preserve"> </v>
      </c>
      <c r="H1764" s="161" t="e">
        <f t="shared" si="55"/>
        <v>#VALUE!</v>
      </c>
    </row>
    <row r="1765" spans="1:8" x14ac:dyDescent="0.25">
      <c r="A1765" s="10"/>
      <c r="B1765" s="134"/>
      <c r="C1765" s="116"/>
      <c r="D1765" s="116"/>
      <c r="E1765" s="116"/>
      <c r="F1765" s="116"/>
      <c r="G1765" s="162" t="str">
        <f t="shared" si="54"/>
        <v xml:space="preserve"> </v>
      </c>
      <c r="H1765" s="161" t="e">
        <f t="shared" si="55"/>
        <v>#VALUE!</v>
      </c>
    </row>
    <row r="1766" spans="1:8" x14ac:dyDescent="0.25">
      <c r="A1766" s="10"/>
      <c r="B1766" s="134"/>
      <c r="C1766" s="116"/>
      <c r="D1766" s="116"/>
      <c r="E1766" s="116"/>
      <c r="F1766" s="116"/>
      <c r="G1766" s="162" t="str">
        <f t="shared" si="54"/>
        <v xml:space="preserve"> </v>
      </c>
      <c r="H1766" s="161" t="e">
        <f t="shared" si="55"/>
        <v>#VALUE!</v>
      </c>
    </row>
    <row r="1767" spans="1:8" x14ac:dyDescent="0.25">
      <c r="A1767" s="10"/>
      <c r="B1767" s="134"/>
      <c r="C1767" s="116"/>
      <c r="D1767" s="116"/>
      <c r="E1767" s="116"/>
      <c r="F1767" s="116"/>
      <c r="G1767" s="162" t="str">
        <f t="shared" si="54"/>
        <v xml:space="preserve"> </v>
      </c>
      <c r="H1767" s="161" t="e">
        <f t="shared" si="55"/>
        <v>#VALUE!</v>
      </c>
    </row>
    <row r="1768" spans="1:8" x14ac:dyDescent="0.25">
      <c r="A1768" s="10"/>
      <c r="B1768" s="134"/>
      <c r="C1768" s="116"/>
      <c r="D1768" s="116"/>
      <c r="E1768" s="116"/>
      <c r="F1768" s="116"/>
      <c r="G1768" s="162" t="str">
        <f t="shared" si="54"/>
        <v xml:space="preserve"> </v>
      </c>
      <c r="H1768" s="161" t="e">
        <f t="shared" si="55"/>
        <v>#VALUE!</v>
      </c>
    </row>
    <row r="1769" spans="1:8" x14ac:dyDescent="0.25">
      <c r="A1769" s="10"/>
      <c r="B1769" s="134"/>
      <c r="C1769" s="116"/>
      <c r="D1769" s="116"/>
      <c r="E1769" s="116"/>
      <c r="F1769" s="116"/>
      <c r="G1769" s="162" t="str">
        <f t="shared" si="54"/>
        <v xml:space="preserve"> </v>
      </c>
      <c r="H1769" s="161" t="e">
        <f t="shared" si="55"/>
        <v>#VALUE!</v>
      </c>
    </row>
    <row r="1770" spans="1:8" x14ac:dyDescent="0.25">
      <c r="A1770" s="10"/>
      <c r="B1770" s="134"/>
      <c r="C1770" s="116"/>
      <c r="D1770" s="116"/>
      <c r="E1770" s="116"/>
      <c r="F1770" s="116"/>
      <c r="G1770" s="162" t="str">
        <f t="shared" si="54"/>
        <v xml:space="preserve"> </v>
      </c>
      <c r="H1770" s="161" t="e">
        <f t="shared" si="55"/>
        <v>#VALUE!</v>
      </c>
    </row>
    <row r="1771" spans="1:8" x14ac:dyDescent="0.25">
      <c r="A1771" s="10"/>
      <c r="B1771" s="134"/>
      <c r="C1771" s="116"/>
      <c r="D1771" s="116"/>
      <c r="E1771" s="116"/>
      <c r="F1771" s="116"/>
      <c r="G1771" s="162" t="str">
        <f t="shared" si="54"/>
        <v xml:space="preserve"> </v>
      </c>
      <c r="H1771" s="161" t="e">
        <f t="shared" si="55"/>
        <v>#VALUE!</v>
      </c>
    </row>
    <row r="1772" spans="1:8" x14ac:dyDescent="0.25">
      <c r="A1772" s="10"/>
      <c r="B1772" s="134"/>
      <c r="C1772" s="116"/>
      <c r="D1772" s="116"/>
      <c r="E1772" s="116"/>
      <c r="F1772" s="116"/>
      <c r="G1772" s="162" t="str">
        <f t="shared" si="54"/>
        <v xml:space="preserve"> </v>
      </c>
      <c r="H1772" s="161" t="e">
        <f t="shared" si="55"/>
        <v>#VALUE!</v>
      </c>
    </row>
    <row r="1773" spans="1:8" x14ac:dyDescent="0.25">
      <c r="A1773" s="10"/>
      <c r="B1773" s="134"/>
      <c r="C1773" s="116"/>
      <c r="D1773" s="116"/>
      <c r="E1773" s="116"/>
      <c r="F1773" s="116"/>
      <c r="G1773" s="162" t="str">
        <f t="shared" si="54"/>
        <v xml:space="preserve"> </v>
      </c>
      <c r="H1773" s="161" t="e">
        <f t="shared" si="55"/>
        <v>#VALUE!</v>
      </c>
    </row>
    <row r="1774" spans="1:8" x14ac:dyDescent="0.25">
      <c r="A1774" s="10"/>
      <c r="B1774" s="134"/>
      <c r="C1774" s="116"/>
      <c r="D1774" s="116"/>
      <c r="E1774" s="116"/>
      <c r="F1774" s="116"/>
      <c r="G1774" s="162" t="str">
        <f t="shared" si="54"/>
        <v xml:space="preserve"> </v>
      </c>
      <c r="H1774" s="161" t="e">
        <f t="shared" si="55"/>
        <v>#VALUE!</v>
      </c>
    </row>
    <row r="1775" spans="1:8" x14ac:dyDescent="0.25">
      <c r="A1775" s="10"/>
      <c r="B1775" s="134"/>
      <c r="C1775" s="116"/>
      <c r="D1775" s="116"/>
      <c r="E1775" s="116"/>
      <c r="F1775" s="116"/>
      <c r="G1775" s="162" t="str">
        <f t="shared" si="54"/>
        <v xml:space="preserve"> </v>
      </c>
      <c r="H1775" s="161" t="e">
        <f t="shared" si="55"/>
        <v>#VALUE!</v>
      </c>
    </row>
    <row r="1776" spans="1:8" x14ac:dyDescent="0.25">
      <c r="A1776" s="10"/>
      <c r="B1776" s="134"/>
      <c r="C1776" s="116"/>
      <c r="D1776" s="116"/>
      <c r="E1776" s="116"/>
      <c r="F1776" s="116"/>
      <c r="G1776" s="162" t="str">
        <f t="shared" si="54"/>
        <v xml:space="preserve"> </v>
      </c>
      <c r="H1776" s="161" t="e">
        <f t="shared" si="55"/>
        <v>#VALUE!</v>
      </c>
    </row>
    <row r="1777" spans="1:8" x14ac:dyDescent="0.25">
      <c r="A1777" s="10"/>
      <c r="B1777" s="134"/>
      <c r="C1777" s="116"/>
      <c r="D1777" s="116"/>
      <c r="E1777" s="116"/>
      <c r="F1777" s="116"/>
      <c r="G1777" s="162" t="str">
        <f t="shared" si="54"/>
        <v xml:space="preserve"> </v>
      </c>
      <c r="H1777" s="161" t="e">
        <f t="shared" si="55"/>
        <v>#VALUE!</v>
      </c>
    </row>
    <row r="1778" spans="1:8" x14ac:dyDescent="0.25">
      <c r="A1778" s="10"/>
      <c r="B1778" s="134"/>
      <c r="C1778" s="116"/>
      <c r="D1778" s="116"/>
      <c r="E1778" s="116"/>
      <c r="F1778" s="116"/>
      <c r="G1778" s="162" t="str">
        <f t="shared" si="54"/>
        <v xml:space="preserve"> </v>
      </c>
      <c r="H1778" s="161" t="e">
        <f t="shared" si="55"/>
        <v>#VALUE!</v>
      </c>
    </row>
    <row r="1779" spans="1:8" x14ac:dyDescent="0.25">
      <c r="A1779" s="10"/>
      <c r="B1779" s="134"/>
      <c r="C1779" s="116"/>
      <c r="D1779" s="116"/>
      <c r="E1779" s="116"/>
      <c r="F1779" s="116"/>
      <c r="G1779" s="162" t="str">
        <f t="shared" si="54"/>
        <v xml:space="preserve"> </v>
      </c>
      <c r="H1779" s="161" t="e">
        <f t="shared" si="55"/>
        <v>#VALUE!</v>
      </c>
    </row>
    <row r="1780" spans="1:8" x14ac:dyDescent="0.25">
      <c r="A1780" s="10"/>
      <c r="B1780" s="134"/>
      <c r="C1780" s="116"/>
      <c r="D1780" s="116"/>
      <c r="E1780" s="116"/>
      <c r="F1780" s="116"/>
      <c r="G1780" s="162" t="str">
        <f t="shared" si="54"/>
        <v xml:space="preserve"> </v>
      </c>
      <c r="H1780" s="161" t="e">
        <f t="shared" si="55"/>
        <v>#VALUE!</v>
      </c>
    </row>
    <row r="1781" spans="1:8" x14ac:dyDescent="0.25">
      <c r="A1781" s="10"/>
      <c r="B1781" s="134"/>
      <c r="C1781" s="116"/>
      <c r="D1781" s="116"/>
      <c r="E1781" s="116"/>
      <c r="F1781" s="116"/>
      <c r="G1781" s="162" t="str">
        <f t="shared" si="54"/>
        <v xml:space="preserve"> </v>
      </c>
      <c r="H1781" s="161" t="e">
        <f t="shared" si="55"/>
        <v>#VALUE!</v>
      </c>
    </row>
    <row r="1782" spans="1:8" x14ac:dyDescent="0.25">
      <c r="A1782" s="10"/>
      <c r="B1782" s="134"/>
      <c r="C1782" s="116"/>
      <c r="D1782" s="116"/>
      <c r="E1782" s="116"/>
      <c r="F1782" s="116"/>
      <c r="G1782" s="162" t="str">
        <f t="shared" si="54"/>
        <v xml:space="preserve"> </v>
      </c>
      <c r="H1782" s="161" t="e">
        <f t="shared" si="55"/>
        <v>#VALUE!</v>
      </c>
    </row>
    <row r="1783" spans="1:8" x14ac:dyDescent="0.25">
      <c r="A1783" s="10"/>
      <c r="B1783" s="134"/>
      <c r="C1783" s="116"/>
      <c r="D1783" s="116"/>
      <c r="E1783" s="116"/>
      <c r="F1783" s="116"/>
      <c r="G1783" s="162" t="str">
        <f t="shared" si="54"/>
        <v xml:space="preserve"> </v>
      </c>
      <c r="H1783" s="161" t="e">
        <f t="shared" si="55"/>
        <v>#VALUE!</v>
      </c>
    </row>
    <row r="1784" spans="1:8" x14ac:dyDescent="0.25">
      <c r="A1784" s="10"/>
      <c r="B1784" s="134"/>
      <c r="C1784" s="116"/>
      <c r="D1784" s="116"/>
      <c r="E1784" s="116"/>
      <c r="F1784" s="116"/>
      <c r="G1784" s="162" t="str">
        <f t="shared" si="54"/>
        <v xml:space="preserve"> </v>
      </c>
      <c r="H1784" s="161" t="e">
        <f t="shared" si="55"/>
        <v>#VALUE!</v>
      </c>
    </row>
    <row r="1785" spans="1:8" x14ac:dyDescent="0.25">
      <c r="A1785" s="10"/>
      <c r="B1785" s="134"/>
      <c r="C1785" s="116"/>
      <c r="D1785" s="116"/>
      <c r="E1785" s="116"/>
      <c r="F1785" s="116"/>
      <c r="G1785" s="162" t="str">
        <f t="shared" si="54"/>
        <v xml:space="preserve"> </v>
      </c>
      <c r="H1785" s="161" t="e">
        <f t="shared" si="55"/>
        <v>#VALUE!</v>
      </c>
    </row>
    <row r="1786" spans="1:8" x14ac:dyDescent="0.25">
      <c r="A1786" s="10"/>
      <c r="B1786" s="134"/>
      <c r="C1786" s="116"/>
      <c r="D1786" s="116"/>
      <c r="E1786" s="116"/>
      <c r="F1786" s="116"/>
      <c r="G1786" s="162" t="str">
        <f t="shared" si="54"/>
        <v xml:space="preserve"> </v>
      </c>
      <c r="H1786" s="161" t="e">
        <f t="shared" si="55"/>
        <v>#VALUE!</v>
      </c>
    </row>
    <row r="1787" spans="1:8" x14ac:dyDescent="0.25">
      <c r="A1787" s="10"/>
      <c r="B1787" s="134"/>
      <c r="C1787" s="116"/>
      <c r="D1787" s="116"/>
      <c r="E1787" s="116"/>
      <c r="F1787" s="116"/>
      <c r="G1787" s="162" t="str">
        <f t="shared" si="54"/>
        <v xml:space="preserve"> </v>
      </c>
      <c r="H1787" s="161" t="e">
        <f t="shared" si="55"/>
        <v>#VALUE!</v>
      </c>
    </row>
    <row r="1788" spans="1:8" x14ac:dyDescent="0.25">
      <c r="A1788" s="10"/>
      <c r="B1788" s="134"/>
      <c r="C1788" s="116"/>
      <c r="D1788" s="116"/>
      <c r="E1788" s="116"/>
      <c r="F1788" s="116"/>
      <c r="G1788" s="162" t="str">
        <f t="shared" si="54"/>
        <v xml:space="preserve"> </v>
      </c>
      <c r="H1788" s="161" t="e">
        <f t="shared" si="55"/>
        <v>#VALUE!</v>
      </c>
    </row>
    <row r="1789" spans="1:8" x14ac:dyDescent="0.25">
      <c r="A1789" s="10"/>
      <c r="B1789" s="134"/>
      <c r="C1789" s="116"/>
      <c r="D1789" s="116"/>
      <c r="E1789" s="116"/>
      <c r="F1789" s="116"/>
      <c r="G1789" s="162" t="str">
        <f t="shared" si="54"/>
        <v xml:space="preserve"> </v>
      </c>
      <c r="H1789" s="161" t="e">
        <f t="shared" si="55"/>
        <v>#VALUE!</v>
      </c>
    </row>
    <row r="1790" spans="1:8" x14ac:dyDescent="0.25">
      <c r="A1790" s="10"/>
      <c r="B1790" s="134"/>
      <c r="C1790" s="116"/>
      <c r="D1790" s="116"/>
      <c r="E1790" s="116"/>
      <c r="F1790" s="116"/>
      <c r="G1790" s="162" t="str">
        <f t="shared" si="54"/>
        <v xml:space="preserve"> </v>
      </c>
      <c r="H1790" s="161" t="e">
        <f t="shared" si="55"/>
        <v>#VALUE!</v>
      </c>
    </row>
    <row r="1791" spans="1:8" x14ac:dyDescent="0.25">
      <c r="A1791" s="10"/>
      <c r="B1791" s="134"/>
      <c r="C1791" s="116"/>
      <c r="D1791" s="116"/>
      <c r="E1791" s="116"/>
      <c r="F1791" s="116"/>
      <c r="G1791" s="162" t="str">
        <f t="shared" si="54"/>
        <v xml:space="preserve"> </v>
      </c>
      <c r="H1791" s="161" t="e">
        <f t="shared" si="55"/>
        <v>#VALUE!</v>
      </c>
    </row>
    <row r="1792" spans="1:8" x14ac:dyDescent="0.25">
      <c r="A1792" s="10"/>
      <c r="B1792" s="134"/>
      <c r="C1792" s="116"/>
      <c r="D1792" s="116"/>
      <c r="E1792" s="116"/>
      <c r="F1792" s="116"/>
      <c r="G1792" s="162" t="str">
        <f t="shared" si="54"/>
        <v xml:space="preserve"> </v>
      </c>
      <c r="H1792" s="161" t="e">
        <f t="shared" si="55"/>
        <v>#VALUE!</v>
      </c>
    </row>
    <row r="1793" spans="1:8" x14ac:dyDescent="0.25">
      <c r="A1793" s="10"/>
      <c r="B1793" s="134"/>
      <c r="C1793" s="116"/>
      <c r="D1793" s="116"/>
      <c r="E1793" s="116"/>
      <c r="F1793" s="116"/>
      <c r="G1793" s="162" t="str">
        <f t="shared" si="54"/>
        <v xml:space="preserve"> </v>
      </c>
      <c r="H1793" s="161" t="e">
        <f t="shared" si="55"/>
        <v>#VALUE!</v>
      </c>
    </row>
    <row r="1794" spans="1:8" x14ac:dyDescent="0.25">
      <c r="A1794" s="10"/>
      <c r="B1794" s="134"/>
      <c r="C1794" s="116"/>
      <c r="D1794" s="116"/>
      <c r="E1794" s="116"/>
      <c r="F1794" s="116"/>
      <c r="G1794" s="162" t="str">
        <f t="shared" si="54"/>
        <v xml:space="preserve"> </v>
      </c>
      <c r="H1794" s="161" t="e">
        <f t="shared" si="55"/>
        <v>#VALUE!</v>
      </c>
    </row>
    <row r="1795" spans="1:8" x14ac:dyDescent="0.25">
      <c r="A1795" s="10"/>
      <c r="B1795" s="134"/>
      <c r="C1795" s="116"/>
      <c r="D1795" s="116"/>
      <c r="E1795" s="116"/>
      <c r="F1795" s="116"/>
      <c r="G1795" s="162" t="str">
        <f t="shared" ref="G1795:G1858" si="56">IF(LEFT(A1795,3)="S7P","Pintura",IF(LEFT(A1795,3)="S7M","Montagem",
IF(LEFT(A1795,3)="S7S","Serigrafia"," ")))</f>
        <v xml:space="preserve"> </v>
      </c>
      <c r="H1795" s="161" t="e">
        <f t="shared" ref="H1795:H1858" si="57">VALUE(LEFT(F1795,2))&amp;"h"</f>
        <v>#VALUE!</v>
      </c>
    </row>
    <row r="1796" spans="1:8" x14ac:dyDescent="0.25">
      <c r="A1796" s="10"/>
      <c r="B1796" s="134"/>
      <c r="C1796" s="116"/>
      <c r="D1796" s="116"/>
      <c r="E1796" s="116"/>
      <c r="F1796" s="116"/>
      <c r="G1796" s="162" t="str">
        <f t="shared" si="56"/>
        <v xml:space="preserve"> </v>
      </c>
      <c r="H1796" s="161" t="e">
        <f t="shared" si="57"/>
        <v>#VALUE!</v>
      </c>
    </row>
    <row r="1797" spans="1:8" x14ac:dyDescent="0.25">
      <c r="A1797" s="10"/>
      <c r="B1797" s="134"/>
      <c r="C1797" s="116"/>
      <c r="D1797" s="116"/>
      <c r="E1797" s="116"/>
      <c r="F1797" s="116"/>
      <c r="G1797" s="162" t="str">
        <f t="shared" si="56"/>
        <v xml:space="preserve"> </v>
      </c>
      <c r="H1797" s="161" t="e">
        <f t="shared" si="57"/>
        <v>#VALUE!</v>
      </c>
    </row>
    <row r="1798" spans="1:8" x14ac:dyDescent="0.25">
      <c r="A1798" s="10"/>
      <c r="B1798" s="134"/>
      <c r="C1798" s="116"/>
      <c r="D1798" s="116"/>
      <c r="E1798" s="116"/>
      <c r="F1798" s="116"/>
      <c r="G1798" s="162" t="str">
        <f t="shared" si="56"/>
        <v xml:space="preserve"> </v>
      </c>
      <c r="H1798" s="161" t="e">
        <f t="shared" si="57"/>
        <v>#VALUE!</v>
      </c>
    </row>
    <row r="1799" spans="1:8" x14ac:dyDescent="0.25">
      <c r="A1799" s="10"/>
      <c r="B1799" s="134"/>
      <c r="C1799" s="116"/>
      <c r="D1799" s="116"/>
      <c r="E1799" s="116"/>
      <c r="F1799" s="116"/>
      <c r="G1799" s="162" t="str">
        <f t="shared" si="56"/>
        <v xml:space="preserve"> </v>
      </c>
      <c r="H1799" s="161" t="e">
        <f t="shared" si="57"/>
        <v>#VALUE!</v>
      </c>
    </row>
    <row r="1800" spans="1:8" x14ac:dyDescent="0.25">
      <c r="A1800" s="10"/>
      <c r="B1800" s="134"/>
      <c r="C1800" s="116"/>
      <c r="D1800" s="116"/>
      <c r="E1800" s="116"/>
      <c r="F1800" s="116"/>
      <c r="G1800" s="162" t="str">
        <f t="shared" si="56"/>
        <v xml:space="preserve"> </v>
      </c>
      <c r="H1800" s="161" t="e">
        <f t="shared" si="57"/>
        <v>#VALUE!</v>
      </c>
    </row>
    <row r="1801" spans="1:8" x14ac:dyDescent="0.25">
      <c r="A1801" s="10"/>
      <c r="B1801" s="134"/>
      <c r="C1801" s="116"/>
      <c r="D1801" s="116"/>
      <c r="E1801" s="116"/>
      <c r="F1801" s="116"/>
      <c r="G1801" s="162" t="str">
        <f t="shared" si="56"/>
        <v xml:space="preserve"> </v>
      </c>
      <c r="H1801" s="161" t="e">
        <f t="shared" si="57"/>
        <v>#VALUE!</v>
      </c>
    </row>
    <row r="1802" spans="1:8" x14ac:dyDescent="0.25">
      <c r="A1802" s="10"/>
      <c r="B1802" s="134"/>
      <c r="C1802" s="116"/>
      <c r="D1802" s="116"/>
      <c r="E1802" s="116"/>
      <c r="F1802" s="116"/>
      <c r="G1802" s="162" t="str">
        <f t="shared" si="56"/>
        <v xml:space="preserve"> </v>
      </c>
      <c r="H1802" s="161" t="e">
        <f t="shared" si="57"/>
        <v>#VALUE!</v>
      </c>
    </row>
    <row r="1803" spans="1:8" x14ac:dyDescent="0.25">
      <c r="A1803" s="10"/>
      <c r="B1803" s="134"/>
      <c r="C1803" s="116"/>
      <c r="D1803" s="116"/>
      <c r="E1803" s="116"/>
      <c r="F1803" s="116"/>
      <c r="G1803" s="162" t="str">
        <f t="shared" si="56"/>
        <v xml:space="preserve"> </v>
      </c>
      <c r="H1803" s="161" t="e">
        <f t="shared" si="57"/>
        <v>#VALUE!</v>
      </c>
    </row>
    <row r="1804" spans="1:8" x14ac:dyDescent="0.25">
      <c r="A1804" s="10"/>
      <c r="B1804" s="134"/>
      <c r="C1804" s="116"/>
      <c r="D1804" s="116"/>
      <c r="E1804" s="116"/>
      <c r="F1804" s="116"/>
      <c r="G1804" s="162" t="str">
        <f t="shared" si="56"/>
        <v xml:space="preserve"> </v>
      </c>
      <c r="H1804" s="161" t="e">
        <f t="shared" si="57"/>
        <v>#VALUE!</v>
      </c>
    </row>
    <row r="1805" spans="1:8" x14ac:dyDescent="0.25">
      <c r="A1805" s="10"/>
      <c r="B1805" s="134"/>
      <c r="C1805" s="116"/>
      <c r="D1805" s="116"/>
      <c r="E1805" s="116"/>
      <c r="F1805" s="116"/>
      <c r="G1805" s="162" t="str">
        <f t="shared" si="56"/>
        <v xml:space="preserve"> </v>
      </c>
      <c r="H1805" s="161" t="e">
        <f t="shared" si="57"/>
        <v>#VALUE!</v>
      </c>
    </row>
    <row r="1806" spans="1:8" x14ac:dyDescent="0.25">
      <c r="A1806" s="10"/>
      <c r="B1806" s="134"/>
      <c r="C1806" s="116"/>
      <c r="D1806" s="116"/>
      <c r="E1806" s="116"/>
      <c r="F1806" s="116"/>
      <c r="G1806" s="162" t="str">
        <f t="shared" si="56"/>
        <v xml:space="preserve"> </v>
      </c>
      <c r="H1806" s="161" t="e">
        <f t="shared" si="57"/>
        <v>#VALUE!</v>
      </c>
    </row>
    <row r="1807" spans="1:8" x14ac:dyDescent="0.25">
      <c r="A1807" s="10"/>
      <c r="B1807" s="134"/>
      <c r="C1807" s="116"/>
      <c r="D1807" s="116"/>
      <c r="E1807" s="116"/>
      <c r="F1807" s="116"/>
      <c r="G1807" s="162" t="str">
        <f t="shared" si="56"/>
        <v xml:space="preserve"> </v>
      </c>
      <c r="H1807" s="161" t="e">
        <f t="shared" si="57"/>
        <v>#VALUE!</v>
      </c>
    </row>
    <row r="1808" spans="1:8" x14ac:dyDescent="0.25">
      <c r="A1808" s="10"/>
      <c r="B1808" s="134"/>
      <c r="C1808" s="116"/>
      <c r="D1808" s="116"/>
      <c r="E1808" s="116"/>
      <c r="F1808" s="116"/>
      <c r="G1808" s="162" t="str">
        <f t="shared" si="56"/>
        <v xml:space="preserve"> </v>
      </c>
      <c r="H1808" s="161" t="e">
        <f t="shared" si="57"/>
        <v>#VALUE!</v>
      </c>
    </row>
    <row r="1809" spans="1:8" x14ac:dyDescent="0.25">
      <c r="A1809" s="10"/>
      <c r="B1809" s="134"/>
      <c r="C1809" s="116"/>
      <c r="D1809" s="116"/>
      <c r="E1809" s="116"/>
      <c r="F1809" s="116"/>
      <c r="G1809" s="162" t="str">
        <f t="shared" si="56"/>
        <v xml:space="preserve"> </v>
      </c>
      <c r="H1809" s="161" t="e">
        <f t="shared" si="57"/>
        <v>#VALUE!</v>
      </c>
    </row>
    <row r="1810" spans="1:8" x14ac:dyDescent="0.25">
      <c r="A1810" s="10"/>
      <c r="B1810" s="134"/>
      <c r="C1810" s="116"/>
      <c r="D1810" s="116"/>
      <c r="E1810" s="116"/>
      <c r="F1810" s="116"/>
      <c r="G1810" s="162" t="str">
        <f t="shared" si="56"/>
        <v xml:space="preserve"> </v>
      </c>
      <c r="H1810" s="161" t="e">
        <f t="shared" si="57"/>
        <v>#VALUE!</v>
      </c>
    </row>
    <row r="1811" spans="1:8" x14ac:dyDescent="0.25">
      <c r="A1811" s="10"/>
      <c r="B1811" s="134"/>
      <c r="C1811" s="116"/>
      <c r="D1811" s="116"/>
      <c r="E1811" s="116"/>
      <c r="F1811" s="116"/>
      <c r="G1811" s="162" t="str">
        <f t="shared" si="56"/>
        <v xml:space="preserve"> </v>
      </c>
      <c r="H1811" s="161" t="e">
        <f t="shared" si="57"/>
        <v>#VALUE!</v>
      </c>
    </row>
    <row r="1812" spans="1:8" x14ac:dyDescent="0.25">
      <c r="A1812" s="10"/>
      <c r="B1812" s="134"/>
      <c r="C1812" s="116"/>
      <c r="D1812" s="116"/>
      <c r="E1812" s="116"/>
      <c r="F1812" s="116"/>
      <c r="G1812" s="162" t="str">
        <f t="shared" si="56"/>
        <v xml:space="preserve"> </v>
      </c>
      <c r="H1812" s="161" t="e">
        <f t="shared" si="57"/>
        <v>#VALUE!</v>
      </c>
    </row>
    <row r="1813" spans="1:8" x14ac:dyDescent="0.25">
      <c r="A1813" s="10"/>
      <c r="B1813" s="134"/>
      <c r="C1813" s="116"/>
      <c r="D1813" s="116"/>
      <c r="E1813" s="116"/>
      <c r="F1813" s="116"/>
      <c r="G1813" s="162" t="str">
        <f t="shared" si="56"/>
        <v xml:space="preserve"> </v>
      </c>
      <c r="H1813" s="161" t="e">
        <f t="shared" si="57"/>
        <v>#VALUE!</v>
      </c>
    </row>
    <row r="1814" spans="1:8" x14ac:dyDescent="0.25">
      <c r="A1814" s="10"/>
      <c r="B1814" s="134"/>
      <c r="C1814" s="116"/>
      <c r="D1814" s="116"/>
      <c r="E1814" s="116"/>
      <c r="F1814" s="116"/>
      <c r="G1814" s="162" t="str">
        <f t="shared" si="56"/>
        <v xml:space="preserve"> </v>
      </c>
      <c r="H1814" s="161" t="e">
        <f t="shared" si="57"/>
        <v>#VALUE!</v>
      </c>
    </row>
    <row r="1815" spans="1:8" x14ac:dyDescent="0.25">
      <c r="A1815" s="10"/>
      <c r="B1815" s="134"/>
      <c r="C1815" s="116"/>
      <c r="D1815" s="116"/>
      <c r="E1815" s="116"/>
      <c r="F1815" s="116"/>
      <c r="G1815" s="162" t="str">
        <f t="shared" si="56"/>
        <v xml:space="preserve"> </v>
      </c>
      <c r="H1815" s="161" t="e">
        <f t="shared" si="57"/>
        <v>#VALUE!</v>
      </c>
    </row>
    <row r="1816" spans="1:8" x14ac:dyDescent="0.25">
      <c r="A1816" s="10"/>
      <c r="B1816" s="134"/>
      <c r="C1816" s="116"/>
      <c r="D1816" s="116"/>
      <c r="E1816" s="116"/>
      <c r="F1816" s="116"/>
      <c r="G1816" s="162" t="str">
        <f t="shared" si="56"/>
        <v xml:space="preserve"> </v>
      </c>
      <c r="H1816" s="161" t="e">
        <f t="shared" si="57"/>
        <v>#VALUE!</v>
      </c>
    </row>
    <row r="1817" spans="1:8" x14ac:dyDescent="0.25">
      <c r="A1817" s="10"/>
      <c r="B1817" s="134"/>
      <c r="C1817" s="116"/>
      <c r="D1817" s="116"/>
      <c r="E1817" s="116"/>
      <c r="F1817" s="116"/>
      <c r="G1817" s="162" t="str">
        <f t="shared" si="56"/>
        <v xml:space="preserve"> </v>
      </c>
      <c r="H1817" s="161" t="e">
        <f t="shared" si="57"/>
        <v>#VALUE!</v>
      </c>
    </row>
    <row r="1818" spans="1:8" x14ac:dyDescent="0.25">
      <c r="A1818" s="10"/>
      <c r="B1818" s="134"/>
      <c r="C1818" s="116"/>
      <c r="D1818" s="116"/>
      <c r="E1818" s="116"/>
      <c r="F1818" s="116"/>
      <c r="G1818" s="162" t="str">
        <f t="shared" si="56"/>
        <v xml:space="preserve"> </v>
      </c>
      <c r="H1818" s="161" t="e">
        <f t="shared" si="57"/>
        <v>#VALUE!</v>
      </c>
    </row>
    <row r="1819" spans="1:8" x14ac:dyDescent="0.25">
      <c r="A1819" s="10"/>
      <c r="B1819" s="134"/>
      <c r="C1819" s="116"/>
      <c r="D1819" s="116"/>
      <c r="E1819" s="116"/>
      <c r="F1819" s="116"/>
      <c r="G1819" s="162" t="str">
        <f t="shared" si="56"/>
        <v xml:space="preserve"> </v>
      </c>
      <c r="H1819" s="161" t="e">
        <f t="shared" si="57"/>
        <v>#VALUE!</v>
      </c>
    </row>
    <row r="1820" spans="1:8" x14ac:dyDescent="0.25">
      <c r="A1820" s="10"/>
      <c r="B1820" s="134"/>
      <c r="C1820" s="116"/>
      <c r="D1820" s="116"/>
      <c r="E1820" s="116"/>
      <c r="F1820" s="116"/>
      <c r="G1820" s="162" t="str">
        <f t="shared" si="56"/>
        <v xml:space="preserve"> </v>
      </c>
      <c r="H1820" s="161" t="e">
        <f t="shared" si="57"/>
        <v>#VALUE!</v>
      </c>
    </row>
    <row r="1821" spans="1:8" x14ac:dyDescent="0.25">
      <c r="A1821" s="10"/>
      <c r="B1821" s="134"/>
      <c r="C1821" s="116"/>
      <c r="D1821" s="116"/>
      <c r="E1821" s="116"/>
      <c r="F1821" s="116"/>
      <c r="G1821" s="162" t="str">
        <f t="shared" si="56"/>
        <v xml:space="preserve"> </v>
      </c>
      <c r="H1821" s="161" t="e">
        <f t="shared" si="57"/>
        <v>#VALUE!</v>
      </c>
    </row>
    <row r="1822" spans="1:8" x14ac:dyDescent="0.25">
      <c r="A1822" s="10"/>
      <c r="B1822" s="134"/>
      <c r="C1822" s="116"/>
      <c r="D1822" s="116"/>
      <c r="E1822" s="116"/>
      <c r="F1822" s="116"/>
      <c r="G1822" s="162" t="str">
        <f t="shared" si="56"/>
        <v xml:space="preserve"> </v>
      </c>
      <c r="H1822" s="161" t="e">
        <f t="shared" si="57"/>
        <v>#VALUE!</v>
      </c>
    </row>
    <row r="1823" spans="1:8" x14ac:dyDescent="0.25">
      <c r="A1823" s="10"/>
      <c r="B1823" s="134"/>
      <c r="C1823" s="116"/>
      <c r="D1823" s="116"/>
      <c r="E1823" s="116"/>
      <c r="F1823" s="116"/>
      <c r="G1823" s="162" t="str">
        <f t="shared" si="56"/>
        <v xml:space="preserve"> </v>
      </c>
      <c r="H1823" s="161" t="e">
        <f t="shared" si="57"/>
        <v>#VALUE!</v>
      </c>
    </row>
    <row r="1824" spans="1:8" x14ac:dyDescent="0.25">
      <c r="A1824" s="10"/>
      <c r="B1824" s="134"/>
      <c r="C1824" s="116"/>
      <c r="D1824" s="116"/>
      <c r="E1824" s="116"/>
      <c r="F1824" s="116"/>
      <c r="G1824" s="162" t="str">
        <f t="shared" si="56"/>
        <v xml:space="preserve"> </v>
      </c>
      <c r="H1824" s="161" t="e">
        <f t="shared" si="57"/>
        <v>#VALUE!</v>
      </c>
    </row>
    <row r="1825" spans="1:8" x14ac:dyDescent="0.25">
      <c r="A1825" s="10"/>
      <c r="B1825" s="134"/>
      <c r="C1825" s="116"/>
      <c r="D1825" s="116"/>
      <c r="E1825" s="116"/>
      <c r="F1825" s="116"/>
      <c r="G1825" s="162" t="str">
        <f t="shared" si="56"/>
        <v xml:space="preserve"> </v>
      </c>
      <c r="H1825" s="161" t="e">
        <f t="shared" si="57"/>
        <v>#VALUE!</v>
      </c>
    </row>
    <row r="1826" spans="1:8" x14ac:dyDescent="0.25">
      <c r="A1826" s="10"/>
      <c r="B1826" s="134"/>
      <c r="C1826" s="116"/>
      <c r="D1826" s="116"/>
      <c r="E1826" s="116"/>
      <c r="F1826" s="116"/>
      <c r="G1826" s="162" t="str">
        <f t="shared" si="56"/>
        <v xml:space="preserve"> </v>
      </c>
      <c r="H1826" s="161" t="e">
        <f t="shared" si="57"/>
        <v>#VALUE!</v>
      </c>
    </row>
    <row r="1827" spans="1:8" x14ac:dyDescent="0.25">
      <c r="A1827" s="10"/>
      <c r="B1827" s="134"/>
      <c r="C1827" s="116"/>
      <c r="D1827" s="116"/>
      <c r="E1827" s="116"/>
      <c r="F1827" s="116"/>
      <c r="G1827" s="162" t="str">
        <f t="shared" si="56"/>
        <v xml:space="preserve"> </v>
      </c>
      <c r="H1827" s="161" t="e">
        <f t="shared" si="57"/>
        <v>#VALUE!</v>
      </c>
    </row>
    <row r="1828" spans="1:8" x14ac:dyDescent="0.25">
      <c r="A1828" s="10"/>
      <c r="B1828" s="134"/>
      <c r="C1828" s="116"/>
      <c r="D1828" s="116"/>
      <c r="E1828" s="116"/>
      <c r="F1828" s="116"/>
      <c r="G1828" s="162" t="str">
        <f t="shared" si="56"/>
        <v xml:space="preserve"> </v>
      </c>
      <c r="H1828" s="161" t="e">
        <f t="shared" si="57"/>
        <v>#VALUE!</v>
      </c>
    </row>
    <row r="1829" spans="1:8" x14ac:dyDescent="0.25">
      <c r="A1829" s="10"/>
      <c r="B1829" s="134"/>
      <c r="C1829" s="116"/>
      <c r="D1829" s="116"/>
      <c r="E1829" s="116"/>
      <c r="F1829" s="116"/>
      <c r="G1829" s="162" t="str">
        <f t="shared" si="56"/>
        <v xml:space="preserve"> </v>
      </c>
      <c r="H1829" s="161" t="e">
        <f t="shared" si="57"/>
        <v>#VALUE!</v>
      </c>
    </row>
    <row r="1830" spans="1:8" x14ac:dyDescent="0.25">
      <c r="A1830" s="10"/>
      <c r="B1830" s="134"/>
      <c r="C1830" s="116"/>
      <c r="D1830" s="116"/>
      <c r="E1830" s="116"/>
      <c r="F1830" s="116"/>
      <c r="G1830" s="162" t="str">
        <f t="shared" si="56"/>
        <v xml:space="preserve"> </v>
      </c>
      <c r="H1830" s="161" t="e">
        <f t="shared" si="57"/>
        <v>#VALUE!</v>
      </c>
    </row>
    <row r="1831" spans="1:8" x14ac:dyDescent="0.25">
      <c r="A1831" s="10"/>
      <c r="B1831" s="134"/>
      <c r="C1831" s="116"/>
      <c r="D1831" s="116"/>
      <c r="E1831" s="116"/>
      <c r="F1831" s="116"/>
      <c r="G1831" s="162" t="str">
        <f t="shared" si="56"/>
        <v xml:space="preserve"> </v>
      </c>
      <c r="H1831" s="161" t="e">
        <f t="shared" si="57"/>
        <v>#VALUE!</v>
      </c>
    </row>
    <row r="1832" spans="1:8" x14ac:dyDescent="0.25">
      <c r="A1832" s="10"/>
      <c r="B1832" s="134"/>
      <c r="C1832" s="116"/>
      <c r="D1832" s="116"/>
      <c r="E1832" s="116"/>
      <c r="F1832" s="116"/>
      <c r="G1832" s="162" t="str">
        <f t="shared" si="56"/>
        <v xml:space="preserve"> </v>
      </c>
      <c r="H1832" s="161" t="e">
        <f t="shared" si="57"/>
        <v>#VALUE!</v>
      </c>
    </row>
    <row r="1833" spans="1:8" x14ac:dyDescent="0.25">
      <c r="A1833" s="10"/>
      <c r="B1833" s="134"/>
      <c r="C1833" s="116"/>
      <c r="D1833" s="116"/>
      <c r="E1833" s="116"/>
      <c r="F1833" s="116"/>
      <c r="G1833" s="162" t="str">
        <f t="shared" si="56"/>
        <v xml:space="preserve"> </v>
      </c>
      <c r="H1833" s="161" t="e">
        <f t="shared" si="57"/>
        <v>#VALUE!</v>
      </c>
    </row>
    <row r="1834" spans="1:8" x14ac:dyDescent="0.25">
      <c r="A1834" s="10"/>
      <c r="B1834" s="134"/>
      <c r="C1834" s="116"/>
      <c r="D1834" s="116"/>
      <c r="E1834" s="116"/>
      <c r="F1834" s="116"/>
      <c r="G1834" s="162" t="str">
        <f t="shared" si="56"/>
        <v xml:space="preserve"> </v>
      </c>
      <c r="H1834" s="161" t="e">
        <f t="shared" si="57"/>
        <v>#VALUE!</v>
      </c>
    </row>
    <row r="1835" spans="1:8" x14ac:dyDescent="0.25">
      <c r="A1835" s="10"/>
      <c r="B1835" s="134"/>
      <c r="C1835" s="116"/>
      <c r="D1835" s="116"/>
      <c r="E1835" s="116"/>
      <c r="F1835" s="116"/>
      <c r="G1835" s="162" t="str">
        <f t="shared" si="56"/>
        <v xml:space="preserve"> </v>
      </c>
      <c r="H1835" s="161" t="e">
        <f t="shared" si="57"/>
        <v>#VALUE!</v>
      </c>
    </row>
    <row r="1836" spans="1:8" x14ac:dyDescent="0.25">
      <c r="A1836" s="10"/>
      <c r="B1836" s="134"/>
      <c r="C1836" s="116"/>
      <c r="D1836" s="116"/>
      <c r="E1836" s="116"/>
      <c r="F1836" s="116"/>
      <c r="G1836" s="162" t="str">
        <f t="shared" si="56"/>
        <v xml:space="preserve"> </v>
      </c>
      <c r="H1836" s="161" t="e">
        <f t="shared" si="57"/>
        <v>#VALUE!</v>
      </c>
    </row>
    <row r="1837" spans="1:8" x14ac:dyDescent="0.25">
      <c r="A1837" s="10"/>
      <c r="B1837" s="134"/>
      <c r="C1837" s="116"/>
      <c r="D1837" s="116"/>
      <c r="E1837" s="116"/>
      <c r="F1837" s="116"/>
      <c r="G1837" s="162" t="str">
        <f t="shared" si="56"/>
        <v xml:space="preserve"> </v>
      </c>
      <c r="H1837" s="161" t="e">
        <f t="shared" si="57"/>
        <v>#VALUE!</v>
      </c>
    </row>
    <row r="1838" spans="1:8" x14ac:dyDescent="0.25">
      <c r="A1838" s="10"/>
      <c r="B1838" s="134"/>
      <c r="C1838" s="116"/>
      <c r="D1838" s="116"/>
      <c r="E1838" s="116"/>
      <c r="F1838" s="116"/>
      <c r="G1838" s="162" t="str">
        <f t="shared" si="56"/>
        <v xml:space="preserve"> </v>
      </c>
      <c r="H1838" s="161" t="e">
        <f t="shared" si="57"/>
        <v>#VALUE!</v>
      </c>
    </row>
    <row r="1839" spans="1:8" x14ac:dyDescent="0.25">
      <c r="A1839" s="10"/>
      <c r="B1839" s="134"/>
      <c r="C1839" s="116"/>
      <c r="D1839" s="116"/>
      <c r="E1839" s="116"/>
      <c r="F1839" s="116"/>
      <c r="G1839" s="162" t="str">
        <f t="shared" si="56"/>
        <v xml:space="preserve"> </v>
      </c>
      <c r="H1839" s="161" t="e">
        <f t="shared" si="57"/>
        <v>#VALUE!</v>
      </c>
    </row>
    <row r="1840" spans="1:8" x14ac:dyDescent="0.25">
      <c r="A1840" s="10"/>
      <c r="B1840" s="134"/>
      <c r="C1840" s="116"/>
      <c r="D1840" s="116"/>
      <c r="E1840" s="116"/>
      <c r="F1840" s="116"/>
      <c r="G1840" s="162" t="str">
        <f t="shared" si="56"/>
        <v xml:space="preserve"> </v>
      </c>
      <c r="H1840" s="161" t="e">
        <f t="shared" si="57"/>
        <v>#VALUE!</v>
      </c>
    </row>
    <row r="1841" spans="1:8" x14ac:dyDescent="0.25">
      <c r="A1841" s="10"/>
      <c r="B1841" s="134"/>
      <c r="C1841" s="116"/>
      <c r="D1841" s="116"/>
      <c r="E1841" s="116"/>
      <c r="F1841" s="116"/>
      <c r="G1841" s="162" t="str">
        <f t="shared" si="56"/>
        <v xml:space="preserve"> </v>
      </c>
      <c r="H1841" s="161" t="e">
        <f t="shared" si="57"/>
        <v>#VALUE!</v>
      </c>
    </row>
    <row r="1842" spans="1:8" x14ac:dyDescent="0.25">
      <c r="A1842" s="10"/>
      <c r="B1842" s="134"/>
      <c r="C1842" s="116"/>
      <c r="D1842" s="116"/>
      <c r="E1842" s="116"/>
      <c r="F1842" s="116"/>
      <c r="G1842" s="162" t="str">
        <f t="shared" si="56"/>
        <v xml:space="preserve"> </v>
      </c>
      <c r="H1842" s="161" t="e">
        <f t="shared" si="57"/>
        <v>#VALUE!</v>
      </c>
    </row>
    <row r="1843" spans="1:8" x14ac:dyDescent="0.25">
      <c r="A1843" s="10"/>
      <c r="B1843" s="116"/>
      <c r="C1843" s="116"/>
      <c r="D1843" s="116"/>
      <c r="E1843" s="116"/>
      <c r="F1843" s="116"/>
      <c r="G1843" s="162" t="str">
        <f t="shared" si="56"/>
        <v xml:space="preserve"> </v>
      </c>
      <c r="H1843" s="161" t="e">
        <f t="shared" si="57"/>
        <v>#VALUE!</v>
      </c>
    </row>
    <row r="1844" spans="1:8" x14ac:dyDescent="0.25">
      <c r="A1844" s="10"/>
      <c r="B1844" s="116"/>
      <c r="C1844" s="116"/>
      <c r="D1844" s="116"/>
      <c r="E1844" s="116"/>
      <c r="F1844" s="116"/>
      <c r="G1844" s="162" t="str">
        <f t="shared" si="56"/>
        <v xml:space="preserve"> </v>
      </c>
      <c r="H1844" s="161" t="e">
        <f t="shared" si="57"/>
        <v>#VALUE!</v>
      </c>
    </row>
    <row r="1845" spans="1:8" x14ac:dyDescent="0.25">
      <c r="A1845" s="10"/>
      <c r="B1845" s="116"/>
      <c r="C1845" s="116"/>
      <c r="D1845" s="116"/>
      <c r="E1845" s="116"/>
      <c r="F1845" s="116"/>
      <c r="G1845" s="162" t="str">
        <f t="shared" si="56"/>
        <v xml:space="preserve"> </v>
      </c>
      <c r="H1845" s="161" t="e">
        <f t="shared" si="57"/>
        <v>#VALUE!</v>
      </c>
    </row>
    <row r="1846" spans="1:8" x14ac:dyDescent="0.25">
      <c r="A1846" s="10"/>
      <c r="B1846" s="116"/>
      <c r="C1846" s="116"/>
      <c r="D1846" s="116"/>
      <c r="E1846" s="116"/>
      <c r="F1846" s="116"/>
      <c r="G1846" s="162" t="str">
        <f t="shared" si="56"/>
        <v xml:space="preserve"> </v>
      </c>
      <c r="H1846" s="161" t="e">
        <f t="shared" si="57"/>
        <v>#VALUE!</v>
      </c>
    </row>
    <row r="1847" spans="1:8" x14ac:dyDescent="0.25">
      <c r="A1847" s="10"/>
      <c r="B1847" s="116"/>
      <c r="C1847" s="116"/>
      <c r="D1847" s="116"/>
      <c r="E1847" s="116"/>
      <c r="F1847" s="116"/>
      <c r="G1847" s="162" t="str">
        <f t="shared" si="56"/>
        <v xml:space="preserve"> </v>
      </c>
      <c r="H1847" s="161" t="e">
        <f t="shared" si="57"/>
        <v>#VALUE!</v>
      </c>
    </row>
    <row r="1848" spans="1:8" x14ac:dyDescent="0.25">
      <c r="A1848" s="10"/>
      <c r="B1848" s="116"/>
      <c r="C1848" s="116"/>
      <c r="D1848" s="116"/>
      <c r="E1848" s="116"/>
      <c r="F1848" s="116"/>
      <c r="G1848" s="162" t="str">
        <f t="shared" si="56"/>
        <v xml:space="preserve"> </v>
      </c>
      <c r="H1848" s="161" t="e">
        <f t="shared" si="57"/>
        <v>#VALUE!</v>
      </c>
    </row>
    <row r="1849" spans="1:8" x14ac:dyDescent="0.25">
      <c r="A1849" s="10"/>
      <c r="B1849" s="116"/>
      <c r="C1849" s="116"/>
      <c r="D1849" s="116"/>
      <c r="E1849" s="116"/>
      <c r="F1849" s="116"/>
      <c r="G1849" s="162" t="str">
        <f t="shared" si="56"/>
        <v xml:space="preserve"> </v>
      </c>
      <c r="H1849" s="161" t="e">
        <f t="shared" si="57"/>
        <v>#VALUE!</v>
      </c>
    </row>
    <row r="1850" spans="1:8" x14ac:dyDescent="0.25">
      <c r="A1850" s="10"/>
      <c r="B1850" s="116"/>
      <c r="C1850" s="116"/>
      <c r="D1850" s="116"/>
      <c r="E1850" s="116"/>
      <c r="F1850" s="116"/>
      <c r="G1850" s="162" t="str">
        <f t="shared" si="56"/>
        <v xml:space="preserve"> </v>
      </c>
      <c r="H1850" s="161" t="e">
        <f t="shared" si="57"/>
        <v>#VALUE!</v>
      </c>
    </row>
    <row r="1851" spans="1:8" x14ac:dyDescent="0.25">
      <c r="A1851" s="10"/>
      <c r="B1851" s="116"/>
      <c r="C1851" s="116"/>
      <c r="D1851" s="116"/>
      <c r="E1851" s="116"/>
      <c r="F1851" s="116"/>
      <c r="G1851" s="162" t="str">
        <f t="shared" si="56"/>
        <v xml:space="preserve"> </v>
      </c>
      <c r="H1851" s="161" t="e">
        <f t="shared" si="57"/>
        <v>#VALUE!</v>
      </c>
    </row>
    <row r="1852" spans="1:8" x14ac:dyDescent="0.25">
      <c r="A1852" s="10"/>
      <c r="B1852" s="116"/>
      <c r="C1852" s="116"/>
      <c r="D1852" s="116"/>
      <c r="E1852" s="116"/>
      <c r="F1852" s="116"/>
      <c r="G1852" s="162" t="str">
        <f t="shared" si="56"/>
        <v xml:space="preserve"> </v>
      </c>
      <c r="H1852" s="161" t="e">
        <f t="shared" si="57"/>
        <v>#VALUE!</v>
      </c>
    </row>
    <row r="1853" spans="1:8" x14ac:dyDescent="0.25">
      <c r="A1853" s="10"/>
      <c r="B1853" s="116"/>
      <c r="C1853" s="116"/>
      <c r="D1853" s="116"/>
      <c r="E1853" s="116"/>
      <c r="F1853" s="116"/>
      <c r="G1853" s="162" t="str">
        <f t="shared" si="56"/>
        <v xml:space="preserve"> </v>
      </c>
      <c r="H1853" s="161" t="e">
        <f t="shared" si="57"/>
        <v>#VALUE!</v>
      </c>
    </row>
    <row r="1854" spans="1:8" x14ac:dyDescent="0.25">
      <c r="A1854" s="10"/>
      <c r="B1854" s="116"/>
      <c r="C1854" s="116"/>
      <c r="D1854" s="116"/>
      <c r="E1854" s="116"/>
      <c r="F1854" s="116"/>
      <c r="G1854" s="162" t="str">
        <f t="shared" si="56"/>
        <v xml:space="preserve"> </v>
      </c>
      <c r="H1854" s="161" t="e">
        <f t="shared" si="57"/>
        <v>#VALUE!</v>
      </c>
    </row>
    <row r="1855" spans="1:8" x14ac:dyDescent="0.25">
      <c r="A1855" s="10"/>
      <c r="B1855" s="116"/>
      <c r="C1855" s="116"/>
      <c r="D1855" s="116"/>
      <c r="E1855" s="116"/>
      <c r="F1855" s="116"/>
      <c r="G1855" s="162" t="str">
        <f t="shared" si="56"/>
        <v xml:space="preserve"> </v>
      </c>
      <c r="H1855" s="161" t="e">
        <f t="shared" si="57"/>
        <v>#VALUE!</v>
      </c>
    </row>
    <row r="1856" spans="1:8" x14ac:dyDescent="0.25">
      <c r="A1856" s="10"/>
      <c r="B1856" s="116"/>
      <c r="C1856" s="116"/>
      <c r="D1856" s="116"/>
      <c r="E1856" s="116"/>
      <c r="F1856" s="116"/>
      <c r="G1856" s="162" t="str">
        <f t="shared" si="56"/>
        <v xml:space="preserve"> </v>
      </c>
      <c r="H1856" s="161" t="e">
        <f t="shared" si="57"/>
        <v>#VALUE!</v>
      </c>
    </row>
    <row r="1857" spans="1:8" x14ac:dyDescent="0.25">
      <c r="A1857" s="10"/>
      <c r="B1857" s="116"/>
      <c r="C1857" s="116"/>
      <c r="D1857" s="116"/>
      <c r="E1857" s="116"/>
      <c r="F1857" s="116"/>
      <c r="G1857" s="162" t="str">
        <f t="shared" si="56"/>
        <v xml:space="preserve"> </v>
      </c>
      <c r="H1857" s="161" t="e">
        <f t="shared" si="57"/>
        <v>#VALUE!</v>
      </c>
    </row>
    <row r="1858" spans="1:8" x14ac:dyDescent="0.25">
      <c r="A1858" s="10"/>
      <c r="B1858" s="116"/>
      <c r="C1858" s="116"/>
      <c r="D1858" s="116"/>
      <c r="E1858" s="116"/>
      <c r="F1858" s="116"/>
      <c r="G1858" s="162" t="str">
        <f t="shared" si="56"/>
        <v xml:space="preserve"> </v>
      </c>
      <c r="H1858" s="161" t="e">
        <f t="shared" si="57"/>
        <v>#VALUE!</v>
      </c>
    </row>
    <row r="1859" spans="1:8" x14ac:dyDescent="0.25">
      <c r="A1859" s="10"/>
      <c r="B1859" s="116"/>
      <c r="C1859" s="116"/>
      <c r="D1859" s="116"/>
      <c r="E1859" s="116"/>
      <c r="F1859" s="116"/>
      <c r="G1859" s="162" t="str">
        <f t="shared" ref="G1859:G1922" si="58">IF(LEFT(A1859,3)="S7P","Pintura",IF(LEFT(A1859,3)="S7M","Montagem",
IF(LEFT(A1859,3)="S7S","Serigrafia"," ")))</f>
        <v xml:space="preserve"> </v>
      </c>
      <c r="H1859" s="161" t="e">
        <f t="shared" ref="H1859:H1922" si="59">VALUE(LEFT(F1859,2))&amp;"h"</f>
        <v>#VALUE!</v>
      </c>
    </row>
    <row r="1860" spans="1:8" x14ac:dyDescent="0.25">
      <c r="A1860" s="10"/>
      <c r="B1860" s="116"/>
      <c r="C1860" s="116"/>
      <c r="D1860" s="116"/>
      <c r="E1860" s="116"/>
      <c r="F1860" s="116"/>
      <c r="G1860" s="162" t="str">
        <f t="shared" si="58"/>
        <v xml:space="preserve"> </v>
      </c>
      <c r="H1860" s="161" t="e">
        <f t="shared" si="59"/>
        <v>#VALUE!</v>
      </c>
    </row>
    <row r="1861" spans="1:8" x14ac:dyDescent="0.25">
      <c r="A1861" s="10"/>
      <c r="B1861" s="116"/>
      <c r="C1861" s="116"/>
      <c r="D1861" s="116"/>
      <c r="E1861" s="116"/>
      <c r="F1861" s="116"/>
      <c r="G1861" s="162" t="str">
        <f t="shared" si="58"/>
        <v xml:space="preserve"> </v>
      </c>
      <c r="H1861" s="161" t="e">
        <f t="shared" si="59"/>
        <v>#VALUE!</v>
      </c>
    </row>
    <row r="1862" spans="1:8" x14ac:dyDescent="0.25">
      <c r="A1862" s="10"/>
      <c r="B1862" s="116"/>
      <c r="C1862" s="116"/>
      <c r="D1862" s="116"/>
      <c r="E1862" s="116"/>
      <c r="F1862" s="116"/>
      <c r="G1862" s="162" t="str">
        <f t="shared" si="58"/>
        <v xml:space="preserve"> </v>
      </c>
      <c r="H1862" s="161" t="e">
        <f t="shared" si="59"/>
        <v>#VALUE!</v>
      </c>
    </row>
    <row r="1863" spans="1:8" x14ac:dyDescent="0.25">
      <c r="A1863" s="10"/>
      <c r="B1863" s="116"/>
      <c r="C1863" s="116"/>
      <c r="D1863" s="116"/>
      <c r="E1863" s="116"/>
      <c r="F1863" s="116"/>
      <c r="G1863" s="162" t="str">
        <f t="shared" si="58"/>
        <v xml:space="preserve"> </v>
      </c>
      <c r="H1863" s="161" t="e">
        <f t="shared" si="59"/>
        <v>#VALUE!</v>
      </c>
    </row>
    <row r="1864" spans="1:8" x14ac:dyDescent="0.25">
      <c r="A1864" s="10"/>
      <c r="B1864" s="116"/>
      <c r="C1864" s="116"/>
      <c r="D1864" s="116"/>
      <c r="E1864" s="116"/>
      <c r="F1864" s="116"/>
      <c r="G1864" s="162" t="str">
        <f t="shared" si="58"/>
        <v xml:space="preserve"> </v>
      </c>
      <c r="H1864" s="161" t="e">
        <f t="shared" si="59"/>
        <v>#VALUE!</v>
      </c>
    </row>
    <row r="1865" spans="1:8" x14ac:dyDescent="0.25">
      <c r="A1865" s="10"/>
      <c r="B1865" s="116"/>
      <c r="C1865" s="116"/>
      <c r="D1865" s="116"/>
      <c r="E1865" s="116"/>
      <c r="F1865" s="116"/>
      <c r="G1865" s="162" t="str">
        <f t="shared" si="58"/>
        <v xml:space="preserve"> </v>
      </c>
      <c r="H1865" s="161" t="e">
        <f t="shared" si="59"/>
        <v>#VALUE!</v>
      </c>
    </row>
    <row r="1866" spans="1:8" x14ac:dyDescent="0.25">
      <c r="A1866" s="10"/>
      <c r="B1866" s="116"/>
      <c r="C1866" s="116"/>
      <c r="D1866" s="116"/>
      <c r="E1866" s="116"/>
      <c r="F1866" s="116"/>
      <c r="G1866" s="162" t="str">
        <f t="shared" si="58"/>
        <v xml:space="preserve"> </v>
      </c>
      <c r="H1866" s="161" t="e">
        <f t="shared" si="59"/>
        <v>#VALUE!</v>
      </c>
    </row>
    <row r="1867" spans="1:8" x14ac:dyDescent="0.25">
      <c r="A1867" s="10"/>
      <c r="B1867" s="116"/>
      <c r="C1867" s="116"/>
      <c r="D1867" s="116"/>
      <c r="E1867" s="116"/>
      <c r="F1867" s="116"/>
      <c r="G1867" s="162" t="str">
        <f t="shared" si="58"/>
        <v xml:space="preserve"> </v>
      </c>
      <c r="H1867" s="161" t="e">
        <f t="shared" si="59"/>
        <v>#VALUE!</v>
      </c>
    </row>
    <row r="1868" spans="1:8" x14ac:dyDescent="0.25">
      <c r="A1868" s="10"/>
      <c r="B1868" s="116"/>
      <c r="C1868" s="116"/>
      <c r="D1868" s="116"/>
      <c r="E1868" s="116"/>
      <c r="F1868" s="116"/>
      <c r="G1868" s="162" t="str">
        <f t="shared" si="58"/>
        <v xml:space="preserve"> </v>
      </c>
      <c r="H1868" s="161" t="e">
        <f t="shared" si="59"/>
        <v>#VALUE!</v>
      </c>
    </row>
    <row r="1869" spans="1:8" x14ac:dyDescent="0.25">
      <c r="A1869" s="10"/>
      <c r="B1869" s="116"/>
      <c r="C1869" s="116"/>
      <c r="D1869" s="116"/>
      <c r="E1869" s="116"/>
      <c r="F1869" s="116"/>
      <c r="G1869" s="162" t="str">
        <f t="shared" si="58"/>
        <v xml:space="preserve"> </v>
      </c>
      <c r="H1869" s="161" t="e">
        <f t="shared" si="59"/>
        <v>#VALUE!</v>
      </c>
    </row>
    <row r="1870" spans="1:8" x14ac:dyDescent="0.25">
      <c r="A1870" s="10"/>
      <c r="B1870" s="116"/>
      <c r="C1870" s="116"/>
      <c r="D1870" s="116"/>
      <c r="E1870" s="116"/>
      <c r="F1870" s="116"/>
      <c r="G1870" s="162" t="str">
        <f t="shared" si="58"/>
        <v xml:space="preserve"> </v>
      </c>
      <c r="H1870" s="161" t="e">
        <f t="shared" si="59"/>
        <v>#VALUE!</v>
      </c>
    </row>
    <row r="1871" spans="1:8" x14ac:dyDescent="0.25">
      <c r="A1871" s="10"/>
      <c r="B1871" s="116"/>
      <c r="C1871" s="116"/>
      <c r="D1871" s="116"/>
      <c r="E1871" s="116"/>
      <c r="F1871" s="116"/>
      <c r="G1871" s="162" t="str">
        <f t="shared" si="58"/>
        <v xml:space="preserve"> </v>
      </c>
      <c r="H1871" s="161" t="e">
        <f t="shared" si="59"/>
        <v>#VALUE!</v>
      </c>
    </row>
    <row r="1872" spans="1:8" x14ac:dyDescent="0.25">
      <c r="A1872" s="10"/>
      <c r="B1872" s="116"/>
      <c r="C1872" s="116"/>
      <c r="D1872" s="116"/>
      <c r="E1872" s="116"/>
      <c r="F1872" s="116"/>
      <c r="G1872" s="162" t="str">
        <f t="shared" si="58"/>
        <v xml:space="preserve"> </v>
      </c>
      <c r="H1872" s="161" t="e">
        <f t="shared" si="59"/>
        <v>#VALUE!</v>
      </c>
    </row>
    <row r="1873" spans="1:8" x14ac:dyDescent="0.25">
      <c r="A1873" s="10"/>
      <c r="B1873" s="116"/>
      <c r="C1873" s="116"/>
      <c r="D1873" s="116"/>
      <c r="E1873" s="116"/>
      <c r="F1873" s="116"/>
      <c r="G1873" s="162" t="str">
        <f t="shared" si="58"/>
        <v xml:space="preserve"> </v>
      </c>
      <c r="H1873" s="161" t="e">
        <f t="shared" si="59"/>
        <v>#VALUE!</v>
      </c>
    </row>
    <row r="1874" spans="1:8" x14ac:dyDescent="0.25">
      <c r="A1874" s="10"/>
      <c r="B1874" s="116"/>
      <c r="C1874" s="116"/>
      <c r="D1874" s="116"/>
      <c r="E1874" s="116"/>
      <c r="F1874" s="116"/>
      <c r="G1874" s="162" t="str">
        <f t="shared" si="58"/>
        <v xml:space="preserve"> </v>
      </c>
      <c r="H1874" s="161" t="e">
        <f t="shared" si="59"/>
        <v>#VALUE!</v>
      </c>
    </row>
    <row r="1875" spans="1:8" x14ac:dyDescent="0.25">
      <c r="A1875" s="10"/>
      <c r="B1875" s="116"/>
      <c r="C1875" s="116"/>
      <c r="D1875" s="116"/>
      <c r="E1875" s="116"/>
      <c r="F1875" s="116"/>
      <c r="G1875" s="162" t="str">
        <f t="shared" si="58"/>
        <v xml:space="preserve"> </v>
      </c>
      <c r="H1875" s="161" t="e">
        <f t="shared" si="59"/>
        <v>#VALUE!</v>
      </c>
    </row>
    <row r="1876" spans="1:8" x14ac:dyDescent="0.25">
      <c r="A1876" s="10"/>
      <c r="B1876" s="116"/>
      <c r="C1876" s="116"/>
      <c r="D1876" s="116"/>
      <c r="E1876" s="116"/>
      <c r="F1876" s="116"/>
      <c r="G1876" s="162" t="str">
        <f t="shared" si="58"/>
        <v xml:space="preserve"> </v>
      </c>
      <c r="H1876" s="161" t="e">
        <f t="shared" si="59"/>
        <v>#VALUE!</v>
      </c>
    </row>
    <row r="1877" spans="1:8" x14ac:dyDescent="0.25">
      <c r="A1877" s="10"/>
      <c r="B1877" s="116"/>
      <c r="C1877" s="116"/>
      <c r="D1877" s="116"/>
      <c r="E1877" s="116"/>
      <c r="F1877" s="116"/>
      <c r="G1877" s="162" t="str">
        <f t="shared" si="58"/>
        <v xml:space="preserve"> </v>
      </c>
      <c r="H1877" s="161" t="e">
        <f t="shared" si="59"/>
        <v>#VALUE!</v>
      </c>
    </row>
    <row r="1878" spans="1:8" x14ac:dyDescent="0.25">
      <c r="A1878" s="10"/>
      <c r="B1878" s="116"/>
      <c r="C1878" s="116"/>
      <c r="D1878" s="116"/>
      <c r="E1878" s="116"/>
      <c r="F1878" s="116"/>
      <c r="G1878" s="162" t="str">
        <f t="shared" si="58"/>
        <v xml:space="preserve"> </v>
      </c>
      <c r="H1878" s="161" t="e">
        <f t="shared" si="59"/>
        <v>#VALUE!</v>
      </c>
    </row>
    <row r="1879" spans="1:8" x14ac:dyDescent="0.25">
      <c r="A1879" s="10"/>
      <c r="B1879" s="116"/>
      <c r="C1879" s="116"/>
      <c r="D1879" s="116"/>
      <c r="E1879" s="116"/>
      <c r="F1879" s="116"/>
      <c r="G1879" s="162" t="str">
        <f t="shared" si="58"/>
        <v xml:space="preserve"> </v>
      </c>
      <c r="H1879" s="161" t="e">
        <f t="shared" si="59"/>
        <v>#VALUE!</v>
      </c>
    </row>
    <row r="1880" spans="1:8" x14ac:dyDescent="0.25">
      <c r="A1880" s="10"/>
      <c r="B1880" s="116"/>
      <c r="C1880" s="116"/>
      <c r="D1880" s="116"/>
      <c r="E1880" s="116"/>
      <c r="F1880" s="116"/>
      <c r="G1880" s="162" t="str">
        <f t="shared" si="58"/>
        <v xml:space="preserve"> </v>
      </c>
      <c r="H1880" s="161" t="e">
        <f t="shared" si="59"/>
        <v>#VALUE!</v>
      </c>
    </row>
    <row r="1881" spans="1:8" x14ac:dyDescent="0.25">
      <c r="A1881" s="10"/>
      <c r="B1881" s="116"/>
      <c r="C1881" s="116"/>
      <c r="D1881" s="116"/>
      <c r="E1881" s="116"/>
      <c r="F1881" s="116"/>
      <c r="G1881" s="162" t="str">
        <f t="shared" si="58"/>
        <v xml:space="preserve"> </v>
      </c>
      <c r="H1881" s="161" t="e">
        <f t="shared" si="59"/>
        <v>#VALUE!</v>
      </c>
    </row>
    <row r="1882" spans="1:8" x14ac:dyDescent="0.25">
      <c r="A1882" s="10"/>
      <c r="B1882" s="116"/>
      <c r="C1882" s="116"/>
      <c r="D1882" s="116"/>
      <c r="E1882" s="116"/>
      <c r="F1882" s="116"/>
      <c r="G1882" s="162" t="str">
        <f t="shared" si="58"/>
        <v xml:space="preserve"> </v>
      </c>
      <c r="H1882" s="161" t="e">
        <f t="shared" si="59"/>
        <v>#VALUE!</v>
      </c>
    </row>
    <row r="1883" spans="1:8" x14ac:dyDescent="0.25">
      <c r="A1883" s="10"/>
      <c r="B1883" s="116"/>
      <c r="C1883" s="116"/>
      <c r="D1883" s="116"/>
      <c r="E1883" s="116"/>
      <c r="F1883" s="116"/>
      <c r="G1883" s="162" t="str">
        <f t="shared" si="58"/>
        <v xml:space="preserve"> </v>
      </c>
      <c r="H1883" s="161" t="e">
        <f t="shared" si="59"/>
        <v>#VALUE!</v>
      </c>
    </row>
    <row r="1884" spans="1:8" x14ac:dyDescent="0.25">
      <c r="A1884" s="10"/>
      <c r="B1884" s="116"/>
      <c r="C1884" s="116"/>
      <c r="D1884" s="116"/>
      <c r="E1884" s="116"/>
      <c r="F1884" s="116"/>
      <c r="G1884" s="162" t="str">
        <f t="shared" si="58"/>
        <v xml:space="preserve"> </v>
      </c>
      <c r="H1884" s="161" t="e">
        <f t="shared" si="59"/>
        <v>#VALUE!</v>
      </c>
    </row>
    <row r="1885" spans="1:8" x14ac:dyDescent="0.25">
      <c r="A1885" s="10"/>
      <c r="B1885" s="116"/>
      <c r="C1885" s="116"/>
      <c r="D1885" s="116"/>
      <c r="E1885" s="116"/>
      <c r="F1885" s="116"/>
      <c r="G1885" s="162" t="str">
        <f t="shared" si="58"/>
        <v xml:space="preserve"> </v>
      </c>
      <c r="H1885" s="161" t="e">
        <f t="shared" si="59"/>
        <v>#VALUE!</v>
      </c>
    </row>
    <row r="1886" spans="1:8" x14ac:dyDescent="0.25">
      <c r="A1886" s="10"/>
      <c r="B1886" s="116"/>
      <c r="C1886" s="116"/>
      <c r="D1886" s="116"/>
      <c r="E1886" s="116"/>
      <c r="F1886" s="116"/>
      <c r="G1886" s="162" t="str">
        <f t="shared" si="58"/>
        <v xml:space="preserve"> </v>
      </c>
      <c r="H1886" s="161" t="e">
        <f t="shared" si="59"/>
        <v>#VALUE!</v>
      </c>
    </row>
    <row r="1887" spans="1:8" x14ac:dyDescent="0.25">
      <c r="A1887" s="10"/>
      <c r="B1887" s="116"/>
      <c r="C1887" s="116"/>
      <c r="D1887" s="116"/>
      <c r="E1887" s="116"/>
      <c r="F1887" s="116"/>
      <c r="G1887" s="162" t="str">
        <f t="shared" si="58"/>
        <v xml:space="preserve"> </v>
      </c>
      <c r="H1887" s="161" t="e">
        <f t="shared" si="59"/>
        <v>#VALUE!</v>
      </c>
    </row>
    <row r="1888" spans="1:8" x14ac:dyDescent="0.25">
      <c r="A1888" s="10"/>
      <c r="B1888" s="116"/>
      <c r="C1888" s="116"/>
      <c r="D1888" s="116"/>
      <c r="E1888" s="116"/>
      <c r="F1888" s="116"/>
      <c r="G1888" s="162" t="str">
        <f t="shared" si="58"/>
        <v xml:space="preserve"> </v>
      </c>
      <c r="H1888" s="161" t="e">
        <f t="shared" si="59"/>
        <v>#VALUE!</v>
      </c>
    </row>
    <row r="1889" spans="1:8" x14ac:dyDescent="0.25">
      <c r="A1889" s="10"/>
      <c r="B1889" s="116"/>
      <c r="C1889" s="116"/>
      <c r="D1889" s="116"/>
      <c r="E1889" s="116"/>
      <c r="F1889" s="116"/>
      <c r="G1889" s="162" t="str">
        <f t="shared" si="58"/>
        <v xml:space="preserve"> </v>
      </c>
      <c r="H1889" s="161" t="e">
        <f t="shared" si="59"/>
        <v>#VALUE!</v>
      </c>
    </row>
    <row r="1890" spans="1:8" x14ac:dyDescent="0.25">
      <c r="A1890" s="10"/>
      <c r="B1890" s="116"/>
      <c r="C1890" s="116"/>
      <c r="D1890" s="116"/>
      <c r="E1890" s="116"/>
      <c r="F1890" s="116"/>
      <c r="G1890" s="162" t="str">
        <f t="shared" si="58"/>
        <v xml:space="preserve"> </v>
      </c>
      <c r="H1890" s="161" t="e">
        <f t="shared" si="59"/>
        <v>#VALUE!</v>
      </c>
    </row>
    <row r="1891" spans="1:8" x14ac:dyDescent="0.25">
      <c r="A1891" s="10"/>
      <c r="B1891" s="116"/>
      <c r="C1891" s="116"/>
      <c r="D1891" s="116"/>
      <c r="E1891" s="116"/>
      <c r="F1891" s="116"/>
      <c r="G1891" s="162" t="str">
        <f t="shared" si="58"/>
        <v xml:space="preserve"> </v>
      </c>
      <c r="H1891" s="161" t="e">
        <f t="shared" si="59"/>
        <v>#VALUE!</v>
      </c>
    </row>
    <row r="1892" spans="1:8" x14ac:dyDescent="0.25">
      <c r="A1892" s="10"/>
      <c r="B1892" s="116"/>
      <c r="C1892" s="116"/>
      <c r="D1892" s="116"/>
      <c r="E1892" s="116"/>
      <c r="F1892" s="116"/>
      <c r="G1892" s="162" t="str">
        <f t="shared" si="58"/>
        <v xml:space="preserve"> </v>
      </c>
      <c r="H1892" s="161" t="e">
        <f t="shared" si="59"/>
        <v>#VALUE!</v>
      </c>
    </row>
    <row r="1893" spans="1:8" x14ac:dyDescent="0.25">
      <c r="A1893" s="10"/>
      <c r="B1893" s="116"/>
      <c r="C1893" s="116"/>
      <c r="D1893" s="116"/>
      <c r="E1893" s="116"/>
      <c r="F1893" s="116"/>
      <c r="G1893" s="162" t="str">
        <f t="shared" si="58"/>
        <v xml:space="preserve"> </v>
      </c>
      <c r="H1893" s="161" t="e">
        <f t="shared" si="59"/>
        <v>#VALUE!</v>
      </c>
    </row>
    <row r="1894" spans="1:8" x14ac:dyDescent="0.25">
      <c r="A1894" s="10"/>
      <c r="B1894" s="116"/>
      <c r="C1894" s="116"/>
      <c r="D1894" s="116"/>
      <c r="E1894" s="116"/>
      <c r="F1894" s="116"/>
      <c r="G1894" s="162" t="str">
        <f t="shared" si="58"/>
        <v xml:space="preserve"> </v>
      </c>
      <c r="H1894" s="161" t="e">
        <f t="shared" si="59"/>
        <v>#VALUE!</v>
      </c>
    </row>
    <row r="1895" spans="1:8" x14ac:dyDescent="0.25">
      <c r="A1895" s="10"/>
      <c r="B1895" s="116"/>
      <c r="C1895" s="116"/>
      <c r="D1895" s="116"/>
      <c r="E1895" s="116"/>
      <c r="F1895" s="116"/>
      <c r="G1895" s="162" t="str">
        <f t="shared" si="58"/>
        <v xml:space="preserve"> </v>
      </c>
      <c r="H1895" s="161" t="e">
        <f t="shared" si="59"/>
        <v>#VALUE!</v>
      </c>
    </row>
    <row r="1896" spans="1:8" x14ac:dyDescent="0.25">
      <c r="A1896" s="10"/>
      <c r="B1896" s="116"/>
      <c r="C1896" s="116"/>
      <c r="D1896" s="116"/>
      <c r="E1896" s="116"/>
      <c r="F1896" s="116"/>
      <c r="G1896" s="162" t="str">
        <f t="shared" si="58"/>
        <v xml:space="preserve"> </v>
      </c>
      <c r="H1896" s="161" t="e">
        <f t="shared" si="59"/>
        <v>#VALUE!</v>
      </c>
    </row>
    <row r="1897" spans="1:8" x14ac:dyDescent="0.25">
      <c r="A1897" s="10"/>
      <c r="B1897" s="116"/>
      <c r="C1897" s="116"/>
      <c r="D1897" s="116"/>
      <c r="E1897" s="116"/>
      <c r="F1897" s="116"/>
      <c r="G1897" s="162" t="str">
        <f t="shared" si="58"/>
        <v xml:space="preserve"> </v>
      </c>
      <c r="H1897" s="161" t="e">
        <f t="shared" si="59"/>
        <v>#VALUE!</v>
      </c>
    </row>
    <row r="1898" spans="1:8" x14ac:dyDescent="0.25">
      <c r="A1898" s="10"/>
      <c r="B1898" s="116"/>
      <c r="C1898" s="116"/>
      <c r="D1898" s="116"/>
      <c r="E1898" s="116"/>
      <c r="F1898" s="116"/>
      <c r="G1898" s="162" t="str">
        <f t="shared" si="58"/>
        <v xml:space="preserve"> </v>
      </c>
      <c r="H1898" s="161" t="e">
        <f t="shared" si="59"/>
        <v>#VALUE!</v>
      </c>
    </row>
    <row r="1899" spans="1:8" x14ac:dyDescent="0.25">
      <c r="A1899" s="10"/>
      <c r="B1899" s="116"/>
      <c r="C1899" s="116"/>
      <c r="D1899" s="116"/>
      <c r="E1899" s="116"/>
      <c r="F1899" s="116"/>
      <c r="G1899" s="162" t="str">
        <f t="shared" si="58"/>
        <v xml:space="preserve"> </v>
      </c>
      <c r="H1899" s="161" t="e">
        <f t="shared" si="59"/>
        <v>#VALUE!</v>
      </c>
    </row>
    <row r="1900" spans="1:8" x14ac:dyDescent="0.25">
      <c r="A1900" s="10"/>
      <c r="B1900" s="116"/>
      <c r="C1900" s="116"/>
      <c r="D1900" s="116"/>
      <c r="E1900" s="116"/>
      <c r="F1900" s="116"/>
      <c r="G1900" s="162" t="str">
        <f t="shared" si="58"/>
        <v xml:space="preserve"> </v>
      </c>
      <c r="H1900" s="161" t="e">
        <f t="shared" si="59"/>
        <v>#VALUE!</v>
      </c>
    </row>
    <row r="1901" spans="1:8" x14ac:dyDescent="0.25">
      <c r="A1901" s="10"/>
      <c r="B1901" s="116"/>
      <c r="C1901" s="116"/>
      <c r="D1901" s="116"/>
      <c r="E1901" s="116"/>
      <c r="F1901" s="116"/>
      <c r="G1901" s="162" t="str">
        <f t="shared" si="58"/>
        <v xml:space="preserve"> </v>
      </c>
      <c r="H1901" s="161" t="e">
        <f t="shared" si="59"/>
        <v>#VALUE!</v>
      </c>
    </row>
    <row r="1902" spans="1:8" x14ac:dyDescent="0.25">
      <c r="A1902" s="10"/>
      <c r="B1902" s="116"/>
      <c r="C1902" s="116"/>
      <c r="D1902" s="116"/>
      <c r="E1902" s="116"/>
      <c r="F1902" s="116"/>
      <c r="G1902" s="162" t="str">
        <f t="shared" si="58"/>
        <v xml:space="preserve"> </v>
      </c>
      <c r="H1902" s="161" t="e">
        <f t="shared" si="59"/>
        <v>#VALUE!</v>
      </c>
    </row>
    <row r="1903" spans="1:8" x14ac:dyDescent="0.25">
      <c r="A1903" s="10"/>
      <c r="B1903" s="116"/>
      <c r="C1903" s="116"/>
      <c r="D1903" s="116"/>
      <c r="E1903" s="116"/>
      <c r="F1903" s="116"/>
      <c r="G1903" s="162" t="str">
        <f t="shared" si="58"/>
        <v xml:space="preserve"> </v>
      </c>
      <c r="H1903" s="161" t="e">
        <f t="shared" si="59"/>
        <v>#VALUE!</v>
      </c>
    </row>
    <row r="1904" spans="1:8" x14ac:dyDescent="0.25">
      <c r="A1904" s="10"/>
      <c r="B1904" s="116"/>
      <c r="C1904" s="116"/>
      <c r="D1904" s="116"/>
      <c r="E1904" s="116"/>
      <c r="F1904" s="116"/>
      <c r="G1904" s="162" t="str">
        <f t="shared" si="58"/>
        <v xml:space="preserve"> </v>
      </c>
      <c r="H1904" s="161" t="e">
        <f t="shared" si="59"/>
        <v>#VALUE!</v>
      </c>
    </row>
    <row r="1905" spans="1:8" x14ac:dyDescent="0.25">
      <c r="A1905" s="10"/>
      <c r="B1905" s="116"/>
      <c r="C1905" s="116"/>
      <c r="D1905" s="116"/>
      <c r="E1905" s="116"/>
      <c r="F1905" s="116"/>
      <c r="G1905" s="162" t="str">
        <f t="shared" si="58"/>
        <v xml:space="preserve"> </v>
      </c>
      <c r="H1905" s="161" t="e">
        <f t="shared" si="59"/>
        <v>#VALUE!</v>
      </c>
    </row>
    <row r="1906" spans="1:8" x14ac:dyDescent="0.25">
      <c r="A1906" s="10"/>
      <c r="B1906" s="116"/>
      <c r="C1906" s="116"/>
      <c r="D1906" s="116"/>
      <c r="E1906" s="116"/>
      <c r="F1906" s="116"/>
      <c r="G1906" s="162" t="str">
        <f t="shared" si="58"/>
        <v xml:space="preserve"> </v>
      </c>
      <c r="H1906" s="161" t="e">
        <f t="shared" si="59"/>
        <v>#VALUE!</v>
      </c>
    </row>
    <row r="1907" spans="1:8" x14ac:dyDescent="0.25">
      <c r="A1907" s="10"/>
      <c r="B1907" s="116"/>
      <c r="C1907" s="116"/>
      <c r="D1907" s="116"/>
      <c r="E1907" s="116"/>
      <c r="F1907" s="116"/>
      <c r="G1907" s="162" t="str">
        <f t="shared" si="58"/>
        <v xml:space="preserve"> </v>
      </c>
      <c r="H1907" s="161" t="e">
        <f t="shared" si="59"/>
        <v>#VALUE!</v>
      </c>
    </row>
    <row r="1908" spans="1:8" x14ac:dyDescent="0.25">
      <c r="A1908" s="10"/>
      <c r="B1908" s="116"/>
      <c r="C1908" s="116"/>
      <c r="D1908" s="116"/>
      <c r="E1908" s="116"/>
      <c r="F1908" s="116"/>
      <c r="G1908" s="162" t="str">
        <f t="shared" si="58"/>
        <v xml:space="preserve"> </v>
      </c>
      <c r="H1908" s="161" t="e">
        <f t="shared" si="59"/>
        <v>#VALUE!</v>
      </c>
    </row>
    <row r="1909" spans="1:8" x14ac:dyDescent="0.25">
      <c r="A1909" s="10"/>
      <c r="B1909" s="116"/>
      <c r="C1909" s="116"/>
      <c r="D1909" s="116"/>
      <c r="E1909" s="116"/>
      <c r="F1909" s="116"/>
      <c r="G1909" s="162" t="str">
        <f t="shared" si="58"/>
        <v xml:space="preserve"> </v>
      </c>
      <c r="H1909" s="161" t="e">
        <f t="shared" si="59"/>
        <v>#VALUE!</v>
      </c>
    </row>
    <row r="1910" spans="1:8" x14ac:dyDescent="0.25">
      <c r="A1910" s="10"/>
      <c r="B1910" s="116"/>
      <c r="C1910" s="116"/>
      <c r="D1910" s="116"/>
      <c r="E1910" s="116"/>
      <c r="F1910" s="116"/>
      <c r="G1910" s="162" t="str">
        <f t="shared" si="58"/>
        <v xml:space="preserve"> </v>
      </c>
      <c r="H1910" s="161" t="e">
        <f t="shared" si="59"/>
        <v>#VALUE!</v>
      </c>
    </row>
    <row r="1911" spans="1:8" x14ac:dyDescent="0.25">
      <c r="A1911" s="10"/>
      <c r="B1911" s="116"/>
      <c r="C1911" s="116"/>
      <c r="D1911" s="116"/>
      <c r="E1911" s="116"/>
      <c r="F1911" s="116"/>
      <c r="G1911" s="162" t="str">
        <f t="shared" si="58"/>
        <v xml:space="preserve"> </v>
      </c>
      <c r="H1911" s="161" t="e">
        <f t="shared" si="59"/>
        <v>#VALUE!</v>
      </c>
    </row>
    <row r="1912" spans="1:8" x14ac:dyDescent="0.25">
      <c r="A1912" s="10"/>
      <c r="B1912" s="116"/>
      <c r="C1912" s="116"/>
      <c r="D1912" s="116"/>
      <c r="E1912" s="116"/>
      <c r="F1912" s="116"/>
      <c r="G1912" s="162" t="str">
        <f t="shared" si="58"/>
        <v xml:space="preserve"> </v>
      </c>
      <c r="H1912" s="161" t="e">
        <f t="shared" si="59"/>
        <v>#VALUE!</v>
      </c>
    </row>
    <row r="1913" spans="1:8" x14ac:dyDescent="0.25">
      <c r="A1913" s="10"/>
      <c r="B1913" s="116"/>
      <c r="C1913" s="116"/>
      <c r="D1913" s="116"/>
      <c r="E1913" s="116"/>
      <c r="F1913" s="116"/>
      <c r="G1913" s="162" t="str">
        <f t="shared" si="58"/>
        <v xml:space="preserve"> </v>
      </c>
      <c r="H1913" s="161" t="e">
        <f t="shared" si="59"/>
        <v>#VALUE!</v>
      </c>
    </row>
    <row r="1914" spans="1:8" x14ac:dyDescent="0.25">
      <c r="A1914" s="10"/>
      <c r="B1914" s="116"/>
      <c r="C1914" s="116"/>
      <c r="D1914" s="116"/>
      <c r="E1914" s="116"/>
      <c r="F1914" s="116"/>
      <c r="G1914" s="162" t="str">
        <f t="shared" si="58"/>
        <v xml:space="preserve"> </v>
      </c>
      <c r="H1914" s="161" t="e">
        <f t="shared" si="59"/>
        <v>#VALUE!</v>
      </c>
    </row>
    <row r="1915" spans="1:8" x14ac:dyDescent="0.25">
      <c r="A1915" s="10"/>
      <c r="B1915" s="116"/>
      <c r="C1915" s="116"/>
      <c r="D1915" s="116"/>
      <c r="E1915" s="116"/>
      <c r="F1915" s="116"/>
      <c r="G1915" s="162" t="str">
        <f t="shared" si="58"/>
        <v xml:space="preserve"> </v>
      </c>
      <c r="H1915" s="161" t="e">
        <f t="shared" si="59"/>
        <v>#VALUE!</v>
      </c>
    </row>
    <row r="1916" spans="1:8" x14ac:dyDescent="0.25">
      <c r="A1916" s="10"/>
      <c r="B1916" s="116"/>
      <c r="C1916" s="116"/>
      <c r="D1916" s="116"/>
      <c r="E1916" s="116"/>
      <c r="F1916" s="116"/>
      <c r="G1916" s="162" t="str">
        <f t="shared" si="58"/>
        <v xml:space="preserve"> </v>
      </c>
      <c r="H1916" s="161" t="e">
        <f t="shared" si="59"/>
        <v>#VALUE!</v>
      </c>
    </row>
    <row r="1917" spans="1:8" x14ac:dyDescent="0.25">
      <c r="A1917" s="10"/>
      <c r="B1917" s="116"/>
      <c r="C1917" s="116"/>
      <c r="D1917" s="116"/>
      <c r="E1917" s="116"/>
      <c r="F1917" s="116"/>
      <c r="G1917" s="162" t="str">
        <f t="shared" si="58"/>
        <v xml:space="preserve"> </v>
      </c>
      <c r="H1917" s="161" t="e">
        <f t="shared" si="59"/>
        <v>#VALUE!</v>
      </c>
    </row>
    <row r="1918" spans="1:8" x14ac:dyDescent="0.25">
      <c r="A1918" s="10"/>
      <c r="B1918" s="116"/>
      <c r="C1918" s="116"/>
      <c r="D1918" s="116"/>
      <c r="E1918" s="116"/>
      <c r="F1918" s="116"/>
      <c r="G1918" s="162" t="str">
        <f t="shared" si="58"/>
        <v xml:space="preserve"> </v>
      </c>
      <c r="H1918" s="161" t="e">
        <f t="shared" si="59"/>
        <v>#VALUE!</v>
      </c>
    </row>
    <row r="1919" spans="1:8" x14ac:dyDescent="0.25">
      <c r="A1919" s="10"/>
      <c r="B1919" s="116"/>
      <c r="C1919" s="116"/>
      <c r="D1919" s="116"/>
      <c r="E1919" s="116"/>
      <c r="F1919" s="116"/>
      <c r="G1919" s="162" t="str">
        <f t="shared" si="58"/>
        <v xml:space="preserve"> </v>
      </c>
      <c r="H1919" s="161" t="e">
        <f t="shared" si="59"/>
        <v>#VALUE!</v>
      </c>
    </row>
    <row r="1920" spans="1:8" x14ac:dyDescent="0.25">
      <c r="A1920" s="10"/>
      <c r="B1920" s="116"/>
      <c r="C1920" s="116"/>
      <c r="D1920" s="116"/>
      <c r="E1920" s="116"/>
      <c r="F1920" s="116"/>
      <c r="G1920" s="162" t="str">
        <f t="shared" si="58"/>
        <v xml:space="preserve"> </v>
      </c>
      <c r="H1920" s="161" t="e">
        <f t="shared" si="59"/>
        <v>#VALUE!</v>
      </c>
    </row>
    <row r="1921" spans="1:8" x14ac:dyDescent="0.25">
      <c r="A1921" s="10"/>
      <c r="B1921" s="116"/>
      <c r="C1921" s="116"/>
      <c r="D1921" s="116"/>
      <c r="E1921" s="116"/>
      <c r="F1921" s="116"/>
      <c r="G1921" s="162" t="str">
        <f t="shared" si="58"/>
        <v xml:space="preserve"> </v>
      </c>
      <c r="H1921" s="161" t="e">
        <f t="shared" si="59"/>
        <v>#VALUE!</v>
      </c>
    </row>
    <row r="1922" spans="1:8" x14ac:dyDescent="0.25">
      <c r="A1922" s="10"/>
      <c r="B1922" s="116"/>
      <c r="C1922" s="116"/>
      <c r="D1922" s="116"/>
      <c r="E1922" s="116"/>
      <c r="F1922" s="116"/>
      <c r="G1922" s="162" t="str">
        <f t="shared" si="58"/>
        <v xml:space="preserve"> </v>
      </c>
      <c r="H1922" s="161" t="e">
        <f t="shared" si="59"/>
        <v>#VALUE!</v>
      </c>
    </row>
    <row r="1923" spans="1:8" x14ac:dyDescent="0.25">
      <c r="A1923" s="10"/>
      <c r="B1923" s="116"/>
      <c r="C1923" s="116"/>
      <c r="D1923" s="116"/>
      <c r="E1923" s="116"/>
      <c r="F1923" s="116"/>
      <c r="G1923" s="162" t="str">
        <f t="shared" ref="G1923:G1986" si="60">IF(LEFT(A1923,3)="S7P","Pintura",IF(LEFT(A1923,3)="S7M","Montagem",
IF(LEFT(A1923,3)="S7S","Serigrafia"," ")))</f>
        <v xml:space="preserve"> </v>
      </c>
      <c r="H1923" s="161" t="e">
        <f t="shared" ref="H1923:H1986" si="61">VALUE(LEFT(F1923,2))&amp;"h"</f>
        <v>#VALUE!</v>
      </c>
    </row>
    <row r="1924" spans="1:8" x14ac:dyDescent="0.25">
      <c r="A1924" s="10"/>
      <c r="B1924" s="116"/>
      <c r="C1924" s="116"/>
      <c r="D1924" s="116"/>
      <c r="E1924" s="116"/>
      <c r="F1924" s="116"/>
      <c r="G1924" s="162" t="str">
        <f t="shared" si="60"/>
        <v xml:space="preserve"> </v>
      </c>
      <c r="H1924" s="161" t="e">
        <f t="shared" si="61"/>
        <v>#VALUE!</v>
      </c>
    </row>
    <row r="1925" spans="1:8" x14ac:dyDescent="0.25">
      <c r="A1925" s="10"/>
      <c r="B1925" s="116"/>
      <c r="C1925" s="116"/>
      <c r="D1925" s="116"/>
      <c r="E1925" s="116"/>
      <c r="F1925" s="116"/>
      <c r="G1925" s="162" t="str">
        <f t="shared" si="60"/>
        <v xml:space="preserve"> </v>
      </c>
      <c r="H1925" s="161" t="e">
        <f t="shared" si="61"/>
        <v>#VALUE!</v>
      </c>
    </row>
    <row r="1926" spans="1:8" x14ac:dyDescent="0.25">
      <c r="A1926" s="10"/>
      <c r="B1926" s="116"/>
      <c r="C1926" s="116"/>
      <c r="D1926" s="116"/>
      <c r="E1926" s="116"/>
      <c r="F1926" s="116"/>
      <c r="G1926" s="162" t="str">
        <f t="shared" si="60"/>
        <v xml:space="preserve"> </v>
      </c>
      <c r="H1926" s="161" t="e">
        <f t="shared" si="61"/>
        <v>#VALUE!</v>
      </c>
    </row>
    <row r="1927" spans="1:8" x14ac:dyDescent="0.25">
      <c r="A1927" s="10"/>
      <c r="B1927" s="116"/>
      <c r="C1927" s="116"/>
      <c r="D1927" s="116"/>
      <c r="E1927" s="116"/>
      <c r="F1927" s="116"/>
      <c r="G1927" s="162" t="str">
        <f t="shared" si="60"/>
        <v xml:space="preserve"> </v>
      </c>
      <c r="H1927" s="161" t="e">
        <f t="shared" si="61"/>
        <v>#VALUE!</v>
      </c>
    </row>
    <row r="1928" spans="1:8" x14ac:dyDescent="0.25">
      <c r="A1928" s="10"/>
      <c r="B1928" s="116"/>
      <c r="C1928" s="116"/>
      <c r="D1928" s="116"/>
      <c r="E1928" s="116"/>
      <c r="F1928" s="116"/>
      <c r="G1928" s="162" t="str">
        <f t="shared" si="60"/>
        <v xml:space="preserve"> </v>
      </c>
      <c r="H1928" s="161" t="e">
        <f t="shared" si="61"/>
        <v>#VALUE!</v>
      </c>
    </row>
    <row r="1929" spans="1:8" x14ac:dyDescent="0.25">
      <c r="A1929" s="10"/>
      <c r="B1929" s="116"/>
      <c r="C1929" s="116"/>
      <c r="D1929" s="116"/>
      <c r="E1929" s="116"/>
      <c r="F1929" s="116"/>
      <c r="G1929" s="162" t="str">
        <f t="shared" si="60"/>
        <v xml:space="preserve"> </v>
      </c>
      <c r="H1929" s="161" t="e">
        <f t="shared" si="61"/>
        <v>#VALUE!</v>
      </c>
    </row>
    <row r="1930" spans="1:8" x14ac:dyDescent="0.25">
      <c r="A1930" s="10"/>
      <c r="B1930" s="116"/>
      <c r="C1930" s="116"/>
      <c r="D1930" s="116"/>
      <c r="E1930" s="116"/>
      <c r="F1930" s="116"/>
      <c r="G1930" s="162" t="str">
        <f t="shared" si="60"/>
        <v xml:space="preserve"> </v>
      </c>
      <c r="H1930" s="161" t="e">
        <f t="shared" si="61"/>
        <v>#VALUE!</v>
      </c>
    </row>
    <row r="1931" spans="1:8" x14ac:dyDescent="0.25">
      <c r="A1931" s="10"/>
      <c r="B1931" s="116"/>
      <c r="C1931" s="116"/>
      <c r="D1931" s="116"/>
      <c r="E1931" s="116"/>
      <c r="F1931" s="116"/>
      <c r="G1931" s="162" t="str">
        <f t="shared" si="60"/>
        <v xml:space="preserve"> </v>
      </c>
      <c r="H1931" s="161" t="e">
        <f t="shared" si="61"/>
        <v>#VALUE!</v>
      </c>
    </row>
    <row r="1932" spans="1:8" x14ac:dyDescent="0.25">
      <c r="A1932" s="10"/>
      <c r="B1932" s="116"/>
      <c r="C1932" s="116"/>
      <c r="D1932" s="116"/>
      <c r="E1932" s="116"/>
      <c r="F1932" s="116"/>
      <c r="G1932" s="162" t="str">
        <f t="shared" si="60"/>
        <v xml:space="preserve"> </v>
      </c>
      <c r="H1932" s="161" t="e">
        <f t="shared" si="61"/>
        <v>#VALUE!</v>
      </c>
    </row>
    <row r="1933" spans="1:8" x14ac:dyDescent="0.25">
      <c r="A1933" s="10"/>
      <c r="B1933" s="116"/>
      <c r="C1933" s="116"/>
      <c r="D1933" s="116"/>
      <c r="E1933" s="116"/>
      <c r="F1933" s="116"/>
      <c r="G1933" s="162" t="str">
        <f t="shared" si="60"/>
        <v xml:space="preserve"> </v>
      </c>
      <c r="H1933" s="161" t="e">
        <f t="shared" si="61"/>
        <v>#VALUE!</v>
      </c>
    </row>
    <row r="1934" spans="1:8" x14ac:dyDescent="0.25">
      <c r="A1934" s="10"/>
      <c r="B1934" s="116"/>
      <c r="C1934" s="116"/>
      <c r="D1934" s="116"/>
      <c r="E1934" s="116"/>
      <c r="F1934" s="116"/>
      <c r="G1934" s="162" t="str">
        <f t="shared" si="60"/>
        <v xml:space="preserve"> </v>
      </c>
      <c r="H1934" s="161" t="e">
        <f t="shared" si="61"/>
        <v>#VALUE!</v>
      </c>
    </row>
    <row r="1935" spans="1:8" x14ac:dyDescent="0.25">
      <c r="A1935" s="10"/>
      <c r="B1935" s="116"/>
      <c r="C1935" s="116"/>
      <c r="D1935" s="116"/>
      <c r="E1935" s="116"/>
      <c r="F1935" s="116"/>
      <c r="G1935" s="162" t="str">
        <f t="shared" si="60"/>
        <v xml:space="preserve"> </v>
      </c>
      <c r="H1935" s="161" t="e">
        <f t="shared" si="61"/>
        <v>#VALUE!</v>
      </c>
    </row>
    <row r="1936" spans="1:8" x14ac:dyDescent="0.25">
      <c r="A1936" s="10"/>
      <c r="B1936" s="116"/>
      <c r="C1936" s="116"/>
      <c r="D1936" s="116"/>
      <c r="E1936" s="116"/>
      <c r="F1936" s="116"/>
      <c r="G1936" s="162" t="str">
        <f t="shared" si="60"/>
        <v xml:space="preserve"> </v>
      </c>
      <c r="H1936" s="161" t="e">
        <f t="shared" si="61"/>
        <v>#VALUE!</v>
      </c>
    </row>
    <row r="1937" spans="1:8" x14ac:dyDescent="0.25">
      <c r="A1937" s="10"/>
      <c r="B1937" s="116"/>
      <c r="C1937" s="116"/>
      <c r="D1937" s="116"/>
      <c r="E1937" s="116"/>
      <c r="F1937" s="116"/>
      <c r="G1937" s="162" t="str">
        <f t="shared" si="60"/>
        <v xml:space="preserve"> </v>
      </c>
      <c r="H1937" s="161" t="e">
        <f t="shared" si="61"/>
        <v>#VALUE!</v>
      </c>
    </row>
    <row r="1938" spans="1:8" x14ac:dyDescent="0.25">
      <c r="A1938" s="10"/>
      <c r="B1938" s="116"/>
      <c r="C1938" s="116"/>
      <c r="D1938" s="116"/>
      <c r="E1938" s="116"/>
      <c r="F1938" s="116"/>
      <c r="G1938" s="162" t="str">
        <f t="shared" si="60"/>
        <v xml:space="preserve"> </v>
      </c>
      <c r="H1938" s="161" t="e">
        <f t="shared" si="61"/>
        <v>#VALUE!</v>
      </c>
    </row>
    <row r="1939" spans="1:8" x14ac:dyDescent="0.25">
      <c r="A1939" s="10"/>
      <c r="B1939" s="116"/>
      <c r="C1939" s="116"/>
      <c r="D1939" s="116"/>
      <c r="E1939" s="116"/>
      <c r="F1939" s="116"/>
      <c r="G1939" s="162" t="str">
        <f t="shared" si="60"/>
        <v xml:space="preserve"> </v>
      </c>
      <c r="H1939" s="161" t="e">
        <f t="shared" si="61"/>
        <v>#VALUE!</v>
      </c>
    </row>
    <row r="1940" spans="1:8" x14ac:dyDescent="0.25">
      <c r="A1940" s="10"/>
      <c r="B1940" s="116"/>
      <c r="C1940" s="116"/>
      <c r="D1940" s="116"/>
      <c r="E1940" s="116"/>
      <c r="F1940" s="116"/>
      <c r="G1940" s="162" t="str">
        <f t="shared" si="60"/>
        <v xml:space="preserve"> </v>
      </c>
      <c r="H1940" s="161" t="e">
        <f t="shared" si="61"/>
        <v>#VALUE!</v>
      </c>
    </row>
    <row r="1941" spans="1:8" x14ac:dyDescent="0.25">
      <c r="A1941" s="10"/>
      <c r="B1941" s="116"/>
      <c r="C1941" s="116"/>
      <c r="D1941" s="116"/>
      <c r="E1941" s="116"/>
      <c r="F1941" s="116"/>
      <c r="G1941" s="162" t="str">
        <f t="shared" si="60"/>
        <v xml:space="preserve"> </v>
      </c>
      <c r="H1941" s="161" t="e">
        <f t="shared" si="61"/>
        <v>#VALUE!</v>
      </c>
    </row>
    <row r="1942" spans="1:8" x14ac:dyDescent="0.25">
      <c r="A1942" s="10"/>
      <c r="B1942" s="116"/>
      <c r="C1942" s="116"/>
      <c r="D1942" s="116"/>
      <c r="E1942" s="116"/>
      <c r="F1942" s="116"/>
      <c r="G1942" s="162" t="str">
        <f t="shared" si="60"/>
        <v xml:space="preserve"> </v>
      </c>
      <c r="H1942" s="161" t="e">
        <f t="shared" si="61"/>
        <v>#VALUE!</v>
      </c>
    </row>
    <row r="1943" spans="1:8" x14ac:dyDescent="0.25">
      <c r="A1943" s="10"/>
      <c r="B1943" s="116"/>
      <c r="C1943" s="116"/>
      <c r="D1943" s="116"/>
      <c r="E1943" s="116"/>
      <c r="F1943" s="116"/>
      <c r="G1943" s="162" t="str">
        <f t="shared" si="60"/>
        <v xml:space="preserve"> </v>
      </c>
      <c r="H1943" s="161" t="e">
        <f t="shared" si="61"/>
        <v>#VALUE!</v>
      </c>
    </row>
    <row r="1944" spans="1:8" x14ac:dyDescent="0.25">
      <c r="A1944" s="10"/>
      <c r="B1944" s="116"/>
      <c r="C1944" s="116"/>
      <c r="D1944" s="116"/>
      <c r="E1944" s="116"/>
      <c r="F1944" s="116"/>
      <c r="G1944" s="162" t="str">
        <f t="shared" si="60"/>
        <v xml:space="preserve"> </v>
      </c>
      <c r="H1944" s="161" t="e">
        <f t="shared" si="61"/>
        <v>#VALUE!</v>
      </c>
    </row>
    <row r="1945" spans="1:8" x14ac:dyDescent="0.25">
      <c r="A1945" s="10"/>
      <c r="B1945" s="116"/>
      <c r="C1945" s="116"/>
      <c r="D1945" s="116"/>
      <c r="E1945" s="116"/>
      <c r="F1945" s="116"/>
      <c r="G1945" s="162" t="str">
        <f t="shared" si="60"/>
        <v xml:space="preserve"> </v>
      </c>
      <c r="H1945" s="161" t="e">
        <f t="shared" si="61"/>
        <v>#VALUE!</v>
      </c>
    </row>
    <row r="1946" spans="1:8" x14ac:dyDescent="0.25">
      <c r="A1946" s="10"/>
      <c r="B1946" s="116"/>
      <c r="C1946" s="116"/>
      <c r="D1946" s="116"/>
      <c r="E1946" s="116"/>
      <c r="F1946" s="116"/>
      <c r="G1946" s="162" t="str">
        <f t="shared" si="60"/>
        <v xml:space="preserve"> </v>
      </c>
      <c r="H1946" s="161" t="e">
        <f t="shared" si="61"/>
        <v>#VALUE!</v>
      </c>
    </row>
    <row r="1947" spans="1:8" x14ac:dyDescent="0.25">
      <c r="A1947" s="10"/>
      <c r="B1947" s="116"/>
      <c r="C1947" s="116"/>
      <c r="D1947" s="116"/>
      <c r="E1947" s="116"/>
      <c r="F1947" s="116"/>
      <c r="G1947" s="162" t="str">
        <f t="shared" si="60"/>
        <v xml:space="preserve"> </v>
      </c>
      <c r="H1947" s="161" t="e">
        <f t="shared" si="61"/>
        <v>#VALUE!</v>
      </c>
    </row>
    <row r="1948" spans="1:8" x14ac:dyDescent="0.25">
      <c r="A1948" s="10"/>
      <c r="B1948" s="116"/>
      <c r="C1948" s="116"/>
      <c r="D1948" s="116"/>
      <c r="E1948" s="116"/>
      <c r="F1948" s="116"/>
      <c r="G1948" s="162" t="str">
        <f t="shared" si="60"/>
        <v xml:space="preserve"> </v>
      </c>
      <c r="H1948" s="161" t="e">
        <f t="shared" si="61"/>
        <v>#VALUE!</v>
      </c>
    </row>
    <row r="1949" spans="1:8" x14ac:dyDescent="0.25">
      <c r="A1949" s="10"/>
      <c r="B1949" s="116"/>
      <c r="C1949" s="116"/>
      <c r="D1949" s="116"/>
      <c r="E1949" s="116"/>
      <c r="F1949" s="116"/>
      <c r="G1949" s="162" t="str">
        <f t="shared" si="60"/>
        <v xml:space="preserve"> </v>
      </c>
      <c r="H1949" s="161" t="e">
        <f t="shared" si="61"/>
        <v>#VALUE!</v>
      </c>
    </row>
    <row r="1950" spans="1:8" x14ac:dyDescent="0.25">
      <c r="A1950" s="10"/>
      <c r="B1950" s="116"/>
      <c r="C1950" s="116"/>
      <c r="D1950" s="116"/>
      <c r="E1950" s="116"/>
      <c r="F1950" s="116"/>
      <c r="G1950" s="162" t="str">
        <f t="shared" si="60"/>
        <v xml:space="preserve"> </v>
      </c>
      <c r="H1950" s="161" t="e">
        <f t="shared" si="61"/>
        <v>#VALUE!</v>
      </c>
    </row>
    <row r="1951" spans="1:8" x14ac:dyDescent="0.25">
      <c r="A1951" s="10"/>
      <c r="B1951" s="116"/>
      <c r="C1951" s="116"/>
      <c r="D1951" s="116"/>
      <c r="E1951" s="116"/>
      <c r="F1951" s="116"/>
      <c r="G1951" s="162" t="str">
        <f t="shared" si="60"/>
        <v xml:space="preserve"> </v>
      </c>
      <c r="H1951" s="161" t="e">
        <f t="shared" si="61"/>
        <v>#VALUE!</v>
      </c>
    </row>
    <row r="1952" spans="1:8" x14ac:dyDescent="0.25">
      <c r="A1952" s="10"/>
      <c r="B1952" s="116"/>
      <c r="C1952" s="116"/>
      <c r="D1952" s="116"/>
      <c r="E1952" s="116"/>
      <c r="F1952" s="116"/>
      <c r="G1952" s="162" t="str">
        <f t="shared" si="60"/>
        <v xml:space="preserve"> </v>
      </c>
      <c r="H1952" s="161" t="e">
        <f t="shared" si="61"/>
        <v>#VALUE!</v>
      </c>
    </row>
    <row r="1953" spans="1:8" x14ac:dyDescent="0.25">
      <c r="A1953" s="10"/>
      <c r="B1953" s="116"/>
      <c r="C1953" s="116"/>
      <c r="D1953" s="116"/>
      <c r="E1953" s="116"/>
      <c r="F1953" s="116"/>
      <c r="G1953" s="162" t="str">
        <f t="shared" si="60"/>
        <v xml:space="preserve"> </v>
      </c>
      <c r="H1953" s="161" t="e">
        <f t="shared" si="61"/>
        <v>#VALUE!</v>
      </c>
    </row>
    <row r="1954" spans="1:8" x14ac:dyDescent="0.25">
      <c r="A1954" s="10"/>
      <c r="B1954" s="116"/>
      <c r="C1954" s="116"/>
      <c r="D1954" s="116"/>
      <c r="E1954" s="116"/>
      <c r="F1954" s="116"/>
      <c r="G1954" s="162" t="str">
        <f t="shared" si="60"/>
        <v xml:space="preserve"> </v>
      </c>
      <c r="H1954" s="161" t="e">
        <f t="shared" si="61"/>
        <v>#VALUE!</v>
      </c>
    </row>
    <row r="1955" spans="1:8" x14ac:dyDescent="0.25">
      <c r="A1955" s="10"/>
      <c r="B1955" s="116"/>
      <c r="C1955" s="116"/>
      <c r="D1955" s="116"/>
      <c r="E1955" s="116"/>
      <c r="F1955" s="116"/>
      <c r="G1955" s="162" t="str">
        <f t="shared" si="60"/>
        <v xml:space="preserve"> </v>
      </c>
      <c r="H1955" s="161" t="e">
        <f t="shared" si="61"/>
        <v>#VALUE!</v>
      </c>
    </row>
    <row r="1956" spans="1:8" x14ac:dyDescent="0.25">
      <c r="A1956" s="10"/>
      <c r="B1956" s="116"/>
      <c r="C1956" s="116"/>
      <c r="D1956" s="116"/>
      <c r="E1956" s="116"/>
      <c r="F1956" s="116"/>
      <c r="G1956" s="162" t="str">
        <f t="shared" si="60"/>
        <v xml:space="preserve"> </v>
      </c>
      <c r="H1956" s="161" t="e">
        <f t="shared" si="61"/>
        <v>#VALUE!</v>
      </c>
    </row>
    <row r="1957" spans="1:8" x14ac:dyDescent="0.25">
      <c r="A1957" s="10"/>
      <c r="B1957" s="116"/>
      <c r="C1957" s="116"/>
      <c r="D1957" s="116"/>
      <c r="E1957" s="116"/>
      <c r="F1957" s="116"/>
      <c r="G1957" s="162" t="str">
        <f t="shared" si="60"/>
        <v xml:space="preserve"> </v>
      </c>
      <c r="H1957" s="161" t="e">
        <f t="shared" si="61"/>
        <v>#VALUE!</v>
      </c>
    </row>
    <row r="1958" spans="1:8" x14ac:dyDescent="0.25">
      <c r="A1958" s="10"/>
      <c r="B1958" s="116"/>
      <c r="C1958" s="116"/>
      <c r="D1958" s="116"/>
      <c r="E1958" s="116"/>
      <c r="F1958" s="116"/>
      <c r="G1958" s="162" t="str">
        <f t="shared" si="60"/>
        <v xml:space="preserve"> </v>
      </c>
      <c r="H1958" s="161" t="e">
        <f t="shared" si="61"/>
        <v>#VALUE!</v>
      </c>
    </row>
    <row r="1959" spans="1:8" x14ac:dyDescent="0.25">
      <c r="A1959" s="10"/>
      <c r="B1959" s="116"/>
      <c r="C1959" s="116"/>
      <c r="D1959" s="116"/>
      <c r="E1959" s="116"/>
      <c r="F1959" s="116"/>
      <c r="G1959" s="162" t="str">
        <f t="shared" si="60"/>
        <v xml:space="preserve"> </v>
      </c>
      <c r="H1959" s="161" t="e">
        <f t="shared" si="61"/>
        <v>#VALUE!</v>
      </c>
    </row>
    <row r="1960" spans="1:8" x14ac:dyDescent="0.25">
      <c r="A1960" s="10"/>
      <c r="B1960" s="116"/>
      <c r="C1960" s="116"/>
      <c r="D1960" s="116"/>
      <c r="E1960" s="116"/>
      <c r="F1960" s="116"/>
      <c r="G1960" s="162" t="str">
        <f t="shared" si="60"/>
        <v xml:space="preserve"> </v>
      </c>
      <c r="H1960" s="161" t="e">
        <f t="shared" si="61"/>
        <v>#VALUE!</v>
      </c>
    </row>
    <row r="1961" spans="1:8" x14ac:dyDescent="0.25">
      <c r="A1961" s="10"/>
      <c r="B1961" s="116"/>
      <c r="C1961" s="116"/>
      <c r="D1961" s="116"/>
      <c r="E1961" s="116"/>
      <c r="F1961" s="116"/>
      <c r="G1961" s="162" t="str">
        <f t="shared" si="60"/>
        <v xml:space="preserve"> </v>
      </c>
      <c r="H1961" s="161" t="e">
        <f t="shared" si="61"/>
        <v>#VALUE!</v>
      </c>
    </row>
    <row r="1962" spans="1:8" x14ac:dyDescent="0.25">
      <c r="A1962" s="10"/>
      <c r="B1962" s="116"/>
      <c r="C1962" s="116"/>
      <c r="D1962" s="116"/>
      <c r="E1962" s="116"/>
      <c r="F1962" s="116"/>
      <c r="G1962" s="162" t="str">
        <f t="shared" si="60"/>
        <v xml:space="preserve"> </v>
      </c>
      <c r="H1962" s="161" t="e">
        <f t="shared" si="61"/>
        <v>#VALUE!</v>
      </c>
    </row>
    <row r="1963" spans="1:8" x14ac:dyDescent="0.25">
      <c r="A1963" s="10"/>
      <c r="B1963" s="116"/>
      <c r="C1963" s="116"/>
      <c r="D1963" s="116"/>
      <c r="E1963" s="116"/>
      <c r="F1963" s="116"/>
      <c r="G1963" s="162" t="str">
        <f t="shared" si="60"/>
        <v xml:space="preserve"> </v>
      </c>
      <c r="H1963" s="161" t="e">
        <f t="shared" si="61"/>
        <v>#VALUE!</v>
      </c>
    </row>
    <row r="1964" spans="1:8" x14ac:dyDescent="0.25">
      <c r="A1964" s="10"/>
      <c r="B1964" s="116"/>
      <c r="C1964" s="116"/>
      <c r="D1964" s="116"/>
      <c r="E1964" s="116"/>
      <c r="F1964" s="116"/>
      <c r="G1964" s="162" t="str">
        <f t="shared" si="60"/>
        <v xml:space="preserve"> </v>
      </c>
      <c r="H1964" s="161" t="e">
        <f t="shared" si="61"/>
        <v>#VALUE!</v>
      </c>
    </row>
    <row r="1965" spans="1:8" x14ac:dyDescent="0.25">
      <c r="A1965" s="10"/>
      <c r="B1965" s="116"/>
      <c r="C1965" s="116"/>
      <c r="D1965" s="116"/>
      <c r="E1965" s="116"/>
      <c r="F1965" s="116"/>
      <c r="G1965" s="162" t="str">
        <f t="shared" si="60"/>
        <v xml:space="preserve"> </v>
      </c>
      <c r="H1965" s="161" t="e">
        <f t="shared" si="61"/>
        <v>#VALUE!</v>
      </c>
    </row>
    <row r="1966" spans="1:8" x14ac:dyDescent="0.25">
      <c r="A1966" s="10"/>
      <c r="B1966" s="116"/>
      <c r="C1966" s="116"/>
      <c r="D1966" s="116"/>
      <c r="E1966" s="116"/>
      <c r="F1966" s="116"/>
      <c r="G1966" s="162" t="str">
        <f t="shared" si="60"/>
        <v xml:space="preserve"> </v>
      </c>
      <c r="H1966" s="161" t="e">
        <f t="shared" si="61"/>
        <v>#VALUE!</v>
      </c>
    </row>
    <row r="1967" spans="1:8" x14ac:dyDescent="0.25">
      <c r="A1967" s="10"/>
      <c r="B1967" s="116"/>
      <c r="C1967" s="116"/>
      <c r="D1967" s="116"/>
      <c r="E1967" s="116"/>
      <c r="F1967" s="116"/>
      <c r="G1967" s="162" t="str">
        <f t="shared" si="60"/>
        <v xml:space="preserve"> </v>
      </c>
      <c r="H1967" s="161" t="e">
        <f t="shared" si="61"/>
        <v>#VALUE!</v>
      </c>
    </row>
    <row r="1968" spans="1:8" x14ac:dyDescent="0.25">
      <c r="A1968" s="10"/>
      <c r="B1968" s="116"/>
      <c r="C1968" s="116"/>
      <c r="D1968" s="116"/>
      <c r="E1968" s="116"/>
      <c r="F1968" s="116"/>
      <c r="G1968" s="162" t="str">
        <f t="shared" si="60"/>
        <v xml:space="preserve"> </v>
      </c>
      <c r="H1968" s="161" t="e">
        <f t="shared" si="61"/>
        <v>#VALUE!</v>
      </c>
    </row>
    <row r="1969" spans="1:8" x14ac:dyDescent="0.25">
      <c r="A1969" s="10"/>
      <c r="B1969" s="116"/>
      <c r="C1969" s="116"/>
      <c r="D1969" s="116"/>
      <c r="E1969" s="116"/>
      <c r="F1969" s="116"/>
      <c r="G1969" s="162" t="str">
        <f t="shared" si="60"/>
        <v xml:space="preserve"> </v>
      </c>
      <c r="H1969" s="161" t="e">
        <f t="shared" si="61"/>
        <v>#VALUE!</v>
      </c>
    </row>
    <row r="1970" spans="1:8" x14ac:dyDescent="0.25">
      <c r="A1970" s="10"/>
      <c r="B1970" s="116"/>
      <c r="C1970" s="116"/>
      <c r="D1970" s="116"/>
      <c r="E1970" s="116"/>
      <c r="F1970" s="116"/>
      <c r="G1970" s="162" t="str">
        <f t="shared" si="60"/>
        <v xml:space="preserve"> </v>
      </c>
      <c r="H1970" s="161" t="e">
        <f t="shared" si="61"/>
        <v>#VALUE!</v>
      </c>
    </row>
    <row r="1971" spans="1:8" x14ac:dyDescent="0.25">
      <c r="A1971" s="10"/>
      <c r="B1971" s="116"/>
      <c r="C1971" s="116"/>
      <c r="D1971" s="116"/>
      <c r="E1971" s="116"/>
      <c r="F1971" s="116"/>
      <c r="G1971" s="162" t="str">
        <f t="shared" si="60"/>
        <v xml:space="preserve"> </v>
      </c>
      <c r="H1971" s="161" t="e">
        <f t="shared" si="61"/>
        <v>#VALUE!</v>
      </c>
    </row>
    <row r="1972" spans="1:8" x14ac:dyDescent="0.25">
      <c r="A1972" s="10"/>
      <c r="B1972" s="116"/>
      <c r="C1972" s="116"/>
      <c r="D1972" s="116"/>
      <c r="E1972" s="116"/>
      <c r="F1972" s="116"/>
      <c r="G1972" s="162" t="str">
        <f t="shared" si="60"/>
        <v xml:space="preserve"> </v>
      </c>
      <c r="H1972" s="161" t="e">
        <f t="shared" si="61"/>
        <v>#VALUE!</v>
      </c>
    </row>
    <row r="1973" spans="1:8" x14ac:dyDescent="0.25">
      <c r="A1973" s="10"/>
      <c r="B1973" s="116"/>
      <c r="C1973" s="116"/>
      <c r="D1973" s="116"/>
      <c r="E1973" s="116"/>
      <c r="F1973" s="116"/>
      <c r="G1973" s="162" t="str">
        <f t="shared" si="60"/>
        <v xml:space="preserve"> </v>
      </c>
      <c r="H1973" s="161" t="e">
        <f t="shared" si="61"/>
        <v>#VALUE!</v>
      </c>
    </row>
    <row r="1974" spans="1:8" x14ac:dyDescent="0.25">
      <c r="A1974" s="10"/>
      <c r="B1974" s="116"/>
      <c r="C1974" s="116"/>
      <c r="D1974" s="116"/>
      <c r="E1974" s="116"/>
      <c r="F1974" s="116"/>
      <c r="G1974" s="162" t="str">
        <f t="shared" si="60"/>
        <v xml:space="preserve"> </v>
      </c>
      <c r="H1974" s="161" t="e">
        <f t="shared" si="61"/>
        <v>#VALUE!</v>
      </c>
    </row>
    <row r="1975" spans="1:8" x14ac:dyDescent="0.25">
      <c r="A1975" s="10"/>
      <c r="B1975" s="116"/>
      <c r="C1975" s="116"/>
      <c r="D1975" s="116"/>
      <c r="E1975" s="116"/>
      <c r="F1975" s="116"/>
      <c r="G1975" s="162" t="str">
        <f t="shared" si="60"/>
        <v xml:space="preserve"> </v>
      </c>
      <c r="H1975" s="161" t="e">
        <f t="shared" si="61"/>
        <v>#VALUE!</v>
      </c>
    </row>
    <row r="1976" spans="1:8" x14ac:dyDescent="0.25">
      <c r="A1976" s="10"/>
      <c r="B1976" s="116"/>
      <c r="C1976" s="116"/>
      <c r="D1976" s="116"/>
      <c r="E1976" s="116"/>
      <c r="F1976" s="116"/>
      <c r="G1976" s="162" t="str">
        <f t="shared" si="60"/>
        <v xml:space="preserve"> </v>
      </c>
      <c r="H1976" s="161" t="e">
        <f t="shared" si="61"/>
        <v>#VALUE!</v>
      </c>
    </row>
    <row r="1977" spans="1:8" x14ac:dyDescent="0.25">
      <c r="A1977" s="10"/>
      <c r="B1977" s="116"/>
      <c r="C1977" s="116"/>
      <c r="D1977" s="116"/>
      <c r="E1977" s="116"/>
      <c r="F1977" s="116"/>
      <c r="G1977" s="162" t="str">
        <f t="shared" si="60"/>
        <v xml:space="preserve"> </v>
      </c>
      <c r="H1977" s="161" t="e">
        <f t="shared" si="61"/>
        <v>#VALUE!</v>
      </c>
    </row>
    <row r="1978" spans="1:8" x14ac:dyDescent="0.25">
      <c r="A1978" s="10"/>
      <c r="B1978" s="116"/>
      <c r="C1978" s="116"/>
      <c r="D1978" s="116"/>
      <c r="E1978" s="116"/>
      <c r="F1978" s="116"/>
      <c r="G1978" s="162" t="str">
        <f t="shared" si="60"/>
        <v xml:space="preserve"> </v>
      </c>
      <c r="H1978" s="161" t="e">
        <f t="shared" si="61"/>
        <v>#VALUE!</v>
      </c>
    </row>
    <row r="1979" spans="1:8" x14ac:dyDescent="0.25">
      <c r="A1979" s="10"/>
      <c r="B1979" s="116"/>
      <c r="C1979" s="116"/>
      <c r="D1979" s="116"/>
      <c r="E1979" s="116"/>
      <c r="F1979" s="116"/>
      <c r="G1979" s="162" t="str">
        <f t="shared" si="60"/>
        <v xml:space="preserve"> </v>
      </c>
      <c r="H1979" s="161" t="e">
        <f t="shared" si="61"/>
        <v>#VALUE!</v>
      </c>
    </row>
    <row r="1980" spans="1:8" x14ac:dyDescent="0.25">
      <c r="A1980" s="10"/>
      <c r="B1980" s="116"/>
      <c r="C1980" s="116"/>
      <c r="D1980" s="116"/>
      <c r="E1980" s="116"/>
      <c r="F1980" s="116"/>
      <c r="G1980" s="162" t="str">
        <f t="shared" si="60"/>
        <v xml:space="preserve"> </v>
      </c>
      <c r="H1980" s="161" t="e">
        <f t="shared" si="61"/>
        <v>#VALUE!</v>
      </c>
    </row>
    <row r="1981" spans="1:8" x14ac:dyDescent="0.25">
      <c r="A1981" s="10"/>
      <c r="B1981" s="116"/>
      <c r="C1981" s="116"/>
      <c r="D1981" s="116"/>
      <c r="E1981" s="116"/>
      <c r="F1981" s="116"/>
      <c r="G1981" s="162" t="str">
        <f t="shared" si="60"/>
        <v xml:space="preserve"> </v>
      </c>
      <c r="H1981" s="161" t="e">
        <f t="shared" si="61"/>
        <v>#VALUE!</v>
      </c>
    </row>
    <row r="1982" spans="1:8" x14ac:dyDescent="0.25">
      <c r="A1982" s="10"/>
      <c r="B1982" s="116"/>
      <c r="C1982" s="116"/>
      <c r="D1982" s="116"/>
      <c r="E1982" s="116"/>
      <c r="F1982" s="116"/>
      <c r="G1982" s="162" t="str">
        <f t="shared" si="60"/>
        <v xml:space="preserve"> </v>
      </c>
      <c r="H1982" s="161" t="e">
        <f t="shared" si="61"/>
        <v>#VALUE!</v>
      </c>
    </row>
    <row r="1983" spans="1:8" x14ac:dyDescent="0.25">
      <c r="A1983" s="10"/>
      <c r="B1983" s="116"/>
      <c r="C1983" s="116"/>
      <c r="D1983" s="116"/>
      <c r="E1983" s="116"/>
      <c r="F1983" s="116"/>
      <c r="G1983" s="162" t="str">
        <f t="shared" si="60"/>
        <v xml:space="preserve"> </v>
      </c>
      <c r="H1983" s="161" t="e">
        <f t="shared" si="61"/>
        <v>#VALUE!</v>
      </c>
    </row>
    <row r="1984" spans="1:8" x14ac:dyDescent="0.25">
      <c r="A1984" s="10"/>
      <c r="B1984" s="116"/>
      <c r="C1984" s="116"/>
      <c r="D1984" s="116"/>
      <c r="E1984" s="116"/>
      <c r="F1984" s="116"/>
      <c r="G1984" s="162" t="str">
        <f t="shared" si="60"/>
        <v xml:space="preserve"> </v>
      </c>
      <c r="H1984" s="161" t="e">
        <f t="shared" si="61"/>
        <v>#VALUE!</v>
      </c>
    </row>
    <row r="1985" spans="1:8" x14ac:dyDescent="0.25">
      <c r="A1985" s="10"/>
      <c r="B1985" s="116"/>
      <c r="C1985" s="116"/>
      <c r="D1985" s="116"/>
      <c r="E1985" s="116"/>
      <c r="F1985" s="116"/>
      <c r="G1985" s="162" t="str">
        <f t="shared" si="60"/>
        <v xml:space="preserve"> </v>
      </c>
      <c r="H1985" s="161" t="e">
        <f t="shared" si="61"/>
        <v>#VALUE!</v>
      </c>
    </row>
    <row r="1986" spans="1:8" x14ac:dyDescent="0.25">
      <c r="A1986" s="10"/>
      <c r="B1986" s="116"/>
      <c r="C1986" s="116"/>
      <c r="D1986" s="116"/>
      <c r="E1986" s="116"/>
      <c r="F1986" s="116"/>
      <c r="G1986" s="162" t="str">
        <f t="shared" si="60"/>
        <v xml:space="preserve"> </v>
      </c>
      <c r="H1986" s="161" t="e">
        <f t="shared" si="61"/>
        <v>#VALUE!</v>
      </c>
    </row>
    <row r="1987" spans="1:8" x14ac:dyDescent="0.25">
      <c r="A1987" s="10"/>
      <c r="B1987" s="116"/>
      <c r="C1987" s="116"/>
      <c r="D1987" s="116"/>
      <c r="E1987" s="116"/>
      <c r="F1987" s="116"/>
      <c r="G1987" s="162" t="str">
        <f t="shared" ref="G1987:G1991" si="62">IF(LEFT(A1987,3)="S7P","Pintura",IF(LEFT(A1987,3)="S7M","Montagem",
IF(LEFT(A1987,3)="S7S","Serigrafia"," ")))</f>
        <v xml:space="preserve"> </v>
      </c>
      <c r="H1987" s="161" t="e">
        <f t="shared" ref="H1987:H1991" si="63">VALUE(LEFT(F1987,2))&amp;"h"</f>
        <v>#VALUE!</v>
      </c>
    </row>
    <row r="1988" spans="1:8" x14ac:dyDescent="0.25">
      <c r="A1988" s="10"/>
      <c r="B1988" s="116"/>
      <c r="C1988" s="116"/>
      <c r="D1988" s="116"/>
      <c r="E1988" s="116"/>
      <c r="F1988" s="116"/>
      <c r="G1988" s="162" t="str">
        <f t="shared" si="62"/>
        <v xml:space="preserve"> </v>
      </c>
      <c r="H1988" s="161" t="e">
        <f t="shared" si="63"/>
        <v>#VALUE!</v>
      </c>
    </row>
    <row r="1989" spans="1:8" x14ac:dyDescent="0.25">
      <c r="A1989" s="10"/>
      <c r="B1989" s="116"/>
      <c r="C1989" s="116"/>
      <c r="D1989" s="116"/>
      <c r="E1989" s="116"/>
      <c r="F1989" s="116"/>
      <c r="G1989" s="162" t="str">
        <f t="shared" si="62"/>
        <v xml:space="preserve"> </v>
      </c>
      <c r="H1989" s="161" t="e">
        <f t="shared" si="63"/>
        <v>#VALUE!</v>
      </c>
    </row>
    <row r="1990" spans="1:8" x14ac:dyDescent="0.25">
      <c r="A1990" s="10"/>
      <c r="B1990" s="116"/>
      <c r="C1990" s="116"/>
      <c r="D1990" s="116"/>
      <c r="E1990" s="116"/>
      <c r="F1990" s="116"/>
      <c r="G1990" s="162" t="str">
        <f t="shared" si="62"/>
        <v xml:space="preserve"> </v>
      </c>
      <c r="H1990" s="161" t="e">
        <f t="shared" si="63"/>
        <v>#VALUE!</v>
      </c>
    </row>
    <row r="1991" spans="1:8" x14ac:dyDescent="0.25">
      <c r="A1991" s="10"/>
      <c r="B1991" s="116"/>
      <c r="C1991" s="116"/>
      <c r="D1991" s="116"/>
      <c r="E1991" s="116"/>
      <c r="F1991" s="116"/>
      <c r="G1991" s="162" t="str">
        <f t="shared" si="62"/>
        <v xml:space="preserve"> </v>
      </c>
      <c r="H1991" s="161" t="e">
        <f t="shared" si="63"/>
        <v>#VALUE!</v>
      </c>
    </row>
  </sheetData>
  <autoFilter ref="A1:G1991" xr:uid="{D0AC81D6-A706-44F3-84B4-A3712E149219}"/>
  <phoneticPr fontId="1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CBA4A-A6D7-4603-8B41-E072B6E2B3A5}">
  <sheetPr codeName="Planilha5"/>
  <dimension ref="B1:X168"/>
  <sheetViews>
    <sheetView showGridLines="0" showZeros="0" zoomScale="130" zoomScaleNormal="130" workbookViewId="0">
      <pane xSplit="2" ySplit="12" topLeftCell="C121" activePane="bottomRight" state="frozen"/>
      <selection pane="topRight" activeCell="AP25" sqref="AP25"/>
      <selection pane="bottomLeft" activeCell="AP25" sqref="AP25"/>
      <selection pane="bottomRight" activeCell="C126" sqref="C126:C133"/>
    </sheetView>
  </sheetViews>
  <sheetFormatPr defaultColWidth="8.7109375" defaultRowHeight="15" outlineLevelRow="2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4" width="9.5703125" style="62" customWidth="1"/>
    <col min="5" max="16384" width="8.7109375" style="62"/>
  </cols>
  <sheetData>
    <row r="1" spans="3:24" ht="30" customHeight="1" x14ac:dyDescent="0.25">
      <c r="C1" s="63" t="s">
        <v>3378</v>
      </c>
      <c r="D1" s="64"/>
    </row>
    <row r="2" spans="3:24" ht="21" x14ac:dyDescent="0.35">
      <c r="C2" s="65" t="s">
        <v>3379</v>
      </c>
      <c r="D2" s="195" t="s">
        <v>3380</v>
      </c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</row>
    <row r="3" spans="3:24" s="90" customFormat="1" ht="12" x14ac:dyDescent="0.2">
      <c r="C3" s="88" t="s">
        <v>3381</v>
      </c>
      <c r="D3" s="89" t="s">
        <v>3372</v>
      </c>
      <c r="E3" s="89" t="s">
        <v>3373</v>
      </c>
      <c r="F3" s="89" t="s">
        <v>3374</v>
      </c>
      <c r="G3" s="89" t="s">
        <v>3370</v>
      </c>
      <c r="H3" s="89" t="s">
        <v>3371</v>
      </c>
      <c r="I3" s="89" t="s">
        <v>3375</v>
      </c>
      <c r="J3" s="89" t="s">
        <v>3367</v>
      </c>
      <c r="K3" s="89" t="s">
        <v>3368</v>
      </c>
      <c r="L3" s="89" t="s">
        <v>3369</v>
      </c>
      <c r="M3" s="89" t="s">
        <v>3358</v>
      </c>
      <c r="N3" s="89" t="s">
        <v>3363</v>
      </c>
      <c r="O3" s="89" t="s">
        <v>3361</v>
      </c>
      <c r="P3" s="89" t="s">
        <v>3359</v>
      </c>
      <c r="Q3" s="89" t="s">
        <v>3366</v>
      </c>
      <c r="R3" s="89" t="s">
        <v>3364</v>
      </c>
      <c r="S3" s="89" t="s">
        <v>3360</v>
      </c>
      <c r="T3" s="89" t="s">
        <v>3362</v>
      </c>
      <c r="U3" s="89" t="s">
        <v>3365</v>
      </c>
      <c r="V3" s="89" t="s">
        <v>3382</v>
      </c>
    </row>
    <row r="4" spans="3:24" s="90" customFormat="1" ht="12" x14ac:dyDescent="0.2">
      <c r="C4" s="91">
        <f>2.42*60</f>
        <v>145.19999999999999</v>
      </c>
      <c r="D4" s="92">
        <f>SUM(D5:D11)</f>
        <v>3.3073333333333332</v>
      </c>
      <c r="E4" s="92">
        <f t="shared" ref="E4:V4" si="0">SUM(E5:E11)</f>
        <v>4.2349999999999994</v>
      </c>
      <c r="F4" s="92">
        <f t="shared" si="0"/>
        <v>1.7746666666666666</v>
      </c>
      <c r="G4" s="92">
        <f t="shared" si="0"/>
        <v>2.3393333333333333</v>
      </c>
      <c r="H4" s="92">
        <f t="shared" si="0"/>
        <v>1.9359999999999999</v>
      </c>
      <c r="I4" s="92">
        <f t="shared" si="0"/>
        <v>0.121</v>
      </c>
      <c r="J4" s="92">
        <f t="shared" si="0"/>
        <v>2.0569999999999999</v>
      </c>
      <c r="K4" s="92">
        <f t="shared" si="0"/>
        <v>1.1293333333333333</v>
      </c>
      <c r="L4" s="92">
        <f t="shared" si="0"/>
        <v>1.8149999999999999</v>
      </c>
      <c r="M4" s="92">
        <f t="shared" si="0"/>
        <v>2.4603333333333333</v>
      </c>
      <c r="N4" s="92">
        <f t="shared" si="0"/>
        <v>2.6619999999999999</v>
      </c>
      <c r="O4" s="92">
        <f t="shared" si="0"/>
        <v>2.1376666666666666</v>
      </c>
      <c r="P4" s="92">
        <f t="shared" si="0"/>
        <v>1.6536666666666666</v>
      </c>
      <c r="Q4" s="92">
        <f t="shared" si="0"/>
        <v>1.2503333333333333</v>
      </c>
      <c r="R4" s="92">
        <f t="shared" si="0"/>
        <v>1.5326666666666666</v>
      </c>
      <c r="S4" s="92">
        <f t="shared" si="0"/>
        <v>1.9763333333333333</v>
      </c>
      <c r="T4" s="92">
        <f t="shared" si="0"/>
        <v>2.0569999999999999</v>
      </c>
      <c r="U4" s="92">
        <f t="shared" si="0"/>
        <v>1.1293333333333333</v>
      </c>
      <c r="V4" s="92">
        <f t="shared" si="0"/>
        <v>0</v>
      </c>
      <c r="W4" s="97" t="s">
        <v>3383</v>
      </c>
      <c r="X4" s="97" t="s">
        <v>3384</v>
      </c>
    </row>
    <row r="5" spans="3:24" s="90" customFormat="1" ht="12" x14ac:dyDescent="0.2">
      <c r="C5" s="93" t="s">
        <v>3385</v>
      </c>
      <c r="D5" s="94">
        <f>IFERROR(SUM(((D17)*$C$4)/3600)," ")</f>
        <v>0.52433333333333332</v>
      </c>
      <c r="E5" s="94">
        <f t="shared" ref="E5:V11" si="1">IFERROR(SUM(((E17)*$C$4)/3600)," ")</f>
        <v>0.84699999999999998</v>
      </c>
      <c r="F5" s="94">
        <f t="shared" si="1"/>
        <v>0.32266666666666666</v>
      </c>
      <c r="G5" s="94">
        <f t="shared" si="1"/>
        <v>0.36299999999999999</v>
      </c>
      <c r="H5" s="94">
        <f t="shared" si="1"/>
        <v>0.16133333333333333</v>
      </c>
      <c r="I5" s="94">
        <f t="shared" si="1"/>
        <v>0</v>
      </c>
      <c r="J5" s="94">
        <f t="shared" si="1"/>
        <v>0.16133333333333333</v>
      </c>
      <c r="K5" s="94">
        <f t="shared" si="1"/>
        <v>0.121</v>
      </c>
      <c r="L5" s="94">
        <f t="shared" si="1"/>
        <v>0.16133333333333333</v>
      </c>
      <c r="M5" s="94">
        <f t="shared" si="1"/>
        <v>0.48399999999999999</v>
      </c>
      <c r="N5" s="94">
        <f t="shared" si="1"/>
        <v>0.52433333333333332</v>
      </c>
      <c r="O5" s="94">
        <f t="shared" si="1"/>
        <v>0.56466666666666654</v>
      </c>
      <c r="P5" s="94">
        <f t="shared" si="1"/>
        <v>0.20166666666666666</v>
      </c>
      <c r="Q5" s="94">
        <f t="shared" si="1"/>
        <v>0.121</v>
      </c>
      <c r="R5" s="94">
        <f t="shared" si="1"/>
        <v>0.24199999999999999</v>
      </c>
      <c r="S5" s="94">
        <f t="shared" si="1"/>
        <v>0.60499999999999998</v>
      </c>
      <c r="T5" s="94">
        <f t="shared" si="1"/>
        <v>0.84699999999999998</v>
      </c>
      <c r="U5" s="94">
        <f t="shared" si="1"/>
        <v>0.48399999999999999</v>
      </c>
      <c r="V5" s="94">
        <f t="shared" si="1"/>
        <v>0</v>
      </c>
      <c r="W5" s="96">
        <f t="shared" ref="W5:W11" si="2">AVERAGE(D5:V5)</f>
        <v>0.3545087719298245</v>
      </c>
      <c r="X5" s="96">
        <f t="shared" ref="X5:X10" si="3">ROUNDUP(W5,0)</f>
        <v>1</v>
      </c>
    </row>
    <row r="6" spans="3:24" s="90" customFormat="1" ht="12" x14ac:dyDescent="0.2">
      <c r="C6" s="93" t="s">
        <v>3386</v>
      </c>
      <c r="D6" s="94">
        <f t="shared" ref="D6:S11" si="4">IFERROR(SUM(((D18)*$C$4)/3600)," ")</f>
        <v>0.56466666666666654</v>
      </c>
      <c r="E6" s="94">
        <f t="shared" si="4"/>
        <v>1.0083333333333333</v>
      </c>
      <c r="F6" s="94">
        <f t="shared" si="4"/>
        <v>0.32266666666666666</v>
      </c>
      <c r="G6" s="94">
        <f t="shared" si="4"/>
        <v>0.48399999999999999</v>
      </c>
      <c r="H6" s="94">
        <f t="shared" si="4"/>
        <v>0.48399999999999999</v>
      </c>
      <c r="I6" s="94">
        <f t="shared" si="4"/>
        <v>0</v>
      </c>
      <c r="J6" s="94">
        <f t="shared" si="4"/>
        <v>0.28233333333333327</v>
      </c>
      <c r="K6" s="94">
        <f t="shared" si="4"/>
        <v>0.20166666666666666</v>
      </c>
      <c r="L6" s="94">
        <f t="shared" si="4"/>
        <v>0.48399999999999999</v>
      </c>
      <c r="M6" s="94">
        <f t="shared" si="4"/>
        <v>0.48399999999999999</v>
      </c>
      <c r="N6" s="94">
        <f t="shared" si="4"/>
        <v>0.52433333333333332</v>
      </c>
      <c r="O6" s="94">
        <f t="shared" si="4"/>
        <v>0.60499999999999998</v>
      </c>
      <c r="P6" s="94">
        <f t="shared" si="4"/>
        <v>0.36299999999999999</v>
      </c>
      <c r="Q6" s="94">
        <f t="shared" si="4"/>
        <v>0.32266666666666666</v>
      </c>
      <c r="R6" s="94">
        <f t="shared" si="4"/>
        <v>0.48399999999999999</v>
      </c>
      <c r="S6" s="94">
        <f t="shared" si="4"/>
        <v>0.20166666666666666</v>
      </c>
      <c r="T6" s="94">
        <f t="shared" si="1"/>
        <v>0.40333333333333332</v>
      </c>
      <c r="U6" s="94">
        <f t="shared" si="1"/>
        <v>0.16133333333333333</v>
      </c>
      <c r="V6" s="94">
        <f t="shared" si="1"/>
        <v>0</v>
      </c>
      <c r="W6" s="96">
        <f t="shared" si="2"/>
        <v>0.3884736842105263</v>
      </c>
      <c r="X6" s="96">
        <f t="shared" si="3"/>
        <v>1</v>
      </c>
    </row>
    <row r="7" spans="3:24" s="90" customFormat="1" ht="12" x14ac:dyDescent="0.2">
      <c r="C7" s="93" t="s">
        <v>3387</v>
      </c>
      <c r="D7" s="94">
        <f t="shared" si="4"/>
        <v>0</v>
      </c>
      <c r="E7" s="94">
        <f t="shared" si="1"/>
        <v>0</v>
      </c>
      <c r="F7" s="94">
        <f t="shared" si="1"/>
        <v>0</v>
      </c>
      <c r="G7" s="94">
        <f t="shared" si="1"/>
        <v>0</v>
      </c>
      <c r="H7" s="94">
        <f t="shared" si="1"/>
        <v>0</v>
      </c>
      <c r="I7" s="94">
        <f t="shared" si="1"/>
        <v>0</v>
      </c>
      <c r="J7" s="94">
        <f t="shared" si="1"/>
        <v>0</v>
      </c>
      <c r="K7" s="94">
        <f t="shared" si="1"/>
        <v>0</v>
      </c>
      <c r="L7" s="94">
        <f t="shared" si="1"/>
        <v>0</v>
      </c>
      <c r="M7" s="94">
        <f t="shared" si="1"/>
        <v>0</v>
      </c>
      <c r="N7" s="94">
        <f t="shared" si="1"/>
        <v>0</v>
      </c>
      <c r="O7" s="94">
        <f t="shared" si="1"/>
        <v>0</v>
      </c>
      <c r="P7" s="94">
        <f t="shared" si="1"/>
        <v>0</v>
      </c>
      <c r="Q7" s="94">
        <f t="shared" si="1"/>
        <v>0</v>
      </c>
      <c r="R7" s="94">
        <f t="shared" si="1"/>
        <v>0</v>
      </c>
      <c r="S7" s="94">
        <f t="shared" si="1"/>
        <v>0</v>
      </c>
      <c r="T7" s="94">
        <f t="shared" si="1"/>
        <v>0</v>
      </c>
      <c r="U7" s="94">
        <f t="shared" si="1"/>
        <v>0</v>
      </c>
      <c r="V7" s="94">
        <f t="shared" si="1"/>
        <v>0</v>
      </c>
      <c r="W7" s="96">
        <f t="shared" si="2"/>
        <v>0</v>
      </c>
      <c r="X7" s="96">
        <f t="shared" si="3"/>
        <v>0</v>
      </c>
    </row>
    <row r="8" spans="3:24" s="90" customFormat="1" ht="12" x14ac:dyDescent="0.2">
      <c r="C8" s="93" t="s">
        <v>3388</v>
      </c>
      <c r="D8" s="94">
        <f t="shared" si="4"/>
        <v>0.8873333333333332</v>
      </c>
      <c r="E8" s="94">
        <f t="shared" si="1"/>
        <v>0.72599999999999998</v>
      </c>
      <c r="F8" s="94">
        <f t="shared" si="1"/>
        <v>0.4436666666666666</v>
      </c>
      <c r="G8" s="94">
        <f t="shared" si="1"/>
        <v>0.60499999999999998</v>
      </c>
      <c r="H8" s="94">
        <f t="shared" si="1"/>
        <v>0.36299999999999999</v>
      </c>
      <c r="I8" s="94">
        <f t="shared" si="1"/>
        <v>0.121</v>
      </c>
      <c r="J8" s="94">
        <f t="shared" si="1"/>
        <v>0.84699999999999998</v>
      </c>
      <c r="K8" s="94">
        <f t="shared" si="1"/>
        <v>0.20166666666666666</v>
      </c>
      <c r="L8" s="94">
        <f t="shared" si="1"/>
        <v>0.56466666666666654</v>
      </c>
      <c r="M8" s="94">
        <f t="shared" si="1"/>
        <v>0.40333333333333332</v>
      </c>
      <c r="N8" s="94">
        <f t="shared" si="1"/>
        <v>0.4436666666666666</v>
      </c>
      <c r="O8" s="94">
        <f t="shared" si="1"/>
        <v>0.16133333333333333</v>
      </c>
      <c r="P8" s="94">
        <f t="shared" si="1"/>
        <v>0.60499999999999998</v>
      </c>
      <c r="Q8" s="94">
        <f t="shared" si="1"/>
        <v>0.28233333333333327</v>
      </c>
      <c r="R8" s="94">
        <f t="shared" si="1"/>
        <v>0.60499999999999998</v>
      </c>
      <c r="S8" s="94">
        <f t="shared" si="1"/>
        <v>0.72599999999999998</v>
      </c>
      <c r="T8" s="94">
        <f t="shared" si="1"/>
        <v>0.24199999999999999</v>
      </c>
      <c r="U8" s="94">
        <f t="shared" si="1"/>
        <v>0.24199999999999999</v>
      </c>
      <c r="V8" s="94">
        <f t="shared" si="1"/>
        <v>0</v>
      </c>
      <c r="W8" s="96">
        <f t="shared" si="2"/>
        <v>0.44578947368421046</v>
      </c>
      <c r="X8" s="96">
        <f t="shared" si="3"/>
        <v>1</v>
      </c>
    </row>
    <row r="9" spans="3:24" s="90" customFormat="1" ht="12" x14ac:dyDescent="0.2">
      <c r="C9" s="93" t="s">
        <v>3389</v>
      </c>
      <c r="D9" s="94">
        <f t="shared" si="4"/>
        <v>0.32266666666666666</v>
      </c>
      <c r="E9" s="94">
        <f t="shared" si="1"/>
        <v>0.20166666666666666</v>
      </c>
      <c r="F9" s="94">
        <f t="shared" si="1"/>
        <v>0.16133333333333333</v>
      </c>
      <c r="G9" s="94">
        <f t="shared" si="1"/>
        <v>0.121</v>
      </c>
      <c r="H9" s="94">
        <f t="shared" si="1"/>
        <v>0.121</v>
      </c>
      <c r="I9" s="94">
        <f t="shared" si="1"/>
        <v>0</v>
      </c>
      <c r="J9" s="94">
        <f t="shared" si="1"/>
        <v>0.24199999999999999</v>
      </c>
      <c r="K9" s="94">
        <f t="shared" si="1"/>
        <v>0.121</v>
      </c>
      <c r="L9" s="94">
        <f t="shared" si="1"/>
        <v>0.121</v>
      </c>
      <c r="M9" s="94">
        <f t="shared" si="1"/>
        <v>8.0666666666666664E-2</v>
      </c>
      <c r="N9" s="94">
        <f t="shared" si="1"/>
        <v>0.16133333333333333</v>
      </c>
      <c r="O9" s="94">
        <f t="shared" si="1"/>
        <v>8.0666666666666664E-2</v>
      </c>
      <c r="P9" s="94">
        <f t="shared" si="1"/>
        <v>8.0666666666666664E-2</v>
      </c>
      <c r="Q9" s="94">
        <f t="shared" si="1"/>
        <v>4.0333333333333332E-2</v>
      </c>
      <c r="R9" s="94">
        <f t="shared" si="1"/>
        <v>0</v>
      </c>
      <c r="S9" s="94">
        <f t="shared" si="1"/>
        <v>0.24199999999999999</v>
      </c>
      <c r="T9" s="94">
        <f t="shared" si="1"/>
        <v>0.20166666666666666</v>
      </c>
      <c r="U9" s="94">
        <f t="shared" si="1"/>
        <v>0</v>
      </c>
      <c r="V9" s="94">
        <f t="shared" si="1"/>
        <v>0</v>
      </c>
      <c r="W9" s="96">
        <f t="shared" si="2"/>
        <v>0.121</v>
      </c>
      <c r="X9" s="96">
        <f t="shared" si="3"/>
        <v>1</v>
      </c>
    </row>
    <row r="10" spans="3:24" s="90" customFormat="1" ht="12" x14ac:dyDescent="0.2">
      <c r="C10" s="93" t="s">
        <v>3390</v>
      </c>
      <c r="D10" s="94">
        <f t="shared" si="4"/>
        <v>1.0083333333333333</v>
      </c>
      <c r="E10" s="94">
        <f t="shared" si="1"/>
        <v>1.452</v>
      </c>
      <c r="F10" s="94">
        <f t="shared" si="1"/>
        <v>0.52433333333333332</v>
      </c>
      <c r="G10" s="94">
        <f t="shared" si="1"/>
        <v>0.76633333333333331</v>
      </c>
      <c r="H10" s="94">
        <f t="shared" si="1"/>
        <v>0.80666666666666664</v>
      </c>
      <c r="I10" s="94">
        <f t="shared" si="1"/>
        <v>0</v>
      </c>
      <c r="J10" s="94">
        <f t="shared" si="1"/>
        <v>0.52433333333333332</v>
      </c>
      <c r="K10" s="94">
        <f t="shared" si="1"/>
        <v>0.48399999999999999</v>
      </c>
      <c r="L10" s="94">
        <f t="shared" si="1"/>
        <v>0.48399999999999999</v>
      </c>
      <c r="M10" s="94">
        <f t="shared" si="1"/>
        <v>1.0083333333333333</v>
      </c>
      <c r="N10" s="94">
        <f t="shared" si="1"/>
        <v>1.0083333333333333</v>
      </c>
      <c r="O10" s="94">
        <f t="shared" si="1"/>
        <v>0.72599999999999998</v>
      </c>
      <c r="P10" s="94">
        <f t="shared" si="1"/>
        <v>0.40333333333333332</v>
      </c>
      <c r="Q10" s="94">
        <f t="shared" si="1"/>
        <v>0.48399999999999999</v>
      </c>
      <c r="R10" s="94">
        <f t="shared" si="1"/>
        <v>0.20166666666666666</v>
      </c>
      <c r="S10" s="94">
        <f t="shared" si="1"/>
        <v>0.20166666666666666</v>
      </c>
      <c r="T10" s="94">
        <f t="shared" si="1"/>
        <v>0.36299999999999999</v>
      </c>
      <c r="U10" s="94">
        <f t="shared" si="1"/>
        <v>0.24199999999999999</v>
      </c>
      <c r="V10" s="94">
        <f t="shared" si="1"/>
        <v>0</v>
      </c>
      <c r="W10" s="96">
        <f t="shared" si="2"/>
        <v>0.56254385964912257</v>
      </c>
      <c r="X10" s="96">
        <f t="shared" si="3"/>
        <v>1</v>
      </c>
    </row>
    <row r="11" spans="3:24" s="90" customFormat="1" ht="12" x14ac:dyDescent="0.2">
      <c r="C11" s="93" t="s">
        <v>3391</v>
      </c>
      <c r="D11" s="94">
        <f t="shared" si="4"/>
        <v>0</v>
      </c>
      <c r="E11" s="94">
        <f t="shared" si="1"/>
        <v>0</v>
      </c>
      <c r="F11" s="94">
        <f t="shared" si="1"/>
        <v>0</v>
      </c>
      <c r="G11" s="94">
        <f t="shared" si="1"/>
        <v>0</v>
      </c>
      <c r="H11" s="94">
        <f t="shared" si="1"/>
        <v>0</v>
      </c>
      <c r="I11" s="94">
        <f t="shared" si="1"/>
        <v>0</v>
      </c>
      <c r="J11" s="94">
        <f t="shared" si="1"/>
        <v>0</v>
      </c>
      <c r="K11" s="94">
        <f t="shared" si="1"/>
        <v>0</v>
      </c>
      <c r="L11" s="94">
        <f t="shared" si="1"/>
        <v>0</v>
      </c>
      <c r="M11" s="94">
        <f t="shared" si="1"/>
        <v>0</v>
      </c>
      <c r="N11" s="94">
        <f t="shared" si="1"/>
        <v>0</v>
      </c>
      <c r="O11" s="94">
        <f t="shared" si="1"/>
        <v>0</v>
      </c>
      <c r="P11" s="94">
        <f t="shared" si="1"/>
        <v>0</v>
      </c>
      <c r="Q11" s="94">
        <f t="shared" si="1"/>
        <v>0</v>
      </c>
      <c r="R11" s="94">
        <f t="shared" si="1"/>
        <v>0</v>
      </c>
      <c r="S11" s="94">
        <f t="shared" si="1"/>
        <v>0</v>
      </c>
      <c r="T11" s="94">
        <f t="shared" si="1"/>
        <v>0</v>
      </c>
      <c r="U11" s="94">
        <f t="shared" si="1"/>
        <v>0</v>
      </c>
      <c r="V11" s="94">
        <f t="shared" si="1"/>
        <v>0</v>
      </c>
      <c r="W11" s="96">
        <f t="shared" si="2"/>
        <v>0</v>
      </c>
    </row>
    <row r="12" spans="3:24" s="90" customFormat="1" ht="12" x14ac:dyDescent="0.2">
      <c r="C12" s="95"/>
    </row>
    <row r="13" spans="3:24" ht="21" x14ac:dyDescent="0.35">
      <c r="C13" s="65" t="s">
        <v>3392</v>
      </c>
    </row>
    <row r="14" spans="3:24" outlineLevel="2" x14ac:dyDescent="0.25"/>
    <row r="15" spans="3:24" outlineLevel="2" x14ac:dyDescent="0.25">
      <c r="C15" s="59" t="s">
        <v>3393</v>
      </c>
      <c r="D15" s="59" t="s">
        <v>3372</v>
      </c>
      <c r="E15" s="59" t="s">
        <v>3373</v>
      </c>
      <c r="F15" s="59" t="s">
        <v>3374</v>
      </c>
      <c r="G15" s="59" t="s">
        <v>3370</v>
      </c>
      <c r="H15" s="59" t="s">
        <v>3371</v>
      </c>
      <c r="I15" s="59" t="s">
        <v>3375</v>
      </c>
      <c r="J15" s="59" t="s">
        <v>3367</v>
      </c>
      <c r="K15" s="59" t="s">
        <v>3368</v>
      </c>
      <c r="L15" s="59" t="s">
        <v>3369</v>
      </c>
      <c r="M15" s="59" t="s">
        <v>3358</v>
      </c>
      <c r="N15" s="59" t="s">
        <v>3363</v>
      </c>
      <c r="O15" s="59" t="s">
        <v>3361</v>
      </c>
      <c r="P15" s="59" t="s">
        <v>3359</v>
      </c>
      <c r="Q15" s="59" t="s">
        <v>3366</v>
      </c>
      <c r="R15" s="59" t="s">
        <v>3364</v>
      </c>
      <c r="S15" s="59" t="s">
        <v>3360</v>
      </c>
      <c r="T15" s="59" t="s">
        <v>3362</v>
      </c>
      <c r="U15" s="59" t="s">
        <v>3365</v>
      </c>
      <c r="V15" s="59" t="s">
        <v>3382</v>
      </c>
    </row>
    <row r="16" spans="3:24" ht="17.25" hidden="1" outlineLevel="2" x14ac:dyDescent="0.25">
      <c r="C16" s="59" t="s">
        <v>3394</v>
      </c>
      <c r="D16" s="67">
        <f>SUM(D17:D23)</f>
        <v>82</v>
      </c>
      <c r="E16" s="67">
        <f t="shared" ref="E16:V16" si="5">SUM(E17:E23)</f>
        <v>105</v>
      </c>
      <c r="F16" s="67">
        <f t="shared" si="5"/>
        <v>44</v>
      </c>
      <c r="G16" s="67">
        <f t="shared" si="5"/>
        <v>58</v>
      </c>
      <c r="H16" s="67">
        <f t="shared" si="5"/>
        <v>48</v>
      </c>
      <c r="I16" s="67">
        <f t="shared" si="5"/>
        <v>3</v>
      </c>
      <c r="J16" s="67">
        <f t="shared" si="5"/>
        <v>51</v>
      </c>
      <c r="K16" s="67">
        <f t="shared" si="5"/>
        <v>28</v>
      </c>
      <c r="L16" s="67">
        <f t="shared" si="5"/>
        <v>45</v>
      </c>
      <c r="M16" s="67">
        <f t="shared" si="5"/>
        <v>61</v>
      </c>
      <c r="N16" s="67">
        <f t="shared" si="5"/>
        <v>66</v>
      </c>
      <c r="O16" s="67">
        <f t="shared" si="5"/>
        <v>53</v>
      </c>
      <c r="P16" s="67">
        <f t="shared" si="5"/>
        <v>41</v>
      </c>
      <c r="Q16" s="67">
        <f t="shared" si="5"/>
        <v>31</v>
      </c>
      <c r="R16" s="67">
        <f t="shared" si="5"/>
        <v>38</v>
      </c>
      <c r="S16" s="67">
        <f t="shared" si="5"/>
        <v>49</v>
      </c>
      <c r="T16" s="67">
        <f t="shared" si="5"/>
        <v>51</v>
      </c>
      <c r="U16" s="67">
        <f t="shared" si="5"/>
        <v>28</v>
      </c>
      <c r="V16" s="67">
        <f t="shared" si="5"/>
        <v>0</v>
      </c>
    </row>
    <row r="17" spans="2:22" ht="17.25" outlineLevel="2" x14ac:dyDescent="0.25">
      <c r="B17" s="62" t="e">
        <f>IF(#REF!="&lt;&gt;",RIGHT(C17,1),#REF!)</f>
        <v>#REF!</v>
      </c>
      <c r="C17" s="68" t="s">
        <v>3385</v>
      </c>
      <c r="D17" s="69">
        <f>D28</f>
        <v>13</v>
      </c>
      <c r="E17" s="69">
        <f t="shared" ref="E17:V17" si="6">E28</f>
        <v>21</v>
      </c>
      <c r="F17" s="69">
        <f t="shared" si="6"/>
        <v>8</v>
      </c>
      <c r="G17" s="69">
        <f t="shared" si="6"/>
        <v>9</v>
      </c>
      <c r="H17" s="69">
        <f t="shared" si="6"/>
        <v>4</v>
      </c>
      <c r="I17" s="69">
        <f t="shared" si="6"/>
        <v>0</v>
      </c>
      <c r="J17" s="69">
        <f t="shared" si="6"/>
        <v>4</v>
      </c>
      <c r="K17" s="69">
        <f t="shared" si="6"/>
        <v>3</v>
      </c>
      <c r="L17" s="69">
        <f t="shared" si="6"/>
        <v>4</v>
      </c>
      <c r="M17" s="69">
        <f t="shared" si="6"/>
        <v>12</v>
      </c>
      <c r="N17" s="69">
        <f t="shared" si="6"/>
        <v>13</v>
      </c>
      <c r="O17" s="69">
        <f t="shared" si="6"/>
        <v>14</v>
      </c>
      <c r="P17" s="69">
        <f t="shared" si="6"/>
        <v>5</v>
      </c>
      <c r="Q17" s="69">
        <f t="shared" si="6"/>
        <v>3</v>
      </c>
      <c r="R17" s="69">
        <f t="shared" si="6"/>
        <v>6</v>
      </c>
      <c r="S17" s="69">
        <f t="shared" si="6"/>
        <v>15</v>
      </c>
      <c r="T17" s="69">
        <f t="shared" si="6"/>
        <v>21</v>
      </c>
      <c r="U17" s="69">
        <f t="shared" si="6"/>
        <v>12</v>
      </c>
      <c r="V17" s="69">
        <f t="shared" si="6"/>
        <v>0</v>
      </c>
    </row>
    <row r="18" spans="2:22" ht="17.25" outlineLevel="2" x14ac:dyDescent="0.25">
      <c r="B18" s="62" t="e">
        <f>IF(#REF!="&lt;&gt;",RIGHT(C18,1),#REF!)</f>
        <v>#REF!</v>
      </c>
      <c r="C18" s="68" t="s">
        <v>3386</v>
      </c>
      <c r="D18" s="69">
        <f>D45</f>
        <v>14</v>
      </c>
      <c r="E18" s="69">
        <f t="shared" ref="E18:V18" si="7">E45</f>
        <v>25</v>
      </c>
      <c r="F18" s="69">
        <f t="shared" si="7"/>
        <v>8</v>
      </c>
      <c r="G18" s="69">
        <f t="shared" si="7"/>
        <v>12</v>
      </c>
      <c r="H18" s="69">
        <f t="shared" si="7"/>
        <v>12</v>
      </c>
      <c r="I18" s="69">
        <f t="shared" si="7"/>
        <v>0</v>
      </c>
      <c r="J18" s="69">
        <f t="shared" si="7"/>
        <v>7</v>
      </c>
      <c r="K18" s="69">
        <f t="shared" si="7"/>
        <v>5</v>
      </c>
      <c r="L18" s="69">
        <f t="shared" si="7"/>
        <v>12</v>
      </c>
      <c r="M18" s="69">
        <f t="shared" si="7"/>
        <v>12</v>
      </c>
      <c r="N18" s="69">
        <f t="shared" si="7"/>
        <v>13</v>
      </c>
      <c r="O18" s="69">
        <f t="shared" si="7"/>
        <v>15</v>
      </c>
      <c r="P18" s="69">
        <f t="shared" si="7"/>
        <v>9</v>
      </c>
      <c r="Q18" s="69">
        <f t="shared" si="7"/>
        <v>8</v>
      </c>
      <c r="R18" s="69">
        <f t="shared" si="7"/>
        <v>12</v>
      </c>
      <c r="S18" s="69">
        <f t="shared" si="7"/>
        <v>5</v>
      </c>
      <c r="T18" s="69">
        <f t="shared" si="7"/>
        <v>10</v>
      </c>
      <c r="U18" s="69">
        <f t="shared" si="7"/>
        <v>4</v>
      </c>
      <c r="V18" s="69">
        <f t="shared" si="7"/>
        <v>0</v>
      </c>
    </row>
    <row r="19" spans="2:22" ht="17.25" outlineLevel="2" x14ac:dyDescent="0.25">
      <c r="B19" s="62" t="e">
        <f>IF(#REF!="&lt;&gt;",RIGHT(C19,1),#REF!)</f>
        <v>#REF!</v>
      </c>
      <c r="C19" s="68" t="s">
        <v>3387</v>
      </c>
      <c r="D19" s="69">
        <f>D63</f>
        <v>0</v>
      </c>
      <c r="E19" s="69">
        <f t="shared" ref="E19:V19" si="8">E63</f>
        <v>0</v>
      </c>
      <c r="F19" s="69">
        <f t="shared" si="8"/>
        <v>0</v>
      </c>
      <c r="G19" s="69">
        <f t="shared" si="8"/>
        <v>0</v>
      </c>
      <c r="H19" s="69">
        <f t="shared" si="8"/>
        <v>0</v>
      </c>
      <c r="I19" s="69">
        <f t="shared" si="8"/>
        <v>0</v>
      </c>
      <c r="J19" s="69">
        <f t="shared" si="8"/>
        <v>0</v>
      </c>
      <c r="K19" s="69">
        <f t="shared" si="8"/>
        <v>0</v>
      </c>
      <c r="L19" s="69">
        <f t="shared" si="8"/>
        <v>0</v>
      </c>
      <c r="M19" s="69">
        <f t="shared" si="8"/>
        <v>0</v>
      </c>
      <c r="N19" s="69">
        <f t="shared" si="8"/>
        <v>0</v>
      </c>
      <c r="O19" s="69">
        <f t="shared" si="8"/>
        <v>0</v>
      </c>
      <c r="P19" s="69">
        <f t="shared" si="8"/>
        <v>0</v>
      </c>
      <c r="Q19" s="69">
        <f t="shared" si="8"/>
        <v>0</v>
      </c>
      <c r="R19" s="69">
        <f t="shared" si="8"/>
        <v>0</v>
      </c>
      <c r="S19" s="69">
        <f t="shared" si="8"/>
        <v>0</v>
      </c>
      <c r="T19" s="69">
        <f t="shared" si="8"/>
        <v>0</v>
      </c>
      <c r="U19" s="69">
        <f t="shared" si="8"/>
        <v>0</v>
      </c>
      <c r="V19" s="69">
        <f t="shared" si="8"/>
        <v>0</v>
      </c>
    </row>
    <row r="20" spans="2:22" ht="17.25" outlineLevel="2" x14ac:dyDescent="0.25">
      <c r="B20" s="62" t="e">
        <f>IF(#REF!="&lt;&gt;",RIGHT(C20,1),#REF!)</f>
        <v>#REF!</v>
      </c>
      <c r="C20" s="68" t="s">
        <v>3388</v>
      </c>
      <c r="D20" s="69">
        <f>D88</f>
        <v>22</v>
      </c>
      <c r="E20" s="69">
        <f t="shared" ref="E20:V20" si="9">E88</f>
        <v>18</v>
      </c>
      <c r="F20" s="69">
        <f t="shared" si="9"/>
        <v>11</v>
      </c>
      <c r="G20" s="69">
        <f t="shared" si="9"/>
        <v>15</v>
      </c>
      <c r="H20" s="69">
        <f t="shared" si="9"/>
        <v>9</v>
      </c>
      <c r="I20" s="69">
        <f t="shared" si="9"/>
        <v>3</v>
      </c>
      <c r="J20" s="69">
        <f t="shared" si="9"/>
        <v>21</v>
      </c>
      <c r="K20" s="69">
        <f t="shared" si="9"/>
        <v>5</v>
      </c>
      <c r="L20" s="69">
        <f t="shared" si="9"/>
        <v>14</v>
      </c>
      <c r="M20" s="69">
        <f t="shared" si="9"/>
        <v>10</v>
      </c>
      <c r="N20" s="69">
        <f t="shared" si="9"/>
        <v>11</v>
      </c>
      <c r="O20" s="69">
        <f t="shared" si="9"/>
        <v>4</v>
      </c>
      <c r="P20" s="69">
        <f t="shared" si="9"/>
        <v>15</v>
      </c>
      <c r="Q20" s="69">
        <f t="shared" si="9"/>
        <v>7</v>
      </c>
      <c r="R20" s="69">
        <f t="shared" si="9"/>
        <v>15</v>
      </c>
      <c r="S20" s="69">
        <f t="shared" si="9"/>
        <v>18</v>
      </c>
      <c r="T20" s="69">
        <f t="shared" si="9"/>
        <v>6</v>
      </c>
      <c r="U20" s="69">
        <f t="shared" si="9"/>
        <v>6</v>
      </c>
      <c r="V20" s="69">
        <f t="shared" si="9"/>
        <v>0</v>
      </c>
    </row>
    <row r="21" spans="2:22" ht="17.25" outlineLevel="2" x14ac:dyDescent="0.25">
      <c r="B21" s="62" t="e">
        <f>IF(#REF!="&lt;&gt;",RIGHT(C21,1),#REF!)</f>
        <v>#REF!</v>
      </c>
      <c r="C21" s="68" t="s">
        <v>3389</v>
      </c>
      <c r="D21" s="69">
        <f>D113</f>
        <v>8</v>
      </c>
      <c r="E21" s="69">
        <f t="shared" ref="E21:V21" si="10">E113</f>
        <v>5</v>
      </c>
      <c r="F21" s="69">
        <f t="shared" si="10"/>
        <v>4</v>
      </c>
      <c r="G21" s="69">
        <f t="shared" si="10"/>
        <v>3</v>
      </c>
      <c r="H21" s="69">
        <f t="shared" si="10"/>
        <v>3</v>
      </c>
      <c r="I21" s="69">
        <f t="shared" si="10"/>
        <v>0</v>
      </c>
      <c r="J21" s="69">
        <f t="shared" si="10"/>
        <v>6</v>
      </c>
      <c r="K21" s="69">
        <f t="shared" si="10"/>
        <v>3</v>
      </c>
      <c r="L21" s="69">
        <f t="shared" si="10"/>
        <v>3</v>
      </c>
      <c r="M21" s="69">
        <f t="shared" si="10"/>
        <v>2</v>
      </c>
      <c r="N21" s="69">
        <f t="shared" si="10"/>
        <v>4</v>
      </c>
      <c r="O21" s="69">
        <f t="shared" si="10"/>
        <v>2</v>
      </c>
      <c r="P21" s="69">
        <f t="shared" si="10"/>
        <v>2</v>
      </c>
      <c r="Q21" s="69">
        <f t="shared" si="10"/>
        <v>1</v>
      </c>
      <c r="R21" s="69">
        <f t="shared" si="10"/>
        <v>0</v>
      </c>
      <c r="S21" s="69">
        <f t="shared" si="10"/>
        <v>6</v>
      </c>
      <c r="T21" s="69">
        <f t="shared" si="10"/>
        <v>5</v>
      </c>
      <c r="U21" s="69">
        <f t="shared" si="10"/>
        <v>0</v>
      </c>
      <c r="V21" s="69">
        <f t="shared" si="10"/>
        <v>0</v>
      </c>
    </row>
    <row r="22" spans="2:22" ht="17.25" outlineLevel="2" x14ac:dyDescent="0.25">
      <c r="C22" s="68" t="s">
        <v>3390</v>
      </c>
      <c r="D22" s="69">
        <f>D125</f>
        <v>25</v>
      </c>
      <c r="E22" s="69">
        <f t="shared" ref="E22:V22" si="11">E125</f>
        <v>36</v>
      </c>
      <c r="F22" s="69">
        <f t="shared" si="11"/>
        <v>13</v>
      </c>
      <c r="G22" s="69">
        <f t="shared" si="11"/>
        <v>19</v>
      </c>
      <c r="H22" s="69">
        <f t="shared" si="11"/>
        <v>20</v>
      </c>
      <c r="I22" s="69">
        <f t="shared" si="11"/>
        <v>0</v>
      </c>
      <c r="J22" s="69">
        <f t="shared" si="11"/>
        <v>13</v>
      </c>
      <c r="K22" s="69">
        <f t="shared" si="11"/>
        <v>12</v>
      </c>
      <c r="L22" s="69">
        <f t="shared" si="11"/>
        <v>12</v>
      </c>
      <c r="M22" s="69">
        <f t="shared" si="11"/>
        <v>25</v>
      </c>
      <c r="N22" s="69">
        <f t="shared" si="11"/>
        <v>25</v>
      </c>
      <c r="O22" s="69">
        <f t="shared" si="11"/>
        <v>18</v>
      </c>
      <c r="P22" s="69">
        <f t="shared" si="11"/>
        <v>10</v>
      </c>
      <c r="Q22" s="69">
        <f t="shared" si="11"/>
        <v>12</v>
      </c>
      <c r="R22" s="69">
        <f t="shared" si="11"/>
        <v>5</v>
      </c>
      <c r="S22" s="69">
        <f t="shared" si="11"/>
        <v>5</v>
      </c>
      <c r="T22" s="69">
        <f t="shared" si="11"/>
        <v>9</v>
      </c>
      <c r="U22" s="69">
        <f t="shared" si="11"/>
        <v>6</v>
      </c>
      <c r="V22" s="69">
        <f t="shared" si="11"/>
        <v>0</v>
      </c>
    </row>
    <row r="23" spans="2:22" ht="17.25" outlineLevel="2" x14ac:dyDescent="0.25">
      <c r="B23" s="62" t="e">
        <f>IF(#REF!="&lt;&gt;",RIGHT(C23,1),#REF!)</f>
        <v>#REF!</v>
      </c>
      <c r="C23" s="68" t="s">
        <v>3391</v>
      </c>
      <c r="D23" s="69">
        <f>D137</f>
        <v>0</v>
      </c>
      <c r="E23" s="69">
        <f t="shared" ref="E23:V23" si="12">E137</f>
        <v>0</v>
      </c>
      <c r="F23" s="69">
        <f t="shared" si="12"/>
        <v>0</v>
      </c>
      <c r="G23" s="69">
        <f t="shared" si="12"/>
        <v>0</v>
      </c>
      <c r="H23" s="69">
        <f t="shared" si="12"/>
        <v>0</v>
      </c>
      <c r="I23" s="69">
        <f t="shared" si="12"/>
        <v>0</v>
      </c>
      <c r="J23" s="69">
        <f t="shared" si="12"/>
        <v>0</v>
      </c>
      <c r="K23" s="69">
        <f t="shared" si="12"/>
        <v>0</v>
      </c>
      <c r="L23" s="69">
        <f t="shared" si="12"/>
        <v>0</v>
      </c>
      <c r="M23" s="69">
        <f t="shared" si="12"/>
        <v>0</v>
      </c>
      <c r="N23" s="69">
        <f t="shared" si="12"/>
        <v>0</v>
      </c>
      <c r="O23" s="69">
        <f t="shared" si="12"/>
        <v>0</v>
      </c>
      <c r="P23" s="69">
        <f t="shared" si="12"/>
        <v>0</v>
      </c>
      <c r="Q23" s="69">
        <f t="shared" si="12"/>
        <v>0</v>
      </c>
      <c r="R23" s="69">
        <f t="shared" si="12"/>
        <v>0</v>
      </c>
      <c r="S23" s="69">
        <f t="shared" si="12"/>
        <v>0</v>
      </c>
      <c r="T23" s="69">
        <f t="shared" si="12"/>
        <v>0</v>
      </c>
      <c r="U23" s="69">
        <f t="shared" si="12"/>
        <v>0</v>
      </c>
      <c r="V23" s="69">
        <f t="shared" si="12"/>
        <v>0</v>
      </c>
    </row>
    <row r="25" spans="2:22" ht="15" customHeight="1" x14ac:dyDescent="0.35">
      <c r="B25" s="70" t="s">
        <v>3395</v>
      </c>
      <c r="C25" s="71" t="s">
        <v>3356</v>
      </c>
    </row>
    <row r="26" spans="2:22" ht="15" customHeight="1" x14ac:dyDescent="0.35">
      <c r="B26" s="70"/>
      <c r="C26" s="71" t="s">
        <v>3396</v>
      </c>
    </row>
    <row r="27" spans="2:22" ht="21" customHeight="1" x14ac:dyDescent="0.25">
      <c r="B27" s="72" t="s">
        <v>3395</v>
      </c>
      <c r="C27" s="58" t="s">
        <v>3397</v>
      </c>
      <c r="D27" s="59" t="s">
        <v>3372</v>
      </c>
      <c r="E27" s="59" t="s">
        <v>3373</v>
      </c>
      <c r="F27" s="59" t="s">
        <v>3374</v>
      </c>
      <c r="G27" s="59" t="s">
        <v>3370</v>
      </c>
      <c r="H27" s="59" t="s">
        <v>3371</v>
      </c>
      <c r="I27" s="59" t="s">
        <v>3375</v>
      </c>
      <c r="J27" s="59" t="s">
        <v>3367</v>
      </c>
      <c r="K27" s="59" t="s">
        <v>3368</v>
      </c>
      <c r="L27" s="59" t="s">
        <v>3369</v>
      </c>
      <c r="M27" s="59" t="s">
        <v>3358</v>
      </c>
      <c r="N27" s="59" t="s">
        <v>3363</v>
      </c>
      <c r="O27" s="59" t="s">
        <v>3361</v>
      </c>
      <c r="P27" s="59" t="s">
        <v>3359</v>
      </c>
      <c r="Q27" s="59" t="s">
        <v>3366</v>
      </c>
      <c r="R27" s="59" t="s">
        <v>3364</v>
      </c>
      <c r="S27" s="59" t="s">
        <v>3360</v>
      </c>
      <c r="T27" s="59" t="s">
        <v>3362</v>
      </c>
      <c r="U27" s="59" t="s">
        <v>3365</v>
      </c>
      <c r="V27" s="59" t="s">
        <v>3382</v>
      </c>
    </row>
    <row r="28" spans="2:22" s="75" customFormat="1" ht="21" customHeight="1" x14ac:dyDescent="0.35">
      <c r="B28" s="73" t="s">
        <v>3395</v>
      </c>
      <c r="C28" s="74" t="s">
        <v>3398</v>
      </c>
      <c r="D28" s="57">
        <f>IFERROR(SUM(D29:D42)," ")</f>
        <v>13</v>
      </c>
      <c r="E28" s="57">
        <f t="shared" ref="E28:V28" si="13">IFERROR(SUM(E29:E42)," ")</f>
        <v>21</v>
      </c>
      <c r="F28" s="57">
        <f t="shared" si="13"/>
        <v>8</v>
      </c>
      <c r="G28" s="57">
        <f t="shared" si="13"/>
        <v>9</v>
      </c>
      <c r="H28" s="57">
        <f t="shared" si="13"/>
        <v>4</v>
      </c>
      <c r="I28" s="57">
        <f t="shared" si="13"/>
        <v>0</v>
      </c>
      <c r="J28" s="57">
        <f t="shared" si="13"/>
        <v>4</v>
      </c>
      <c r="K28" s="57">
        <f t="shared" si="13"/>
        <v>3</v>
      </c>
      <c r="L28" s="57">
        <f t="shared" si="13"/>
        <v>4</v>
      </c>
      <c r="M28" s="57">
        <f t="shared" si="13"/>
        <v>12</v>
      </c>
      <c r="N28" s="57">
        <f t="shared" si="13"/>
        <v>13</v>
      </c>
      <c r="O28" s="57">
        <f t="shared" si="13"/>
        <v>14</v>
      </c>
      <c r="P28" s="57">
        <f t="shared" si="13"/>
        <v>5</v>
      </c>
      <c r="Q28" s="57">
        <f t="shared" si="13"/>
        <v>3</v>
      </c>
      <c r="R28" s="57">
        <f t="shared" si="13"/>
        <v>6</v>
      </c>
      <c r="S28" s="57">
        <f t="shared" si="13"/>
        <v>15</v>
      </c>
      <c r="T28" s="57">
        <f t="shared" si="13"/>
        <v>21</v>
      </c>
      <c r="U28" s="57">
        <f t="shared" si="13"/>
        <v>12</v>
      </c>
      <c r="V28" s="57">
        <f t="shared" si="13"/>
        <v>0</v>
      </c>
    </row>
    <row r="29" spans="2:22" ht="15" customHeight="1" outlineLevel="1" thickBot="1" x14ac:dyDescent="0.3">
      <c r="B29" s="76"/>
      <c r="C29" s="60" t="s">
        <v>335</v>
      </c>
      <c r="D29" s="61">
        <f>SUMIFS(Resumo_Trocas!$D:$D,Resumo_Trocas!$A:$A,$C29,Resumo_Trocas!$F:$F,D$27,Resumo_Trocas!$C:$C,"&gt;0")</f>
        <v>2</v>
      </c>
      <c r="E29" s="61">
        <f>SUMIFS(Resumo_Trocas!$D:$D,Resumo_Trocas!$A:$A,$C29,Resumo_Trocas!$F:$F,E$27,Resumo_Trocas!$C:$C,"&gt;0")</f>
        <v>0</v>
      </c>
      <c r="F29" s="61">
        <f>SUMIFS(Resumo_Trocas!$D:$D,Resumo_Trocas!$A:$A,$C29,Resumo_Trocas!$F:$F,F$27,Resumo_Trocas!$C:$C,"&gt;0")</f>
        <v>0</v>
      </c>
      <c r="G29" s="61">
        <f>SUMIFS(Resumo_Trocas!$D:$D,Resumo_Trocas!$A:$A,$C29,Resumo_Trocas!$F:$F,G$27,Resumo_Trocas!$C:$C,"&gt;0")</f>
        <v>0</v>
      </c>
      <c r="H29" s="61">
        <f>SUMIFS(Resumo_Trocas!$D:$D,Resumo_Trocas!$A:$A,$C29,Resumo_Trocas!$F:$F,H$27,Resumo_Trocas!$C:$C,"&gt;0")</f>
        <v>0</v>
      </c>
      <c r="I29" s="61">
        <f>SUMIFS(Resumo_Trocas!$D:$D,Resumo_Trocas!$A:$A,$C29,Resumo_Trocas!$F:$F,I$27,Resumo_Trocas!$C:$C,"&gt;0")</f>
        <v>0</v>
      </c>
      <c r="J29" s="61">
        <f>SUMIFS(Resumo_Trocas!$D:$D,Resumo_Trocas!$A:$A,$C29,Resumo_Trocas!$F:$F,J$27,Resumo_Trocas!$C:$C,"&gt;0")</f>
        <v>0</v>
      </c>
      <c r="K29" s="61">
        <f>SUMIFS(Resumo_Trocas!$D:$D,Resumo_Trocas!$A:$A,$C29,Resumo_Trocas!$F:$F,K$27,Resumo_Trocas!$C:$C,"&gt;0")</f>
        <v>0</v>
      </c>
      <c r="L29" s="61">
        <f>SUMIFS(Resumo_Trocas!$D:$D,Resumo_Trocas!$A:$A,$C29,Resumo_Trocas!$F:$F,L$27,Resumo_Trocas!$C:$C,"&gt;0")</f>
        <v>0</v>
      </c>
      <c r="M29" s="61">
        <f>SUMIFS(Resumo_Trocas!$D:$D,Resumo_Trocas!$A:$A,$C29,Resumo_Trocas!$F:$F,M$27,Resumo_Trocas!$C:$C,"&gt;0")</f>
        <v>0</v>
      </c>
      <c r="N29" s="61">
        <f>SUMIFS(Resumo_Trocas!$D:$D,Resumo_Trocas!$A:$A,$C29,Resumo_Trocas!$F:$F,N$27,Resumo_Trocas!$C:$C,"&gt;0")</f>
        <v>0</v>
      </c>
      <c r="O29" s="61">
        <f>SUMIFS(Resumo_Trocas!$D:$D,Resumo_Trocas!$A:$A,$C29,Resumo_Trocas!$F:$F,O$27,Resumo_Trocas!$C:$C,"&gt;0")</f>
        <v>2</v>
      </c>
      <c r="P29" s="61">
        <f>SUMIFS(Resumo_Trocas!$D:$D,Resumo_Trocas!$A:$A,$C29,Resumo_Trocas!$F:$F,P$27,Resumo_Trocas!$C:$C,"&gt;0")</f>
        <v>1</v>
      </c>
      <c r="Q29" s="61">
        <f>SUMIFS(Resumo_Trocas!$D:$D,Resumo_Trocas!$A:$A,$C29,Resumo_Trocas!$F:$F,Q$27,Resumo_Trocas!$C:$C,"&gt;0")</f>
        <v>0</v>
      </c>
      <c r="R29" s="61">
        <f>SUMIFS(Resumo_Trocas!$D:$D,Resumo_Trocas!$A:$A,$C29,Resumo_Trocas!$F:$F,R$27,Resumo_Trocas!$C:$C,"&gt;0")</f>
        <v>1</v>
      </c>
      <c r="S29" s="61">
        <f>SUMIFS(Resumo_Trocas!$D:$D,Resumo_Trocas!$A:$A,$C29,Resumo_Trocas!$F:$F,S$27,Resumo_Trocas!$C:$C,"&gt;0")</f>
        <v>1</v>
      </c>
      <c r="T29" s="61">
        <f>SUMIFS(Resumo_Trocas!$D:$D,Resumo_Trocas!$A:$A,$C29,Resumo_Trocas!$F:$F,T$27,Resumo_Trocas!$C:$C,"&gt;0")</f>
        <v>2</v>
      </c>
      <c r="U29" s="61">
        <f>SUMIFS(Resumo_Trocas!$D:$D,Resumo_Trocas!$A:$A,$C29,Resumo_Trocas!$F:$F,U$27,Resumo_Trocas!$C:$C,"&gt;0")</f>
        <v>1</v>
      </c>
      <c r="V29" s="61">
        <f>SUMIFS(Resumo_Trocas!$D:$D,Resumo_Trocas!$A:$A,$C29,Resumo_Trocas!$F:$F,V$27,Resumo_Trocas!$C:$C,"&gt;0")</f>
        <v>0</v>
      </c>
    </row>
    <row r="30" spans="2:22" ht="15" customHeight="1" outlineLevel="1" thickBot="1" x14ac:dyDescent="0.3">
      <c r="B30" s="76"/>
      <c r="C30" s="60" t="s">
        <v>337</v>
      </c>
      <c r="D30" s="61">
        <f>SUMIFS(Resumo_Trocas!$D:$D,Resumo_Trocas!$A:$A,$C30,Resumo_Trocas!$F:$F,D$27,Resumo_Trocas!$C:$C,"&gt;0")</f>
        <v>0</v>
      </c>
      <c r="E30" s="61">
        <f>SUMIFS(Resumo_Trocas!$D:$D,Resumo_Trocas!$A:$A,$C30,Resumo_Trocas!$F:$F,E$27,Resumo_Trocas!$C:$C,"&gt;0")</f>
        <v>0</v>
      </c>
      <c r="F30" s="61">
        <f>SUMIFS(Resumo_Trocas!$D:$D,Resumo_Trocas!$A:$A,$C30,Resumo_Trocas!$F:$F,F$27,Resumo_Trocas!$C:$C,"&gt;0")</f>
        <v>0</v>
      </c>
      <c r="G30" s="61">
        <f>SUMIFS(Resumo_Trocas!$D:$D,Resumo_Trocas!$A:$A,$C30,Resumo_Trocas!$F:$F,G$27,Resumo_Trocas!$C:$C,"&gt;0")</f>
        <v>0</v>
      </c>
      <c r="H30" s="61">
        <f>SUMIFS(Resumo_Trocas!$D:$D,Resumo_Trocas!$A:$A,$C30,Resumo_Trocas!$F:$F,H$27,Resumo_Trocas!$C:$C,"&gt;0")</f>
        <v>0</v>
      </c>
      <c r="I30" s="61">
        <f>SUMIFS(Resumo_Trocas!$D:$D,Resumo_Trocas!$A:$A,$C30,Resumo_Trocas!$F:$F,I$27,Resumo_Trocas!$C:$C,"&gt;0")</f>
        <v>0</v>
      </c>
      <c r="J30" s="61">
        <f>SUMIFS(Resumo_Trocas!$D:$D,Resumo_Trocas!$A:$A,$C30,Resumo_Trocas!$F:$F,J$27,Resumo_Trocas!$C:$C,"&gt;0")</f>
        <v>0</v>
      </c>
      <c r="K30" s="61">
        <f>SUMIFS(Resumo_Trocas!$D:$D,Resumo_Trocas!$A:$A,$C30,Resumo_Trocas!$F:$F,K$27,Resumo_Trocas!$C:$C,"&gt;0")</f>
        <v>0</v>
      </c>
      <c r="L30" s="61">
        <f>SUMIFS(Resumo_Trocas!$D:$D,Resumo_Trocas!$A:$A,$C30,Resumo_Trocas!$F:$F,L$27,Resumo_Trocas!$C:$C,"&gt;0")</f>
        <v>0</v>
      </c>
      <c r="M30" s="61">
        <f>SUMIFS(Resumo_Trocas!$D:$D,Resumo_Trocas!$A:$A,$C30,Resumo_Trocas!$F:$F,M$27,Resumo_Trocas!$C:$C,"&gt;0")</f>
        <v>0</v>
      </c>
      <c r="N30" s="61">
        <f>SUMIFS(Resumo_Trocas!$D:$D,Resumo_Trocas!$A:$A,$C30,Resumo_Trocas!$F:$F,N$27,Resumo_Trocas!$C:$C,"&gt;0")</f>
        <v>0</v>
      </c>
      <c r="O30" s="61">
        <f>SUMIFS(Resumo_Trocas!$D:$D,Resumo_Trocas!$A:$A,$C30,Resumo_Trocas!$F:$F,O$27,Resumo_Trocas!$C:$C,"&gt;0")</f>
        <v>0</v>
      </c>
      <c r="P30" s="61">
        <f>SUMIFS(Resumo_Trocas!$D:$D,Resumo_Trocas!$A:$A,$C30,Resumo_Trocas!$F:$F,P$27,Resumo_Trocas!$C:$C,"&gt;0")</f>
        <v>0</v>
      </c>
      <c r="Q30" s="61">
        <f>SUMIFS(Resumo_Trocas!$D:$D,Resumo_Trocas!$A:$A,$C30,Resumo_Trocas!$F:$F,Q$27,Resumo_Trocas!$C:$C,"&gt;0")</f>
        <v>0</v>
      </c>
      <c r="R30" s="61">
        <f>SUMIFS(Resumo_Trocas!$D:$D,Resumo_Trocas!$A:$A,$C30,Resumo_Trocas!$F:$F,R$27,Resumo_Trocas!$C:$C,"&gt;0")</f>
        <v>0</v>
      </c>
      <c r="S30" s="61">
        <f>SUMIFS(Resumo_Trocas!$D:$D,Resumo_Trocas!$A:$A,$C30,Resumo_Trocas!$F:$F,S$27,Resumo_Trocas!$C:$C,"&gt;0")</f>
        <v>0</v>
      </c>
      <c r="T30" s="61">
        <f>SUMIFS(Resumo_Trocas!$D:$D,Resumo_Trocas!$A:$A,$C30,Resumo_Trocas!$F:$F,T$27,Resumo_Trocas!$C:$C,"&gt;0")</f>
        <v>0</v>
      </c>
      <c r="U30" s="61">
        <f>SUMIFS(Resumo_Trocas!$D:$D,Resumo_Trocas!$A:$A,$C30,Resumo_Trocas!$F:$F,U$27,Resumo_Trocas!$C:$C,"&gt;0")</f>
        <v>0</v>
      </c>
      <c r="V30" s="61">
        <f>SUMIFS(Resumo_Trocas!$D:$D,Resumo_Trocas!$A:$A,$C30,Resumo_Trocas!$F:$F,V$27,Resumo_Trocas!$C:$C,"&gt;0")</f>
        <v>0</v>
      </c>
    </row>
    <row r="31" spans="2:22" ht="15" customHeight="1" outlineLevel="1" thickBot="1" x14ac:dyDescent="0.3">
      <c r="B31" s="76"/>
      <c r="C31" s="60" t="s">
        <v>338</v>
      </c>
      <c r="D31" s="61">
        <f>SUMIFS(Resumo_Trocas!$D:$D,Resumo_Trocas!$A:$A,$C31,Resumo_Trocas!$F:$F,D$27,Resumo_Trocas!$C:$C,"&gt;0")</f>
        <v>1</v>
      </c>
      <c r="E31" s="61">
        <f>SUMIFS(Resumo_Trocas!$D:$D,Resumo_Trocas!$A:$A,$C31,Resumo_Trocas!$F:$F,E$27,Resumo_Trocas!$C:$C,"&gt;0")</f>
        <v>0</v>
      </c>
      <c r="F31" s="61">
        <f>SUMIFS(Resumo_Trocas!$D:$D,Resumo_Trocas!$A:$A,$C31,Resumo_Trocas!$F:$F,F$27,Resumo_Trocas!$C:$C,"&gt;0")</f>
        <v>0</v>
      </c>
      <c r="G31" s="61">
        <f>SUMIFS(Resumo_Trocas!$D:$D,Resumo_Trocas!$A:$A,$C31,Resumo_Trocas!$F:$F,G$27,Resumo_Trocas!$C:$C,"&gt;0")</f>
        <v>0</v>
      </c>
      <c r="H31" s="61">
        <f>SUMIFS(Resumo_Trocas!$D:$D,Resumo_Trocas!$A:$A,$C31,Resumo_Trocas!$F:$F,H$27,Resumo_Trocas!$C:$C,"&gt;0")</f>
        <v>0</v>
      </c>
      <c r="I31" s="61">
        <f>SUMIFS(Resumo_Trocas!$D:$D,Resumo_Trocas!$A:$A,$C31,Resumo_Trocas!$F:$F,I$27,Resumo_Trocas!$C:$C,"&gt;0")</f>
        <v>0</v>
      </c>
      <c r="J31" s="61">
        <f>SUMIFS(Resumo_Trocas!$D:$D,Resumo_Trocas!$A:$A,$C31,Resumo_Trocas!$F:$F,J$27,Resumo_Trocas!$C:$C,"&gt;0")</f>
        <v>0</v>
      </c>
      <c r="K31" s="61">
        <f>SUMIFS(Resumo_Trocas!$D:$D,Resumo_Trocas!$A:$A,$C31,Resumo_Trocas!$F:$F,K$27,Resumo_Trocas!$C:$C,"&gt;0")</f>
        <v>0</v>
      </c>
      <c r="L31" s="61">
        <f>SUMIFS(Resumo_Trocas!$D:$D,Resumo_Trocas!$A:$A,$C31,Resumo_Trocas!$F:$F,L$27,Resumo_Trocas!$C:$C,"&gt;0")</f>
        <v>0</v>
      </c>
      <c r="M31" s="61">
        <f>SUMIFS(Resumo_Trocas!$D:$D,Resumo_Trocas!$A:$A,$C31,Resumo_Trocas!$F:$F,M$27,Resumo_Trocas!$C:$C,"&gt;0")</f>
        <v>0</v>
      </c>
      <c r="N31" s="61">
        <f>SUMIFS(Resumo_Trocas!$D:$D,Resumo_Trocas!$A:$A,$C31,Resumo_Trocas!$F:$F,N$27,Resumo_Trocas!$C:$C,"&gt;0")</f>
        <v>0</v>
      </c>
      <c r="O31" s="61">
        <f>SUMIFS(Resumo_Trocas!$D:$D,Resumo_Trocas!$A:$A,$C31,Resumo_Trocas!$F:$F,O$27,Resumo_Trocas!$C:$C,"&gt;0")</f>
        <v>0</v>
      </c>
      <c r="P31" s="61">
        <f>SUMIFS(Resumo_Trocas!$D:$D,Resumo_Trocas!$A:$A,$C31,Resumo_Trocas!$F:$F,P$27,Resumo_Trocas!$C:$C,"&gt;0")</f>
        <v>0</v>
      </c>
      <c r="Q31" s="61">
        <f>SUMIFS(Resumo_Trocas!$D:$D,Resumo_Trocas!$A:$A,$C31,Resumo_Trocas!$F:$F,Q$27,Resumo_Trocas!$C:$C,"&gt;0")</f>
        <v>0</v>
      </c>
      <c r="R31" s="61">
        <f>SUMIFS(Resumo_Trocas!$D:$D,Resumo_Trocas!$A:$A,$C31,Resumo_Trocas!$F:$F,R$27,Resumo_Trocas!$C:$C,"&gt;0")</f>
        <v>0</v>
      </c>
      <c r="S31" s="61">
        <f>SUMIFS(Resumo_Trocas!$D:$D,Resumo_Trocas!$A:$A,$C31,Resumo_Trocas!$F:$F,S$27,Resumo_Trocas!$C:$C,"&gt;0")</f>
        <v>0</v>
      </c>
      <c r="T31" s="61">
        <f>SUMIFS(Resumo_Trocas!$D:$D,Resumo_Trocas!$A:$A,$C31,Resumo_Trocas!$F:$F,T$27,Resumo_Trocas!$C:$C,"&gt;0")</f>
        <v>0</v>
      </c>
      <c r="U31" s="61">
        <f>SUMIFS(Resumo_Trocas!$D:$D,Resumo_Trocas!$A:$A,$C31,Resumo_Trocas!$F:$F,U$27,Resumo_Trocas!$C:$C,"&gt;0")</f>
        <v>0</v>
      </c>
      <c r="V31" s="61">
        <f>SUMIFS(Resumo_Trocas!$D:$D,Resumo_Trocas!$A:$A,$C31,Resumo_Trocas!$F:$F,V$27,Resumo_Trocas!$C:$C,"&gt;0")</f>
        <v>0</v>
      </c>
    </row>
    <row r="32" spans="2:22" ht="15" customHeight="1" outlineLevel="1" thickBot="1" x14ac:dyDescent="0.3">
      <c r="B32" s="76"/>
      <c r="C32" s="60" t="s">
        <v>344</v>
      </c>
      <c r="D32" s="61">
        <f>SUMIFS(Resumo_Trocas!$D:$D,Resumo_Trocas!$A:$A,$C32,Resumo_Trocas!$F:$F,D$27,Resumo_Trocas!$C:$C,"&gt;0")</f>
        <v>0</v>
      </c>
      <c r="E32" s="61">
        <f>SUMIFS(Resumo_Trocas!$D:$D,Resumo_Trocas!$A:$A,$C32,Resumo_Trocas!$F:$F,E$27,Resumo_Trocas!$C:$C,"&gt;0")</f>
        <v>0</v>
      </c>
      <c r="F32" s="61">
        <f>SUMIFS(Resumo_Trocas!$D:$D,Resumo_Trocas!$A:$A,$C32,Resumo_Trocas!$F:$F,F$27,Resumo_Trocas!$C:$C,"&gt;0")</f>
        <v>0</v>
      </c>
      <c r="G32" s="61">
        <f>SUMIFS(Resumo_Trocas!$D:$D,Resumo_Trocas!$A:$A,$C32,Resumo_Trocas!$F:$F,G$27,Resumo_Trocas!$C:$C,"&gt;0")</f>
        <v>0</v>
      </c>
      <c r="H32" s="61">
        <f>SUMIFS(Resumo_Trocas!$D:$D,Resumo_Trocas!$A:$A,$C32,Resumo_Trocas!$F:$F,H$27,Resumo_Trocas!$C:$C,"&gt;0")</f>
        <v>0</v>
      </c>
      <c r="I32" s="61">
        <f>SUMIFS(Resumo_Trocas!$D:$D,Resumo_Trocas!$A:$A,$C32,Resumo_Trocas!$F:$F,I$27,Resumo_Trocas!$C:$C,"&gt;0")</f>
        <v>0</v>
      </c>
      <c r="J32" s="61">
        <f>SUMIFS(Resumo_Trocas!$D:$D,Resumo_Trocas!$A:$A,$C32,Resumo_Trocas!$F:$F,J$27,Resumo_Trocas!$C:$C,"&gt;0")</f>
        <v>0</v>
      </c>
      <c r="K32" s="61">
        <f>SUMIFS(Resumo_Trocas!$D:$D,Resumo_Trocas!$A:$A,$C32,Resumo_Trocas!$F:$F,K$27,Resumo_Trocas!$C:$C,"&gt;0")</f>
        <v>0</v>
      </c>
      <c r="L32" s="61">
        <f>SUMIFS(Resumo_Trocas!$D:$D,Resumo_Trocas!$A:$A,$C32,Resumo_Trocas!$F:$F,L$27,Resumo_Trocas!$C:$C,"&gt;0")</f>
        <v>0</v>
      </c>
      <c r="M32" s="61">
        <f>SUMIFS(Resumo_Trocas!$D:$D,Resumo_Trocas!$A:$A,$C32,Resumo_Trocas!$F:$F,M$27,Resumo_Trocas!$C:$C,"&gt;0")</f>
        <v>0</v>
      </c>
      <c r="N32" s="61">
        <f>SUMIFS(Resumo_Trocas!$D:$D,Resumo_Trocas!$A:$A,$C32,Resumo_Trocas!$F:$F,N$27,Resumo_Trocas!$C:$C,"&gt;0")</f>
        <v>0</v>
      </c>
      <c r="O32" s="61">
        <f>SUMIFS(Resumo_Trocas!$D:$D,Resumo_Trocas!$A:$A,$C32,Resumo_Trocas!$F:$F,O$27,Resumo_Trocas!$C:$C,"&gt;0")</f>
        <v>1</v>
      </c>
      <c r="P32" s="61">
        <f>SUMIFS(Resumo_Trocas!$D:$D,Resumo_Trocas!$A:$A,$C32,Resumo_Trocas!$F:$F,P$27,Resumo_Trocas!$C:$C,"&gt;0")</f>
        <v>0</v>
      </c>
      <c r="Q32" s="61">
        <f>SUMIFS(Resumo_Trocas!$D:$D,Resumo_Trocas!$A:$A,$C32,Resumo_Trocas!$F:$F,Q$27,Resumo_Trocas!$C:$C,"&gt;0")</f>
        <v>0</v>
      </c>
      <c r="R32" s="61">
        <f>SUMIFS(Resumo_Trocas!$D:$D,Resumo_Trocas!$A:$A,$C32,Resumo_Trocas!$F:$F,R$27,Resumo_Trocas!$C:$C,"&gt;0")</f>
        <v>0</v>
      </c>
      <c r="S32" s="61">
        <f>SUMIFS(Resumo_Trocas!$D:$D,Resumo_Trocas!$A:$A,$C32,Resumo_Trocas!$F:$F,S$27,Resumo_Trocas!$C:$C,"&gt;0")</f>
        <v>0</v>
      </c>
      <c r="T32" s="61">
        <f>SUMIFS(Resumo_Trocas!$D:$D,Resumo_Trocas!$A:$A,$C32,Resumo_Trocas!$F:$F,T$27,Resumo_Trocas!$C:$C,"&gt;0")</f>
        <v>1</v>
      </c>
      <c r="U32" s="61">
        <f>SUMIFS(Resumo_Trocas!$D:$D,Resumo_Trocas!$A:$A,$C32,Resumo_Trocas!$F:$F,U$27,Resumo_Trocas!$C:$C,"&gt;0")</f>
        <v>0</v>
      </c>
      <c r="V32" s="61">
        <f>SUMIFS(Resumo_Trocas!$D:$D,Resumo_Trocas!$A:$A,$C32,Resumo_Trocas!$F:$F,V$27,Resumo_Trocas!$C:$C,"&gt;0")</f>
        <v>0</v>
      </c>
    </row>
    <row r="33" spans="2:22" ht="15" customHeight="1" outlineLevel="1" thickBot="1" x14ac:dyDescent="0.3">
      <c r="B33" s="76"/>
      <c r="C33" s="60" t="s">
        <v>350</v>
      </c>
      <c r="D33" s="61">
        <f>SUMIFS(Resumo_Trocas!$D:$D,Resumo_Trocas!$A:$A,$C33,Resumo_Trocas!$F:$F,D$27,Resumo_Trocas!$C:$C,"&gt;0")</f>
        <v>1</v>
      </c>
      <c r="E33" s="61">
        <f>SUMIFS(Resumo_Trocas!$D:$D,Resumo_Trocas!$A:$A,$C33,Resumo_Trocas!$F:$F,E$27,Resumo_Trocas!$C:$C,"&gt;0")</f>
        <v>0</v>
      </c>
      <c r="F33" s="61">
        <f>SUMIFS(Resumo_Trocas!$D:$D,Resumo_Trocas!$A:$A,$C33,Resumo_Trocas!$F:$F,F$27,Resumo_Trocas!$C:$C,"&gt;0")</f>
        <v>0</v>
      </c>
      <c r="G33" s="61">
        <f>SUMIFS(Resumo_Trocas!$D:$D,Resumo_Trocas!$A:$A,$C33,Resumo_Trocas!$F:$F,G$27,Resumo_Trocas!$C:$C,"&gt;0")</f>
        <v>0</v>
      </c>
      <c r="H33" s="61">
        <f>SUMIFS(Resumo_Trocas!$D:$D,Resumo_Trocas!$A:$A,$C33,Resumo_Trocas!$F:$F,H$27,Resumo_Trocas!$C:$C,"&gt;0")</f>
        <v>0</v>
      </c>
      <c r="I33" s="61">
        <f>SUMIFS(Resumo_Trocas!$D:$D,Resumo_Trocas!$A:$A,$C33,Resumo_Trocas!$F:$F,I$27,Resumo_Trocas!$C:$C,"&gt;0")</f>
        <v>0</v>
      </c>
      <c r="J33" s="61">
        <f>SUMIFS(Resumo_Trocas!$D:$D,Resumo_Trocas!$A:$A,$C33,Resumo_Trocas!$F:$F,J$27,Resumo_Trocas!$C:$C,"&gt;0")</f>
        <v>1</v>
      </c>
      <c r="K33" s="61">
        <f>SUMIFS(Resumo_Trocas!$D:$D,Resumo_Trocas!$A:$A,$C33,Resumo_Trocas!$F:$F,K$27,Resumo_Trocas!$C:$C,"&gt;0")</f>
        <v>0</v>
      </c>
      <c r="L33" s="61">
        <f>SUMIFS(Resumo_Trocas!$D:$D,Resumo_Trocas!$A:$A,$C33,Resumo_Trocas!$F:$F,L$27,Resumo_Trocas!$C:$C,"&gt;0")</f>
        <v>0</v>
      </c>
      <c r="M33" s="61">
        <f>SUMIFS(Resumo_Trocas!$D:$D,Resumo_Trocas!$A:$A,$C33,Resumo_Trocas!$F:$F,M$27,Resumo_Trocas!$C:$C,"&gt;0")</f>
        <v>0</v>
      </c>
      <c r="N33" s="61">
        <f>SUMIFS(Resumo_Trocas!$D:$D,Resumo_Trocas!$A:$A,$C33,Resumo_Trocas!$F:$F,N$27,Resumo_Trocas!$C:$C,"&gt;0")</f>
        <v>0</v>
      </c>
      <c r="O33" s="61">
        <f>SUMIFS(Resumo_Trocas!$D:$D,Resumo_Trocas!$A:$A,$C33,Resumo_Trocas!$F:$F,O$27,Resumo_Trocas!$C:$C,"&gt;0")</f>
        <v>1</v>
      </c>
      <c r="P33" s="61">
        <f>SUMIFS(Resumo_Trocas!$D:$D,Resumo_Trocas!$A:$A,$C33,Resumo_Trocas!$F:$F,P$27,Resumo_Trocas!$C:$C,"&gt;0")</f>
        <v>0</v>
      </c>
      <c r="Q33" s="61">
        <f>SUMIFS(Resumo_Trocas!$D:$D,Resumo_Trocas!$A:$A,$C33,Resumo_Trocas!$F:$F,Q$27,Resumo_Trocas!$C:$C,"&gt;0")</f>
        <v>0</v>
      </c>
      <c r="R33" s="61">
        <f>SUMIFS(Resumo_Trocas!$D:$D,Resumo_Trocas!$A:$A,$C33,Resumo_Trocas!$F:$F,R$27,Resumo_Trocas!$C:$C,"&gt;0")</f>
        <v>1</v>
      </c>
      <c r="S33" s="61">
        <f>SUMIFS(Resumo_Trocas!$D:$D,Resumo_Trocas!$A:$A,$C33,Resumo_Trocas!$F:$F,S$27,Resumo_Trocas!$C:$C,"&gt;0")</f>
        <v>1</v>
      </c>
      <c r="T33" s="61">
        <f>SUMIFS(Resumo_Trocas!$D:$D,Resumo_Trocas!$A:$A,$C33,Resumo_Trocas!$F:$F,T$27,Resumo_Trocas!$C:$C,"&gt;0")</f>
        <v>1</v>
      </c>
      <c r="U33" s="61">
        <f>SUMIFS(Resumo_Trocas!$D:$D,Resumo_Trocas!$A:$A,$C33,Resumo_Trocas!$F:$F,U$27,Resumo_Trocas!$C:$C,"&gt;0")</f>
        <v>0</v>
      </c>
      <c r="V33" s="61">
        <f>SUMIFS(Resumo_Trocas!$D:$D,Resumo_Trocas!$A:$A,$C33,Resumo_Trocas!$F:$F,V$27,Resumo_Trocas!$C:$C,"&gt;0")</f>
        <v>0</v>
      </c>
    </row>
    <row r="34" spans="2:22" ht="15" customHeight="1" outlineLevel="1" thickBot="1" x14ac:dyDescent="0.3">
      <c r="B34" s="76"/>
      <c r="C34" s="60" t="s">
        <v>357</v>
      </c>
      <c r="D34" s="61">
        <f>SUMIFS(Resumo_Trocas!$D:$D,Resumo_Trocas!$A:$A,$C34,Resumo_Trocas!$F:$F,D$27,Resumo_Trocas!$C:$C,"&gt;0")</f>
        <v>0</v>
      </c>
      <c r="E34" s="61">
        <f>SUMIFS(Resumo_Trocas!$D:$D,Resumo_Trocas!$A:$A,$C34,Resumo_Trocas!$F:$F,E$27,Resumo_Trocas!$C:$C,"&gt;0")</f>
        <v>0</v>
      </c>
      <c r="F34" s="61">
        <f>SUMIFS(Resumo_Trocas!$D:$D,Resumo_Trocas!$A:$A,$C34,Resumo_Trocas!$F:$F,F$27,Resumo_Trocas!$C:$C,"&gt;0")</f>
        <v>0</v>
      </c>
      <c r="G34" s="61">
        <f>SUMIFS(Resumo_Trocas!$D:$D,Resumo_Trocas!$A:$A,$C34,Resumo_Trocas!$F:$F,G$27,Resumo_Trocas!$C:$C,"&gt;0")</f>
        <v>0</v>
      </c>
      <c r="H34" s="61">
        <f>SUMIFS(Resumo_Trocas!$D:$D,Resumo_Trocas!$A:$A,$C34,Resumo_Trocas!$F:$F,H$27,Resumo_Trocas!$C:$C,"&gt;0")</f>
        <v>0</v>
      </c>
      <c r="I34" s="61">
        <f>SUMIFS(Resumo_Trocas!$D:$D,Resumo_Trocas!$A:$A,$C34,Resumo_Trocas!$F:$F,I$27,Resumo_Trocas!$C:$C,"&gt;0")</f>
        <v>0</v>
      </c>
      <c r="J34" s="61">
        <f>SUMIFS(Resumo_Trocas!$D:$D,Resumo_Trocas!$A:$A,$C34,Resumo_Trocas!$F:$F,J$27,Resumo_Trocas!$C:$C,"&gt;0")</f>
        <v>0</v>
      </c>
      <c r="K34" s="61">
        <f>SUMIFS(Resumo_Trocas!$D:$D,Resumo_Trocas!$A:$A,$C34,Resumo_Trocas!$F:$F,K$27,Resumo_Trocas!$C:$C,"&gt;0")</f>
        <v>0</v>
      </c>
      <c r="L34" s="61">
        <f>SUMIFS(Resumo_Trocas!$D:$D,Resumo_Trocas!$A:$A,$C34,Resumo_Trocas!$F:$F,L$27,Resumo_Trocas!$C:$C,"&gt;0")</f>
        <v>0</v>
      </c>
      <c r="M34" s="61">
        <f>SUMIFS(Resumo_Trocas!$D:$D,Resumo_Trocas!$A:$A,$C34,Resumo_Trocas!$F:$F,M$27,Resumo_Trocas!$C:$C,"&gt;0")</f>
        <v>0</v>
      </c>
      <c r="N34" s="61">
        <f>SUMIFS(Resumo_Trocas!$D:$D,Resumo_Trocas!$A:$A,$C34,Resumo_Trocas!$F:$F,N$27,Resumo_Trocas!$C:$C,"&gt;0")</f>
        <v>0</v>
      </c>
      <c r="O34" s="61">
        <f>SUMIFS(Resumo_Trocas!$D:$D,Resumo_Trocas!$A:$A,$C34,Resumo_Trocas!$F:$F,O$27,Resumo_Trocas!$C:$C,"&gt;0")</f>
        <v>0</v>
      </c>
      <c r="P34" s="61">
        <f>SUMIFS(Resumo_Trocas!$D:$D,Resumo_Trocas!$A:$A,$C34,Resumo_Trocas!$F:$F,P$27,Resumo_Trocas!$C:$C,"&gt;0")</f>
        <v>0</v>
      </c>
      <c r="Q34" s="61">
        <f>SUMIFS(Resumo_Trocas!$D:$D,Resumo_Trocas!$A:$A,$C34,Resumo_Trocas!$F:$F,Q$27,Resumo_Trocas!$C:$C,"&gt;0")</f>
        <v>0</v>
      </c>
      <c r="R34" s="61">
        <f>SUMIFS(Resumo_Trocas!$D:$D,Resumo_Trocas!$A:$A,$C34,Resumo_Trocas!$F:$F,R$27,Resumo_Trocas!$C:$C,"&gt;0")</f>
        <v>0</v>
      </c>
      <c r="S34" s="61">
        <f>SUMIFS(Resumo_Trocas!$D:$D,Resumo_Trocas!$A:$A,$C34,Resumo_Trocas!$F:$F,S$27,Resumo_Trocas!$C:$C,"&gt;0")</f>
        <v>0</v>
      </c>
      <c r="T34" s="61">
        <f>SUMIFS(Resumo_Trocas!$D:$D,Resumo_Trocas!$A:$A,$C34,Resumo_Trocas!$F:$F,T$27,Resumo_Trocas!$C:$C,"&gt;0")</f>
        <v>0</v>
      </c>
      <c r="U34" s="61">
        <f>SUMIFS(Resumo_Trocas!$D:$D,Resumo_Trocas!$A:$A,$C34,Resumo_Trocas!$F:$F,U$27,Resumo_Trocas!$C:$C,"&gt;0")</f>
        <v>0</v>
      </c>
      <c r="V34" s="61">
        <f>SUMIFS(Resumo_Trocas!$D:$D,Resumo_Trocas!$A:$A,$C34,Resumo_Trocas!$F:$F,V$27,Resumo_Trocas!$C:$C,"&gt;0")</f>
        <v>0</v>
      </c>
    </row>
    <row r="35" spans="2:22" ht="15" customHeight="1" outlineLevel="1" thickBot="1" x14ac:dyDescent="0.3">
      <c r="B35" s="76"/>
      <c r="C35" s="60" t="s">
        <v>360</v>
      </c>
      <c r="D35" s="61">
        <f>SUMIFS(Resumo_Trocas!$D:$D,Resumo_Trocas!$A:$A,$C35,Resumo_Trocas!$F:$F,D$27,Resumo_Trocas!$C:$C,"&gt;0")</f>
        <v>0</v>
      </c>
      <c r="E35" s="61">
        <f>SUMIFS(Resumo_Trocas!$D:$D,Resumo_Trocas!$A:$A,$C35,Resumo_Trocas!$F:$F,E$27,Resumo_Trocas!$C:$C,"&gt;0")</f>
        <v>0</v>
      </c>
      <c r="F35" s="61">
        <f>SUMIFS(Resumo_Trocas!$D:$D,Resumo_Trocas!$A:$A,$C35,Resumo_Trocas!$F:$F,F$27,Resumo_Trocas!$C:$C,"&gt;0")</f>
        <v>0</v>
      </c>
      <c r="G35" s="61">
        <f>SUMIFS(Resumo_Trocas!$D:$D,Resumo_Trocas!$A:$A,$C35,Resumo_Trocas!$F:$F,G$27,Resumo_Trocas!$C:$C,"&gt;0")</f>
        <v>0</v>
      </c>
      <c r="H35" s="61">
        <f>SUMIFS(Resumo_Trocas!$D:$D,Resumo_Trocas!$A:$A,$C35,Resumo_Trocas!$F:$F,H$27,Resumo_Trocas!$C:$C,"&gt;0")</f>
        <v>0</v>
      </c>
      <c r="I35" s="61">
        <f>SUMIFS(Resumo_Trocas!$D:$D,Resumo_Trocas!$A:$A,$C35,Resumo_Trocas!$F:$F,I$27,Resumo_Trocas!$C:$C,"&gt;0")</f>
        <v>0</v>
      </c>
      <c r="J35" s="61">
        <f>SUMIFS(Resumo_Trocas!$D:$D,Resumo_Trocas!$A:$A,$C35,Resumo_Trocas!$F:$F,J$27,Resumo_Trocas!$C:$C,"&gt;0")</f>
        <v>0</v>
      </c>
      <c r="K35" s="61">
        <f>SUMIFS(Resumo_Trocas!$D:$D,Resumo_Trocas!$A:$A,$C35,Resumo_Trocas!$F:$F,K$27,Resumo_Trocas!$C:$C,"&gt;0")</f>
        <v>0</v>
      </c>
      <c r="L35" s="61">
        <f>SUMIFS(Resumo_Trocas!$D:$D,Resumo_Trocas!$A:$A,$C35,Resumo_Trocas!$F:$F,L$27,Resumo_Trocas!$C:$C,"&gt;0")</f>
        <v>0</v>
      </c>
      <c r="M35" s="61">
        <f>SUMIFS(Resumo_Trocas!$D:$D,Resumo_Trocas!$A:$A,$C35,Resumo_Trocas!$F:$F,M$27,Resumo_Trocas!$C:$C,"&gt;0")</f>
        <v>0</v>
      </c>
      <c r="N35" s="61">
        <f>SUMIFS(Resumo_Trocas!$D:$D,Resumo_Trocas!$A:$A,$C35,Resumo_Trocas!$F:$F,N$27,Resumo_Trocas!$C:$C,"&gt;0")</f>
        <v>0</v>
      </c>
      <c r="O35" s="61">
        <f>SUMIFS(Resumo_Trocas!$D:$D,Resumo_Trocas!$A:$A,$C35,Resumo_Trocas!$F:$F,O$27,Resumo_Trocas!$C:$C,"&gt;0")</f>
        <v>3</v>
      </c>
      <c r="P35" s="61">
        <f>SUMIFS(Resumo_Trocas!$D:$D,Resumo_Trocas!$A:$A,$C35,Resumo_Trocas!$F:$F,P$27,Resumo_Trocas!$C:$C,"&gt;0")</f>
        <v>3</v>
      </c>
      <c r="Q35" s="61">
        <f>SUMIFS(Resumo_Trocas!$D:$D,Resumo_Trocas!$A:$A,$C35,Resumo_Trocas!$F:$F,Q$27,Resumo_Trocas!$C:$C,"&gt;0")</f>
        <v>3</v>
      </c>
      <c r="R35" s="61">
        <f>SUMIFS(Resumo_Trocas!$D:$D,Resumo_Trocas!$A:$A,$C35,Resumo_Trocas!$F:$F,R$27,Resumo_Trocas!$C:$C,"&gt;0")</f>
        <v>0</v>
      </c>
      <c r="S35" s="61">
        <f>SUMIFS(Resumo_Trocas!$D:$D,Resumo_Trocas!$A:$A,$C35,Resumo_Trocas!$F:$F,S$27,Resumo_Trocas!$C:$C,"&gt;0")</f>
        <v>3</v>
      </c>
      <c r="T35" s="61">
        <f>SUMIFS(Resumo_Trocas!$D:$D,Resumo_Trocas!$A:$A,$C35,Resumo_Trocas!$F:$F,T$27,Resumo_Trocas!$C:$C,"&gt;0")</f>
        <v>6</v>
      </c>
      <c r="U35" s="61">
        <f>SUMIFS(Resumo_Trocas!$D:$D,Resumo_Trocas!$A:$A,$C35,Resumo_Trocas!$F:$F,U$27,Resumo_Trocas!$C:$C,"&gt;0")</f>
        <v>4</v>
      </c>
      <c r="V35" s="61">
        <f>SUMIFS(Resumo_Trocas!$D:$D,Resumo_Trocas!$A:$A,$C35,Resumo_Trocas!$F:$F,V$27,Resumo_Trocas!$C:$C,"&gt;0")</f>
        <v>0</v>
      </c>
    </row>
    <row r="36" spans="2:22" ht="15" customHeight="1" outlineLevel="1" thickBot="1" x14ac:dyDescent="0.3">
      <c r="B36" s="76"/>
      <c r="C36" s="60" t="s">
        <v>365</v>
      </c>
      <c r="D36" s="61">
        <f>SUMIFS(Resumo_Trocas!$D:$D,Resumo_Trocas!$A:$A,$C36,Resumo_Trocas!$F:$F,D$27,Resumo_Trocas!$C:$C,"&gt;0")</f>
        <v>0</v>
      </c>
      <c r="E36" s="61">
        <f>SUMIFS(Resumo_Trocas!$D:$D,Resumo_Trocas!$A:$A,$C36,Resumo_Trocas!$F:$F,E$27,Resumo_Trocas!$C:$C,"&gt;0")</f>
        <v>0</v>
      </c>
      <c r="F36" s="61">
        <f>SUMIFS(Resumo_Trocas!$D:$D,Resumo_Trocas!$A:$A,$C36,Resumo_Trocas!$F:$F,F$27,Resumo_Trocas!$C:$C,"&gt;0")</f>
        <v>0</v>
      </c>
      <c r="G36" s="61">
        <f>SUMIFS(Resumo_Trocas!$D:$D,Resumo_Trocas!$A:$A,$C36,Resumo_Trocas!$F:$F,G$27,Resumo_Trocas!$C:$C,"&gt;0")</f>
        <v>0</v>
      </c>
      <c r="H36" s="61">
        <f>SUMIFS(Resumo_Trocas!$D:$D,Resumo_Trocas!$A:$A,$C36,Resumo_Trocas!$F:$F,H$27,Resumo_Trocas!$C:$C,"&gt;0")</f>
        <v>0</v>
      </c>
      <c r="I36" s="61">
        <f>SUMIFS(Resumo_Trocas!$D:$D,Resumo_Trocas!$A:$A,$C36,Resumo_Trocas!$F:$F,I$27,Resumo_Trocas!$C:$C,"&gt;0")</f>
        <v>0</v>
      </c>
      <c r="J36" s="61">
        <f>SUMIFS(Resumo_Trocas!$D:$D,Resumo_Trocas!$A:$A,$C36,Resumo_Trocas!$F:$F,J$27,Resumo_Trocas!$C:$C,"&gt;0")</f>
        <v>0</v>
      </c>
      <c r="K36" s="61">
        <f>SUMIFS(Resumo_Trocas!$D:$D,Resumo_Trocas!$A:$A,$C36,Resumo_Trocas!$F:$F,K$27,Resumo_Trocas!$C:$C,"&gt;0")</f>
        <v>0</v>
      </c>
      <c r="L36" s="61">
        <f>SUMIFS(Resumo_Trocas!$D:$D,Resumo_Trocas!$A:$A,$C36,Resumo_Trocas!$F:$F,L$27,Resumo_Trocas!$C:$C,"&gt;0")</f>
        <v>0</v>
      </c>
      <c r="M36" s="61">
        <f>SUMIFS(Resumo_Trocas!$D:$D,Resumo_Trocas!$A:$A,$C36,Resumo_Trocas!$F:$F,M$27,Resumo_Trocas!$C:$C,"&gt;0")</f>
        <v>0</v>
      </c>
      <c r="N36" s="61">
        <f>SUMIFS(Resumo_Trocas!$D:$D,Resumo_Trocas!$A:$A,$C36,Resumo_Trocas!$F:$F,N$27,Resumo_Trocas!$C:$C,"&gt;0")</f>
        <v>0</v>
      </c>
      <c r="O36" s="61">
        <f>SUMIFS(Resumo_Trocas!$D:$D,Resumo_Trocas!$A:$A,$C36,Resumo_Trocas!$F:$F,O$27,Resumo_Trocas!$C:$C,"&gt;0")</f>
        <v>0</v>
      </c>
      <c r="P36" s="61">
        <f>SUMIFS(Resumo_Trocas!$D:$D,Resumo_Trocas!$A:$A,$C36,Resumo_Trocas!$F:$F,P$27,Resumo_Trocas!$C:$C,"&gt;0")</f>
        <v>0</v>
      </c>
      <c r="Q36" s="61">
        <f>SUMIFS(Resumo_Trocas!$D:$D,Resumo_Trocas!$A:$A,$C36,Resumo_Trocas!$F:$F,Q$27,Resumo_Trocas!$C:$C,"&gt;0")</f>
        <v>0</v>
      </c>
      <c r="R36" s="61">
        <f>SUMIFS(Resumo_Trocas!$D:$D,Resumo_Trocas!$A:$A,$C36,Resumo_Trocas!$F:$F,R$27,Resumo_Trocas!$C:$C,"&gt;0")</f>
        <v>0</v>
      </c>
      <c r="S36" s="61">
        <f>SUMIFS(Resumo_Trocas!$D:$D,Resumo_Trocas!$A:$A,$C36,Resumo_Trocas!$F:$F,S$27,Resumo_Trocas!$C:$C,"&gt;0")</f>
        <v>0</v>
      </c>
      <c r="T36" s="61">
        <f>SUMIFS(Resumo_Trocas!$D:$D,Resumo_Trocas!$A:$A,$C36,Resumo_Trocas!$F:$F,T$27,Resumo_Trocas!$C:$C,"&gt;0")</f>
        <v>1</v>
      </c>
      <c r="U36" s="61">
        <f>SUMIFS(Resumo_Trocas!$D:$D,Resumo_Trocas!$A:$A,$C36,Resumo_Trocas!$F:$F,U$27,Resumo_Trocas!$C:$C,"&gt;0")</f>
        <v>0</v>
      </c>
      <c r="V36" s="61">
        <f>SUMIFS(Resumo_Trocas!$D:$D,Resumo_Trocas!$A:$A,$C36,Resumo_Trocas!$F:$F,V$27,Resumo_Trocas!$C:$C,"&gt;0")</f>
        <v>0</v>
      </c>
    </row>
    <row r="37" spans="2:22" ht="15" customHeight="1" outlineLevel="1" thickBot="1" x14ac:dyDescent="0.3">
      <c r="B37" s="76"/>
      <c r="C37" s="60" t="s">
        <v>366</v>
      </c>
      <c r="D37" s="61">
        <f>SUMIFS(Resumo_Trocas!$D:$D,Resumo_Trocas!$A:$A,$C37,Resumo_Trocas!$F:$F,D$27,Resumo_Trocas!$C:$C,"&gt;0")</f>
        <v>0</v>
      </c>
      <c r="E37" s="61">
        <f>SUMIFS(Resumo_Trocas!$D:$D,Resumo_Trocas!$A:$A,$C37,Resumo_Trocas!$F:$F,E$27,Resumo_Trocas!$C:$C,"&gt;0")</f>
        <v>0</v>
      </c>
      <c r="F37" s="61">
        <f>SUMIFS(Resumo_Trocas!$D:$D,Resumo_Trocas!$A:$A,$C37,Resumo_Trocas!$F:$F,F$27,Resumo_Trocas!$C:$C,"&gt;0")</f>
        <v>0</v>
      </c>
      <c r="G37" s="61">
        <f>SUMIFS(Resumo_Trocas!$D:$D,Resumo_Trocas!$A:$A,$C37,Resumo_Trocas!$F:$F,G$27,Resumo_Trocas!$C:$C,"&gt;0")</f>
        <v>0</v>
      </c>
      <c r="H37" s="61">
        <f>SUMIFS(Resumo_Trocas!$D:$D,Resumo_Trocas!$A:$A,$C37,Resumo_Trocas!$F:$F,H$27,Resumo_Trocas!$C:$C,"&gt;0")</f>
        <v>0</v>
      </c>
      <c r="I37" s="61">
        <f>SUMIFS(Resumo_Trocas!$D:$D,Resumo_Trocas!$A:$A,$C37,Resumo_Trocas!$F:$F,I$27,Resumo_Trocas!$C:$C,"&gt;0")</f>
        <v>0</v>
      </c>
      <c r="J37" s="61">
        <f>SUMIFS(Resumo_Trocas!$D:$D,Resumo_Trocas!$A:$A,$C37,Resumo_Trocas!$F:$F,J$27,Resumo_Trocas!$C:$C,"&gt;0")</f>
        <v>0</v>
      </c>
      <c r="K37" s="61">
        <f>SUMIFS(Resumo_Trocas!$D:$D,Resumo_Trocas!$A:$A,$C37,Resumo_Trocas!$F:$F,K$27,Resumo_Trocas!$C:$C,"&gt;0")</f>
        <v>0</v>
      </c>
      <c r="L37" s="61">
        <f>SUMIFS(Resumo_Trocas!$D:$D,Resumo_Trocas!$A:$A,$C37,Resumo_Trocas!$F:$F,L$27,Resumo_Trocas!$C:$C,"&gt;0")</f>
        <v>0</v>
      </c>
      <c r="M37" s="61">
        <f>SUMIFS(Resumo_Trocas!$D:$D,Resumo_Trocas!$A:$A,$C37,Resumo_Trocas!$F:$F,M$27,Resumo_Trocas!$C:$C,"&gt;0")</f>
        <v>0</v>
      </c>
      <c r="N37" s="61">
        <f>SUMIFS(Resumo_Trocas!$D:$D,Resumo_Trocas!$A:$A,$C37,Resumo_Trocas!$F:$F,N$27,Resumo_Trocas!$C:$C,"&gt;0")</f>
        <v>0</v>
      </c>
      <c r="O37" s="61">
        <f>SUMIFS(Resumo_Trocas!$D:$D,Resumo_Trocas!$A:$A,$C37,Resumo_Trocas!$F:$F,O$27,Resumo_Trocas!$C:$C,"&gt;0")</f>
        <v>0</v>
      </c>
      <c r="P37" s="61">
        <f>SUMIFS(Resumo_Trocas!$D:$D,Resumo_Trocas!$A:$A,$C37,Resumo_Trocas!$F:$F,P$27,Resumo_Trocas!$C:$C,"&gt;0")</f>
        <v>0</v>
      </c>
      <c r="Q37" s="61">
        <f>SUMIFS(Resumo_Trocas!$D:$D,Resumo_Trocas!$A:$A,$C37,Resumo_Trocas!$F:$F,Q$27,Resumo_Trocas!$C:$C,"&gt;0")</f>
        <v>0</v>
      </c>
      <c r="R37" s="61">
        <f>SUMIFS(Resumo_Trocas!$D:$D,Resumo_Trocas!$A:$A,$C37,Resumo_Trocas!$F:$F,R$27,Resumo_Trocas!$C:$C,"&gt;0")</f>
        <v>0</v>
      </c>
      <c r="S37" s="61">
        <f>SUMIFS(Resumo_Trocas!$D:$D,Resumo_Trocas!$A:$A,$C37,Resumo_Trocas!$F:$F,S$27,Resumo_Trocas!$C:$C,"&gt;0")</f>
        <v>0</v>
      </c>
      <c r="T37" s="61">
        <f>SUMIFS(Resumo_Trocas!$D:$D,Resumo_Trocas!$A:$A,$C37,Resumo_Trocas!$F:$F,T$27,Resumo_Trocas!$C:$C,"&gt;0")</f>
        <v>0</v>
      </c>
      <c r="U37" s="61">
        <f>SUMIFS(Resumo_Trocas!$D:$D,Resumo_Trocas!$A:$A,$C37,Resumo_Trocas!$F:$F,U$27,Resumo_Trocas!$C:$C,"&gt;0")</f>
        <v>0</v>
      </c>
      <c r="V37" s="61">
        <f>SUMIFS(Resumo_Trocas!$D:$D,Resumo_Trocas!$A:$A,$C37,Resumo_Trocas!$F:$F,V$27,Resumo_Trocas!$C:$C,"&gt;0")</f>
        <v>0</v>
      </c>
    </row>
    <row r="38" spans="2:22" ht="15" customHeight="1" outlineLevel="1" thickBot="1" x14ac:dyDescent="0.3">
      <c r="B38" s="76"/>
      <c r="C38" s="60" t="s">
        <v>368</v>
      </c>
      <c r="D38" s="61">
        <f>SUMIFS(Resumo_Trocas!$D:$D,Resumo_Trocas!$A:$A,$C38,Resumo_Trocas!$F:$F,D$27,Resumo_Trocas!$C:$C,"&gt;0")</f>
        <v>0</v>
      </c>
      <c r="E38" s="61">
        <f>SUMIFS(Resumo_Trocas!$D:$D,Resumo_Trocas!$A:$A,$C38,Resumo_Trocas!$F:$F,E$27,Resumo_Trocas!$C:$C,"&gt;0")</f>
        <v>0</v>
      </c>
      <c r="F38" s="61">
        <f>SUMIFS(Resumo_Trocas!$D:$D,Resumo_Trocas!$A:$A,$C38,Resumo_Trocas!$F:$F,F$27,Resumo_Trocas!$C:$C,"&gt;0")</f>
        <v>0</v>
      </c>
      <c r="G38" s="61">
        <f>SUMIFS(Resumo_Trocas!$D:$D,Resumo_Trocas!$A:$A,$C38,Resumo_Trocas!$F:$F,G$27,Resumo_Trocas!$C:$C,"&gt;0")</f>
        <v>0</v>
      </c>
      <c r="H38" s="61">
        <f>SUMIFS(Resumo_Trocas!$D:$D,Resumo_Trocas!$A:$A,$C38,Resumo_Trocas!$F:$F,H$27,Resumo_Trocas!$C:$C,"&gt;0")</f>
        <v>0</v>
      </c>
      <c r="I38" s="61">
        <f>SUMIFS(Resumo_Trocas!$D:$D,Resumo_Trocas!$A:$A,$C38,Resumo_Trocas!$F:$F,I$27,Resumo_Trocas!$C:$C,"&gt;0")</f>
        <v>0</v>
      </c>
      <c r="J38" s="61">
        <f>SUMIFS(Resumo_Trocas!$D:$D,Resumo_Trocas!$A:$A,$C38,Resumo_Trocas!$F:$F,J$27,Resumo_Trocas!$C:$C,"&gt;0")</f>
        <v>0</v>
      </c>
      <c r="K38" s="61">
        <f>SUMIFS(Resumo_Trocas!$D:$D,Resumo_Trocas!$A:$A,$C38,Resumo_Trocas!$F:$F,K$27,Resumo_Trocas!$C:$C,"&gt;0")</f>
        <v>0</v>
      </c>
      <c r="L38" s="61">
        <f>SUMIFS(Resumo_Trocas!$D:$D,Resumo_Trocas!$A:$A,$C38,Resumo_Trocas!$F:$F,L$27,Resumo_Trocas!$C:$C,"&gt;0")</f>
        <v>0</v>
      </c>
      <c r="M38" s="61">
        <f>SUMIFS(Resumo_Trocas!$D:$D,Resumo_Trocas!$A:$A,$C38,Resumo_Trocas!$F:$F,M$27,Resumo_Trocas!$C:$C,"&gt;0")</f>
        <v>0</v>
      </c>
      <c r="N38" s="61">
        <f>SUMIFS(Resumo_Trocas!$D:$D,Resumo_Trocas!$A:$A,$C38,Resumo_Trocas!$F:$F,N$27,Resumo_Trocas!$C:$C,"&gt;0")</f>
        <v>0</v>
      </c>
      <c r="O38" s="61">
        <f>SUMIFS(Resumo_Trocas!$D:$D,Resumo_Trocas!$A:$A,$C38,Resumo_Trocas!$F:$F,O$27,Resumo_Trocas!$C:$C,"&gt;0")</f>
        <v>0</v>
      </c>
      <c r="P38" s="61">
        <f>SUMIFS(Resumo_Trocas!$D:$D,Resumo_Trocas!$A:$A,$C38,Resumo_Trocas!$F:$F,P$27,Resumo_Trocas!$C:$C,"&gt;0")</f>
        <v>0</v>
      </c>
      <c r="Q38" s="61">
        <f>SUMIFS(Resumo_Trocas!$D:$D,Resumo_Trocas!$A:$A,$C38,Resumo_Trocas!$F:$F,Q$27,Resumo_Trocas!$C:$C,"&gt;0")</f>
        <v>0</v>
      </c>
      <c r="R38" s="61">
        <f>SUMIFS(Resumo_Trocas!$D:$D,Resumo_Trocas!$A:$A,$C38,Resumo_Trocas!$F:$F,R$27,Resumo_Trocas!$C:$C,"&gt;0")</f>
        <v>2</v>
      </c>
      <c r="S38" s="61">
        <f>SUMIFS(Resumo_Trocas!$D:$D,Resumo_Trocas!$A:$A,$C38,Resumo_Trocas!$F:$F,S$27,Resumo_Trocas!$C:$C,"&gt;0")</f>
        <v>1</v>
      </c>
      <c r="T38" s="61">
        <f>SUMIFS(Resumo_Trocas!$D:$D,Resumo_Trocas!$A:$A,$C38,Resumo_Trocas!$F:$F,T$27,Resumo_Trocas!$C:$C,"&gt;0")</f>
        <v>3</v>
      </c>
      <c r="U38" s="61">
        <f>SUMIFS(Resumo_Trocas!$D:$D,Resumo_Trocas!$A:$A,$C38,Resumo_Trocas!$F:$F,U$27,Resumo_Trocas!$C:$C,"&gt;0")</f>
        <v>0</v>
      </c>
      <c r="V38" s="61">
        <f>SUMIFS(Resumo_Trocas!$D:$D,Resumo_Trocas!$A:$A,$C38,Resumo_Trocas!$F:$F,V$27,Resumo_Trocas!$C:$C,"&gt;0")</f>
        <v>0</v>
      </c>
    </row>
    <row r="39" spans="2:22" ht="15" customHeight="1" outlineLevel="1" thickBot="1" x14ac:dyDescent="0.3">
      <c r="B39" s="76"/>
      <c r="C39" s="60" t="s">
        <v>369</v>
      </c>
      <c r="D39" s="61">
        <f>SUMIFS(Resumo_Trocas!$D:$D,Resumo_Trocas!$A:$A,$C39,Resumo_Trocas!$F:$F,D$27,Resumo_Trocas!$C:$C,"&gt;0")</f>
        <v>7</v>
      </c>
      <c r="E39" s="61">
        <f>SUMIFS(Resumo_Trocas!$D:$D,Resumo_Trocas!$A:$A,$C39,Resumo_Trocas!$F:$F,E$27,Resumo_Trocas!$C:$C,"&gt;0")</f>
        <v>20</v>
      </c>
      <c r="F39" s="61">
        <f>SUMIFS(Resumo_Trocas!$D:$D,Resumo_Trocas!$A:$A,$C39,Resumo_Trocas!$F:$F,F$27,Resumo_Trocas!$C:$C,"&gt;0")</f>
        <v>8</v>
      </c>
      <c r="G39" s="61">
        <f>SUMIFS(Resumo_Trocas!$D:$D,Resumo_Trocas!$A:$A,$C39,Resumo_Trocas!$F:$F,G$27,Resumo_Trocas!$C:$C,"&gt;0")</f>
        <v>8</v>
      </c>
      <c r="H39" s="61">
        <f>SUMIFS(Resumo_Trocas!$D:$D,Resumo_Trocas!$A:$A,$C39,Resumo_Trocas!$F:$F,H$27,Resumo_Trocas!$C:$C,"&gt;0")</f>
        <v>3</v>
      </c>
      <c r="I39" s="61">
        <f>SUMIFS(Resumo_Trocas!$D:$D,Resumo_Trocas!$A:$A,$C39,Resumo_Trocas!$F:$F,I$27,Resumo_Trocas!$C:$C,"&gt;0")</f>
        <v>0</v>
      </c>
      <c r="J39" s="61">
        <f>SUMIFS(Resumo_Trocas!$D:$D,Resumo_Trocas!$A:$A,$C39,Resumo_Trocas!$F:$F,J$27,Resumo_Trocas!$C:$C,"&gt;0")</f>
        <v>3</v>
      </c>
      <c r="K39" s="61">
        <f>SUMIFS(Resumo_Trocas!$D:$D,Resumo_Trocas!$A:$A,$C39,Resumo_Trocas!$F:$F,K$27,Resumo_Trocas!$C:$C,"&gt;0")</f>
        <v>3</v>
      </c>
      <c r="L39" s="61">
        <f>SUMIFS(Resumo_Trocas!$D:$D,Resumo_Trocas!$A:$A,$C39,Resumo_Trocas!$F:$F,L$27,Resumo_Trocas!$C:$C,"&gt;0")</f>
        <v>3</v>
      </c>
      <c r="M39" s="61">
        <f>SUMIFS(Resumo_Trocas!$D:$D,Resumo_Trocas!$A:$A,$C39,Resumo_Trocas!$F:$F,M$27,Resumo_Trocas!$C:$C,"&gt;0")</f>
        <v>12</v>
      </c>
      <c r="N39" s="61">
        <f>SUMIFS(Resumo_Trocas!$D:$D,Resumo_Trocas!$A:$A,$C39,Resumo_Trocas!$F:$F,N$27,Resumo_Trocas!$C:$C,"&gt;0")</f>
        <v>12</v>
      </c>
      <c r="O39" s="61">
        <f>SUMIFS(Resumo_Trocas!$D:$D,Resumo_Trocas!$A:$A,$C39,Resumo_Trocas!$F:$F,O$27,Resumo_Trocas!$C:$C,"&gt;0")</f>
        <v>6</v>
      </c>
      <c r="P39" s="61">
        <f>SUMIFS(Resumo_Trocas!$D:$D,Resumo_Trocas!$A:$A,$C39,Resumo_Trocas!$F:$F,P$27,Resumo_Trocas!$C:$C,"&gt;0")</f>
        <v>0</v>
      </c>
      <c r="Q39" s="61">
        <f>SUMIFS(Resumo_Trocas!$D:$D,Resumo_Trocas!$A:$A,$C39,Resumo_Trocas!$F:$F,Q$27,Resumo_Trocas!$C:$C,"&gt;0")</f>
        <v>0</v>
      </c>
      <c r="R39" s="61">
        <f>SUMIFS(Resumo_Trocas!$D:$D,Resumo_Trocas!$A:$A,$C39,Resumo_Trocas!$F:$F,R$27,Resumo_Trocas!$C:$C,"&gt;0")</f>
        <v>0</v>
      </c>
      <c r="S39" s="61">
        <f>SUMIFS(Resumo_Trocas!$D:$D,Resumo_Trocas!$A:$A,$C39,Resumo_Trocas!$F:$F,S$27,Resumo_Trocas!$C:$C,"&gt;0")</f>
        <v>6</v>
      </c>
      <c r="T39" s="61">
        <f>SUMIFS(Resumo_Trocas!$D:$D,Resumo_Trocas!$A:$A,$C39,Resumo_Trocas!$F:$F,T$27,Resumo_Trocas!$C:$C,"&gt;0")</f>
        <v>0</v>
      </c>
      <c r="U39" s="61">
        <f>SUMIFS(Resumo_Trocas!$D:$D,Resumo_Trocas!$A:$A,$C39,Resumo_Trocas!$F:$F,U$27,Resumo_Trocas!$C:$C,"&gt;0")</f>
        <v>6</v>
      </c>
      <c r="V39" s="61">
        <f>SUMIFS(Resumo_Trocas!$D:$D,Resumo_Trocas!$A:$A,$C39,Resumo_Trocas!$F:$F,V$27,Resumo_Trocas!$C:$C,"&gt;0")</f>
        <v>0</v>
      </c>
    </row>
    <row r="40" spans="2:22" ht="15" customHeight="1" outlineLevel="1" thickBot="1" x14ac:dyDescent="0.3">
      <c r="B40" s="76"/>
      <c r="C40" s="60" t="s">
        <v>373</v>
      </c>
      <c r="D40" s="61">
        <f>SUMIFS(Resumo_Trocas!$D:$D,Resumo_Trocas!$A:$A,$C40,Resumo_Trocas!$F:$F,D$27,Resumo_Trocas!$C:$C,"&gt;0")</f>
        <v>2</v>
      </c>
      <c r="E40" s="61">
        <f>SUMIFS(Resumo_Trocas!$D:$D,Resumo_Trocas!$A:$A,$C40,Resumo_Trocas!$F:$F,E$27,Resumo_Trocas!$C:$C,"&gt;0")</f>
        <v>1</v>
      </c>
      <c r="F40" s="61">
        <f>SUMIFS(Resumo_Trocas!$D:$D,Resumo_Trocas!$A:$A,$C40,Resumo_Trocas!$F:$F,F$27,Resumo_Trocas!$C:$C,"&gt;0")</f>
        <v>0</v>
      </c>
      <c r="G40" s="61">
        <f>SUMIFS(Resumo_Trocas!$D:$D,Resumo_Trocas!$A:$A,$C40,Resumo_Trocas!$F:$F,G$27,Resumo_Trocas!$C:$C,"&gt;0")</f>
        <v>1</v>
      </c>
      <c r="H40" s="61">
        <f>SUMIFS(Resumo_Trocas!$D:$D,Resumo_Trocas!$A:$A,$C40,Resumo_Trocas!$F:$F,H$27,Resumo_Trocas!$C:$C,"&gt;0")</f>
        <v>1</v>
      </c>
      <c r="I40" s="61">
        <f>SUMIFS(Resumo_Trocas!$D:$D,Resumo_Trocas!$A:$A,$C40,Resumo_Trocas!$F:$F,I$27,Resumo_Trocas!$C:$C,"&gt;0")</f>
        <v>0</v>
      </c>
      <c r="J40" s="61">
        <f>SUMIFS(Resumo_Trocas!$D:$D,Resumo_Trocas!$A:$A,$C40,Resumo_Trocas!$F:$F,J$27,Resumo_Trocas!$C:$C,"&gt;0")</f>
        <v>0</v>
      </c>
      <c r="K40" s="61">
        <f>SUMIFS(Resumo_Trocas!$D:$D,Resumo_Trocas!$A:$A,$C40,Resumo_Trocas!$F:$F,K$27,Resumo_Trocas!$C:$C,"&gt;0")</f>
        <v>0</v>
      </c>
      <c r="L40" s="61">
        <f>SUMIFS(Resumo_Trocas!$D:$D,Resumo_Trocas!$A:$A,$C40,Resumo_Trocas!$F:$F,L$27,Resumo_Trocas!$C:$C,"&gt;0")</f>
        <v>1</v>
      </c>
      <c r="M40" s="61">
        <f>SUMIFS(Resumo_Trocas!$D:$D,Resumo_Trocas!$A:$A,$C40,Resumo_Trocas!$F:$F,M$27,Resumo_Trocas!$C:$C,"&gt;0")</f>
        <v>0</v>
      </c>
      <c r="N40" s="61">
        <f>SUMIFS(Resumo_Trocas!$D:$D,Resumo_Trocas!$A:$A,$C40,Resumo_Trocas!$F:$F,N$27,Resumo_Trocas!$C:$C,"&gt;0")</f>
        <v>1</v>
      </c>
      <c r="O40" s="61">
        <f>SUMIFS(Resumo_Trocas!$D:$D,Resumo_Trocas!$A:$A,$C40,Resumo_Trocas!$F:$F,O$27,Resumo_Trocas!$C:$C,"&gt;0")</f>
        <v>0</v>
      </c>
      <c r="P40" s="61">
        <f>SUMIFS(Resumo_Trocas!$D:$D,Resumo_Trocas!$A:$A,$C40,Resumo_Trocas!$F:$F,P$27,Resumo_Trocas!$C:$C,"&gt;0")</f>
        <v>0</v>
      </c>
      <c r="Q40" s="61">
        <f>SUMIFS(Resumo_Trocas!$D:$D,Resumo_Trocas!$A:$A,$C40,Resumo_Trocas!$F:$F,Q$27,Resumo_Trocas!$C:$C,"&gt;0")</f>
        <v>0</v>
      </c>
      <c r="R40" s="61">
        <f>SUMIFS(Resumo_Trocas!$D:$D,Resumo_Trocas!$A:$A,$C40,Resumo_Trocas!$F:$F,R$27,Resumo_Trocas!$C:$C,"&gt;0")</f>
        <v>1</v>
      </c>
      <c r="S40" s="61">
        <f>SUMIFS(Resumo_Trocas!$D:$D,Resumo_Trocas!$A:$A,$C40,Resumo_Trocas!$F:$F,S$27,Resumo_Trocas!$C:$C,"&gt;0")</f>
        <v>3</v>
      </c>
      <c r="T40" s="61">
        <f>SUMIFS(Resumo_Trocas!$D:$D,Resumo_Trocas!$A:$A,$C40,Resumo_Trocas!$F:$F,T$27,Resumo_Trocas!$C:$C,"&gt;0")</f>
        <v>6</v>
      </c>
      <c r="U40" s="61">
        <f>SUMIFS(Resumo_Trocas!$D:$D,Resumo_Trocas!$A:$A,$C40,Resumo_Trocas!$F:$F,U$27,Resumo_Trocas!$C:$C,"&gt;0")</f>
        <v>1</v>
      </c>
      <c r="V40" s="61">
        <f>SUMIFS(Resumo_Trocas!$D:$D,Resumo_Trocas!$A:$A,$C40,Resumo_Trocas!$F:$F,V$27,Resumo_Trocas!$C:$C,"&gt;0")</f>
        <v>0</v>
      </c>
    </row>
    <row r="41" spans="2:22" ht="15.75" outlineLevel="1" thickBot="1" x14ac:dyDescent="0.3">
      <c r="B41" s="76"/>
      <c r="C41" s="60" t="s">
        <v>375</v>
      </c>
      <c r="D41" s="61">
        <f>SUMIFS(Resumo_Trocas!$D:$D,Resumo_Trocas!$A:$A,$C41,Resumo_Trocas!$F:$F,D$27,Resumo_Trocas!$C:$C,"&gt;0")</f>
        <v>0</v>
      </c>
      <c r="E41" s="61">
        <f>SUMIFS(Resumo_Trocas!$D:$D,Resumo_Trocas!$A:$A,$C41,Resumo_Trocas!$F:$F,E$27,Resumo_Trocas!$C:$C,"&gt;0")</f>
        <v>0</v>
      </c>
      <c r="F41" s="61">
        <f>SUMIFS(Resumo_Trocas!$D:$D,Resumo_Trocas!$A:$A,$C41,Resumo_Trocas!$F:$F,F$27,Resumo_Trocas!$C:$C,"&gt;0")</f>
        <v>0</v>
      </c>
      <c r="G41" s="61">
        <f>SUMIFS(Resumo_Trocas!$D:$D,Resumo_Trocas!$A:$A,$C41,Resumo_Trocas!$F:$F,G$27,Resumo_Trocas!$C:$C,"&gt;0")</f>
        <v>0</v>
      </c>
      <c r="H41" s="61">
        <f>SUMIFS(Resumo_Trocas!$D:$D,Resumo_Trocas!$A:$A,$C41,Resumo_Trocas!$F:$F,H$27,Resumo_Trocas!$C:$C,"&gt;0")</f>
        <v>0</v>
      </c>
      <c r="I41" s="61">
        <f>SUMIFS(Resumo_Trocas!$D:$D,Resumo_Trocas!$A:$A,$C41,Resumo_Trocas!$F:$F,I$27,Resumo_Trocas!$C:$C,"&gt;0")</f>
        <v>0</v>
      </c>
      <c r="J41" s="61">
        <f>SUMIFS(Resumo_Trocas!$D:$D,Resumo_Trocas!$A:$A,$C41,Resumo_Trocas!$F:$F,J$27,Resumo_Trocas!$C:$C,"&gt;0")</f>
        <v>0</v>
      </c>
      <c r="K41" s="61">
        <f>SUMIFS(Resumo_Trocas!$D:$D,Resumo_Trocas!$A:$A,$C41,Resumo_Trocas!$F:$F,K$27,Resumo_Trocas!$C:$C,"&gt;0")</f>
        <v>0</v>
      </c>
      <c r="L41" s="61">
        <f>SUMIFS(Resumo_Trocas!$D:$D,Resumo_Trocas!$A:$A,$C41,Resumo_Trocas!$F:$F,L$27,Resumo_Trocas!$C:$C,"&gt;0")</f>
        <v>0</v>
      </c>
      <c r="M41" s="61">
        <f>SUMIFS(Resumo_Trocas!$D:$D,Resumo_Trocas!$A:$A,$C41,Resumo_Trocas!$F:$F,M$27,Resumo_Trocas!$C:$C,"&gt;0")</f>
        <v>0</v>
      </c>
      <c r="N41" s="61">
        <f>SUMIFS(Resumo_Trocas!$D:$D,Resumo_Trocas!$A:$A,$C41,Resumo_Trocas!$F:$F,N$27,Resumo_Trocas!$C:$C,"&gt;0")</f>
        <v>0</v>
      </c>
      <c r="O41" s="61">
        <f>SUMIFS(Resumo_Trocas!$D:$D,Resumo_Trocas!$A:$A,$C41,Resumo_Trocas!$F:$F,O$27,Resumo_Trocas!$C:$C,"&gt;0")</f>
        <v>1</v>
      </c>
      <c r="P41" s="61">
        <f>SUMIFS(Resumo_Trocas!$D:$D,Resumo_Trocas!$A:$A,$C41,Resumo_Trocas!$F:$F,P$27,Resumo_Trocas!$C:$C,"&gt;0")</f>
        <v>1</v>
      </c>
      <c r="Q41" s="61">
        <f>SUMIFS(Resumo_Trocas!$D:$D,Resumo_Trocas!$A:$A,$C41,Resumo_Trocas!$F:$F,Q$27,Resumo_Trocas!$C:$C,"&gt;0")</f>
        <v>0</v>
      </c>
      <c r="R41" s="61">
        <f>SUMIFS(Resumo_Trocas!$D:$D,Resumo_Trocas!$A:$A,$C41,Resumo_Trocas!$F:$F,R$27,Resumo_Trocas!$C:$C,"&gt;0")</f>
        <v>1</v>
      </c>
      <c r="S41" s="61">
        <f>SUMIFS(Resumo_Trocas!$D:$D,Resumo_Trocas!$A:$A,$C41,Resumo_Trocas!$F:$F,S$27,Resumo_Trocas!$C:$C,"&gt;0")</f>
        <v>0</v>
      </c>
      <c r="T41" s="61">
        <f>SUMIFS(Resumo_Trocas!$D:$D,Resumo_Trocas!$A:$A,$C41,Resumo_Trocas!$F:$F,T$27,Resumo_Trocas!$C:$C,"&gt;0")</f>
        <v>1</v>
      </c>
      <c r="U41" s="61">
        <f>SUMIFS(Resumo_Trocas!$D:$D,Resumo_Trocas!$A:$A,$C41,Resumo_Trocas!$F:$F,U$27,Resumo_Trocas!$C:$C,"&gt;0")</f>
        <v>0</v>
      </c>
      <c r="V41" s="61">
        <f>SUMIFS(Resumo_Trocas!$D:$D,Resumo_Trocas!$A:$A,$C41,Resumo_Trocas!$F:$F,V$27,Resumo_Trocas!$C:$C,"&gt;0")</f>
        <v>0</v>
      </c>
    </row>
    <row r="42" spans="2:22" ht="15.75" outlineLevel="1" thickBot="1" x14ac:dyDescent="0.3">
      <c r="B42" s="76"/>
      <c r="C42" s="60" t="s">
        <v>376</v>
      </c>
      <c r="D42" s="61">
        <f>SUMIFS(Resumo_Trocas!$D:$D,Resumo_Trocas!$A:$A,$C42,Resumo_Trocas!$F:$F,D$27,Resumo_Trocas!$C:$C,"&gt;0")</f>
        <v>0</v>
      </c>
      <c r="E42" s="61">
        <f>SUMIFS(Resumo_Trocas!$D:$D,Resumo_Trocas!$A:$A,$C42,Resumo_Trocas!$F:$F,E$27,Resumo_Trocas!$C:$C,"&gt;0")</f>
        <v>0</v>
      </c>
      <c r="F42" s="61">
        <f>SUMIFS(Resumo_Trocas!$D:$D,Resumo_Trocas!$A:$A,$C42,Resumo_Trocas!$F:$F,F$27,Resumo_Trocas!$C:$C,"&gt;0")</f>
        <v>0</v>
      </c>
      <c r="G42" s="61">
        <f>SUMIFS(Resumo_Trocas!$D:$D,Resumo_Trocas!$A:$A,$C42,Resumo_Trocas!$F:$F,G$27,Resumo_Trocas!$C:$C,"&gt;0")</f>
        <v>0</v>
      </c>
      <c r="H42" s="61">
        <f>SUMIFS(Resumo_Trocas!$D:$D,Resumo_Trocas!$A:$A,$C42,Resumo_Trocas!$F:$F,H$27,Resumo_Trocas!$C:$C,"&gt;0")</f>
        <v>0</v>
      </c>
      <c r="I42" s="61">
        <f>SUMIFS(Resumo_Trocas!$D:$D,Resumo_Trocas!$A:$A,$C42,Resumo_Trocas!$F:$F,I$27,Resumo_Trocas!$C:$C,"&gt;0")</f>
        <v>0</v>
      </c>
      <c r="J42" s="61">
        <f>SUMIFS(Resumo_Trocas!$D:$D,Resumo_Trocas!$A:$A,$C42,Resumo_Trocas!$F:$F,J$27,Resumo_Trocas!$C:$C,"&gt;0")</f>
        <v>0</v>
      </c>
      <c r="K42" s="61">
        <f>SUMIFS(Resumo_Trocas!$D:$D,Resumo_Trocas!$A:$A,$C42,Resumo_Trocas!$F:$F,K$27,Resumo_Trocas!$C:$C,"&gt;0")</f>
        <v>0</v>
      </c>
      <c r="L42" s="61">
        <f>SUMIFS(Resumo_Trocas!$D:$D,Resumo_Trocas!$A:$A,$C42,Resumo_Trocas!$F:$F,L$27,Resumo_Trocas!$C:$C,"&gt;0")</f>
        <v>0</v>
      </c>
      <c r="M42" s="61">
        <f>SUMIFS(Resumo_Trocas!$D:$D,Resumo_Trocas!$A:$A,$C42,Resumo_Trocas!$F:$F,M$27,Resumo_Trocas!$C:$C,"&gt;0")</f>
        <v>0</v>
      </c>
      <c r="N42" s="61">
        <f>SUMIFS(Resumo_Trocas!$D:$D,Resumo_Trocas!$A:$A,$C42,Resumo_Trocas!$F:$F,N$27,Resumo_Trocas!$C:$C,"&gt;0")</f>
        <v>0</v>
      </c>
      <c r="O42" s="61">
        <f>SUMIFS(Resumo_Trocas!$D:$D,Resumo_Trocas!$A:$A,$C42,Resumo_Trocas!$F:$F,O$27,Resumo_Trocas!$C:$C,"&gt;0")</f>
        <v>0</v>
      </c>
      <c r="P42" s="61">
        <f>SUMIFS(Resumo_Trocas!$D:$D,Resumo_Trocas!$A:$A,$C42,Resumo_Trocas!$F:$F,P$27,Resumo_Trocas!$C:$C,"&gt;0")</f>
        <v>0</v>
      </c>
      <c r="Q42" s="61">
        <f>SUMIFS(Resumo_Trocas!$D:$D,Resumo_Trocas!$A:$A,$C42,Resumo_Trocas!$F:$F,Q$27,Resumo_Trocas!$C:$C,"&gt;0")</f>
        <v>0</v>
      </c>
      <c r="R42" s="61">
        <f>SUMIFS(Resumo_Trocas!$D:$D,Resumo_Trocas!$A:$A,$C42,Resumo_Trocas!$F:$F,R$27,Resumo_Trocas!$C:$C,"&gt;0")</f>
        <v>0</v>
      </c>
      <c r="S42" s="61">
        <f>SUMIFS(Resumo_Trocas!$D:$D,Resumo_Trocas!$A:$A,$C42,Resumo_Trocas!$F:$F,S$27,Resumo_Trocas!$C:$C,"&gt;0")</f>
        <v>0</v>
      </c>
      <c r="T42" s="61">
        <f>SUMIFS(Resumo_Trocas!$D:$D,Resumo_Trocas!$A:$A,$C42,Resumo_Trocas!$F:$F,T$27,Resumo_Trocas!$C:$C,"&gt;0")</f>
        <v>0</v>
      </c>
      <c r="U42" s="61">
        <f>SUMIFS(Resumo_Trocas!$D:$D,Resumo_Trocas!$A:$A,$C42,Resumo_Trocas!$F:$F,U$27,Resumo_Trocas!$C:$C,"&gt;0")</f>
        <v>0</v>
      </c>
      <c r="V42" s="61">
        <f>SUMIFS(Resumo_Trocas!$D:$D,Resumo_Trocas!$A:$A,$C42,Resumo_Trocas!$F:$F,V$27,Resumo_Trocas!$C:$C,"&gt;0")</f>
        <v>0</v>
      </c>
    </row>
    <row r="43" spans="2:22" ht="15.75" outlineLevel="1" thickBot="1" x14ac:dyDescent="0.3">
      <c r="B43" s="76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</row>
    <row r="44" spans="2:22" ht="21" customHeight="1" x14ac:dyDescent="0.25">
      <c r="B44" s="72" t="s">
        <v>3395</v>
      </c>
      <c r="C44" s="58" t="s">
        <v>3397</v>
      </c>
      <c r="D44" s="59" t="s">
        <v>3372</v>
      </c>
      <c r="E44" s="59" t="s">
        <v>3373</v>
      </c>
      <c r="F44" s="59" t="s">
        <v>3374</v>
      </c>
      <c r="G44" s="59" t="s">
        <v>3370</v>
      </c>
      <c r="H44" s="59" t="s">
        <v>3371</v>
      </c>
      <c r="I44" s="59" t="s">
        <v>3375</v>
      </c>
      <c r="J44" s="59" t="s">
        <v>3367</v>
      </c>
      <c r="K44" s="59" t="s">
        <v>3368</v>
      </c>
      <c r="L44" s="59" t="s">
        <v>3369</v>
      </c>
      <c r="M44" s="59" t="s">
        <v>3358</v>
      </c>
      <c r="N44" s="59" t="s">
        <v>3363</v>
      </c>
      <c r="O44" s="59" t="s">
        <v>3361</v>
      </c>
      <c r="P44" s="59" t="s">
        <v>3359</v>
      </c>
      <c r="Q44" s="59" t="s">
        <v>3366</v>
      </c>
      <c r="R44" s="59" t="s">
        <v>3364</v>
      </c>
      <c r="S44" s="59" t="s">
        <v>3360</v>
      </c>
      <c r="T44" s="59" t="s">
        <v>3362</v>
      </c>
      <c r="U44" s="59" t="s">
        <v>3365</v>
      </c>
      <c r="V44" s="59" t="s">
        <v>3382</v>
      </c>
    </row>
    <row r="45" spans="2:22" s="75" customFormat="1" ht="21" customHeight="1" x14ac:dyDescent="0.35">
      <c r="B45" s="73" t="s">
        <v>3395</v>
      </c>
      <c r="C45" s="74" t="s">
        <v>3399</v>
      </c>
      <c r="D45" s="57">
        <f>IFERROR(SUM(D46:D59)," ")</f>
        <v>14</v>
      </c>
      <c r="E45" s="57">
        <f t="shared" ref="E45:V45" si="14">IFERROR(SUM(E46:E59)," ")</f>
        <v>25</v>
      </c>
      <c r="F45" s="57">
        <f t="shared" si="14"/>
        <v>8</v>
      </c>
      <c r="G45" s="57">
        <f t="shared" si="14"/>
        <v>12</v>
      </c>
      <c r="H45" s="57">
        <f t="shared" si="14"/>
        <v>12</v>
      </c>
      <c r="I45" s="57">
        <f t="shared" si="14"/>
        <v>0</v>
      </c>
      <c r="J45" s="57">
        <f t="shared" si="14"/>
        <v>7</v>
      </c>
      <c r="K45" s="57">
        <f t="shared" si="14"/>
        <v>5</v>
      </c>
      <c r="L45" s="57">
        <f t="shared" si="14"/>
        <v>12</v>
      </c>
      <c r="M45" s="57">
        <f t="shared" si="14"/>
        <v>12</v>
      </c>
      <c r="N45" s="57">
        <f t="shared" si="14"/>
        <v>13</v>
      </c>
      <c r="O45" s="57">
        <f t="shared" si="14"/>
        <v>15</v>
      </c>
      <c r="P45" s="57">
        <f t="shared" si="14"/>
        <v>9</v>
      </c>
      <c r="Q45" s="57">
        <f t="shared" si="14"/>
        <v>8</v>
      </c>
      <c r="R45" s="57">
        <f t="shared" si="14"/>
        <v>12</v>
      </c>
      <c r="S45" s="57">
        <f t="shared" si="14"/>
        <v>5</v>
      </c>
      <c r="T45" s="57">
        <f t="shared" si="14"/>
        <v>10</v>
      </c>
      <c r="U45" s="57">
        <f t="shared" si="14"/>
        <v>4</v>
      </c>
      <c r="V45" s="57">
        <f t="shared" si="14"/>
        <v>0</v>
      </c>
    </row>
    <row r="46" spans="2:22" ht="15" customHeight="1" outlineLevel="1" thickBot="1" x14ac:dyDescent="0.3">
      <c r="B46" s="76"/>
      <c r="C46" s="60" t="s">
        <v>381</v>
      </c>
      <c r="D46" s="61">
        <f>SUMIFS(Resumo_Trocas!$D:$D,Resumo_Trocas!$A:$A,$C46,Resumo_Trocas!$F:$F,D$27,Resumo_Trocas!$C:$C,"&gt;0")</f>
        <v>4</v>
      </c>
      <c r="E46" s="61">
        <f>SUMIFS(Resumo_Trocas!$D:$D,Resumo_Trocas!$A:$A,$C46,Resumo_Trocas!$F:$F,E$27,Resumo_Trocas!$C:$C,"&gt;0")</f>
        <v>5</v>
      </c>
      <c r="F46" s="61">
        <f>SUMIFS(Resumo_Trocas!$D:$D,Resumo_Trocas!$A:$A,$C46,Resumo_Trocas!$F:$F,F$27,Resumo_Trocas!$C:$C,"&gt;0")</f>
        <v>0</v>
      </c>
      <c r="G46" s="61">
        <f>SUMIFS(Resumo_Trocas!$D:$D,Resumo_Trocas!$A:$A,$C46,Resumo_Trocas!$F:$F,G$27,Resumo_Trocas!$C:$C,"&gt;0")</f>
        <v>0</v>
      </c>
      <c r="H46" s="61">
        <f>SUMIFS(Resumo_Trocas!$D:$D,Resumo_Trocas!$A:$A,$C46,Resumo_Trocas!$F:$F,H$27,Resumo_Trocas!$C:$C,"&gt;0")</f>
        <v>1</v>
      </c>
      <c r="I46" s="61">
        <f>SUMIFS(Resumo_Trocas!$D:$D,Resumo_Trocas!$A:$A,$C46,Resumo_Trocas!$F:$F,I$27,Resumo_Trocas!$C:$C,"&gt;0")</f>
        <v>0</v>
      </c>
      <c r="J46" s="61">
        <f>SUMIFS(Resumo_Trocas!$D:$D,Resumo_Trocas!$A:$A,$C46,Resumo_Trocas!$F:$F,J$27,Resumo_Trocas!$C:$C,"&gt;0")</f>
        <v>0</v>
      </c>
      <c r="K46" s="61">
        <f>SUMIFS(Resumo_Trocas!$D:$D,Resumo_Trocas!$A:$A,$C46,Resumo_Trocas!$F:$F,K$27,Resumo_Trocas!$C:$C,"&gt;0")</f>
        <v>0</v>
      </c>
      <c r="L46" s="61">
        <f>SUMIFS(Resumo_Trocas!$D:$D,Resumo_Trocas!$A:$A,$C46,Resumo_Trocas!$F:$F,L$27,Resumo_Trocas!$C:$C,"&gt;0")</f>
        <v>0</v>
      </c>
      <c r="M46" s="61">
        <f>SUMIFS(Resumo_Trocas!$D:$D,Resumo_Trocas!$A:$A,$C46,Resumo_Trocas!$F:$F,M$27,Resumo_Trocas!$C:$C,"&gt;0")</f>
        <v>0</v>
      </c>
      <c r="N46" s="61">
        <f>SUMIFS(Resumo_Trocas!$D:$D,Resumo_Trocas!$A:$A,$C46,Resumo_Trocas!$F:$F,N$27,Resumo_Trocas!$C:$C,"&gt;0")</f>
        <v>1</v>
      </c>
      <c r="O46" s="61">
        <f>SUMIFS(Resumo_Trocas!$D:$D,Resumo_Trocas!$A:$A,$C46,Resumo_Trocas!$F:$F,O$27,Resumo_Trocas!$C:$C,"&gt;0")</f>
        <v>0</v>
      </c>
      <c r="P46" s="61">
        <f>SUMIFS(Resumo_Trocas!$D:$D,Resumo_Trocas!$A:$A,$C46,Resumo_Trocas!$F:$F,P$27,Resumo_Trocas!$C:$C,"&gt;0")</f>
        <v>0</v>
      </c>
      <c r="Q46" s="61">
        <f>SUMIFS(Resumo_Trocas!$D:$D,Resumo_Trocas!$A:$A,$C46,Resumo_Trocas!$F:$F,Q$27,Resumo_Trocas!$C:$C,"&gt;0")</f>
        <v>0</v>
      </c>
      <c r="R46" s="61">
        <f>SUMIFS(Resumo_Trocas!$D:$D,Resumo_Trocas!$A:$A,$C46,Resumo_Trocas!$F:$F,R$27,Resumo_Trocas!$C:$C,"&gt;0")</f>
        <v>0</v>
      </c>
      <c r="S46" s="61">
        <f>SUMIFS(Resumo_Trocas!$D:$D,Resumo_Trocas!$A:$A,$C46,Resumo_Trocas!$F:$F,S$27,Resumo_Trocas!$C:$C,"&gt;0")</f>
        <v>0</v>
      </c>
      <c r="T46" s="61">
        <f>SUMIFS(Resumo_Trocas!$D:$D,Resumo_Trocas!$A:$A,$C46,Resumo_Trocas!$F:$F,T$27,Resumo_Trocas!$C:$C,"&gt;0")</f>
        <v>0</v>
      </c>
      <c r="U46" s="61">
        <f>SUMIFS(Resumo_Trocas!$D:$D,Resumo_Trocas!$A:$A,$C46,Resumo_Trocas!$F:$F,U$27,Resumo_Trocas!$C:$C,"&gt;0")</f>
        <v>0</v>
      </c>
      <c r="V46" s="61">
        <f>SUMIFS(Resumo_Trocas!$D:$D,Resumo_Trocas!$A:$A,$C46,Resumo_Trocas!$F:$F,V$27,Resumo_Trocas!$C:$C,"&gt;0")</f>
        <v>0</v>
      </c>
    </row>
    <row r="47" spans="2:22" ht="15" customHeight="1" outlineLevel="1" thickBot="1" x14ac:dyDescent="0.3">
      <c r="B47" s="76"/>
      <c r="C47" s="60" t="s">
        <v>382</v>
      </c>
      <c r="D47" s="61">
        <f>SUMIFS(Resumo_Trocas!$D:$D,Resumo_Trocas!$A:$A,$C47,Resumo_Trocas!$F:$F,D$27,Resumo_Trocas!$C:$C,"&gt;0")</f>
        <v>0</v>
      </c>
      <c r="E47" s="61">
        <f>SUMIFS(Resumo_Trocas!$D:$D,Resumo_Trocas!$A:$A,$C47,Resumo_Trocas!$F:$F,E$27,Resumo_Trocas!$C:$C,"&gt;0")</f>
        <v>0</v>
      </c>
      <c r="F47" s="61">
        <f>SUMIFS(Resumo_Trocas!$D:$D,Resumo_Trocas!$A:$A,$C47,Resumo_Trocas!$F:$F,F$27,Resumo_Trocas!$C:$C,"&gt;0")</f>
        <v>4</v>
      </c>
      <c r="G47" s="61">
        <f>SUMIFS(Resumo_Trocas!$D:$D,Resumo_Trocas!$A:$A,$C47,Resumo_Trocas!$F:$F,G$27,Resumo_Trocas!$C:$C,"&gt;0")</f>
        <v>6</v>
      </c>
      <c r="H47" s="61">
        <f>SUMIFS(Resumo_Trocas!$D:$D,Resumo_Trocas!$A:$A,$C47,Resumo_Trocas!$F:$F,H$27,Resumo_Trocas!$C:$C,"&gt;0")</f>
        <v>0</v>
      </c>
      <c r="I47" s="61">
        <f>SUMIFS(Resumo_Trocas!$D:$D,Resumo_Trocas!$A:$A,$C47,Resumo_Trocas!$F:$F,I$27,Resumo_Trocas!$C:$C,"&gt;0")</f>
        <v>0</v>
      </c>
      <c r="J47" s="61">
        <f>SUMIFS(Resumo_Trocas!$D:$D,Resumo_Trocas!$A:$A,$C47,Resumo_Trocas!$F:$F,J$27,Resumo_Trocas!$C:$C,"&gt;0")</f>
        <v>0</v>
      </c>
      <c r="K47" s="61">
        <f>SUMIFS(Resumo_Trocas!$D:$D,Resumo_Trocas!$A:$A,$C47,Resumo_Trocas!$F:$F,K$27,Resumo_Trocas!$C:$C,"&gt;0")</f>
        <v>0</v>
      </c>
      <c r="L47" s="61">
        <f>SUMIFS(Resumo_Trocas!$D:$D,Resumo_Trocas!$A:$A,$C47,Resumo_Trocas!$F:$F,L$27,Resumo_Trocas!$C:$C,"&gt;0")</f>
        <v>2</v>
      </c>
      <c r="M47" s="61">
        <f>SUMIFS(Resumo_Trocas!$D:$D,Resumo_Trocas!$A:$A,$C47,Resumo_Trocas!$F:$F,M$27,Resumo_Trocas!$C:$C,"&gt;0")</f>
        <v>0</v>
      </c>
      <c r="N47" s="61">
        <f>SUMIFS(Resumo_Trocas!$D:$D,Resumo_Trocas!$A:$A,$C47,Resumo_Trocas!$F:$F,N$27,Resumo_Trocas!$C:$C,"&gt;0")</f>
        <v>0</v>
      </c>
      <c r="O47" s="61">
        <f>SUMIFS(Resumo_Trocas!$D:$D,Resumo_Trocas!$A:$A,$C47,Resumo_Trocas!$F:$F,O$27,Resumo_Trocas!$C:$C,"&gt;0")</f>
        <v>2</v>
      </c>
      <c r="P47" s="61">
        <f>SUMIFS(Resumo_Trocas!$D:$D,Resumo_Trocas!$A:$A,$C47,Resumo_Trocas!$F:$F,P$27,Resumo_Trocas!$C:$C,"&gt;0")</f>
        <v>2</v>
      </c>
      <c r="Q47" s="61">
        <f>SUMIFS(Resumo_Trocas!$D:$D,Resumo_Trocas!$A:$A,$C47,Resumo_Trocas!$F:$F,Q$27,Resumo_Trocas!$C:$C,"&gt;0")</f>
        <v>0</v>
      </c>
      <c r="R47" s="61">
        <f>SUMIFS(Resumo_Trocas!$D:$D,Resumo_Trocas!$A:$A,$C47,Resumo_Trocas!$F:$F,R$27,Resumo_Trocas!$C:$C,"&gt;0")</f>
        <v>0</v>
      </c>
      <c r="S47" s="61">
        <f>SUMIFS(Resumo_Trocas!$D:$D,Resumo_Trocas!$A:$A,$C47,Resumo_Trocas!$F:$F,S$27,Resumo_Trocas!$C:$C,"&gt;0")</f>
        <v>0</v>
      </c>
      <c r="T47" s="61">
        <f>SUMIFS(Resumo_Trocas!$D:$D,Resumo_Trocas!$A:$A,$C47,Resumo_Trocas!$F:$F,T$27,Resumo_Trocas!$C:$C,"&gt;0")</f>
        <v>2</v>
      </c>
      <c r="U47" s="61">
        <f>SUMIFS(Resumo_Trocas!$D:$D,Resumo_Trocas!$A:$A,$C47,Resumo_Trocas!$F:$F,U$27,Resumo_Trocas!$C:$C,"&gt;0")</f>
        <v>0</v>
      </c>
      <c r="V47" s="61">
        <f>SUMIFS(Resumo_Trocas!$D:$D,Resumo_Trocas!$A:$A,$C47,Resumo_Trocas!$F:$F,V$27,Resumo_Trocas!$C:$C,"&gt;0")</f>
        <v>0</v>
      </c>
    </row>
    <row r="48" spans="2:22" ht="15" customHeight="1" outlineLevel="1" thickBot="1" x14ac:dyDescent="0.3">
      <c r="B48" s="76"/>
      <c r="C48" s="60" t="s">
        <v>383</v>
      </c>
      <c r="D48" s="61">
        <f>SUMIFS(Resumo_Trocas!$D:$D,Resumo_Trocas!$A:$A,$C48,Resumo_Trocas!$F:$F,D$27,Resumo_Trocas!$C:$C,"&gt;0")</f>
        <v>1</v>
      </c>
      <c r="E48" s="61">
        <f>SUMIFS(Resumo_Trocas!$D:$D,Resumo_Trocas!$A:$A,$C48,Resumo_Trocas!$F:$F,E$27,Resumo_Trocas!$C:$C,"&gt;0")</f>
        <v>1</v>
      </c>
      <c r="F48" s="61">
        <f>SUMIFS(Resumo_Trocas!$D:$D,Resumo_Trocas!$A:$A,$C48,Resumo_Trocas!$F:$F,F$27,Resumo_Trocas!$C:$C,"&gt;0")</f>
        <v>1</v>
      </c>
      <c r="G48" s="61">
        <f>SUMIFS(Resumo_Trocas!$D:$D,Resumo_Trocas!$A:$A,$C48,Resumo_Trocas!$F:$F,G$27,Resumo_Trocas!$C:$C,"&gt;0")</f>
        <v>0</v>
      </c>
      <c r="H48" s="61">
        <f>SUMIFS(Resumo_Trocas!$D:$D,Resumo_Trocas!$A:$A,$C48,Resumo_Trocas!$F:$F,H$27,Resumo_Trocas!$C:$C,"&gt;0")</f>
        <v>1</v>
      </c>
      <c r="I48" s="61">
        <f>SUMIFS(Resumo_Trocas!$D:$D,Resumo_Trocas!$A:$A,$C48,Resumo_Trocas!$F:$F,I$27,Resumo_Trocas!$C:$C,"&gt;0")</f>
        <v>0</v>
      </c>
      <c r="J48" s="61">
        <f>SUMIFS(Resumo_Trocas!$D:$D,Resumo_Trocas!$A:$A,$C48,Resumo_Trocas!$F:$F,J$27,Resumo_Trocas!$C:$C,"&gt;0")</f>
        <v>0</v>
      </c>
      <c r="K48" s="61">
        <f>SUMIFS(Resumo_Trocas!$D:$D,Resumo_Trocas!$A:$A,$C48,Resumo_Trocas!$F:$F,K$27,Resumo_Trocas!$C:$C,"&gt;0")</f>
        <v>1</v>
      </c>
      <c r="L48" s="61">
        <f>SUMIFS(Resumo_Trocas!$D:$D,Resumo_Trocas!$A:$A,$C48,Resumo_Trocas!$F:$F,L$27,Resumo_Trocas!$C:$C,"&gt;0")</f>
        <v>3</v>
      </c>
      <c r="M48" s="61">
        <f>SUMIFS(Resumo_Trocas!$D:$D,Resumo_Trocas!$A:$A,$C48,Resumo_Trocas!$F:$F,M$27,Resumo_Trocas!$C:$C,"&gt;0")</f>
        <v>5</v>
      </c>
      <c r="N48" s="61">
        <f>SUMIFS(Resumo_Trocas!$D:$D,Resumo_Trocas!$A:$A,$C48,Resumo_Trocas!$F:$F,N$27,Resumo_Trocas!$C:$C,"&gt;0")</f>
        <v>1</v>
      </c>
      <c r="O48" s="61">
        <f>SUMIFS(Resumo_Trocas!$D:$D,Resumo_Trocas!$A:$A,$C48,Resumo_Trocas!$F:$F,O$27,Resumo_Trocas!$C:$C,"&gt;0")</f>
        <v>1</v>
      </c>
      <c r="P48" s="61">
        <f>SUMIFS(Resumo_Trocas!$D:$D,Resumo_Trocas!$A:$A,$C48,Resumo_Trocas!$F:$F,P$27,Resumo_Trocas!$C:$C,"&gt;0")</f>
        <v>1</v>
      </c>
      <c r="Q48" s="61">
        <f>SUMIFS(Resumo_Trocas!$D:$D,Resumo_Trocas!$A:$A,$C48,Resumo_Trocas!$F:$F,Q$27,Resumo_Trocas!$C:$C,"&gt;0")</f>
        <v>1</v>
      </c>
      <c r="R48" s="61">
        <f>SUMIFS(Resumo_Trocas!$D:$D,Resumo_Trocas!$A:$A,$C48,Resumo_Trocas!$F:$F,R$27,Resumo_Trocas!$C:$C,"&gt;0")</f>
        <v>0</v>
      </c>
      <c r="S48" s="61">
        <f>SUMIFS(Resumo_Trocas!$D:$D,Resumo_Trocas!$A:$A,$C48,Resumo_Trocas!$F:$F,S$27,Resumo_Trocas!$C:$C,"&gt;0")</f>
        <v>1</v>
      </c>
      <c r="T48" s="61">
        <f>SUMIFS(Resumo_Trocas!$D:$D,Resumo_Trocas!$A:$A,$C48,Resumo_Trocas!$F:$F,T$27,Resumo_Trocas!$C:$C,"&gt;0")</f>
        <v>0</v>
      </c>
      <c r="U48" s="61">
        <f>SUMIFS(Resumo_Trocas!$D:$D,Resumo_Trocas!$A:$A,$C48,Resumo_Trocas!$F:$F,U$27,Resumo_Trocas!$C:$C,"&gt;0")</f>
        <v>0</v>
      </c>
      <c r="V48" s="61">
        <f>SUMIFS(Resumo_Trocas!$D:$D,Resumo_Trocas!$A:$A,$C48,Resumo_Trocas!$F:$F,V$27,Resumo_Trocas!$C:$C,"&gt;0")</f>
        <v>0</v>
      </c>
    </row>
    <row r="49" spans="2:22" ht="15" customHeight="1" outlineLevel="1" thickBot="1" x14ac:dyDescent="0.3">
      <c r="B49" s="76"/>
      <c r="C49" s="60" t="s">
        <v>384</v>
      </c>
      <c r="D49" s="61">
        <f>SUMIFS(Resumo_Trocas!$D:$D,Resumo_Trocas!$A:$A,$C49,Resumo_Trocas!$F:$F,D$27,Resumo_Trocas!$C:$C,"&gt;0")</f>
        <v>4</v>
      </c>
      <c r="E49" s="61">
        <f>SUMIFS(Resumo_Trocas!$D:$D,Resumo_Trocas!$A:$A,$C49,Resumo_Trocas!$F:$F,E$27,Resumo_Trocas!$C:$C,"&gt;0")</f>
        <v>10</v>
      </c>
      <c r="F49" s="61">
        <f>SUMIFS(Resumo_Trocas!$D:$D,Resumo_Trocas!$A:$A,$C49,Resumo_Trocas!$F:$F,F$27,Resumo_Trocas!$C:$C,"&gt;0")</f>
        <v>0</v>
      </c>
      <c r="G49" s="61">
        <f>SUMIFS(Resumo_Trocas!$D:$D,Resumo_Trocas!$A:$A,$C49,Resumo_Trocas!$F:$F,G$27,Resumo_Trocas!$C:$C,"&gt;0")</f>
        <v>0</v>
      </c>
      <c r="H49" s="61">
        <f>SUMIFS(Resumo_Trocas!$D:$D,Resumo_Trocas!$A:$A,$C49,Resumo_Trocas!$F:$F,H$27,Resumo_Trocas!$C:$C,"&gt;0")</f>
        <v>0</v>
      </c>
      <c r="I49" s="61">
        <f>SUMIFS(Resumo_Trocas!$D:$D,Resumo_Trocas!$A:$A,$C49,Resumo_Trocas!$F:$F,I$27,Resumo_Trocas!$C:$C,"&gt;0")</f>
        <v>0</v>
      </c>
      <c r="J49" s="61">
        <f>SUMIFS(Resumo_Trocas!$D:$D,Resumo_Trocas!$A:$A,$C49,Resumo_Trocas!$F:$F,J$27,Resumo_Trocas!$C:$C,"&gt;0")</f>
        <v>0</v>
      </c>
      <c r="K49" s="61">
        <f>SUMIFS(Resumo_Trocas!$D:$D,Resumo_Trocas!$A:$A,$C49,Resumo_Trocas!$F:$F,K$27,Resumo_Trocas!$C:$C,"&gt;0")</f>
        <v>0</v>
      </c>
      <c r="L49" s="61">
        <f>SUMIFS(Resumo_Trocas!$D:$D,Resumo_Trocas!$A:$A,$C49,Resumo_Trocas!$F:$F,L$27,Resumo_Trocas!$C:$C,"&gt;0")</f>
        <v>0</v>
      </c>
      <c r="M49" s="61">
        <f>SUMIFS(Resumo_Trocas!$D:$D,Resumo_Trocas!$A:$A,$C49,Resumo_Trocas!$F:$F,M$27,Resumo_Trocas!$C:$C,"&gt;0")</f>
        <v>0</v>
      </c>
      <c r="N49" s="61">
        <f>SUMIFS(Resumo_Trocas!$D:$D,Resumo_Trocas!$A:$A,$C49,Resumo_Trocas!$F:$F,N$27,Resumo_Trocas!$C:$C,"&gt;0")</f>
        <v>0</v>
      </c>
      <c r="O49" s="61">
        <f>SUMIFS(Resumo_Trocas!$D:$D,Resumo_Trocas!$A:$A,$C49,Resumo_Trocas!$F:$F,O$27,Resumo_Trocas!$C:$C,"&gt;0")</f>
        <v>0</v>
      </c>
      <c r="P49" s="61">
        <f>SUMIFS(Resumo_Trocas!$D:$D,Resumo_Trocas!$A:$A,$C49,Resumo_Trocas!$F:$F,P$27,Resumo_Trocas!$C:$C,"&gt;0")</f>
        <v>0</v>
      </c>
      <c r="Q49" s="61">
        <f>SUMIFS(Resumo_Trocas!$D:$D,Resumo_Trocas!$A:$A,$C49,Resumo_Trocas!$F:$F,Q$27,Resumo_Trocas!$C:$C,"&gt;0")</f>
        <v>2</v>
      </c>
      <c r="R49" s="61">
        <f>SUMIFS(Resumo_Trocas!$D:$D,Resumo_Trocas!$A:$A,$C49,Resumo_Trocas!$F:$F,R$27,Resumo_Trocas!$C:$C,"&gt;0")</f>
        <v>0</v>
      </c>
      <c r="S49" s="61">
        <f>SUMIFS(Resumo_Trocas!$D:$D,Resumo_Trocas!$A:$A,$C49,Resumo_Trocas!$F:$F,S$27,Resumo_Trocas!$C:$C,"&gt;0")</f>
        <v>0</v>
      </c>
      <c r="T49" s="61">
        <f>SUMIFS(Resumo_Trocas!$D:$D,Resumo_Trocas!$A:$A,$C49,Resumo_Trocas!$F:$F,T$27,Resumo_Trocas!$C:$C,"&gt;0")</f>
        <v>0</v>
      </c>
      <c r="U49" s="61">
        <f>SUMIFS(Resumo_Trocas!$D:$D,Resumo_Trocas!$A:$A,$C49,Resumo_Trocas!$F:$F,U$27,Resumo_Trocas!$C:$C,"&gt;0")</f>
        <v>0</v>
      </c>
      <c r="V49" s="61">
        <f>SUMIFS(Resumo_Trocas!$D:$D,Resumo_Trocas!$A:$A,$C49,Resumo_Trocas!$F:$F,V$27,Resumo_Trocas!$C:$C,"&gt;0")</f>
        <v>0</v>
      </c>
    </row>
    <row r="50" spans="2:22" ht="15" customHeight="1" outlineLevel="1" thickBot="1" x14ac:dyDescent="0.3">
      <c r="B50" s="76"/>
      <c r="C50" s="60" t="s">
        <v>387</v>
      </c>
      <c r="D50" s="61">
        <f>SUMIFS(Resumo_Trocas!$D:$D,Resumo_Trocas!$A:$A,$C50,Resumo_Trocas!$F:$F,D$27,Resumo_Trocas!$C:$C,"&gt;0")</f>
        <v>2</v>
      </c>
      <c r="E50" s="61">
        <f>SUMIFS(Resumo_Trocas!$D:$D,Resumo_Trocas!$A:$A,$C50,Resumo_Trocas!$F:$F,E$27,Resumo_Trocas!$C:$C,"&gt;0")</f>
        <v>0</v>
      </c>
      <c r="F50" s="61">
        <f>SUMIFS(Resumo_Trocas!$D:$D,Resumo_Trocas!$A:$A,$C50,Resumo_Trocas!$F:$F,F$27,Resumo_Trocas!$C:$C,"&gt;0")</f>
        <v>0</v>
      </c>
      <c r="G50" s="61">
        <f>SUMIFS(Resumo_Trocas!$D:$D,Resumo_Trocas!$A:$A,$C50,Resumo_Trocas!$F:$F,G$27,Resumo_Trocas!$C:$C,"&gt;0")</f>
        <v>0</v>
      </c>
      <c r="H50" s="61">
        <f>SUMIFS(Resumo_Trocas!$D:$D,Resumo_Trocas!$A:$A,$C50,Resumo_Trocas!$F:$F,H$27,Resumo_Trocas!$C:$C,"&gt;0")</f>
        <v>0</v>
      </c>
      <c r="I50" s="61">
        <f>SUMIFS(Resumo_Trocas!$D:$D,Resumo_Trocas!$A:$A,$C50,Resumo_Trocas!$F:$F,I$27,Resumo_Trocas!$C:$C,"&gt;0")</f>
        <v>0</v>
      </c>
      <c r="J50" s="61">
        <f>SUMIFS(Resumo_Trocas!$D:$D,Resumo_Trocas!$A:$A,$C50,Resumo_Trocas!$F:$F,J$27,Resumo_Trocas!$C:$C,"&gt;0")</f>
        <v>0</v>
      </c>
      <c r="K50" s="61">
        <f>SUMIFS(Resumo_Trocas!$D:$D,Resumo_Trocas!$A:$A,$C50,Resumo_Trocas!$F:$F,K$27,Resumo_Trocas!$C:$C,"&gt;0")</f>
        <v>0</v>
      </c>
      <c r="L50" s="61">
        <f>SUMIFS(Resumo_Trocas!$D:$D,Resumo_Trocas!$A:$A,$C50,Resumo_Trocas!$F:$F,L$27,Resumo_Trocas!$C:$C,"&gt;0")</f>
        <v>0</v>
      </c>
      <c r="M50" s="61">
        <f>SUMIFS(Resumo_Trocas!$D:$D,Resumo_Trocas!$A:$A,$C50,Resumo_Trocas!$F:$F,M$27,Resumo_Trocas!$C:$C,"&gt;0")</f>
        <v>0</v>
      </c>
      <c r="N50" s="61">
        <f>SUMIFS(Resumo_Trocas!$D:$D,Resumo_Trocas!$A:$A,$C50,Resumo_Trocas!$F:$F,N$27,Resumo_Trocas!$C:$C,"&gt;0")</f>
        <v>0</v>
      </c>
      <c r="O50" s="61">
        <f>SUMIFS(Resumo_Trocas!$D:$D,Resumo_Trocas!$A:$A,$C50,Resumo_Trocas!$F:$F,O$27,Resumo_Trocas!$C:$C,"&gt;0")</f>
        <v>0</v>
      </c>
      <c r="P50" s="61">
        <f>SUMIFS(Resumo_Trocas!$D:$D,Resumo_Trocas!$A:$A,$C50,Resumo_Trocas!$F:$F,P$27,Resumo_Trocas!$C:$C,"&gt;0")</f>
        <v>0</v>
      </c>
      <c r="Q50" s="61">
        <f>SUMIFS(Resumo_Trocas!$D:$D,Resumo_Trocas!$A:$A,$C50,Resumo_Trocas!$F:$F,Q$27,Resumo_Trocas!$C:$C,"&gt;0")</f>
        <v>0</v>
      </c>
      <c r="R50" s="61">
        <f>SUMIFS(Resumo_Trocas!$D:$D,Resumo_Trocas!$A:$A,$C50,Resumo_Trocas!$F:$F,R$27,Resumo_Trocas!$C:$C,"&gt;0")</f>
        <v>0</v>
      </c>
      <c r="S50" s="61">
        <f>SUMIFS(Resumo_Trocas!$D:$D,Resumo_Trocas!$A:$A,$C50,Resumo_Trocas!$F:$F,S$27,Resumo_Trocas!$C:$C,"&gt;0")</f>
        <v>0</v>
      </c>
      <c r="T50" s="61">
        <f>SUMIFS(Resumo_Trocas!$D:$D,Resumo_Trocas!$A:$A,$C50,Resumo_Trocas!$F:$F,T$27,Resumo_Trocas!$C:$C,"&gt;0")</f>
        <v>0</v>
      </c>
      <c r="U50" s="61">
        <f>SUMIFS(Resumo_Trocas!$D:$D,Resumo_Trocas!$A:$A,$C50,Resumo_Trocas!$F:$F,U$27,Resumo_Trocas!$C:$C,"&gt;0")</f>
        <v>0</v>
      </c>
      <c r="V50" s="61">
        <f>SUMIFS(Resumo_Trocas!$D:$D,Resumo_Trocas!$A:$A,$C50,Resumo_Trocas!$F:$F,V$27,Resumo_Trocas!$C:$C,"&gt;0")</f>
        <v>0</v>
      </c>
    </row>
    <row r="51" spans="2:22" ht="15" customHeight="1" outlineLevel="1" thickBot="1" x14ac:dyDescent="0.3">
      <c r="B51" s="76"/>
      <c r="C51" s="60" t="s">
        <v>390</v>
      </c>
      <c r="D51" s="61">
        <f>SUMIFS(Resumo_Trocas!$D:$D,Resumo_Trocas!$A:$A,$C51,Resumo_Trocas!$F:$F,D$27,Resumo_Trocas!$C:$C,"&gt;0")</f>
        <v>0</v>
      </c>
      <c r="E51" s="61">
        <f>SUMIFS(Resumo_Trocas!$D:$D,Resumo_Trocas!$A:$A,$C51,Resumo_Trocas!$F:$F,E$27,Resumo_Trocas!$C:$C,"&gt;0")</f>
        <v>0</v>
      </c>
      <c r="F51" s="61">
        <f>SUMIFS(Resumo_Trocas!$D:$D,Resumo_Trocas!$A:$A,$C51,Resumo_Trocas!$F:$F,F$27,Resumo_Trocas!$C:$C,"&gt;0")</f>
        <v>0</v>
      </c>
      <c r="G51" s="61">
        <f>SUMIFS(Resumo_Trocas!$D:$D,Resumo_Trocas!$A:$A,$C51,Resumo_Trocas!$F:$F,G$27,Resumo_Trocas!$C:$C,"&gt;0")</f>
        <v>0</v>
      </c>
      <c r="H51" s="61">
        <f>SUMIFS(Resumo_Trocas!$D:$D,Resumo_Trocas!$A:$A,$C51,Resumo_Trocas!$F:$F,H$27,Resumo_Trocas!$C:$C,"&gt;0")</f>
        <v>0</v>
      </c>
      <c r="I51" s="61">
        <f>SUMIFS(Resumo_Trocas!$D:$D,Resumo_Trocas!$A:$A,$C51,Resumo_Trocas!$F:$F,I$27,Resumo_Trocas!$C:$C,"&gt;0")</f>
        <v>0</v>
      </c>
      <c r="J51" s="61">
        <f>SUMIFS(Resumo_Trocas!$D:$D,Resumo_Trocas!$A:$A,$C51,Resumo_Trocas!$F:$F,J$27,Resumo_Trocas!$C:$C,"&gt;0")</f>
        <v>0</v>
      </c>
      <c r="K51" s="61">
        <f>SUMIFS(Resumo_Trocas!$D:$D,Resumo_Trocas!$A:$A,$C51,Resumo_Trocas!$F:$F,K$27,Resumo_Trocas!$C:$C,"&gt;0")</f>
        <v>0</v>
      </c>
      <c r="L51" s="61">
        <f>SUMIFS(Resumo_Trocas!$D:$D,Resumo_Trocas!$A:$A,$C51,Resumo_Trocas!$F:$F,L$27,Resumo_Trocas!$C:$C,"&gt;0")</f>
        <v>0</v>
      </c>
      <c r="M51" s="61">
        <f>SUMIFS(Resumo_Trocas!$D:$D,Resumo_Trocas!$A:$A,$C51,Resumo_Trocas!$F:$F,M$27,Resumo_Trocas!$C:$C,"&gt;0")</f>
        <v>0</v>
      </c>
      <c r="N51" s="61">
        <f>SUMIFS(Resumo_Trocas!$D:$D,Resumo_Trocas!$A:$A,$C51,Resumo_Trocas!$F:$F,N$27,Resumo_Trocas!$C:$C,"&gt;0")</f>
        <v>0</v>
      </c>
      <c r="O51" s="61">
        <f>SUMIFS(Resumo_Trocas!$D:$D,Resumo_Trocas!$A:$A,$C51,Resumo_Trocas!$F:$F,O$27,Resumo_Trocas!$C:$C,"&gt;0")</f>
        <v>0</v>
      </c>
      <c r="P51" s="61">
        <f>SUMIFS(Resumo_Trocas!$D:$D,Resumo_Trocas!$A:$A,$C51,Resumo_Trocas!$F:$F,P$27,Resumo_Trocas!$C:$C,"&gt;0")</f>
        <v>0</v>
      </c>
      <c r="Q51" s="61">
        <f>SUMIFS(Resumo_Trocas!$D:$D,Resumo_Trocas!$A:$A,$C51,Resumo_Trocas!$F:$F,Q$27,Resumo_Trocas!$C:$C,"&gt;0")</f>
        <v>0</v>
      </c>
      <c r="R51" s="61">
        <f>SUMIFS(Resumo_Trocas!$D:$D,Resumo_Trocas!$A:$A,$C51,Resumo_Trocas!$F:$F,R$27,Resumo_Trocas!$C:$C,"&gt;0")</f>
        <v>0</v>
      </c>
      <c r="S51" s="61">
        <f>SUMIFS(Resumo_Trocas!$D:$D,Resumo_Trocas!$A:$A,$C51,Resumo_Trocas!$F:$F,S$27,Resumo_Trocas!$C:$C,"&gt;0")</f>
        <v>0</v>
      </c>
      <c r="T51" s="61">
        <f>SUMIFS(Resumo_Trocas!$D:$D,Resumo_Trocas!$A:$A,$C51,Resumo_Trocas!$F:$F,T$27,Resumo_Trocas!$C:$C,"&gt;0")</f>
        <v>0</v>
      </c>
      <c r="U51" s="61">
        <f>SUMIFS(Resumo_Trocas!$D:$D,Resumo_Trocas!$A:$A,$C51,Resumo_Trocas!$F:$F,U$27,Resumo_Trocas!$C:$C,"&gt;0")</f>
        <v>0</v>
      </c>
      <c r="V51" s="61">
        <f>SUMIFS(Resumo_Trocas!$D:$D,Resumo_Trocas!$A:$A,$C51,Resumo_Trocas!$F:$F,V$27,Resumo_Trocas!$C:$C,"&gt;0")</f>
        <v>0</v>
      </c>
    </row>
    <row r="52" spans="2:22" ht="15" customHeight="1" outlineLevel="1" thickBot="1" x14ac:dyDescent="0.3">
      <c r="B52" s="76"/>
      <c r="C52" s="60" t="s">
        <v>393</v>
      </c>
      <c r="D52" s="61">
        <f>SUMIFS(Resumo_Trocas!$D:$D,Resumo_Trocas!$A:$A,$C52,Resumo_Trocas!$F:$F,D$27,Resumo_Trocas!$C:$C,"&gt;0")</f>
        <v>0</v>
      </c>
      <c r="E52" s="61">
        <f>SUMIFS(Resumo_Trocas!$D:$D,Resumo_Trocas!$A:$A,$C52,Resumo_Trocas!$F:$F,E$27,Resumo_Trocas!$C:$C,"&gt;0")</f>
        <v>3</v>
      </c>
      <c r="F52" s="61">
        <f>SUMIFS(Resumo_Trocas!$D:$D,Resumo_Trocas!$A:$A,$C52,Resumo_Trocas!$F:$F,F$27,Resumo_Trocas!$C:$C,"&gt;0")</f>
        <v>3</v>
      </c>
      <c r="G52" s="61">
        <f>SUMIFS(Resumo_Trocas!$D:$D,Resumo_Trocas!$A:$A,$C52,Resumo_Trocas!$F:$F,G$27,Resumo_Trocas!$C:$C,"&gt;0")</f>
        <v>0</v>
      </c>
      <c r="H52" s="61">
        <f>SUMIFS(Resumo_Trocas!$D:$D,Resumo_Trocas!$A:$A,$C52,Resumo_Trocas!$F:$F,H$27,Resumo_Trocas!$C:$C,"&gt;0")</f>
        <v>0</v>
      </c>
      <c r="I52" s="61">
        <f>SUMIFS(Resumo_Trocas!$D:$D,Resumo_Trocas!$A:$A,$C52,Resumo_Trocas!$F:$F,I$27,Resumo_Trocas!$C:$C,"&gt;0")</f>
        <v>0</v>
      </c>
      <c r="J52" s="61">
        <f>SUMIFS(Resumo_Trocas!$D:$D,Resumo_Trocas!$A:$A,$C52,Resumo_Trocas!$F:$F,J$27,Resumo_Trocas!$C:$C,"&gt;0")</f>
        <v>3</v>
      </c>
      <c r="K52" s="61">
        <f>SUMIFS(Resumo_Trocas!$D:$D,Resumo_Trocas!$A:$A,$C52,Resumo_Trocas!$F:$F,K$27,Resumo_Trocas!$C:$C,"&gt;0")</f>
        <v>0</v>
      </c>
      <c r="L52" s="61">
        <f>SUMIFS(Resumo_Trocas!$D:$D,Resumo_Trocas!$A:$A,$C52,Resumo_Trocas!$F:$F,L$27,Resumo_Trocas!$C:$C,"&gt;0")</f>
        <v>3</v>
      </c>
      <c r="M52" s="61">
        <f>SUMIFS(Resumo_Trocas!$D:$D,Resumo_Trocas!$A:$A,$C52,Resumo_Trocas!$F:$F,M$27,Resumo_Trocas!$C:$C,"&gt;0")</f>
        <v>3</v>
      </c>
      <c r="N52" s="61">
        <f>SUMIFS(Resumo_Trocas!$D:$D,Resumo_Trocas!$A:$A,$C52,Resumo_Trocas!$F:$F,N$27,Resumo_Trocas!$C:$C,"&gt;0")</f>
        <v>3</v>
      </c>
      <c r="O52" s="61">
        <f>SUMIFS(Resumo_Trocas!$D:$D,Resumo_Trocas!$A:$A,$C52,Resumo_Trocas!$F:$F,O$27,Resumo_Trocas!$C:$C,"&gt;0")</f>
        <v>6</v>
      </c>
      <c r="P52" s="61">
        <f>SUMIFS(Resumo_Trocas!$D:$D,Resumo_Trocas!$A:$A,$C52,Resumo_Trocas!$F:$F,P$27,Resumo_Trocas!$C:$C,"&gt;0")</f>
        <v>0</v>
      </c>
      <c r="Q52" s="61">
        <f>SUMIFS(Resumo_Trocas!$D:$D,Resumo_Trocas!$A:$A,$C52,Resumo_Trocas!$F:$F,Q$27,Resumo_Trocas!$C:$C,"&gt;0")</f>
        <v>2</v>
      </c>
      <c r="R52" s="61">
        <f>SUMIFS(Resumo_Trocas!$D:$D,Resumo_Trocas!$A:$A,$C52,Resumo_Trocas!$F:$F,R$27,Resumo_Trocas!$C:$C,"&gt;0")</f>
        <v>0</v>
      </c>
      <c r="S52" s="61">
        <f>SUMIFS(Resumo_Trocas!$D:$D,Resumo_Trocas!$A:$A,$C52,Resumo_Trocas!$F:$F,S$27,Resumo_Trocas!$C:$C,"&gt;0")</f>
        <v>0</v>
      </c>
      <c r="T52" s="61">
        <f>SUMIFS(Resumo_Trocas!$D:$D,Resumo_Trocas!$A:$A,$C52,Resumo_Trocas!$F:$F,T$27,Resumo_Trocas!$C:$C,"&gt;0")</f>
        <v>0</v>
      </c>
      <c r="U52" s="61">
        <f>SUMIFS(Resumo_Trocas!$D:$D,Resumo_Trocas!$A:$A,$C52,Resumo_Trocas!$F:$F,U$27,Resumo_Trocas!$C:$C,"&gt;0")</f>
        <v>0</v>
      </c>
      <c r="V52" s="61">
        <f>SUMIFS(Resumo_Trocas!$D:$D,Resumo_Trocas!$A:$A,$C52,Resumo_Trocas!$F:$F,V$27,Resumo_Trocas!$C:$C,"&gt;0")</f>
        <v>0</v>
      </c>
    </row>
    <row r="53" spans="2:22" ht="15" customHeight="1" outlineLevel="1" thickBot="1" x14ac:dyDescent="0.3">
      <c r="B53" s="76"/>
      <c r="C53" s="60" t="s">
        <v>396</v>
      </c>
      <c r="D53" s="61">
        <f>SUMIFS(Resumo_Trocas!$D:$D,Resumo_Trocas!$A:$A,$C53,Resumo_Trocas!$F:$F,D$27,Resumo_Trocas!$C:$C,"&gt;0")</f>
        <v>0</v>
      </c>
      <c r="E53" s="61">
        <f>SUMIFS(Resumo_Trocas!$D:$D,Resumo_Trocas!$A:$A,$C53,Resumo_Trocas!$F:$F,E$27,Resumo_Trocas!$C:$C,"&gt;0")</f>
        <v>6</v>
      </c>
      <c r="F53" s="61">
        <f>SUMIFS(Resumo_Trocas!$D:$D,Resumo_Trocas!$A:$A,$C53,Resumo_Trocas!$F:$F,F$27,Resumo_Trocas!$C:$C,"&gt;0")</f>
        <v>0</v>
      </c>
      <c r="G53" s="61">
        <f>SUMIFS(Resumo_Trocas!$D:$D,Resumo_Trocas!$A:$A,$C53,Resumo_Trocas!$F:$F,G$27,Resumo_Trocas!$C:$C,"&gt;0")</f>
        <v>6</v>
      </c>
      <c r="H53" s="61">
        <f>SUMIFS(Resumo_Trocas!$D:$D,Resumo_Trocas!$A:$A,$C53,Resumo_Trocas!$F:$F,H$27,Resumo_Trocas!$C:$C,"&gt;0")</f>
        <v>10</v>
      </c>
      <c r="I53" s="61">
        <f>SUMIFS(Resumo_Trocas!$D:$D,Resumo_Trocas!$A:$A,$C53,Resumo_Trocas!$F:$F,I$27,Resumo_Trocas!$C:$C,"&gt;0")</f>
        <v>0</v>
      </c>
      <c r="J53" s="61">
        <f>SUMIFS(Resumo_Trocas!$D:$D,Resumo_Trocas!$A:$A,$C53,Resumo_Trocas!$F:$F,J$27,Resumo_Trocas!$C:$C,"&gt;0")</f>
        <v>4</v>
      </c>
      <c r="K53" s="61">
        <f>SUMIFS(Resumo_Trocas!$D:$D,Resumo_Trocas!$A:$A,$C53,Resumo_Trocas!$F:$F,K$27,Resumo_Trocas!$C:$C,"&gt;0")</f>
        <v>4</v>
      </c>
      <c r="L53" s="61">
        <f>SUMIFS(Resumo_Trocas!$D:$D,Resumo_Trocas!$A:$A,$C53,Resumo_Trocas!$F:$F,L$27,Resumo_Trocas!$C:$C,"&gt;0")</f>
        <v>4</v>
      </c>
      <c r="M53" s="61">
        <f>SUMIFS(Resumo_Trocas!$D:$D,Resumo_Trocas!$A:$A,$C53,Resumo_Trocas!$F:$F,M$27,Resumo_Trocas!$C:$C,"&gt;0")</f>
        <v>4</v>
      </c>
      <c r="N53" s="61">
        <f>SUMIFS(Resumo_Trocas!$D:$D,Resumo_Trocas!$A:$A,$C53,Resumo_Trocas!$F:$F,N$27,Resumo_Trocas!$C:$C,"&gt;0")</f>
        <v>8</v>
      </c>
      <c r="O53" s="61">
        <f>SUMIFS(Resumo_Trocas!$D:$D,Resumo_Trocas!$A:$A,$C53,Resumo_Trocas!$F:$F,O$27,Resumo_Trocas!$C:$C,"&gt;0")</f>
        <v>6</v>
      </c>
      <c r="P53" s="61">
        <f>SUMIFS(Resumo_Trocas!$D:$D,Resumo_Trocas!$A:$A,$C53,Resumo_Trocas!$F:$F,P$27,Resumo_Trocas!$C:$C,"&gt;0")</f>
        <v>6</v>
      </c>
      <c r="Q53" s="61">
        <f>SUMIFS(Resumo_Trocas!$D:$D,Resumo_Trocas!$A:$A,$C53,Resumo_Trocas!$F:$F,Q$27,Resumo_Trocas!$C:$C,"&gt;0")</f>
        <v>3</v>
      </c>
      <c r="R53" s="61">
        <f>SUMIFS(Resumo_Trocas!$D:$D,Resumo_Trocas!$A:$A,$C53,Resumo_Trocas!$F:$F,R$27,Resumo_Trocas!$C:$C,"&gt;0")</f>
        <v>12</v>
      </c>
      <c r="S53" s="61">
        <f>SUMIFS(Resumo_Trocas!$D:$D,Resumo_Trocas!$A:$A,$C53,Resumo_Trocas!$F:$F,S$27,Resumo_Trocas!$C:$C,"&gt;0")</f>
        <v>4</v>
      </c>
      <c r="T53" s="61">
        <f>SUMIFS(Resumo_Trocas!$D:$D,Resumo_Trocas!$A:$A,$C53,Resumo_Trocas!$F:$F,T$27,Resumo_Trocas!$C:$C,"&gt;0")</f>
        <v>8</v>
      </c>
      <c r="U53" s="61">
        <f>SUMIFS(Resumo_Trocas!$D:$D,Resumo_Trocas!$A:$A,$C53,Resumo_Trocas!$F:$F,U$27,Resumo_Trocas!$C:$C,"&gt;0")</f>
        <v>4</v>
      </c>
      <c r="V53" s="61">
        <f>SUMIFS(Resumo_Trocas!$D:$D,Resumo_Trocas!$A:$A,$C53,Resumo_Trocas!$F:$F,V$27,Resumo_Trocas!$C:$C,"&gt;0")</f>
        <v>0</v>
      </c>
    </row>
    <row r="54" spans="2:22" ht="15" customHeight="1" outlineLevel="1" thickBot="1" x14ac:dyDescent="0.3">
      <c r="B54" s="76"/>
      <c r="C54" s="60" t="s">
        <v>399</v>
      </c>
      <c r="D54" s="61">
        <f>SUMIFS(Resumo_Trocas!$D:$D,Resumo_Trocas!$A:$A,$C54,Resumo_Trocas!$F:$F,D$27,Resumo_Trocas!$C:$C,"&gt;0")</f>
        <v>0</v>
      </c>
      <c r="E54" s="61">
        <f>SUMIFS(Resumo_Trocas!$D:$D,Resumo_Trocas!$A:$A,$C54,Resumo_Trocas!$F:$F,E$27,Resumo_Trocas!$C:$C,"&gt;0")</f>
        <v>0</v>
      </c>
      <c r="F54" s="61">
        <f>SUMIFS(Resumo_Trocas!$D:$D,Resumo_Trocas!$A:$A,$C54,Resumo_Trocas!$F:$F,F$27,Resumo_Trocas!$C:$C,"&gt;0")</f>
        <v>0</v>
      </c>
      <c r="G54" s="61">
        <f>SUMIFS(Resumo_Trocas!$D:$D,Resumo_Trocas!$A:$A,$C54,Resumo_Trocas!$F:$F,G$27,Resumo_Trocas!$C:$C,"&gt;0")</f>
        <v>0</v>
      </c>
      <c r="H54" s="61">
        <f>SUMIFS(Resumo_Trocas!$D:$D,Resumo_Trocas!$A:$A,$C54,Resumo_Trocas!$F:$F,H$27,Resumo_Trocas!$C:$C,"&gt;0")</f>
        <v>0</v>
      </c>
      <c r="I54" s="61">
        <f>SUMIFS(Resumo_Trocas!$D:$D,Resumo_Trocas!$A:$A,$C54,Resumo_Trocas!$F:$F,I$27,Resumo_Trocas!$C:$C,"&gt;0")</f>
        <v>0</v>
      </c>
      <c r="J54" s="61">
        <f>SUMIFS(Resumo_Trocas!$D:$D,Resumo_Trocas!$A:$A,$C54,Resumo_Trocas!$F:$F,J$27,Resumo_Trocas!$C:$C,"&gt;0")</f>
        <v>0</v>
      </c>
      <c r="K54" s="61">
        <f>SUMIFS(Resumo_Trocas!$D:$D,Resumo_Trocas!$A:$A,$C54,Resumo_Trocas!$F:$F,K$27,Resumo_Trocas!$C:$C,"&gt;0")</f>
        <v>0</v>
      </c>
      <c r="L54" s="61">
        <f>SUMIFS(Resumo_Trocas!$D:$D,Resumo_Trocas!$A:$A,$C54,Resumo_Trocas!$F:$F,L$27,Resumo_Trocas!$C:$C,"&gt;0")</f>
        <v>0</v>
      </c>
      <c r="M54" s="61">
        <f>SUMIFS(Resumo_Trocas!$D:$D,Resumo_Trocas!$A:$A,$C54,Resumo_Trocas!$F:$F,M$27,Resumo_Trocas!$C:$C,"&gt;0")</f>
        <v>0</v>
      </c>
      <c r="N54" s="61">
        <f>SUMIFS(Resumo_Trocas!$D:$D,Resumo_Trocas!$A:$A,$C54,Resumo_Trocas!$F:$F,N$27,Resumo_Trocas!$C:$C,"&gt;0")</f>
        <v>0</v>
      </c>
      <c r="O54" s="61">
        <f>SUMIFS(Resumo_Trocas!$D:$D,Resumo_Trocas!$A:$A,$C54,Resumo_Trocas!$F:$F,O$27,Resumo_Trocas!$C:$C,"&gt;0")</f>
        <v>0</v>
      </c>
      <c r="P54" s="61">
        <f>SUMIFS(Resumo_Trocas!$D:$D,Resumo_Trocas!$A:$A,$C54,Resumo_Trocas!$F:$F,P$27,Resumo_Trocas!$C:$C,"&gt;0")</f>
        <v>0</v>
      </c>
      <c r="Q54" s="61">
        <f>SUMIFS(Resumo_Trocas!$D:$D,Resumo_Trocas!$A:$A,$C54,Resumo_Trocas!$F:$F,Q$27,Resumo_Trocas!$C:$C,"&gt;0")</f>
        <v>0</v>
      </c>
      <c r="R54" s="61">
        <f>SUMIFS(Resumo_Trocas!$D:$D,Resumo_Trocas!$A:$A,$C54,Resumo_Trocas!$F:$F,R$27,Resumo_Trocas!$C:$C,"&gt;0")</f>
        <v>0</v>
      </c>
      <c r="S54" s="61">
        <f>SUMIFS(Resumo_Trocas!$D:$D,Resumo_Trocas!$A:$A,$C54,Resumo_Trocas!$F:$F,S$27,Resumo_Trocas!$C:$C,"&gt;0")</f>
        <v>0</v>
      </c>
      <c r="T54" s="61">
        <f>SUMIFS(Resumo_Trocas!$D:$D,Resumo_Trocas!$A:$A,$C54,Resumo_Trocas!$F:$F,T$27,Resumo_Trocas!$C:$C,"&gt;0")</f>
        <v>0</v>
      </c>
      <c r="U54" s="61">
        <f>SUMIFS(Resumo_Trocas!$D:$D,Resumo_Trocas!$A:$A,$C54,Resumo_Trocas!$F:$F,U$27,Resumo_Trocas!$C:$C,"&gt;0")</f>
        <v>0</v>
      </c>
      <c r="V54" s="61">
        <f>SUMIFS(Resumo_Trocas!$D:$D,Resumo_Trocas!$A:$A,$C54,Resumo_Trocas!$F:$F,V$27,Resumo_Trocas!$C:$C,"&gt;0")</f>
        <v>0</v>
      </c>
    </row>
    <row r="55" spans="2:22" ht="15" customHeight="1" outlineLevel="1" thickBot="1" x14ac:dyDescent="0.3">
      <c r="B55" s="76"/>
      <c r="C55" s="60" t="s">
        <v>3400</v>
      </c>
      <c r="D55" s="61">
        <f>SUMIFS(Resumo_Trocas!$D:$D,Resumo_Trocas!$A:$A,$C55,Resumo_Trocas!$F:$F,D$27,Resumo_Trocas!$C:$C,"&gt;0")</f>
        <v>0</v>
      </c>
      <c r="E55" s="61">
        <f>SUMIFS(Resumo_Trocas!$D:$D,Resumo_Trocas!$A:$A,$C55,Resumo_Trocas!$F:$F,E$27,Resumo_Trocas!$C:$C,"&gt;0")</f>
        <v>0</v>
      </c>
      <c r="F55" s="61">
        <f>SUMIFS(Resumo_Trocas!$D:$D,Resumo_Trocas!$A:$A,$C55,Resumo_Trocas!$F:$F,F$27,Resumo_Trocas!$C:$C,"&gt;0")</f>
        <v>0</v>
      </c>
      <c r="G55" s="61">
        <f>SUMIFS(Resumo_Trocas!$D:$D,Resumo_Trocas!$A:$A,$C55,Resumo_Trocas!$F:$F,G$27,Resumo_Trocas!$C:$C,"&gt;0")</f>
        <v>0</v>
      </c>
      <c r="H55" s="61">
        <f>SUMIFS(Resumo_Trocas!$D:$D,Resumo_Trocas!$A:$A,$C55,Resumo_Trocas!$F:$F,H$27,Resumo_Trocas!$C:$C,"&gt;0")</f>
        <v>0</v>
      </c>
      <c r="I55" s="61">
        <f>SUMIFS(Resumo_Trocas!$D:$D,Resumo_Trocas!$A:$A,$C55,Resumo_Trocas!$F:$F,I$27,Resumo_Trocas!$C:$C,"&gt;0")</f>
        <v>0</v>
      </c>
      <c r="J55" s="61">
        <f>SUMIFS(Resumo_Trocas!$D:$D,Resumo_Trocas!$A:$A,$C55,Resumo_Trocas!$F:$F,J$27,Resumo_Trocas!$C:$C,"&gt;0")</f>
        <v>0</v>
      </c>
      <c r="K55" s="61">
        <f>SUMIFS(Resumo_Trocas!$D:$D,Resumo_Trocas!$A:$A,$C55,Resumo_Trocas!$F:$F,K$27,Resumo_Trocas!$C:$C,"&gt;0")</f>
        <v>0</v>
      </c>
      <c r="L55" s="61">
        <f>SUMIFS(Resumo_Trocas!$D:$D,Resumo_Trocas!$A:$A,$C55,Resumo_Trocas!$F:$F,L$27,Resumo_Trocas!$C:$C,"&gt;0")</f>
        <v>0</v>
      </c>
      <c r="M55" s="61">
        <f>SUMIFS(Resumo_Trocas!$D:$D,Resumo_Trocas!$A:$A,$C55,Resumo_Trocas!$F:$F,M$27,Resumo_Trocas!$C:$C,"&gt;0")</f>
        <v>0</v>
      </c>
      <c r="N55" s="61">
        <f>SUMIFS(Resumo_Trocas!$D:$D,Resumo_Trocas!$A:$A,$C55,Resumo_Trocas!$F:$F,N$27,Resumo_Trocas!$C:$C,"&gt;0")</f>
        <v>0</v>
      </c>
      <c r="O55" s="61">
        <f>SUMIFS(Resumo_Trocas!$D:$D,Resumo_Trocas!$A:$A,$C55,Resumo_Trocas!$F:$F,O$27,Resumo_Trocas!$C:$C,"&gt;0")</f>
        <v>0</v>
      </c>
      <c r="P55" s="61">
        <f>SUMIFS(Resumo_Trocas!$D:$D,Resumo_Trocas!$A:$A,$C55,Resumo_Trocas!$F:$F,P$27,Resumo_Trocas!$C:$C,"&gt;0")</f>
        <v>0</v>
      </c>
      <c r="Q55" s="61">
        <f>SUMIFS(Resumo_Trocas!$D:$D,Resumo_Trocas!$A:$A,$C55,Resumo_Trocas!$F:$F,Q$27,Resumo_Trocas!$C:$C,"&gt;0")</f>
        <v>0</v>
      </c>
      <c r="R55" s="61">
        <f>SUMIFS(Resumo_Trocas!$D:$D,Resumo_Trocas!$A:$A,$C55,Resumo_Trocas!$F:$F,R$27,Resumo_Trocas!$C:$C,"&gt;0")</f>
        <v>0</v>
      </c>
      <c r="S55" s="61">
        <f>SUMIFS(Resumo_Trocas!$D:$D,Resumo_Trocas!$A:$A,$C55,Resumo_Trocas!$F:$F,S$27,Resumo_Trocas!$C:$C,"&gt;0")</f>
        <v>0</v>
      </c>
      <c r="T55" s="61">
        <f>SUMIFS(Resumo_Trocas!$D:$D,Resumo_Trocas!$A:$A,$C55,Resumo_Trocas!$F:$F,T$27,Resumo_Trocas!$C:$C,"&gt;0")</f>
        <v>0</v>
      </c>
      <c r="U55" s="61">
        <f>SUMIFS(Resumo_Trocas!$D:$D,Resumo_Trocas!$A:$A,$C55,Resumo_Trocas!$F:$F,U$27,Resumo_Trocas!$C:$C,"&gt;0")</f>
        <v>0</v>
      </c>
      <c r="V55" s="61">
        <f>SUMIFS(Resumo_Trocas!$D:$D,Resumo_Trocas!$A:$A,$C55,Resumo_Trocas!$F:$F,V$27,Resumo_Trocas!$C:$C,"&gt;0")</f>
        <v>0</v>
      </c>
    </row>
    <row r="56" spans="2:22" ht="15" customHeight="1" outlineLevel="1" thickBot="1" x14ac:dyDescent="0.3">
      <c r="B56" s="76"/>
      <c r="C56" s="60" t="s">
        <v>3401</v>
      </c>
      <c r="D56" s="61">
        <f>SUMIFS(Resumo_Trocas!$D:$D,Resumo_Trocas!$A:$A,$C56,Resumo_Trocas!$F:$F,D$27,Resumo_Trocas!$C:$C,"&gt;0")</f>
        <v>3</v>
      </c>
      <c r="E56" s="61">
        <f>SUMIFS(Resumo_Trocas!$D:$D,Resumo_Trocas!$A:$A,$C56,Resumo_Trocas!$F:$F,E$27,Resumo_Trocas!$C:$C,"&gt;0")</f>
        <v>0</v>
      </c>
      <c r="F56" s="61">
        <f>SUMIFS(Resumo_Trocas!$D:$D,Resumo_Trocas!$A:$A,$C56,Resumo_Trocas!$F:$F,F$27,Resumo_Trocas!$C:$C,"&gt;0")</f>
        <v>0</v>
      </c>
      <c r="G56" s="61">
        <f>SUMIFS(Resumo_Trocas!$D:$D,Resumo_Trocas!$A:$A,$C56,Resumo_Trocas!$F:$F,G$27,Resumo_Trocas!$C:$C,"&gt;0")</f>
        <v>0</v>
      </c>
      <c r="H56" s="61">
        <f>SUMIFS(Resumo_Trocas!$D:$D,Resumo_Trocas!$A:$A,$C56,Resumo_Trocas!$F:$F,H$27,Resumo_Trocas!$C:$C,"&gt;0")</f>
        <v>0</v>
      </c>
      <c r="I56" s="61">
        <f>SUMIFS(Resumo_Trocas!$D:$D,Resumo_Trocas!$A:$A,$C56,Resumo_Trocas!$F:$F,I$27,Resumo_Trocas!$C:$C,"&gt;0")</f>
        <v>0</v>
      </c>
      <c r="J56" s="61">
        <f>SUMIFS(Resumo_Trocas!$D:$D,Resumo_Trocas!$A:$A,$C56,Resumo_Trocas!$F:$F,J$27,Resumo_Trocas!$C:$C,"&gt;0")</f>
        <v>0</v>
      </c>
      <c r="K56" s="61">
        <f>SUMIFS(Resumo_Trocas!$D:$D,Resumo_Trocas!$A:$A,$C56,Resumo_Trocas!$F:$F,K$27,Resumo_Trocas!$C:$C,"&gt;0")</f>
        <v>0</v>
      </c>
      <c r="L56" s="61">
        <f>SUMIFS(Resumo_Trocas!$D:$D,Resumo_Trocas!$A:$A,$C56,Resumo_Trocas!$F:$F,L$27,Resumo_Trocas!$C:$C,"&gt;0")</f>
        <v>0</v>
      </c>
      <c r="M56" s="61">
        <f>SUMIFS(Resumo_Trocas!$D:$D,Resumo_Trocas!$A:$A,$C56,Resumo_Trocas!$F:$F,M$27,Resumo_Trocas!$C:$C,"&gt;0")</f>
        <v>0</v>
      </c>
      <c r="N56" s="61">
        <f>SUMIFS(Resumo_Trocas!$D:$D,Resumo_Trocas!$A:$A,$C56,Resumo_Trocas!$F:$F,N$27,Resumo_Trocas!$C:$C,"&gt;0")</f>
        <v>0</v>
      </c>
      <c r="O56" s="61">
        <f>SUMIFS(Resumo_Trocas!$D:$D,Resumo_Trocas!$A:$A,$C56,Resumo_Trocas!$F:$F,O$27,Resumo_Trocas!$C:$C,"&gt;0")</f>
        <v>0</v>
      </c>
      <c r="P56" s="61">
        <f>SUMIFS(Resumo_Trocas!$D:$D,Resumo_Trocas!$A:$A,$C56,Resumo_Trocas!$F:$F,P$27,Resumo_Trocas!$C:$C,"&gt;0")</f>
        <v>0</v>
      </c>
      <c r="Q56" s="61">
        <f>SUMIFS(Resumo_Trocas!$D:$D,Resumo_Trocas!$A:$A,$C56,Resumo_Trocas!$F:$F,Q$27,Resumo_Trocas!$C:$C,"&gt;0")</f>
        <v>0</v>
      </c>
      <c r="R56" s="61">
        <f>SUMIFS(Resumo_Trocas!$D:$D,Resumo_Trocas!$A:$A,$C56,Resumo_Trocas!$F:$F,R$27,Resumo_Trocas!$C:$C,"&gt;0")</f>
        <v>0</v>
      </c>
      <c r="S56" s="61">
        <f>SUMIFS(Resumo_Trocas!$D:$D,Resumo_Trocas!$A:$A,$C56,Resumo_Trocas!$F:$F,S$27,Resumo_Trocas!$C:$C,"&gt;0")</f>
        <v>0</v>
      </c>
      <c r="T56" s="61">
        <f>SUMIFS(Resumo_Trocas!$D:$D,Resumo_Trocas!$A:$A,$C56,Resumo_Trocas!$F:$F,T$27,Resumo_Trocas!$C:$C,"&gt;0")</f>
        <v>0</v>
      </c>
      <c r="U56" s="61">
        <f>SUMIFS(Resumo_Trocas!$D:$D,Resumo_Trocas!$A:$A,$C56,Resumo_Trocas!$F:$F,U$27,Resumo_Trocas!$C:$C,"&gt;0")</f>
        <v>0</v>
      </c>
      <c r="V56" s="61">
        <f>SUMIFS(Resumo_Trocas!$D:$D,Resumo_Trocas!$A:$A,$C56,Resumo_Trocas!$F:$F,V$27,Resumo_Trocas!$C:$C,"&gt;0")</f>
        <v>0</v>
      </c>
    </row>
    <row r="57" spans="2:22" ht="15" customHeight="1" outlineLevel="1" thickBot="1" x14ac:dyDescent="0.3">
      <c r="B57" s="76"/>
      <c r="C57" s="60" t="s">
        <v>3402</v>
      </c>
      <c r="D57" s="61">
        <f>SUMIFS(Resumo_Trocas!$D:$D,Resumo_Trocas!$A:$A,$C57,Resumo_Trocas!$F:$F,D$27,Resumo_Trocas!$C:$C,"&gt;0")</f>
        <v>0</v>
      </c>
      <c r="E57" s="61">
        <f>SUMIFS(Resumo_Trocas!$D:$D,Resumo_Trocas!$A:$A,$C57,Resumo_Trocas!$F:$F,E$27,Resumo_Trocas!$C:$C,"&gt;0")</f>
        <v>0</v>
      </c>
      <c r="F57" s="61">
        <f>SUMIFS(Resumo_Trocas!$D:$D,Resumo_Trocas!$A:$A,$C57,Resumo_Trocas!$F:$F,F$27,Resumo_Trocas!$C:$C,"&gt;0")</f>
        <v>0</v>
      </c>
      <c r="G57" s="61">
        <f>SUMIFS(Resumo_Trocas!$D:$D,Resumo_Trocas!$A:$A,$C57,Resumo_Trocas!$F:$F,G$27,Resumo_Trocas!$C:$C,"&gt;0")</f>
        <v>0</v>
      </c>
      <c r="H57" s="61">
        <f>SUMIFS(Resumo_Trocas!$D:$D,Resumo_Trocas!$A:$A,$C57,Resumo_Trocas!$F:$F,H$27,Resumo_Trocas!$C:$C,"&gt;0")</f>
        <v>0</v>
      </c>
      <c r="I57" s="61">
        <f>SUMIFS(Resumo_Trocas!$D:$D,Resumo_Trocas!$A:$A,$C57,Resumo_Trocas!$F:$F,I$27,Resumo_Trocas!$C:$C,"&gt;0")</f>
        <v>0</v>
      </c>
      <c r="J57" s="61">
        <f>SUMIFS(Resumo_Trocas!$D:$D,Resumo_Trocas!$A:$A,$C57,Resumo_Trocas!$F:$F,J$27,Resumo_Trocas!$C:$C,"&gt;0")</f>
        <v>0</v>
      </c>
      <c r="K57" s="61">
        <f>SUMIFS(Resumo_Trocas!$D:$D,Resumo_Trocas!$A:$A,$C57,Resumo_Trocas!$F:$F,K$27,Resumo_Trocas!$C:$C,"&gt;0")</f>
        <v>0</v>
      </c>
      <c r="L57" s="61">
        <f>SUMIFS(Resumo_Trocas!$D:$D,Resumo_Trocas!$A:$A,$C57,Resumo_Trocas!$F:$F,L$27,Resumo_Trocas!$C:$C,"&gt;0")</f>
        <v>0</v>
      </c>
      <c r="M57" s="61">
        <f>SUMIFS(Resumo_Trocas!$D:$D,Resumo_Trocas!$A:$A,$C57,Resumo_Trocas!$F:$F,M$27,Resumo_Trocas!$C:$C,"&gt;0")</f>
        <v>0</v>
      </c>
      <c r="N57" s="61">
        <f>SUMIFS(Resumo_Trocas!$D:$D,Resumo_Trocas!$A:$A,$C57,Resumo_Trocas!$F:$F,N$27,Resumo_Trocas!$C:$C,"&gt;0")</f>
        <v>0</v>
      </c>
      <c r="O57" s="61">
        <f>SUMIFS(Resumo_Trocas!$D:$D,Resumo_Trocas!$A:$A,$C57,Resumo_Trocas!$F:$F,O$27,Resumo_Trocas!$C:$C,"&gt;0")</f>
        <v>0</v>
      </c>
      <c r="P57" s="61">
        <f>SUMIFS(Resumo_Trocas!$D:$D,Resumo_Trocas!$A:$A,$C57,Resumo_Trocas!$F:$F,P$27,Resumo_Trocas!$C:$C,"&gt;0")</f>
        <v>0</v>
      </c>
      <c r="Q57" s="61">
        <f>SUMIFS(Resumo_Trocas!$D:$D,Resumo_Trocas!$A:$A,$C57,Resumo_Trocas!$F:$F,Q$27,Resumo_Trocas!$C:$C,"&gt;0")</f>
        <v>0</v>
      </c>
      <c r="R57" s="61">
        <f>SUMIFS(Resumo_Trocas!$D:$D,Resumo_Trocas!$A:$A,$C57,Resumo_Trocas!$F:$F,R$27,Resumo_Trocas!$C:$C,"&gt;0")</f>
        <v>0</v>
      </c>
      <c r="S57" s="61">
        <f>SUMIFS(Resumo_Trocas!$D:$D,Resumo_Trocas!$A:$A,$C57,Resumo_Trocas!$F:$F,S$27,Resumo_Trocas!$C:$C,"&gt;0")</f>
        <v>0</v>
      </c>
      <c r="T57" s="61">
        <f>SUMIFS(Resumo_Trocas!$D:$D,Resumo_Trocas!$A:$A,$C57,Resumo_Trocas!$F:$F,T$27,Resumo_Trocas!$C:$C,"&gt;0")</f>
        <v>0</v>
      </c>
      <c r="U57" s="61">
        <f>SUMIFS(Resumo_Trocas!$D:$D,Resumo_Trocas!$A:$A,$C57,Resumo_Trocas!$F:$F,U$27,Resumo_Trocas!$C:$C,"&gt;0")</f>
        <v>0</v>
      </c>
      <c r="V57" s="61">
        <f>SUMIFS(Resumo_Trocas!$D:$D,Resumo_Trocas!$A:$A,$C57,Resumo_Trocas!$F:$F,V$27,Resumo_Trocas!$C:$C,"&gt;0")</f>
        <v>0</v>
      </c>
    </row>
    <row r="58" spans="2:22" ht="15" customHeight="1" outlineLevel="1" thickBot="1" x14ac:dyDescent="0.3">
      <c r="B58" s="76"/>
      <c r="C58" s="60" t="s">
        <v>3403</v>
      </c>
      <c r="D58" s="61">
        <f>SUMIFS(Resumo_Trocas!$D:$D,Resumo_Trocas!$A:$A,$C58,Resumo_Trocas!$F:$F,D$27,Resumo_Trocas!$C:$C,"&gt;0")</f>
        <v>0</v>
      </c>
      <c r="E58" s="61">
        <f>SUMIFS(Resumo_Trocas!$D:$D,Resumo_Trocas!$A:$A,$C58,Resumo_Trocas!$F:$F,E$27,Resumo_Trocas!$C:$C,"&gt;0")</f>
        <v>0</v>
      </c>
      <c r="F58" s="61">
        <f>SUMIFS(Resumo_Trocas!$D:$D,Resumo_Trocas!$A:$A,$C58,Resumo_Trocas!$F:$F,F$27,Resumo_Trocas!$C:$C,"&gt;0")</f>
        <v>0</v>
      </c>
      <c r="G58" s="61">
        <f>SUMIFS(Resumo_Trocas!$D:$D,Resumo_Trocas!$A:$A,$C58,Resumo_Trocas!$F:$F,G$27,Resumo_Trocas!$C:$C,"&gt;0")</f>
        <v>0</v>
      </c>
      <c r="H58" s="61">
        <f>SUMIFS(Resumo_Trocas!$D:$D,Resumo_Trocas!$A:$A,$C58,Resumo_Trocas!$F:$F,H$27,Resumo_Trocas!$C:$C,"&gt;0")</f>
        <v>0</v>
      </c>
      <c r="I58" s="61">
        <f>SUMIFS(Resumo_Trocas!$D:$D,Resumo_Trocas!$A:$A,$C58,Resumo_Trocas!$F:$F,I$27,Resumo_Trocas!$C:$C,"&gt;0")</f>
        <v>0</v>
      </c>
      <c r="J58" s="61">
        <f>SUMIFS(Resumo_Trocas!$D:$D,Resumo_Trocas!$A:$A,$C58,Resumo_Trocas!$F:$F,J$27,Resumo_Trocas!$C:$C,"&gt;0")</f>
        <v>0</v>
      </c>
      <c r="K58" s="61">
        <f>SUMIFS(Resumo_Trocas!$D:$D,Resumo_Trocas!$A:$A,$C58,Resumo_Trocas!$F:$F,K$27,Resumo_Trocas!$C:$C,"&gt;0")</f>
        <v>0</v>
      </c>
      <c r="L58" s="61">
        <f>SUMIFS(Resumo_Trocas!$D:$D,Resumo_Trocas!$A:$A,$C58,Resumo_Trocas!$F:$F,L$27,Resumo_Trocas!$C:$C,"&gt;0")</f>
        <v>0</v>
      </c>
      <c r="M58" s="61">
        <f>SUMIFS(Resumo_Trocas!$D:$D,Resumo_Trocas!$A:$A,$C58,Resumo_Trocas!$F:$F,M$27,Resumo_Trocas!$C:$C,"&gt;0")</f>
        <v>0</v>
      </c>
      <c r="N58" s="61">
        <f>SUMIFS(Resumo_Trocas!$D:$D,Resumo_Trocas!$A:$A,$C58,Resumo_Trocas!$F:$F,N$27,Resumo_Trocas!$C:$C,"&gt;0")</f>
        <v>0</v>
      </c>
      <c r="O58" s="61">
        <f>SUMIFS(Resumo_Trocas!$D:$D,Resumo_Trocas!$A:$A,$C58,Resumo_Trocas!$F:$F,O$27,Resumo_Trocas!$C:$C,"&gt;0")</f>
        <v>0</v>
      </c>
      <c r="P58" s="61">
        <f>SUMIFS(Resumo_Trocas!$D:$D,Resumo_Trocas!$A:$A,$C58,Resumo_Trocas!$F:$F,P$27,Resumo_Trocas!$C:$C,"&gt;0")</f>
        <v>0</v>
      </c>
      <c r="Q58" s="61">
        <f>SUMIFS(Resumo_Trocas!$D:$D,Resumo_Trocas!$A:$A,$C58,Resumo_Trocas!$F:$F,Q$27,Resumo_Trocas!$C:$C,"&gt;0")</f>
        <v>0</v>
      </c>
      <c r="R58" s="61">
        <f>SUMIFS(Resumo_Trocas!$D:$D,Resumo_Trocas!$A:$A,$C58,Resumo_Trocas!$F:$F,R$27,Resumo_Trocas!$C:$C,"&gt;0")</f>
        <v>0</v>
      </c>
      <c r="S58" s="61">
        <f>SUMIFS(Resumo_Trocas!$D:$D,Resumo_Trocas!$A:$A,$C58,Resumo_Trocas!$F:$F,S$27,Resumo_Trocas!$C:$C,"&gt;0")</f>
        <v>0</v>
      </c>
      <c r="T58" s="61">
        <f>SUMIFS(Resumo_Trocas!$D:$D,Resumo_Trocas!$A:$A,$C58,Resumo_Trocas!$F:$F,T$27,Resumo_Trocas!$C:$C,"&gt;0")</f>
        <v>0</v>
      </c>
      <c r="U58" s="61">
        <f>SUMIFS(Resumo_Trocas!$D:$D,Resumo_Trocas!$A:$A,$C58,Resumo_Trocas!$F:$F,U$27,Resumo_Trocas!$C:$C,"&gt;0")</f>
        <v>0</v>
      </c>
      <c r="V58" s="61">
        <f>SUMIFS(Resumo_Trocas!$D:$D,Resumo_Trocas!$A:$A,$C58,Resumo_Trocas!$F:$F,V$27,Resumo_Trocas!$C:$C,"&gt;0")</f>
        <v>0</v>
      </c>
    </row>
    <row r="59" spans="2:22" ht="21" x14ac:dyDescent="0.35">
      <c r="C59" s="71"/>
    </row>
    <row r="60" spans="2:22" ht="21" x14ac:dyDescent="0.35">
      <c r="C60" s="71" t="s">
        <v>3356</v>
      </c>
    </row>
    <row r="61" spans="2:22" ht="15" customHeight="1" x14ac:dyDescent="0.35">
      <c r="B61" s="70" t="s">
        <v>3395</v>
      </c>
      <c r="C61" s="71" t="s">
        <v>3404</v>
      </c>
    </row>
    <row r="62" spans="2:22" ht="18" customHeight="1" x14ac:dyDescent="0.25">
      <c r="B62" s="72" t="s">
        <v>3395</v>
      </c>
      <c r="C62" s="58" t="s">
        <v>3397</v>
      </c>
      <c r="D62" s="59" t="s">
        <v>3372</v>
      </c>
      <c r="E62" s="59" t="s">
        <v>3373</v>
      </c>
      <c r="F62" s="59" t="s">
        <v>3374</v>
      </c>
      <c r="G62" s="59" t="s">
        <v>3370</v>
      </c>
      <c r="H62" s="59" t="s">
        <v>3371</v>
      </c>
      <c r="I62" s="59" t="s">
        <v>3375</v>
      </c>
      <c r="J62" s="59" t="s">
        <v>3367</v>
      </c>
      <c r="K62" s="59" t="s">
        <v>3368</v>
      </c>
      <c r="L62" s="59" t="s">
        <v>3369</v>
      </c>
      <c r="M62" s="59" t="s">
        <v>3358</v>
      </c>
      <c r="N62" s="59" t="s">
        <v>3363</v>
      </c>
      <c r="O62" s="59" t="s">
        <v>3361</v>
      </c>
      <c r="P62" s="59" t="s">
        <v>3359</v>
      </c>
      <c r="Q62" s="59" t="s">
        <v>3366</v>
      </c>
      <c r="R62" s="59" t="s">
        <v>3364</v>
      </c>
      <c r="S62" s="59" t="s">
        <v>3360</v>
      </c>
      <c r="T62" s="59" t="s">
        <v>3362</v>
      </c>
      <c r="U62" s="59" t="s">
        <v>3365</v>
      </c>
      <c r="V62" s="59" t="s">
        <v>3382</v>
      </c>
    </row>
    <row r="63" spans="2:22" s="75" customFormat="1" ht="29.25" customHeight="1" x14ac:dyDescent="0.35">
      <c r="B63" s="73" t="s">
        <v>3395</v>
      </c>
      <c r="C63" s="74" t="s">
        <v>3405</v>
      </c>
      <c r="D63" s="57">
        <f>IFERROR(SUM(D64:D85)," ")</f>
        <v>0</v>
      </c>
      <c r="E63" s="57">
        <f t="shared" ref="E63:V63" si="15">IFERROR(SUM(E64:E85)," ")</f>
        <v>0</v>
      </c>
      <c r="F63" s="57">
        <f t="shared" si="15"/>
        <v>0</v>
      </c>
      <c r="G63" s="57">
        <f t="shared" si="15"/>
        <v>0</v>
      </c>
      <c r="H63" s="57">
        <f t="shared" si="15"/>
        <v>0</v>
      </c>
      <c r="I63" s="57">
        <f t="shared" si="15"/>
        <v>0</v>
      </c>
      <c r="J63" s="57">
        <f t="shared" si="15"/>
        <v>0</v>
      </c>
      <c r="K63" s="57">
        <f t="shared" si="15"/>
        <v>0</v>
      </c>
      <c r="L63" s="57">
        <f t="shared" si="15"/>
        <v>0</v>
      </c>
      <c r="M63" s="57">
        <f t="shared" si="15"/>
        <v>0</v>
      </c>
      <c r="N63" s="57">
        <f t="shared" si="15"/>
        <v>0</v>
      </c>
      <c r="O63" s="57">
        <f t="shared" si="15"/>
        <v>0</v>
      </c>
      <c r="P63" s="57">
        <f t="shared" si="15"/>
        <v>0</v>
      </c>
      <c r="Q63" s="57">
        <f t="shared" si="15"/>
        <v>0</v>
      </c>
      <c r="R63" s="57">
        <f t="shared" si="15"/>
        <v>0</v>
      </c>
      <c r="S63" s="57">
        <f t="shared" si="15"/>
        <v>0</v>
      </c>
      <c r="T63" s="57">
        <f t="shared" si="15"/>
        <v>0</v>
      </c>
      <c r="U63" s="57">
        <f t="shared" si="15"/>
        <v>0</v>
      </c>
      <c r="V63" s="57">
        <f t="shared" si="15"/>
        <v>0</v>
      </c>
    </row>
    <row r="64" spans="2:22" ht="15" customHeight="1" outlineLevel="1" thickBot="1" x14ac:dyDescent="0.3">
      <c r="B64" s="76"/>
      <c r="C64" s="60" t="s">
        <v>3406</v>
      </c>
      <c r="D64" s="61">
        <f>SUMIFS(Resumo_Trocas!$D:$D,Resumo_Trocas!$A:$A,$C64,Resumo_Trocas!$F:$F,D$27,Resumo_Trocas!$C:$C,"&gt;0")</f>
        <v>0</v>
      </c>
      <c r="E64" s="61">
        <f>SUMIFS(Resumo_Trocas!$D:$D,Resumo_Trocas!$A:$A,$C64,Resumo_Trocas!$F:$F,E$27,Resumo_Trocas!$C:$C,"&gt;0")</f>
        <v>0</v>
      </c>
      <c r="F64" s="61">
        <f>SUMIFS(Resumo_Trocas!$D:$D,Resumo_Trocas!$A:$A,$C64,Resumo_Trocas!$F:$F,F$27,Resumo_Trocas!$C:$C,"&gt;0")</f>
        <v>0</v>
      </c>
      <c r="G64" s="61">
        <f>SUMIFS(Resumo_Trocas!$D:$D,Resumo_Trocas!$A:$A,$C64,Resumo_Trocas!$F:$F,G$27,Resumo_Trocas!$C:$C,"&gt;0")</f>
        <v>0</v>
      </c>
      <c r="H64" s="61">
        <f>SUMIFS(Resumo_Trocas!$D:$D,Resumo_Trocas!$A:$A,$C64,Resumo_Trocas!$F:$F,H$27,Resumo_Trocas!$C:$C,"&gt;0")</f>
        <v>0</v>
      </c>
      <c r="I64" s="61">
        <f>SUMIFS(Resumo_Trocas!$D:$D,Resumo_Trocas!$A:$A,$C64,Resumo_Trocas!$F:$F,I$27,Resumo_Trocas!$C:$C,"&gt;0")</f>
        <v>0</v>
      </c>
      <c r="J64" s="61">
        <f>SUMIFS(Resumo_Trocas!$D:$D,Resumo_Trocas!$A:$A,$C64,Resumo_Trocas!$F:$F,J$27,Resumo_Trocas!$C:$C,"&gt;0")</f>
        <v>0</v>
      </c>
      <c r="K64" s="61">
        <f>SUMIFS(Resumo_Trocas!$D:$D,Resumo_Trocas!$A:$A,$C64,Resumo_Trocas!$F:$F,K$27,Resumo_Trocas!$C:$C,"&gt;0")</f>
        <v>0</v>
      </c>
      <c r="L64" s="61">
        <f>SUMIFS(Resumo_Trocas!$D:$D,Resumo_Trocas!$A:$A,$C64,Resumo_Trocas!$F:$F,L$27,Resumo_Trocas!$C:$C,"&gt;0")</f>
        <v>0</v>
      </c>
      <c r="M64" s="61">
        <f>SUMIFS(Resumo_Trocas!$D:$D,Resumo_Trocas!$A:$A,$C64,Resumo_Trocas!$F:$F,M$27,Resumo_Trocas!$C:$C,"&gt;0")</f>
        <v>0</v>
      </c>
      <c r="N64" s="61">
        <f>SUMIFS(Resumo_Trocas!$D:$D,Resumo_Trocas!$A:$A,$C64,Resumo_Trocas!$F:$F,N$27,Resumo_Trocas!$C:$C,"&gt;0")</f>
        <v>0</v>
      </c>
      <c r="O64" s="61">
        <f>SUMIFS(Resumo_Trocas!$D:$D,Resumo_Trocas!$A:$A,$C64,Resumo_Trocas!$F:$F,O$27,Resumo_Trocas!$C:$C,"&gt;0")</f>
        <v>0</v>
      </c>
      <c r="P64" s="61">
        <f>SUMIFS(Resumo_Trocas!$D:$D,Resumo_Trocas!$A:$A,$C64,Resumo_Trocas!$F:$F,P$27,Resumo_Trocas!$C:$C,"&gt;0")</f>
        <v>0</v>
      </c>
      <c r="Q64" s="61">
        <f>SUMIFS(Resumo_Trocas!$D:$D,Resumo_Trocas!$A:$A,$C64,Resumo_Trocas!$F:$F,Q$27,Resumo_Trocas!$C:$C,"&gt;0")</f>
        <v>0</v>
      </c>
      <c r="R64" s="61">
        <f>SUMIFS(Resumo_Trocas!$D:$D,Resumo_Trocas!$A:$A,$C64,Resumo_Trocas!$F:$F,R$27,Resumo_Trocas!$C:$C,"&gt;0")</f>
        <v>0</v>
      </c>
      <c r="S64" s="61">
        <f>SUMIFS(Resumo_Trocas!$D:$D,Resumo_Trocas!$A:$A,$C64,Resumo_Trocas!$F:$F,S$27,Resumo_Trocas!$C:$C,"&gt;0")</f>
        <v>0</v>
      </c>
      <c r="T64" s="61">
        <f>SUMIFS(Resumo_Trocas!$D:$D,Resumo_Trocas!$A:$A,$C64,Resumo_Trocas!$F:$F,T$27,Resumo_Trocas!$C:$C,"&gt;0")</f>
        <v>0</v>
      </c>
      <c r="U64" s="61">
        <f>SUMIFS(Resumo_Trocas!$D:$D,Resumo_Trocas!$A:$A,$C64,Resumo_Trocas!$F:$F,U$27,Resumo_Trocas!$C:$C,"&gt;0")</f>
        <v>0</v>
      </c>
      <c r="V64" s="61">
        <f>SUMIFS(Resumo_Trocas!$D:$D,Resumo_Trocas!$A:$A,$C64,Resumo_Trocas!$F:$F,V$27,Resumo_Trocas!$C:$C,"&gt;0")</f>
        <v>0</v>
      </c>
    </row>
    <row r="65" spans="2:22" ht="15" customHeight="1" outlineLevel="1" thickBot="1" x14ac:dyDescent="0.3">
      <c r="B65" s="76"/>
      <c r="C65" s="60" t="s">
        <v>3407</v>
      </c>
      <c r="D65" s="61">
        <f>SUMIFS(Resumo_Trocas!$D:$D,Resumo_Trocas!$A:$A,$C65,Resumo_Trocas!$F:$F,D$27,Resumo_Trocas!$C:$C,"&gt;0")</f>
        <v>0</v>
      </c>
      <c r="E65" s="61">
        <f>SUMIFS(Resumo_Trocas!$D:$D,Resumo_Trocas!$A:$A,$C65,Resumo_Trocas!$F:$F,E$27,Resumo_Trocas!$C:$C,"&gt;0")</f>
        <v>0</v>
      </c>
      <c r="F65" s="61">
        <f>SUMIFS(Resumo_Trocas!$D:$D,Resumo_Trocas!$A:$A,$C65,Resumo_Trocas!$F:$F,F$27,Resumo_Trocas!$C:$C,"&gt;0")</f>
        <v>0</v>
      </c>
      <c r="G65" s="61">
        <f>SUMIFS(Resumo_Trocas!$D:$D,Resumo_Trocas!$A:$A,$C65,Resumo_Trocas!$F:$F,G$27,Resumo_Trocas!$C:$C,"&gt;0")</f>
        <v>0</v>
      </c>
      <c r="H65" s="61">
        <f>SUMIFS(Resumo_Trocas!$D:$D,Resumo_Trocas!$A:$A,$C65,Resumo_Trocas!$F:$F,H$27,Resumo_Trocas!$C:$C,"&gt;0")</f>
        <v>0</v>
      </c>
      <c r="I65" s="61">
        <f>SUMIFS(Resumo_Trocas!$D:$D,Resumo_Trocas!$A:$A,$C65,Resumo_Trocas!$F:$F,I$27,Resumo_Trocas!$C:$C,"&gt;0")</f>
        <v>0</v>
      </c>
      <c r="J65" s="61">
        <f>SUMIFS(Resumo_Trocas!$D:$D,Resumo_Trocas!$A:$A,$C65,Resumo_Trocas!$F:$F,J$27,Resumo_Trocas!$C:$C,"&gt;0")</f>
        <v>0</v>
      </c>
      <c r="K65" s="61">
        <f>SUMIFS(Resumo_Trocas!$D:$D,Resumo_Trocas!$A:$A,$C65,Resumo_Trocas!$F:$F,K$27,Resumo_Trocas!$C:$C,"&gt;0")</f>
        <v>0</v>
      </c>
      <c r="L65" s="61">
        <f>SUMIFS(Resumo_Trocas!$D:$D,Resumo_Trocas!$A:$A,$C65,Resumo_Trocas!$F:$F,L$27,Resumo_Trocas!$C:$C,"&gt;0")</f>
        <v>0</v>
      </c>
      <c r="M65" s="61">
        <f>SUMIFS(Resumo_Trocas!$D:$D,Resumo_Trocas!$A:$A,$C65,Resumo_Trocas!$F:$F,M$27,Resumo_Trocas!$C:$C,"&gt;0")</f>
        <v>0</v>
      </c>
      <c r="N65" s="61">
        <f>SUMIFS(Resumo_Trocas!$D:$D,Resumo_Trocas!$A:$A,$C65,Resumo_Trocas!$F:$F,N$27,Resumo_Trocas!$C:$C,"&gt;0")</f>
        <v>0</v>
      </c>
      <c r="O65" s="61">
        <f>SUMIFS(Resumo_Trocas!$D:$D,Resumo_Trocas!$A:$A,$C65,Resumo_Trocas!$F:$F,O$27,Resumo_Trocas!$C:$C,"&gt;0")</f>
        <v>0</v>
      </c>
      <c r="P65" s="61">
        <f>SUMIFS(Resumo_Trocas!$D:$D,Resumo_Trocas!$A:$A,$C65,Resumo_Trocas!$F:$F,P$27,Resumo_Trocas!$C:$C,"&gt;0")</f>
        <v>0</v>
      </c>
      <c r="Q65" s="61">
        <f>SUMIFS(Resumo_Trocas!$D:$D,Resumo_Trocas!$A:$A,$C65,Resumo_Trocas!$F:$F,Q$27,Resumo_Trocas!$C:$C,"&gt;0")</f>
        <v>0</v>
      </c>
      <c r="R65" s="61">
        <f>SUMIFS(Resumo_Trocas!$D:$D,Resumo_Trocas!$A:$A,$C65,Resumo_Trocas!$F:$F,R$27,Resumo_Trocas!$C:$C,"&gt;0")</f>
        <v>0</v>
      </c>
      <c r="S65" s="61">
        <f>SUMIFS(Resumo_Trocas!$D:$D,Resumo_Trocas!$A:$A,$C65,Resumo_Trocas!$F:$F,S$27,Resumo_Trocas!$C:$C,"&gt;0")</f>
        <v>0</v>
      </c>
      <c r="T65" s="61">
        <f>SUMIFS(Resumo_Trocas!$D:$D,Resumo_Trocas!$A:$A,$C65,Resumo_Trocas!$F:$F,T$27,Resumo_Trocas!$C:$C,"&gt;0")</f>
        <v>0</v>
      </c>
      <c r="U65" s="61">
        <f>SUMIFS(Resumo_Trocas!$D:$D,Resumo_Trocas!$A:$A,$C65,Resumo_Trocas!$F:$F,U$27,Resumo_Trocas!$C:$C,"&gt;0")</f>
        <v>0</v>
      </c>
      <c r="V65" s="61">
        <f>SUMIFS(Resumo_Trocas!$D:$D,Resumo_Trocas!$A:$A,$C65,Resumo_Trocas!$F:$F,V$27,Resumo_Trocas!$C:$C,"&gt;0")</f>
        <v>0</v>
      </c>
    </row>
    <row r="66" spans="2:22" ht="15" customHeight="1" outlineLevel="1" thickBot="1" x14ac:dyDescent="0.3">
      <c r="B66" s="76"/>
      <c r="C66" s="60" t="s">
        <v>3408</v>
      </c>
      <c r="D66" s="61">
        <f>SUMIFS(Resumo_Trocas!$D:$D,Resumo_Trocas!$A:$A,$C66,Resumo_Trocas!$F:$F,D$27,Resumo_Trocas!$C:$C,"&gt;0")</f>
        <v>0</v>
      </c>
      <c r="E66" s="61">
        <f>SUMIFS(Resumo_Trocas!$D:$D,Resumo_Trocas!$A:$A,$C66,Resumo_Trocas!$F:$F,E$27,Resumo_Trocas!$C:$C,"&gt;0")</f>
        <v>0</v>
      </c>
      <c r="F66" s="61">
        <f>SUMIFS(Resumo_Trocas!$D:$D,Resumo_Trocas!$A:$A,$C66,Resumo_Trocas!$F:$F,F$27,Resumo_Trocas!$C:$C,"&gt;0")</f>
        <v>0</v>
      </c>
      <c r="G66" s="61">
        <f>SUMIFS(Resumo_Trocas!$D:$D,Resumo_Trocas!$A:$A,$C66,Resumo_Trocas!$F:$F,G$27,Resumo_Trocas!$C:$C,"&gt;0")</f>
        <v>0</v>
      </c>
      <c r="H66" s="61">
        <f>SUMIFS(Resumo_Trocas!$D:$D,Resumo_Trocas!$A:$A,$C66,Resumo_Trocas!$F:$F,H$27,Resumo_Trocas!$C:$C,"&gt;0")</f>
        <v>0</v>
      </c>
      <c r="I66" s="61">
        <f>SUMIFS(Resumo_Trocas!$D:$D,Resumo_Trocas!$A:$A,$C66,Resumo_Trocas!$F:$F,I$27,Resumo_Trocas!$C:$C,"&gt;0")</f>
        <v>0</v>
      </c>
      <c r="J66" s="61">
        <f>SUMIFS(Resumo_Trocas!$D:$D,Resumo_Trocas!$A:$A,$C66,Resumo_Trocas!$F:$F,J$27,Resumo_Trocas!$C:$C,"&gt;0")</f>
        <v>0</v>
      </c>
      <c r="K66" s="61">
        <f>SUMIFS(Resumo_Trocas!$D:$D,Resumo_Trocas!$A:$A,$C66,Resumo_Trocas!$F:$F,K$27,Resumo_Trocas!$C:$C,"&gt;0")</f>
        <v>0</v>
      </c>
      <c r="L66" s="61">
        <f>SUMIFS(Resumo_Trocas!$D:$D,Resumo_Trocas!$A:$A,$C66,Resumo_Trocas!$F:$F,L$27,Resumo_Trocas!$C:$C,"&gt;0")</f>
        <v>0</v>
      </c>
      <c r="M66" s="61">
        <f>SUMIFS(Resumo_Trocas!$D:$D,Resumo_Trocas!$A:$A,$C66,Resumo_Trocas!$F:$F,M$27,Resumo_Trocas!$C:$C,"&gt;0")</f>
        <v>0</v>
      </c>
      <c r="N66" s="61">
        <f>SUMIFS(Resumo_Trocas!$D:$D,Resumo_Trocas!$A:$A,$C66,Resumo_Trocas!$F:$F,N$27,Resumo_Trocas!$C:$C,"&gt;0")</f>
        <v>0</v>
      </c>
      <c r="O66" s="61">
        <f>SUMIFS(Resumo_Trocas!$D:$D,Resumo_Trocas!$A:$A,$C66,Resumo_Trocas!$F:$F,O$27,Resumo_Trocas!$C:$C,"&gt;0")</f>
        <v>0</v>
      </c>
      <c r="P66" s="61">
        <f>SUMIFS(Resumo_Trocas!$D:$D,Resumo_Trocas!$A:$A,$C66,Resumo_Trocas!$F:$F,P$27,Resumo_Trocas!$C:$C,"&gt;0")</f>
        <v>0</v>
      </c>
      <c r="Q66" s="61">
        <f>SUMIFS(Resumo_Trocas!$D:$D,Resumo_Trocas!$A:$A,$C66,Resumo_Trocas!$F:$F,Q$27,Resumo_Trocas!$C:$C,"&gt;0")</f>
        <v>0</v>
      </c>
      <c r="R66" s="61">
        <f>SUMIFS(Resumo_Trocas!$D:$D,Resumo_Trocas!$A:$A,$C66,Resumo_Trocas!$F:$F,R$27,Resumo_Trocas!$C:$C,"&gt;0")</f>
        <v>0</v>
      </c>
      <c r="S66" s="61">
        <f>SUMIFS(Resumo_Trocas!$D:$D,Resumo_Trocas!$A:$A,$C66,Resumo_Trocas!$F:$F,S$27,Resumo_Trocas!$C:$C,"&gt;0")</f>
        <v>0</v>
      </c>
      <c r="T66" s="61">
        <f>SUMIFS(Resumo_Trocas!$D:$D,Resumo_Trocas!$A:$A,$C66,Resumo_Trocas!$F:$F,T$27,Resumo_Trocas!$C:$C,"&gt;0")</f>
        <v>0</v>
      </c>
      <c r="U66" s="61">
        <f>SUMIFS(Resumo_Trocas!$D:$D,Resumo_Trocas!$A:$A,$C66,Resumo_Trocas!$F:$F,U$27,Resumo_Trocas!$C:$C,"&gt;0")</f>
        <v>0</v>
      </c>
      <c r="V66" s="61">
        <f>SUMIFS(Resumo_Trocas!$D:$D,Resumo_Trocas!$A:$A,$C66,Resumo_Trocas!$F:$F,V$27,Resumo_Trocas!$C:$C,"&gt;0")</f>
        <v>0</v>
      </c>
    </row>
    <row r="67" spans="2:22" ht="15" customHeight="1" outlineLevel="1" thickBot="1" x14ac:dyDescent="0.3">
      <c r="B67" s="76"/>
      <c r="C67" s="60" t="s">
        <v>3409</v>
      </c>
      <c r="D67" s="61">
        <f>SUMIFS(Resumo_Trocas!$D:$D,Resumo_Trocas!$A:$A,$C67,Resumo_Trocas!$F:$F,D$27,Resumo_Trocas!$C:$C,"&gt;0")</f>
        <v>0</v>
      </c>
      <c r="E67" s="61">
        <f>SUMIFS(Resumo_Trocas!$D:$D,Resumo_Trocas!$A:$A,$C67,Resumo_Trocas!$F:$F,E$27,Resumo_Trocas!$C:$C,"&gt;0")</f>
        <v>0</v>
      </c>
      <c r="F67" s="61">
        <f>SUMIFS(Resumo_Trocas!$D:$D,Resumo_Trocas!$A:$A,$C67,Resumo_Trocas!$F:$F,F$27,Resumo_Trocas!$C:$C,"&gt;0")</f>
        <v>0</v>
      </c>
      <c r="G67" s="61">
        <f>SUMIFS(Resumo_Trocas!$D:$D,Resumo_Trocas!$A:$A,$C67,Resumo_Trocas!$F:$F,G$27,Resumo_Trocas!$C:$C,"&gt;0")</f>
        <v>0</v>
      </c>
      <c r="H67" s="61">
        <f>SUMIFS(Resumo_Trocas!$D:$D,Resumo_Trocas!$A:$A,$C67,Resumo_Trocas!$F:$F,H$27,Resumo_Trocas!$C:$C,"&gt;0")</f>
        <v>0</v>
      </c>
      <c r="I67" s="61">
        <f>SUMIFS(Resumo_Trocas!$D:$D,Resumo_Trocas!$A:$A,$C67,Resumo_Trocas!$F:$F,I$27,Resumo_Trocas!$C:$C,"&gt;0")</f>
        <v>0</v>
      </c>
      <c r="J67" s="61">
        <f>SUMIFS(Resumo_Trocas!$D:$D,Resumo_Trocas!$A:$A,$C67,Resumo_Trocas!$F:$F,J$27,Resumo_Trocas!$C:$C,"&gt;0")</f>
        <v>0</v>
      </c>
      <c r="K67" s="61">
        <f>SUMIFS(Resumo_Trocas!$D:$D,Resumo_Trocas!$A:$A,$C67,Resumo_Trocas!$F:$F,K$27,Resumo_Trocas!$C:$C,"&gt;0")</f>
        <v>0</v>
      </c>
      <c r="L67" s="61">
        <f>SUMIFS(Resumo_Trocas!$D:$D,Resumo_Trocas!$A:$A,$C67,Resumo_Trocas!$F:$F,L$27,Resumo_Trocas!$C:$C,"&gt;0")</f>
        <v>0</v>
      </c>
      <c r="M67" s="61">
        <f>SUMIFS(Resumo_Trocas!$D:$D,Resumo_Trocas!$A:$A,$C67,Resumo_Trocas!$F:$F,M$27,Resumo_Trocas!$C:$C,"&gt;0")</f>
        <v>0</v>
      </c>
      <c r="N67" s="61">
        <f>SUMIFS(Resumo_Trocas!$D:$D,Resumo_Trocas!$A:$A,$C67,Resumo_Trocas!$F:$F,N$27,Resumo_Trocas!$C:$C,"&gt;0")</f>
        <v>0</v>
      </c>
      <c r="O67" s="61">
        <f>SUMIFS(Resumo_Trocas!$D:$D,Resumo_Trocas!$A:$A,$C67,Resumo_Trocas!$F:$F,O$27,Resumo_Trocas!$C:$C,"&gt;0")</f>
        <v>0</v>
      </c>
      <c r="P67" s="61">
        <f>SUMIFS(Resumo_Trocas!$D:$D,Resumo_Trocas!$A:$A,$C67,Resumo_Trocas!$F:$F,P$27,Resumo_Trocas!$C:$C,"&gt;0")</f>
        <v>0</v>
      </c>
      <c r="Q67" s="61">
        <f>SUMIFS(Resumo_Trocas!$D:$D,Resumo_Trocas!$A:$A,$C67,Resumo_Trocas!$F:$F,Q$27,Resumo_Trocas!$C:$C,"&gt;0")</f>
        <v>0</v>
      </c>
      <c r="R67" s="61">
        <f>SUMIFS(Resumo_Trocas!$D:$D,Resumo_Trocas!$A:$A,$C67,Resumo_Trocas!$F:$F,R$27,Resumo_Trocas!$C:$C,"&gt;0")</f>
        <v>0</v>
      </c>
      <c r="S67" s="61">
        <f>SUMIFS(Resumo_Trocas!$D:$D,Resumo_Trocas!$A:$A,$C67,Resumo_Trocas!$F:$F,S$27,Resumo_Trocas!$C:$C,"&gt;0")</f>
        <v>0</v>
      </c>
      <c r="T67" s="61">
        <f>SUMIFS(Resumo_Trocas!$D:$D,Resumo_Trocas!$A:$A,$C67,Resumo_Trocas!$F:$F,T$27,Resumo_Trocas!$C:$C,"&gt;0")</f>
        <v>0</v>
      </c>
      <c r="U67" s="61">
        <f>SUMIFS(Resumo_Trocas!$D:$D,Resumo_Trocas!$A:$A,$C67,Resumo_Trocas!$F:$F,U$27,Resumo_Trocas!$C:$C,"&gt;0")</f>
        <v>0</v>
      </c>
      <c r="V67" s="61">
        <f>SUMIFS(Resumo_Trocas!$D:$D,Resumo_Trocas!$A:$A,$C67,Resumo_Trocas!$F:$F,V$27,Resumo_Trocas!$C:$C,"&gt;0")</f>
        <v>0</v>
      </c>
    </row>
    <row r="68" spans="2:22" ht="15" customHeight="1" outlineLevel="1" thickBot="1" x14ac:dyDescent="0.3">
      <c r="B68" s="76"/>
      <c r="C68" s="60" t="s">
        <v>3410</v>
      </c>
      <c r="D68" s="61">
        <f>SUMIFS(Resumo_Trocas!$D:$D,Resumo_Trocas!$A:$A,$C68,Resumo_Trocas!$F:$F,D$27,Resumo_Trocas!$C:$C,"&gt;0")</f>
        <v>0</v>
      </c>
      <c r="E68" s="61">
        <f>SUMIFS(Resumo_Trocas!$D:$D,Resumo_Trocas!$A:$A,$C68,Resumo_Trocas!$F:$F,E$27,Resumo_Trocas!$C:$C,"&gt;0")</f>
        <v>0</v>
      </c>
      <c r="F68" s="61">
        <f>SUMIFS(Resumo_Trocas!$D:$D,Resumo_Trocas!$A:$A,$C68,Resumo_Trocas!$F:$F,F$27,Resumo_Trocas!$C:$C,"&gt;0")</f>
        <v>0</v>
      </c>
      <c r="G68" s="61">
        <f>SUMIFS(Resumo_Trocas!$D:$D,Resumo_Trocas!$A:$A,$C68,Resumo_Trocas!$F:$F,G$27,Resumo_Trocas!$C:$C,"&gt;0")</f>
        <v>0</v>
      </c>
      <c r="H68" s="61">
        <f>SUMIFS(Resumo_Trocas!$D:$D,Resumo_Trocas!$A:$A,$C68,Resumo_Trocas!$F:$F,H$27,Resumo_Trocas!$C:$C,"&gt;0")</f>
        <v>0</v>
      </c>
      <c r="I68" s="61">
        <f>SUMIFS(Resumo_Trocas!$D:$D,Resumo_Trocas!$A:$A,$C68,Resumo_Trocas!$F:$F,I$27,Resumo_Trocas!$C:$C,"&gt;0")</f>
        <v>0</v>
      </c>
      <c r="J68" s="61">
        <f>SUMIFS(Resumo_Trocas!$D:$D,Resumo_Trocas!$A:$A,$C68,Resumo_Trocas!$F:$F,J$27,Resumo_Trocas!$C:$C,"&gt;0")</f>
        <v>0</v>
      </c>
      <c r="K68" s="61">
        <f>SUMIFS(Resumo_Trocas!$D:$D,Resumo_Trocas!$A:$A,$C68,Resumo_Trocas!$F:$F,K$27,Resumo_Trocas!$C:$C,"&gt;0")</f>
        <v>0</v>
      </c>
      <c r="L68" s="61">
        <f>SUMIFS(Resumo_Trocas!$D:$D,Resumo_Trocas!$A:$A,$C68,Resumo_Trocas!$F:$F,L$27,Resumo_Trocas!$C:$C,"&gt;0")</f>
        <v>0</v>
      </c>
      <c r="M68" s="61">
        <f>SUMIFS(Resumo_Trocas!$D:$D,Resumo_Trocas!$A:$A,$C68,Resumo_Trocas!$F:$F,M$27,Resumo_Trocas!$C:$C,"&gt;0")</f>
        <v>0</v>
      </c>
      <c r="N68" s="61">
        <f>SUMIFS(Resumo_Trocas!$D:$D,Resumo_Trocas!$A:$A,$C68,Resumo_Trocas!$F:$F,N$27,Resumo_Trocas!$C:$C,"&gt;0")</f>
        <v>0</v>
      </c>
      <c r="O68" s="61">
        <f>SUMIFS(Resumo_Trocas!$D:$D,Resumo_Trocas!$A:$A,$C68,Resumo_Trocas!$F:$F,O$27,Resumo_Trocas!$C:$C,"&gt;0")</f>
        <v>0</v>
      </c>
      <c r="P68" s="61">
        <f>SUMIFS(Resumo_Trocas!$D:$D,Resumo_Trocas!$A:$A,$C68,Resumo_Trocas!$F:$F,P$27,Resumo_Trocas!$C:$C,"&gt;0")</f>
        <v>0</v>
      </c>
      <c r="Q68" s="61">
        <f>SUMIFS(Resumo_Trocas!$D:$D,Resumo_Trocas!$A:$A,$C68,Resumo_Trocas!$F:$F,Q$27,Resumo_Trocas!$C:$C,"&gt;0")</f>
        <v>0</v>
      </c>
      <c r="R68" s="61">
        <f>SUMIFS(Resumo_Trocas!$D:$D,Resumo_Trocas!$A:$A,$C68,Resumo_Trocas!$F:$F,R$27,Resumo_Trocas!$C:$C,"&gt;0")</f>
        <v>0</v>
      </c>
      <c r="S68" s="61">
        <f>SUMIFS(Resumo_Trocas!$D:$D,Resumo_Trocas!$A:$A,$C68,Resumo_Trocas!$F:$F,S$27,Resumo_Trocas!$C:$C,"&gt;0")</f>
        <v>0</v>
      </c>
      <c r="T68" s="61">
        <f>SUMIFS(Resumo_Trocas!$D:$D,Resumo_Trocas!$A:$A,$C68,Resumo_Trocas!$F:$F,T$27,Resumo_Trocas!$C:$C,"&gt;0")</f>
        <v>0</v>
      </c>
      <c r="U68" s="61">
        <f>SUMIFS(Resumo_Trocas!$D:$D,Resumo_Trocas!$A:$A,$C68,Resumo_Trocas!$F:$F,U$27,Resumo_Trocas!$C:$C,"&gt;0")</f>
        <v>0</v>
      </c>
      <c r="V68" s="61">
        <f>SUMIFS(Resumo_Trocas!$D:$D,Resumo_Trocas!$A:$A,$C68,Resumo_Trocas!$F:$F,V$27,Resumo_Trocas!$C:$C,"&gt;0")</f>
        <v>0</v>
      </c>
    </row>
    <row r="69" spans="2:22" ht="15" customHeight="1" outlineLevel="1" thickBot="1" x14ac:dyDescent="0.3">
      <c r="B69" s="76"/>
      <c r="C69" s="60" t="s">
        <v>3411</v>
      </c>
      <c r="D69" s="61">
        <f>SUMIFS(Resumo_Trocas!$D:$D,Resumo_Trocas!$A:$A,$C69,Resumo_Trocas!$F:$F,D$27,Resumo_Trocas!$C:$C,"&gt;0")</f>
        <v>0</v>
      </c>
      <c r="E69" s="61">
        <f>SUMIFS(Resumo_Trocas!$D:$D,Resumo_Trocas!$A:$A,$C69,Resumo_Trocas!$F:$F,E$27,Resumo_Trocas!$C:$C,"&gt;0")</f>
        <v>0</v>
      </c>
      <c r="F69" s="61">
        <f>SUMIFS(Resumo_Trocas!$D:$D,Resumo_Trocas!$A:$A,$C69,Resumo_Trocas!$F:$F,F$27,Resumo_Trocas!$C:$C,"&gt;0")</f>
        <v>0</v>
      </c>
      <c r="G69" s="61">
        <f>SUMIFS(Resumo_Trocas!$D:$D,Resumo_Trocas!$A:$A,$C69,Resumo_Trocas!$F:$F,G$27,Resumo_Trocas!$C:$C,"&gt;0")</f>
        <v>0</v>
      </c>
      <c r="H69" s="61">
        <f>SUMIFS(Resumo_Trocas!$D:$D,Resumo_Trocas!$A:$A,$C69,Resumo_Trocas!$F:$F,H$27,Resumo_Trocas!$C:$C,"&gt;0")</f>
        <v>0</v>
      </c>
      <c r="I69" s="61">
        <f>SUMIFS(Resumo_Trocas!$D:$D,Resumo_Trocas!$A:$A,$C69,Resumo_Trocas!$F:$F,I$27,Resumo_Trocas!$C:$C,"&gt;0")</f>
        <v>0</v>
      </c>
      <c r="J69" s="61">
        <f>SUMIFS(Resumo_Trocas!$D:$D,Resumo_Trocas!$A:$A,$C69,Resumo_Trocas!$F:$F,J$27,Resumo_Trocas!$C:$C,"&gt;0")</f>
        <v>0</v>
      </c>
      <c r="K69" s="61">
        <f>SUMIFS(Resumo_Trocas!$D:$D,Resumo_Trocas!$A:$A,$C69,Resumo_Trocas!$F:$F,K$27,Resumo_Trocas!$C:$C,"&gt;0")</f>
        <v>0</v>
      </c>
      <c r="L69" s="61">
        <f>SUMIFS(Resumo_Trocas!$D:$D,Resumo_Trocas!$A:$A,$C69,Resumo_Trocas!$F:$F,L$27,Resumo_Trocas!$C:$C,"&gt;0")</f>
        <v>0</v>
      </c>
      <c r="M69" s="61">
        <f>SUMIFS(Resumo_Trocas!$D:$D,Resumo_Trocas!$A:$A,$C69,Resumo_Trocas!$F:$F,M$27,Resumo_Trocas!$C:$C,"&gt;0")</f>
        <v>0</v>
      </c>
      <c r="N69" s="61">
        <f>SUMIFS(Resumo_Trocas!$D:$D,Resumo_Trocas!$A:$A,$C69,Resumo_Trocas!$F:$F,N$27,Resumo_Trocas!$C:$C,"&gt;0")</f>
        <v>0</v>
      </c>
      <c r="O69" s="61">
        <f>SUMIFS(Resumo_Trocas!$D:$D,Resumo_Trocas!$A:$A,$C69,Resumo_Trocas!$F:$F,O$27,Resumo_Trocas!$C:$C,"&gt;0")</f>
        <v>0</v>
      </c>
      <c r="P69" s="61">
        <f>SUMIFS(Resumo_Trocas!$D:$D,Resumo_Trocas!$A:$A,$C69,Resumo_Trocas!$F:$F,P$27,Resumo_Trocas!$C:$C,"&gt;0")</f>
        <v>0</v>
      </c>
      <c r="Q69" s="61">
        <f>SUMIFS(Resumo_Trocas!$D:$D,Resumo_Trocas!$A:$A,$C69,Resumo_Trocas!$F:$F,Q$27,Resumo_Trocas!$C:$C,"&gt;0")</f>
        <v>0</v>
      </c>
      <c r="R69" s="61">
        <f>SUMIFS(Resumo_Trocas!$D:$D,Resumo_Trocas!$A:$A,$C69,Resumo_Trocas!$F:$F,R$27,Resumo_Trocas!$C:$C,"&gt;0")</f>
        <v>0</v>
      </c>
      <c r="S69" s="61">
        <f>SUMIFS(Resumo_Trocas!$D:$D,Resumo_Trocas!$A:$A,$C69,Resumo_Trocas!$F:$F,S$27,Resumo_Trocas!$C:$C,"&gt;0")</f>
        <v>0</v>
      </c>
      <c r="T69" s="61">
        <f>SUMIFS(Resumo_Trocas!$D:$D,Resumo_Trocas!$A:$A,$C69,Resumo_Trocas!$F:$F,T$27,Resumo_Trocas!$C:$C,"&gt;0")</f>
        <v>0</v>
      </c>
      <c r="U69" s="61">
        <f>SUMIFS(Resumo_Trocas!$D:$D,Resumo_Trocas!$A:$A,$C69,Resumo_Trocas!$F:$F,U$27,Resumo_Trocas!$C:$C,"&gt;0")</f>
        <v>0</v>
      </c>
      <c r="V69" s="61">
        <f>SUMIFS(Resumo_Trocas!$D:$D,Resumo_Trocas!$A:$A,$C69,Resumo_Trocas!$F:$F,V$27,Resumo_Trocas!$C:$C,"&gt;0")</f>
        <v>0</v>
      </c>
    </row>
    <row r="70" spans="2:22" ht="15" customHeight="1" outlineLevel="1" thickBot="1" x14ac:dyDescent="0.3">
      <c r="B70" s="76"/>
      <c r="C70" s="60" t="s">
        <v>3412</v>
      </c>
      <c r="D70" s="61">
        <f>SUMIFS(Resumo_Trocas!$D:$D,Resumo_Trocas!$A:$A,$C70,Resumo_Trocas!$F:$F,D$27,Resumo_Trocas!$C:$C,"&gt;0")</f>
        <v>0</v>
      </c>
      <c r="E70" s="61">
        <f>SUMIFS(Resumo_Trocas!$D:$D,Resumo_Trocas!$A:$A,$C70,Resumo_Trocas!$F:$F,E$27,Resumo_Trocas!$C:$C,"&gt;0")</f>
        <v>0</v>
      </c>
      <c r="F70" s="61">
        <f>SUMIFS(Resumo_Trocas!$D:$D,Resumo_Trocas!$A:$A,$C70,Resumo_Trocas!$F:$F,F$27,Resumo_Trocas!$C:$C,"&gt;0")</f>
        <v>0</v>
      </c>
      <c r="G70" s="61">
        <f>SUMIFS(Resumo_Trocas!$D:$D,Resumo_Trocas!$A:$A,$C70,Resumo_Trocas!$F:$F,G$27,Resumo_Trocas!$C:$C,"&gt;0")</f>
        <v>0</v>
      </c>
      <c r="H70" s="61">
        <f>SUMIFS(Resumo_Trocas!$D:$D,Resumo_Trocas!$A:$A,$C70,Resumo_Trocas!$F:$F,H$27,Resumo_Trocas!$C:$C,"&gt;0")</f>
        <v>0</v>
      </c>
      <c r="I70" s="61">
        <f>SUMIFS(Resumo_Trocas!$D:$D,Resumo_Trocas!$A:$A,$C70,Resumo_Trocas!$F:$F,I$27,Resumo_Trocas!$C:$C,"&gt;0")</f>
        <v>0</v>
      </c>
      <c r="J70" s="61">
        <f>SUMIFS(Resumo_Trocas!$D:$D,Resumo_Trocas!$A:$A,$C70,Resumo_Trocas!$F:$F,J$27,Resumo_Trocas!$C:$C,"&gt;0")</f>
        <v>0</v>
      </c>
      <c r="K70" s="61">
        <f>SUMIFS(Resumo_Trocas!$D:$D,Resumo_Trocas!$A:$A,$C70,Resumo_Trocas!$F:$F,K$27,Resumo_Trocas!$C:$C,"&gt;0")</f>
        <v>0</v>
      </c>
      <c r="L70" s="61">
        <f>SUMIFS(Resumo_Trocas!$D:$D,Resumo_Trocas!$A:$A,$C70,Resumo_Trocas!$F:$F,L$27,Resumo_Trocas!$C:$C,"&gt;0")</f>
        <v>0</v>
      </c>
      <c r="M70" s="61">
        <f>SUMIFS(Resumo_Trocas!$D:$D,Resumo_Trocas!$A:$A,$C70,Resumo_Trocas!$F:$F,M$27,Resumo_Trocas!$C:$C,"&gt;0")</f>
        <v>0</v>
      </c>
      <c r="N70" s="61">
        <f>SUMIFS(Resumo_Trocas!$D:$D,Resumo_Trocas!$A:$A,$C70,Resumo_Trocas!$F:$F,N$27,Resumo_Trocas!$C:$C,"&gt;0")</f>
        <v>0</v>
      </c>
      <c r="O70" s="61">
        <f>SUMIFS(Resumo_Trocas!$D:$D,Resumo_Trocas!$A:$A,$C70,Resumo_Trocas!$F:$F,O$27,Resumo_Trocas!$C:$C,"&gt;0")</f>
        <v>0</v>
      </c>
      <c r="P70" s="61">
        <f>SUMIFS(Resumo_Trocas!$D:$D,Resumo_Trocas!$A:$A,$C70,Resumo_Trocas!$F:$F,P$27,Resumo_Trocas!$C:$C,"&gt;0")</f>
        <v>0</v>
      </c>
      <c r="Q70" s="61">
        <f>SUMIFS(Resumo_Trocas!$D:$D,Resumo_Trocas!$A:$A,$C70,Resumo_Trocas!$F:$F,Q$27,Resumo_Trocas!$C:$C,"&gt;0")</f>
        <v>0</v>
      </c>
      <c r="R70" s="61">
        <f>SUMIFS(Resumo_Trocas!$D:$D,Resumo_Trocas!$A:$A,$C70,Resumo_Trocas!$F:$F,R$27,Resumo_Trocas!$C:$C,"&gt;0")</f>
        <v>0</v>
      </c>
      <c r="S70" s="61">
        <f>SUMIFS(Resumo_Trocas!$D:$D,Resumo_Trocas!$A:$A,$C70,Resumo_Trocas!$F:$F,S$27,Resumo_Trocas!$C:$C,"&gt;0")</f>
        <v>0</v>
      </c>
      <c r="T70" s="61">
        <f>SUMIFS(Resumo_Trocas!$D:$D,Resumo_Trocas!$A:$A,$C70,Resumo_Trocas!$F:$F,T$27,Resumo_Trocas!$C:$C,"&gt;0")</f>
        <v>0</v>
      </c>
      <c r="U70" s="61">
        <f>SUMIFS(Resumo_Trocas!$D:$D,Resumo_Trocas!$A:$A,$C70,Resumo_Trocas!$F:$F,U$27,Resumo_Trocas!$C:$C,"&gt;0")</f>
        <v>0</v>
      </c>
      <c r="V70" s="61">
        <f>SUMIFS(Resumo_Trocas!$D:$D,Resumo_Trocas!$A:$A,$C70,Resumo_Trocas!$F:$F,V$27,Resumo_Trocas!$C:$C,"&gt;0")</f>
        <v>0</v>
      </c>
    </row>
    <row r="71" spans="2:22" ht="15" customHeight="1" outlineLevel="1" thickBot="1" x14ac:dyDescent="0.3">
      <c r="B71" s="76"/>
      <c r="C71" s="60" t="s">
        <v>3413</v>
      </c>
      <c r="D71" s="61">
        <f>SUMIFS(Resumo_Trocas!$D:$D,Resumo_Trocas!$A:$A,$C71,Resumo_Trocas!$F:$F,D$27,Resumo_Trocas!$C:$C,"&gt;0")</f>
        <v>0</v>
      </c>
      <c r="E71" s="61">
        <f>SUMIFS(Resumo_Trocas!$D:$D,Resumo_Trocas!$A:$A,$C71,Resumo_Trocas!$F:$F,E$27,Resumo_Trocas!$C:$C,"&gt;0")</f>
        <v>0</v>
      </c>
      <c r="F71" s="61">
        <f>SUMIFS(Resumo_Trocas!$D:$D,Resumo_Trocas!$A:$A,$C71,Resumo_Trocas!$F:$F,F$27,Resumo_Trocas!$C:$C,"&gt;0")</f>
        <v>0</v>
      </c>
      <c r="G71" s="61">
        <f>SUMIFS(Resumo_Trocas!$D:$D,Resumo_Trocas!$A:$A,$C71,Resumo_Trocas!$F:$F,G$27,Resumo_Trocas!$C:$C,"&gt;0")</f>
        <v>0</v>
      </c>
      <c r="H71" s="61">
        <f>SUMIFS(Resumo_Trocas!$D:$D,Resumo_Trocas!$A:$A,$C71,Resumo_Trocas!$F:$F,H$27,Resumo_Trocas!$C:$C,"&gt;0")</f>
        <v>0</v>
      </c>
      <c r="I71" s="61">
        <f>SUMIFS(Resumo_Trocas!$D:$D,Resumo_Trocas!$A:$A,$C71,Resumo_Trocas!$F:$F,I$27,Resumo_Trocas!$C:$C,"&gt;0")</f>
        <v>0</v>
      </c>
      <c r="J71" s="61">
        <f>SUMIFS(Resumo_Trocas!$D:$D,Resumo_Trocas!$A:$A,$C71,Resumo_Trocas!$F:$F,J$27,Resumo_Trocas!$C:$C,"&gt;0")</f>
        <v>0</v>
      </c>
      <c r="K71" s="61">
        <f>SUMIFS(Resumo_Trocas!$D:$D,Resumo_Trocas!$A:$A,$C71,Resumo_Trocas!$F:$F,K$27,Resumo_Trocas!$C:$C,"&gt;0")</f>
        <v>0</v>
      </c>
      <c r="L71" s="61">
        <f>SUMIFS(Resumo_Trocas!$D:$D,Resumo_Trocas!$A:$A,$C71,Resumo_Trocas!$F:$F,L$27,Resumo_Trocas!$C:$C,"&gt;0")</f>
        <v>0</v>
      </c>
      <c r="M71" s="61">
        <f>SUMIFS(Resumo_Trocas!$D:$D,Resumo_Trocas!$A:$A,$C71,Resumo_Trocas!$F:$F,M$27,Resumo_Trocas!$C:$C,"&gt;0")</f>
        <v>0</v>
      </c>
      <c r="N71" s="61">
        <f>SUMIFS(Resumo_Trocas!$D:$D,Resumo_Trocas!$A:$A,$C71,Resumo_Trocas!$F:$F,N$27,Resumo_Trocas!$C:$C,"&gt;0")</f>
        <v>0</v>
      </c>
      <c r="O71" s="61">
        <f>SUMIFS(Resumo_Trocas!$D:$D,Resumo_Trocas!$A:$A,$C71,Resumo_Trocas!$F:$F,O$27,Resumo_Trocas!$C:$C,"&gt;0")</f>
        <v>0</v>
      </c>
      <c r="P71" s="61">
        <f>SUMIFS(Resumo_Trocas!$D:$D,Resumo_Trocas!$A:$A,$C71,Resumo_Trocas!$F:$F,P$27,Resumo_Trocas!$C:$C,"&gt;0")</f>
        <v>0</v>
      </c>
      <c r="Q71" s="61">
        <f>SUMIFS(Resumo_Trocas!$D:$D,Resumo_Trocas!$A:$A,$C71,Resumo_Trocas!$F:$F,Q$27,Resumo_Trocas!$C:$C,"&gt;0")</f>
        <v>0</v>
      </c>
      <c r="R71" s="61">
        <f>SUMIFS(Resumo_Trocas!$D:$D,Resumo_Trocas!$A:$A,$C71,Resumo_Trocas!$F:$F,R$27,Resumo_Trocas!$C:$C,"&gt;0")</f>
        <v>0</v>
      </c>
      <c r="S71" s="61">
        <f>SUMIFS(Resumo_Trocas!$D:$D,Resumo_Trocas!$A:$A,$C71,Resumo_Trocas!$F:$F,S$27,Resumo_Trocas!$C:$C,"&gt;0")</f>
        <v>0</v>
      </c>
      <c r="T71" s="61">
        <f>SUMIFS(Resumo_Trocas!$D:$D,Resumo_Trocas!$A:$A,$C71,Resumo_Trocas!$F:$F,T$27,Resumo_Trocas!$C:$C,"&gt;0")</f>
        <v>0</v>
      </c>
      <c r="U71" s="61">
        <f>SUMIFS(Resumo_Trocas!$D:$D,Resumo_Trocas!$A:$A,$C71,Resumo_Trocas!$F:$F,U$27,Resumo_Trocas!$C:$C,"&gt;0")</f>
        <v>0</v>
      </c>
      <c r="V71" s="61">
        <f>SUMIFS(Resumo_Trocas!$D:$D,Resumo_Trocas!$A:$A,$C71,Resumo_Trocas!$F:$F,V$27,Resumo_Trocas!$C:$C,"&gt;0")</f>
        <v>0</v>
      </c>
    </row>
    <row r="72" spans="2:22" ht="15" customHeight="1" outlineLevel="1" thickBot="1" x14ac:dyDescent="0.3">
      <c r="B72" s="76"/>
      <c r="C72" s="60" t="s">
        <v>3414</v>
      </c>
      <c r="D72" s="61">
        <f>SUMIFS(Resumo_Trocas!$D:$D,Resumo_Trocas!$A:$A,$C72,Resumo_Trocas!$F:$F,D$27,Resumo_Trocas!$C:$C,"&gt;0")</f>
        <v>0</v>
      </c>
      <c r="E72" s="61">
        <f>SUMIFS(Resumo_Trocas!$D:$D,Resumo_Trocas!$A:$A,$C72,Resumo_Trocas!$F:$F,E$27,Resumo_Trocas!$C:$C,"&gt;0")</f>
        <v>0</v>
      </c>
      <c r="F72" s="61">
        <f>SUMIFS(Resumo_Trocas!$D:$D,Resumo_Trocas!$A:$A,$C72,Resumo_Trocas!$F:$F,F$27,Resumo_Trocas!$C:$C,"&gt;0")</f>
        <v>0</v>
      </c>
      <c r="G72" s="61">
        <f>SUMIFS(Resumo_Trocas!$D:$D,Resumo_Trocas!$A:$A,$C72,Resumo_Trocas!$F:$F,G$27,Resumo_Trocas!$C:$C,"&gt;0")</f>
        <v>0</v>
      </c>
      <c r="H72" s="61">
        <f>SUMIFS(Resumo_Trocas!$D:$D,Resumo_Trocas!$A:$A,$C72,Resumo_Trocas!$F:$F,H$27,Resumo_Trocas!$C:$C,"&gt;0")</f>
        <v>0</v>
      </c>
      <c r="I72" s="61">
        <f>SUMIFS(Resumo_Trocas!$D:$D,Resumo_Trocas!$A:$A,$C72,Resumo_Trocas!$F:$F,I$27,Resumo_Trocas!$C:$C,"&gt;0")</f>
        <v>0</v>
      </c>
      <c r="J72" s="61">
        <f>SUMIFS(Resumo_Trocas!$D:$D,Resumo_Trocas!$A:$A,$C72,Resumo_Trocas!$F:$F,J$27,Resumo_Trocas!$C:$C,"&gt;0")</f>
        <v>0</v>
      </c>
      <c r="K72" s="61">
        <f>SUMIFS(Resumo_Trocas!$D:$D,Resumo_Trocas!$A:$A,$C72,Resumo_Trocas!$F:$F,K$27,Resumo_Trocas!$C:$C,"&gt;0")</f>
        <v>0</v>
      </c>
      <c r="L72" s="61">
        <f>SUMIFS(Resumo_Trocas!$D:$D,Resumo_Trocas!$A:$A,$C72,Resumo_Trocas!$F:$F,L$27,Resumo_Trocas!$C:$C,"&gt;0")</f>
        <v>0</v>
      </c>
      <c r="M72" s="61">
        <f>SUMIFS(Resumo_Trocas!$D:$D,Resumo_Trocas!$A:$A,$C72,Resumo_Trocas!$F:$F,M$27,Resumo_Trocas!$C:$C,"&gt;0")</f>
        <v>0</v>
      </c>
      <c r="N72" s="61">
        <f>SUMIFS(Resumo_Trocas!$D:$D,Resumo_Trocas!$A:$A,$C72,Resumo_Trocas!$F:$F,N$27,Resumo_Trocas!$C:$C,"&gt;0")</f>
        <v>0</v>
      </c>
      <c r="O72" s="61">
        <f>SUMIFS(Resumo_Trocas!$D:$D,Resumo_Trocas!$A:$A,$C72,Resumo_Trocas!$F:$F,O$27,Resumo_Trocas!$C:$C,"&gt;0")</f>
        <v>0</v>
      </c>
      <c r="P72" s="61">
        <f>SUMIFS(Resumo_Trocas!$D:$D,Resumo_Trocas!$A:$A,$C72,Resumo_Trocas!$F:$F,P$27,Resumo_Trocas!$C:$C,"&gt;0")</f>
        <v>0</v>
      </c>
      <c r="Q72" s="61">
        <f>SUMIFS(Resumo_Trocas!$D:$D,Resumo_Trocas!$A:$A,$C72,Resumo_Trocas!$F:$F,Q$27,Resumo_Trocas!$C:$C,"&gt;0")</f>
        <v>0</v>
      </c>
      <c r="R72" s="61">
        <f>SUMIFS(Resumo_Trocas!$D:$D,Resumo_Trocas!$A:$A,$C72,Resumo_Trocas!$F:$F,R$27,Resumo_Trocas!$C:$C,"&gt;0")</f>
        <v>0</v>
      </c>
      <c r="S72" s="61">
        <f>SUMIFS(Resumo_Trocas!$D:$D,Resumo_Trocas!$A:$A,$C72,Resumo_Trocas!$F:$F,S$27,Resumo_Trocas!$C:$C,"&gt;0")</f>
        <v>0</v>
      </c>
      <c r="T72" s="61">
        <f>SUMIFS(Resumo_Trocas!$D:$D,Resumo_Trocas!$A:$A,$C72,Resumo_Trocas!$F:$F,T$27,Resumo_Trocas!$C:$C,"&gt;0")</f>
        <v>0</v>
      </c>
      <c r="U72" s="61">
        <f>SUMIFS(Resumo_Trocas!$D:$D,Resumo_Trocas!$A:$A,$C72,Resumo_Trocas!$F:$F,U$27,Resumo_Trocas!$C:$C,"&gt;0")</f>
        <v>0</v>
      </c>
      <c r="V72" s="61">
        <f>SUMIFS(Resumo_Trocas!$D:$D,Resumo_Trocas!$A:$A,$C72,Resumo_Trocas!$F:$F,V$27,Resumo_Trocas!$C:$C,"&gt;0")</f>
        <v>0</v>
      </c>
    </row>
    <row r="73" spans="2:22" ht="15" customHeight="1" outlineLevel="1" thickBot="1" x14ac:dyDescent="0.3">
      <c r="B73" s="76"/>
      <c r="C73" s="60" t="s">
        <v>3415</v>
      </c>
      <c r="D73" s="61">
        <f>SUMIFS(Resumo_Trocas!$D:$D,Resumo_Trocas!$A:$A,$C73,Resumo_Trocas!$F:$F,D$27,Resumo_Trocas!$C:$C,"&gt;0")</f>
        <v>0</v>
      </c>
      <c r="E73" s="61">
        <f>SUMIFS(Resumo_Trocas!$D:$D,Resumo_Trocas!$A:$A,$C73,Resumo_Trocas!$F:$F,E$27,Resumo_Trocas!$C:$C,"&gt;0")</f>
        <v>0</v>
      </c>
      <c r="F73" s="61">
        <f>SUMIFS(Resumo_Trocas!$D:$D,Resumo_Trocas!$A:$A,$C73,Resumo_Trocas!$F:$F,F$27,Resumo_Trocas!$C:$C,"&gt;0")</f>
        <v>0</v>
      </c>
      <c r="G73" s="61">
        <f>SUMIFS(Resumo_Trocas!$D:$D,Resumo_Trocas!$A:$A,$C73,Resumo_Trocas!$F:$F,G$27,Resumo_Trocas!$C:$C,"&gt;0")</f>
        <v>0</v>
      </c>
      <c r="H73" s="61">
        <f>SUMIFS(Resumo_Trocas!$D:$D,Resumo_Trocas!$A:$A,$C73,Resumo_Trocas!$F:$F,H$27,Resumo_Trocas!$C:$C,"&gt;0")</f>
        <v>0</v>
      </c>
      <c r="I73" s="61">
        <f>SUMIFS(Resumo_Trocas!$D:$D,Resumo_Trocas!$A:$A,$C73,Resumo_Trocas!$F:$F,I$27,Resumo_Trocas!$C:$C,"&gt;0")</f>
        <v>0</v>
      </c>
      <c r="J73" s="61">
        <f>SUMIFS(Resumo_Trocas!$D:$D,Resumo_Trocas!$A:$A,$C73,Resumo_Trocas!$F:$F,J$27,Resumo_Trocas!$C:$C,"&gt;0")</f>
        <v>0</v>
      </c>
      <c r="K73" s="61">
        <f>SUMIFS(Resumo_Trocas!$D:$D,Resumo_Trocas!$A:$A,$C73,Resumo_Trocas!$F:$F,K$27,Resumo_Trocas!$C:$C,"&gt;0")</f>
        <v>0</v>
      </c>
      <c r="L73" s="61">
        <f>SUMIFS(Resumo_Trocas!$D:$D,Resumo_Trocas!$A:$A,$C73,Resumo_Trocas!$F:$F,L$27,Resumo_Trocas!$C:$C,"&gt;0")</f>
        <v>0</v>
      </c>
      <c r="M73" s="61">
        <f>SUMIFS(Resumo_Trocas!$D:$D,Resumo_Trocas!$A:$A,$C73,Resumo_Trocas!$F:$F,M$27,Resumo_Trocas!$C:$C,"&gt;0")</f>
        <v>0</v>
      </c>
      <c r="N73" s="61">
        <f>SUMIFS(Resumo_Trocas!$D:$D,Resumo_Trocas!$A:$A,$C73,Resumo_Trocas!$F:$F,N$27,Resumo_Trocas!$C:$C,"&gt;0")</f>
        <v>0</v>
      </c>
      <c r="O73" s="61">
        <f>SUMIFS(Resumo_Trocas!$D:$D,Resumo_Trocas!$A:$A,$C73,Resumo_Trocas!$F:$F,O$27,Resumo_Trocas!$C:$C,"&gt;0")</f>
        <v>0</v>
      </c>
      <c r="P73" s="61">
        <f>SUMIFS(Resumo_Trocas!$D:$D,Resumo_Trocas!$A:$A,$C73,Resumo_Trocas!$F:$F,P$27,Resumo_Trocas!$C:$C,"&gt;0")</f>
        <v>0</v>
      </c>
      <c r="Q73" s="61">
        <f>SUMIFS(Resumo_Trocas!$D:$D,Resumo_Trocas!$A:$A,$C73,Resumo_Trocas!$F:$F,Q$27,Resumo_Trocas!$C:$C,"&gt;0")</f>
        <v>0</v>
      </c>
      <c r="R73" s="61">
        <f>SUMIFS(Resumo_Trocas!$D:$D,Resumo_Trocas!$A:$A,$C73,Resumo_Trocas!$F:$F,R$27,Resumo_Trocas!$C:$C,"&gt;0")</f>
        <v>0</v>
      </c>
      <c r="S73" s="61">
        <f>SUMIFS(Resumo_Trocas!$D:$D,Resumo_Trocas!$A:$A,$C73,Resumo_Trocas!$F:$F,S$27,Resumo_Trocas!$C:$C,"&gt;0")</f>
        <v>0</v>
      </c>
      <c r="T73" s="61">
        <f>SUMIFS(Resumo_Trocas!$D:$D,Resumo_Trocas!$A:$A,$C73,Resumo_Trocas!$F:$F,T$27,Resumo_Trocas!$C:$C,"&gt;0")</f>
        <v>0</v>
      </c>
      <c r="U73" s="61">
        <f>SUMIFS(Resumo_Trocas!$D:$D,Resumo_Trocas!$A:$A,$C73,Resumo_Trocas!$F:$F,U$27,Resumo_Trocas!$C:$C,"&gt;0")</f>
        <v>0</v>
      </c>
      <c r="V73" s="61">
        <f>SUMIFS(Resumo_Trocas!$D:$D,Resumo_Trocas!$A:$A,$C73,Resumo_Trocas!$F:$F,V$27,Resumo_Trocas!$C:$C,"&gt;0")</f>
        <v>0</v>
      </c>
    </row>
    <row r="74" spans="2:22" ht="15" customHeight="1" outlineLevel="1" thickBot="1" x14ac:dyDescent="0.3">
      <c r="B74" s="76"/>
      <c r="C74" s="60" t="s">
        <v>3416</v>
      </c>
      <c r="D74" s="61">
        <f>SUMIFS(Resumo_Trocas!$D:$D,Resumo_Trocas!$A:$A,$C74,Resumo_Trocas!$F:$F,D$27,Resumo_Trocas!$C:$C,"&gt;0")</f>
        <v>0</v>
      </c>
      <c r="E74" s="61">
        <f>SUMIFS(Resumo_Trocas!$D:$D,Resumo_Trocas!$A:$A,$C74,Resumo_Trocas!$F:$F,E$27,Resumo_Trocas!$C:$C,"&gt;0")</f>
        <v>0</v>
      </c>
      <c r="F74" s="61">
        <f>SUMIFS(Resumo_Trocas!$D:$D,Resumo_Trocas!$A:$A,$C74,Resumo_Trocas!$F:$F,F$27,Resumo_Trocas!$C:$C,"&gt;0")</f>
        <v>0</v>
      </c>
      <c r="G74" s="61">
        <f>SUMIFS(Resumo_Trocas!$D:$D,Resumo_Trocas!$A:$A,$C74,Resumo_Trocas!$F:$F,G$27,Resumo_Trocas!$C:$C,"&gt;0")</f>
        <v>0</v>
      </c>
      <c r="H74" s="61">
        <f>SUMIFS(Resumo_Trocas!$D:$D,Resumo_Trocas!$A:$A,$C74,Resumo_Trocas!$F:$F,H$27,Resumo_Trocas!$C:$C,"&gt;0")</f>
        <v>0</v>
      </c>
      <c r="I74" s="61">
        <f>SUMIFS(Resumo_Trocas!$D:$D,Resumo_Trocas!$A:$A,$C74,Resumo_Trocas!$F:$F,I$27,Resumo_Trocas!$C:$C,"&gt;0")</f>
        <v>0</v>
      </c>
      <c r="J74" s="61">
        <f>SUMIFS(Resumo_Trocas!$D:$D,Resumo_Trocas!$A:$A,$C74,Resumo_Trocas!$F:$F,J$27,Resumo_Trocas!$C:$C,"&gt;0")</f>
        <v>0</v>
      </c>
      <c r="K74" s="61">
        <f>SUMIFS(Resumo_Trocas!$D:$D,Resumo_Trocas!$A:$A,$C74,Resumo_Trocas!$F:$F,K$27,Resumo_Trocas!$C:$C,"&gt;0")</f>
        <v>0</v>
      </c>
      <c r="L74" s="61">
        <f>SUMIFS(Resumo_Trocas!$D:$D,Resumo_Trocas!$A:$A,$C74,Resumo_Trocas!$F:$F,L$27,Resumo_Trocas!$C:$C,"&gt;0")</f>
        <v>0</v>
      </c>
      <c r="M74" s="61">
        <f>SUMIFS(Resumo_Trocas!$D:$D,Resumo_Trocas!$A:$A,$C74,Resumo_Trocas!$F:$F,M$27,Resumo_Trocas!$C:$C,"&gt;0")</f>
        <v>0</v>
      </c>
      <c r="N74" s="61">
        <f>SUMIFS(Resumo_Trocas!$D:$D,Resumo_Trocas!$A:$A,$C74,Resumo_Trocas!$F:$F,N$27,Resumo_Trocas!$C:$C,"&gt;0")</f>
        <v>0</v>
      </c>
      <c r="O74" s="61">
        <f>SUMIFS(Resumo_Trocas!$D:$D,Resumo_Trocas!$A:$A,$C74,Resumo_Trocas!$F:$F,O$27,Resumo_Trocas!$C:$C,"&gt;0")</f>
        <v>0</v>
      </c>
      <c r="P74" s="61">
        <f>SUMIFS(Resumo_Trocas!$D:$D,Resumo_Trocas!$A:$A,$C74,Resumo_Trocas!$F:$F,P$27,Resumo_Trocas!$C:$C,"&gt;0")</f>
        <v>0</v>
      </c>
      <c r="Q74" s="61">
        <f>SUMIFS(Resumo_Trocas!$D:$D,Resumo_Trocas!$A:$A,$C74,Resumo_Trocas!$F:$F,Q$27,Resumo_Trocas!$C:$C,"&gt;0")</f>
        <v>0</v>
      </c>
      <c r="R74" s="61">
        <f>SUMIFS(Resumo_Trocas!$D:$D,Resumo_Trocas!$A:$A,$C74,Resumo_Trocas!$F:$F,R$27,Resumo_Trocas!$C:$C,"&gt;0")</f>
        <v>0</v>
      </c>
      <c r="S74" s="61">
        <f>SUMIFS(Resumo_Trocas!$D:$D,Resumo_Trocas!$A:$A,$C74,Resumo_Trocas!$F:$F,S$27,Resumo_Trocas!$C:$C,"&gt;0")</f>
        <v>0</v>
      </c>
      <c r="T74" s="61">
        <f>SUMIFS(Resumo_Trocas!$D:$D,Resumo_Trocas!$A:$A,$C74,Resumo_Trocas!$F:$F,T$27,Resumo_Trocas!$C:$C,"&gt;0")</f>
        <v>0</v>
      </c>
      <c r="U74" s="61">
        <f>SUMIFS(Resumo_Trocas!$D:$D,Resumo_Trocas!$A:$A,$C74,Resumo_Trocas!$F:$F,U$27,Resumo_Trocas!$C:$C,"&gt;0")</f>
        <v>0</v>
      </c>
      <c r="V74" s="61">
        <f>SUMIFS(Resumo_Trocas!$D:$D,Resumo_Trocas!$A:$A,$C74,Resumo_Trocas!$F:$F,V$27,Resumo_Trocas!$C:$C,"&gt;0")</f>
        <v>0</v>
      </c>
    </row>
    <row r="75" spans="2:22" ht="15" customHeight="1" outlineLevel="1" thickBot="1" x14ac:dyDescent="0.3">
      <c r="B75" s="76"/>
      <c r="C75" s="60" t="s">
        <v>3417</v>
      </c>
      <c r="D75" s="61">
        <f>SUMIFS(Resumo_Trocas!$D:$D,Resumo_Trocas!$A:$A,$C75,Resumo_Trocas!$F:$F,D$27,Resumo_Trocas!$C:$C,"&gt;0")</f>
        <v>0</v>
      </c>
      <c r="E75" s="61">
        <f>SUMIFS(Resumo_Trocas!$D:$D,Resumo_Trocas!$A:$A,$C75,Resumo_Trocas!$F:$F,E$27,Resumo_Trocas!$C:$C,"&gt;0")</f>
        <v>0</v>
      </c>
      <c r="F75" s="61">
        <f>SUMIFS(Resumo_Trocas!$D:$D,Resumo_Trocas!$A:$A,$C75,Resumo_Trocas!$F:$F,F$27,Resumo_Trocas!$C:$C,"&gt;0")</f>
        <v>0</v>
      </c>
      <c r="G75" s="61">
        <f>SUMIFS(Resumo_Trocas!$D:$D,Resumo_Trocas!$A:$A,$C75,Resumo_Trocas!$F:$F,G$27,Resumo_Trocas!$C:$C,"&gt;0")</f>
        <v>0</v>
      </c>
      <c r="H75" s="61">
        <f>SUMIFS(Resumo_Trocas!$D:$D,Resumo_Trocas!$A:$A,$C75,Resumo_Trocas!$F:$F,H$27,Resumo_Trocas!$C:$C,"&gt;0")</f>
        <v>0</v>
      </c>
      <c r="I75" s="61">
        <f>SUMIFS(Resumo_Trocas!$D:$D,Resumo_Trocas!$A:$A,$C75,Resumo_Trocas!$F:$F,I$27,Resumo_Trocas!$C:$C,"&gt;0")</f>
        <v>0</v>
      </c>
      <c r="J75" s="61">
        <f>SUMIFS(Resumo_Trocas!$D:$D,Resumo_Trocas!$A:$A,$C75,Resumo_Trocas!$F:$F,J$27,Resumo_Trocas!$C:$C,"&gt;0")</f>
        <v>0</v>
      </c>
      <c r="K75" s="61">
        <f>SUMIFS(Resumo_Trocas!$D:$D,Resumo_Trocas!$A:$A,$C75,Resumo_Trocas!$F:$F,K$27,Resumo_Trocas!$C:$C,"&gt;0")</f>
        <v>0</v>
      </c>
      <c r="L75" s="61">
        <f>SUMIFS(Resumo_Trocas!$D:$D,Resumo_Trocas!$A:$A,$C75,Resumo_Trocas!$F:$F,L$27,Resumo_Trocas!$C:$C,"&gt;0")</f>
        <v>0</v>
      </c>
      <c r="M75" s="61">
        <f>SUMIFS(Resumo_Trocas!$D:$D,Resumo_Trocas!$A:$A,$C75,Resumo_Trocas!$F:$F,M$27,Resumo_Trocas!$C:$C,"&gt;0")</f>
        <v>0</v>
      </c>
      <c r="N75" s="61">
        <f>SUMIFS(Resumo_Trocas!$D:$D,Resumo_Trocas!$A:$A,$C75,Resumo_Trocas!$F:$F,N$27,Resumo_Trocas!$C:$C,"&gt;0")</f>
        <v>0</v>
      </c>
      <c r="O75" s="61">
        <f>SUMIFS(Resumo_Trocas!$D:$D,Resumo_Trocas!$A:$A,$C75,Resumo_Trocas!$F:$F,O$27,Resumo_Trocas!$C:$C,"&gt;0")</f>
        <v>0</v>
      </c>
      <c r="P75" s="61">
        <f>SUMIFS(Resumo_Trocas!$D:$D,Resumo_Trocas!$A:$A,$C75,Resumo_Trocas!$F:$F,P$27,Resumo_Trocas!$C:$C,"&gt;0")</f>
        <v>0</v>
      </c>
      <c r="Q75" s="61">
        <f>SUMIFS(Resumo_Trocas!$D:$D,Resumo_Trocas!$A:$A,$C75,Resumo_Trocas!$F:$F,Q$27,Resumo_Trocas!$C:$C,"&gt;0")</f>
        <v>0</v>
      </c>
      <c r="R75" s="61">
        <f>SUMIFS(Resumo_Trocas!$D:$D,Resumo_Trocas!$A:$A,$C75,Resumo_Trocas!$F:$F,R$27,Resumo_Trocas!$C:$C,"&gt;0")</f>
        <v>0</v>
      </c>
      <c r="S75" s="61">
        <f>SUMIFS(Resumo_Trocas!$D:$D,Resumo_Trocas!$A:$A,$C75,Resumo_Trocas!$F:$F,S$27,Resumo_Trocas!$C:$C,"&gt;0")</f>
        <v>0</v>
      </c>
      <c r="T75" s="61">
        <f>SUMIFS(Resumo_Trocas!$D:$D,Resumo_Trocas!$A:$A,$C75,Resumo_Trocas!$F:$F,T$27,Resumo_Trocas!$C:$C,"&gt;0")</f>
        <v>0</v>
      </c>
      <c r="U75" s="61">
        <f>SUMIFS(Resumo_Trocas!$D:$D,Resumo_Trocas!$A:$A,$C75,Resumo_Trocas!$F:$F,U$27,Resumo_Trocas!$C:$C,"&gt;0")</f>
        <v>0</v>
      </c>
      <c r="V75" s="61">
        <f>SUMIFS(Resumo_Trocas!$D:$D,Resumo_Trocas!$A:$A,$C75,Resumo_Trocas!$F:$F,V$27,Resumo_Trocas!$C:$C,"&gt;0")</f>
        <v>0</v>
      </c>
    </row>
    <row r="76" spans="2:22" ht="15" customHeight="1" outlineLevel="1" thickBot="1" x14ac:dyDescent="0.3">
      <c r="B76" s="76"/>
      <c r="C76" s="60" t="s">
        <v>3418</v>
      </c>
      <c r="D76" s="61">
        <f>SUMIFS(Resumo_Trocas!$D:$D,Resumo_Trocas!$A:$A,$C76,Resumo_Trocas!$F:$F,D$27,Resumo_Trocas!$C:$C,"&gt;0")</f>
        <v>0</v>
      </c>
      <c r="E76" s="61">
        <f>SUMIFS(Resumo_Trocas!$D:$D,Resumo_Trocas!$A:$A,$C76,Resumo_Trocas!$F:$F,E$27,Resumo_Trocas!$C:$C,"&gt;0")</f>
        <v>0</v>
      </c>
      <c r="F76" s="61">
        <f>SUMIFS(Resumo_Trocas!$D:$D,Resumo_Trocas!$A:$A,$C76,Resumo_Trocas!$F:$F,F$27,Resumo_Trocas!$C:$C,"&gt;0")</f>
        <v>0</v>
      </c>
      <c r="G76" s="61">
        <f>SUMIFS(Resumo_Trocas!$D:$D,Resumo_Trocas!$A:$A,$C76,Resumo_Trocas!$F:$F,G$27,Resumo_Trocas!$C:$C,"&gt;0")</f>
        <v>0</v>
      </c>
      <c r="H76" s="61">
        <f>SUMIFS(Resumo_Trocas!$D:$D,Resumo_Trocas!$A:$A,$C76,Resumo_Trocas!$F:$F,H$27,Resumo_Trocas!$C:$C,"&gt;0")</f>
        <v>0</v>
      </c>
      <c r="I76" s="61">
        <f>SUMIFS(Resumo_Trocas!$D:$D,Resumo_Trocas!$A:$A,$C76,Resumo_Trocas!$F:$F,I$27,Resumo_Trocas!$C:$C,"&gt;0")</f>
        <v>0</v>
      </c>
      <c r="J76" s="61">
        <f>SUMIFS(Resumo_Trocas!$D:$D,Resumo_Trocas!$A:$A,$C76,Resumo_Trocas!$F:$F,J$27,Resumo_Trocas!$C:$C,"&gt;0")</f>
        <v>0</v>
      </c>
      <c r="K76" s="61">
        <f>SUMIFS(Resumo_Trocas!$D:$D,Resumo_Trocas!$A:$A,$C76,Resumo_Trocas!$F:$F,K$27,Resumo_Trocas!$C:$C,"&gt;0")</f>
        <v>0</v>
      </c>
      <c r="L76" s="61">
        <f>SUMIFS(Resumo_Trocas!$D:$D,Resumo_Trocas!$A:$A,$C76,Resumo_Trocas!$F:$F,L$27,Resumo_Trocas!$C:$C,"&gt;0")</f>
        <v>0</v>
      </c>
      <c r="M76" s="61">
        <f>SUMIFS(Resumo_Trocas!$D:$D,Resumo_Trocas!$A:$A,$C76,Resumo_Trocas!$F:$F,M$27,Resumo_Trocas!$C:$C,"&gt;0")</f>
        <v>0</v>
      </c>
      <c r="N76" s="61">
        <f>SUMIFS(Resumo_Trocas!$D:$D,Resumo_Trocas!$A:$A,$C76,Resumo_Trocas!$F:$F,N$27,Resumo_Trocas!$C:$C,"&gt;0")</f>
        <v>0</v>
      </c>
      <c r="O76" s="61">
        <f>SUMIFS(Resumo_Trocas!$D:$D,Resumo_Trocas!$A:$A,$C76,Resumo_Trocas!$F:$F,O$27,Resumo_Trocas!$C:$C,"&gt;0")</f>
        <v>0</v>
      </c>
      <c r="P76" s="61">
        <f>SUMIFS(Resumo_Trocas!$D:$D,Resumo_Trocas!$A:$A,$C76,Resumo_Trocas!$F:$F,P$27,Resumo_Trocas!$C:$C,"&gt;0")</f>
        <v>0</v>
      </c>
      <c r="Q76" s="61">
        <f>SUMIFS(Resumo_Trocas!$D:$D,Resumo_Trocas!$A:$A,$C76,Resumo_Trocas!$F:$F,Q$27,Resumo_Trocas!$C:$C,"&gt;0")</f>
        <v>0</v>
      </c>
      <c r="R76" s="61">
        <f>SUMIFS(Resumo_Trocas!$D:$D,Resumo_Trocas!$A:$A,$C76,Resumo_Trocas!$F:$F,R$27,Resumo_Trocas!$C:$C,"&gt;0")</f>
        <v>0</v>
      </c>
      <c r="S76" s="61">
        <f>SUMIFS(Resumo_Trocas!$D:$D,Resumo_Trocas!$A:$A,$C76,Resumo_Trocas!$F:$F,S$27,Resumo_Trocas!$C:$C,"&gt;0")</f>
        <v>0</v>
      </c>
      <c r="T76" s="61">
        <f>SUMIFS(Resumo_Trocas!$D:$D,Resumo_Trocas!$A:$A,$C76,Resumo_Trocas!$F:$F,T$27,Resumo_Trocas!$C:$C,"&gt;0")</f>
        <v>0</v>
      </c>
      <c r="U76" s="61">
        <f>SUMIFS(Resumo_Trocas!$D:$D,Resumo_Trocas!$A:$A,$C76,Resumo_Trocas!$F:$F,U$27,Resumo_Trocas!$C:$C,"&gt;0")</f>
        <v>0</v>
      </c>
      <c r="V76" s="61">
        <f>SUMIFS(Resumo_Trocas!$D:$D,Resumo_Trocas!$A:$A,$C76,Resumo_Trocas!$F:$F,V$27,Resumo_Trocas!$C:$C,"&gt;0")</f>
        <v>0</v>
      </c>
    </row>
    <row r="77" spans="2:22" ht="15" customHeight="1" outlineLevel="1" thickBot="1" x14ac:dyDescent="0.3">
      <c r="B77" s="76"/>
      <c r="C77" s="60" t="s">
        <v>3419</v>
      </c>
      <c r="D77" s="61">
        <f>SUMIFS(Resumo_Trocas!$D:$D,Resumo_Trocas!$A:$A,$C77,Resumo_Trocas!$F:$F,D$27,Resumo_Trocas!$C:$C,"&gt;0")</f>
        <v>0</v>
      </c>
      <c r="E77" s="61">
        <f>SUMIFS(Resumo_Trocas!$D:$D,Resumo_Trocas!$A:$A,$C77,Resumo_Trocas!$F:$F,E$27,Resumo_Trocas!$C:$C,"&gt;0")</f>
        <v>0</v>
      </c>
      <c r="F77" s="61">
        <f>SUMIFS(Resumo_Trocas!$D:$D,Resumo_Trocas!$A:$A,$C77,Resumo_Trocas!$F:$F,F$27,Resumo_Trocas!$C:$C,"&gt;0")</f>
        <v>0</v>
      </c>
      <c r="G77" s="61">
        <f>SUMIFS(Resumo_Trocas!$D:$D,Resumo_Trocas!$A:$A,$C77,Resumo_Trocas!$F:$F,G$27,Resumo_Trocas!$C:$C,"&gt;0")</f>
        <v>0</v>
      </c>
      <c r="H77" s="61">
        <f>SUMIFS(Resumo_Trocas!$D:$D,Resumo_Trocas!$A:$A,$C77,Resumo_Trocas!$F:$F,H$27,Resumo_Trocas!$C:$C,"&gt;0")</f>
        <v>0</v>
      </c>
      <c r="I77" s="61">
        <f>SUMIFS(Resumo_Trocas!$D:$D,Resumo_Trocas!$A:$A,$C77,Resumo_Trocas!$F:$F,I$27,Resumo_Trocas!$C:$C,"&gt;0")</f>
        <v>0</v>
      </c>
      <c r="J77" s="61">
        <f>SUMIFS(Resumo_Trocas!$D:$D,Resumo_Trocas!$A:$A,$C77,Resumo_Trocas!$F:$F,J$27,Resumo_Trocas!$C:$C,"&gt;0")</f>
        <v>0</v>
      </c>
      <c r="K77" s="61">
        <f>SUMIFS(Resumo_Trocas!$D:$D,Resumo_Trocas!$A:$A,$C77,Resumo_Trocas!$F:$F,K$27,Resumo_Trocas!$C:$C,"&gt;0")</f>
        <v>0</v>
      </c>
      <c r="L77" s="61">
        <f>SUMIFS(Resumo_Trocas!$D:$D,Resumo_Trocas!$A:$A,$C77,Resumo_Trocas!$F:$F,L$27,Resumo_Trocas!$C:$C,"&gt;0")</f>
        <v>0</v>
      </c>
      <c r="M77" s="61">
        <f>SUMIFS(Resumo_Trocas!$D:$D,Resumo_Trocas!$A:$A,$C77,Resumo_Trocas!$F:$F,M$27,Resumo_Trocas!$C:$C,"&gt;0")</f>
        <v>0</v>
      </c>
      <c r="N77" s="61">
        <f>SUMIFS(Resumo_Trocas!$D:$D,Resumo_Trocas!$A:$A,$C77,Resumo_Trocas!$F:$F,N$27,Resumo_Trocas!$C:$C,"&gt;0")</f>
        <v>0</v>
      </c>
      <c r="O77" s="61">
        <f>SUMIFS(Resumo_Trocas!$D:$D,Resumo_Trocas!$A:$A,$C77,Resumo_Trocas!$F:$F,O$27,Resumo_Trocas!$C:$C,"&gt;0")</f>
        <v>0</v>
      </c>
      <c r="P77" s="61">
        <f>SUMIFS(Resumo_Trocas!$D:$D,Resumo_Trocas!$A:$A,$C77,Resumo_Trocas!$F:$F,P$27,Resumo_Trocas!$C:$C,"&gt;0")</f>
        <v>0</v>
      </c>
      <c r="Q77" s="61">
        <f>SUMIFS(Resumo_Trocas!$D:$D,Resumo_Trocas!$A:$A,$C77,Resumo_Trocas!$F:$F,Q$27,Resumo_Trocas!$C:$C,"&gt;0")</f>
        <v>0</v>
      </c>
      <c r="R77" s="61">
        <f>SUMIFS(Resumo_Trocas!$D:$D,Resumo_Trocas!$A:$A,$C77,Resumo_Trocas!$F:$F,R$27,Resumo_Trocas!$C:$C,"&gt;0")</f>
        <v>0</v>
      </c>
      <c r="S77" s="61">
        <f>SUMIFS(Resumo_Trocas!$D:$D,Resumo_Trocas!$A:$A,$C77,Resumo_Trocas!$F:$F,S$27,Resumo_Trocas!$C:$C,"&gt;0")</f>
        <v>0</v>
      </c>
      <c r="T77" s="61">
        <f>SUMIFS(Resumo_Trocas!$D:$D,Resumo_Trocas!$A:$A,$C77,Resumo_Trocas!$F:$F,T$27,Resumo_Trocas!$C:$C,"&gt;0")</f>
        <v>0</v>
      </c>
      <c r="U77" s="61">
        <f>SUMIFS(Resumo_Trocas!$D:$D,Resumo_Trocas!$A:$A,$C77,Resumo_Trocas!$F:$F,U$27,Resumo_Trocas!$C:$C,"&gt;0")</f>
        <v>0</v>
      </c>
      <c r="V77" s="61">
        <f>SUMIFS(Resumo_Trocas!$D:$D,Resumo_Trocas!$A:$A,$C77,Resumo_Trocas!$F:$F,V$27,Resumo_Trocas!$C:$C,"&gt;0")</f>
        <v>0</v>
      </c>
    </row>
    <row r="78" spans="2:22" ht="15" customHeight="1" outlineLevel="1" thickBot="1" x14ac:dyDescent="0.3">
      <c r="B78" s="76"/>
      <c r="C78" s="60" t="s">
        <v>3420</v>
      </c>
      <c r="D78" s="61">
        <f>SUMIFS(Resumo_Trocas!$D:$D,Resumo_Trocas!$A:$A,$C78,Resumo_Trocas!$F:$F,D$27,Resumo_Trocas!$C:$C,"&gt;0")</f>
        <v>0</v>
      </c>
      <c r="E78" s="61">
        <f>SUMIFS(Resumo_Trocas!$D:$D,Resumo_Trocas!$A:$A,$C78,Resumo_Trocas!$F:$F,E$27,Resumo_Trocas!$C:$C,"&gt;0")</f>
        <v>0</v>
      </c>
      <c r="F78" s="61">
        <f>SUMIFS(Resumo_Trocas!$D:$D,Resumo_Trocas!$A:$A,$C78,Resumo_Trocas!$F:$F,F$27,Resumo_Trocas!$C:$C,"&gt;0")</f>
        <v>0</v>
      </c>
      <c r="G78" s="61">
        <f>SUMIFS(Resumo_Trocas!$D:$D,Resumo_Trocas!$A:$A,$C78,Resumo_Trocas!$F:$F,G$27,Resumo_Trocas!$C:$C,"&gt;0")</f>
        <v>0</v>
      </c>
      <c r="H78" s="61">
        <f>SUMIFS(Resumo_Trocas!$D:$D,Resumo_Trocas!$A:$A,$C78,Resumo_Trocas!$F:$F,H$27,Resumo_Trocas!$C:$C,"&gt;0")</f>
        <v>0</v>
      </c>
      <c r="I78" s="61">
        <f>SUMIFS(Resumo_Trocas!$D:$D,Resumo_Trocas!$A:$A,$C78,Resumo_Trocas!$F:$F,I$27,Resumo_Trocas!$C:$C,"&gt;0")</f>
        <v>0</v>
      </c>
      <c r="J78" s="61">
        <f>SUMIFS(Resumo_Trocas!$D:$D,Resumo_Trocas!$A:$A,$C78,Resumo_Trocas!$F:$F,J$27,Resumo_Trocas!$C:$C,"&gt;0")</f>
        <v>0</v>
      </c>
      <c r="K78" s="61">
        <f>SUMIFS(Resumo_Trocas!$D:$D,Resumo_Trocas!$A:$A,$C78,Resumo_Trocas!$F:$F,K$27,Resumo_Trocas!$C:$C,"&gt;0")</f>
        <v>0</v>
      </c>
      <c r="L78" s="61">
        <f>SUMIFS(Resumo_Trocas!$D:$D,Resumo_Trocas!$A:$A,$C78,Resumo_Trocas!$F:$F,L$27,Resumo_Trocas!$C:$C,"&gt;0")</f>
        <v>0</v>
      </c>
      <c r="M78" s="61">
        <f>SUMIFS(Resumo_Trocas!$D:$D,Resumo_Trocas!$A:$A,$C78,Resumo_Trocas!$F:$F,M$27,Resumo_Trocas!$C:$C,"&gt;0")</f>
        <v>0</v>
      </c>
      <c r="N78" s="61">
        <f>SUMIFS(Resumo_Trocas!$D:$D,Resumo_Trocas!$A:$A,$C78,Resumo_Trocas!$F:$F,N$27,Resumo_Trocas!$C:$C,"&gt;0")</f>
        <v>0</v>
      </c>
      <c r="O78" s="61">
        <f>SUMIFS(Resumo_Trocas!$D:$D,Resumo_Trocas!$A:$A,$C78,Resumo_Trocas!$F:$F,O$27,Resumo_Trocas!$C:$C,"&gt;0")</f>
        <v>0</v>
      </c>
      <c r="P78" s="61">
        <f>SUMIFS(Resumo_Trocas!$D:$D,Resumo_Trocas!$A:$A,$C78,Resumo_Trocas!$F:$F,P$27,Resumo_Trocas!$C:$C,"&gt;0")</f>
        <v>0</v>
      </c>
      <c r="Q78" s="61">
        <f>SUMIFS(Resumo_Trocas!$D:$D,Resumo_Trocas!$A:$A,$C78,Resumo_Trocas!$F:$F,Q$27,Resumo_Trocas!$C:$C,"&gt;0")</f>
        <v>0</v>
      </c>
      <c r="R78" s="61">
        <f>SUMIFS(Resumo_Trocas!$D:$D,Resumo_Trocas!$A:$A,$C78,Resumo_Trocas!$F:$F,R$27,Resumo_Trocas!$C:$C,"&gt;0")</f>
        <v>0</v>
      </c>
      <c r="S78" s="61">
        <f>SUMIFS(Resumo_Trocas!$D:$D,Resumo_Trocas!$A:$A,$C78,Resumo_Trocas!$F:$F,S$27,Resumo_Trocas!$C:$C,"&gt;0")</f>
        <v>0</v>
      </c>
      <c r="T78" s="61">
        <f>SUMIFS(Resumo_Trocas!$D:$D,Resumo_Trocas!$A:$A,$C78,Resumo_Trocas!$F:$F,T$27,Resumo_Trocas!$C:$C,"&gt;0")</f>
        <v>0</v>
      </c>
      <c r="U78" s="61">
        <f>SUMIFS(Resumo_Trocas!$D:$D,Resumo_Trocas!$A:$A,$C78,Resumo_Trocas!$F:$F,U$27,Resumo_Trocas!$C:$C,"&gt;0")</f>
        <v>0</v>
      </c>
      <c r="V78" s="61">
        <f>SUMIFS(Resumo_Trocas!$D:$D,Resumo_Trocas!$A:$A,$C78,Resumo_Trocas!$F:$F,V$27,Resumo_Trocas!$C:$C,"&gt;0")</f>
        <v>0</v>
      </c>
    </row>
    <row r="79" spans="2:22" ht="15" customHeight="1" outlineLevel="1" thickBot="1" x14ac:dyDescent="0.3">
      <c r="B79" s="76"/>
      <c r="C79" s="60" t="s">
        <v>3421</v>
      </c>
      <c r="D79" s="61">
        <f>SUMIFS(Resumo_Trocas!$D:$D,Resumo_Trocas!$A:$A,$C79,Resumo_Trocas!$F:$F,D$27,Resumo_Trocas!$C:$C,"&gt;0")</f>
        <v>0</v>
      </c>
      <c r="E79" s="61">
        <f>SUMIFS(Resumo_Trocas!$D:$D,Resumo_Trocas!$A:$A,$C79,Resumo_Trocas!$F:$F,E$27,Resumo_Trocas!$C:$C,"&gt;0")</f>
        <v>0</v>
      </c>
      <c r="F79" s="61">
        <f>SUMIFS(Resumo_Trocas!$D:$D,Resumo_Trocas!$A:$A,$C79,Resumo_Trocas!$F:$F,F$27,Resumo_Trocas!$C:$C,"&gt;0")</f>
        <v>0</v>
      </c>
      <c r="G79" s="61">
        <f>SUMIFS(Resumo_Trocas!$D:$D,Resumo_Trocas!$A:$A,$C79,Resumo_Trocas!$F:$F,G$27,Resumo_Trocas!$C:$C,"&gt;0")</f>
        <v>0</v>
      </c>
      <c r="H79" s="61">
        <f>SUMIFS(Resumo_Trocas!$D:$D,Resumo_Trocas!$A:$A,$C79,Resumo_Trocas!$F:$F,H$27,Resumo_Trocas!$C:$C,"&gt;0")</f>
        <v>0</v>
      </c>
      <c r="I79" s="61">
        <f>SUMIFS(Resumo_Trocas!$D:$D,Resumo_Trocas!$A:$A,$C79,Resumo_Trocas!$F:$F,I$27,Resumo_Trocas!$C:$C,"&gt;0")</f>
        <v>0</v>
      </c>
      <c r="J79" s="61">
        <f>SUMIFS(Resumo_Trocas!$D:$D,Resumo_Trocas!$A:$A,$C79,Resumo_Trocas!$F:$F,J$27,Resumo_Trocas!$C:$C,"&gt;0")</f>
        <v>0</v>
      </c>
      <c r="K79" s="61">
        <f>SUMIFS(Resumo_Trocas!$D:$D,Resumo_Trocas!$A:$A,$C79,Resumo_Trocas!$F:$F,K$27,Resumo_Trocas!$C:$C,"&gt;0")</f>
        <v>0</v>
      </c>
      <c r="L79" s="61">
        <f>SUMIFS(Resumo_Trocas!$D:$D,Resumo_Trocas!$A:$A,$C79,Resumo_Trocas!$F:$F,L$27,Resumo_Trocas!$C:$C,"&gt;0")</f>
        <v>0</v>
      </c>
      <c r="M79" s="61">
        <f>SUMIFS(Resumo_Trocas!$D:$D,Resumo_Trocas!$A:$A,$C79,Resumo_Trocas!$F:$F,M$27,Resumo_Trocas!$C:$C,"&gt;0")</f>
        <v>0</v>
      </c>
      <c r="N79" s="61">
        <f>SUMIFS(Resumo_Trocas!$D:$D,Resumo_Trocas!$A:$A,$C79,Resumo_Trocas!$F:$F,N$27,Resumo_Trocas!$C:$C,"&gt;0")</f>
        <v>0</v>
      </c>
      <c r="O79" s="61">
        <f>SUMIFS(Resumo_Trocas!$D:$D,Resumo_Trocas!$A:$A,$C79,Resumo_Trocas!$F:$F,O$27,Resumo_Trocas!$C:$C,"&gt;0")</f>
        <v>0</v>
      </c>
      <c r="P79" s="61">
        <f>SUMIFS(Resumo_Trocas!$D:$D,Resumo_Trocas!$A:$A,$C79,Resumo_Trocas!$F:$F,P$27,Resumo_Trocas!$C:$C,"&gt;0")</f>
        <v>0</v>
      </c>
      <c r="Q79" s="61">
        <f>SUMIFS(Resumo_Trocas!$D:$D,Resumo_Trocas!$A:$A,$C79,Resumo_Trocas!$F:$F,Q$27,Resumo_Trocas!$C:$C,"&gt;0")</f>
        <v>0</v>
      </c>
      <c r="R79" s="61">
        <f>SUMIFS(Resumo_Trocas!$D:$D,Resumo_Trocas!$A:$A,$C79,Resumo_Trocas!$F:$F,R$27,Resumo_Trocas!$C:$C,"&gt;0")</f>
        <v>0</v>
      </c>
      <c r="S79" s="61">
        <f>SUMIFS(Resumo_Trocas!$D:$D,Resumo_Trocas!$A:$A,$C79,Resumo_Trocas!$F:$F,S$27,Resumo_Trocas!$C:$C,"&gt;0")</f>
        <v>0</v>
      </c>
      <c r="T79" s="61">
        <f>SUMIFS(Resumo_Trocas!$D:$D,Resumo_Trocas!$A:$A,$C79,Resumo_Trocas!$F:$F,T$27,Resumo_Trocas!$C:$C,"&gt;0")</f>
        <v>0</v>
      </c>
      <c r="U79" s="61">
        <f>SUMIFS(Resumo_Trocas!$D:$D,Resumo_Trocas!$A:$A,$C79,Resumo_Trocas!$F:$F,U$27,Resumo_Trocas!$C:$C,"&gt;0")</f>
        <v>0</v>
      </c>
      <c r="V79" s="61">
        <f>SUMIFS(Resumo_Trocas!$D:$D,Resumo_Trocas!$A:$A,$C79,Resumo_Trocas!$F:$F,V$27,Resumo_Trocas!$C:$C,"&gt;0")</f>
        <v>0</v>
      </c>
    </row>
    <row r="80" spans="2:22" ht="15" customHeight="1" outlineLevel="1" thickBot="1" x14ac:dyDescent="0.3">
      <c r="B80" s="76"/>
      <c r="C80" s="60" t="s">
        <v>3422</v>
      </c>
      <c r="D80" s="61">
        <f>SUMIFS(Resumo_Trocas!$D:$D,Resumo_Trocas!$A:$A,$C80,Resumo_Trocas!$F:$F,D$27,Resumo_Trocas!$C:$C,"&gt;0")</f>
        <v>0</v>
      </c>
      <c r="E80" s="61">
        <f>SUMIFS(Resumo_Trocas!$D:$D,Resumo_Trocas!$A:$A,$C80,Resumo_Trocas!$F:$F,E$27,Resumo_Trocas!$C:$C,"&gt;0")</f>
        <v>0</v>
      </c>
      <c r="F80" s="61">
        <f>SUMIFS(Resumo_Trocas!$D:$D,Resumo_Trocas!$A:$A,$C80,Resumo_Trocas!$F:$F,F$27,Resumo_Trocas!$C:$C,"&gt;0")</f>
        <v>0</v>
      </c>
      <c r="G80" s="61">
        <f>SUMIFS(Resumo_Trocas!$D:$D,Resumo_Trocas!$A:$A,$C80,Resumo_Trocas!$F:$F,G$27,Resumo_Trocas!$C:$C,"&gt;0")</f>
        <v>0</v>
      </c>
      <c r="H80" s="61">
        <f>SUMIFS(Resumo_Trocas!$D:$D,Resumo_Trocas!$A:$A,$C80,Resumo_Trocas!$F:$F,H$27,Resumo_Trocas!$C:$C,"&gt;0")</f>
        <v>0</v>
      </c>
      <c r="I80" s="61">
        <f>SUMIFS(Resumo_Trocas!$D:$D,Resumo_Trocas!$A:$A,$C80,Resumo_Trocas!$F:$F,I$27,Resumo_Trocas!$C:$C,"&gt;0")</f>
        <v>0</v>
      </c>
      <c r="J80" s="61">
        <f>SUMIFS(Resumo_Trocas!$D:$D,Resumo_Trocas!$A:$A,$C80,Resumo_Trocas!$F:$F,J$27,Resumo_Trocas!$C:$C,"&gt;0")</f>
        <v>0</v>
      </c>
      <c r="K80" s="61">
        <f>SUMIFS(Resumo_Trocas!$D:$D,Resumo_Trocas!$A:$A,$C80,Resumo_Trocas!$F:$F,K$27,Resumo_Trocas!$C:$C,"&gt;0")</f>
        <v>0</v>
      </c>
      <c r="L80" s="61">
        <f>SUMIFS(Resumo_Trocas!$D:$D,Resumo_Trocas!$A:$A,$C80,Resumo_Trocas!$F:$F,L$27,Resumo_Trocas!$C:$C,"&gt;0")</f>
        <v>0</v>
      </c>
      <c r="M80" s="61">
        <f>SUMIFS(Resumo_Trocas!$D:$D,Resumo_Trocas!$A:$A,$C80,Resumo_Trocas!$F:$F,M$27,Resumo_Trocas!$C:$C,"&gt;0")</f>
        <v>0</v>
      </c>
      <c r="N80" s="61">
        <f>SUMIFS(Resumo_Trocas!$D:$D,Resumo_Trocas!$A:$A,$C80,Resumo_Trocas!$F:$F,N$27,Resumo_Trocas!$C:$C,"&gt;0")</f>
        <v>0</v>
      </c>
      <c r="O80" s="61">
        <f>SUMIFS(Resumo_Trocas!$D:$D,Resumo_Trocas!$A:$A,$C80,Resumo_Trocas!$F:$F,O$27,Resumo_Trocas!$C:$C,"&gt;0")</f>
        <v>0</v>
      </c>
      <c r="P80" s="61">
        <f>SUMIFS(Resumo_Trocas!$D:$D,Resumo_Trocas!$A:$A,$C80,Resumo_Trocas!$F:$F,P$27,Resumo_Trocas!$C:$C,"&gt;0")</f>
        <v>0</v>
      </c>
      <c r="Q80" s="61">
        <f>SUMIFS(Resumo_Trocas!$D:$D,Resumo_Trocas!$A:$A,$C80,Resumo_Trocas!$F:$F,Q$27,Resumo_Trocas!$C:$C,"&gt;0")</f>
        <v>0</v>
      </c>
      <c r="R80" s="61">
        <f>SUMIFS(Resumo_Trocas!$D:$D,Resumo_Trocas!$A:$A,$C80,Resumo_Trocas!$F:$F,R$27,Resumo_Trocas!$C:$C,"&gt;0")</f>
        <v>0</v>
      </c>
      <c r="S80" s="61">
        <f>SUMIFS(Resumo_Trocas!$D:$D,Resumo_Trocas!$A:$A,$C80,Resumo_Trocas!$F:$F,S$27,Resumo_Trocas!$C:$C,"&gt;0")</f>
        <v>0</v>
      </c>
      <c r="T80" s="61">
        <f>SUMIFS(Resumo_Trocas!$D:$D,Resumo_Trocas!$A:$A,$C80,Resumo_Trocas!$F:$F,T$27,Resumo_Trocas!$C:$C,"&gt;0")</f>
        <v>0</v>
      </c>
      <c r="U80" s="61">
        <f>SUMIFS(Resumo_Trocas!$D:$D,Resumo_Trocas!$A:$A,$C80,Resumo_Trocas!$F:$F,U$27,Resumo_Trocas!$C:$C,"&gt;0")</f>
        <v>0</v>
      </c>
      <c r="V80" s="61">
        <f>SUMIFS(Resumo_Trocas!$D:$D,Resumo_Trocas!$A:$A,$C80,Resumo_Trocas!$F:$F,V$27,Resumo_Trocas!$C:$C,"&gt;0")</f>
        <v>0</v>
      </c>
    </row>
    <row r="81" spans="2:22" ht="15" customHeight="1" outlineLevel="1" thickBot="1" x14ac:dyDescent="0.3">
      <c r="B81" s="76"/>
      <c r="C81" s="60" t="s">
        <v>3423</v>
      </c>
      <c r="D81" s="61">
        <f>SUMIFS(Resumo_Trocas!$D:$D,Resumo_Trocas!$A:$A,$C81,Resumo_Trocas!$F:$F,D$27,Resumo_Trocas!$C:$C,"&gt;0")</f>
        <v>0</v>
      </c>
      <c r="E81" s="61">
        <f>SUMIFS(Resumo_Trocas!$D:$D,Resumo_Trocas!$A:$A,$C81,Resumo_Trocas!$F:$F,E$27,Resumo_Trocas!$C:$C,"&gt;0")</f>
        <v>0</v>
      </c>
      <c r="F81" s="61">
        <f>SUMIFS(Resumo_Trocas!$D:$D,Resumo_Trocas!$A:$A,$C81,Resumo_Trocas!$F:$F,F$27,Resumo_Trocas!$C:$C,"&gt;0")</f>
        <v>0</v>
      </c>
      <c r="G81" s="61">
        <f>SUMIFS(Resumo_Trocas!$D:$D,Resumo_Trocas!$A:$A,$C81,Resumo_Trocas!$F:$F,G$27,Resumo_Trocas!$C:$C,"&gt;0")</f>
        <v>0</v>
      </c>
      <c r="H81" s="61">
        <f>SUMIFS(Resumo_Trocas!$D:$D,Resumo_Trocas!$A:$A,$C81,Resumo_Trocas!$F:$F,H$27,Resumo_Trocas!$C:$C,"&gt;0")</f>
        <v>0</v>
      </c>
      <c r="I81" s="61">
        <f>SUMIFS(Resumo_Trocas!$D:$D,Resumo_Trocas!$A:$A,$C81,Resumo_Trocas!$F:$F,I$27,Resumo_Trocas!$C:$C,"&gt;0")</f>
        <v>0</v>
      </c>
      <c r="J81" s="61">
        <f>SUMIFS(Resumo_Trocas!$D:$D,Resumo_Trocas!$A:$A,$C81,Resumo_Trocas!$F:$F,J$27,Resumo_Trocas!$C:$C,"&gt;0")</f>
        <v>0</v>
      </c>
      <c r="K81" s="61">
        <f>SUMIFS(Resumo_Trocas!$D:$D,Resumo_Trocas!$A:$A,$C81,Resumo_Trocas!$F:$F,K$27,Resumo_Trocas!$C:$C,"&gt;0")</f>
        <v>0</v>
      </c>
      <c r="L81" s="61">
        <f>SUMIFS(Resumo_Trocas!$D:$D,Resumo_Trocas!$A:$A,$C81,Resumo_Trocas!$F:$F,L$27,Resumo_Trocas!$C:$C,"&gt;0")</f>
        <v>0</v>
      </c>
      <c r="M81" s="61">
        <f>SUMIFS(Resumo_Trocas!$D:$D,Resumo_Trocas!$A:$A,$C81,Resumo_Trocas!$F:$F,M$27,Resumo_Trocas!$C:$C,"&gt;0")</f>
        <v>0</v>
      </c>
      <c r="N81" s="61">
        <f>SUMIFS(Resumo_Trocas!$D:$D,Resumo_Trocas!$A:$A,$C81,Resumo_Trocas!$F:$F,N$27,Resumo_Trocas!$C:$C,"&gt;0")</f>
        <v>0</v>
      </c>
      <c r="O81" s="61">
        <f>SUMIFS(Resumo_Trocas!$D:$D,Resumo_Trocas!$A:$A,$C81,Resumo_Trocas!$F:$F,O$27,Resumo_Trocas!$C:$C,"&gt;0")</f>
        <v>0</v>
      </c>
      <c r="P81" s="61">
        <f>SUMIFS(Resumo_Trocas!$D:$D,Resumo_Trocas!$A:$A,$C81,Resumo_Trocas!$F:$F,P$27,Resumo_Trocas!$C:$C,"&gt;0")</f>
        <v>0</v>
      </c>
      <c r="Q81" s="61">
        <f>SUMIFS(Resumo_Trocas!$D:$D,Resumo_Trocas!$A:$A,$C81,Resumo_Trocas!$F:$F,Q$27,Resumo_Trocas!$C:$C,"&gt;0")</f>
        <v>0</v>
      </c>
      <c r="R81" s="61">
        <f>SUMIFS(Resumo_Trocas!$D:$D,Resumo_Trocas!$A:$A,$C81,Resumo_Trocas!$F:$F,R$27,Resumo_Trocas!$C:$C,"&gt;0")</f>
        <v>0</v>
      </c>
      <c r="S81" s="61">
        <f>SUMIFS(Resumo_Trocas!$D:$D,Resumo_Trocas!$A:$A,$C81,Resumo_Trocas!$F:$F,S$27,Resumo_Trocas!$C:$C,"&gt;0")</f>
        <v>0</v>
      </c>
      <c r="T81" s="61">
        <f>SUMIFS(Resumo_Trocas!$D:$D,Resumo_Trocas!$A:$A,$C81,Resumo_Trocas!$F:$F,T$27,Resumo_Trocas!$C:$C,"&gt;0")</f>
        <v>0</v>
      </c>
      <c r="U81" s="61">
        <f>SUMIFS(Resumo_Trocas!$D:$D,Resumo_Trocas!$A:$A,$C81,Resumo_Trocas!$F:$F,U$27,Resumo_Trocas!$C:$C,"&gt;0")</f>
        <v>0</v>
      </c>
      <c r="V81" s="61">
        <f>SUMIFS(Resumo_Trocas!$D:$D,Resumo_Trocas!$A:$A,$C81,Resumo_Trocas!$F:$F,V$27,Resumo_Trocas!$C:$C,"&gt;0")</f>
        <v>0</v>
      </c>
    </row>
    <row r="82" spans="2:22" ht="15" customHeight="1" outlineLevel="1" thickBot="1" x14ac:dyDescent="0.3">
      <c r="B82" s="76"/>
      <c r="C82" s="60" t="s">
        <v>3424</v>
      </c>
      <c r="D82" s="61">
        <f>SUMIFS(Resumo_Trocas!$D:$D,Resumo_Trocas!$A:$A,$C82,Resumo_Trocas!$F:$F,D$27,Resumo_Trocas!$C:$C,"&gt;0")</f>
        <v>0</v>
      </c>
      <c r="E82" s="61">
        <f>SUMIFS(Resumo_Trocas!$D:$D,Resumo_Trocas!$A:$A,$C82,Resumo_Trocas!$F:$F,E$27,Resumo_Trocas!$C:$C,"&gt;0")</f>
        <v>0</v>
      </c>
      <c r="F82" s="61">
        <f>SUMIFS(Resumo_Trocas!$D:$D,Resumo_Trocas!$A:$A,$C82,Resumo_Trocas!$F:$F,F$27,Resumo_Trocas!$C:$C,"&gt;0")</f>
        <v>0</v>
      </c>
      <c r="G82" s="61">
        <f>SUMIFS(Resumo_Trocas!$D:$D,Resumo_Trocas!$A:$A,$C82,Resumo_Trocas!$F:$F,G$27,Resumo_Trocas!$C:$C,"&gt;0")</f>
        <v>0</v>
      </c>
      <c r="H82" s="61">
        <f>SUMIFS(Resumo_Trocas!$D:$D,Resumo_Trocas!$A:$A,$C82,Resumo_Trocas!$F:$F,H$27,Resumo_Trocas!$C:$C,"&gt;0")</f>
        <v>0</v>
      </c>
      <c r="I82" s="61">
        <f>SUMIFS(Resumo_Trocas!$D:$D,Resumo_Trocas!$A:$A,$C82,Resumo_Trocas!$F:$F,I$27,Resumo_Trocas!$C:$C,"&gt;0")</f>
        <v>0</v>
      </c>
      <c r="J82" s="61">
        <f>SUMIFS(Resumo_Trocas!$D:$D,Resumo_Trocas!$A:$A,$C82,Resumo_Trocas!$F:$F,J$27,Resumo_Trocas!$C:$C,"&gt;0")</f>
        <v>0</v>
      </c>
      <c r="K82" s="61">
        <f>SUMIFS(Resumo_Trocas!$D:$D,Resumo_Trocas!$A:$A,$C82,Resumo_Trocas!$F:$F,K$27,Resumo_Trocas!$C:$C,"&gt;0")</f>
        <v>0</v>
      </c>
      <c r="L82" s="61">
        <f>SUMIFS(Resumo_Trocas!$D:$D,Resumo_Trocas!$A:$A,$C82,Resumo_Trocas!$F:$F,L$27,Resumo_Trocas!$C:$C,"&gt;0")</f>
        <v>0</v>
      </c>
      <c r="M82" s="61">
        <f>SUMIFS(Resumo_Trocas!$D:$D,Resumo_Trocas!$A:$A,$C82,Resumo_Trocas!$F:$F,M$27,Resumo_Trocas!$C:$C,"&gt;0")</f>
        <v>0</v>
      </c>
      <c r="N82" s="61">
        <f>SUMIFS(Resumo_Trocas!$D:$D,Resumo_Trocas!$A:$A,$C82,Resumo_Trocas!$F:$F,N$27,Resumo_Trocas!$C:$C,"&gt;0")</f>
        <v>0</v>
      </c>
      <c r="O82" s="61">
        <f>SUMIFS(Resumo_Trocas!$D:$D,Resumo_Trocas!$A:$A,$C82,Resumo_Trocas!$F:$F,O$27,Resumo_Trocas!$C:$C,"&gt;0")</f>
        <v>0</v>
      </c>
      <c r="P82" s="61">
        <f>SUMIFS(Resumo_Trocas!$D:$D,Resumo_Trocas!$A:$A,$C82,Resumo_Trocas!$F:$F,P$27,Resumo_Trocas!$C:$C,"&gt;0")</f>
        <v>0</v>
      </c>
      <c r="Q82" s="61">
        <f>SUMIFS(Resumo_Trocas!$D:$D,Resumo_Trocas!$A:$A,$C82,Resumo_Trocas!$F:$F,Q$27,Resumo_Trocas!$C:$C,"&gt;0")</f>
        <v>0</v>
      </c>
      <c r="R82" s="61">
        <f>SUMIFS(Resumo_Trocas!$D:$D,Resumo_Trocas!$A:$A,$C82,Resumo_Trocas!$F:$F,R$27,Resumo_Trocas!$C:$C,"&gt;0")</f>
        <v>0</v>
      </c>
      <c r="S82" s="61">
        <f>SUMIFS(Resumo_Trocas!$D:$D,Resumo_Trocas!$A:$A,$C82,Resumo_Trocas!$F:$F,S$27,Resumo_Trocas!$C:$C,"&gt;0")</f>
        <v>0</v>
      </c>
      <c r="T82" s="61">
        <f>SUMIFS(Resumo_Trocas!$D:$D,Resumo_Trocas!$A:$A,$C82,Resumo_Trocas!$F:$F,T$27,Resumo_Trocas!$C:$C,"&gt;0")</f>
        <v>0</v>
      </c>
      <c r="U82" s="61">
        <f>SUMIFS(Resumo_Trocas!$D:$D,Resumo_Trocas!$A:$A,$C82,Resumo_Trocas!$F:$F,U$27,Resumo_Trocas!$C:$C,"&gt;0")</f>
        <v>0</v>
      </c>
      <c r="V82" s="61">
        <f>SUMIFS(Resumo_Trocas!$D:$D,Resumo_Trocas!$A:$A,$C82,Resumo_Trocas!$F:$F,V$27,Resumo_Trocas!$C:$C,"&gt;0")</f>
        <v>0</v>
      </c>
    </row>
    <row r="83" spans="2:22" ht="15" customHeight="1" outlineLevel="1" thickBot="1" x14ac:dyDescent="0.3">
      <c r="B83" s="76"/>
      <c r="C83" s="60" t="s">
        <v>3425</v>
      </c>
      <c r="D83" s="61">
        <f>SUMIFS(Resumo_Trocas!$D:$D,Resumo_Trocas!$A:$A,$C83,Resumo_Trocas!$F:$F,D$27,Resumo_Trocas!$C:$C,"&gt;0")</f>
        <v>0</v>
      </c>
      <c r="E83" s="61">
        <f>SUMIFS(Resumo_Trocas!$D:$D,Resumo_Trocas!$A:$A,$C83,Resumo_Trocas!$F:$F,E$27,Resumo_Trocas!$C:$C,"&gt;0")</f>
        <v>0</v>
      </c>
      <c r="F83" s="61">
        <f>SUMIFS(Resumo_Trocas!$D:$D,Resumo_Trocas!$A:$A,$C83,Resumo_Trocas!$F:$F,F$27,Resumo_Trocas!$C:$C,"&gt;0")</f>
        <v>0</v>
      </c>
      <c r="G83" s="61">
        <f>SUMIFS(Resumo_Trocas!$D:$D,Resumo_Trocas!$A:$A,$C83,Resumo_Trocas!$F:$F,G$27,Resumo_Trocas!$C:$C,"&gt;0")</f>
        <v>0</v>
      </c>
      <c r="H83" s="61">
        <f>SUMIFS(Resumo_Trocas!$D:$D,Resumo_Trocas!$A:$A,$C83,Resumo_Trocas!$F:$F,H$27,Resumo_Trocas!$C:$C,"&gt;0")</f>
        <v>0</v>
      </c>
      <c r="I83" s="61">
        <f>SUMIFS(Resumo_Trocas!$D:$D,Resumo_Trocas!$A:$A,$C83,Resumo_Trocas!$F:$F,I$27,Resumo_Trocas!$C:$C,"&gt;0")</f>
        <v>0</v>
      </c>
      <c r="J83" s="61">
        <f>SUMIFS(Resumo_Trocas!$D:$D,Resumo_Trocas!$A:$A,$C83,Resumo_Trocas!$F:$F,J$27,Resumo_Trocas!$C:$C,"&gt;0")</f>
        <v>0</v>
      </c>
      <c r="K83" s="61">
        <f>SUMIFS(Resumo_Trocas!$D:$D,Resumo_Trocas!$A:$A,$C83,Resumo_Trocas!$F:$F,K$27,Resumo_Trocas!$C:$C,"&gt;0")</f>
        <v>0</v>
      </c>
      <c r="L83" s="61">
        <f>SUMIFS(Resumo_Trocas!$D:$D,Resumo_Trocas!$A:$A,$C83,Resumo_Trocas!$F:$F,L$27,Resumo_Trocas!$C:$C,"&gt;0")</f>
        <v>0</v>
      </c>
      <c r="M83" s="61">
        <f>SUMIFS(Resumo_Trocas!$D:$D,Resumo_Trocas!$A:$A,$C83,Resumo_Trocas!$F:$F,M$27,Resumo_Trocas!$C:$C,"&gt;0")</f>
        <v>0</v>
      </c>
      <c r="N83" s="61">
        <f>SUMIFS(Resumo_Trocas!$D:$D,Resumo_Trocas!$A:$A,$C83,Resumo_Trocas!$F:$F,N$27,Resumo_Trocas!$C:$C,"&gt;0")</f>
        <v>0</v>
      </c>
      <c r="O83" s="61">
        <f>SUMIFS(Resumo_Trocas!$D:$D,Resumo_Trocas!$A:$A,$C83,Resumo_Trocas!$F:$F,O$27,Resumo_Trocas!$C:$C,"&gt;0")</f>
        <v>0</v>
      </c>
      <c r="P83" s="61">
        <f>SUMIFS(Resumo_Trocas!$D:$D,Resumo_Trocas!$A:$A,$C83,Resumo_Trocas!$F:$F,P$27,Resumo_Trocas!$C:$C,"&gt;0")</f>
        <v>0</v>
      </c>
      <c r="Q83" s="61">
        <f>SUMIFS(Resumo_Trocas!$D:$D,Resumo_Trocas!$A:$A,$C83,Resumo_Trocas!$F:$F,Q$27,Resumo_Trocas!$C:$C,"&gt;0")</f>
        <v>0</v>
      </c>
      <c r="R83" s="61">
        <f>SUMIFS(Resumo_Trocas!$D:$D,Resumo_Trocas!$A:$A,$C83,Resumo_Trocas!$F:$F,R$27,Resumo_Trocas!$C:$C,"&gt;0")</f>
        <v>0</v>
      </c>
      <c r="S83" s="61">
        <f>SUMIFS(Resumo_Trocas!$D:$D,Resumo_Trocas!$A:$A,$C83,Resumo_Trocas!$F:$F,S$27,Resumo_Trocas!$C:$C,"&gt;0")</f>
        <v>0</v>
      </c>
      <c r="T83" s="61">
        <f>SUMIFS(Resumo_Trocas!$D:$D,Resumo_Trocas!$A:$A,$C83,Resumo_Trocas!$F:$F,T$27,Resumo_Trocas!$C:$C,"&gt;0")</f>
        <v>0</v>
      </c>
      <c r="U83" s="61">
        <f>SUMIFS(Resumo_Trocas!$D:$D,Resumo_Trocas!$A:$A,$C83,Resumo_Trocas!$F:$F,U$27,Resumo_Trocas!$C:$C,"&gt;0")</f>
        <v>0</v>
      </c>
      <c r="V83" s="61">
        <f>SUMIFS(Resumo_Trocas!$D:$D,Resumo_Trocas!$A:$A,$C83,Resumo_Trocas!$F:$F,V$27,Resumo_Trocas!$C:$C,"&gt;0")</f>
        <v>0</v>
      </c>
    </row>
    <row r="84" spans="2:22" ht="15" customHeight="1" outlineLevel="1" thickBot="1" x14ac:dyDescent="0.3">
      <c r="B84" s="76"/>
      <c r="C84" s="60" t="s">
        <v>3426</v>
      </c>
      <c r="D84" s="61">
        <f>SUMIFS(Resumo_Trocas!$D:$D,Resumo_Trocas!$A:$A,$C84,Resumo_Trocas!$F:$F,D$27,Resumo_Trocas!$C:$C,"&gt;0")</f>
        <v>0</v>
      </c>
      <c r="E84" s="61">
        <f>SUMIFS(Resumo_Trocas!$D:$D,Resumo_Trocas!$A:$A,$C84,Resumo_Trocas!$F:$F,E$27,Resumo_Trocas!$C:$C,"&gt;0")</f>
        <v>0</v>
      </c>
      <c r="F84" s="61">
        <f>SUMIFS(Resumo_Trocas!$D:$D,Resumo_Trocas!$A:$A,$C84,Resumo_Trocas!$F:$F,F$27,Resumo_Trocas!$C:$C,"&gt;0")</f>
        <v>0</v>
      </c>
      <c r="G84" s="61">
        <f>SUMIFS(Resumo_Trocas!$D:$D,Resumo_Trocas!$A:$A,$C84,Resumo_Trocas!$F:$F,G$27,Resumo_Trocas!$C:$C,"&gt;0")</f>
        <v>0</v>
      </c>
      <c r="H84" s="61">
        <f>SUMIFS(Resumo_Trocas!$D:$D,Resumo_Trocas!$A:$A,$C84,Resumo_Trocas!$F:$F,H$27,Resumo_Trocas!$C:$C,"&gt;0")</f>
        <v>0</v>
      </c>
      <c r="I84" s="61">
        <f>SUMIFS(Resumo_Trocas!$D:$D,Resumo_Trocas!$A:$A,$C84,Resumo_Trocas!$F:$F,I$27,Resumo_Trocas!$C:$C,"&gt;0")</f>
        <v>0</v>
      </c>
      <c r="J84" s="61">
        <f>SUMIFS(Resumo_Trocas!$D:$D,Resumo_Trocas!$A:$A,$C84,Resumo_Trocas!$F:$F,J$27,Resumo_Trocas!$C:$C,"&gt;0")</f>
        <v>0</v>
      </c>
      <c r="K84" s="61">
        <f>SUMIFS(Resumo_Trocas!$D:$D,Resumo_Trocas!$A:$A,$C84,Resumo_Trocas!$F:$F,K$27,Resumo_Trocas!$C:$C,"&gt;0")</f>
        <v>0</v>
      </c>
      <c r="L84" s="61">
        <f>SUMIFS(Resumo_Trocas!$D:$D,Resumo_Trocas!$A:$A,$C84,Resumo_Trocas!$F:$F,L$27,Resumo_Trocas!$C:$C,"&gt;0")</f>
        <v>0</v>
      </c>
      <c r="M84" s="61">
        <f>SUMIFS(Resumo_Trocas!$D:$D,Resumo_Trocas!$A:$A,$C84,Resumo_Trocas!$F:$F,M$27,Resumo_Trocas!$C:$C,"&gt;0")</f>
        <v>0</v>
      </c>
      <c r="N84" s="61">
        <f>SUMIFS(Resumo_Trocas!$D:$D,Resumo_Trocas!$A:$A,$C84,Resumo_Trocas!$F:$F,N$27,Resumo_Trocas!$C:$C,"&gt;0")</f>
        <v>0</v>
      </c>
      <c r="O84" s="61">
        <f>SUMIFS(Resumo_Trocas!$D:$D,Resumo_Trocas!$A:$A,$C84,Resumo_Trocas!$F:$F,O$27,Resumo_Trocas!$C:$C,"&gt;0")</f>
        <v>0</v>
      </c>
      <c r="P84" s="61">
        <f>SUMIFS(Resumo_Trocas!$D:$D,Resumo_Trocas!$A:$A,$C84,Resumo_Trocas!$F:$F,P$27,Resumo_Trocas!$C:$C,"&gt;0")</f>
        <v>0</v>
      </c>
      <c r="Q84" s="61">
        <f>SUMIFS(Resumo_Trocas!$D:$D,Resumo_Trocas!$A:$A,$C84,Resumo_Trocas!$F:$F,Q$27,Resumo_Trocas!$C:$C,"&gt;0")</f>
        <v>0</v>
      </c>
      <c r="R84" s="61">
        <f>SUMIFS(Resumo_Trocas!$D:$D,Resumo_Trocas!$A:$A,$C84,Resumo_Trocas!$F:$F,R$27,Resumo_Trocas!$C:$C,"&gt;0")</f>
        <v>0</v>
      </c>
      <c r="S84" s="61">
        <f>SUMIFS(Resumo_Trocas!$D:$D,Resumo_Trocas!$A:$A,$C84,Resumo_Trocas!$F:$F,S$27,Resumo_Trocas!$C:$C,"&gt;0")</f>
        <v>0</v>
      </c>
      <c r="T84" s="61">
        <f>SUMIFS(Resumo_Trocas!$D:$D,Resumo_Trocas!$A:$A,$C84,Resumo_Trocas!$F:$F,T$27,Resumo_Trocas!$C:$C,"&gt;0")</f>
        <v>0</v>
      </c>
      <c r="U84" s="61">
        <f>SUMIFS(Resumo_Trocas!$D:$D,Resumo_Trocas!$A:$A,$C84,Resumo_Trocas!$F:$F,U$27,Resumo_Trocas!$C:$C,"&gt;0")</f>
        <v>0</v>
      </c>
      <c r="V84" s="61">
        <f>SUMIFS(Resumo_Trocas!$D:$D,Resumo_Trocas!$A:$A,$C84,Resumo_Trocas!$F:$F,V$27,Resumo_Trocas!$C:$C,"&gt;0")</f>
        <v>0</v>
      </c>
    </row>
    <row r="85" spans="2:22" ht="15" customHeight="1" outlineLevel="1" thickBot="1" x14ac:dyDescent="0.3">
      <c r="B85" s="76"/>
      <c r="C85" s="60" t="s">
        <v>3427</v>
      </c>
      <c r="D85" s="61">
        <f>SUMIFS(Resumo_Trocas!$D:$D,Resumo_Trocas!$A:$A,$C85,Resumo_Trocas!$F:$F,D$27,Resumo_Trocas!$C:$C,"&gt;0")</f>
        <v>0</v>
      </c>
      <c r="E85" s="61">
        <f>SUMIFS(Resumo_Trocas!$D:$D,Resumo_Trocas!$A:$A,$C85,Resumo_Trocas!$F:$F,E$27,Resumo_Trocas!$C:$C,"&gt;0")</f>
        <v>0</v>
      </c>
      <c r="F85" s="61">
        <f>SUMIFS(Resumo_Trocas!$D:$D,Resumo_Trocas!$A:$A,$C85,Resumo_Trocas!$F:$F,F$27,Resumo_Trocas!$C:$C,"&gt;0")</f>
        <v>0</v>
      </c>
      <c r="G85" s="61">
        <f>SUMIFS(Resumo_Trocas!$D:$D,Resumo_Trocas!$A:$A,$C85,Resumo_Trocas!$F:$F,G$27,Resumo_Trocas!$C:$C,"&gt;0")</f>
        <v>0</v>
      </c>
      <c r="H85" s="61">
        <f>SUMIFS(Resumo_Trocas!$D:$D,Resumo_Trocas!$A:$A,$C85,Resumo_Trocas!$F:$F,H$27,Resumo_Trocas!$C:$C,"&gt;0")</f>
        <v>0</v>
      </c>
      <c r="I85" s="61">
        <f>SUMIFS(Resumo_Trocas!$D:$D,Resumo_Trocas!$A:$A,$C85,Resumo_Trocas!$F:$F,I$27,Resumo_Trocas!$C:$C,"&gt;0")</f>
        <v>0</v>
      </c>
      <c r="J85" s="61">
        <f>SUMIFS(Resumo_Trocas!$D:$D,Resumo_Trocas!$A:$A,$C85,Resumo_Trocas!$F:$F,J$27,Resumo_Trocas!$C:$C,"&gt;0")</f>
        <v>0</v>
      </c>
      <c r="K85" s="61">
        <f>SUMIFS(Resumo_Trocas!$D:$D,Resumo_Trocas!$A:$A,$C85,Resumo_Trocas!$F:$F,K$27,Resumo_Trocas!$C:$C,"&gt;0")</f>
        <v>0</v>
      </c>
      <c r="L85" s="61">
        <f>SUMIFS(Resumo_Trocas!$D:$D,Resumo_Trocas!$A:$A,$C85,Resumo_Trocas!$F:$F,L$27,Resumo_Trocas!$C:$C,"&gt;0")</f>
        <v>0</v>
      </c>
      <c r="M85" s="61">
        <f>SUMIFS(Resumo_Trocas!$D:$D,Resumo_Trocas!$A:$A,$C85,Resumo_Trocas!$F:$F,M$27,Resumo_Trocas!$C:$C,"&gt;0")</f>
        <v>0</v>
      </c>
      <c r="N85" s="61">
        <f>SUMIFS(Resumo_Trocas!$D:$D,Resumo_Trocas!$A:$A,$C85,Resumo_Trocas!$F:$F,N$27,Resumo_Trocas!$C:$C,"&gt;0")</f>
        <v>0</v>
      </c>
      <c r="O85" s="61">
        <f>SUMIFS(Resumo_Trocas!$D:$D,Resumo_Trocas!$A:$A,$C85,Resumo_Trocas!$F:$F,O$27,Resumo_Trocas!$C:$C,"&gt;0")</f>
        <v>0</v>
      </c>
      <c r="P85" s="61">
        <f>SUMIFS(Resumo_Trocas!$D:$D,Resumo_Trocas!$A:$A,$C85,Resumo_Trocas!$F:$F,P$27,Resumo_Trocas!$C:$C,"&gt;0")</f>
        <v>0</v>
      </c>
      <c r="Q85" s="61">
        <f>SUMIFS(Resumo_Trocas!$D:$D,Resumo_Trocas!$A:$A,$C85,Resumo_Trocas!$F:$F,Q$27,Resumo_Trocas!$C:$C,"&gt;0")</f>
        <v>0</v>
      </c>
      <c r="R85" s="61">
        <f>SUMIFS(Resumo_Trocas!$D:$D,Resumo_Trocas!$A:$A,$C85,Resumo_Trocas!$F:$F,R$27,Resumo_Trocas!$C:$C,"&gt;0")</f>
        <v>0</v>
      </c>
      <c r="S85" s="61">
        <f>SUMIFS(Resumo_Trocas!$D:$D,Resumo_Trocas!$A:$A,$C85,Resumo_Trocas!$F:$F,S$27,Resumo_Trocas!$C:$C,"&gt;0")</f>
        <v>0</v>
      </c>
      <c r="T85" s="61">
        <f>SUMIFS(Resumo_Trocas!$D:$D,Resumo_Trocas!$A:$A,$C85,Resumo_Trocas!$F:$F,T$27,Resumo_Trocas!$C:$C,"&gt;0")</f>
        <v>0</v>
      </c>
      <c r="U85" s="61">
        <f>SUMIFS(Resumo_Trocas!$D:$D,Resumo_Trocas!$A:$A,$C85,Resumo_Trocas!$F:$F,U$27,Resumo_Trocas!$C:$C,"&gt;0")</f>
        <v>0</v>
      </c>
      <c r="V85" s="61">
        <f>SUMIFS(Resumo_Trocas!$D:$D,Resumo_Trocas!$A:$A,$C85,Resumo_Trocas!$F:$F,V$27,Resumo_Trocas!$C:$C,"&gt;0")</f>
        <v>0</v>
      </c>
    </row>
    <row r="86" spans="2:22" ht="15" customHeight="1" x14ac:dyDescent="0.25">
      <c r="C86" s="62"/>
    </row>
    <row r="87" spans="2:22" x14ac:dyDescent="0.25">
      <c r="B87" s="72" t="s">
        <v>3395</v>
      </c>
      <c r="C87" s="58" t="s">
        <v>3397</v>
      </c>
      <c r="D87" s="59" t="s">
        <v>3372</v>
      </c>
      <c r="E87" s="59" t="s">
        <v>3373</v>
      </c>
      <c r="F87" s="59" t="s">
        <v>3374</v>
      </c>
      <c r="G87" s="59" t="s">
        <v>3370</v>
      </c>
      <c r="H87" s="59" t="s">
        <v>3371</v>
      </c>
      <c r="I87" s="59" t="s">
        <v>3375</v>
      </c>
      <c r="J87" s="59" t="s">
        <v>3367</v>
      </c>
      <c r="K87" s="59" t="s">
        <v>3368</v>
      </c>
      <c r="L87" s="59" t="s">
        <v>3369</v>
      </c>
      <c r="M87" s="59" t="s">
        <v>3358</v>
      </c>
      <c r="N87" s="59" t="s">
        <v>3363</v>
      </c>
      <c r="O87" s="59" t="s">
        <v>3361</v>
      </c>
      <c r="P87" s="59" t="s">
        <v>3359</v>
      </c>
      <c r="Q87" s="59" t="s">
        <v>3366</v>
      </c>
      <c r="R87" s="59" t="s">
        <v>3364</v>
      </c>
      <c r="S87" s="59" t="s">
        <v>3360</v>
      </c>
      <c r="T87" s="59" t="s">
        <v>3362</v>
      </c>
      <c r="U87" s="59" t="s">
        <v>3365</v>
      </c>
      <c r="V87" s="59" t="s">
        <v>3382</v>
      </c>
    </row>
    <row r="88" spans="2:22" s="75" customFormat="1" ht="25.5" x14ac:dyDescent="0.35">
      <c r="B88" s="73" t="s">
        <v>3395</v>
      </c>
      <c r="C88" s="74" t="s">
        <v>3428</v>
      </c>
      <c r="D88" s="57">
        <f>IFERROR(SUM(D89:D108)," ")</f>
        <v>22</v>
      </c>
      <c r="E88" s="57">
        <f t="shared" ref="E88:V88" si="16">IFERROR(SUM(E89:E108)," ")</f>
        <v>18</v>
      </c>
      <c r="F88" s="57">
        <f t="shared" si="16"/>
        <v>11</v>
      </c>
      <c r="G88" s="57">
        <f t="shared" si="16"/>
        <v>15</v>
      </c>
      <c r="H88" s="57">
        <f t="shared" si="16"/>
        <v>9</v>
      </c>
      <c r="I88" s="57">
        <f t="shared" si="16"/>
        <v>3</v>
      </c>
      <c r="J88" s="57">
        <f t="shared" si="16"/>
        <v>21</v>
      </c>
      <c r="K88" s="57">
        <f t="shared" si="16"/>
        <v>5</v>
      </c>
      <c r="L88" s="57">
        <f t="shared" si="16"/>
        <v>14</v>
      </c>
      <c r="M88" s="57">
        <f t="shared" si="16"/>
        <v>10</v>
      </c>
      <c r="N88" s="57">
        <f t="shared" si="16"/>
        <v>11</v>
      </c>
      <c r="O88" s="57">
        <f t="shared" si="16"/>
        <v>4</v>
      </c>
      <c r="P88" s="57">
        <f t="shared" si="16"/>
        <v>15</v>
      </c>
      <c r="Q88" s="57">
        <f t="shared" si="16"/>
        <v>7</v>
      </c>
      <c r="R88" s="57">
        <f t="shared" si="16"/>
        <v>15</v>
      </c>
      <c r="S88" s="57">
        <f t="shared" si="16"/>
        <v>18</v>
      </c>
      <c r="T88" s="57">
        <f t="shared" si="16"/>
        <v>6</v>
      </c>
      <c r="U88" s="57">
        <f t="shared" si="16"/>
        <v>6</v>
      </c>
      <c r="V88" s="57">
        <f t="shared" si="16"/>
        <v>0</v>
      </c>
    </row>
    <row r="89" spans="2:22" ht="15" customHeight="1" outlineLevel="1" thickBot="1" x14ac:dyDescent="0.3">
      <c r="B89" s="76"/>
      <c r="C89" s="60" t="s">
        <v>278</v>
      </c>
      <c r="D89" s="61">
        <f>SUMIFS(Resumo_Trocas!$D:$D,Resumo_Trocas!$A:$A,$C89,Resumo_Trocas!$F:$F,D$27,Resumo_Trocas!$C:$C,"&gt;0")</f>
        <v>1</v>
      </c>
      <c r="E89" s="61">
        <f>SUMIFS(Resumo_Trocas!$D:$D,Resumo_Trocas!$A:$A,$C89,Resumo_Trocas!$F:$F,E$27,Resumo_Trocas!$C:$C,"&gt;0")</f>
        <v>1</v>
      </c>
      <c r="F89" s="61">
        <f>SUMIFS(Resumo_Trocas!$D:$D,Resumo_Trocas!$A:$A,$C89,Resumo_Trocas!$F:$F,F$27,Resumo_Trocas!$C:$C,"&gt;0")</f>
        <v>1</v>
      </c>
      <c r="G89" s="61">
        <f>SUMIFS(Resumo_Trocas!$D:$D,Resumo_Trocas!$A:$A,$C89,Resumo_Trocas!$F:$F,G$27,Resumo_Trocas!$C:$C,"&gt;0")</f>
        <v>1</v>
      </c>
      <c r="H89" s="61">
        <f>SUMIFS(Resumo_Trocas!$D:$D,Resumo_Trocas!$A:$A,$C89,Resumo_Trocas!$F:$F,H$27,Resumo_Trocas!$C:$C,"&gt;0")</f>
        <v>0</v>
      </c>
      <c r="I89" s="61">
        <f>SUMIFS(Resumo_Trocas!$D:$D,Resumo_Trocas!$A:$A,$C89,Resumo_Trocas!$F:$F,I$27,Resumo_Trocas!$C:$C,"&gt;0")</f>
        <v>0</v>
      </c>
      <c r="J89" s="61">
        <f>SUMIFS(Resumo_Trocas!$D:$D,Resumo_Trocas!$A:$A,$C89,Resumo_Trocas!$F:$F,J$27,Resumo_Trocas!$C:$C,"&gt;0")</f>
        <v>3</v>
      </c>
      <c r="K89" s="61">
        <f>SUMIFS(Resumo_Trocas!$D:$D,Resumo_Trocas!$A:$A,$C89,Resumo_Trocas!$F:$F,K$27,Resumo_Trocas!$C:$C,"&gt;0")</f>
        <v>0</v>
      </c>
      <c r="L89" s="61">
        <f>SUMIFS(Resumo_Trocas!$D:$D,Resumo_Trocas!$A:$A,$C89,Resumo_Trocas!$F:$F,L$27,Resumo_Trocas!$C:$C,"&gt;0")</f>
        <v>1</v>
      </c>
      <c r="M89" s="61">
        <f>SUMIFS(Resumo_Trocas!$D:$D,Resumo_Trocas!$A:$A,$C89,Resumo_Trocas!$F:$F,M$27,Resumo_Trocas!$C:$C,"&gt;0")</f>
        <v>0</v>
      </c>
      <c r="N89" s="61">
        <f>SUMIFS(Resumo_Trocas!$D:$D,Resumo_Trocas!$A:$A,$C89,Resumo_Trocas!$F:$F,N$27,Resumo_Trocas!$C:$C,"&gt;0")</f>
        <v>0</v>
      </c>
      <c r="O89" s="61">
        <f>SUMIFS(Resumo_Trocas!$D:$D,Resumo_Trocas!$A:$A,$C89,Resumo_Trocas!$F:$F,O$27,Resumo_Trocas!$C:$C,"&gt;0")</f>
        <v>1</v>
      </c>
      <c r="P89" s="61">
        <f>SUMIFS(Resumo_Trocas!$D:$D,Resumo_Trocas!$A:$A,$C89,Resumo_Trocas!$F:$F,P$27,Resumo_Trocas!$C:$C,"&gt;0")</f>
        <v>0</v>
      </c>
      <c r="Q89" s="61">
        <f>SUMIFS(Resumo_Trocas!$D:$D,Resumo_Trocas!$A:$A,$C89,Resumo_Trocas!$F:$F,Q$27,Resumo_Trocas!$C:$C,"&gt;0")</f>
        <v>0</v>
      </c>
      <c r="R89" s="61">
        <f>SUMIFS(Resumo_Trocas!$D:$D,Resumo_Trocas!$A:$A,$C89,Resumo_Trocas!$F:$F,R$27,Resumo_Trocas!$C:$C,"&gt;0")</f>
        <v>0</v>
      </c>
      <c r="S89" s="61">
        <f>SUMIFS(Resumo_Trocas!$D:$D,Resumo_Trocas!$A:$A,$C89,Resumo_Trocas!$F:$F,S$27,Resumo_Trocas!$C:$C,"&gt;0")</f>
        <v>0</v>
      </c>
      <c r="T89" s="61">
        <f>SUMIFS(Resumo_Trocas!$D:$D,Resumo_Trocas!$A:$A,$C89,Resumo_Trocas!$F:$F,T$27,Resumo_Trocas!$C:$C,"&gt;0")</f>
        <v>0</v>
      </c>
      <c r="U89" s="61">
        <f>SUMIFS(Resumo_Trocas!$D:$D,Resumo_Trocas!$A:$A,$C89,Resumo_Trocas!$F:$F,U$27,Resumo_Trocas!$C:$C,"&gt;0")</f>
        <v>0</v>
      </c>
      <c r="V89" s="61">
        <f>SUMIFS(Resumo_Trocas!$D:$D,Resumo_Trocas!$A:$A,$C89,Resumo_Trocas!$F:$F,V$27,Resumo_Trocas!$C:$C,"&gt;0")</f>
        <v>0</v>
      </c>
    </row>
    <row r="90" spans="2:22" ht="15" customHeight="1" outlineLevel="1" thickBot="1" x14ac:dyDescent="0.3">
      <c r="B90" s="76"/>
      <c r="C90" s="60" t="s">
        <v>282</v>
      </c>
      <c r="D90" s="61">
        <f>SUMIFS(Resumo_Trocas!$D:$D,Resumo_Trocas!$A:$A,$C90,Resumo_Trocas!$F:$F,D$27,Resumo_Trocas!$C:$C,"&gt;0")</f>
        <v>0</v>
      </c>
      <c r="E90" s="61">
        <f>SUMIFS(Resumo_Trocas!$D:$D,Resumo_Trocas!$A:$A,$C90,Resumo_Trocas!$F:$F,E$27,Resumo_Trocas!$C:$C,"&gt;0")</f>
        <v>0</v>
      </c>
      <c r="F90" s="61">
        <f>SUMIFS(Resumo_Trocas!$D:$D,Resumo_Trocas!$A:$A,$C90,Resumo_Trocas!$F:$F,F$27,Resumo_Trocas!$C:$C,"&gt;0")</f>
        <v>0</v>
      </c>
      <c r="G90" s="61">
        <f>SUMIFS(Resumo_Trocas!$D:$D,Resumo_Trocas!$A:$A,$C90,Resumo_Trocas!$F:$F,G$27,Resumo_Trocas!$C:$C,"&gt;0")</f>
        <v>0</v>
      </c>
      <c r="H90" s="61">
        <f>SUMIFS(Resumo_Trocas!$D:$D,Resumo_Trocas!$A:$A,$C90,Resumo_Trocas!$F:$F,H$27,Resumo_Trocas!$C:$C,"&gt;0")</f>
        <v>0</v>
      </c>
      <c r="I90" s="61">
        <f>SUMIFS(Resumo_Trocas!$D:$D,Resumo_Trocas!$A:$A,$C90,Resumo_Trocas!$F:$F,I$27,Resumo_Trocas!$C:$C,"&gt;0")</f>
        <v>0</v>
      </c>
      <c r="J90" s="61">
        <f>SUMIFS(Resumo_Trocas!$D:$D,Resumo_Trocas!$A:$A,$C90,Resumo_Trocas!$F:$F,J$27,Resumo_Trocas!$C:$C,"&gt;0")</f>
        <v>0</v>
      </c>
      <c r="K90" s="61">
        <f>SUMIFS(Resumo_Trocas!$D:$D,Resumo_Trocas!$A:$A,$C90,Resumo_Trocas!$F:$F,K$27,Resumo_Trocas!$C:$C,"&gt;0")</f>
        <v>0</v>
      </c>
      <c r="L90" s="61">
        <f>SUMIFS(Resumo_Trocas!$D:$D,Resumo_Trocas!$A:$A,$C90,Resumo_Trocas!$F:$F,L$27,Resumo_Trocas!$C:$C,"&gt;0")</f>
        <v>0</v>
      </c>
      <c r="M90" s="61">
        <f>SUMIFS(Resumo_Trocas!$D:$D,Resumo_Trocas!$A:$A,$C90,Resumo_Trocas!$F:$F,M$27,Resumo_Trocas!$C:$C,"&gt;0")</f>
        <v>0</v>
      </c>
      <c r="N90" s="61">
        <f>SUMIFS(Resumo_Trocas!$D:$D,Resumo_Trocas!$A:$A,$C90,Resumo_Trocas!$F:$F,N$27,Resumo_Trocas!$C:$C,"&gt;0")</f>
        <v>0</v>
      </c>
      <c r="O90" s="61">
        <f>SUMIFS(Resumo_Trocas!$D:$D,Resumo_Trocas!$A:$A,$C90,Resumo_Trocas!$F:$F,O$27,Resumo_Trocas!$C:$C,"&gt;0")</f>
        <v>0</v>
      </c>
      <c r="P90" s="61">
        <f>SUMIFS(Resumo_Trocas!$D:$D,Resumo_Trocas!$A:$A,$C90,Resumo_Trocas!$F:$F,P$27,Resumo_Trocas!$C:$C,"&gt;0")</f>
        <v>0</v>
      </c>
      <c r="Q90" s="61">
        <f>SUMIFS(Resumo_Trocas!$D:$D,Resumo_Trocas!$A:$A,$C90,Resumo_Trocas!$F:$F,Q$27,Resumo_Trocas!$C:$C,"&gt;0")</f>
        <v>1</v>
      </c>
      <c r="R90" s="61">
        <f>SUMIFS(Resumo_Trocas!$D:$D,Resumo_Trocas!$A:$A,$C90,Resumo_Trocas!$F:$F,R$27,Resumo_Trocas!$C:$C,"&gt;0")</f>
        <v>0</v>
      </c>
      <c r="S90" s="61">
        <f>SUMIFS(Resumo_Trocas!$D:$D,Resumo_Trocas!$A:$A,$C90,Resumo_Trocas!$F:$F,S$27,Resumo_Trocas!$C:$C,"&gt;0")</f>
        <v>0</v>
      </c>
      <c r="T90" s="61">
        <f>SUMIFS(Resumo_Trocas!$D:$D,Resumo_Trocas!$A:$A,$C90,Resumo_Trocas!$F:$F,T$27,Resumo_Trocas!$C:$C,"&gt;0")</f>
        <v>0</v>
      </c>
      <c r="U90" s="61">
        <f>SUMIFS(Resumo_Trocas!$D:$D,Resumo_Trocas!$A:$A,$C90,Resumo_Trocas!$F:$F,U$27,Resumo_Trocas!$C:$C,"&gt;0")</f>
        <v>0</v>
      </c>
      <c r="V90" s="61">
        <f>SUMIFS(Resumo_Trocas!$D:$D,Resumo_Trocas!$A:$A,$C90,Resumo_Trocas!$F:$F,V$27,Resumo_Trocas!$C:$C,"&gt;0")</f>
        <v>0</v>
      </c>
    </row>
    <row r="91" spans="2:22" ht="15" customHeight="1" outlineLevel="1" thickBot="1" x14ac:dyDescent="0.3">
      <c r="B91" s="76"/>
      <c r="C91" s="60" t="s">
        <v>283</v>
      </c>
      <c r="D91" s="61">
        <f>SUMIFS(Resumo_Trocas!$D:$D,Resumo_Trocas!$A:$A,$C91,Resumo_Trocas!$F:$F,D$27,Resumo_Trocas!$C:$C,"&gt;0")</f>
        <v>0</v>
      </c>
      <c r="E91" s="61">
        <f>SUMIFS(Resumo_Trocas!$D:$D,Resumo_Trocas!$A:$A,$C91,Resumo_Trocas!$F:$F,E$27,Resumo_Trocas!$C:$C,"&gt;0")</f>
        <v>0</v>
      </c>
      <c r="F91" s="61">
        <f>SUMIFS(Resumo_Trocas!$D:$D,Resumo_Trocas!$A:$A,$C91,Resumo_Trocas!$F:$F,F$27,Resumo_Trocas!$C:$C,"&gt;0")</f>
        <v>0</v>
      </c>
      <c r="G91" s="61">
        <f>SUMIFS(Resumo_Trocas!$D:$D,Resumo_Trocas!$A:$A,$C91,Resumo_Trocas!$F:$F,G$27,Resumo_Trocas!$C:$C,"&gt;0")</f>
        <v>0</v>
      </c>
      <c r="H91" s="61">
        <f>SUMIFS(Resumo_Trocas!$D:$D,Resumo_Trocas!$A:$A,$C91,Resumo_Trocas!$F:$F,H$27,Resumo_Trocas!$C:$C,"&gt;0")</f>
        <v>0</v>
      </c>
      <c r="I91" s="61">
        <f>SUMIFS(Resumo_Trocas!$D:$D,Resumo_Trocas!$A:$A,$C91,Resumo_Trocas!$F:$F,I$27,Resumo_Trocas!$C:$C,"&gt;0")</f>
        <v>0</v>
      </c>
      <c r="J91" s="61">
        <f>SUMIFS(Resumo_Trocas!$D:$D,Resumo_Trocas!$A:$A,$C91,Resumo_Trocas!$F:$F,J$27,Resumo_Trocas!$C:$C,"&gt;0")</f>
        <v>0</v>
      </c>
      <c r="K91" s="61">
        <f>SUMIFS(Resumo_Trocas!$D:$D,Resumo_Trocas!$A:$A,$C91,Resumo_Trocas!$F:$F,K$27,Resumo_Trocas!$C:$C,"&gt;0")</f>
        <v>0</v>
      </c>
      <c r="L91" s="61">
        <f>SUMIFS(Resumo_Trocas!$D:$D,Resumo_Trocas!$A:$A,$C91,Resumo_Trocas!$F:$F,L$27,Resumo_Trocas!$C:$C,"&gt;0")</f>
        <v>0</v>
      </c>
      <c r="M91" s="61">
        <f>SUMIFS(Resumo_Trocas!$D:$D,Resumo_Trocas!$A:$A,$C91,Resumo_Trocas!$F:$F,M$27,Resumo_Trocas!$C:$C,"&gt;0")</f>
        <v>0</v>
      </c>
      <c r="N91" s="61">
        <f>SUMIFS(Resumo_Trocas!$D:$D,Resumo_Trocas!$A:$A,$C91,Resumo_Trocas!$F:$F,N$27,Resumo_Trocas!$C:$C,"&gt;0")</f>
        <v>0</v>
      </c>
      <c r="O91" s="61">
        <f>SUMIFS(Resumo_Trocas!$D:$D,Resumo_Trocas!$A:$A,$C91,Resumo_Trocas!$F:$F,O$27,Resumo_Trocas!$C:$C,"&gt;0")</f>
        <v>0</v>
      </c>
      <c r="P91" s="61">
        <f>SUMIFS(Resumo_Trocas!$D:$D,Resumo_Trocas!$A:$A,$C91,Resumo_Trocas!$F:$F,P$27,Resumo_Trocas!$C:$C,"&gt;0")</f>
        <v>0</v>
      </c>
      <c r="Q91" s="61">
        <f>SUMIFS(Resumo_Trocas!$D:$D,Resumo_Trocas!$A:$A,$C91,Resumo_Trocas!$F:$F,Q$27,Resumo_Trocas!$C:$C,"&gt;0")</f>
        <v>0</v>
      </c>
      <c r="R91" s="61">
        <f>SUMIFS(Resumo_Trocas!$D:$D,Resumo_Trocas!$A:$A,$C91,Resumo_Trocas!$F:$F,R$27,Resumo_Trocas!$C:$C,"&gt;0")</f>
        <v>0</v>
      </c>
      <c r="S91" s="61">
        <f>SUMIFS(Resumo_Trocas!$D:$D,Resumo_Trocas!$A:$A,$C91,Resumo_Trocas!$F:$F,S$27,Resumo_Trocas!$C:$C,"&gt;0")</f>
        <v>0</v>
      </c>
      <c r="T91" s="61">
        <f>SUMIFS(Resumo_Trocas!$D:$D,Resumo_Trocas!$A:$A,$C91,Resumo_Trocas!$F:$F,T$27,Resumo_Trocas!$C:$C,"&gt;0")</f>
        <v>0</v>
      </c>
      <c r="U91" s="61">
        <f>SUMIFS(Resumo_Trocas!$D:$D,Resumo_Trocas!$A:$A,$C91,Resumo_Trocas!$F:$F,U$27,Resumo_Trocas!$C:$C,"&gt;0")</f>
        <v>0</v>
      </c>
      <c r="V91" s="61">
        <f>SUMIFS(Resumo_Trocas!$D:$D,Resumo_Trocas!$A:$A,$C91,Resumo_Trocas!$F:$F,V$27,Resumo_Trocas!$C:$C,"&gt;0")</f>
        <v>0</v>
      </c>
    </row>
    <row r="92" spans="2:22" ht="15" customHeight="1" outlineLevel="1" thickBot="1" x14ac:dyDescent="0.3">
      <c r="B92" s="76"/>
      <c r="C92" s="60" t="s">
        <v>287</v>
      </c>
      <c r="D92" s="61">
        <f>SUMIFS(Resumo_Trocas!$D:$D,Resumo_Trocas!$A:$A,$C92,Resumo_Trocas!$F:$F,D$27,Resumo_Trocas!$C:$C,"&gt;0")</f>
        <v>0</v>
      </c>
      <c r="E92" s="61">
        <f>SUMIFS(Resumo_Trocas!$D:$D,Resumo_Trocas!$A:$A,$C92,Resumo_Trocas!$F:$F,E$27,Resumo_Trocas!$C:$C,"&gt;0")</f>
        <v>0</v>
      </c>
      <c r="F92" s="61">
        <f>SUMIFS(Resumo_Trocas!$D:$D,Resumo_Trocas!$A:$A,$C92,Resumo_Trocas!$F:$F,F$27,Resumo_Trocas!$C:$C,"&gt;0")</f>
        <v>1</v>
      </c>
      <c r="G92" s="61">
        <f>SUMIFS(Resumo_Trocas!$D:$D,Resumo_Trocas!$A:$A,$C92,Resumo_Trocas!$F:$F,G$27,Resumo_Trocas!$C:$C,"&gt;0")</f>
        <v>0</v>
      </c>
      <c r="H92" s="61">
        <f>SUMIFS(Resumo_Trocas!$D:$D,Resumo_Trocas!$A:$A,$C92,Resumo_Trocas!$F:$F,H$27,Resumo_Trocas!$C:$C,"&gt;0")</f>
        <v>0</v>
      </c>
      <c r="I92" s="61">
        <f>SUMIFS(Resumo_Trocas!$D:$D,Resumo_Trocas!$A:$A,$C92,Resumo_Trocas!$F:$F,I$27,Resumo_Trocas!$C:$C,"&gt;0")</f>
        <v>0</v>
      </c>
      <c r="J92" s="61">
        <f>SUMIFS(Resumo_Trocas!$D:$D,Resumo_Trocas!$A:$A,$C92,Resumo_Trocas!$F:$F,J$27,Resumo_Trocas!$C:$C,"&gt;0")</f>
        <v>0</v>
      </c>
      <c r="K92" s="61">
        <f>SUMIFS(Resumo_Trocas!$D:$D,Resumo_Trocas!$A:$A,$C92,Resumo_Trocas!$F:$F,K$27,Resumo_Trocas!$C:$C,"&gt;0")</f>
        <v>0</v>
      </c>
      <c r="L92" s="61">
        <f>SUMIFS(Resumo_Trocas!$D:$D,Resumo_Trocas!$A:$A,$C92,Resumo_Trocas!$F:$F,L$27,Resumo_Trocas!$C:$C,"&gt;0")</f>
        <v>0</v>
      </c>
      <c r="M92" s="61">
        <f>SUMIFS(Resumo_Trocas!$D:$D,Resumo_Trocas!$A:$A,$C92,Resumo_Trocas!$F:$F,M$27,Resumo_Trocas!$C:$C,"&gt;0")</f>
        <v>0</v>
      </c>
      <c r="N92" s="61">
        <f>SUMIFS(Resumo_Trocas!$D:$D,Resumo_Trocas!$A:$A,$C92,Resumo_Trocas!$F:$F,N$27,Resumo_Trocas!$C:$C,"&gt;0")</f>
        <v>0</v>
      </c>
      <c r="O92" s="61">
        <f>SUMIFS(Resumo_Trocas!$D:$D,Resumo_Trocas!$A:$A,$C92,Resumo_Trocas!$F:$F,O$27,Resumo_Trocas!$C:$C,"&gt;0")</f>
        <v>0</v>
      </c>
      <c r="P92" s="61">
        <f>SUMIFS(Resumo_Trocas!$D:$D,Resumo_Trocas!$A:$A,$C92,Resumo_Trocas!$F:$F,P$27,Resumo_Trocas!$C:$C,"&gt;0")</f>
        <v>0</v>
      </c>
      <c r="Q92" s="61">
        <f>SUMIFS(Resumo_Trocas!$D:$D,Resumo_Trocas!$A:$A,$C92,Resumo_Trocas!$F:$F,Q$27,Resumo_Trocas!$C:$C,"&gt;0")</f>
        <v>0</v>
      </c>
      <c r="R92" s="61">
        <f>SUMIFS(Resumo_Trocas!$D:$D,Resumo_Trocas!$A:$A,$C92,Resumo_Trocas!$F:$F,R$27,Resumo_Trocas!$C:$C,"&gt;0")</f>
        <v>0</v>
      </c>
      <c r="S92" s="61">
        <f>SUMIFS(Resumo_Trocas!$D:$D,Resumo_Trocas!$A:$A,$C92,Resumo_Trocas!$F:$F,S$27,Resumo_Trocas!$C:$C,"&gt;0")</f>
        <v>0</v>
      </c>
      <c r="T92" s="61">
        <f>SUMIFS(Resumo_Trocas!$D:$D,Resumo_Trocas!$A:$A,$C92,Resumo_Trocas!$F:$F,T$27,Resumo_Trocas!$C:$C,"&gt;0")</f>
        <v>0</v>
      </c>
      <c r="U92" s="61">
        <f>SUMIFS(Resumo_Trocas!$D:$D,Resumo_Trocas!$A:$A,$C92,Resumo_Trocas!$F:$F,U$27,Resumo_Trocas!$C:$C,"&gt;0")</f>
        <v>0</v>
      </c>
      <c r="V92" s="61">
        <f>SUMIFS(Resumo_Trocas!$D:$D,Resumo_Trocas!$A:$A,$C92,Resumo_Trocas!$F:$F,V$27,Resumo_Trocas!$C:$C,"&gt;0")</f>
        <v>0</v>
      </c>
    </row>
    <row r="93" spans="2:22" ht="15" customHeight="1" outlineLevel="1" thickBot="1" x14ac:dyDescent="0.3">
      <c r="B93" s="76"/>
      <c r="C93" s="60" t="s">
        <v>288</v>
      </c>
      <c r="D93" s="61">
        <f>SUMIFS(Resumo_Trocas!$D:$D,Resumo_Trocas!$A:$A,$C93,Resumo_Trocas!$F:$F,D$27,Resumo_Trocas!$C:$C,"&gt;0")</f>
        <v>1</v>
      </c>
      <c r="E93" s="61">
        <f>SUMIFS(Resumo_Trocas!$D:$D,Resumo_Trocas!$A:$A,$C93,Resumo_Trocas!$F:$F,E$27,Resumo_Trocas!$C:$C,"&gt;0")</f>
        <v>0</v>
      </c>
      <c r="F93" s="61">
        <f>SUMIFS(Resumo_Trocas!$D:$D,Resumo_Trocas!$A:$A,$C93,Resumo_Trocas!$F:$F,F$27,Resumo_Trocas!$C:$C,"&gt;0")</f>
        <v>0</v>
      </c>
      <c r="G93" s="61">
        <f>SUMIFS(Resumo_Trocas!$D:$D,Resumo_Trocas!$A:$A,$C93,Resumo_Trocas!$F:$F,G$27,Resumo_Trocas!$C:$C,"&gt;0")</f>
        <v>0</v>
      </c>
      <c r="H93" s="61">
        <f>SUMIFS(Resumo_Trocas!$D:$D,Resumo_Trocas!$A:$A,$C93,Resumo_Trocas!$F:$F,H$27,Resumo_Trocas!$C:$C,"&gt;0")</f>
        <v>0</v>
      </c>
      <c r="I93" s="61">
        <f>SUMIFS(Resumo_Trocas!$D:$D,Resumo_Trocas!$A:$A,$C93,Resumo_Trocas!$F:$F,I$27,Resumo_Trocas!$C:$C,"&gt;0")</f>
        <v>0</v>
      </c>
      <c r="J93" s="61">
        <f>SUMIFS(Resumo_Trocas!$D:$D,Resumo_Trocas!$A:$A,$C93,Resumo_Trocas!$F:$F,J$27,Resumo_Trocas!$C:$C,"&gt;0")</f>
        <v>0</v>
      </c>
      <c r="K93" s="61">
        <f>SUMIFS(Resumo_Trocas!$D:$D,Resumo_Trocas!$A:$A,$C93,Resumo_Trocas!$F:$F,K$27,Resumo_Trocas!$C:$C,"&gt;0")</f>
        <v>0</v>
      </c>
      <c r="L93" s="61">
        <f>SUMIFS(Resumo_Trocas!$D:$D,Resumo_Trocas!$A:$A,$C93,Resumo_Trocas!$F:$F,L$27,Resumo_Trocas!$C:$C,"&gt;0")</f>
        <v>0</v>
      </c>
      <c r="M93" s="61">
        <f>SUMIFS(Resumo_Trocas!$D:$D,Resumo_Trocas!$A:$A,$C93,Resumo_Trocas!$F:$F,M$27,Resumo_Trocas!$C:$C,"&gt;0")</f>
        <v>0</v>
      </c>
      <c r="N93" s="61">
        <f>SUMIFS(Resumo_Trocas!$D:$D,Resumo_Trocas!$A:$A,$C93,Resumo_Trocas!$F:$F,N$27,Resumo_Trocas!$C:$C,"&gt;0")</f>
        <v>0</v>
      </c>
      <c r="O93" s="61">
        <f>SUMIFS(Resumo_Trocas!$D:$D,Resumo_Trocas!$A:$A,$C93,Resumo_Trocas!$F:$F,O$27,Resumo_Trocas!$C:$C,"&gt;0")</f>
        <v>0</v>
      </c>
      <c r="P93" s="61">
        <f>SUMIFS(Resumo_Trocas!$D:$D,Resumo_Trocas!$A:$A,$C93,Resumo_Trocas!$F:$F,P$27,Resumo_Trocas!$C:$C,"&gt;0")</f>
        <v>0</v>
      </c>
      <c r="Q93" s="61">
        <f>SUMIFS(Resumo_Trocas!$D:$D,Resumo_Trocas!$A:$A,$C93,Resumo_Trocas!$F:$F,Q$27,Resumo_Trocas!$C:$C,"&gt;0")</f>
        <v>0</v>
      </c>
      <c r="R93" s="61">
        <f>SUMIFS(Resumo_Trocas!$D:$D,Resumo_Trocas!$A:$A,$C93,Resumo_Trocas!$F:$F,R$27,Resumo_Trocas!$C:$C,"&gt;0")</f>
        <v>0</v>
      </c>
      <c r="S93" s="61">
        <f>SUMIFS(Resumo_Trocas!$D:$D,Resumo_Trocas!$A:$A,$C93,Resumo_Trocas!$F:$F,S$27,Resumo_Trocas!$C:$C,"&gt;0")</f>
        <v>0</v>
      </c>
      <c r="T93" s="61">
        <f>SUMIFS(Resumo_Trocas!$D:$D,Resumo_Trocas!$A:$A,$C93,Resumo_Trocas!$F:$F,T$27,Resumo_Trocas!$C:$C,"&gt;0")</f>
        <v>0</v>
      </c>
      <c r="U93" s="61">
        <f>SUMIFS(Resumo_Trocas!$D:$D,Resumo_Trocas!$A:$A,$C93,Resumo_Trocas!$F:$F,U$27,Resumo_Trocas!$C:$C,"&gt;0")</f>
        <v>0</v>
      </c>
      <c r="V93" s="61">
        <f>SUMIFS(Resumo_Trocas!$D:$D,Resumo_Trocas!$A:$A,$C93,Resumo_Trocas!$F:$F,V$27,Resumo_Trocas!$C:$C,"&gt;0")</f>
        <v>0</v>
      </c>
    </row>
    <row r="94" spans="2:22" ht="15" customHeight="1" outlineLevel="1" thickBot="1" x14ac:dyDescent="0.3">
      <c r="B94" s="76"/>
      <c r="C94" s="60" t="s">
        <v>291</v>
      </c>
      <c r="D94" s="61">
        <f>SUMIFS(Resumo_Trocas!$D:$D,Resumo_Trocas!$A:$A,$C94,Resumo_Trocas!$F:$F,D$27,Resumo_Trocas!$C:$C,"&gt;0")</f>
        <v>0</v>
      </c>
      <c r="E94" s="61">
        <f>SUMIFS(Resumo_Trocas!$D:$D,Resumo_Trocas!$A:$A,$C94,Resumo_Trocas!$F:$F,E$27,Resumo_Trocas!$C:$C,"&gt;0")</f>
        <v>0</v>
      </c>
      <c r="F94" s="61">
        <f>SUMIFS(Resumo_Trocas!$D:$D,Resumo_Trocas!$A:$A,$C94,Resumo_Trocas!$F:$F,F$27,Resumo_Trocas!$C:$C,"&gt;0")</f>
        <v>0</v>
      </c>
      <c r="G94" s="61">
        <f>SUMIFS(Resumo_Trocas!$D:$D,Resumo_Trocas!$A:$A,$C94,Resumo_Trocas!$F:$F,G$27,Resumo_Trocas!$C:$C,"&gt;0")</f>
        <v>0</v>
      </c>
      <c r="H94" s="61">
        <f>SUMIFS(Resumo_Trocas!$D:$D,Resumo_Trocas!$A:$A,$C94,Resumo_Trocas!$F:$F,H$27,Resumo_Trocas!$C:$C,"&gt;0")</f>
        <v>0</v>
      </c>
      <c r="I94" s="61">
        <f>SUMIFS(Resumo_Trocas!$D:$D,Resumo_Trocas!$A:$A,$C94,Resumo_Trocas!$F:$F,I$27,Resumo_Trocas!$C:$C,"&gt;0")</f>
        <v>0</v>
      </c>
      <c r="J94" s="61">
        <f>SUMIFS(Resumo_Trocas!$D:$D,Resumo_Trocas!$A:$A,$C94,Resumo_Trocas!$F:$F,J$27,Resumo_Trocas!$C:$C,"&gt;0")</f>
        <v>0</v>
      </c>
      <c r="K94" s="61">
        <f>SUMIFS(Resumo_Trocas!$D:$D,Resumo_Trocas!$A:$A,$C94,Resumo_Trocas!$F:$F,K$27,Resumo_Trocas!$C:$C,"&gt;0")</f>
        <v>0</v>
      </c>
      <c r="L94" s="61">
        <f>SUMIFS(Resumo_Trocas!$D:$D,Resumo_Trocas!$A:$A,$C94,Resumo_Trocas!$F:$F,L$27,Resumo_Trocas!$C:$C,"&gt;0")</f>
        <v>0</v>
      </c>
      <c r="M94" s="61">
        <f>SUMIFS(Resumo_Trocas!$D:$D,Resumo_Trocas!$A:$A,$C94,Resumo_Trocas!$F:$F,M$27,Resumo_Trocas!$C:$C,"&gt;0")</f>
        <v>0</v>
      </c>
      <c r="N94" s="61">
        <f>SUMIFS(Resumo_Trocas!$D:$D,Resumo_Trocas!$A:$A,$C94,Resumo_Trocas!$F:$F,N$27,Resumo_Trocas!$C:$C,"&gt;0")</f>
        <v>0</v>
      </c>
      <c r="O94" s="61">
        <f>SUMIFS(Resumo_Trocas!$D:$D,Resumo_Trocas!$A:$A,$C94,Resumo_Trocas!$F:$F,O$27,Resumo_Trocas!$C:$C,"&gt;0")</f>
        <v>0</v>
      </c>
      <c r="P94" s="61">
        <f>SUMIFS(Resumo_Trocas!$D:$D,Resumo_Trocas!$A:$A,$C94,Resumo_Trocas!$F:$F,P$27,Resumo_Trocas!$C:$C,"&gt;0")</f>
        <v>0</v>
      </c>
      <c r="Q94" s="61">
        <f>SUMIFS(Resumo_Trocas!$D:$D,Resumo_Trocas!$A:$A,$C94,Resumo_Trocas!$F:$F,Q$27,Resumo_Trocas!$C:$C,"&gt;0")</f>
        <v>0</v>
      </c>
      <c r="R94" s="61">
        <f>SUMIFS(Resumo_Trocas!$D:$D,Resumo_Trocas!$A:$A,$C94,Resumo_Trocas!$F:$F,R$27,Resumo_Trocas!$C:$C,"&gt;0")</f>
        <v>0</v>
      </c>
      <c r="S94" s="61">
        <f>SUMIFS(Resumo_Trocas!$D:$D,Resumo_Trocas!$A:$A,$C94,Resumo_Trocas!$F:$F,S$27,Resumo_Trocas!$C:$C,"&gt;0")</f>
        <v>0</v>
      </c>
      <c r="T94" s="61">
        <f>SUMIFS(Resumo_Trocas!$D:$D,Resumo_Trocas!$A:$A,$C94,Resumo_Trocas!$F:$F,T$27,Resumo_Trocas!$C:$C,"&gt;0")</f>
        <v>0</v>
      </c>
      <c r="U94" s="61">
        <f>SUMIFS(Resumo_Trocas!$D:$D,Resumo_Trocas!$A:$A,$C94,Resumo_Trocas!$F:$F,U$27,Resumo_Trocas!$C:$C,"&gt;0")</f>
        <v>0</v>
      </c>
      <c r="V94" s="61">
        <f>SUMIFS(Resumo_Trocas!$D:$D,Resumo_Trocas!$A:$A,$C94,Resumo_Trocas!$F:$F,V$27,Resumo_Trocas!$C:$C,"&gt;0")</f>
        <v>0</v>
      </c>
    </row>
    <row r="95" spans="2:22" ht="15" customHeight="1" outlineLevel="1" thickBot="1" x14ac:dyDescent="0.3">
      <c r="B95" s="76"/>
      <c r="C95" s="60" t="s">
        <v>296</v>
      </c>
      <c r="D95" s="61">
        <f>SUMIFS(Resumo_Trocas!$D:$D,Resumo_Trocas!$A:$A,$C95,Resumo_Trocas!$F:$F,D$27,Resumo_Trocas!$C:$C,"&gt;0")</f>
        <v>0</v>
      </c>
      <c r="E95" s="61">
        <f>SUMIFS(Resumo_Trocas!$D:$D,Resumo_Trocas!$A:$A,$C95,Resumo_Trocas!$F:$F,E$27,Resumo_Trocas!$C:$C,"&gt;0")</f>
        <v>0</v>
      </c>
      <c r="F95" s="61">
        <f>SUMIFS(Resumo_Trocas!$D:$D,Resumo_Trocas!$A:$A,$C95,Resumo_Trocas!$F:$F,F$27,Resumo_Trocas!$C:$C,"&gt;0")</f>
        <v>0</v>
      </c>
      <c r="G95" s="61">
        <f>SUMIFS(Resumo_Trocas!$D:$D,Resumo_Trocas!$A:$A,$C95,Resumo_Trocas!$F:$F,G$27,Resumo_Trocas!$C:$C,"&gt;0")</f>
        <v>0</v>
      </c>
      <c r="H95" s="61">
        <f>SUMIFS(Resumo_Trocas!$D:$D,Resumo_Trocas!$A:$A,$C95,Resumo_Trocas!$F:$F,H$27,Resumo_Trocas!$C:$C,"&gt;0")</f>
        <v>0</v>
      </c>
      <c r="I95" s="61">
        <f>SUMIFS(Resumo_Trocas!$D:$D,Resumo_Trocas!$A:$A,$C95,Resumo_Trocas!$F:$F,I$27,Resumo_Trocas!$C:$C,"&gt;0")</f>
        <v>0</v>
      </c>
      <c r="J95" s="61">
        <f>SUMIFS(Resumo_Trocas!$D:$D,Resumo_Trocas!$A:$A,$C95,Resumo_Trocas!$F:$F,J$27,Resumo_Trocas!$C:$C,"&gt;0")</f>
        <v>0</v>
      </c>
      <c r="K95" s="61">
        <f>SUMIFS(Resumo_Trocas!$D:$D,Resumo_Trocas!$A:$A,$C95,Resumo_Trocas!$F:$F,K$27,Resumo_Trocas!$C:$C,"&gt;0")</f>
        <v>0</v>
      </c>
      <c r="L95" s="61">
        <f>SUMIFS(Resumo_Trocas!$D:$D,Resumo_Trocas!$A:$A,$C95,Resumo_Trocas!$F:$F,L$27,Resumo_Trocas!$C:$C,"&gt;0")</f>
        <v>0</v>
      </c>
      <c r="M95" s="61">
        <f>SUMIFS(Resumo_Trocas!$D:$D,Resumo_Trocas!$A:$A,$C95,Resumo_Trocas!$F:$F,M$27,Resumo_Trocas!$C:$C,"&gt;0")</f>
        <v>0</v>
      </c>
      <c r="N95" s="61">
        <f>SUMIFS(Resumo_Trocas!$D:$D,Resumo_Trocas!$A:$A,$C95,Resumo_Trocas!$F:$F,N$27,Resumo_Trocas!$C:$C,"&gt;0")</f>
        <v>0</v>
      </c>
      <c r="O95" s="61">
        <f>SUMIFS(Resumo_Trocas!$D:$D,Resumo_Trocas!$A:$A,$C95,Resumo_Trocas!$F:$F,O$27,Resumo_Trocas!$C:$C,"&gt;0")</f>
        <v>0</v>
      </c>
      <c r="P95" s="61">
        <f>SUMIFS(Resumo_Trocas!$D:$D,Resumo_Trocas!$A:$A,$C95,Resumo_Trocas!$F:$F,P$27,Resumo_Trocas!$C:$C,"&gt;0")</f>
        <v>0</v>
      </c>
      <c r="Q95" s="61">
        <f>SUMIFS(Resumo_Trocas!$D:$D,Resumo_Trocas!$A:$A,$C95,Resumo_Trocas!$F:$F,Q$27,Resumo_Trocas!$C:$C,"&gt;0")</f>
        <v>0</v>
      </c>
      <c r="R95" s="61">
        <f>SUMIFS(Resumo_Trocas!$D:$D,Resumo_Trocas!$A:$A,$C95,Resumo_Trocas!$F:$F,R$27,Resumo_Trocas!$C:$C,"&gt;0")</f>
        <v>0</v>
      </c>
      <c r="S95" s="61">
        <f>SUMIFS(Resumo_Trocas!$D:$D,Resumo_Trocas!$A:$A,$C95,Resumo_Trocas!$F:$F,S$27,Resumo_Trocas!$C:$C,"&gt;0")</f>
        <v>0</v>
      </c>
      <c r="T95" s="61">
        <f>SUMIFS(Resumo_Trocas!$D:$D,Resumo_Trocas!$A:$A,$C95,Resumo_Trocas!$F:$F,T$27,Resumo_Trocas!$C:$C,"&gt;0")</f>
        <v>0</v>
      </c>
      <c r="U95" s="61">
        <f>SUMIFS(Resumo_Trocas!$D:$D,Resumo_Trocas!$A:$A,$C95,Resumo_Trocas!$F:$F,U$27,Resumo_Trocas!$C:$C,"&gt;0")</f>
        <v>0</v>
      </c>
      <c r="V95" s="61">
        <f>SUMIFS(Resumo_Trocas!$D:$D,Resumo_Trocas!$A:$A,$C95,Resumo_Trocas!$F:$F,V$27,Resumo_Trocas!$C:$C,"&gt;0")</f>
        <v>0</v>
      </c>
    </row>
    <row r="96" spans="2:22" ht="15" customHeight="1" outlineLevel="1" thickBot="1" x14ac:dyDescent="0.3">
      <c r="B96" s="76"/>
      <c r="C96" s="60" t="s">
        <v>299</v>
      </c>
      <c r="D96" s="61">
        <f>SUMIFS(Resumo_Trocas!$D:$D,Resumo_Trocas!$A:$A,$C96,Resumo_Trocas!$F:$F,D$27,Resumo_Trocas!$C:$C,"&gt;0")</f>
        <v>0</v>
      </c>
      <c r="E96" s="61">
        <f>SUMIFS(Resumo_Trocas!$D:$D,Resumo_Trocas!$A:$A,$C96,Resumo_Trocas!$F:$F,E$27,Resumo_Trocas!$C:$C,"&gt;0")</f>
        <v>1</v>
      </c>
      <c r="F96" s="61">
        <f>SUMIFS(Resumo_Trocas!$D:$D,Resumo_Trocas!$A:$A,$C96,Resumo_Trocas!$F:$F,F$27,Resumo_Trocas!$C:$C,"&gt;0")</f>
        <v>0</v>
      </c>
      <c r="G96" s="61">
        <f>SUMIFS(Resumo_Trocas!$D:$D,Resumo_Trocas!$A:$A,$C96,Resumo_Trocas!$F:$F,G$27,Resumo_Trocas!$C:$C,"&gt;0")</f>
        <v>0</v>
      </c>
      <c r="H96" s="61">
        <f>SUMIFS(Resumo_Trocas!$D:$D,Resumo_Trocas!$A:$A,$C96,Resumo_Trocas!$F:$F,H$27,Resumo_Trocas!$C:$C,"&gt;0")</f>
        <v>0</v>
      </c>
      <c r="I96" s="61">
        <f>SUMIFS(Resumo_Trocas!$D:$D,Resumo_Trocas!$A:$A,$C96,Resumo_Trocas!$F:$F,I$27,Resumo_Trocas!$C:$C,"&gt;0")</f>
        <v>0</v>
      </c>
      <c r="J96" s="61">
        <f>SUMIFS(Resumo_Trocas!$D:$D,Resumo_Trocas!$A:$A,$C96,Resumo_Trocas!$F:$F,J$27,Resumo_Trocas!$C:$C,"&gt;0")</f>
        <v>0</v>
      </c>
      <c r="K96" s="61">
        <f>SUMIFS(Resumo_Trocas!$D:$D,Resumo_Trocas!$A:$A,$C96,Resumo_Trocas!$F:$F,K$27,Resumo_Trocas!$C:$C,"&gt;0")</f>
        <v>0</v>
      </c>
      <c r="L96" s="61">
        <f>SUMIFS(Resumo_Trocas!$D:$D,Resumo_Trocas!$A:$A,$C96,Resumo_Trocas!$F:$F,L$27,Resumo_Trocas!$C:$C,"&gt;0")</f>
        <v>0</v>
      </c>
      <c r="M96" s="61">
        <f>SUMIFS(Resumo_Trocas!$D:$D,Resumo_Trocas!$A:$A,$C96,Resumo_Trocas!$F:$F,M$27,Resumo_Trocas!$C:$C,"&gt;0")</f>
        <v>1</v>
      </c>
      <c r="N96" s="61">
        <f>SUMIFS(Resumo_Trocas!$D:$D,Resumo_Trocas!$A:$A,$C96,Resumo_Trocas!$F:$F,N$27,Resumo_Trocas!$C:$C,"&gt;0")</f>
        <v>0</v>
      </c>
      <c r="O96" s="61">
        <f>SUMIFS(Resumo_Trocas!$D:$D,Resumo_Trocas!$A:$A,$C96,Resumo_Trocas!$F:$F,O$27,Resumo_Trocas!$C:$C,"&gt;0")</f>
        <v>0</v>
      </c>
      <c r="P96" s="61">
        <f>SUMIFS(Resumo_Trocas!$D:$D,Resumo_Trocas!$A:$A,$C96,Resumo_Trocas!$F:$F,P$27,Resumo_Trocas!$C:$C,"&gt;0")</f>
        <v>0</v>
      </c>
      <c r="Q96" s="61">
        <f>SUMIFS(Resumo_Trocas!$D:$D,Resumo_Trocas!$A:$A,$C96,Resumo_Trocas!$F:$F,Q$27,Resumo_Trocas!$C:$C,"&gt;0")</f>
        <v>0</v>
      </c>
      <c r="R96" s="61">
        <f>SUMIFS(Resumo_Trocas!$D:$D,Resumo_Trocas!$A:$A,$C96,Resumo_Trocas!$F:$F,R$27,Resumo_Trocas!$C:$C,"&gt;0")</f>
        <v>0</v>
      </c>
      <c r="S96" s="61">
        <f>SUMIFS(Resumo_Trocas!$D:$D,Resumo_Trocas!$A:$A,$C96,Resumo_Trocas!$F:$F,S$27,Resumo_Trocas!$C:$C,"&gt;0")</f>
        <v>0</v>
      </c>
      <c r="T96" s="61">
        <f>SUMIFS(Resumo_Trocas!$D:$D,Resumo_Trocas!$A:$A,$C96,Resumo_Trocas!$F:$F,T$27,Resumo_Trocas!$C:$C,"&gt;0")</f>
        <v>0</v>
      </c>
      <c r="U96" s="61">
        <f>SUMIFS(Resumo_Trocas!$D:$D,Resumo_Trocas!$A:$A,$C96,Resumo_Trocas!$F:$F,U$27,Resumo_Trocas!$C:$C,"&gt;0")</f>
        <v>0</v>
      </c>
      <c r="V96" s="61">
        <f>SUMIFS(Resumo_Trocas!$D:$D,Resumo_Trocas!$A:$A,$C96,Resumo_Trocas!$F:$F,V$27,Resumo_Trocas!$C:$C,"&gt;0")</f>
        <v>0</v>
      </c>
    </row>
    <row r="97" spans="2:22" ht="15" customHeight="1" outlineLevel="1" thickBot="1" x14ac:dyDescent="0.3">
      <c r="B97" s="76"/>
      <c r="C97" s="60" t="s">
        <v>301</v>
      </c>
      <c r="D97" s="61">
        <f>SUMIFS(Resumo_Trocas!$D:$D,Resumo_Trocas!$A:$A,$C97,Resumo_Trocas!$F:$F,D$27,Resumo_Trocas!$C:$C,"&gt;0")</f>
        <v>0</v>
      </c>
      <c r="E97" s="61">
        <f>SUMIFS(Resumo_Trocas!$D:$D,Resumo_Trocas!$A:$A,$C97,Resumo_Trocas!$F:$F,E$27,Resumo_Trocas!$C:$C,"&gt;0")</f>
        <v>0</v>
      </c>
      <c r="F97" s="61">
        <f>SUMIFS(Resumo_Trocas!$D:$D,Resumo_Trocas!$A:$A,$C97,Resumo_Trocas!$F:$F,F$27,Resumo_Trocas!$C:$C,"&gt;0")</f>
        <v>0</v>
      </c>
      <c r="G97" s="61">
        <f>SUMIFS(Resumo_Trocas!$D:$D,Resumo_Trocas!$A:$A,$C97,Resumo_Trocas!$F:$F,G$27,Resumo_Trocas!$C:$C,"&gt;0")</f>
        <v>0</v>
      </c>
      <c r="H97" s="61">
        <f>SUMIFS(Resumo_Trocas!$D:$D,Resumo_Trocas!$A:$A,$C97,Resumo_Trocas!$F:$F,H$27,Resumo_Trocas!$C:$C,"&gt;0")</f>
        <v>0</v>
      </c>
      <c r="I97" s="61">
        <f>SUMIFS(Resumo_Trocas!$D:$D,Resumo_Trocas!$A:$A,$C97,Resumo_Trocas!$F:$F,I$27,Resumo_Trocas!$C:$C,"&gt;0")</f>
        <v>0</v>
      </c>
      <c r="J97" s="61">
        <f>SUMIFS(Resumo_Trocas!$D:$D,Resumo_Trocas!$A:$A,$C97,Resumo_Trocas!$F:$F,J$27,Resumo_Trocas!$C:$C,"&gt;0")</f>
        <v>0</v>
      </c>
      <c r="K97" s="61">
        <f>SUMIFS(Resumo_Trocas!$D:$D,Resumo_Trocas!$A:$A,$C97,Resumo_Trocas!$F:$F,K$27,Resumo_Trocas!$C:$C,"&gt;0")</f>
        <v>0</v>
      </c>
      <c r="L97" s="61">
        <f>SUMIFS(Resumo_Trocas!$D:$D,Resumo_Trocas!$A:$A,$C97,Resumo_Trocas!$F:$F,L$27,Resumo_Trocas!$C:$C,"&gt;0")</f>
        <v>0</v>
      </c>
      <c r="M97" s="61">
        <f>SUMIFS(Resumo_Trocas!$D:$D,Resumo_Trocas!$A:$A,$C97,Resumo_Trocas!$F:$F,M$27,Resumo_Trocas!$C:$C,"&gt;0")</f>
        <v>0</v>
      </c>
      <c r="N97" s="61">
        <f>SUMIFS(Resumo_Trocas!$D:$D,Resumo_Trocas!$A:$A,$C97,Resumo_Trocas!$F:$F,N$27,Resumo_Trocas!$C:$C,"&gt;0")</f>
        <v>0</v>
      </c>
      <c r="O97" s="61">
        <f>SUMIFS(Resumo_Trocas!$D:$D,Resumo_Trocas!$A:$A,$C97,Resumo_Trocas!$F:$F,O$27,Resumo_Trocas!$C:$C,"&gt;0")</f>
        <v>0</v>
      </c>
      <c r="P97" s="61">
        <f>SUMIFS(Resumo_Trocas!$D:$D,Resumo_Trocas!$A:$A,$C97,Resumo_Trocas!$F:$F,P$27,Resumo_Trocas!$C:$C,"&gt;0")</f>
        <v>0</v>
      </c>
      <c r="Q97" s="61">
        <f>SUMIFS(Resumo_Trocas!$D:$D,Resumo_Trocas!$A:$A,$C97,Resumo_Trocas!$F:$F,Q$27,Resumo_Trocas!$C:$C,"&gt;0")</f>
        <v>0</v>
      </c>
      <c r="R97" s="61">
        <f>SUMIFS(Resumo_Trocas!$D:$D,Resumo_Trocas!$A:$A,$C97,Resumo_Trocas!$F:$F,R$27,Resumo_Trocas!$C:$C,"&gt;0")</f>
        <v>0</v>
      </c>
      <c r="S97" s="61">
        <f>SUMIFS(Resumo_Trocas!$D:$D,Resumo_Trocas!$A:$A,$C97,Resumo_Trocas!$F:$F,S$27,Resumo_Trocas!$C:$C,"&gt;0")</f>
        <v>0</v>
      </c>
      <c r="T97" s="61">
        <f>SUMIFS(Resumo_Trocas!$D:$D,Resumo_Trocas!$A:$A,$C97,Resumo_Trocas!$F:$F,T$27,Resumo_Trocas!$C:$C,"&gt;0")</f>
        <v>0</v>
      </c>
      <c r="U97" s="61">
        <f>SUMIFS(Resumo_Trocas!$D:$D,Resumo_Trocas!$A:$A,$C97,Resumo_Trocas!$F:$F,U$27,Resumo_Trocas!$C:$C,"&gt;0")</f>
        <v>0</v>
      </c>
      <c r="V97" s="61">
        <f>SUMIFS(Resumo_Trocas!$D:$D,Resumo_Trocas!$A:$A,$C97,Resumo_Trocas!$F:$F,V$27,Resumo_Trocas!$C:$C,"&gt;0")</f>
        <v>0</v>
      </c>
    </row>
    <row r="98" spans="2:22" ht="15" customHeight="1" outlineLevel="1" thickBot="1" x14ac:dyDescent="0.3">
      <c r="B98" s="76"/>
      <c r="C98" s="60" t="s">
        <v>302</v>
      </c>
      <c r="D98" s="61">
        <f>SUMIFS(Resumo_Trocas!$D:$D,Resumo_Trocas!$A:$A,$C98,Resumo_Trocas!$F:$F,D$27,Resumo_Trocas!$C:$C,"&gt;0")</f>
        <v>4</v>
      </c>
      <c r="E98" s="61">
        <f>SUMIFS(Resumo_Trocas!$D:$D,Resumo_Trocas!$A:$A,$C98,Resumo_Trocas!$F:$F,E$27,Resumo_Trocas!$C:$C,"&gt;0")</f>
        <v>6</v>
      </c>
      <c r="F98" s="61">
        <f>SUMIFS(Resumo_Trocas!$D:$D,Resumo_Trocas!$A:$A,$C98,Resumo_Trocas!$F:$F,F$27,Resumo_Trocas!$C:$C,"&gt;0")</f>
        <v>0</v>
      </c>
      <c r="G98" s="61">
        <f>SUMIFS(Resumo_Trocas!$D:$D,Resumo_Trocas!$A:$A,$C98,Resumo_Trocas!$F:$F,G$27,Resumo_Trocas!$C:$C,"&gt;0")</f>
        <v>2</v>
      </c>
      <c r="H98" s="61">
        <f>SUMIFS(Resumo_Trocas!$D:$D,Resumo_Trocas!$A:$A,$C98,Resumo_Trocas!$F:$F,H$27,Resumo_Trocas!$C:$C,"&gt;0")</f>
        <v>1</v>
      </c>
      <c r="I98" s="61">
        <f>SUMIFS(Resumo_Trocas!$D:$D,Resumo_Trocas!$A:$A,$C98,Resumo_Trocas!$F:$F,I$27,Resumo_Trocas!$C:$C,"&gt;0")</f>
        <v>0</v>
      </c>
      <c r="J98" s="61">
        <f>SUMIFS(Resumo_Trocas!$D:$D,Resumo_Trocas!$A:$A,$C98,Resumo_Trocas!$F:$F,J$27,Resumo_Trocas!$C:$C,"&gt;0")</f>
        <v>1</v>
      </c>
      <c r="K98" s="61">
        <f>SUMIFS(Resumo_Trocas!$D:$D,Resumo_Trocas!$A:$A,$C98,Resumo_Trocas!$F:$F,K$27,Resumo_Trocas!$C:$C,"&gt;0")</f>
        <v>2</v>
      </c>
      <c r="L98" s="61">
        <f>SUMIFS(Resumo_Trocas!$D:$D,Resumo_Trocas!$A:$A,$C98,Resumo_Trocas!$F:$F,L$27,Resumo_Trocas!$C:$C,"&gt;0")</f>
        <v>6</v>
      </c>
      <c r="M98" s="61">
        <f>SUMIFS(Resumo_Trocas!$D:$D,Resumo_Trocas!$A:$A,$C98,Resumo_Trocas!$F:$F,M$27,Resumo_Trocas!$C:$C,"&gt;0")</f>
        <v>6</v>
      </c>
      <c r="N98" s="61">
        <f>SUMIFS(Resumo_Trocas!$D:$D,Resumo_Trocas!$A:$A,$C98,Resumo_Trocas!$F:$F,N$27,Resumo_Trocas!$C:$C,"&gt;0")</f>
        <v>3</v>
      </c>
      <c r="O98" s="61">
        <f>SUMIFS(Resumo_Trocas!$D:$D,Resumo_Trocas!$A:$A,$C98,Resumo_Trocas!$F:$F,O$27,Resumo_Trocas!$C:$C,"&gt;0")</f>
        <v>3</v>
      </c>
      <c r="P98" s="61">
        <f>SUMIFS(Resumo_Trocas!$D:$D,Resumo_Trocas!$A:$A,$C98,Resumo_Trocas!$F:$F,P$27,Resumo_Trocas!$C:$C,"&gt;0")</f>
        <v>3</v>
      </c>
      <c r="Q98" s="61">
        <f>SUMIFS(Resumo_Trocas!$D:$D,Resumo_Trocas!$A:$A,$C98,Resumo_Trocas!$F:$F,Q$27,Resumo_Trocas!$C:$C,"&gt;0")</f>
        <v>0</v>
      </c>
      <c r="R98" s="61">
        <f>SUMIFS(Resumo_Trocas!$D:$D,Resumo_Trocas!$A:$A,$C98,Resumo_Trocas!$F:$F,R$27,Resumo_Trocas!$C:$C,"&gt;0")</f>
        <v>6</v>
      </c>
      <c r="S98" s="61">
        <f>SUMIFS(Resumo_Trocas!$D:$D,Resumo_Trocas!$A:$A,$C98,Resumo_Trocas!$F:$F,S$27,Resumo_Trocas!$C:$C,"&gt;0")</f>
        <v>9</v>
      </c>
      <c r="T98" s="61">
        <f>SUMIFS(Resumo_Trocas!$D:$D,Resumo_Trocas!$A:$A,$C98,Resumo_Trocas!$F:$F,T$27,Resumo_Trocas!$C:$C,"&gt;0")</f>
        <v>3</v>
      </c>
      <c r="U98" s="61">
        <f>SUMIFS(Resumo_Trocas!$D:$D,Resumo_Trocas!$A:$A,$C98,Resumo_Trocas!$F:$F,U$27,Resumo_Trocas!$C:$C,"&gt;0")</f>
        <v>0</v>
      </c>
      <c r="V98" s="61">
        <f>SUMIFS(Resumo_Trocas!$D:$D,Resumo_Trocas!$A:$A,$C98,Resumo_Trocas!$F:$F,V$27,Resumo_Trocas!$C:$C,"&gt;0")</f>
        <v>0</v>
      </c>
    </row>
    <row r="99" spans="2:22" ht="15" customHeight="1" outlineLevel="1" thickBot="1" x14ac:dyDescent="0.3">
      <c r="B99" s="76"/>
      <c r="C99" s="60" t="s">
        <v>307</v>
      </c>
      <c r="D99" s="61">
        <f>SUMIFS(Resumo_Trocas!$D:$D,Resumo_Trocas!$A:$A,$C99,Resumo_Trocas!$F:$F,D$27,Resumo_Trocas!$C:$C,"&gt;0")</f>
        <v>3</v>
      </c>
      <c r="E99" s="61">
        <f>SUMIFS(Resumo_Trocas!$D:$D,Resumo_Trocas!$A:$A,$C99,Resumo_Trocas!$F:$F,E$27,Resumo_Trocas!$C:$C,"&gt;0")</f>
        <v>3</v>
      </c>
      <c r="F99" s="61">
        <f>SUMIFS(Resumo_Trocas!$D:$D,Resumo_Trocas!$A:$A,$C99,Resumo_Trocas!$F:$F,F$27,Resumo_Trocas!$C:$C,"&gt;0")</f>
        <v>9</v>
      </c>
      <c r="G99" s="61">
        <f>SUMIFS(Resumo_Trocas!$D:$D,Resumo_Trocas!$A:$A,$C99,Resumo_Trocas!$F:$F,G$27,Resumo_Trocas!$C:$C,"&gt;0")</f>
        <v>9</v>
      </c>
      <c r="H99" s="61">
        <f>SUMIFS(Resumo_Trocas!$D:$D,Resumo_Trocas!$A:$A,$C99,Resumo_Trocas!$F:$F,H$27,Resumo_Trocas!$C:$C,"&gt;0")</f>
        <v>3</v>
      </c>
      <c r="I99" s="61">
        <f>SUMIFS(Resumo_Trocas!$D:$D,Resumo_Trocas!$A:$A,$C99,Resumo_Trocas!$F:$F,I$27,Resumo_Trocas!$C:$C,"&gt;0")</f>
        <v>3</v>
      </c>
      <c r="J99" s="61">
        <f>SUMIFS(Resumo_Trocas!$D:$D,Resumo_Trocas!$A:$A,$C99,Resumo_Trocas!$F:$F,J$27,Resumo_Trocas!$C:$C,"&gt;0")</f>
        <v>9</v>
      </c>
      <c r="K99" s="61">
        <f>SUMIFS(Resumo_Trocas!$D:$D,Resumo_Trocas!$A:$A,$C99,Resumo_Trocas!$F:$F,K$27,Resumo_Trocas!$C:$C,"&gt;0")</f>
        <v>0</v>
      </c>
      <c r="L99" s="61">
        <f>SUMIFS(Resumo_Trocas!$D:$D,Resumo_Trocas!$A:$A,$C99,Resumo_Trocas!$F:$F,L$27,Resumo_Trocas!$C:$C,"&gt;0")</f>
        <v>0</v>
      </c>
      <c r="M99" s="61">
        <f>SUMIFS(Resumo_Trocas!$D:$D,Resumo_Trocas!$A:$A,$C99,Resumo_Trocas!$F:$F,M$27,Resumo_Trocas!$C:$C,"&gt;0")</f>
        <v>0</v>
      </c>
      <c r="N99" s="61">
        <f>SUMIFS(Resumo_Trocas!$D:$D,Resumo_Trocas!$A:$A,$C99,Resumo_Trocas!$F:$F,N$27,Resumo_Trocas!$C:$C,"&gt;0")</f>
        <v>0</v>
      </c>
      <c r="O99" s="61">
        <f>SUMIFS(Resumo_Trocas!$D:$D,Resumo_Trocas!$A:$A,$C99,Resumo_Trocas!$F:$F,O$27,Resumo_Trocas!$C:$C,"&gt;0")</f>
        <v>0</v>
      </c>
      <c r="P99" s="61">
        <f>SUMIFS(Resumo_Trocas!$D:$D,Resumo_Trocas!$A:$A,$C99,Resumo_Trocas!$F:$F,P$27,Resumo_Trocas!$C:$C,"&gt;0")</f>
        <v>0</v>
      </c>
      <c r="Q99" s="61">
        <f>SUMIFS(Resumo_Trocas!$D:$D,Resumo_Trocas!$A:$A,$C99,Resumo_Trocas!$F:$F,Q$27,Resumo_Trocas!$C:$C,"&gt;0")</f>
        <v>0</v>
      </c>
      <c r="R99" s="61">
        <f>SUMIFS(Resumo_Trocas!$D:$D,Resumo_Trocas!$A:$A,$C99,Resumo_Trocas!$F:$F,R$27,Resumo_Trocas!$C:$C,"&gt;0")</f>
        <v>0</v>
      </c>
      <c r="S99" s="61">
        <f>SUMIFS(Resumo_Trocas!$D:$D,Resumo_Trocas!$A:$A,$C99,Resumo_Trocas!$F:$F,S$27,Resumo_Trocas!$C:$C,"&gt;0")</f>
        <v>0</v>
      </c>
      <c r="T99" s="61">
        <f>SUMIFS(Resumo_Trocas!$D:$D,Resumo_Trocas!$A:$A,$C99,Resumo_Trocas!$F:$F,T$27,Resumo_Trocas!$C:$C,"&gt;0")</f>
        <v>0</v>
      </c>
      <c r="U99" s="61">
        <f>SUMIFS(Resumo_Trocas!$D:$D,Resumo_Trocas!$A:$A,$C99,Resumo_Trocas!$F:$F,U$27,Resumo_Trocas!$C:$C,"&gt;0")</f>
        <v>0</v>
      </c>
      <c r="V99" s="61">
        <f>SUMIFS(Resumo_Trocas!$D:$D,Resumo_Trocas!$A:$A,$C99,Resumo_Trocas!$F:$F,V$27,Resumo_Trocas!$C:$C,"&gt;0")</f>
        <v>0</v>
      </c>
    </row>
    <row r="100" spans="2:22" ht="15" customHeight="1" outlineLevel="1" thickBot="1" x14ac:dyDescent="0.3">
      <c r="B100" s="76"/>
      <c r="C100" s="60" t="s">
        <v>315</v>
      </c>
      <c r="D100" s="61">
        <f>SUMIFS(Resumo_Trocas!$D:$D,Resumo_Trocas!$A:$A,$C100,Resumo_Trocas!$F:$F,D$27,Resumo_Trocas!$C:$C,"&gt;0")</f>
        <v>3</v>
      </c>
      <c r="E100" s="61">
        <f>SUMIFS(Resumo_Trocas!$D:$D,Resumo_Trocas!$A:$A,$C100,Resumo_Trocas!$F:$F,E$27,Resumo_Trocas!$C:$C,"&gt;0")</f>
        <v>0</v>
      </c>
      <c r="F100" s="61">
        <f>SUMIFS(Resumo_Trocas!$D:$D,Resumo_Trocas!$A:$A,$C100,Resumo_Trocas!$F:$F,F$27,Resumo_Trocas!$C:$C,"&gt;0")</f>
        <v>0</v>
      </c>
      <c r="G100" s="61">
        <f>SUMIFS(Resumo_Trocas!$D:$D,Resumo_Trocas!$A:$A,$C100,Resumo_Trocas!$F:$F,G$27,Resumo_Trocas!$C:$C,"&gt;0")</f>
        <v>3</v>
      </c>
      <c r="H100" s="61">
        <f>SUMIFS(Resumo_Trocas!$D:$D,Resumo_Trocas!$A:$A,$C100,Resumo_Trocas!$F:$F,H$27,Resumo_Trocas!$C:$C,"&gt;0")</f>
        <v>0</v>
      </c>
      <c r="I100" s="61">
        <f>SUMIFS(Resumo_Trocas!$D:$D,Resumo_Trocas!$A:$A,$C100,Resumo_Trocas!$F:$F,I$27,Resumo_Trocas!$C:$C,"&gt;0")</f>
        <v>0</v>
      </c>
      <c r="J100" s="61">
        <f>SUMIFS(Resumo_Trocas!$D:$D,Resumo_Trocas!$A:$A,$C100,Resumo_Trocas!$F:$F,J$27,Resumo_Trocas!$C:$C,"&gt;0")</f>
        <v>0</v>
      </c>
      <c r="K100" s="61">
        <f>SUMIFS(Resumo_Trocas!$D:$D,Resumo_Trocas!$A:$A,$C100,Resumo_Trocas!$F:$F,K$27,Resumo_Trocas!$C:$C,"&gt;0")</f>
        <v>3</v>
      </c>
      <c r="L100" s="61">
        <f>SUMIFS(Resumo_Trocas!$D:$D,Resumo_Trocas!$A:$A,$C100,Resumo_Trocas!$F:$F,L$27,Resumo_Trocas!$C:$C,"&gt;0")</f>
        <v>0</v>
      </c>
      <c r="M100" s="61">
        <f>SUMIFS(Resumo_Trocas!$D:$D,Resumo_Trocas!$A:$A,$C100,Resumo_Trocas!$F:$F,M$27,Resumo_Trocas!$C:$C,"&gt;0")</f>
        <v>0</v>
      </c>
      <c r="N100" s="61">
        <f>SUMIFS(Resumo_Trocas!$D:$D,Resumo_Trocas!$A:$A,$C100,Resumo_Trocas!$F:$F,N$27,Resumo_Trocas!$C:$C,"&gt;0")</f>
        <v>3</v>
      </c>
      <c r="O100" s="61">
        <f>SUMIFS(Resumo_Trocas!$D:$D,Resumo_Trocas!$A:$A,$C100,Resumo_Trocas!$F:$F,O$27,Resumo_Trocas!$C:$C,"&gt;0")</f>
        <v>0</v>
      </c>
      <c r="P100" s="61">
        <f>SUMIFS(Resumo_Trocas!$D:$D,Resumo_Trocas!$A:$A,$C100,Resumo_Trocas!$F:$F,P$27,Resumo_Trocas!$C:$C,"&gt;0")</f>
        <v>6</v>
      </c>
      <c r="Q100" s="61">
        <f>SUMIFS(Resumo_Trocas!$D:$D,Resumo_Trocas!$A:$A,$C100,Resumo_Trocas!$F:$F,Q$27,Resumo_Trocas!$C:$C,"&gt;0")</f>
        <v>3</v>
      </c>
      <c r="R100" s="61">
        <f>SUMIFS(Resumo_Trocas!$D:$D,Resumo_Trocas!$A:$A,$C100,Resumo_Trocas!$F:$F,R$27,Resumo_Trocas!$C:$C,"&gt;0")</f>
        <v>9</v>
      </c>
      <c r="S100" s="61">
        <f>SUMIFS(Resumo_Trocas!$D:$D,Resumo_Trocas!$A:$A,$C100,Resumo_Trocas!$F:$F,S$27,Resumo_Trocas!$C:$C,"&gt;0")</f>
        <v>3</v>
      </c>
      <c r="T100" s="61">
        <f>SUMIFS(Resumo_Trocas!$D:$D,Resumo_Trocas!$A:$A,$C100,Resumo_Trocas!$F:$F,T$27,Resumo_Trocas!$C:$C,"&gt;0")</f>
        <v>3</v>
      </c>
      <c r="U100" s="61">
        <f>SUMIFS(Resumo_Trocas!$D:$D,Resumo_Trocas!$A:$A,$C100,Resumo_Trocas!$F:$F,U$27,Resumo_Trocas!$C:$C,"&gt;0")</f>
        <v>3</v>
      </c>
      <c r="V100" s="61">
        <f>SUMIFS(Resumo_Trocas!$D:$D,Resumo_Trocas!$A:$A,$C100,Resumo_Trocas!$F:$F,V$27,Resumo_Trocas!$C:$C,"&gt;0")</f>
        <v>0</v>
      </c>
    </row>
    <row r="101" spans="2:22" ht="15" customHeight="1" outlineLevel="1" thickBot="1" x14ac:dyDescent="0.3">
      <c r="B101" s="76"/>
      <c r="C101" s="60" t="s">
        <v>319</v>
      </c>
      <c r="D101" s="61">
        <f>SUMIFS(Resumo_Trocas!$D:$D,Resumo_Trocas!$A:$A,$C101,Resumo_Trocas!$F:$F,D$27,Resumo_Trocas!$C:$C,"&gt;0")</f>
        <v>3</v>
      </c>
      <c r="E101" s="61">
        <f>SUMIFS(Resumo_Trocas!$D:$D,Resumo_Trocas!$A:$A,$C101,Resumo_Trocas!$F:$F,E$27,Resumo_Trocas!$C:$C,"&gt;0")</f>
        <v>6</v>
      </c>
      <c r="F101" s="61">
        <f>SUMIFS(Resumo_Trocas!$D:$D,Resumo_Trocas!$A:$A,$C101,Resumo_Trocas!$F:$F,F$27,Resumo_Trocas!$C:$C,"&gt;0")</f>
        <v>0</v>
      </c>
      <c r="G101" s="61">
        <f>SUMIFS(Resumo_Trocas!$D:$D,Resumo_Trocas!$A:$A,$C101,Resumo_Trocas!$F:$F,G$27,Resumo_Trocas!$C:$C,"&gt;0")</f>
        <v>0</v>
      </c>
      <c r="H101" s="61">
        <f>SUMIFS(Resumo_Trocas!$D:$D,Resumo_Trocas!$A:$A,$C101,Resumo_Trocas!$F:$F,H$27,Resumo_Trocas!$C:$C,"&gt;0")</f>
        <v>2</v>
      </c>
      <c r="I101" s="61">
        <f>SUMIFS(Resumo_Trocas!$D:$D,Resumo_Trocas!$A:$A,$C101,Resumo_Trocas!$F:$F,I$27,Resumo_Trocas!$C:$C,"&gt;0")</f>
        <v>0</v>
      </c>
      <c r="J101" s="61">
        <f>SUMIFS(Resumo_Trocas!$D:$D,Resumo_Trocas!$A:$A,$C101,Resumo_Trocas!$F:$F,J$27,Resumo_Trocas!$C:$C,"&gt;0")</f>
        <v>2</v>
      </c>
      <c r="K101" s="61">
        <f>SUMIFS(Resumo_Trocas!$D:$D,Resumo_Trocas!$A:$A,$C101,Resumo_Trocas!$F:$F,K$27,Resumo_Trocas!$C:$C,"&gt;0")</f>
        <v>0</v>
      </c>
      <c r="L101" s="61">
        <f>SUMIFS(Resumo_Trocas!$D:$D,Resumo_Trocas!$A:$A,$C101,Resumo_Trocas!$F:$F,L$27,Resumo_Trocas!$C:$C,"&gt;0")</f>
        <v>4</v>
      </c>
      <c r="M101" s="61">
        <f>SUMIFS(Resumo_Trocas!$D:$D,Resumo_Trocas!$A:$A,$C101,Resumo_Trocas!$F:$F,M$27,Resumo_Trocas!$C:$C,"&gt;0")</f>
        <v>0</v>
      </c>
      <c r="N101" s="61">
        <f>SUMIFS(Resumo_Trocas!$D:$D,Resumo_Trocas!$A:$A,$C101,Resumo_Trocas!$F:$F,N$27,Resumo_Trocas!$C:$C,"&gt;0")</f>
        <v>2</v>
      </c>
      <c r="O101" s="61">
        <f>SUMIFS(Resumo_Trocas!$D:$D,Resumo_Trocas!$A:$A,$C101,Resumo_Trocas!$F:$F,O$27,Resumo_Trocas!$C:$C,"&gt;0")</f>
        <v>0</v>
      </c>
      <c r="P101" s="61">
        <f>SUMIFS(Resumo_Trocas!$D:$D,Resumo_Trocas!$A:$A,$C101,Resumo_Trocas!$F:$F,P$27,Resumo_Trocas!$C:$C,"&gt;0")</f>
        <v>0</v>
      </c>
      <c r="Q101" s="61">
        <f>SUMIFS(Resumo_Trocas!$D:$D,Resumo_Trocas!$A:$A,$C101,Resumo_Trocas!$F:$F,Q$27,Resumo_Trocas!$C:$C,"&gt;0")</f>
        <v>0</v>
      </c>
      <c r="R101" s="61">
        <f>SUMIFS(Resumo_Trocas!$D:$D,Resumo_Trocas!$A:$A,$C101,Resumo_Trocas!$F:$F,R$27,Resumo_Trocas!$C:$C,"&gt;0")</f>
        <v>0</v>
      </c>
      <c r="S101" s="61">
        <f>SUMIFS(Resumo_Trocas!$D:$D,Resumo_Trocas!$A:$A,$C101,Resumo_Trocas!$F:$F,S$27,Resumo_Trocas!$C:$C,"&gt;0")</f>
        <v>0</v>
      </c>
      <c r="T101" s="61">
        <f>SUMIFS(Resumo_Trocas!$D:$D,Resumo_Trocas!$A:$A,$C101,Resumo_Trocas!$F:$F,T$27,Resumo_Trocas!$C:$C,"&gt;0")</f>
        <v>0</v>
      </c>
      <c r="U101" s="61">
        <f>SUMIFS(Resumo_Trocas!$D:$D,Resumo_Trocas!$A:$A,$C101,Resumo_Trocas!$F:$F,U$27,Resumo_Trocas!$C:$C,"&gt;0")</f>
        <v>0</v>
      </c>
      <c r="V101" s="61">
        <f>SUMIFS(Resumo_Trocas!$D:$D,Resumo_Trocas!$A:$A,$C101,Resumo_Trocas!$F:$F,V$27,Resumo_Trocas!$C:$C,"&gt;0")</f>
        <v>0</v>
      </c>
    </row>
    <row r="102" spans="2:22" ht="15" customHeight="1" outlineLevel="1" thickBot="1" x14ac:dyDescent="0.3">
      <c r="B102" s="76"/>
      <c r="C102" s="60" t="s">
        <v>322</v>
      </c>
      <c r="D102" s="61">
        <f>SUMIFS(Resumo_Trocas!$D:$D,Resumo_Trocas!$A:$A,$C102,Resumo_Trocas!$F:$F,D$27,Resumo_Trocas!$C:$C,"&gt;0")</f>
        <v>0</v>
      </c>
      <c r="E102" s="61">
        <f>SUMIFS(Resumo_Trocas!$D:$D,Resumo_Trocas!$A:$A,$C102,Resumo_Trocas!$F:$F,E$27,Resumo_Trocas!$C:$C,"&gt;0")</f>
        <v>0</v>
      </c>
      <c r="F102" s="61">
        <f>SUMIFS(Resumo_Trocas!$D:$D,Resumo_Trocas!$A:$A,$C102,Resumo_Trocas!$F:$F,F$27,Resumo_Trocas!$C:$C,"&gt;0")</f>
        <v>0</v>
      </c>
      <c r="G102" s="61">
        <f>SUMIFS(Resumo_Trocas!$D:$D,Resumo_Trocas!$A:$A,$C102,Resumo_Trocas!$F:$F,G$27,Resumo_Trocas!$C:$C,"&gt;0")</f>
        <v>0</v>
      </c>
      <c r="H102" s="61">
        <f>SUMIFS(Resumo_Trocas!$D:$D,Resumo_Trocas!$A:$A,$C102,Resumo_Trocas!$F:$F,H$27,Resumo_Trocas!$C:$C,"&gt;0")</f>
        <v>3</v>
      </c>
      <c r="I102" s="61">
        <f>SUMIFS(Resumo_Trocas!$D:$D,Resumo_Trocas!$A:$A,$C102,Resumo_Trocas!$F:$F,I$27,Resumo_Trocas!$C:$C,"&gt;0")</f>
        <v>0</v>
      </c>
      <c r="J102" s="61">
        <f>SUMIFS(Resumo_Trocas!$D:$D,Resumo_Trocas!$A:$A,$C102,Resumo_Trocas!$F:$F,J$27,Resumo_Trocas!$C:$C,"&gt;0")</f>
        <v>6</v>
      </c>
      <c r="K102" s="61">
        <f>SUMIFS(Resumo_Trocas!$D:$D,Resumo_Trocas!$A:$A,$C102,Resumo_Trocas!$F:$F,K$27,Resumo_Trocas!$C:$C,"&gt;0")</f>
        <v>0</v>
      </c>
      <c r="L102" s="61">
        <f>SUMIFS(Resumo_Trocas!$D:$D,Resumo_Trocas!$A:$A,$C102,Resumo_Trocas!$F:$F,L$27,Resumo_Trocas!$C:$C,"&gt;0")</f>
        <v>3</v>
      </c>
      <c r="M102" s="61">
        <f>SUMIFS(Resumo_Trocas!$D:$D,Resumo_Trocas!$A:$A,$C102,Resumo_Trocas!$F:$F,M$27,Resumo_Trocas!$C:$C,"&gt;0")</f>
        <v>3</v>
      </c>
      <c r="N102" s="61">
        <f>SUMIFS(Resumo_Trocas!$D:$D,Resumo_Trocas!$A:$A,$C102,Resumo_Trocas!$F:$F,N$27,Resumo_Trocas!$C:$C,"&gt;0")</f>
        <v>3</v>
      </c>
      <c r="O102" s="61">
        <f>SUMIFS(Resumo_Trocas!$D:$D,Resumo_Trocas!$A:$A,$C102,Resumo_Trocas!$F:$F,O$27,Resumo_Trocas!$C:$C,"&gt;0")</f>
        <v>0</v>
      </c>
      <c r="P102" s="61">
        <f>SUMIFS(Resumo_Trocas!$D:$D,Resumo_Trocas!$A:$A,$C102,Resumo_Trocas!$F:$F,P$27,Resumo_Trocas!$C:$C,"&gt;0")</f>
        <v>6</v>
      </c>
      <c r="Q102" s="61">
        <f>SUMIFS(Resumo_Trocas!$D:$D,Resumo_Trocas!$A:$A,$C102,Resumo_Trocas!$F:$F,Q$27,Resumo_Trocas!$C:$C,"&gt;0")</f>
        <v>3</v>
      </c>
      <c r="R102" s="61">
        <f>SUMIFS(Resumo_Trocas!$D:$D,Resumo_Trocas!$A:$A,$C102,Resumo_Trocas!$F:$F,R$27,Resumo_Trocas!$C:$C,"&gt;0")</f>
        <v>0</v>
      </c>
      <c r="S102" s="61">
        <f>SUMIFS(Resumo_Trocas!$D:$D,Resumo_Trocas!$A:$A,$C102,Resumo_Trocas!$F:$F,S$27,Resumo_Trocas!$C:$C,"&gt;0")</f>
        <v>6</v>
      </c>
      <c r="T102" s="61">
        <f>SUMIFS(Resumo_Trocas!$D:$D,Resumo_Trocas!$A:$A,$C102,Resumo_Trocas!$F:$F,T$27,Resumo_Trocas!$C:$C,"&gt;0")</f>
        <v>0</v>
      </c>
      <c r="U102" s="61">
        <f>SUMIFS(Resumo_Trocas!$D:$D,Resumo_Trocas!$A:$A,$C102,Resumo_Trocas!$F:$F,U$27,Resumo_Trocas!$C:$C,"&gt;0")</f>
        <v>3</v>
      </c>
      <c r="V102" s="61">
        <f>SUMIFS(Resumo_Trocas!$D:$D,Resumo_Trocas!$A:$A,$C102,Resumo_Trocas!$F:$F,V$27,Resumo_Trocas!$C:$C,"&gt;0")</f>
        <v>0</v>
      </c>
    </row>
    <row r="103" spans="2:22" ht="15" customHeight="1" outlineLevel="1" thickBot="1" x14ac:dyDescent="0.3">
      <c r="B103" s="76"/>
      <c r="C103" s="60" t="s">
        <v>323</v>
      </c>
      <c r="D103" s="61">
        <f>SUMIFS(Resumo_Trocas!$D:$D,Resumo_Trocas!$A:$A,$C103,Resumo_Trocas!$F:$F,D$27,Resumo_Trocas!$C:$C,"&gt;0")</f>
        <v>0</v>
      </c>
      <c r="E103" s="61">
        <f>SUMIFS(Resumo_Trocas!$D:$D,Resumo_Trocas!$A:$A,$C103,Resumo_Trocas!$F:$F,E$27,Resumo_Trocas!$C:$C,"&gt;0")</f>
        <v>0</v>
      </c>
      <c r="F103" s="61">
        <f>SUMIFS(Resumo_Trocas!$D:$D,Resumo_Trocas!$A:$A,$C103,Resumo_Trocas!$F:$F,F$27,Resumo_Trocas!$C:$C,"&gt;0")</f>
        <v>0</v>
      </c>
      <c r="G103" s="61">
        <f>SUMIFS(Resumo_Trocas!$D:$D,Resumo_Trocas!$A:$A,$C103,Resumo_Trocas!$F:$F,G$27,Resumo_Trocas!$C:$C,"&gt;0")</f>
        <v>0</v>
      </c>
      <c r="H103" s="61">
        <f>SUMIFS(Resumo_Trocas!$D:$D,Resumo_Trocas!$A:$A,$C103,Resumo_Trocas!$F:$F,H$27,Resumo_Trocas!$C:$C,"&gt;0")</f>
        <v>0</v>
      </c>
      <c r="I103" s="61">
        <f>SUMIFS(Resumo_Trocas!$D:$D,Resumo_Trocas!$A:$A,$C103,Resumo_Trocas!$F:$F,I$27,Resumo_Trocas!$C:$C,"&gt;0")</f>
        <v>0</v>
      </c>
      <c r="J103" s="61">
        <f>SUMIFS(Resumo_Trocas!$D:$D,Resumo_Trocas!$A:$A,$C103,Resumo_Trocas!$F:$F,J$27,Resumo_Trocas!$C:$C,"&gt;0")</f>
        <v>0</v>
      </c>
      <c r="K103" s="61">
        <f>SUMIFS(Resumo_Trocas!$D:$D,Resumo_Trocas!$A:$A,$C103,Resumo_Trocas!$F:$F,K$27,Resumo_Trocas!$C:$C,"&gt;0")</f>
        <v>0</v>
      </c>
      <c r="L103" s="61">
        <f>SUMIFS(Resumo_Trocas!$D:$D,Resumo_Trocas!$A:$A,$C103,Resumo_Trocas!$F:$F,L$27,Resumo_Trocas!$C:$C,"&gt;0")</f>
        <v>0</v>
      </c>
      <c r="M103" s="61">
        <f>SUMIFS(Resumo_Trocas!$D:$D,Resumo_Trocas!$A:$A,$C103,Resumo_Trocas!$F:$F,M$27,Resumo_Trocas!$C:$C,"&gt;0")</f>
        <v>0</v>
      </c>
      <c r="N103" s="61">
        <f>SUMIFS(Resumo_Trocas!$D:$D,Resumo_Trocas!$A:$A,$C103,Resumo_Trocas!$F:$F,N$27,Resumo_Trocas!$C:$C,"&gt;0")</f>
        <v>0</v>
      </c>
      <c r="O103" s="61">
        <f>SUMIFS(Resumo_Trocas!$D:$D,Resumo_Trocas!$A:$A,$C103,Resumo_Trocas!$F:$F,O$27,Resumo_Trocas!$C:$C,"&gt;0")</f>
        <v>0</v>
      </c>
      <c r="P103" s="61">
        <f>SUMIFS(Resumo_Trocas!$D:$D,Resumo_Trocas!$A:$A,$C103,Resumo_Trocas!$F:$F,P$27,Resumo_Trocas!$C:$C,"&gt;0")</f>
        <v>0</v>
      </c>
      <c r="Q103" s="61">
        <f>SUMIFS(Resumo_Trocas!$D:$D,Resumo_Trocas!$A:$A,$C103,Resumo_Trocas!$F:$F,Q$27,Resumo_Trocas!$C:$C,"&gt;0")</f>
        <v>0</v>
      </c>
      <c r="R103" s="61">
        <f>SUMIFS(Resumo_Trocas!$D:$D,Resumo_Trocas!$A:$A,$C103,Resumo_Trocas!$F:$F,R$27,Resumo_Trocas!$C:$C,"&gt;0")</f>
        <v>0</v>
      </c>
      <c r="S103" s="61">
        <f>SUMIFS(Resumo_Trocas!$D:$D,Resumo_Trocas!$A:$A,$C103,Resumo_Trocas!$F:$F,S$27,Resumo_Trocas!$C:$C,"&gt;0")</f>
        <v>0</v>
      </c>
      <c r="T103" s="61">
        <f>SUMIFS(Resumo_Trocas!$D:$D,Resumo_Trocas!$A:$A,$C103,Resumo_Trocas!$F:$F,T$27,Resumo_Trocas!$C:$C,"&gt;0")</f>
        <v>0</v>
      </c>
      <c r="U103" s="61">
        <f>SUMIFS(Resumo_Trocas!$D:$D,Resumo_Trocas!$A:$A,$C103,Resumo_Trocas!$F:$F,U$27,Resumo_Trocas!$C:$C,"&gt;0")</f>
        <v>0</v>
      </c>
      <c r="V103" s="61">
        <f>SUMIFS(Resumo_Trocas!$D:$D,Resumo_Trocas!$A:$A,$C103,Resumo_Trocas!$F:$F,V$27,Resumo_Trocas!$C:$C,"&gt;0")</f>
        <v>0</v>
      </c>
    </row>
    <row r="104" spans="2:22" ht="15" customHeight="1" outlineLevel="1" thickBot="1" x14ac:dyDescent="0.3">
      <c r="B104" s="76"/>
      <c r="C104" s="60" t="s">
        <v>328</v>
      </c>
      <c r="D104" s="61">
        <f>SUMIFS(Resumo_Trocas!$D:$D,Resumo_Trocas!$A:$A,$C104,Resumo_Trocas!$F:$F,D$27,Resumo_Trocas!$C:$C,"&gt;0")</f>
        <v>5</v>
      </c>
      <c r="E104" s="61">
        <f>SUMIFS(Resumo_Trocas!$D:$D,Resumo_Trocas!$A:$A,$C104,Resumo_Trocas!$F:$F,E$27,Resumo_Trocas!$C:$C,"&gt;0")</f>
        <v>1</v>
      </c>
      <c r="F104" s="61">
        <f>SUMIFS(Resumo_Trocas!$D:$D,Resumo_Trocas!$A:$A,$C104,Resumo_Trocas!$F:$F,F$27,Resumo_Trocas!$C:$C,"&gt;0")</f>
        <v>0</v>
      </c>
      <c r="G104" s="61">
        <f>SUMIFS(Resumo_Trocas!$D:$D,Resumo_Trocas!$A:$A,$C104,Resumo_Trocas!$F:$F,G$27,Resumo_Trocas!$C:$C,"&gt;0")</f>
        <v>0</v>
      </c>
      <c r="H104" s="61">
        <f>SUMIFS(Resumo_Trocas!$D:$D,Resumo_Trocas!$A:$A,$C104,Resumo_Trocas!$F:$F,H$27,Resumo_Trocas!$C:$C,"&gt;0")</f>
        <v>0</v>
      </c>
      <c r="I104" s="61">
        <f>SUMIFS(Resumo_Trocas!$D:$D,Resumo_Trocas!$A:$A,$C104,Resumo_Trocas!$F:$F,I$27,Resumo_Trocas!$C:$C,"&gt;0")</f>
        <v>0</v>
      </c>
      <c r="J104" s="61">
        <f>SUMIFS(Resumo_Trocas!$D:$D,Resumo_Trocas!$A:$A,$C104,Resumo_Trocas!$F:$F,J$27,Resumo_Trocas!$C:$C,"&gt;0")</f>
        <v>0</v>
      </c>
      <c r="K104" s="61">
        <f>SUMIFS(Resumo_Trocas!$D:$D,Resumo_Trocas!$A:$A,$C104,Resumo_Trocas!$F:$F,K$27,Resumo_Trocas!$C:$C,"&gt;0")</f>
        <v>0</v>
      </c>
      <c r="L104" s="61">
        <f>SUMIFS(Resumo_Trocas!$D:$D,Resumo_Trocas!$A:$A,$C104,Resumo_Trocas!$F:$F,L$27,Resumo_Trocas!$C:$C,"&gt;0")</f>
        <v>0</v>
      </c>
      <c r="M104" s="61">
        <f>SUMIFS(Resumo_Trocas!$D:$D,Resumo_Trocas!$A:$A,$C104,Resumo_Trocas!$F:$F,M$27,Resumo_Trocas!$C:$C,"&gt;0")</f>
        <v>0</v>
      </c>
      <c r="N104" s="61">
        <f>SUMIFS(Resumo_Trocas!$D:$D,Resumo_Trocas!$A:$A,$C104,Resumo_Trocas!$F:$F,N$27,Resumo_Trocas!$C:$C,"&gt;0")</f>
        <v>0</v>
      </c>
      <c r="O104" s="61">
        <f>SUMIFS(Resumo_Trocas!$D:$D,Resumo_Trocas!$A:$A,$C104,Resumo_Trocas!$F:$F,O$27,Resumo_Trocas!$C:$C,"&gt;0")</f>
        <v>0</v>
      </c>
      <c r="P104" s="61">
        <f>SUMIFS(Resumo_Trocas!$D:$D,Resumo_Trocas!$A:$A,$C104,Resumo_Trocas!$F:$F,P$27,Resumo_Trocas!$C:$C,"&gt;0")</f>
        <v>0</v>
      </c>
      <c r="Q104" s="61">
        <f>SUMIFS(Resumo_Trocas!$D:$D,Resumo_Trocas!$A:$A,$C104,Resumo_Trocas!$F:$F,Q$27,Resumo_Trocas!$C:$C,"&gt;0")</f>
        <v>0</v>
      </c>
      <c r="R104" s="61">
        <f>SUMIFS(Resumo_Trocas!$D:$D,Resumo_Trocas!$A:$A,$C104,Resumo_Trocas!$F:$F,R$27,Resumo_Trocas!$C:$C,"&gt;0")</f>
        <v>0</v>
      </c>
      <c r="S104" s="61">
        <f>SUMIFS(Resumo_Trocas!$D:$D,Resumo_Trocas!$A:$A,$C104,Resumo_Trocas!$F:$F,S$27,Resumo_Trocas!$C:$C,"&gt;0")</f>
        <v>0</v>
      </c>
      <c r="T104" s="61">
        <f>SUMIFS(Resumo_Trocas!$D:$D,Resumo_Trocas!$A:$A,$C104,Resumo_Trocas!$F:$F,T$27,Resumo_Trocas!$C:$C,"&gt;0")</f>
        <v>0</v>
      </c>
      <c r="U104" s="61">
        <f>SUMIFS(Resumo_Trocas!$D:$D,Resumo_Trocas!$A:$A,$C104,Resumo_Trocas!$F:$F,U$27,Resumo_Trocas!$C:$C,"&gt;0")</f>
        <v>0</v>
      </c>
      <c r="V104" s="61">
        <f>SUMIFS(Resumo_Trocas!$D:$D,Resumo_Trocas!$A:$A,$C104,Resumo_Trocas!$F:$F,V$27,Resumo_Trocas!$C:$C,"&gt;0")</f>
        <v>0</v>
      </c>
    </row>
    <row r="105" spans="2:22" ht="15" customHeight="1" outlineLevel="1" thickBot="1" x14ac:dyDescent="0.3">
      <c r="B105" s="76"/>
      <c r="C105" s="60" t="s">
        <v>331</v>
      </c>
      <c r="D105" s="61">
        <f>SUMIFS(Resumo_Trocas!$D:$D,Resumo_Trocas!$A:$A,$C105,Resumo_Trocas!$F:$F,D$27,Resumo_Trocas!$C:$C,"&gt;0")</f>
        <v>0</v>
      </c>
      <c r="E105" s="61">
        <f>SUMIFS(Resumo_Trocas!$D:$D,Resumo_Trocas!$A:$A,$C105,Resumo_Trocas!$F:$F,E$27,Resumo_Trocas!$C:$C,"&gt;0")</f>
        <v>0</v>
      </c>
      <c r="F105" s="61">
        <f>SUMIFS(Resumo_Trocas!$D:$D,Resumo_Trocas!$A:$A,$C105,Resumo_Trocas!$F:$F,F$27,Resumo_Trocas!$C:$C,"&gt;0")</f>
        <v>0</v>
      </c>
      <c r="G105" s="61">
        <f>SUMIFS(Resumo_Trocas!$D:$D,Resumo_Trocas!$A:$A,$C105,Resumo_Trocas!$F:$F,G$27,Resumo_Trocas!$C:$C,"&gt;0")</f>
        <v>0</v>
      </c>
      <c r="H105" s="61">
        <f>SUMIFS(Resumo_Trocas!$D:$D,Resumo_Trocas!$A:$A,$C105,Resumo_Trocas!$F:$F,H$27,Resumo_Trocas!$C:$C,"&gt;0")</f>
        <v>0</v>
      </c>
      <c r="I105" s="61">
        <f>SUMIFS(Resumo_Trocas!$D:$D,Resumo_Trocas!$A:$A,$C105,Resumo_Trocas!$F:$F,I$27,Resumo_Trocas!$C:$C,"&gt;0")</f>
        <v>0</v>
      </c>
      <c r="J105" s="61">
        <f>SUMIFS(Resumo_Trocas!$D:$D,Resumo_Trocas!$A:$A,$C105,Resumo_Trocas!$F:$F,J$27,Resumo_Trocas!$C:$C,"&gt;0")</f>
        <v>0</v>
      </c>
      <c r="K105" s="61">
        <f>SUMIFS(Resumo_Trocas!$D:$D,Resumo_Trocas!$A:$A,$C105,Resumo_Trocas!$F:$F,K$27,Resumo_Trocas!$C:$C,"&gt;0")</f>
        <v>0</v>
      </c>
      <c r="L105" s="61">
        <f>SUMIFS(Resumo_Trocas!$D:$D,Resumo_Trocas!$A:$A,$C105,Resumo_Trocas!$F:$F,L$27,Resumo_Trocas!$C:$C,"&gt;0")</f>
        <v>0</v>
      </c>
      <c r="M105" s="61">
        <f>SUMIFS(Resumo_Trocas!$D:$D,Resumo_Trocas!$A:$A,$C105,Resumo_Trocas!$F:$F,M$27,Resumo_Trocas!$C:$C,"&gt;0")</f>
        <v>0</v>
      </c>
      <c r="N105" s="61">
        <f>SUMIFS(Resumo_Trocas!$D:$D,Resumo_Trocas!$A:$A,$C105,Resumo_Trocas!$F:$F,N$27,Resumo_Trocas!$C:$C,"&gt;0")</f>
        <v>0</v>
      </c>
      <c r="O105" s="61">
        <f>SUMIFS(Resumo_Trocas!$D:$D,Resumo_Trocas!$A:$A,$C105,Resumo_Trocas!$F:$F,O$27,Resumo_Trocas!$C:$C,"&gt;0")</f>
        <v>0</v>
      </c>
      <c r="P105" s="61">
        <f>SUMIFS(Resumo_Trocas!$D:$D,Resumo_Trocas!$A:$A,$C105,Resumo_Trocas!$F:$F,P$27,Resumo_Trocas!$C:$C,"&gt;0")</f>
        <v>0</v>
      </c>
      <c r="Q105" s="61">
        <f>SUMIFS(Resumo_Trocas!$D:$D,Resumo_Trocas!$A:$A,$C105,Resumo_Trocas!$F:$F,Q$27,Resumo_Trocas!$C:$C,"&gt;0")</f>
        <v>0</v>
      </c>
      <c r="R105" s="61">
        <f>SUMIFS(Resumo_Trocas!$D:$D,Resumo_Trocas!$A:$A,$C105,Resumo_Trocas!$F:$F,R$27,Resumo_Trocas!$C:$C,"&gt;0")</f>
        <v>0</v>
      </c>
      <c r="S105" s="61">
        <f>SUMIFS(Resumo_Trocas!$D:$D,Resumo_Trocas!$A:$A,$C105,Resumo_Trocas!$F:$F,S$27,Resumo_Trocas!$C:$C,"&gt;0")</f>
        <v>0</v>
      </c>
      <c r="T105" s="61">
        <f>SUMIFS(Resumo_Trocas!$D:$D,Resumo_Trocas!$A:$A,$C105,Resumo_Trocas!$F:$F,T$27,Resumo_Trocas!$C:$C,"&gt;0")</f>
        <v>0</v>
      </c>
      <c r="U105" s="61">
        <f>SUMIFS(Resumo_Trocas!$D:$D,Resumo_Trocas!$A:$A,$C105,Resumo_Trocas!$F:$F,U$27,Resumo_Trocas!$C:$C,"&gt;0")</f>
        <v>0</v>
      </c>
      <c r="V105" s="61">
        <f>SUMIFS(Resumo_Trocas!$D:$D,Resumo_Trocas!$A:$A,$C105,Resumo_Trocas!$F:$F,V$27,Resumo_Trocas!$C:$C,"&gt;0")</f>
        <v>0</v>
      </c>
    </row>
    <row r="106" spans="2:22" ht="15" customHeight="1" outlineLevel="1" thickBot="1" x14ac:dyDescent="0.3">
      <c r="B106" s="76"/>
      <c r="C106" s="60" t="s">
        <v>332</v>
      </c>
      <c r="D106" s="61">
        <f>SUMIFS(Resumo_Trocas!$D:$D,Resumo_Trocas!$A:$A,$C106,Resumo_Trocas!$F:$F,D$27,Resumo_Trocas!$C:$C,"&gt;0")</f>
        <v>0</v>
      </c>
      <c r="E106" s="61">
        <f>SUMIFS(Resumo_Trocas!$D:$D,Resumo_Trocas!$A:$A,$C106,Resumo_Trocas!$F:$F,E$27,Resumo_Trocas!$C:$C,"&gt;0")</f>
        <v>0</v>
      </c>
      <c r="F106" s="61">
        <f>SUMIFS(Resumo_Trocas!$D:$D,Resumo_Trocas!$A:$A,$C106,Resumo_Trocas!$F:$F,F$27,Resumo_Trocas!$C:$C,"&gt;0")</f>
        <v>0</v>
      </c>
      <c r="G106" s="61">
        <f>SUMIFS(Resumo_Trocas!$D:$D,Resumo_Trocas!$A:$A,$C106,Resumo_Trocas!$F:$F,G$27,Resumo_Trocas!$C:$C,"&gt;0")</f>
        <v>0</v>
      </c>
      <c r="H106" s="61">
        <f>SUMIFS(Resumo_Trocas!$D:$D,Resumo_Trocas!$A:$A,$C106,Resumo_Trocas!$F:$F,H$27,Resumo_Trocas!$C:$C,"&gt;0")</f>
        <v>0</v>
      </c>
      <c r="I106" s="61">
        <f>SUMIFS(Resumo_Trocas!$D:$D,Resumo_Trocas!$A:$A,$C106,Resumo_Trocas!$F:$F,I$27,Resumo_Trocas!$C:$C,"&gt;0")</f>
        <v>0</v>
      </c>
      <c r="J106" s="61">
        <f>SUMIFS(Resumo_Trocas!$D:$D,Resumo_Trocas!$A:$A,$C106,Resumo_Trocas!$F:$F,J$27,Resumo_Trocas!$C:$C,"&gt;0")</f>
        <v>0</v>
      </c>
      <c r="K106" s="61">
        <f>SUMIFS(Resumo_Trocas!$D:$D,Resumo_Trocas!$A:$A,$C106,Resumo_Trocas!$F:$F,K$27,Resumo_Trocas!$C:$C,"&gt;0")</f>
        <v>0</v>
      </c>
      <c r="L106" s="61">
        <f>SUMIFS(Resumo_Trocas!$D:$D,Resumo_Trocas!$A:$A,$C106,Resumo_Trocas!$F:$F,L$27,Resumo_Trocas!$C:$C,"&gt;0")</f>
        <v>0</v>
      </c>
      <c r="M106" s="61">
        <f>SUMIFS(Resumo_Trocas!$D:$D,Resumo_Trocas!$A:$A,$C106,Resumo_Trocas!$F:$F,M$27,Resumo_Trocas!$C:$C,"&gt;0")</f>
        <v>0</v>
      </c>
      <c r="N106" s="61">
        <f>SUMIFS(Resumo_Trocas!$D:$D,Resumo_Trocas!$A:$A,$C106,Resumo_Trocas!$F:$F,N$27,Resumo_Trocas!$C:$C,"&gt;0")</f>
        <v>0</v>
      </c>
      <c r="O106" s="61">
        <f>SUMIFS(Resumo_Trocas!$D:$D,Resumo_Trocas!$A:$A,$C106,Resumo_Trocas!$F:$F,O$27,Resumo_Trocas!$C:$C,"&gt;0")</f>
        <v>0</v>
      </c>
      <c r="P106" s="61">
        <f>SUMIFS(Resumo_Trocas!$D:$D,Resumo_Trocas!$A:$A,$C106,Resumo_Trocas!$F:$F,P$27,Resumo_Trocas!$C:$C,"&gt;0")</f>
        <v>0</v>
      </c>
      <c r="Q106" s="61">
        <f>SUMIFS(Resumo_Trocas!$D:$D,Resumo_Trocas!$A:$A,$C106,Resumo_Trocas!$F:$F,Q$27,Resumo_Trocas!$C:$C,"&gt;0")</f>
        <v>0</v>
      </c>
      <c r="R106" s="61">
        <f>SUMIFS(Resumo_Trocas!$D:$D,Resumo_Trocas!$A:$A,$C106,Resumo_Trocas!$F:$F,R$27,Resumo_Trocas!$C:$C,"&gt;0")</f>
        <v>0</v>
      </c>
      <c r="S106" s="61">
        <f>SUMIFS(Resumo_Trocas!$D:$D,Resumo_Trocas!$A:$A,$C106,Resumo_Trocas!$F:$F,S$27,Resumo_Trocas!$C:$C,"&gt;0")</f>
        <v>0</v>
      </c>
      <c r="T106" s="61">
        <f>SUMIFS(Resumo_Trocas!$D:$D,Resumo_Trocas!$A:$A,$C106,Resumo_Trocas!$F:$F,T$27,Resumo_Trocas!$C:$C,"&gt;0")</f>
        <v>0</v>
      </c>
      <c r="U106" s="61">
        <f>SUMIFS(Resumo_Trocas!$D:$D,Resumo_Trocas!$A:$A,$C106,Resumo_Trocas!$F:$F,U$27,Resumo_Trocas!$C:$C,"&gt;0")</f>
        <v>0</v>
      </c>
      <c r="V106" s="61">
        <f>SUMIFS(Resumo_Trocas!$D:$D,Resumo_Trocas!$A:$A,$C106,Resumo_Trocas!$F:$F,V$27,Resumo_Trocas!$C:$C,"&gt;0")</f>
        <v>0</v>
      </c>
    </row>
    <row r="107" spans="2:22" ht="15" customHeight="1" outlineLevel="1" thickBot="1" x14ac:dyDescent="0.3">
      <c r="B107" s="76"/>
      <c r="C107" s="60" t="s">
        <v>333</v>
      </c>
      <c r="D107" s="61">
        <f>SUMIFS(Resumo_Trocas!$D:$D,Resumo_Trocas!$A:$A,$C107,Resumo_Trocas!$F:$F,D$27,Resumo_Trocas!$C:$C,"&gt;0")</f>
        <v>2</v>
      </c>
      <c r="E107" s="61">
        <f>SUMIFS(Resumo_Trocas!$D:$D,Resumo_Trocas!$A:$A,$C107,Resumo_Trocas!$F:$F,E$27,Resumo_Trocas!$C:$C,"&gt;0")</f>
        <v>0</v>
      </c>
      <c r="F107" s="61">
        <f>SUMIFS(Resumo_Trocas!$D:$D,Resumo_Trocas!$A:$A,$C107,Resumo_Trocas!$F:$F,F$27,Resumo_Trocas!$C:$C,"&gt;0")</f>
        <v>0</v>
      </c>
      <c r="G107" s="61">
        <f>SUMIFS(Resumo_Trocas!$D:$D,Resumo_Trocas!$A:$A,$C107,Resumo_Trocas!$F:$F,G$27,Resumo_Trocas!$C:$C,"&gt;0")</f>
        <v>0</v>
      </c>
      <c r="H107" s="61">
        <f>SUMIFS(Resumo_Trocas!$D:$D,Resumo_Trocas!$A:$A,$C107,Resumo_Trocas!$F:$F,H$27,Resumo_Trocas!$C:$C,"&gt;0")</f>
        <v>0</v>
      </c>
      <c r="I107" s="61">
        <f>SUMIFS(Resumo_Trocas!$D:$D,Resumo_Trocas!$A:$A,$C107,Resumo_Trocas!$F:$F,I$27,Resumo_Trocas!$C:$C,"&gt;0")</f>
        <v>0</v>
      </c>
      <c r="J107" s="61">
        <f>SUMIFS(Resumo_Trocas!$D:$D,Resumo_Trocas!$A:$A,$C107,Resumo_Trocas!$F:$F,J$27,Resumo_Trocas!$C:$C,"&gt;0")</f>
        <v>0</v>
      </c>
      <c r="K107" s="61">
        <f>SUMIFS(Resumo_Trocas!$D:$D,Resumo_Trocas!$A:$A,$C107,Resumo_Trocas!$F:$F,K$27,Resumo_Trocas!$C:$C,"&gt;0")</f>
        <v>0</v>
      </c>
      <c r="L107" s="61">
        <f>SUMIFS(Resumo_Trocas!$D:$D,Resumo_Trocas!$A:$A,$C107,Resumo_Trocas!$F:$F,L$27,Resumo_Trocas!$C:$C,"&gt;0")</f>
        <v>0</v>
      </c>
      <c r="M107" s="61">
        <f>SUMIFS(Resumo_Trocas!$D:$D,Resumo_Trocas!$A:$A,$C107,Resumo_Trocas!$F:$F,M$27,Resumo_Trocas!$C:$C,"&gt;0")</f>
        <v>0</v>
      </c>
      <c r="N107" s="61">
        <f>SUMIFS(Resumo_Trocas!$D:$D,Resumo_Trocas!$A:$A,$C107,Resumo_Trocas!$F:$F,N$27,Resumo_Trocas!$C:$C,"&gt;0")</f>
        <v>0</v>
      </c>
      <c r="O107" s="61">
        <f>SUMIFS(Resumo_Trocas!$D:$D,Resumo_Trocas!$A:$A,$C107,Resumo_Trocas!$F:$F,O$27,Resumo_Trocas!$C:$C,"&gt;0")</f>
        <v>0</v>
      </c>
      <c r="P107" s="61">
        <f>SUMIFS(Resumo_Trocas!$D:$D,Resumo_Trocas!$A:$A,$C107,Resumo_Trocas!$F:$F,P$27,Resumo_Trocas!$C:$C,"&gt;0")</f>
        <v>0</v>
      </c>
      <c r="Q107" s="61">
        <f>SUMIFS(Resumo_Trocas!$D:$D,Resumo_Trocas!$A:$A,$C107,Resumo_Trocas!$F:$F,Q$27,Resumo_Trocas!$C:$C,"&gt;0")</f>
        <v>0</v>
      </c>
      <c r="R107" s="61">
        <f>SUMIFS(Resumo_Trocas!$D:$D,Resumo_Trocas!$A:$A,$C107,Resumo_Trocas!$F:$F,R$27,Resumo_Trocas!$C:$C,"&gt;0")</f>
        <v>0</v>
      </c>
      <c r="S107" s="61">
        <f>SUMIFS(Resumo_Trocas!$D:$D,Resumo_Trocas!$A:$A,$C107,Resumo_Trocas!$F:$F,S$27,Resumo_Trocas!$C:$C,"&gt;0")</f>
        <v>0</v>
      </c>
      <c r="T107" s="61">
        <f>SUMIFS(Resumo_Trocas!$D:$D,Resumo_Trocas!$A:$A,$C107,Resumo_Trocas!$F:$F,T$27,Resumo_Trocas!$C:$C,"&gt;0")</f>
        <v>0</v>
      </c>
      <c r="U107" s="61">
        <f>SUMIFS(Resumo_Trocas!$D:$D,Resumo_Trocas!$A:$A,$C107,Resumo_Trocas!$F:$F,U$27,Resumo_Trocas!$C:$C,"&gt;0")</f>
        <v>0</v>
      </c>
      <c r="V107" s="61">
        <f>SUMIFS(Resumo_Trocas!$D:$D,Resumo_Trocas!$A:$A,$C107,Resumo_Trocas!$F:$F,V$27,Resumo_Trocas!$C:$C,"&gt;0")</f>
        <v>0</v>
      </c>
    </row>
    <row r="108" spans="2:22" ht="15" customHeight="1" outlineLevel="1" thickBot="1" x14ac:dyDescent="0.3">
      <c r="B108" s="76"/>
      <c r="C108" s="60" t="s">
        <v>334</v>
      </c>
      <c r="D108" s="61">
        <f>SUMIFS(Resumo_Trocas!$D:$D,Resumo_Trocas!$A:$A,$C108,Resumo_Trocas!$F:$F,D$27,Resumo_Trocas!$C:$C,"&gt;0")</f>
        <v>0</v>
      </c>
      <c r="E108" s="61">
        <f>SUMIFS(Resumo_Trocas!$D:$D,Resumo_Trocas!$A:$A,$C108,Resumo_Trocas!$F:$F,E$27,Resumo_Trocas!$C:$C,"&gt;0")</f>
        <v>0</v>
      </c>
      <c r="F108" s="61">
        <f>SUMIFS(Resumo_Trocas!$D:$D,Resumo_Trocas!$A:$A,$C108,Resumo_Trocas!$F:$F,F$27,Resumo_Trocas!$C:$C,"&gt;0")</f>
        <v>0</v>
      </c>
      <c r="G108" s="61">
        <f>SUMIFS(Resumo_Trocas!$D:$D,Resumo_Trocas!$A:$A,$C108,Resumo_Trocas!$F:$F,G$27,Resumo_Trocas!$C:$C,"&gt;0")</f>
        <v>0</v>
      </c>
      <c r="H108" s="61">
        <f>SUMIFS(Resumo_Trocas!$D:$D,Resumo_Trocas!$A:$A,$C108,Resumo_Trocas!$F:$F,H$27,Resumo_Trocas!$C:$C,"&gt;0")</f>
        <v>0</v>
      </c>
      <c r="I108" s="61">
        <f>SUMIFS(Resumo_Trocas!$D:$D,Resumo_Trocas!$A:$A,$C108,Resumo_Trocas!$F:$F,I$27,Resumo_Trocas!$C:$C,"&gt;0")</f>
        <v>0</v>
      </c>
      <c r="J108" s="61">
        <f>SUMIFS(Resumo_Trocas!$D:$D,Resumo_Trocas!$A:$A,$C108,Resumo_Trocas!$F:$F,J$27,Resumo_Trocas!$C:$C,"&gt;0")</f>
        <v>0</v>
      </c>
      <c r="K108" s="61">
        <f>SUMIFS(Resumo_Trocas!$D:$D,Resumo_Trocas!$A:$A,$C108,Resumo_Trocas!$F:$F,K$27,Resumo_Trocas!$C:$C,"&gt;0")</f>
        <v>0</v>
      </c>
      <c r="L108" s="61">
        <f>SUMIFS(Resumo_Trocas!$D:$D,Resumo_Trocas!$A:$A,$C108,Resumo_Trocas!$F:$F,L$27,Resumo_Trocas!$C:$C,"&gt;0")</f>
        <v>0</v>
      </c>
      <c r="M108" s="61">
        <f>SUMIFS(Resumo_Trocas!$D:$D,Resumo_Trocas!$A:$A,$C108,Resumo_Trocas!$F:$F,M$27,Resumo_Trocas!$C:$C,"&gt;0")</f>
        <v>0</v>
      </c>
      <c r="N108" s="61">
        <f>SUMIFS(Resumo_Trocas!$D:$D,Resumo_Trocas!$A:$A,$C108,Resumo_Trocas!$F:$F,N$27,Resumo_Trocas!$C:$C,"&gt;0")</f>
        <v>0</v>
      </c>
      <c r="O108" s="61">
        <f>SUMIFS(Resumo_Trocas!$D:$D,Resumo_Trocas!$A:$A,$C108,Resumo_Trocas!$F:$F,O$27,Resumo_Trocas!$C:$C,"&gt;0")</f>
        <v>0</v>
      </c>
      <c r="P108" s="61">
        <f>SUMIFS(Resumo_Trocas!$D:$D,Resumo_Trocas!$A:$A,$C108,Resumo_Trocas!$F:$F,P$27,Resumo_Trocas!$C:$C,"&gt;0")</f>
        <v>0</v>
      </c>
      <c r="Q108" s="61">
        <f>SUMIFS(Resumo_Trocas!$D:$D,Resumo_Trocas!$A:$A,$C108,Resumo_Trocas!$F:$F,Q$27,Resumo_Trocas!$C:$C,"&gt;0")</f>
        <v>0</v>
      </c>
      <c r="R108" s="61">
        <f>SUMIFS(Resumo_Trocas!$D:$D,Resumo_Trocas!$A:$A,$C108,Resumo_Trocas!$F:$F,R$27,Resumo_Trocas!$C:$C,"&gt;0")</f>
        <v>0</v>
      </c>
      <c r="S108" s="61">
        <f>SUMIFS(Resumo_Trocas!$D:$D,Resumo_Trocas!$A:$A,$C108,Resumo_Trocas!$F:$F,S$27,Resumo_Trocas!$C:$C,"&gt;0")</f>
        <v>0</v>
      </c>
      <c r="T108" s="61">
        <f>SUMIFS(Resumo_Trocas!$D:$D,Resumo_Trocas!$A:$A,$C108,Resumo_Trocas!$F:$F,T$27,Resumo_Trocas!$C:$C,"&gt;0")</f>
        <v>0</v>
      </c>
      <c r="U108" s="61">
        <f>SUMIFS(Resumo_Trocas!$D:$D,Resumo_Trocas!$A:$A,$C108,Resumo_Trocas!$F:$F,U$27,Resumo_Trocas!$C:$C,"&gt;0")</f>
        <v>0</v>
      </c>
      <c r="V108" s="61">
        <f>SUMIFS(Resumo_Trocas!$D:$D,Resumo_Trocas!$A:$A,$C108,Resumo_Trocas!$F:$F,V$27,Resumo_Trocas!$C:$C,"&gt;0")</f>
        <v>0</v>
      </c>
    </row>
    <row r="109" spans="2:22" ht="21" x14ac:dyDescent="0.35">
      <c r="C109" s="71"/>
    </row>
    <row r="110" spans="2:22" ht="21" x14ac:dyDescent="0.35">
      <c r="C110" s="71" t="s">
        <v>3356</v>
      </c>
    </row>
    <row r="111" spans="2:22" ht="15" customHeight="1" x14ac:dyDescent="0.35">
      <c r="B111" s="70" t="s">
        <v>3395</v>
      </c>
      <c r="C111" s="71" t="s">
        <v>3429</v>
      </c>
    </row>
    <row r="112" spans="2:22" x14ac:dyDescent="0.25">
      <c r="B112" s="72" t="s">
        <v>3395</v>
      </c>
      <c r="C112" s="58" t="s">
        <v>3397</v>
      </c>
      <c r="D112" s="59" t="s">
        <v>3372</v>
      </c>
      <c r="E112" s="59" t="s">
        <v>3373</v>
      </c>
      <c r="F112" s="59" t="s">
        <v>3374</v>
      </c>
      <c r="G112" s="59" t="s">
        <v>3370</v>
      </c>
      <c r="H112" s="59" t="s">
        <v>3371</v>
      </c>
      <c r="I112" s="59" t="s">
        <v>3375</v>
      </c>
      <c r="J112" s="59" t="s">
        <v>3367</v>
      </c>
      <c r="K112" s="59" t="s">
        <v>3368</v>
      </c>
      <c r="L112" s="59" t="s">
        <v>3369</v>
      </c>
      <c r="M112" s="59" t="s">
        <v>3358</v>
      </c>
      <c r="N112" s="59" t="s">
        <v>3363</v>
      </c>
      <c r="O112" s="59" t="s">
        <v>3361</v>
      </c>
      <c r="P112" s="59" t="s">
        <v>3359</v>
      </c>
      <c r="Q112" s="59" t="s">
        <v>3366</v>
      </c>
      <c r="R112" s="59" t="s">
        <v>3364</v>
      </c>
      <c r="S112" s="59" t="s">
        <v>3360</v>
      </c>
      <c r="T112" s="59" t="s">
        <v>3362</v>
      </c>
      <c r="U112" s="59" t="s">
        <v>3365</v>
      </c>
      <c r="V112" s="59" t="s">
        <v>3382</v>
      </c>
    </row>
    <row r="113" spans="2:22" s="75" customFormat="1" ht="25.5" x14ac:dyDescent="0.35">
      <c r="B113" s="73" t="s">
        <v>3395</v>
      </c>
      <c r="C113" s="74" t="s">
        <v>3398</v>
      </c>
      <c r="D113" s="57">
        <f>IFERROR(SUM(D114:D123)," ")</f>
        <v>8</v>
      </c>
      <c r="E113" s="57">
        <f t="shared" ref="E113:V113" si="17">IFERROR(SUM(E114:E123)," ")</f>
        <v>5</v>
      </c>
      <c r="F113" s="57">
        <f t="shared" si="17"/>
        <v>4</v>
      </c>
      <c r="G113" s="57">
        <f t="shared" si="17"/>
        <v>3</v>
      </c>
      <c r="H113" s="57">
        <f t="shared" si="17"/>
        <v>3</v>
      </c>
      <c r="I113" s="57">
        <f t="shared" si="17"/>
        <v>0</v>
      </c>
      <c r="J113" s="57">
        <f t="shared" si="17"/>
        <v>6</v>
      </c>
      <c r="K113" s="57">
        <f t="shared" si="17"/>
        <v>3</v>
      </c>
      <c r="L113" s="57">
        <f t="shared" si="17"/>
        <v>3</v>
      </c>
      <c r="M113" s="57">
        <f t="shared" si="17"/>
        <v>2</v>
      </c>
      <c r="N113" s="57">
        <f t="shared" si="17"/>
        <v>4</v>
      </c>
      <c r="O113" s="57">
        <f t="shared" si="17"/>
        <v>2</v>
      </c>
      <c r="P113" s="57">
        <f t="shared" si="17"/>
        <v>2</v>
      </c>
      <c r="Q113" s="57">
        <f t="shared" si="17"/>
        <v>1</v>
      </c>
      <c r="R113" s="57">
        <f t="shared" si="17"/>
        <v>0</v>
      </c>
      <c r="S113" s="57">
        <f t="shared" si="17"/>
        <v>6</v>
      </c>
      <c r="T113" s="57">
        <f t="shared" si="17"/>
        <v>5</v>
      </c>
      <c r="U113" s="57">
        <f t="shared" si="17"/>
        <v>0</v>
      </c>
      <c r="V113" s="57">
        <f t="shared" si="17"/>
        <v>0</v>
      </c>
    </row>
    <row r="114" spans="2:22" ht="15" customHeight="1" outlineLevel="1" thickBot="1" x14ac:dyDescent="0.3">
      <c r="B114" s="76"/>
      <c r="C114" s="60" t="s">
        <v>400</v>
      </c>
      <c r="D114" s="61">
        <f>SUMIFS(Resumo_Trocas!$D:$D,Resumo_Trocas!$A:$A,$C114,Resumo_Trocas!$F:$F,D$27,Resumo_Trocas!$C:$C,"&gt;0")</f>
        <v>0</v>
      </c>
      <c r="E114" s="61">
        <f>SUMIFS(Resumo_Trocas!$D:$D,Resumo_Trocas!$A:$A,$C114,Resumo_Trocas!$F:$F,E$27,Resumo_Trocas!$C:$C,"&gt;0")</f>
        <v>1</v>
      </c>
      <c r="F114" s="61">
        <f>SUMIFS(Resumo_Trocas!$D:$D,Resumo_Trocas!$A:$A,$C114,Resumo_Trocas!$F:$F,F$27,Resumo_Trocas!$C:$C,"&gt;0")</f>
        <v>0</v>
      </c>
      <c r="G114" s="61">
        <f>SUMIFS(Resumo_Trocas!$D:$D,Resumo_Trocas!$A:$A,$C114,Resumo_Trocas!$F:$F,G$27,Resumo_Trocas!$C:$C,"&gt;0")</f>
        <v>0</v>
      </c>
      <c r="H114" s="61">
        <f>SUMIFS(Resumo_Trocas!$D:$D,Resumo_Trocas!$A:$A,$C114,Resumo_Trocas!$F:$F,H$27,Resumo_Trocas!$C:$C,"&gt;0")</f>
        <v>0</v>
      </c>
      <c r="I114" s="61">
        <f>SUMIFS(Resumo_Trocas!$D:$D,Resumo_Trocas!$A:$A,$C114,Resumo_Trocas!$F:$F,I$27,Resumo_Trocas!$C:$C,"&gt;0")</f>
        <v>0</v>
      </c>
      <c r="J114" s="61">
        <f>SUMIFS(Resumo_Trocas!$D:$D,Resumo_Trocas!$A:$A,$C114,Resumo_Trocas!$F:$F,J$27,Resumo_Trocas!$C:$C,"&gt;0")</f>
        <v>1</v>
      </c>
      <c r="K114" s="61">
        <f>SUMIFS(Resumo_Trocas!$D:$D,Resumo_Trocas!$A:$A,$C114,Resumo_Trocas!$F:$F,K$27,Resumo_Trocas!$C:$C,"&gt;0")</f>
        <v>0</v>
      </c>
      <c r="L114" s="61">
        <f>SUMIFS(Resumo_Trocas!$D:$D,Resumo_Trocas!$A:$A,$C114,Resumo_Trocas!$F:$F,L$27,Resumo_Trocas!$C:$C,"&gt;0")</f>
        <v>1</v>
      </c>
      <c r="M114" s="61">
        <f>SUMIFS(Resumo_Trocas!$D:$D,Resumo_Trocas!$A:$A,$C114,Resumo_Trocas!$F:$F,M$27,Resumo_Trocas!$C:$C,"&gt;0")</f>
        <v>0</v>
      </c>
      <c r="N114" s="61">
        <f>SUMIFS(Resumo_Trocas!$D:$D,Resumo_Trocas!$A:$A,$C114,Resumo_Trocas!$F:$F,N$27,Resumo_Trocas!$C:$C,"&gt;0")</f>
        <v>0</v>
      </c>
      <c r="O114" s="61">
        <f>SUMIFS(Resumo_Trocas!$D:$D,Resumo_Trocas!$A:$A,$C114,Resumo_Trocas!$F:$F,O$27,Resumo_Trocas!$C:$C,"&gt;0")</f>
        <v>1</v>
      </c>
      <c r="P114" s="61">
        <f>SUMIFS(Resumo_Trocas!$D:$D,Resumo_Trocas!$A:$A,$C114,Resumo_Trocas!$F:$F,P$27,Resumo_Trocas!$C:$C,"&gt;0")</f>
        <v>0</v>
      </c>
      <c r="Q114" s="61">
        <f>SUMIFS(Resumo_Trocas!$D:$D,Resumo_Trocas!$A:$A,$C114,Resumo_Trocas!$F:$F,Q$27,Resumo_Trocas!$C:$C,"&gt;0")</f>
        <v>0</v>
      </c>
      <c r="R114" s="61">
        <f>SUMIFS(Resumo_Trocas!$D:$D,Resumo_Trocas!$A:$A,$C114,Resumo_Trocas!$F:$F,R$27,Resumo_Trocas!$C:$C,"&gt;0")</f>
        <v>0</v>
      </c>
      <c r="S114" s="61">
        <f>SUMIFS(Resumo_Trocas!$D:$D,Resumo_Trocas!$A:$A,$C114,Resumo_Trocas!$F:$F,S$27,Resumo_Trocas!$C:$C,"&gt;0")</f>
        <v>0</v>
      </c>
      <c r="T114" s="61">
        <f>SUMIFS(Resumo_Trocas!$D:$D,Resumo_Trocas!$A:$A,$C114,Resumo_Trocas!$F:$F,T$27,Resumo_Trocas!$C:$C,"&gt;0")</f>
        <v>0</v>
      </c>
      <c r="U114" s="61">
        <f>SUMIFS(Resumo_Trocas!$D:$D,Resumo_Trocas!$A:$A,$C114,Resumo_Trocas!$F:$F,U$27,Resumo_Trocas!$C:$C,"&gt;0")</f>
        <v>0</v>
      </c>
      <c r="V114" s="61">
        <f>SUMIFS(Resumo_Trocas!$D:$D,Resumo_Trocas!$A:$A,$C114,Resumo_Trocas!$F:$F,V$27,Resumo_Trocas!$C:$C,"&gt;0")</f>
        <v>0</v>
      </c>
    </row>
    <row r="115" spans="2:22" ht="15" customHeight="1" outlineLevel="1" thickBot="1" x14ac:dyDescent="0.3">
      <c r="B115" s="76"/>
      <c r="C115" s="60" t="s">
        <v>401</v>
      </c>
      <c r="D115" s="61">
        <f>SUMIFS(Resumo_Trocas!$D:$D,Resumo_Trocas!$A:$A,$C115,Resumo_Trocas!$F:$F,D$27,Resumo_Trocas!$C:$C,"&gt;0")</f>
        <v>1</v>
      </c>
      <c r="E115" s="61">
        <f>SUMIFS(Resumo_Trocas!$D:$D,Resumo_Trocas!$A:$A,$C115,Resumo_Trocas!$F:$F,E$27,Resumo_Trocas!$C:$C,"&gt;0")</f>
        <v>0</v>
      </c>
      <c r="F115" s="61">
        <f>SUMIFS(Resumo_Trocas!$D:$D,Resumo_Trocas!$A:$A,$C115,Resumo_Trocas!$F:$F,F$27,Resumo_Trocas!$C:$C,"&gt;0")</f>
        <v>0</v>
      </c>
      <c r="G115" s="61">
        <f>SUMIFS(Resumo_Trocas!$D:$D,Resumo_Trocas!$A:$A,$C115,Resumo_Trocas!$F:$F,G$27,Resumo_Trocas!$C:$C,"&gt;0")</f>
        <v>0</v>
      </c>
      <c r="H115" s="61">
        <f>SUMIFS(Resumo_Trocas!$D:$D,Resumo_Trocas!$A:$A,$C115,Resumo_Trocas!$F:$F,H$27,Resumo_Trocas!$C:$C,"&gt;0")</f>
        <v>0</v>
      </c>
      <c r="I115" s="61">
        <f>SUMIFS(Resumo_Trocas!$D:$D,Resumo_Trocas!$A:$A,$C115,Resumo_Trocas!$F:$F,I$27,Resumo_Trocas!$C:$C,"&gt;0")</f>
        <v>0</v>
      </c>
      <c r="J115" s="61">
        <f>SUMIFS(Resumo_Trocas!$D:$D,Resumo_Trocas!$A:$A,$C115,Resumo_Trocas!$F:$F,J$27,Resumo_Trocas!$C:$C,"&gt;0")</f>
        <v>0</v>
      </c>
      <c r="K115" s="61">
        <f>SUMIFS(Resumo_Trocas!$D:$D,Resumo_Trocas!$A:$A,$C115,Resumo_Trocas!$F:$F,K$27,Resumo_Trocas!$C:$C,"&gt;0")</f>
        <v>0</v>
      </c>
      <c r="L115" s="61">
        <f>SUMIFS(Resumo_Trocas!$D:$D,Resumo_Trocas!$A:$A,$C115,Resumo_Trocas!$F:$F,L$27,Resumo_Trocas!$C:$C,"&gt;0")</f>
        <v>0</v>
      </c>
      <c r="M115" s="61">
        <f>SUMIFS(Resumo_Trocas!$D:$D,Resumo_Trocas!$A:$A,$C115,Resumo_Trocas!$F:$F,M$27,Resumo_Trocas!$C:$C,"&gt;0")</f>
        <v>0</v>
      </c>
      <c r="N115" s="61">
        <f>SUMIFS(Resumo_Trocas!$D:$D,Resumo_Trocas!$A:$A,$C115,Resumo_Trocas!$F:$F,N$27,Resumo_Trocas!$C:$C,"&gt;0")</f>
        <v>0</v>
      </c>
      <c r="O115" s="61">
        <f>SUMIFS(Resumo_Trocas!$D:$D,Resumo_Trocas!$A:$A,$C115,Resumo_Trocas!$F:$F,O$27,Resumo_Trocas!$C:$C,"&gt;0")</f>
        <v>0</v>
      </c>
      <c r="P115" s="61">
        <f>SUMIFS(Resumo_Trocas!$D:$D,Resumo_Trocas!$A:$A,$C115,Resumo_Trocas!$F:$F,P$27,Resumo_Trocas!$C:$C,"&gt;0")</f>
        <v>0</v>
      </c>
      <c r="Q115" s="61">
        <f>SUMIFS(Resumo_Trocas!$D:$D,Resumo_Trocas!$A:$A,$C115,Resumo_Trocas!$F:$F,Q$27,Resumo_Trocas!$C:$C,"&gt;0")</f>
        <v>0</v>
      </c>
      <c r="R115" s="61">
        <f>SUMIFS(Resumo_Trocas!$D:$D,Resumo_Trocas!$A:$A,$C115,Resumo_Trocas!$F:$F,R$27,Resumo_Trocas!$C:$C,"&gt;0")</f>
        <v>0</v>
      </c>
      <c r="S115" s="61">
        <f>SUMIFS(Resumo_Trocas!$D:$D,Resumo_Trocas!$A:$A,$C115,Resumo_Trocas!$F:$F,S$27,Resumo_Trocas!$C:$C,"&gt;0")</f>
        <v>0</v>
      </c>
      <c r="T115" s="61">
        <f>SUMIFS(Resumo_Trocas!$D:$D,Resumo_Trocas!$A:$A,$C115,Resumo_Trocas!$F:$F,T$27,Resumo_Trocas!$C:$C,"&gt;0")</f>
        <v>0</v>
      </c>
      <c r="U115" s="61">
        <f>SUMIFS(Resumo_Trocas!$D:$D,Resumo_Trocas!$A:$A,$C115,Resumo_Trocas!$F:$F,U$27,Resumo_Trocas!$C:$C,"&gt;0")</f>
        <v>0</v>
      </c>
      <c r="V115" s="61">
        <f>SUMIFS(Resumo_Trocas!$D:$D,Resumo_Trocas!$A:$A,$C115,Resumo_Trocas!$F:$F,V$27,Resumo_Trocas!$C:$C,"&gt;0")</f>
        <v>0</v>
      </c>
    </row>
    <row r="116" spans="2:22" ht="15" customHeight="1" outlineLevel="1" thickBot="1" x14ac:dyDescent="0.3">
      <c r="B116" s="76"/>
      <c r="C116" s="60" t="s">
        <v>405</v>
      </c>
      <c r="D116" s="61">
        <f>SUMIFS(Resumo_Trocas!$D:$D,Resumo_Trocas!$A:$A,$C116,Resumo_Trocas!$F:$F,D$27,Resumo_Trocas!$C:$C,"&gt;0")</f>
        <v>3</v>
      </c>
      <c r="E116" s="61">
        <f>SUMIFS(Resumo_Trocas!$D:$D,Resumo_Trocas!$A:$A,$C116,Resumo_Trocas!$F:$F,E$27,Resumo_Trocas!$C:$C,"&gt;0")</f>
        <v>1</v>
      </c>
      <c r="F116" s="61">
        <f>SUMIFS(Resumo_Trocas!$D:$D,Resumo_Trocas!$A:$A,$C116,Resumo_Trocas!$F:$F,F$27,Resumo_Trocas!$C:$C,"&gt;0")</f>
        <v>1</v>
      </c>
      <c r="G116" s="61">
        <f>SUMIFS(Resumo_Trocas!$D:$D,Resumo_Trocas!$A:$A,$C116,Resumo_Trocas!$F:$F,G$27,Resumo_Trocas!$C:$C,"&gt;0")</f>
        <v>0</v>
      </c>
      <c r="H116" s="61">
        <f>SUMIFS(Resumo_Trocas!$D:$D,Resumo_Trocas!$A:$A,$C116,Resumo_Trocas!$F:$F,H$27,Resumo_Trocas!$C:$C,"&gt;0")</f>
        <v>0</v>
      </c>
      <c r="I116" s="61">
        <f>SUMIFS(Resumo_Trocas!$D:$D,Resumo_Trocas!$A:$A,$C116,Resumo_Trocas!$F:$F,I$27,Resumo_Trocas!$C:$C,"&gt;0")</f>
        <v>0</v>
      </c>
      <c r="J116" s="61">
        <f>SUMIFS(Resumo_Trocas!$D:$D,Resumo_Trocas!$A:$A,$C116,Resumo_Trocas!$F:$F,J$27,Resumo_Trocas!$C:$C,"&gt;0")</f>
        <v>1</v>
      </c>
      <c r="K116" s="61">
        <f>SUMIFS(Resumo_Trocas!$D:$D,Resumo_Trocas!$A:$A,$C116,Resumo_Trocas!$F:$F,K$27,Resumo_Trocas!$C:$C,"&gt;0")</f>
        <v>0</v>
      </c>
      <c r="L116" s="61">
        <f>SUMIFS(Resumo_Trocas!$D:$D,Resumo_Trocas!$A:$A,$C116,Resumo_Trocas!$F:$F,L$27,Resumo_Trocas!$C:$C,"&gt;0")</f>
        <v>0</v>
      </c>
      <c r="M116" s="61">
        <f>SUMIFS(Resumo_Trocas!$D:$D,Resumo_Trocas!$A:$A,$C116,Resumo_Trocas!$F:$F,M$27,Resumo_Trocas!$C:$C,"&gt;0")</f>
        <v>0</v>
      </c>
      <c r="N116" s="61">
        <f>SUMIFS(Resumo_Trocas!$D:$D,Resumo_Trocas!$A:$A,$C116,Resumo_Trocas!$F:$F,N$27,Resumo_Trocas!$C:$C,"&gt;0")</f>
        <v>1</v>
      </c>
      <c r="O116" s="61">
        <f>SUMIFS(Resumo_Trocas!$D:$D,Resumo_Trocas!$A:$A,$C116,Resumo_Trocas!$F:$F,O$27,Resumo_Trocas!$C:$C,"&gt;0")</f>
        <v>0</v>
      </c>
      <c r="P116" s="61">
        <f>SUMIFS(Resumo_Trocas!$D:$D,Resumo_Trocas!$A:$A,$C116,Resumo_Trocas!$F:$F,P$27,Resumo_Trocas!$C:$C,"&gt;0")</f>
        <v>0</v>
      </c>
      <c r="Q116" s="61">
        <f>SUMIFS(Resumo_Trocas!$D:$D,Resumo_Trocas!$A:$A,$C116,Resumo_Trocas!$F:$F,Q$27,Resumo_Trocas!$C:$C,"&gt;0")</f>
        <v>0</v>
      </c>
      <c r="R116" s="61">
        <f>SUMIFS(Resumo_Trocas!$D:$D,Resumo_Trocas!$A:$A,$C116,Resumo_Trocas!$F:$F,R$27,Resumo_Trocas!$C:$C,"&gt;0")</f>
        <v>0</v>
      </c>
      <c r="S116" s="61">
        <f>SUMIFS(Resumo_Trocas!$D:$D,Resumo_Trocas!$A:$A,$C116,Resumo_Trocas!$F:$F,S$27,Resumo_Trocas!$C:$C,"&gt;0")</f>
        <v>0</v>
      </c>
      <c r="T116" s="61">
        <f>SUMIFS(Resumo_Trocas!$D:$D,Resumo_Trocas!$A:$A,$C116,Resumo_Trocas!$F:$F,T$27,Resumo_Trocas!$C:$C,"&gt;0")</f>
        <v>1</v>
      </c>
      <c r="U116" s="61">
        <f>SUMIFS(Resumo_Trocas!$D:$D,Resumo_Trocas!$A:$A,$C116,Resumo_Trocas!$F:$F,U$27,Resumo_Trocas!$C:$C,"&gt;0")</f>
        <v>0</v>
      </c>
      <c r="V116" s="61">
        <f>SUMIFS(Resumo_Trocas!$D:$D,Resumo_Trocas!$A:$A,$C116,Resumo_Trocas!$F:$F,V$27,Resumo_Trocas!$C:$C,"&gt;0")</f>
        <v>0</v>
      </c>
    </row>
    <row r="117" spans="2:22" ht="15" customHeight="1" outlineLevel="1" thickBot="1" x14ac:dyDescent="0.3">
      <c r="B117" s="76"/>
      <c r="C117" s="60" t="s">
        <v>409</v>
      </c>
      <c r="D117" s="61">
        <f>SUMIFS(Resumo_Trocas!$D:$D,Resumo_Trocas!$A:$A,$C117,Resumo_Trocas!$F:$F,D$27,Resumo_Trocas!$C:$C,"&gt;0")</f>
        <v>0</v>
      </c>
      <c r="E117" s="61">
        <f>SUMIFS(Resumo_Trocas!$D:$D,Resumo_Trocas!$A:$A,$C117,Resumo_Trocas!$F:$F,E$27,Resumo_Trocas!$C:$C,"&gt;0")</f>
        <v>0</v>
      </c>
      <c r="F117" s="61">
        <f>SUMIFS(Resumo_Trocas!$D:$D,Resumo_Trocas!$A:$A,$C117,Resumo_Trocas!$F:$F,F$27,Resumo_Trocas!$C:$C,"&gt;0")</f>
        <v>0</v>
      </c>
      <c r="G117" s="61">
        <f>SUMIFS(Resumo_Trocas!$D:$D,Resumo_Trocas!$A:$A,$C117,Resumo_Trocas!$F:$F,G$27,Resumo_Trocas!$C:$C,"&gt;0")</f>
        <v>0</v>
      </c>
      <c r="H117" s="61">
        <f>SUMIFS(Resumo_Trocas!$D:$D,Resumo_Trocas!$A:$A,$C117,Resumo_Trocas!$F:$F,H$27,Resumo_Trocas!$C:$C,"&gt;0")</f>
        <v>0</v>
      </c>
      <c r="I117" s="61">
        <f>SUMIFS(Resumo_Trocas!$D:$D,Resumo_Trocas!$A:$A,$C117,Resumo_Trocas!$F:$F,I$27,Resumo_Trocas!$C:$C,"&gt;0")</f>
        <v>0</v>
      </c>
      <c r="J117" s="61">
        <f>SUMIFS(Resumo_Trocas!$D:$D,Resumo_Trocas!$A:$A,$C117,Resumo_Trocas!$F:$F,J$27,Resumo_Trocas!$C:$C,"&gt;0")</f>
        <v>0</v>
      </c>
      <c r="K117" s="61">
        <f>SUMIFS(Resumo_Trocas!$D:$D,Resumo_Trocas!$A:$A,$C117,Resumo_Trocas!$F:$F,K$27,Resumo_Trocas!$C:$C,"&gt;0")</f>
        <v>1</v>
      </c>
      <c r="L117" s="61">
        <f>SUMIFS(Resumo_Trocas!$D:$D,Resumo_Trocas!$A:$A,$C117,Resumo_Trocas!$F:$F,L$27,Resumo_Trocas!$C:$C,"&gt;0")</f>
        <v>0</v>
      </c>
      <c r="M117" s="61">
        <f>SUMIFS(Resumo_Trocas!$D:$D,Resumo_Trocas!$A:$A,$C117,Resumo_Trocas!$F:$F,M$27,Resumo_Trocas!$C:$C,"&gt;0")</f>
        <v>0</v>
      </c>
      <c r="N117" s="61">
        <f>SUMIFS(Resumo_Trocas!$D:$D,Resumo_Trocas!$A:$A,$C117,Resumo_Trocas!$F:$F,N$27,Resumo_Trocas!$C:$C,"&gt;0")</f>
        <v>0</v>
      </c>
      <c r="O117" s="61">
        <f>SUMIFS(Resumo_Trocas!$D:$D,Resumo_Trocas!$A:$A,$C117,Resumo_Trocas!$F:$F,O$27,Resumo_Trocas!$C:$C,"&gt;0")</f>
        <v>0</v>
      </c>
      <c r="P117" s="61">
        <f>SUMIFS(Resumo_Trocas!$D:$D,Resumo_Trocas!$A:$A,$C117,Resumo_Trocas!$F:$F,P$27,Resumo_Trocas!$C:$C,"&gt;0")</f>
        <v>1</v>
      </c>
      <c r="Q117" s="61">
        <f>SUMIFS(Resumo_Trocas!$D:$D,Resumo_Trocas!$A:$A,$C117,Resumo_Trocas!$F:$F,Q$27,Resumo_Trocas!$C:$C,"&gt;0")</f>
        <v>0</v>
      </c>
      <c r="R117" s="61">
        <f>SUMIFS(Resumo_Trocas!$D:$D,Resumo_Trocas!$A:$A,$C117,Resumo_Trocas!$F:$F,R$27,Resumo_Trocas!$C:$C,"&gt;0")</f>
        <v>0</v>
      </c>
      <c r="S117" s="61">
        <f>SUMIFS(Resumo_Trocas!$D:$D,Resumo_Trocas!$A:$A,$C117,Resumo_Trocas!$F:$F,S$27,Resumo_Trocas!$C:$C,"&gt;0")</f>
        <v>0</v>
      </c>
      <c r="T117" s="61">
        <f>SUMIFS(Resumo_Trocas!$D:$D,Resumo_Trocas!$A:$A,$C117,Resumo_Trocas!$F:$F,T$27,Resumo_Trocas!$C:$C,"&gt;0")</f>
        <v>1</v>
      </c>
      <c r="U117" s="61">
        <f>SUMIFS(Resumo_Trocas!$D:$D,Resumo_Trocas!$A:$A,$C117,Resumo_Trocas!$F:$F,U$27,Resumo_Trocas!$C:$C,"&gt;0")</f>
        <v>0</v>
      </c>
      <c r="V117" s="61">
        <f>SUMIFS(Resumo_Trocas!$D:$D,Resumo_Trocas!$A:$A,$C117,Resumo_Trocas!$F:$F,V$27,Resumo_Trocas!$C:$C,"&gt;0")</f>
        <v>0</v>
      </c>
    </row>
    <row r="118" spans="2:22" ht="15" customHeight="1" outlineLevel="1" thickBot="1" x14ac:dyDescent="0.3">
      <c r="B118" s="76"/>
      <c r="C118" s="60" t="s">
        <v>413</v>
      </c>
      <c r="D118" s="61">
        <f>SUMIFS(Resumo_Trocas!$D:$D,Resumo_Trocas!$A:$A,$C118,Resumo_Trocas!$F:$F,D$27,Resumo_Trocas!$C:$C,"&gt;0")</f>
        <v>0</v>
      </c>
      <c r="E118" s="61">
        <f>SUMIFS(Resumo_Trocas!$D:$D,Resumo_Trocas!$A:$A,$C118,Resumo_Trocas!$F:$F,E$27,Resumo_Trocas!$C:$C,"&gt;0")</f>
        <v>0</v>
      </c>
      <c r="F118" s="61">
        <f>SUMIFS(Resumo_Trocas!$D:$D,Resumo_Trocas!$A:$A,$C118,Resumo_Trocas!$F:$F,F$27,Resumo_Trocas!$C:$C,"&gt;0")</f>
        <v>0</v>
      </c>
      <c r="G118" s="61">
        <f>SUMIFS(Resumo_Trocas!$D:$D,Resumo_Trocas!$A:$A,$C118,Resumo_Trocas!$F:$F,G$27,Resumo_Trocas!$C:$C,"&gt;0")</f>
        <v>0</v>
      </c>
      <c r="H118" s="61">
        <f>SUMIFS(Resumo_Trocas!$D:$D,Resumo_Trocas!$A:$A,$C118,Resumo_Trocas!$F:$F,H$27,Resumo_Trocas!$C:$C,"&gt;0")</f>
        <v>0</v>
      </c>
      <c r="I118" s="61">
        <f>SUMIFS(Resumo_Trocas!$D:$D,Resumo_Trocas!$A:$A,$C118,Resumo_Trocas!$F:$F,I$27,Resumo_Trocas!$C:$C,"&gt;0")</f>
        <v>0</v>
      </c>
      <c r="J118" s="61">
        <f>SUMIFS(Resumo_Trocas!$D:$D,Resumo_Trocas!$A:$A,$C118,Resumo_Trocas!$F:$F,J$27,Resumo_Trocas!$C:$C,"&gt;0")</f>
        <v>0</v>
      </c>
      <c r="K118" s="61">
        <f>SUMIFS(Resumo_Trocas!$D:$D,Resumo_Trocas!$A:$A,$C118,Resumo_Trocas!$F:$F,K$27,Resumo_Trocas!$C:$C,"&gt;0")</f>
        <v>0</v>
      </c>
      <c r="L118" s="61">
        <f>SUMIFS(Resumo_Trocas!$D:$D,Resumo_Trocas!$A:$A,$C118,Resumo_Trocas!$F:$F,L$27,Resumo_Trocas!$C:$C,"&gt;0")</f>
        <v>0</v>
      </c>
      <c r="M118" s="61">
        <f>SUMIFS(Resumo_Trocas!$D:$D,Resumo_Trocas!$A:$A,$C118,Resumo_Trocas!$F:$F,M$27,Resumo_Trocas!$C:$C,"&gt;0")</f>
        <v>0</v>
      </c>
      <c r="N118" s="61">
        <f>SUMIFS(Resumo_Trocas!$D:$D,Resumo_Trocas!$A:$A,$C118,Resumo_Trocas!$F:$F,N$27,Resumo_Trocas!$C:$C,"&gt;0")</f>
        <v>0</v>
      </c>
      <c r="O118" s="61">
        <f>SUMIFS(Resumo_Trocas!$D:$D,Resumo_Trocas!$A:$A,$C118,Resumo_Trocas!$F:$F,O$27,Resumo_Trocas!$C:$C,"&gt;0")</f>
        <v>0</v>
      </c>
      <c r="P118" s="61">
        <f>SUMIFS(Resumo_Trocas!$D:$D,Resumo_Trocas!$A:$A,$C118,Resumo_Trocas!$F:$F,P$27,Resumo_Trocas!$C:$C,"&gt;0")</f>
        <v>0</v>
      </c>
      <c r="Q118" s="61">
        <f>SUMIFS(Resumo_Trocas!$D:$D,Resumo_Trocas!$A:$A,$C118,Resumo_Trocas!$F:$F,Q$27,Resumo_Trocas!$C:$C,"&gt;0")</f>
        <v>0</v>
      </c>
      <c r="R118" s="61">
        <f>SUMIFS(Resumo_Trocas!$D:$D,Resumo_Trocas!$A:$A,$C118,Resumo_Trocas!$F:$F,R$27,Resumo_Trocas!$C:$C,"&gt;0")</f>
        <v>0</v>
      </c>
      <c r="S118" s="61">
        <f>SUMIFS(Resumo_Trocas!$D:$D,Resumo_Trocas!$A:$A,$C118,Resumo_Trocas!$F:$F,S$27,Resumo_Trocas!$C:$C,"&gt;0")</f>
        <v>0</v>
      </c>
      <c r="T118" s="61">
        <f>SUMIFS(Resumo_Trocas!$D:$D,Resumo_Trocas!$A:$A,$C118,Resumo_Trocas!$F:$F,T$27,Resumo_Trocas!$C:$C,"&gt;0")</f>
        <v>0</v>
      </c>
      <c r="U118" s="61">
        <f>SUMIFS(Resumo_Trocas!$D:$D,Resumo_Trocas!$A:$A,$C118,Resumo_Trocas!$F:$F,U$27,Resumo_Trocas!$C:$C,"&gt;0")</f>
        <v>0</v>
      </c>
      <c r="V118" s="61">
        <f>SUMIFS(Resumo_Trocas!$D:$D,Resumo_Trocas!$A:$A,$C118,Resumo_Trocas!$F:$F,V$27,Resumo_Trocas!$C:$C,"&gt;0")</f>
        <v>0</v>
      </c>
    </row>
    <row r="119" spans="2:22" ht="15" customHeight="1" outlineLevel="1" thickBot="1" x14ac:dyDescent="0.3">
      <c r="B119" s="76"/>
      <c r="C119" s="60" t="s">
        <v>418</v>
      </c>
      <c r="D119" s="61">
        <f>SUMIFS(Resumo_Trocas!$D:$D,Resumo_Trocas!$A:$A,$C119,Resumo_Trocas!$F:$F,D$27,Resumo_Trocas!$C:$C,"&gt;0")</f>
        <v>0</v>
      </c>
      <c r="E119" s="61">
        <f>SUMIFS(Resumo_Trocas!$D:$D,Resumo_Trocas!$A:$A,$C119,Resumo_Trocas!$F:$F,E$27,Resumo_Trocas!$C:$C,"&gt;0")</f>
        <v>1</v>
      </c>
      <c r="F119" s="61">
        <f>SUMIFS(Resumo_Trocas!$D:$D,Resumo_Trocas!$A:$A,$C119,Resumo_Trocas!$F:$F,F$27,Resumo_Trocas!$C:$C,"&gt;0")</f>
        <v>2</v>
      </c>
      <c r="G119" s="61">
        <f>SUMIFS(Resumo_Trocas!$D:$D,Resumo_Trocas!$A:$A,$C119,Resumo_Trocas!$F:$F,G$27,Resumo_Trocas!$C:$C,"&gt;0")</f>
        <v>1</v>
      </c>
      <c r="H119" s="61">
        <f>SUMIFS(Resumo_Trocas!$D:$D,Resumo_Trocas!$A:$A,$C119,Resumo_Trocas!$F:$F,H$27,Resumo_Trocas!$C:$C,"&gt;0")</f>
        <v>1</v>
      </c>
      <c r="I119" s="61">
        <f>SUMIFS(Resumo_Trocas!$D:$D,Resumo_Trocas!$A:$A,$C119,Resumo_Trocas!$F:$F,I$27,Resumo_Trocas!$C:$C,"&gt;0")</f>
        <v>0</v>
      </c>
      <c r="J119" s="61">
        <f>SUMIFS(Resumo_Trocas!$D:$D,Resumo_Trocas!$A:$A,$C119,Resumo_Trocas!$F:$F,J$27,Resumo_Trocas!$C:$C,"&gt;0")</f>
        <v>2</v>
      </c>
      <c r="K119" s="61">
        <f>SUMIFS(Resumo_Trocas!$D:$D,Resumo_Trocas!$A:$A,$C119,Resumo_Trocas!$F:$F,K$27,Resumo_Trocas!$C:$C,"&gt;0")</f>
        <v>0</v>
      </c>
      <c r="L119" s="61">
        <f>SUMIFS(Resumo_Trocas!$D:$D,Resumo_Trocas!$A:$A,$C119,Resumo_Trocas!$F:$F,L$27,Resumo_Trocas!$C:$C,"&gt;0")</f>
        <v>1</v>
      </c>
      <c r="M119" s="61">
        <f>SUMIFS(Resumo_Trocas!$D:$D,Resumo_Trocas!$A:$A,$C119,Resumo_Trocas!$F:$F,M$27,Resumo_Trocas!$C:$C,"&gt;0")</f>
        <v>1</v>
      </c>
      <c r="N119" s="61">
        <f>SUMIFS(Resumo_Trocas!$D:$D,Resumo_Trocas!$A:$A,$C119,Resumo_Trocas!$F:$F,N$27,Resumo_Trocas!$C:$C,"&gt;0")</f>
        <v>1</v>
      </c>
      <c r="O119" s="61">
        <f>SUMIFS(Resumo_Trocas!$D:$D,Resumo_Trocas!$A:$A,$C119,Resumo_Trocas!$F:$F,O$27,Resumo_Trocas!$C:$C,"&gt;0")</f>
        <v>1</v>
      </c>
      <c r="P119" s="61">
        <f>SUMIFS(Resumo_Trocas!$D:$D,Resumo_Trocas!$A:$A,$C119,Resumo_Trocas!$F:$F,P$27,Resumo_Trocas!$C:$C,"&gt;0")</f>
        <v>0</v>
      </c>
      <c r="Q119" s="61">
        <f>SUMIFS(Resumo_Trocas!$D:$D,Resumo_Trocas!$A:$A,$C119,Resumo_Trocas!$F:$F,Q$27,Resumo_Trocas!$C:$C,"&gt;0")</f>
        <v>1</v>
      </c>
      <c r="R119" s="61">
        <f>SUMIFS(Resumo_Trocas!$D:$D,Resumo_Trocas!$A:$A,$C119,Resumo_Trocas!$F:$F,R$27,Resumo_Trocas!$C:$C,"&gt;0")</f>
        <v>0</v>
      </c>
      <c r="S119" s="61">
        <f>SUMIFS(Resumo_Trocas!$D:$D,Resumo_Trocas!$A:$A,$C119,Resumo_Trocas!$F:$F,S$27,Resumo_Trocas!$C:$C,"&gt;0")</f>
        <v>2</v>
      </c>
      <c r="T119" s="61">
        <f>SUMIFS(Resumo_Trocas!$D:$D,Resumo_Trocas!$A:$A,$C119,Resumo_Trocas!$F:$F,T$27,Resumo_Trocas!$C:$C,"&gt;0")</f>
        <v>2</v>
      </c>
      <c r="U119" s="61">
        <f>SUMIFS(Resumo_Trocas!$D:$D,Resumo_Trocas!$A:$A,$C119,Resumo_Trocas!$F:$F,U$27,Resumo_Trocas!$C:$C,"&gt;0")</f>
        <v>0</v>
      </c>
      <c r="V119" s="61">
        <f>SUMIFS(Resumo_Trocas!$D:$D,Resumo_Trocas!$A:$A,$C119,Resumo_Trocas!$F:$F,V$27,Resumo_Trocas!$C:$C,"&gt;0")</f>
        <v>0</v>
      </c>
    </row>
    <row r="120" spans="2:22" ht="15" customHeight="1" outlineLevel="1" thickBot="1" x14ac:dyDescent="0.3">
      <c r="B120" s="76"/>
      <c r="C120" s="60" t="s">
        <v>3430</v>
      </c>
      <c r="D120" s="61">
        <f>SUMIFS(Resumo_Trocas!$D:$D,Resumo_Trocas!$A:$A,$C120,Resumo_Trocas!$F:$F,D$27,Resumo_Trocas!$C:$C,"&gt;0")</f>
        <v>0</v>
      </c>
      <c r="E120" s="61">
        <f>SUMIFS(Resumo_Trocas!$D:$D,Resumo_Trocas!$A:$A,$C120,Resumo_Trocas!$F:$F,E$27,Resumo_Trocas!$C:$C,"&gt;0")</f>
        <v>2</v>
      </c>
      <c r="F120" s="61">
        <f>SUMIFS(Resumo_Trocas!$D:$D,Resumo_Trocas!$A:$A,$C120,Resumo_Trocas!$F:$F,F$27,Resumo_Trocas!$C:$C,"&gt;0")</f>
        <v>1</v>
      </c>
      <c r="G120" s="61">
        <f>SUMIFS(Resumo_Trocas!$D:$D,Resumo_Trocas!$A:$A,$C120,Resumo_Trocas!$F:$F,G$27,Resumo_Trocas!$C:$C,"&gt;0")</f>
        <v>2</v>
      </c>
      <c r="H120" s="61">
        <f>SUMIFS(Resumo_Trocas!$D:$D,Resumo_Trocas!$A:$A,$C120,Resumo_Trocas!$F:$F,H$27,Resumo_Trocas!$C:$C,"&gt;0")</f>
        <v>2</v>
      </c>
      <c r="I120" s="61">
        <f>SUMIFS(Resumo_Trocas!$D:$D,Resumo_Trocas!$A:$A,$C120,Resumo_Trocas!$F:$F,I$27,Resumo_Trocas!$C:$C,"&gt;0")</f>
        <v>0</v>
      </c>
      <c r="J120" s="61">
        <f>SUMIFS(Resumo_Trocas!$D:$D,Resumo_Trocas!$A:$A,$C120,Resumo_Trocas!$F:$F,J$27,Resumo_Trocas!$C:$C,"&gt;0")</f>
        <v>2</v>
      </c>
      <c r="K120" s="61">
        <f>SUMIFS(Resumo_Trocas!$D:$D,Resumo_Trocas!$A:$A,$C120,Resumo_Trocas!$F:$F,K$27,Resumo_Trocas!$C:$C,"&gt;0")</f>
        <v>1</v>
      </c>
      <c r="L120" s="61">
        <f>SUMIFS(Resumo_Trocas!$D:$D,Resumo_Trocas!$A:$A,$C120,Resumo_Trocas!$F:$F,L$27,Resumo_Trocas!$C:$C,"&gt;0")</f>
        <v>1</v>
      </c>
      <c r="M120" s="61">
        <f>SUMIFS(Resumo_Trocas!$D:$D,Resumo_Trocas!$A:$A,$C120,Resumo_Trocas!$F:$F,M$27,Resumo_Trocas!$C:$C,"&gt;0")</f>
        <v>1</v>
      </c>
      <c r="N120" s="61">
        <f>SUMIFS(Resumo_Trocas!$D:$D,Resumo_Trocas!$A:$A,$C120,Resumo_Trocas!$F:$F,N$27,Resumo_Trocas!$C:$C,"&gt;0")</f>
        <v>1</v>
      </c>
      <c r="O120" s="61">
        <f>SUMIFS(Resumo_Trocas!$D:$D,Resumo_Trocas!$A:$A,$C120,Resumo_Trocas!$F:$F,O$27,Resumo_Trocas!$C:$C,"&gt;0")</f>
        <v>0</v>
      </c>
      <c r="P120" s="61">
        <f>SUMIFS(Resumo_Trocas!$D:$D,Resumo_Trocas!$A:$A,$C120,Resumo_Trocas!$F:$F,P$27,Resumo_Trocas!$C:$C,"&gt;0")</f>
        <v>0</v>
      </c>
      <c r="Q120" s="61">
        <f>SUMIFS(Resumo_Trocas!$D:$D,Resumo_Trocas!$A:$A,$C120,Resumo_Trocas!$F:$F,Q$27,Resumo_Trocas!$C:$C,"&gt;0")</f>
        <v>0</v>
      </c>
      <c r="R120" s="61">
        <f>SUMIFS(Resumo_Trocas!$D:$D,Resumo_Trocas!$A:$A,$C120,Resumo_Trocas!$F:$F,R$27,Resumo_Trocas!$C:$C,"&gt;0")</f>
        <v>0</v>
      </c>
      <c r="S120" s="61">
        <f>SUMIFS(Resumo_Trocas!$D:$D,Resumo_Trocas!$A:$A,$C120,Resumo_Trocas!$F:$F,S$27,Resumo_Trocas!$C:$C,"&gt;0")</f>
        <v>4</v>
      </c>
      <c r="T120" s="61">
        <f>SUMIFS(Resumo_Trocas!$D:$D,Resumo_Trocas!$A:$A,$C120,Resumo_Trocas!$F:$F,T$27,Resumo_Trocas!$C:$C,"&gt;0")</f>
        <v>0</v>
      </c>
      <c r="U120" s="61">
        <f>SUMIFS(Resumo_Trocas!$D:$D,Resumo_Trocas!$A:$A,$C120,Resumo_Trocas!$F:$F,U$27,Resumo_Trocas!$C:$C,"&gt;0")</f>
        <v>0</v>
      </c>
      <c r="V120" s="61">
        <f>SUMIFS(Resumo_Trocas!$D:$D,Resumo_Trocas!$A:$A,$C120,Resumo_Trocas!$F:$F,V$27,Resumo_Trocas!$C:$C,"&gt;0")</f>
        <v>0</v>
      </c>
    </row>
    <row r="121" spans="2:22" ht="15" customHeight="1" outlineLevel="1" thickBot="1" x14ac:dyDescent="0.3">
      <c r="B121" s="76"/>
      <c r="C121" s="60" t="s">
        <v>421</v>
      </c>
      <c r="D121" s="61">
        <f>SUMIFS(Resumo_Trocas!$D:$D,Resumo_Trocas!$A:$A,$C121,Resumo_Trocas!$F:$F,D$27,Resumo_Trocas!$C:$C,"&gt;0")</f>
        <v>4</v>
      </c>
      <c r="E121" s="61">
        <f>SUMIFS(Resumo_Trocas!$D:$D,Resumo_Trocas!$A:$A,$C121,Resumo_Trocas!$F:$F,E$27,Resumo_Trocas!$C:$C,"&gt;0")</f>
        <v>0</v>
      </c>
      <c r="F121" s="61">
        <f>SUMIFS(Resumo_Trocas!$D:$D,Resumo_Trocas!$A:$A,$C121,Resumo_Trocas!$F:$F,F$27,Resumo_Trocas!$C:$C,"&gt;0")</f>
        <v>0</v>
      </c>
      <c r="G121" s="61">
        <f>SUMIFS(Resumo_Trocas!$D:$D,Resumo_Trocas!$A:$A,$C121,Resumo_Trocas!$F:$F,G$27,Resumo_Trocas!$C:$C,"&gt;0")</f>
        <v>0</v>
      </c>
      <c r="H121" s="61">
        <f>SUMIFS(Resumo_Trocas!$D:$D,Resumo_Trocas!$A:$A,$C121,Resumo_Trocas!$F:$F,H$27,Resumo_Trocas!$C:$C,"&gt;0")</f>
        <v>0</v>
      </c>
      <c r="I121" s="61">
        <f>SUMIFS(Resumo_Trocas!$D:$D,Resumo_Trocas!$A:$A,$C121,Resumo_Trocas!$F:$F,I$27,Resumo_Trocas!$C:$C,"&gt;0")</f>
        <v>0</v>
      </c>
      <c r="J121" s="61">
        <f>SUMIFS(Resumo_Trocas!$D:$D,Resumo_Trocas!$A:$A,$C121,Resumo_Trocas!$F:$F,J$27,Resumo_Trocas!$C:$C,"&gt;0")</f>
        <v>0</v>
      </c>
      <c r="K121" s="61">
        <f>SUMIFS(Resumo_Trocas!$D:$D,Resumo_Trocas!$A:$A,$C121,Resumo_Trocas!$F:$F,K$27,Resumo_Trocas!$C:$C,"&gt;0")</f>
        <v>1</v>
      </c>
      <c r="L121" s="61">
        <f>SUMIFS(Resumo_Trocas!$D:$D,Resumo_Trocas!$A:$A,$C121,Resumo_Trocas!$F:$F,L$27,Resumo_Trocas!$C:$C,"&gt;0")</f>
        <v>0</v>
      </c>
      <c r="M121" s="61">
        <f>SUMIFS(Resumo_Trocas!$D:$D,Resumo_Trocas!$A:$A,$C121,Resumo_Trocas!$F:$F,M$27,Resumo_Trocas!$C:$C,"&gt;0")</f>
        <v>0</v>
      </c>
      <c r="N121" s="61">
        <f>SUMIFS(Resumo_Trocas!$D:$D,Resumo_Trocas!$A:$A,$C121,Resumo_Trocas!$F:$F,N$27,Resumo_Trocas!$C:$C,"&gt;0")</f>
        <v>1</v>
      </c>
      <c r="O121" s="61">
        <f>SUMIFS(Resumo_Trocas!$D:$D,Resumo_Trocas!$A:$A,$C121,Resumo_Trocas!$F:$F,O$27,Resumo_Trocas!$C:$C,"&gt;0")</f>
        <v>0</v>
      </c>
      <c r="P121" s="61">
        <f>SUMIFS(Resumo_Trocas!$D:$D,Resumo_Trocas!$A:$A,$C121,Resumo_Trocas!$F:$F,P$27,Resumo_Trocas!$C:$C,"&gt;0")</f>
        <v>1</v>
      </c>
      <c r="Q121" s="61">
        <f>SUMIFS(Resumo_Trocas!$D:$D,Resumo_Trocas!$A:$A,$C121,Resumo_Trocas!$F:$F,Q$27,Resumo_Trocas!$C:$C,"&gt;0")</f>
        <v>0</v>
      </c>
      <c r="R121" s="61">
        <f>SUMIFS(Resumo_Trocas!$D:$D,Resumo_Trocas!$A:$A,$C121,Resumo_Trocas!$F:$F,R$27,Resumo_Trocas!$C:$C,"&gt;0")</f>
        <v>0</v>
      </c>
      <c r="S121" s="61">
        <f>SUMIFS(Resumo_Trocas!$D:$D,Resumo_Trocas!$A:$A,$C121,Resumo_Trocas!$F:$F,S$27,Resumo_Trocas!$C:$C,"&gt;0")</f>
        <v>0</v>
      </c>
      <c r="T121" s="61">
        <f>SUMIFS(Resumo_Trocas!$D:$D,Resumo_Trocas!$A:$A,$C121,Resumo_Trocas!$F:$F,T$27,Resumo_Trocas!$C:$C,"&gt;0")</f>
        <v>1</v>
      </c>
      <c r="U121" s="61">
        <f>SUMIFS(Resumo_Trocas!$D:$D,Resumo_Trocas!$A:$A,$C121,Resumo_Trocas!$F:$F,U$27,Resumo_Trocas!$C:$C,"&gt;0")</f>
        <v>0</v>
      </c>
      <c r="V121" s="61">
        <f>SUMIFS(Resumo_Trocas!$D:$D,Resumo_Trocas!$A:$A,$C121,Resumo_Trocas!$F:$F,V$27,Resumo_Trocas!$C:$C,"&gt;0")</f>
        <v>0</v>
      </c>
    </row>
    <row r="122" spans="2:22" ht="15" customHeight="1" outlineLevel="1" thickBot="1" x14ac:dyDescent="0.3">
      <c r="B122" s="76"/>
      <c r="C122" s="60" t="s">
        <v>3431</v>
      </c>
      <c r="D122" s="61">
        <f>SUMIFS(Resumo_Trocas!$D:$D,Resumo_Trocas!$A:$A,$C122,Resumo_Trocas!$F:$F,D$27,Resumo_Trocas!$C:$C,"&gt;0")</f>
        <v>0</v>
      </c>
      <c r="E122" s="61">
        <f>SUMIFS(Resumo_Trocas!$D:$D,Resumo_Trocas!$A:$A,$C122,Resumo_Trocas!$F:$F,E$27,Resumo_Trocas!$C:$C,"&gt;0")</f>
        <v>0</v>
      </c>
      <c r="F122" s="61">
        <f>SUMIFS(Resumo_Trocas!$D:$D,Resumo_Trocas!$A:$A,$C122,Resumo_Trocas!$F:$F,F$27,Resumo_Trocas!$C:$C,"&gt;0")</f>
        <v>0</v>
      </c>
      <c r="G122" s="61">
        <f>SUMIFS(Resumo_Trocas!$D:$D,Resumo_Trocas!$A:$A,$C122,Resumo_Trocas!$F:$F,G$27,Resumo_Trocas!$C:$C,"&gt;0")</f>
        <v>0</v>
      </c>
      <c r="H122" s="61">
        <f>SUMIFS(Resumo_Trocas!$D:$D,Resumo_Trocas!$A:$A,$C122,Resumo_Trocas!$F:$F,H$27,Resumo_Trocas!$C:$C,"&gt;0")</f>
        <v>0</v>
      </c>
      <c r="I122" s="61">
        <f>SUMIFS(Resumo_Trocas!$D:$D,Resumo_Trocas!$A:$A,$C122,Resumo_Trocas!$F:$F,I$27,Resumo_Trocas!$C:$C,"&gt;0")</f>
        <v>0</v>
      </c>
      <c r="J122" s="61">
        <f>SUMIFS(Resumo_Trocas!$D:$D,Resumo_Trocas!$A:$A,$C122,Resumo_Trocas!$F:$F,J$27,Resumo_Trocas!$C:$C,"&gt;0")</f>
        <v>0</v>
      </c>
      <c r="K122" s="61">
        <f>SUMIFS(Resumo_Trocas!$D:$D,Resumo_Trocas!$A:$A,$C122,Resumo_Trocas!$F:$F,K$27,Resumo_Trocas!$C:$C,"&gt;0")</f>
        <v>0</v>
      </c>
      <c r="L122" s="61">
        <f>SUMIFS(Resumo_Trocas!$D:$D,Resumo_Trocas!$A:$A,$C122,Resumo_Trocas!$F:$F,L$27,Resumo_Trocas!$C:$C,"&gt;0")</f>
        <v>0</v>
      </c>
      <c r="M122" s="61">
        <f>SUMIFS(Resumo_Trocas!$D:$D,Resumo_Trocas!$A:$A,$C122,Resumo_Trocas!$F:$F,M$27,Resumo_Trocas!$C:$C,"&gt;0")</f>
        <v>0</v>
      </c>
      <c r="N122" s="61">
        <f>SUMIFS(Resumo_Trocas!$D:$D,Resumo_Trocas!$A:$A,$C122,Resumo_Trocas!$F:$F,N$27,Resumo_Trocas!$C:$C,"&gt;0")</f>
        <v>0</v>
      </c>
      <c r="O122" s="61">
        <f>SUMIFS(Resumo_Trocas!$D:$D,Resumo_Trocas!$A:$A,$C122,Resumo_Trocas!$F:$F,O$27,Resumo_Trocas!$C:$C,"&gt;0")</f>
        <v>0</v>
      </c>
      <c r="P122" s="61">
        <f>SUMIFS(Resumo_Trocas!$D:$D,Resumo_Trocas!$A:$A,$C122,Resumo_Trocas!$F:$F,P$27,Resumo_Trocas!$C:$C,"&gt;0")</f>
        <v>0</v>
      </c>
      <c r="Q122" s="61">
        <f>SUMIFS(Resumo_Trocas!$D:$D,Resumo_Trocas!$A:$A,$C122,Resumo_Trocas!$F:$F,Q$27,Resumo_Trocas!$C:$C,"&gt;0")</f>
        <v>0</v>
      </c>
      <c r="R122" s="61">
        <f>SUMIFS(Resumo_Trocas!$D:$D,Resumo_Trocas!$A:$A,$C122,Resumo_Trocas!$F:$F,R$27,Resumo_Trocas!$C:$C,"&gt;0")</f>
        <v>0</v>
      </c>
      <c r="S122" s="61">
        <f>SUMIFS(Resumo_Trocas!$D:$D,Resumo_Trocas!$A:$A,$C122,Resumo_Trocas!$F:$F,S$27,Resumo_Trocas!$C:$C,"&gt;0")</f>
        <v>0</v>
      </c>
      <c r="T122" s="61">
        <f>SUMIFS(Resumo_Trocas!$D:$D,Resumo_Trocas!$A:$A,$C122,Resumo_Trocas!$F:$F,T$27,Resumo_Trocas!$C:$C,"&gt;0")</f>
        <v>0</v>
      </c>
      <c r="U122" s="61">
        <f>SUMIFS(Resumo_Trocas!$D:$D,Resumo_Trocas!$A:$A,$C122,Resumo_Trocas!$F:$F,U$27,Resumo_Trocas!$C:$C,"&gt;0")</f>
        <v>0</v>
      </c>
      <c r="V122" s="61">
        <f>SUMIFS(Resumo_Trocas!$D:$D,Resumo_Trocas!$A:$A,$C122,Resumo_Trocas!$F:$F,V$27,Resumo_Trocas!$C:$C,"&gt;0")</f>
        <v>0</v>
      </c>
    </row>
    <row r="123" spans="2:22" ht="15" customHeight="1" outlineLevel="1" thickBot="1" x14ac:dyDescent="0.3">
      <c r="B123" s="76"/>
      <c r="C123" s="60" t="s">
        <v>3432</v>
      </c>
      <c r="D123" s="61">
        <f>SUMIFS(Resumo_Trocas!$D:$D,Resumo_Trocas!$A:$A,$C123,Resumo_Trocas!$F:$F,D$27,Resumo_Trocas!$C:$C,"&gt;0")</f>
        <v>0</v>
      </c>
      <c r="E123" s="61">
        <f>SUMIFS(Resumo_Trocas!$D:$D,Resumo_Trocas!$A:$A,$C123,Resumo_Trocas!$F:$F,E$27,Resumo_Trocas!$C:$C,"&gt;0")</f>
        <v>0</v>
      </c>
      <c r="F123" s="61">
        <f>SUMIFS(Resumo_Trocas!$D:$D,Resumo_Trocas!$A:$A,$C123,Resumo_Trocas!$F:$F,F$27,Resumo_Trocas!$C:$C,"&gt;0")</f>
        <v>0</v>
      </c>
      <c r="G123" s="61">
        <f>SUMIFS(Resumo_Trocas!$D:$D,Resumo_Trocas!$A:$A,$C123,Resumo_Trocas!$F:$F,G$27,Resumo_Trocas!$C:$C,"&gt;0")</f>
        <v>0</v>
      </c>
      <c r="H123" s="61">
        <f>SUMIFS(Resumo_Trocas!$D:$D,Resumo_Trocas!$A:$A,$C123,Resumo_Trocas!$F:$F,H$27,Resumo_Trocas!$C:$C,"&gt;0")</f>
        <v>0</v>
      </c>
      <c r="I123" s="61">
        <f>SUMIFS(Resumo_Trocas!$D:$D,Resumo_Trocas!$A:$A,$C123,Resumo_Trocas!$F:$F,I$27,Resumo_Trocas!$C:$C,"&gt;0")</f>
        <v>0</v>
      </c>
      <c r="J123" s="61">
        <f>SUMIFS(Resumo_Trocas!$D:$D,Resumo_Trocas!$A:$A,$C123,Resumo_Trocas!$F:$F,J$27,Resumo_Trocas!$C:$C,"&gt;0")</f>
        <v>0</v>
      </c>
      <c r="K123" s="61">
        <f>SUMIFS(Resumo_Trocas!$D:$D,Resumo_Trocas!$A:$A,$C123,Resumo_Trocas!$F:$F,K$27,Resumo_Trocas!$C:$C,"&gt;0")</f>
        <v>0</v>
      </c>
      <c r="L123" s="61">
        <f>SUMIFS(Resumo_Trocas!$D:$D,Resumo_Trocas!$A:$A,$C123,Resumo_Trocas!$F:$F,L$27,Resumo_Trocas!$C:$C,"&gt;0")</f>
        <v>0</v>
      </c>
      <c r="M123" s="61">
        <f>SUMIFS(Resumo_Trocas!$D:$D,Resumo_Trocas!$A:$A,$C123,Resumo_Trocas!$F:$F,M$27,Resumo_Trocas!$C:$C,"&gt;0")</f>
        <v>0</v>
      </c>
      <c r="N123" s="61">
        <f>SUMIFS(Resumo_Trocas!$D:$D,Resumo_Trocas!$A:$A,$C123,Resumo_Trocas!$F:$F,N$27,Resumo_Trocas!$C:$C,"&gt;0")</f>
        <v>0</v>
      </c>
      <c r="O123" s="61">
        <f>SUMIFS(Resumo_Trocas!$D:$D,Resumo_Trocas!$A:$A,$C123,Resumo_Trocas!$F:$F,O$27,Resumo_Trocas!$C:$C,"&gt;0")</f>
        <v>0</v>
      </c>
      <c r="P123" s="61">
        <f>SUMIFS(Resumo_Trocas!$D:$D,Resumo_Trocas!$A:$A,$C123,Resumo_Trocas!$F:$F,P$27,Resumo_Trocas!$C:$C,"&gt;0")</f>
        <v>0</v>
      </c>
      <c r="Q123" s="61">
        <f>SUMIFS(Resumo_Trocas!$D:$D,Resumo_Trocas!$A:$A,$C123,Resumo_Trocas!$F:$F,Q$27,Resumo_Trocas!$C:$C,"&gt;0")</f>
        <v>0</v>
      </c>
      <c r="R123" s="61">
        <f>SUMIFS(Resumo_Trocas!$D:$D,Resumo_Trocas!$A:$A,$C123,Resumo_Trocas!$F:$F,R$27,Resumo_Trocas!$C:$C,"&gt;0")</f>
        <v>0</v>
      </c>
      <c r="S123" s="61">
        <f>SUMIFS(Resumo_Trocas!$D:$D,Resumo_Trocas!$A:$A,$C123,Resumo_Trocas!$F:$F,S$27,Resumo_Trocas!$C:$C,"&gt;0")</f>
        <v>0</v>
      </c>
      <c r="T123" s="61">
        <f>SUMIFS(Resumo_Trocas!$D:$D,Resumo_Trocas!$A:$A,$C123,Resumo_Trocas!$F:$F,T$27,Resumo_Trocas!$C:$C,"&gt;0")</f>
        <v>0</v>
      </c>
      <c r="U123" s="61">
        <f>SUMIFS(Resumo_Trocas!$D:$D,Resumo_Trocas!$A:$A,$C123,Resumo_Trocas!$F:$F,U$27,Resumo_Trocas!$C:$C,"&gt;0")</f>
        <v>0</v>
      </c>
      <c r="V123" s="61">
        <f>SUMIFS(Resumo_Trocas!$D:$D,Resumo_Trocas!$A:$A,$C123,Resumo_Trocas!$F:$F,V$27,Resumo_Trocas!$C:$C,"&gt;0")</f>
        <v>0</v>
      </c>
    </row>
    <row r="124" spans="2:22" ht="15" customHeight="1" outlineLevel="1" thickBot="1" x14ac:dyDescent="0.3">
      <c r="B124" s="76"/>
      <c r="C124" s="60"/>
      <c r="D124" s="77"/>
    </row>
    <row r="125" spans="2:22" s="75" customFormat="1" ht="25.5" x14ac:dyDescent="0.35">
      <c r="B125" s="73" t="s">
        <v>3395</v>
      </c>
      <c r="C125" s="74" t="s">
        <v>3399</v>
      </c>
      <c r="D125" s="57">
        <f>IFERROR(SUM(D126:D133)," ")</f>
        <v>25</v>
      </c>
      <c r="E125" s="57">
        <f t="shared" ref="E125:V125" si="18">IFERROR(SUM(E126:E133)," ")</f>
        <v>36</v>
      </c>
      <c r="F125" s="57">
        <f t="shared" si="18"/>
        <v>13</v>
      </c>
      <c r="G125" s="57">
        <f t="shared" si="18"/>
        <v>19</v>
      </c>
      <c r="H125" s="57">
        <f t="shared" si="18"/>
        <v>20</v>
      </c>
      <c r="I125" s="57">
        <f t="shared" si="18"/>
        <v>0</v>
      </c>
      <c r="J125" s="57">
        <f t="shared" si="18"/>
        <v>13</v>
      </c>
      <c r="K125" s="57">
        <f t="shared" si="18"/>
        <v>12</v>
      </c>
      <c r="L125" s="57">
        <f t="shared" si="18"/>
        <v>12</v>
      </c>
      <c r="M125" s="57">
        <f t="shared" si="18"/>
        <v>25</v>
      </c>
      <c r="N125" s="57">
        <f t="shared" si="18"/>
        <v>25</v>
      </c>
      <c r="O125" s="57">
        <f t="shared" si="18"/>
        <v>18</v>
      </c>
      <c r="P125" s="57">
        <f t="shared" si="18"/>
        <v>10</v>
      </c>
      <c r="Q125" s="57">
        <f t="shared" si="18"/>
        <v>12</v>
      </c>
      <c r="R125" s="57">
        <f t="shared" si="18"/>
        <v>5</v>
      </c>
      <c r="S125" s="57">
        <f t="shared" si="18"/>
        <v>5</v>
      </c>
      <c r="T125" s="57">
        <f t="shared" si="18"/>
        <v>9</v>
      </c>
      <c r="U125" s="57">
        <f t="shared" si="18"/>
        <v>6</v>
      </c>
      <c r="V125" s="57">
        <f t="shared" si="18"/>
        <v>0</v>
      </c>
    </row>
    <row r="126" spans="2:22" ht="15" customHeight="1" outlineLevel="1" thickBot="1" x14ac:dyDescent="0.3">
      <c r="B126" s="76"/>
      <c r="C126" s="60" t="s">
        <v>426</v>
      </c>
      <c r="D126" s="61">
        <f>SUMIFS(Resumo_Trocas!$D:$D,Resumo_Trocas!$A:$A,$C126,Resumo_Trocas!$F:$F,D$27,Resumo_Trocas!$C:$C,"&gt;0")</f>
        <v>0</v>
      </c>
      <c r="E126" s="61">
        <f>SUMIFS(Resumo_Trocas!$D:$D,Resumo_Trocas!$A:$A,$C126,Resumo_Trocas!$F:$F,E$27,Resumo_Trocas!$C:$C,"&gt;0")</f>
        <v>3</v>
      </c>
      <c r="F126" s="61">
        <f>SUMIFS(Resumo_Trocas!$D:$D,Resumo_Trocas!$A:$A,$C126,Resumo_Trocas!$F:$F,F$27,Resumo_Trocas!$C:$C,"&gt;0")</f>
        <v>0</v>
      </c>
      <c r="G126" s="61">
        <f>SUMIFS(Resumo_Trocas!$D:$D,Resumo_Trocas!$A:$A,$C126,Resumo_Trocas!$F:$F,G$27,Resumo_Trocas!$C:$C,"&gt;0")</f>
        <v>6</v>
      </c>
      <c r="H126" s="61">
        <f>SUMIFS(Resumo_Trocas!$D:$D,Resumo_Trocas!$A:$A,$C126,Resumo_Trocas!$F:$F,H$27,Resumo_Trocas!$C:$C,"&gt;0")</f>
        <v>3</v>
      </c>
      <c r="I126" s="61">
        <f>SUMIFS(Resumo_Trocas!$D:$D,Resumo_Trocas!$A:$A,$C126,Resumo_Trocas!$F:$F,I$27,Resumo_Trocas!$C:$C,"&gt;0")</f>
        <v>0</v>
      </c>
      <c r="J126" s="61">
        <f>SUMIFS(Resumo_Trocas!$D:$D,Resumo_Trocas!$A:$A,$C126,Resumo_Trocas!$F:$F,J$27,Resumo_Trocas!$C:$C,"&gt;0")</f>
        <v>3</v>
      </c>
      <c r="K126" s="61">
        <f>SUMIFS(Resumo_Trocas!$D:$D,Resumo_Trocas!$A:$A,$C126,Resumo_Trocas!$F:$F,K$27,Resumo_Trocas!$C:$C,"&gt;0")</f>
        <v>0</v>
      </c>
      <c r="L126" s="61">
        <f>SUMIFS(Resumo_Trocas!$D:$D,Resumo_Trocas!$A:$A,$C126,Resumo_Trocas!$F:$F,L$27,Resumo_Trocas!$C:$C,"&gt;0")</f>
        <v>0</v>
      </c>
      <c r="M126" s="61">
        <f>SUMIFS(Resumo_Trocas!$D:$D,Resumo_Trocas!$A:$A,$C126,Resumo_Trocas!$F:$F,M$27,Resumo_Trocas!$C:$C,"&gt;0")</f>
        <v>17</v>
      </c>
      <c r="N126" s="61">
        <f>SUMIFS(Resumo_Trocas!$D:$D,Resumo_Trocas!$A:$A,$C126,Resumo_Trocas!$F:$F,N$27,Resumo_Trocas!$C:$C,"&gt;0")</f>
        <v>7</v>
      </c>
      <c r="O126" s="61">
        <f>SUMIFS(Resumo_Trocas!$D:$D,Resumo_Trocas!$A:$A,$C126,Resumo_Trocas!$F:$F,O$27,Resumo_Trocas!$C:$C,"&gt;0")</f>
        <v>4</v>
      </c>
      <c r="P126" s="61">
        <f>SUMIFS(Resumo_Trocas!$D:$D,Resumo_Trocas!$A:$A,$C126,Resumo_Trocas!$F:$F,P$27,Resumo_Trocas!$C:$C,"&gt;0")</f>
        <v>2</v>
      </c>
      <c r="Q126" s="61">
        <f>SUMIFS(Resumo_Trocas!$D:$D,Resumo_Trocas!$A:$A,$C126,Resumo_Trocas!$F:$F,Q$27,Resumo_Trocas!$C:$C,"&gt;0")</f>
        <v>0</v>
      </c>
      <c r="R126" s="61">
        <f>SUMIFS(Resumo_Trocas!$D:$D,Resumo_Trocas!$A:$A,$C126,Resumo_Trocas!$F:$F,R$27,Resumo_Trocas!$C:$C,"&gt;0")</f>
        <v>1</v>
      </c>
      <c r="S126" s="61">
        <f>SUMIFS(Resumo_Trocas!$D:$D,Resumo_Trocas!$A:$A,$C126,Resumo_Trocas!$F:$F,S$27,Resumo_Trocas!$C:$C,"&gt;0")</f>
        <v>1</v>
      </c>
      <c r="T126" s="61">
        <f>SUMIFS(Resumo_Trocas!$D:$D,Resumo_Trocas!$A:$A,$C126,Resumo_Trocas!$F:$F,T$27,Resumo_Trocas!$C:$C,"&gt;0")</f>
        <v>1</v>
      </c>
      <c r="U126" s="61">
        <f>SUMIFS(Resumo_Trocas!$D:$D,Resumo_Trocas!$A:$A,$C126,Resumo_Trocas!$F:$F,U$27,Resumo_Trocas!$C:$C,"&gt;0")</f>
        <v>3</v>
      </c>
      <c r="V126" s="61">
        <f>SUMIFS(Resumo_Trocas!$D:$D,Resumo_Trocas!$A:$A,$C126,Resumo_Trocas!$F:$F,V$27,Resumo_Trocas!$C:$C,"&gt;0")</f>
        <v>0</v>
      </c>
    </row>
    <row r="127" spans="2:22" ht="15" customHeight="1" outlineLevel="1" thickBot="1" x14ac:dyDescent="0.3">
      <c r="B127" s="76"/>
      <c r="C127" s="60" t="s">
        <v>431</v>
      </c>
      <c r="D127" s="61">
        <f>SUMIFS(Resumo_Trocas!$D:$D,Resumo_Trocas!$A:$A,$C127,Resumo_Trocas!$F:$F,D$27,Resumo_Trocas!$C:$C,"&gt;0")</f>
        <v>6</v>
      </c>
      <c r="E127" s="61">
        <f>SUMIFS(Resumo_Trocas!$D:$D,Resumo_Trocas!$A:$A,$C127,Resumo_Trocas!$F:$F,E$27,Resumo_Trocas!$C:$C,"&gt;0")</f>
        <v>5</v>
      </c>
      <c r="F127" s="61">
        <f>SUMIFS(Resumo_Trocas!$D:$D,Resumo_Trocas!$A:$A,$C127,Resumo_Trocas!$F:$F,F$27,Resumo_Trocas!$C:$C,"&gt;0")</f>
        <v>2</v>
      </c>
      <c r="G127" s="61">
        <f>SUMIFS(Resumo_Trocas!$D:$D,Resumo_Trocas!$A:$A,$C127,Resumo_Trocas!$F:$F,G$27,Resumo_Trocas!$C:$C,"&gt;0")</f>
        <v>2</v>
      </c>
      <c r="H127" s="61">
        <f>SUMIFS(Resumo_Trocas!$D:$D,Resumo_Trocas!$A:$A,$C127,Resumo_Trocas!$F:$F,H$27,Resumo_Trocas!$C:$C,"&gt;0")</f>
        <v>0</v>
      </c>
      <c r="I127" s="61">
        <f>SUMIFS(Resumo_Trocas!$D:$D,Resumo_Trocas!$A:$A,$C127,Resumo_Trocas!$F:$F,I$27,Resumo_Trocas!$C:$C,"&gt;0")</f>
        <v>0</v>
      </c>
      <c r="J127" s="61">
        <f>SUMIFS(Resumo_Trocas!$D:$D,Resumo_Trocas!$A:$A,$C127,Resumo_Trocas!$F:$F,J$27,Resumo_Trocas!$C:$C,"&gt;0")</f>
        <v>0</v>
      </c>
      <c r="K127" s="61">
        <f>SUMIFS(Resumo_Trocas!$D:$D,Resumo_Trocas!$A:$A,$C127,Resumo_Trocas!$F:$F,K$27,Resumo_Trocas!$C:$C,"&gt;0")</f>
        <v>2</v>
      </c>
      <c r="L127" s="61">
        <f>SUMIFS(Resumo_Trocas!$D:$D,Resumo_Trocas!$A:$A,$C127,Resumo_Trocas!$F:$F,L$27,Resumo_Trocas!$C:$C,"&gt;0")</f>
        <v>0</v>
      </c>
      <c r="M127" s="61">
        <f>SUMIFS(Resumo_Trocas!$D:$D,Resumo_Trocas!$A:$A,$C127,Resumo_Trocas!$F:$F,M$27,Resumo_Trocas!$C:$C,"&gt;0")</f>
        <v>0</v>
      </c>
      <c r="N127" s="61">
        <f>SUMIFS(Resumo_Trocas!$D:$D,Resumo_Trocas!$A:$A,$C127,Resumo_Trocas!$F:$F,N$27,Resumo_Trocas!$C:$C,"&gt;0")</f>
        <v>2</v>
      </c>
      <c r="O127" s="61">
        <f>SUMIFS(Resumo_Trocas!$D:$D,Resumo_Trocas!$A:$A,$C127,Resumo_Trocas!$F:$F,O$27,Resumo_Trocas!$C:$C,"&gt;0")</f>
        <v>0</v>
      </c>
      <c r="P127" s="61">
        <f>SUMIFS(Resumo_Trocas!$D:$D,Resumo_Trocas!$A:$A,$C127,Resumo_Trocas!$F:$F,P$27,Resumo_Trocas!$C:$C,"&gt;0")</f>
        <v>0</v>
      </c>
      <c r="Q127" s="61">
        <f>SUMIFS(Resumo_Trocas!$D:$D,Resumo_Trocas!$A:$A,$C127,Resumo_Trocas!$F:$F,Q$27,Resumo_Trocas!$C:$C,"&gt;0")</f>
        <v>2</v>
      </c>
      <c r="R127" s="61">
        <f>SUMIFS(Resumo_Trocas!$D:$D,Resumo_Trocas!$A:$A,$C127,Resumo_Trocas!$F:$F,R$27,Resumo_Trocas!$C:$C,"&gt;0")</f>
        <v>0</v>
      </c>
      <c r="S127" s="61">
        <f>SUMIFS(Resumo_Trocas!$D:$D,Resumo_Trocas!$A:$A,$C127,Resumo_Trocas!$F:$F,S$27,Resumo_Trocas!$C:$C,"&gt;0")</f>
        <v>0</v>
      </c>
      <c r="T127" s="61">
        <f>SUMIFS(Resumo_Trocas!$D:$D,Resumo_Trocas!$A:$A,$C127,Resumo_Trocas!$F:$F,T$27,Resumo_Trocas!$C:$C,"&gt;0")</f>
        <v>2</v>
      </c>
      <c r="U127" s="61">
        <f>SUMIFS(Resumo_Trocas!$D:$D,Resumo_Trocas!$A:$A,$C127,Resumo_Trocas!$F:$F,U$27,Resumo_Trocas!$C:$C,"&gt;0")</f>
        <v>0</v>
      </c>
      <c r="V127" s="61">
        <f>SUMIFS(Resumo_Trocas!$D:$D,Resumo_Trocas!$A:$A,$C127,Resumo_Trocas!$F:$F,V$27,Resumo_Trocas!$C:$C,"&gt;0")</f>
        <v>0</v>
      </c>
    </row>
    <row r="128" spans="2:22" ht="15" customHeight="1" outlineLevel="1" thickBot="1" x14ac:dyDescent="0.3">
      <c r="B128" s="76"/>
      <c r="C128" s="60" t="s">
        <v>435</v>
      </c>
      <c r="D128" s="61">
        <f>SUMIFS(Resumo_Trocas!$D:$D,Resumo_Trocas!$A:$A,$C128,Resumo_Trocas!$F:$F,D$27,Resumo_Trocas!$C:$C,"&gt;0")</f>
        <v>0</v>
      </c>
      <c r="E128" s="61">
        <f>SUMIFS(Resumo_Trocas!$D:$D,Resumo_Trocas!$A:$A,$C128,Resumo_Trocas!$F:$F,E$27,Resumo_Trocas!$C:$C,"&gt;0")</f>
        <v>8</v>
      </c>
      <c r="F128" s="61">
        <f>SUMIFS(Resumo_Trocas!$D:$D,Resumo_Trocas!$A:$A,$C128,Resumo_Trocas!$F:$F,F$27,Resumo_Trocas!$C:$C,"&gt;0")</f>
        <v>0</v>
      </c>
      <c r="G128" s="61">
        <f>SUMIFS(Resumo_Trocas!$D:$D,Resumo_Trocas!$A:$A,$C128,Resumo_Trocas!$F:$F,G$27,Resumo_Trocas!$C:$C,"&gt;0")</f>
        <v>0</v>
      </c>
      <c r="H128" s="61">
        <f>SUMIFS(Resumo_Trocas!$D:$D,Resumo_Trocas!$A:$A,$C128,Resumo_Trocas!$F:$F,H$27,Resumo_Trocas!$C:$C,"&gt;0")</f>
        <v>0</v>
      </c>
      <c r="I128" s="61">
        <f>SUMIFS(Resumo_Trocas!$D:$D,Resumo_Trocas!$A:$A,$C128,Resumo_Trocas!$F:$F,I$27,Resumo_Trocas!$C:$C,"&gt;0")</f>
        <v>0</v>
      </c>
      <c r="J128" s="61">
        <f>SUMIFS(Resumo_Trocas!$D:$D,Resumo_Trocas!$A:$A,$C128,Resumo_Trocas!$F:$F,J$27,Resumo_Trocas!$C:$C,"&gt;0")</f>
        <v>0</v>
      </c>
      <c r="K128" s="61">
        <f>SUMIFS(Resumo_Trocas!$D:$D,Resumo_Trocas!$A:$A,$C128,Resumo_Trocas!$F:$F,K$27,Resumo_Trocas!$C:$C,"&gt;0")</f>
        <v>0</v>
      </c>
      <c r="L128" s="61">
        <f>SUMIFS(Resumo_Trocas!$D:$D,Resumo_Trocas!$A:$A,$C128,Resumo_Trocas!$F:$F,L$27,Resumo_Trocas!$C:$C,"&gt;0")</f>
        <v>0</v>
      </c>
      <c r="M128" s="61">
        <f>SUMIFS(Resumo_Trocas!$D:$D,Resumo_Trocas!$A:$A,$C128,Resumo_Trocas!$F:$F,M$27,Resumo_Trocas!$C:$C,"&gt;0")</f>
        <v>0</v>
      </c>
      <c r="N128" s="61">
        <f>SUMIFS(Resumo_Trocas!$D:$D,Resumo_Trocas!$A:$A,$C128,Resumo_Trocas!$F:$F,N$27,Resumo_Trocas!$C:$C,"&gt;0")</f>
        <v>0</v>
      </c>
      <c r="O128" s="61">
        <f>SUMIFS(Resumo_Trocas!$D:$D,Resumo_Trocas!$A:$A,$C128,Resumo_Trocas!$F:$F,O$27,Resumo_Trocas!$C:$C,"&gt;0")</f>
        <v>0</v>
      </c>
      <c r="P128" s="61">
        <f>SUMIFS(Resumo_Trocas!$D:$D,Resumo_Trocas!$A:$A,$C128,Resumo_Trocas!$F:$F,P$27,Resumo_Trocas!$C:$C,"&gt;0")</f>
        <v>0</v>
      </c>
      <c r="Q128" s="61">
        <f>SUMIFS(Resumo_Trocas!$D:$D,Resumo_Trocas!$A:$A,$C128,Resumo_Trocas!$F:$F,Q$27,Resumo_Trocas!$C:$C,"&gt;0")</f>
        <v>0</v>
      </c>
      <c r="R128" s="61">
        <f>SUMIFS(Resumo_Trocas!$D:$D,Resumo_Trocas!$A:$A,$C128,Resumo_Trocas!$F:$F,R$27,Resumo_Trocas!$C:$C,"&gt;0")</f>
        <v>0</v>
      </c>
      <c r="S128" s="61">
        <f>SUMIFS(Resumo_Trocas!$D:$D,Resumo_Trocas!$A:$A,$C128,Resumo_Trocas!$F:$F,S$27,Resumo_Trocas!$C:$C,"&gt;0")</f>
        <v>0</v>
      </c>
      <c r="T128" s="61">
        <f>SUMIFS(Resumo_Trocas!$D:$D,Resumo_Trocas!$A:$A,$C128,Resumo_Trocas!$F:$F,T$27,Resumo_Trocas!$C:$C,"&gt;0")</f>
        <v>0</v>
      </c>
      <c r="U128" s="61">
        <f>SUMIFS(Resumo_Trocas!$D:$D,Resumo_Trocas!$A:$A,$C128,Resumo_Trocas!$F:$F,U$27,Resumo_Trocas!$C:$C,"&gt;0")</f>
        <v>0</v>
      </c>
      <c r="V128" s="61">
        <f>SUMIFS(Resumo_Trocas!$D:$D,Resumo_Trocas!$A:$A,$C128,Resumo_Trocas!$F:$F,V$27,Resumo_Trocas!$C:$C,"&gt;0")</f>
        <v>0</v>
      </c>
    </row>
    <row r="129" spans="2:22" ht="15" customHeight="1" outlineLevel="1" thickBot="1" x14ac:dyDescent="0.3">
      <c r="B129" s="76"/>
      <c r="C129" s="60" t="s">
        <v>439</v>
      </c>
      <c r="D129" s="61">
        <f>SUMIFS(Resumo_Trocas!$D:$D,Resumo_Trocas!$A:$A,$C129,Resumo_Trocas!$F:$F,D$27,Resumo_Trocas!$C:$C,"&gt;0")</f>
        <v>6</v>
      </c>
      <c r="E129" s="61">
        <f>SUMIFS(Resumo_Trocas!$D:$D,Resumo_Trocas!$A:$A,$C129,Resumo_Trocas!$F:$F,E$27,Resumo_Trocas!$C:$C,"&gt;0")</f>
        <v>4</v>
      </c>
      <c r="F129" s="61">
        <f>SUMIFS(Resumo_Trocas!$D:$D,Resumo_Trocas!$A:$A,$C129,Resumo_Trocas!$F:$F,F$27,Resumo_Trocas!$C:$C,"&gt;0")</f>
        <v>2</v>
      </c>
      <c r="G129" s="61">
        <f>SUMIFS(Resumo_Trocas!$D:$D,Resumo_Trocas!$A:$A,$C129,Resumo_Trocas!$F:$F,G$27,Resumo_Trocas!$C:$C,"&gt;0")</f>
        <v>2</v>
      </c>
      <c r="H129" s="61">
        <f>SUMIFS(Resumo_Trocas!$D:$D,Resumo_Trocas!$A:$A,$C129,Resumo_Trocas!$F:$F,H$27,Resumo_Trocas!$C:$C,"&gt;0")</f>
        <v>3</v>
      </c>
      <c r="I129" s="61">
        <f>SUMIFS(Resumo_Trocas!$D:$D,Resumo_Trocas!$A:$A,$C129,Resumo_Trocas!$F:$F,I$27,Resumo_Trocas!$C:$C,"&gt;0")</f>
        <v>0</v>
      </c>
      <c r="J129" s="61">
        <f>SUMIFS(Resumo_Trocas!$D:$D,Resumo_Trocas!$A:$A,$C129,Resumo_Trocas!$F:$F,J$27,Resumo_Trocas!$C:$C,"&gt;0")</f>
        <v>0</v>
      </c>
      <c r="K129" s="61">
        <f>SUMIFS(Resumo_Trocas!$D:$D,Resumo_Trocas!$A:$A,$C129,Resumo_Trocas!$F:$F,K$27,Resumo_Trocas!$C:$C,"&gt;0")</f>
        <v>0</v>
      </c>
      <c r="L129" s="61">
        <f>SUMIFS(Resumo_Trocas!$D:$D,Resumo_Trocas!$A:$A,$C129,Resumo_Trocas!$F:$F,L$27,Resumo_Trocas!$C:$C,"&gt;0")</f>
        <v>0</v>
      </c>
      <c r="M129" s="61">
        <f>SUMIFS(Resumo_Trocas!$D:$D,Resumo_Trocas!$A:$A,$C129,Resumo_Trocas!$F:$F,M$27,Resumo_Trocas!$C:$C,"&gt;0")</f>
        <v>0</v>
      </c>
      <c r="N129" s="61">
        <f>SUMIFS(Resumo_Trocas!$D:$D,Resumo_Trocas!$A:$A,$C129,Resumo_Trocas!$F:$F,N$27,Resumo_Trocas!$C:$C,"&gt;0")</f>
        <v>0</v>
      </c>
      <c r="O129" s="61">
        <f>SUMIFS(Resumo_Trocas!$D:$D,Resumo_Trocas!$A:$A,$C129,Resumo_Trocas!$F:$F,O$27,Resumo_Trocas!$C:$C,"&gt;0")</f>
        <v>0</v>
      </c>
      <c r="P129" s="61">
        <f>SUMIFS(Resumo_Trocas!$D:$D,Resumo_Trocas!$A:$A,$C129,Resumo_Trocas!$F:$F,P$27,Resumo_Trocas!$C:$C,"&gt;0")</f>
        <v>0</v>
      </c>
      <c r="Q129" s="61">
        <f>SUMIFS(Resumo_Trocas!$D:$D,Resumo_Trocas!$A:$A,$C129,Resumo_Trocas!$F:$F,Q$27,Resumo_Trocas!$C:$C,"&gt;0")</f>
        <v>0</v>
      </c>
      <c r="R129" s="61">
        <f>SUMIFS(Resumo_Trocas!$D:$D,Resumo_Trocas!$A:$A,$C129,Resumo_Trocas!$F:$F,R$27,Resumo_Trocas!$C:$C,"&gt;0")</f>
        <v>0</v>
      </c>
      <c r="S129" s="61">
        <f>SUMIFS(Resumo_Trocas!$D:$D,Resumo_Trocas!$A:$A,$C129,Resumo_Trocas!$F:$F,S$27,Resumo_Trocas!$C:$C,"&gt;0")</f>
        <v>0</v>
      </c>
      <c r="T129" s="61">
        <f>SUMIFS(Resumo_Trocas!$D:$D,Resumo_Trocas!$A:$A,$C129,Resumo_Trocas!$F:$F,T$27,Resumo_Trocas!$C:$C,"&gt;0")</f>
        <v>0</v>
      </c>
      <c r="U129" s="61">
        <f>SUMIFS(Resumo_Trocas!$D:$D,Resumo_Trocas!$A:$A,$C129,Resumo_Trocas!$F:$F,U$27,Resumo_Trocas!$C:$C,"&gt;0")</f>
        <v>0</v>
      </c>
      <c r="V129" s="61">
        <f>SUMIFS(Resumo_Trocas!$D:$D,Resumo_Trocas!$A:$A,$C129,Resumo_Trocas!$F:$F,V$27,Resumo_Trocas!$C:$C,"&gt;0")</f>
        <v>0</v>
      </c>
    </row>
    <row r="130" spans="2:22" ht="15" customHeight="1" outlineLevel="1" thickBot="1" x14ac:dyDescent="0.3">
      <c r="B130" s="76"/>
      <c r="C130" s="60" t="s">
        <v>443</v>
      </c>
      <c r="D130" s="61">
        <f>SUMIFS(Resumo_Trocas!$D:$D,Resumo_Trocas!$A:$A,$C130,Resumo_Trocas!$F:$F,D$27,Resumo_Trocas!$C:$C,"&gt;0")</f>
        <v>8</v>
      </c>
      <c r="E130" s="61">
        <f>SUMIFS(Resumo_Trocas!$D:$D,Resumo_Trocas!$A:$A,$C130,Resumo_Trocas!$F:$F,E$27,Resumo_Trocas!$C:$C,"&gt;0")</f>
        <v>14</v>
      </c>
      <c r="F130" s="61">
        <f>SUMIFS(Resumo_Trocas!$D:$D,Resumo_Trocas!$A:$A,$C130,Resumo_Trocas!$F:$F,F$27,Resumo_Trocas!$C:$C,"&gt;0")</f>
        <v>9</v>
      </c>
      <c r="G130" s="61">
        <f>SUMIFS(Resumo_Trocas!$D:$D,Resumo_Trocas!$A:$A,$C130,Resumo_Trocas!$F:$F,G$27,Resumo_Trocas!$C:$C,"&gt;0")</f>
        <v>3</v>
      </c>
      <c r="H130" s="61">
        <f>SUMIFS(Resumo_Trocas!$D:$D,Resumo_Trocas!$A:$A,$C130,Resumo_Trocas!$F:$F,H$27,Resumo_Trocas!$C:$C,"&gt;0")</f>
        <v>10</v>
      </c>
      <c r="I130" s="61">
        <f>SUMIFS(Resumo_Trocas!$D:$D,Resumo_Trocas!$A:$A,$C130,Resumo_Trocas!$F:$F,I$27,Resumo_Trocas!$C:$C,"&gt;0")</f>
        <v>0</v>
      </c>
      <c r="J130" s="61">
        <f>SUMIFS(Resumo_Trocas!$D:$D,Resumo_Trocas!$A:$A,$C130,Resumo_Trocas!$F:$F,J$27,Resumo_Trocas!$C:$C,"&gt;0")</f>
        <v>6</v>
      </c>
      <c r="K130" s="61">
        <f>SUMIFS(Resumo_Trocas!$D:$D,Resumo_Trocas!$A:$A,$C130,Resumo_Trocas!$F:$F,K$27,Resumo_Trocas!$C:$C,"&gt;0")</f>
        <v>6</v>
      </c>
      <c r="L130" s="61">
        <f>SUMIFS(Resumo_Trocas!$D:$D,Resumo_Trocas!$A:$A,$C130,Resumo_Trocas!$F:$F,L$27,Resumo_Trocas!$C:$C,"&gt;0")</f>
        <v>6</v>
      </c>
      <c r="M130" s="61">
        <f>SUMIFS(Resumo_Trocas!$D:$D,Resumo_Trocas!$A:$A,$C130,Resumo_Trocas!$F:$F,M$27,Resumo_Trocas!$C:$C,"&gt;0")</f>
        <v>6</v>
      </c>
      <c r="N130" s="61">
        <f>SUMIFS(Resumo_Trocas!$D:$D,Resumo_Trocas!$A:$A,$C130,Resumo_Trocas!$F:$F,N$27,Resumo_Trocas!$C:$C,"&gt;0")</f>
        <v>12</v>
      </c>
      <c r="O130" s="61">
        <f>SUMIFS(Resumo_Trocas!$D:$D,Resumo_Trocas!$A:$A,$C130,Resumo_Trocas!$F:$F,O$27,Resumo_Trocas!$C:$C,"&gt;0")</f>
        <v>10</v>
      </c>
      <c r="P130" s="61">
        <f>SUMIFS(Resumo_Trocas!$D:$D,Resumo_Trocas!$A:$A,$C130,Resumo_Trocas!$F:$F,P$27,Resumo_Trocas!$C:$C,"&gt;0")</f>
        <v>8</v>
      </c>
      <c r="Q130" s="61">
        <f>SUMIFS(Resumo_Trocas!$D:$D,Resumo_Trocas!$A:$A,$C130,Resumo_Trocas!$F:$F,Q$27,Resumo_Trocas!$C:$C,"&gt;0")</f>
        <v>8</v>
      </c>
      <c r="R130" s="61">
        <f>SUMIFS(Resumo_Trocas!$D:$D,Resumo_Trocas!$A:$A,$C130,Resumo_Trocas!$F:$F,R$27,Resumo_Trocas!$C:$C,"&gt;0")</f>
        <v>4</v>
      </c>
      <c r="S130" s="61">
        <f>SUMIFS(Resumo_Trocas!$D:$D,Resumo_Trocas!$A:$A,$C130,Resumo_Trocas!$F:$F,S$27,Resumo_Trocas!$C:$C,"&gt;0")</f>
        <v>2</v>
      </c>
      <c r="T130" s="61">
        <f>SUMIFS(Resumo_Trocas!$D:$D,Resumo_Trocas!$A:$A,$C130,Resumo_Trocas!$F:$F,T$27,Resumo_Trocas!$C:$C,"&gt;0")</f>
        <v>4</v>
      </c>
      <c r="U130" s="61">
        <f>SUMIFS(Resumo_Trocas!$D:$D,Resumo_Trocas!$A:$A,$C130,Resumo_Trocas!$F:$F,U$27,Resumo_Trocas!$C:$C,"&gt;0")</f>
        <v>0</v>
      </c>
      <c r="V130" s="61">
        <f>SUMIFS(Resumo_Trocas!$D:$D,Resumo_Trocas!$A:$A,$C130,Resumo_Trocas!$F:$F,V$27,Resumo_Trocas!$C:$C,"&gt;0")</f>
        <v>0</v>
      </c>
    </row>
    <row r="131" spans="2:22" ht="15" customHeight="1" outlineLevel="1" thickBot="1" x14ac:dyDescent="0.3">
      <c r="B131" s="76"/>
      <c r="C131" s="60" t="s">
        <v>450</v>
      </c>
      <c r="D131" s="61">
        <f>SUMIFS(Resumo_Trocas!$D:$D,Resumo_Trocas!$A:$A,$C131,Resumo_Trocas!$F:$F,D$27,Resumo_Trocas!$C:$C,"&gt;0")</f>
        <v>0</v>
      </c>
      <c r="E131" s="61">
        <f>SUMIFS(Resumo_Trocas!$D:$D,Resumo_Trocas!$A:$A,$C131,Resumo_Trocas!$F:$F,E$27,Resumo_Trocas!$C:$C,"&gt;0")</f>
        <v>0</v>
      </c>
      <c r="F131" s="61">
        <f>SUMIFS(Resumo_Trocas!$D:$D,Resumo_Trocas!$A:$A,$C131,Resumo_Trocas!$F:$F,F$27,Resumo_Trocas!$C:$C,"&gt;0")</f>
        <v>0</v>
      </c>
      <c r="G131" s="61">
        <f>SUMIFS(Resumo_Trocas!$D:$D,Resumo_Trocas!$A:$A,$C131,Resumo_Trocas!$F:$F,G$27,Resumo_Trocas!$C:$C,"&gt;0")</f>
        <v>4</v>
      </c>
      <c r="H131" s="61">
        <f>SUMIFS(Resumo_Trocas!$D:$D,Resumo_Trocas!$A:$A,$C131,Resumo_Trocas!$F:$F,H$27,Resumo_Trocas!$C:$C,"&gt;0")</f>
        <v>4</v>
      </c>
      <c r="I131" s="61">
        <f>SUMIFS(Resumo_Trocas!$D:$D,Resumo_Trocas!$A:$A,$C131,Resumo_Trocas!$F:$F,I$27,Resumo_Trocas!$C:$C,"&gt;0")</f>
        <v>0</v>
      </c>
      <c r="J131" s="61">
        <f>SUMIFS(Resumo_Trocas!$D:$D,Resumo_Trocas!$A:$A,$C131,Resumo_Trocas!$F:$F,J$27,Resumo_Trocas!$C:$C,"&gt;0")</f>
        <v>2</v>
      </c>
      <c r="K131" s="61">
        <f>SUMIFS(Resumo_Trocas!$D:$D,Resumo_Trocas!$A:$A,$C131,Resumo_Trocas!$F:$F,K$27,Resumo_Trocas!$C:$C,"&gt;0")</f>
        <v>2</v>
      </c>
      <c r="L131" s="61">
        <f>SUMIFS(Resumo_Trocas!$D:$D,Resumo_Trocas!$A:$A,$C131,Resumo_Trocas!$F:$F,L$27,Resumo_Trocas!$C:$C,"&gt;0")</f>
        <v>6</v>
      </c>
      <c r="M131" s="61">
        <f>SUMIFS(Resumo_Trocas!$D:$D,Resumo_Trocas!$A:$A,$C131,Resumo_Trocas!$F:$F,M$27,Resumo_Trocas!$C:$C,"&gt;0")</f>
        <v>0</v>
      </c>
      <c r="N131" s="61">
        <f>SUMIFS(Resumo_Trocas!$D:$D,Resumo_Trocas!$A:$A,$C131,Resumo_Trocas!$F:$F,N$27,Resumo_Trocas!$C:$C,"&gt;0")</f>
        <v>2</v>
      </c>
      <c r="O131" s="61">
        <f>SUMIFS(Resumo_Trocas!$D:$D,Resumo_Trocas!$A:$A,$C131,Resumo_Trocas!$F:$F,O$27,Resumo_Trocas!$C:$C,"&gt;0")</f>
        <v>2</v>
      </c>
      <c r="P131" s="61">
        <f>SUMIFS(Resumo_Trocas!$D:$D,Resumo_Trocas!$A:$A,$C131,Resumo_Trocas!$F:$F,P$27,Resumo_Trocas!$C:$C,"&gt;0")</f>
        <v>0</v>
      </c>
      <c r="Q131" s="61">
        <f>SUMIFS(Resumo_Trocas!$D:$D,Resumo_Trocas!$A:$A,$C131,Resumo_Trocas!$F:$F,Q$27,Resumo_Trocas!$C:$C,"&gt;0")</f>
        <v>0</v>
      </c>
      <c r="R131" s="61">
        <f>SUMIFS(Resumo_Trocas!$D:$D,Resumo_Trocas!$A:$A,$C131,Resumo_Trocas!$F:$F,R$27,Resumo_Trocas!$C:$C,"&gt;0")</f>
        <v>0</v>
      </c>
      <c r="S131" s="61">
        <f>SUMIFS(Resumo_Trocas!$D:$D,Resumo_Trocas!$A:$A,$C131,Resumo_Trocas!$F:$F,S$27,Resumo_Trocas!$C:$C,"&gt;0")</f>
        <v>2</v>
      </c>
      <c r="T131" s="61">
        <f>SUMIFS(Resumo_Trocas!$D:$D,Resumo_Trocas!$A:$A,$C131,Resumo_Trocas!$F:$F,T$27,Resumo_Trocas!$C:$C,"&gt;0")</f>
        <v>2</v>
      </c>
      <c r="U131" s="61">
        <f>SUMIFS(Resumo_Trocas!$D:$D,Resumo_Trocas!$A:$A,$C131,Resumo_Trocas!$F:$F,U$27,Resumo_Trocas!$C:$C,"&gt;0")</f>
        <v>0</v>
      </c>
      <c r="V131" s="61">
        <f>SUMIFS(Resumo_Trocas!$D:$D,Resumo_Trocas!$A:$A,$C131,Resumo_Trocas!$F:$F,V$27,Resumo_Trocas!$C:$C,"&gt;0")</f>
        <v>0</v>
      </c>
    </row>
    <row r="132" spans="2:22" ht="15" customHeight="1" outlineLevel="1" thickBot="1" x14ac:dyDescent="0.3">
      <c r="B132" s="76"/>
      <c r="C132" s="60" t="s">
        <v>454</v>
      </c>
      <c r="D132" s="61">
        <f>SUMIFS(Resumo_Trocas!$D:$D,Resumo_Trocas!$A:$A,$C132,Resumo_Trocas!$F:$F,D$27,Resumo_Trocas!$C:$C,"&gt;0")</f>
        <v>5</v>
      </c>
      <c r="E132" s="61">
        <f>SUMIFS(Resumo_Trocas!$D:$D,Resumo_Trocas!$A:$A,$C132,Resumo_Trocas!$F:$F,E$27,Resumo_Trocas!$C:$C,"&gt;0")</f>
        <v>0</v>
      </c>
      <c r="F132" s="61">
        <f>SUMIFS(Resumo_Trocas!$D:$D,Resumo_Trocas!$A:$A,$C132,Resumo_Trocas!$F:$F,F$27,Resumo_Trocas!$C:$C,"&gt;0")</f>
        <v>0</v>
      </c>
      <c r="G132" s="61">
        <f>SUMIFS(Resumo_Trocas!$D:$D,Resumo_Trocas!$A:$A,$C132,Resumo_Trocas!$F:$F,G$27,Resumo_Trocas!$C:$C,"&gt;0")</f>
        <v>2</v>
      </c>
      <c r="H132" s="61">
        <f>SUMIFS(Resumo_Trocas!$D:$D,Resumo_Trocas!$A:$A,$C132,Resumo_Trocas!$F:$F,H$27,Resumo_Trocas!$C:$C,"&gt;0")</f>
        <v>0</v>
      </c>
      <c r="I132" s="61">
        <f>SUMIFS(Resumo_Trocas!$D:$D,Resumo_Trocas!$A:$A,$C132,Resumo_Trocas!$F:$F,I$27,Resumo_Trocas!$C:$C,"&gt;0")</f>
        <v>0</v>
      </c>
      <c r="J132" s="61">
        <f>SUMIFS(Resumo_Trocas!$D:$D,Resumo_Trocas!$A:$A,$C132,Resumo_Trocas!$F:$F,J$27,Resumo_Trocas!$C:$C,"&gt;0")</f>
        <v>2</v>
      </c>
      <c r="K132" s="61">
        <f>SUMIFS(Resumo_Trocas!$D:$D,Resumo_Trocas!$A:$A,$C132,Resumo_Trocas!$F:$F,K$27,Resumo_Trocas!$C:$C,"&gt;0")</f>
        <v>2</v>
      </c>
      <c r="L132" s="61">
        <f>SUMIFS(Resumo_Trocas!$D:$D,Resumo_Trocas!$A:$A,$C132,Resumo_Trocas!$F:$F,L$27,Resumo_Trocas!$C:$C,"&gt;0")</f>
        <v>0</v>
      </c>
      <c r="M132" s="61">
        <f>SUMIFS(Resumo_Trocas!$D:$D,Resumo_Trocas!$A:$A,$C132,Resumo_Trocas!$F:$F,M$27,Resumo_Trocas!$C:$C,"&gt;0")</f>
        <v>2</v>
      </c>
      <c r="N132" s="61">
        <f>SUMIFS(Resumo_Trocas!$D:$D,Resumo_Trocas!$A:$A,$C132,Resumo_Trocas!$F:$F,N$27,Resumo_Trocas!$C:$C,"&gt;0")</f>
        <v>2</v>
      </c>
      <c r="O132" s="61">
        <f>SUMIFS(Resumo_Trocas!$D:$D,Resumo_Trocas!$A:$A,$C132,Resumo_Trocas!$F:$F,O$27,Resumo_Trocas!$C:$C,"&gt;0")</f>
        <v>2</v>
      </c>
      <c r="P132" s="61">
        <f>SUMIFS(Resumo_Trocas!$D:$D,Resumo_Trocas!$A:$A,$C132,Resumo_Trocas!$F:$F,P$27,Resumo_Trocas!$C:$C,"&gt;0")</f>
        <v>0</v>
      </c>
      <c r="Q132" s="61">
        <f>SUMIFS(Resumo_Trocas!$D:$D,Resumo_Trocas!$A:$A,$C132,Resumo_Trocas!$F:$F,Q$27,Resumo_Trocas!$C:$C,"&gt;0")</f>
        <v>2</v>
      </c>
      <c r="R132" s="61">
        <f>SUMIFS(Resumo_Trocas!$D:$D,Resumo_Trocas!$A:$A,$C132,Resumo_Trocas!$F:$F,R$27,Resumo_Trocas!$C:$C,"&gt;0")</f>
        <v>0</v>
      </c>
      <c r="S132" s="61">
        <f>SUMIFS(Resumo_Trocas!$D:$D,Resumo_Trocas!$A:$A,$C132,Resumo_Trocas!$F:$F,S$27,Resumo_Trocas!$C:$C,"&gt;0")</f>
        <v>0</v>
      </c>
      <c r="T132" s="61">
        <f>SUMIFS(Resumo_Trocas!$D:$D,Resumo_Trocas!$A:$A,$C132,Resumo_Trocas!$F:$F,T$27,Resumo_Trocas!$C:$C,"&gt;0")</f>
        <v>0</v>
      </c>
      <c r="U132" s="61">
        <f>SUMIFS(Resumo_Trocas!$D:$D,Resumo_Trocas!$A:$A,$C132,Resumo_Trocas!$F:$F,U$27,Resumo_Trocas!$C:$C,"&gt;0")</f>
        <v>3</v>
      </c>
      <c r="V132" s="61">
        <f>SUMIFS(Resumo_Trocas!$D:$D,Resumo_Trocas!$A:$A,$C132,Resumo_Trocas!$F:$F,V$27,Resumo_Trocas!$C:$C,"&gt;0")</f>
        <v>0</v>
      </c>
    </row>
    <row r="133" spans="2:22" ht="15" customHeight="1" outlineLevel="1" thickBot="1" x14ac:dyDescent="0.3">
      <c r="B133" s="76"/>
      <c r="C133" s="60" t="s">
        <v>461</v>
      </c>
      <c r="D133" s="61">
        <f>SUMIFS(Resumo_Trocas!$D:$D,Resumo_Trocas!$A:$A,$C133,Resumo_Trocas!$F:$F,D$27,Resumo_Trocas!$C:$C,"&gt;0")</f>
        <v>0</v>
      </c>
      <c r="E133" s="61">
        <f>SUMIFS(Resumo_Trocas!$D:$D,Resumo_Trocas!$A:$A,$C133,Resumo_Trocas!$F:$F,E$27,Resumo_Trocas!$C:$C,"&gt;0")</f>
        <v>2</v>
      </c>
      <c r="F133" s="61">
        <f>SUMIFS(Resumo_Trocas!$D:$D,Resumo_Trocas!$A:$A,$C133,Resumo_Trocas!$F:$F,F$27,Resumo_Trocas!$C:$C,"&gt;0")</f>
        <v>0</v>
      </c>
      <c r="G133" s="61">
        <f>SUMIFS(Resumo_Trocas!$D:$D,Resumo_Trocas!$A:$A,$C133,Resumo_Trocas!$F:$F,G$27,Resumo_Trocas!$C:$C,"&gt;0")</f>
        <v>0</v>
      </c>
      <c r="H133" s="61">
        <f>SUMIFS(Resumo_Trocas!$D:$D,Resumo_Trocas!$A:$A,$C133,Resumo_Trocas!$F:$F,H$27,Resumo_Trocas!$C:$C,"&gt;0")</f>
        <v>0</v>
      </c>
      <c r="I133" s="61">
        <f>SUMIFS(Resumo_Trocas!$D:$D,Resumo_Trocas!$A:$A,$C133,Resumo_Trocas!$F:$F,I$27,Resumo_Trocas!$C:$C,"&gt;0")</f>
        <v>0</v>
      </c>
      <c r="J133" s="61">
        <f>SUMIFS(Resumo_Trocas!$D:$D,Resumo_Trocas!$A:$A,$C133,Resumo_Trocas!$F:$F,J$27,Resumo_Trocas!$C:$C,"&gt;0")</f>
        <v>0</v>
      </c>
      <c r="K133" s="61">
        <f>SUMIFS(Resumo_Trocas!$D:$D,Resumo_Trocas!$A:$A,$C133,Resumo_Trocas!$F:$F,K$27,Resumo_Trocas!$C:$C,"&gt;0")</f>
        <v>0</v>
      </c>
      <c r="L133" s="61">
        <f>SUMIFS(Resumo_Trocas!$D:$D,Resumo_Trocas!$A:$A,$C133,Resumo_Trocas!$F:$F,L$27,Resumo_Trocas!$C:$C,"&gt;0")</f>
        <v>0</v>
      </c>
      <c r="M133" s="61">
        <f>SUMIFS(Resumo_Trocas!$D:$D,Resumo_Trocas!$A:$A,$C133,Resumo_Trocas!$F:$F,M$27,Resumo_Trocas!$C:$C,"&gt;0")</f>
        <v>0</v>
      </c>
      <c r="N133" s="61">
        <f>SUMIFS(Resumo_Trocas!$D:$D,Resumo_Trocas!$A:$A,$C133,Resumo_Trocas!$F:$F,N$27,Resumo_Trocas!$C:$C,"&gt;0")</f>
        <v>0</v>
      </c>
      <c r="O133" s="61">
        <f>SUMIFS(Resumo_Trocas!$D:$D,Resumo_Trocas!$A:$A,$C133,Resumo_Trocas!$F:$F,O$27,Resumo_Trocas!$C:$C,"&gt;0")</f>
        <v>0</v>
      </c>
      <c r="P133" s="61">
        <f>SUMIFS(Resumo_Trocas!$D:$D,Resumo_Trocas!$A:$A,$C133,Resumo_Trocas!$F:$F,P$27,Resumo_Trocas!$C:$C,"&gt;0")</f>
        <v>0</v>
      </c>
      <c r="Q133" s="61">
        <f>SUMIFS(Resumo_Trocas!$D:$D,Resumo_Trocas!$A:$A,$C133,Resumo_Trocas!$F:$F,Q$27,Resumo_Trocas!$C:$C,"&gt;0")</f>
        <v>0</v>
      </c>
      <c r="R133" s="61">
        <f>SUMIFS(Resumo_Trocas!$D:$D,Resumo_Trocas!$A:$A,$C133,Resumo_Trocas!$F:$F,R$27,Resumo_Trocas!$C:$C,"&gt;0")</f>
        <v>0</v>
      </c>
      <c r="S133" s="61">
        <f>SUMIFS(Resumo_Trocas!$D:$D,Resumo_Trocas!$A:$A,$C133,Resumo_Trocas!$F:$F,S$27,Resumo_Trocas!$C:$C,"&gt;0")</f>
        <v>0</v>
      </c>
      <c r="T133" s="61">
        <f>SUMIFS(Resumo_Trocas!$D:$D,Resumo_Trocas!$A:$A,$C133,Resumo_Trocas!$F:$F,T$27,Resumo_Trocas!$C:$C,"&gt;0")</f>
        <v>0</v>
      </c>
      <c r="U133" s="61">
        <f>SUMIFS(Resumo_Trocas!$D:$D,Resumo_Trocas!$A:$A,$C133,Resumo_Trocas!$F:$F,U$27,Resumo_Trocas!$C:$C,"&gt;0")</f>
        <v>0</v>
      </c>
      <c r="V133" s="61">
        <f>SUMIFS(Resumo_Trocas!$D:$D,Resumo_Trocas!$A:$A,$C133,Resumo_Trocas!$F:$F,V$27,Resumo_Trocas!$C:$C,"&gt;0")</f>
        <v>0</v>
      </c>
    </row>
    <row r="134" spans="2:22" ht="15" customHeight="1" outlineLevel="1" thickBot="1" x14ac:dyDescent="0.3">
      <c r="B134" s="76"/>
      <c r="C134" s="60"/>
      <c r="D134" s="77"/>
    </row>
    <row r="135" spans="2:22" ht="21" x14ac:dyDescent="0.35">
      <c r="C135" s="71" t="s">
        <v>3433</v>
      </c>
    </row>
    <row r="136" spans="2:22" x14ac:dyDescent="0.25">
      <c r="B136" s="72" t="s">
        <v>3395</v>
      </c>
      <c r="C136" s="58" t="s">
        <v>3397</v>
      </c>
      <c r="D136" s="59" t="s">
        <v>3372</v>
      </c>
      <c r="E136" s="59" t="s">
        <v>3373</v>
      </c>
      <c r="F136" s="59" t="s">
        <v>3374</v>
      </c>
      <c r="G136" s="59" t="s">
        <v>3370</v>
      </c>
      <c r="H136" s="59" t="s">
        <v>3371</v>
      </c>
      <c r="I136" s="59" t="s">
        <v>3375</v>
      </c>
      <c r="J136" s="59" t="s">
        <v>3367</v>
      </c>
      <c r="K136" s="59" t="s">
        <v>3368</v>
      </c>
      <c r="L136" s="59" t="s">
        <v>3369</v>
      </c>
      <c r="M136" s="59" t="s">
        <v>3358</v>
      </c>
      <c r="N136" s="59" t="s">
        <v>3363</v>
      </c>
      <c r="O136" s="59" t="s">
        <v>3361</v>
      </c>
      <c r="P136" s="59" t="s">
        <v>3359</v>
      </c>
      <c r="Q136" s="59" t="s">
        <v>3366</v>
      </c>
      <c r="R136" s="59" t="s">
        <v>3364</v>
      </c>
      <c r="S136" s="59" t="s">
        <v>3360</v>
      </c>
      <c r="T136" s="59" t="s">
        <v>3362</v>
      </c>
      <c r="U136" s="59" t="s">
        <v>3365</v>
      </c>
      <c r="V136" s="59" t="s">
        <v>3382</v>
      </c>
    </row>
    <row r="137" spans="2:22" s="75" customFormat="1" ht="25.5" x14ac:dyDescent="0.35">
      <c r="B137" s="73" t="s">
        <v>3395</v>
      </c>
      <c r="C137" s="74" t="s">
        <v>3434</v>
      </c>
      <c r="D137" s="57">
        <f>IFERROR(SUM(D138:D158)," ")</f>
        <v>0</v>
      </c>
      <c r="E137" s="57">
        <f t="shared" ref="E137:V137" si="19">IFERROR(SUM(E138:E158)," ")</f>
        <v>0</v>
      </c>
      <c r="F137" s="57">
        <f t="shared" si="19"/>
        <v>0</v>
      </c>
      <c r="G137" s="57">
        <f t="shared" si="19"/>
        <v>0</v>
      </c>
      <c r="H137" s="57">
        <f t="shared" si="19"/>
        <v>0</v>
      </c>
      <c r="I137" s="57">
        <f t="shared" si="19"/>
        <v>0</v>
      </c>
      <c r="J137" s="57">
        <f t="shared" si="19"/>
        <v>0</v>
      </c>
      <c r="K137" s="57">
        <f t="shared" si="19"/>
        <v>0</v>
      </c>
      <c r="L137" s="57">
        <f t="shared" si="19"/>
        <v>0</v>
      </c>
      <c r="M137" s="57">
        <f t="shared" si="19"/>
        <v>0</v>
      </c>
      <c r="N137" s="57">
        <f t="shared" si="19"/>
        <v>0</v>
      </c>
      <c r="O137" s="57">
        <f t="shared" si="19"/>
        <v>0</v>
      </c>
      <c r="P137" s="57">
        <f t="shared" si="19"/>
        <v>0</v>
      </c>
      <c r="Q137" s="57">
        <f t="shared" si="19"/>
        <v>0</v>
      </c>
      <c r="R137" s="57">
        <f t="shared" si="19"/>
        <v>0</v>
      </c>
      <c r="S137" s="57">
        <f t="shared" si="19"/>
        <v>0</v>
      </c>
      <c r="T137" s="57">
        <f t="shared" si="19"/>
        <v>0</v>
      </c>
      <c r="U137" s="57">
        <f t="shared" si="19"/>
        <v>0</v>
      </c>
      <c r="V137" s="57">
        <f t="shared" si="19"/>
        <v>0</v>
      </c>
    </row>
    <row r="138" spans="2:22" ht="15" customHeight="1" outlineLevel="1" thickBot="1" x14ac:dyDescent="0.3">
      <c r="B138" s="76"/>
      <c r="C138" s="60" t="s">
        <v>3435</v>
      </c>
      <c r="D138" s="61">
        <f>SUMIFS(Resumo_Trocas!$D:$D,Resumo_Trocas!$A:$A,$C138,Resumo_Trocas!$F:$F,D$27,Resumo_Trocas!$C:$C,"&gt;0")</f>
        <v>0</v>
      </c>
      <c r="E138" s="61">
        <f>SUMIFS(Resumo_Trocas!$D:$D,Resumo_Trocas!$A:$A,$C138,Resumo_Trocas!$F:$F,E$27,Resumo_Trocas!$C:$C,"&gt;0")</f>
        <v>0</v>
      </c>
      <c r="F138" s="61">
        <f>SUMIFS(Resumo_Trocas!$D:$D,Resumo_Trocas!$A:$A,$C138,Resumo_Trocas!$F:$F,F$27,Resumo_Trocas!$C:$C,"&gt;0")</f>
        <v>0</v>
      </c>
      <c r="G138" s="61">
        <f>SUMIFS(Resumo_Trocas!$D:$D,Resumo_Trocas!$A:$A,$C138,Resumo_Trocas!$F:$F,G$27,Resumo_Trocas!$C:$C,"&gt;0")</f>
        <v>0</v>
      </c>
      <c r="H138" s="61">
        <f>SUMIFS(Resumo_Trocas!$D:$D,Resumo_Trocas!$A:$A,$C138,Resumo_Trocas!$F:$F,H$27,Resumo_Trocas!$C:$C,"&gt;0")</f>
        <v>0</v>
      </c>
      <c r="I138" s="61">
        <f>SUMIFS(Resumo_Trocas!$D:$D,Resumo_Trocas!$A:$A,$C138,Resumo_Trocas!$F:$F,I$27,Resumo_Trocas!$C:$C,"&gt;0")</f>
        <v>0</v>
      </c>
      <c r="J138" s="61">
        <f>SUMIFS(Resumo_Trocas!$D:$D,Resumo_Trocas!$A:$A,$C138,Resumo_Trocas!$F:$F,J$27,Resumo_Trocas!$C:$C,"&gt;0")</f>
        <v>0</v>
      </c>
      <c r="K138" s="61">
        <f>SUMIFS(Resumo_Trocas!$D:$D,Resumo_Trocas!$A:$A,$C138,Resumo_Trocas!$F:$F,K$27,Resumo_Trocas!$C:$C,"&gt;0")</f>
        <v>0</v>
      </c>
      <c r="L138" s="61">
        <f>SUMIFS(Resumo_Trocas!$D:$D,Resumo_Trocas!$A:$A,$C138,Resumo_Trocas!$F:$F,L$27,Resumo_Trocas!$C:$C,"&gt;0")</f>
        <v>0</v>
      </c>
      <c r="M138" s="61">
        <f>SUMIFS(Resumo_Trocas!$D:$D,Resumo_Trocas!$A:$A,$C138,Resumo_Trocas!$F:$F,M$27,Resumo_Trocas!$C:$C,"&gt;0")</f>
        <v>0</v>
      </c>
      <c r="N138" s="61">
        <f>SUMIFS(Resumo_Trocas!$D:$D,Resumo_Trocas!$A:$A,$C138,Resumo_Trocas!$F:$F,N$27,Resumo_Trocas!$C:$C,"&gt;0")</f>
        <v>0</v>
      </c>
      <c r="O138" s="61">
        <f>SUMIFS(Resumo_Trocas!$D:$D,Resumo_Trocas!$A:$A,$C138,Resumo_Trocas!$F:$F,O$27,Resumo_Trocas!$C:$C,"&gt;0")</f>
        <v>0</v>
      </c>
      <c r="P138" s="61">
        <f>SUMIFS(Resumo_Trocas!$D:$D,Resumo_Trocas!$A:$A,$C138,Resumo_Trocas!$F:$F,P$27,Resumo_Trocas!$C:$C,"&gt;0")</f>
        <v>0</v>
      </c>
      <c r="Q138" s="61">
        <f>SUMIFS(Resumo_Trocas!$D:$D,Resumo_Trocas!$A:$A,$C138,Resumo_Trocas!$F:$F,Q$27,Resumo_Trocas!$C:$C,"&gt;0")</f>
        <v>0</v>
      </c>
      <c r="R138" s="61">
        <f>SUMIFS(Resumo_Trocas!$D:$D,Resumo_Trocas!$A:$A,$C138,Resumo_Trocas!$F:$F,R$27,Resumo_Trocas!$C:$C,"&gt;0")</f>
        <v>0</v>
      </c>
      <c r="S138" s="61">
        <f>SUMIFS(Resumo_Trocas!$D:$D,Resumo_Trocas!$A:$A,$C138,Resumo_Trocas!$F:$F,S$27,Resumo_Trocas!$C:$C,"&gt;0")</f>
        <v>0</v>
      </c>
      <c r="T138" s="61">
        <f>SUMIFS(Resumo_Trocas!$D:$D,Resumo_Trocas!$A:$A,$C138,Resumo_Trocas!$F:$F,T$27,Resumo_Trocas!$C:$C,"&gt;0")</f>
        <v>0</v>
      </c>
      <c r="U138" s="61">
        <f>SUMIFS(Resumo_Trocas!$D:$D,Resumo_Trocas!$A:$A,$C138,Resumo_Trocas!$F:$F,U$27,Resumo_Trocas!$C:$C,"&gt;0")</f>
        <v>0</v>
      </c>
      <c r="V138" s="61">
        <f>SUMIFS(Resumo_Trocas!$D:$D,Resumo_Trocas!$A:$A,$C138,Resumo_Trocas!$F:$F,V$27,Resumo_Trocas!$C:$C,"&gt;0")</f>
        <v>0</v>
      </c>
    </row>
    <row r="139" spans="2:22" ht="15" customHeight="1" outlineLevel="1" thickBot="1" x14ac:dyDescent="0.3">
      <c r="B139" s="76"/>
      <c r="C139" s="60" t="s">
        <v>3436</v>
      </c>
      <c r="D139" s="61">
        <f>SUMIFS(Resumo_Trocas!$D:$D,Resumo_Trocas!$A:$A,$C139,Resumo_Trocas!$F:$F,D$27,Resumo_Trocas!$C:$C,"&gt;0")</f>
        <v>0</v>
      </c>
      <c r="E139" s="61">
        <f>SUMIFS(Resumo_Trocas!$D:$D,Resumo_Trocas!$A:$A,$C139,Resumo_Trocas!$F:$F,E$27,Resumo_Trocas!$C:$C,"&gt;0")</f>
        <v>0</v>
      </c>
      <c r="F139" s="61">
        <f>SUMIFS(Resumo_Trocas!$D:$D,Resumo_Trocas!$A:$A,$C139,Resumo_Trocas!$F:$F,F$27,Resumo_Trocas!$C:$C,"&gt;0")</f>
        <v>0</v>
      </c>
      <c r="G139" s="61">
        <f>SUMIFS(Resumo_Trocas!$D:$D,Resumo_Trocas!$A:$A,$C139,Resumo_Trocas!$F:$F,G$27,Resumo_Trocas!$C:$C,"&gt;0")</f>
        <v>0</v>
      </c>
      <c r="H139" s="61">
        <f>SUMIFS(Resumo_Trocas!$D:$D,Resumo_Trocas!$A:$A,$C139,Resumo_Trocas!$F:$F,H$27,Resumo_Trocas!$C:$C,"&gt;0")</f>
        <v>0</v>
      </c>
      <c r="I139" s="61">
        <f>SUMIFS(Resumo_Trocas!$D:$D,Resumo_Trocas!$A:$A,$C139,Resumo_Trocas!$F:$F,I$27,Resumo_Trocas!$C:$C,"&gt;0")</f>
        <v>0</v>
      </c>
      <c r="J139" s="61">
        <f>SUMIFS(Resumo_Trocas!$D:$D,Resumo_Trocas!$A:$A,$C139,Resumo_Trocas!$F:$F,J$27,Resumo_Trocas!$C:$C,"&gt;0")</f>
        <v>0</v>
      </c>
      <c r="K139" s="61">
        <f>SUMIFS(Resumo_Trocas!$D:$D,Resumo_Trocas!$A:$A,$C139,Resumo_Trocas!$F:$F,K$27,Resumo_Trocas!$C:$C,"&gt;0")</f>
        <v>0</v>
      </c>
      <c r="L139" s="61">
        <f>SUMIFS(Resumo_Trocas!$D:$D,Resumo_Trocas!$A:$A,$C139,Resumo_Trocas!$F:$F,L$27,Resumo_Trocas!$C:$C,"&gt;0")</f>
        <v>0</v>
      </c>
      <c r="M139" s="61">
        <f>SUMIFS(Resumo_Trocas!$D:$D,Resumo_Trocas!$A:$A,$C139,Resumo_Trocas!$F:$F,M$27,Resumo_Trocas!$C:$C,"&gt;0")</f>
        <v>0</v>
      </c>
      <c r="N139" s="61">
        <f>SUMIFS(Resumo_Trocas!$D:$D,Resumo_Trocas!$A:$A,$C139,Resumo_Trocas!$F:$F,N$27,Resumo_Trocas!$C:$C,"&gt;0")</f>
        <v>0</v>
      </c>
      <c r="O139" s="61">
        <f>SUMIFS(Resumo_Trocas!$D:$D,Resumo_Trocas!$A:$A,$C139,Resumo_Trocas!$F:$F,O$27,Resumo_Trocas!$C:$C,"&gt;0")</f>
        <v>0</v>
      </c>
      <c r="P139" s="61">
        <f>SUMIFS(Resumo_Trocas!$D:$D,Resumo_Trocas!$A:$A,$C139,Resumo_Trocas!$F:$F,P$27,Resumo_Trocas!$C:$C,"&gt;0")</f>
        <v>0</v>
      </c>
      <c r="Q139" s="61">
        <f>SUMIFS(Resumo_Trocas!$D:$D,Resumo_Trocas!$A:$A,$C139,Resumo_Trocas!$F:$F,Q$27,Resumo_Trocas!$C:$C,"&gt;0")</f>
        <v>0</v>
      </c>
      <c r="R139" s="61">
        <f>SUMIFS(Resumo_Trocas!$D:$D,Resumo_Trocas!$A:$A,$C139,Resumo_Trocas!$F:$F,R$27,Resumo_Trocas!$C:$C,"&gt;0")</f>
        <v>0</v>
      </c>
      <c r="S139" s="61">
        <f>SUMIFS(Resumo_Trocas!$D:$D,Resumo_Trocas!$A:$A,$C139,Resumo_Trocas!$F:$F,S$27,Resumo_Trocas!$C:$C,"&gt;0")</f>
        <v>0</v>
      </c>
      <c r="T139" s="61">
        <f>SUMIFS(Resumo_Trocas!$D:$D,Resumo_Trocas!$A:$A,$C139,Resumo_Trocas!$F:$F,T$27,Resumo_Trocas!$C:$C,"&gt;0")</f>
        <v>0</v>
      </c>
      <c r="U139" s="61">
        <f>SUMIFS(Resumo_Trocas!$D:$D,Resumo_Trocas!$A:$A,$C139,Resumo_Trocas!$F:$F,U$27,Resumo_Trocas!$C:$C,"&gt;0")</f>
        <v>0</v>
      </c>
      <c r="V139" s="61">
        <f>SUMIFS(Resumo_Trocas!$D:$D,Resumo_Trocas!$A:$A,$C139,Resumo_Trocas!$F:$F,V$27,Resumo_Trocas!$C:$C,"&gt;0")</f>
        <v>0</v>
      </c>
    </row>
    <row r="140" spans="2:22" ht="15" customHeight="1" outlineLevel="1" thickBot="1" x14ac:dyDescent="0.3">
      <c r="B140" s="76"/>
      <c r="C140" s="60" t="s">
        <v>3437</v>
      </c>
      <c r="D140" s="61">
        <f>SUMIFS(Resumo_Trocas!$D:$D,Resumo_Trocas!$A:$A,$C140,Resumo_Trocas!$F:$F,D$27,Resumo_Trocas!$C:$C,"&gt;0")</f>
        <v>0</v>
      </c>
      <c r="E140" s="61">
        <f>SUMIFS(Resumo_Trocas!$D:$D,Resumo_Trocas!$A:$A,$C140,Resumo_Trocas!$F:$F,E$27,Resumo_Trocas!$C:$C,"&gt;0")</f>
        <v>0</v>
      </c>
      <c r="F140" s="61">
        <f>SUMIFS(Resumo_Trocas!$D:$D,Resumo_Trocas!$A:$A,$C140,Resumo_Trocas!$F:$F,F$27,Resumo_Trocas!$C:$C,"&gt;0")</f>
        <v>0</v>
      </c>
      <c r="G140" s="61">
        <f>SUMIFS(Resumo_Trocas!$D:$D,Resumo_Trocas!$A:$A,$C140,Resumo_Trocas!$F:$F,G$27,Resumo_Trocas!$C:$C,"&gt;0")</f>
        <v>0</v>
      </c>
      <c r="H140" s="61">
        <f>SUMIFS(Resumo_Trocas!$D:$D,Resumo_Trocas!$A:$A,$C140,Resumo_Trocas!$F:$F,H$27,Resumo_Trocas!$C:$C,"&gt;0")</f>
        <v>0</v>
      </c>
      <c r="I140" s="61">
        <f>SUMIFS(Resumo_Trocas!$D:$D,Resumo_Trocas!$A:$A,$C140,Resumo_Trocas!$F:$F,I$27,Resumo_Trocas!$C:$C,"&gt;0")</f>
        <v>0</v>
      </c>
      <c r="J140" s="61">
        <f>SUMIFS(Resumo_Trocas!$D:$D,Resumo_Trocas!$A:$A,$C140,Resumo_Trocas!$F:$F,J$27,Resumo_Trocas!$C:$C,"&gt;0")</f>
        <v>0</v>
      </c>
      <c r="K140" s="61">
        <f>SUMIFS(Resumo_Trocas!$D:$D,Resumo_Trocas!$A:$A,$C140,Resumo_Trocas!$F:$F,K$27,Resumo_Trocas!$C:$C,"&gt;0")</f>
        <v>0</v>
      </c>
      <c r="L140" s="61">
        <f>SUMIFS(Resumo_Trocas!$D:$D,Resumo_Trocas!$A:$A,$C140,Resumo_Trocas!$F:$F,L$27,Resumo_Trocas!$C:$C,"&gt;0")</f>
        <v>0</v>
      </c>
      <c r="M140" s="61">
        <f>SUMIFS(Resumo_Trocas!$D:$D,Resumo_Trocas!$A:$A,$C140,Resumo_Trocas!$F:$F,M$27,Resumo_Trocas!$C:$C,"&gt;0")</f>
        <v>0</v>
      </c>
      <c r="N140" s="61">
        <f>SUMIFS(Resumo_Trocas!$D:$D,Resumo_Trocas!$A:$A,$C140,Resumo_Trocas!$F:$F,N$27,Resumo_Trocas!$C:$C,"&gt;0")</f>
        <v>0</v>
      </c>
      <c r="O140" s="61">
        <f>SUMIFS(Resumo_Trocas!$D:$D,Resumo_Trocas!$A:$A,$C140,Resumo_Trocas!$F:$F,O$27,Resumo_Trocas!$C:$C,"&gt;0")</f>
        <v>0</v>
      </c>
      <c r="P140" s="61">
        <f>SUMIFS(Resumo_Trocas!$D:$D,Resumo_Trocas!$A:$A,$C140,Resumo_Trocas!$F:$F,P$27,Resumo_Trocas!$C:$C,"&gt;0")</f>
        <v>0</v>
      </c>
      <c r="Q140" s="61">
        <f>SUMIFS(Resumo_Trocas!$D:$D,Resumo_Trocas!$A:$A,$C140,Resumo_Trocas!$F:$F,Q$27,Resumo_Trocas!$C:$C,"&gt;0")</f>
        <v>0</v>
      </c>
      <c r="R140" s="61">
        <f>SUMIFS(Resumo_Trocas!$D:$D,Resumo_Trocas!$A:$A,$C140,Resumo_Trocas!$F:$F,R$27,Resumo_Trocas!$C:$C,"&gt;0")</f>
        <v>0</v>
      </c>
      <c r="S140" s="61">
        <f>SUMIFS(Resumo_Trocas!$D:$D,Resumo_Trocas!$A:$A,$C140,Resumo_Trocas!$F:$F,S$27,Resumo_Trocas!$C:$C,"&gt;0")</f>
        <v>0</v>
      </c>
      <c r="T140" s="61">
        <f>SUMIFS(Resumo_Trocas!$D:$D,Resumo_Trocas!$A:$A,$C140,Resumo_Trocas!$F:$F,T$27,Resumo_Trocas!$C:$C,"&gt;0")</f>
        <v>0</v>
      </c>
      <c r="U140" s="61">
        <f>SUMIFS(Resumo_Trocas!$D:$D,Resumo_Trocas!$A:$A,$C140,Resumo_Trocas!$F:$F,U$27,Resumo_Trocas!$C:$C,"&gt;0")</f>
        <v>0</v>
      </c>
      <c r="V140" s="61">
        <f>SUMIFS(Resumo_Trocas!$D:$D,Resumo_Trocas!$A:$A,$C140,Resumo_Trocas!$F:$F,V$27,Resumo_Trocas!$C:$C,"&gt;0")</f>
        <v>0</v>
      </c>
    </row>
    <row r="141" spans="2:22" ht="15" customHeight="1" outlineLevel="1" thickBot="1" x14ac:dyDescent="0.3">
      <c r="B141" s="76"/>
      <c r="C141" s="60" t="s">
        <v>3438</v>
      </c>
      <c r="D141" s="61">
        <f>SUMIFS(Resumo_Trocas!$D:$D,Resumo_Trocas!$A:$A,$C141,Resumo_Trocas!$F:$F,D$27,Resumo_Trocas!$C:$C,"&gt;0")</f>
        <v>0</v>
      </c>
      <c r="E141" s="61">
        <f>SUMIFS(Resumo_Trocas!$D:$D,Resumo_Trocas!$A:$A,$C141,Resumo_Trocas!$F:$F,E$27,Resumo_Trocas!$C:$C,"&gt;0")</f>
        <v>0</v>
      </c>
      <c r="F141" s="61">
        <f>SUMIFS(Resumo_Trocas!$D:$D,Resumo_Trocas!$A:$A,$C141,Resumo_Trocas!$F:$F,F$27,Resumo_Trocas!$C:$C,"&gt;0")</f>
        <v>0</v>
      </c>
      <c r="G141" s="61">
        <f>SUMIFS(Resumo_Trocas!$D:$D,Resumo_Trocas!$A:$A,$C141,Resumo_Trocas!$F:$F,G$27,Resumo_Trocas!$C:$C,"&gt;0")</f>
        <v>0</v>
      </c>
      <c r="H141" s="61">
        <f>SUMIFS(Resumo_Trocas!$D:$D,Resumo_Trocas!$A:$A,$C141,Resumo_Trocas!$F:$F,H$27,Resumo_Trocas!$C:$C,"&gt;0")</f>
        <v>0</v>
      </c>
      <c r="I141" s="61">
        <f>SUMIFS(Resumo_Trocas!$D:$D,Resumo_Trocas!$A:$A,$C141,Resumo_Trocas!$F:$F,I$27,Resumo_Trocas!$C:$C,"&gt;0")</f>
        <v>0</v>
      </c>
      <c r="J141" s="61">
        <f>SUMIFS(Resumo_Trocas!$D:$D,Resumo_Trocas!$A:$A,$C141,Resumo_Trocas!$F:$F,J$27,Resumo_Trocas!$C:$C,"&gt;0")</f>
        <v>0</v>
      </c>
      <c r="K141" s="61">
        <f>SUMIFS(Resumo_Trocas!$D:$D,Resumo_Trocas!$A:$A,$C141,Resumo_Trocas!$F:$F,K$27,Resumo_Trocas!$C:$C,"&gt;0")</f>
        <v>0</v>
      </c>
      <c r="L141" s="61">
        <f>SUMIFS(Resumo_Trocas!$D:$D,Resumo_Trocas!$A:$A,$C141,Resumo_Trocas!$F:$F,L$27,Resumo_Trocas!$C:$C,"&gt;0")</f>
        <v>0</v>
      </c>
      <c r="M141" s="61">
        <f>SUMIFS(Resumo_Trocas!$D:$D,Resumo_Trocas!$A:$A,$C141,Resumo_Trocas!$F:$F,M$27,Resumo_Trocas!$C:$C,"&gt;0")</f>
        <v>0</v>
      </c>
      <c r="N141" s="61">
        <f>SUMIFS(Resumo_Trocas!$D:$D,Resumo_Trocas!$A:$A,$C141,Resumo_Trocas!$F:$F,N$27,Resumo_Trocas!$C:$C,"&gt;0")</f>
        <v>0</v>
      </c>
      <c r="O141" s="61">
        <f>SUMIFS(Resumo_Trocas!$D:$D,Resumo_Trocas!$A:$A,$C141,Resumo_Trocas!$F:$F,O$27,Resumo_Trocas!$C:$C,"&gt;0")</f>
        <v>0</v>
      </c>
      <c r="P141" s="61">
        <f>SUMIFS(Resumo_Trocas!$D:$D,Resumo_Trocas!$A:$A,$C141,Resumo_Trocas!$F:$F,P$27,Resumo_Trocas!$C:$C,"&gt;0")</f>
        <v>0</v>
      </c>
      <c r="Q141" s="61">
        <f>SUMIFS(Resumo_Trocas!$D:$D,Resumo_Trocas!$A:$A,$C141,Resumo_Trocas!$F:$F,Q$27,Resumo_Trocas!$C:$C,"&gt;0")</f>
        <v>0</v>
      </c>
      <c r="R141" s="61">
        <f>SUMIFS(Resumo_Trocas!$D:$D,Resumo_Trocas!$A:$A,$C141,Resumo_Trocas!$F:$F,R$27,Resumo_Trocas!$C:$C,"&gt;0")</f>
        <v>0</v>
      </c>
      <c r="S141" s="61">
        <f>SUMIFS(Resumo_Trocas!$D:$D,Resumo_Trocas!$A:$A,$C141,Resumo_Trocas!$F:$F,S$27,Resumo_Trocas!$C:$C,"&gt;0")</f>
        <v>0</v>
      </c>
      <c r="T141" s="61">
        <f>SUMIFS(Resumo_Trocas!$D:$D,Resumo_Trocas!$A:$A,$C141,Resumo_Trocas!$F:$F,T$27,Resumo_Trocas!$C:$C,"&gt;0")</f>
        <v>0</v>
      </c>
      <c r="U141" s="61">
        <f>SUMIFS(Resumo_Trocas!$D:$D,Resumo_Trocas!$A:$A,$C141,Resumo_Trocas!$F:$F,U$27,Resumo_Trocas!$C:$C,"&gt;0")</f>
        <v>0</v>
      </c>
      <c r="V141" s="61">
        <f>SUMIFS(Resumo_Trocas!$D:$D,Resumo_Trocas!$A:$A,$C141,Resumo_Trocas!$F:$F,V$27,Resumo_Trocas!$C:$C,"&gt;0")</f>
        <v>0</v>
      </c>
    </row>
    <row r="142" spans="2:22" ht="15" customHeight="1" outlineLevel="1" thickBot="1" x14ac:dyDescent="0.3">
      <c r="B142" s="76"/>
      <c r="C142" s="60" t="s">
        <v>3439</v>
      </c>
      <c r="D142" s="61">
        <f>SUMIFS(Resumo_Trocas!$D:$D,Resumo_Trocas!$A:$A,$C142,Resumo_Trocas!$F:$F,D$27,Resumo_Trocas!$C:$C,"&gt;0")</f>
        <v>0</v>
      </c>
      <c r="E142" s="61">
        <f>SUMIFS(Resumo_Trocas!$D:$D,Resumo_Trocas!$A:$A,$C142,Resumo_Trocas!$F:$F,E$27,Resumo_Trocas!$C:$C,"&gt;0")</f>
        <v>0</v>
      </c>
      <c r="F142" s="61">
        <f>SUMIFS(Resumo_Trocas!$D:$D,Resumo_Trocas!$A:$A,$C142,Resumo_Trocas!$F:$F,F$27,Resumo_Trocas!$C:$C,"&gt;0")</f>
        <v>0</v>
      </c>
      <c r="G142" s="61">
        <f>SUMIFS(Resumo_Trocas!$D:$D,Resumo_Trocas!$A:$A,$C142,Resumo_Trocas!$F:$F,G$27,Resumo_Trocas!$C:$C,"&gt;0")</f>
        <v>0</v>
      </c>
      <c r="H142" s="61">
        <f>SUMIFS(Resumo_Trocas!$D:$D,Resumo_Trocas!$A:$A,$C142,Resumo_Trocas!$F:$F,H$27,Resumo_Trocas!$C:$C,"&gt;0")</f>
        <v>0</v>
      </c>
      <c r="I142" s="61">
        <f>SUMIFS(Resumo_Trocas!$D:$D,Resumo_Trocas!$A:$A,$C142,Resumo_Trocas!$F:$F,I$27,Resumo_Trocas!$C:$C,"&gt;0")</f>
        <v>0</v>
      </c>
      <c r="J142" s="61">
        <f>SUMIFS(Resumo_Trocas!$D:$D,Resumo_Trocas!$A:$A,$C142,Resumo_Trocas!$F:$F,J$27,Resumo_Trocas!$C:$C,"&gt;0")</f>
        <v>0</v>
      </c>
      <c r="K142" s="61">
        <f>SUMIFS(Resumo_Trocas!$D:$D,Resumo_Trocas!$A:$A,$C142,Resumo_Trocas!$F:$F,K$27,Resumo_Trocas!$C:$C,"&gt;0")</f>
        <v>0</v>
      </c>
      <c r="L142" s="61">
        <f>SUMIFS(Resumo_Trocas!$D:$D,Resumo_Trocas!$A:$A,$C142,Resumo_Trocas!$F:$F,L$27,Resumo_Trocas!$C:$C,"&gt;0")</f>
        <v>0</v>
      </c>
      <c r="M142" s="61">
        <f>SUMIFS(Resumo_Trocas!$D:$D,Resumo_Trocas!$A:$A,$C142,Resumo_Trocas!$F:$F,M$27,Resumo_Trocas!$C:$C,"&gt;0")</f>
        <v>0</v>
      </c>
      <c r="N142" s="61">
        <f>SUMIFS(Resumo_Trocas!$D:$D,Resumo_Trocas!$A:$A,$C142,Resumo_Trocas!$F:$F,N$27,Resumo_Trocas!$C:$C,"&gt;0")</f>
        <v>0</v>
      </c>
      <c r="O142" s="61">
        <f>SUMIFS(Resumo_Trocas!$D:$D,Resumo_Trocas!$A:$A,$C142,Resumo_Trocas!$F:$F,O$27,Resumo_Trocas!$C:$C,"&gt;0")</f>
        <v>0</v>
      </c>
      <c r="P142" s="61">
        <f>SUMIFS(Resumo_Trocas!$D:$D,Resumo_Trocas!$A:$A,$C142,Resumo_Trocas!$F:$F,P$27,Resumo_Trocas!$C:$C,"&gt;0")</f>
        <v>0</v>
      </c>
      <c r="Q142" s="61">
        <f>SUMIFS(Resumo_Trocas!$D:$D,Resumo_Trocas!$A:$A,$C142,Resumo_Trocas!$F:$F,Q$27,Resumo_Trocas!$C:$C,"&gt;0")</f>
        <v>0</v>
      </c>
      <c r="R142" s="61">
        <f>SUMIFS(Resumo_Trocas!$D:$D,Resumo_Trocas!$A:$A,$C142,Resumo_Trocas!$F:$F,R$27,Resumo_Trocas!$C:$C,"&gt;0")</f>
        <v>0</v>
      </c>
      <c r="S142" s="61">
        <f>SUMIFS(Resumo_Trocas!$D:$D,Resumo_Trocas!$A:$A,$C142,Resumo_Trocas!$F:$F,S$27,Resumo_Trocas!$C:$C,"&gt;0")</f>
        <v>0</v>
      </c>
      <c r="T142" s="61">
        <f>SUMIFS(Resumo_Trocas!$D:$D,Resumo_Trocas!$A:$A,$C142,Resumo_Trocas!$F:$F,T$27,Resumo_Trocas!$C:$C,"&gt;0")</f>
        <v>0</v>
      </c>
      <c r="U142" s="61">
        <f>SUMIFS(Resumo_Trocas!$D:$D,Resumo_Trocas!$A:$A,$C142,Resumo_Trocas!$F:$F,U$27,Resumo_Trocas!$C:$C,"&gt;0")</f>
        <v>0</v>
      </c>
      <c r="V142" s="61">
        <f>SUMIFS(Resumo_Trocas!$D:$D,Resumo_Trocas!$A:$A,$C142,Resumo_Trocas!$F:$F,V$27,Resumo_Trocas!$C:$C,"&gt;0")</f>
        <v>0</v>
      </c>
    </row>
    <row r="143" spans="2:22" ht="15" customHeight="1" outlineLevel="1" thickBot="1" x14ac:dyDescent="0.3">
      <c r="B143" s="76"/>
      <c r="C143" s="60" t="s">
        <v>3440</v>
      </c>
      <c r="D143" s="61">
        <f>SUMIFS(Resumo_Trocas!$D:$D,Resumo_Trocas!$A:$A,$C143,Resumo_Trocas!$F:$F,D$27,Resumo_Trocas!$C:$C,"&gt;0")</f>
        <v>0</v>
      </c>
      <c r="E143" s="61">
        <f>SUMIFS(Resumo_Trocas!$D:$D,Resumo_Trocas!$A:$A,$C143,Resumo_Trocas!$F:$F,E$27,Resumo_Trocas!$C:$C,"&gt;0")</f>
        <v>0</v>
      </c>
      <c r="F143" s="61">
        <f>SUMIFS(Resumo_Trocas!$D:$D,Resumo_Trocas!$A:$A,$C143,Resumo_Trocas!$F:$F,F$27,Resumo_Trocas!$C:$C,"&gt;0")</f>
        <v>0</v>
      </c>
      <c r="G143" s="61">
        <f>SUMIFS(Resumo_Trocas!$D:$D,Resumo_Trocas!$A:$A,$C143,Resumo_Trocas!$F:$F,G$27,Resumo_Trocas!$C:$C,"&gt;0")</f>
        <v>0</v>
      </c>
      <c r="H143" s="61">
        <f>SUMIFS(Resumo_Trocas!$D:$D,Resumo_Trocas!$A:$A,$C143,Resumo_Trocas!$F:$F,H$27,Resumo_Trocas!$C:$C,"&gt;0")</f>
        <v>0</v>
      </c>
      <c r="I143" s="61">
        <f>SUMIFS(Resumo_Trocas!$D:$D,Resumo_Trocas!$A:$A,$C143,Resumo_Trocas!$F:$F,I$27,Resumo_Trocas!$C:$C,"&gt;0")</f>
        <v>0</v>
      </c>
      <c r="J143" s="61">
        <f>SUMIFS(Resumo_Trocas!$D:$D,Resumo_Trocas!$A:$A,$C143,Resumo_Trocas!$F:$F,J$27,Resumo_Trocas!$C:$C,"&gt;0")</f>
        <v>0</v>
      </c>
      <c r="K143" s="61">
        <f>SUMIFS(Resumo_Trocas!$D:$D,Resumo_Trocas!$A:$A,$C143,Resumo_Trocas!$F:$F,K$27,Resumo_Trocas!$C:$C,"&gt;0")</f>
        <v>0</v>
      </c>
      <c r="L143" s="61">
        <f>SUMIFS(Resumo_Trocas!$D:$D,Resumo_Trocas!$A:$A,$C143,Resumo_Trocas!$F:$F,L$27,Resumo_Trocas!$C:$C,"&gt;0")</f>
        <v>0</v>
      </c>
      <c r="M143" s="61">
        <f>SUMIFS(Resumo_Trocas!$D:$D,Resumo_Trocas!$A:$A,$C143,Resumo_Trocas!$F:$F,M$27,Resumo_Trocas!$C:$C,"&gt;0")</f>
        <v>0</v>
      </c>
      <c r="N143" s="61">
        <f>SUMIFS(Resumo_Trocas!$D:$D,Resumo_Trocas!$A:$A,$C143,Resumo_Trocas!$F:$F,N$27,Resumo_Trocas!$C:$C,"&gt;0")</f>
        <v>0</v>
      </c>
      <c r="O143" s="61">
        <f>SUMIFS(Resumo_Trocas!$D:$D,Resumo_Trocas!$A:$A,$C143,Resumo_Trocas!$F:$F,O$27,Resumo_Trocas!$C:$C,"&gt;0")</f>
        <v>0</v>
      </c>
      <c r="P143" s="61">
        <f>SUMIFS(Resumo_Trocas!$D:$D,Resumo_Trocas!$A:$A,$C143,Resumo_Trocas!$F:$F,P$27,Resumo_Trocas!$C:$C,"&gt;0")</f>
        <v>0</v>
      </c>
      <c r="Q143" s="61">
        <f>SUMIFS(Resumo_Trocas!$D:$D,Resumo_Trocas!$A:$A,$C143,Resumo_Trocas!$F:$F,Q$27,Resumo_Trocas!$C:$C,"&gt;0")</f>
        <v>0</v>
      </c>
      <c r="R143" s="61">
        <f>SUMIFS(Resumo_Trocas!$D:$D,Resumo_Trocas!$A:$A,$C143,Resumo_Trocas!$F:$F,R$27,Resumo_Trocas!$C:$C,"&gt;0")</f>
        <v>0</v>
      </c>
      <c r="S143" s="61">
        <f>SUMIFS(Resumo_Trocas!$D:$D,Resumo_Trocas!$A:$A,$C143,Resumo_Trocas!$F:$F,S$27,Resumo_Trocas!$C:$C,"&gt;0")</f>
        <v>0</v>
      </c>
      <c r="T143" s="61">
        <f>SUMIFS(Resumo_Trocas!$D:$D,Resumo_Trocas!$A:$A,$C143,Resumo_Trocas!$F:$F,T$27,Resumo_Trocas!$C:$C,"&gt;0")</f>
        <v>0</v>
      </c>
      <c r="U143" s="61">
        <f>SUMIFS(Resumo_Trocas!$D:$D,Resumo_Trocas!$A:$A,$C143,Resumo_Trocas!$F:$F,U$27,Resumo_Trocas!$C:$C,"&gt;0")</f>
        <v>0</v>
      </c>
      <c r="V143" s="61">
        <f>SUMIFS(Resumo_Trocas!$D:$D,Resumo_Trocas!$A:$A,$C143,Resumo_Trocas!$F:$F,V$27,Resumo_Trocas!$C:$C,"&gt;0")</f>
        <v>0</v>
      </c>
    </row>
    <row r="144" spans="2:22" ht="15" customHeight="1" outlineLevel="1" thickBot="1" x14ac:dyDescent="0.3">
      <c r="B144" s="76"/>
      <c r="C144" s="60" t="s">
        <v>3441</v>
      </c>
      <c r="D144" s="61">
        <f>SUMIFS(Resumo_Trocas!$D:$D,Resumo_Trocas!$A:$A,$C144,Resumo_Trocas!$F:$F,D$27,Resumo_Trocas!$C:$C,"&gt;0")</f>
        <v>0</v>
      </c>
      <c r="E144" s="61">
        <f>SUMIFS(Resumo_Trocas!$D:$D,Resumo_Trocas!$A:$A,$C144,Resumo_Trocas!$F:$F,E$27,Resumo_Trocas!$C:$C,"&gt;0")</f>
        <v>0</v>
      </c>
      <c r="F144" s="61">
        <f>SUMIFS(Resumo_Trocas!$D:$D,Resumo_Trocas!$A:$A,$C144,Resumo_Trocas!$F:$F,F$27,Resumo_Trocas!$C:$C,"&gt;0")</f>
        <v>0</v>
      </c>
      <c r="G144" s="61">
        <f>SUMIFS(Resumo_Trocas!$D:$D,Resumo_Trocas!$A:$A,$C144,Resumo_Trocas!$F:$F,G$27,Resumo_Trocas!$C:$C,"&gt;0")</f>
        <v>0</v>
      </c>
      <c r="H144" s="61">
        <f>SUMIFS(Resumo_Trocas!$D:$D,Resumo_Trocas!$A:$A,$C144,Resumo_Trocas!$F:$F,H$27,Resumo_Trocas!$C:$C,"&gt;0")</f>
        <v>0</v>
      </c>
      <c r="I144" s="61">
        <f>SUMIFS(Resumo_Trocas!$D:$D,Resumo_Trocas!$A:$A,$C144,Resumo_Trocas!$F:$F,I$27,Resumo_Trocas!$C:$C,"&gt;0")</f>
        <v>0</v>
      </c>
      <c r="J144" s="61">
        <f>SUMIFS(Resumo_Trocas!$D:$D,Resumo_Trocas!$A:$A,$C144,Resumo_Trocas!$F:$F,J$27,Resumo_Trocas!$C:$C,"&gt;0")</f>
        <v>0</v>
      </c>
      <c r="K144" s="61">
        <f>SUMIFS(Resumo_Trocas!$D:$D,Resumo_Trocas!$A:$A,$C144,Resumo_Trocas!$F:$F,K$27,Resumo_Trocas!$C:$C,"&gt;0")</f>
        <v>0</v>
      </c>
      <c r="L144" s="61">
        <f>SUMIFS(Resumo_Trocas!$D:$D,Resumo_Trocas!$A:$A,$C144,Resumo_Trocas!$F:$F,L$27,Resumo_Trocas!$C:$C,"&gt;0")</f>
        <v>0</v>
      </c>
      <c r="M144" s="61">
        <f>SUMIFS(Resumo_Trocas!$D:$D,Resumo_Trocas!$A:$A,$C144,Resumo_Trocas!$F:$F,M$27,Resumo_Trocas!$C:$C,"&gt;0")</f>
        <v>0</v>
      </c>
      <c r="N144" s="61">
        <f>SUMIFS(Resumo_Trocas!$D:$D,Resumo_Trocas!$A:$A,$C144,Resumo_Trocas!$F:$F,N$27,Resumo_Trocas!$C:$C,"&gt;0")</f>
        <v>0</v>
      </c>
      <c r="O144" s="61">
        <f>SUMIFS(Resumo_Trocas!$D:$D,Resumo_Trocas!$A:$A,$C144,Resumo_Trocas!$F:$F,O$27,Resumo_Trocas!$C:$C,"&gt;0")</f>
        <v>0</v>
      </c>
      <c r="P144" s="61">
        <f>SUMIFS(Resumo_Trocas!$D:$D,Resumo_Trocas!$A:$A,$C144,Resumo_Trocas!$F:$F,P$27,Resumo_Trocas!$C:$C,"&gt;0")</f>
        <v>0</v>
      </c>
      <c r="Q144" s="61">
        <f>SUMIFS(Resumo_Trocas!$D:$D,Resumo_Trocas!$A:$A,$C144,Resumo_Trocas!$F:$F,Q$27,Resumo_Trocas!$C:$C,"&gt;0")</f>
        <v>0</v>
      </c>
      <c r="R144" s="61">
        <f>SUMIFS(Resumo_Trocas!$D:$D,Resumo_Trocas!$A:$A,$C144,Resumo_Trocas!$F:$F,R$27,Resumo_Trocas!$C:$C,"&gt;0")</f>
        <v>0</v>
      </c>
      <c r="S144" s="61">
        <f>SUMIFS(Resumo_Trocas!$D:$D,Resumo_Trocas!$A:$A,$C144,Resumo_Trocas!$F:$F,S$27,Resumo_Trocas!$C:$C,"&gt;0")</f>
        <v>0</v>
      </c>
      <c r="T144" s="61">
        <f>SUMIFS(Resumo_Trocas!$D:$D,Resumo_Trocas!$A:$A,$C144,Resumo_Trocas!$F:$F,T$27,Resumo_Trocas!$C:$C,"&gt;0")</f>
        <v>0</v>
      </c>
      <c r="U144" s="61">
        <f>SUMIFS(Resumo_Trocas!$D:$D,Resumo_Trocas!$A:$A,$C144,Resumo_Trocas!$F:$F,U$27,Resumo_Trocas!$C:$C,"&gt;0")</f>
        <v>0</v>
      </c>
      <c r="V144" s="61">
        <f>SUMIFS(Resumo_Trocas!$D:$D,Resumo_Trocas!$A:$A,$C144,Resumo_Trocas!$F:$F,V$27,Resumo_Trocas!$C:$C,"&gt;0")</f>
        <v>0</v>
      </c>
    </row>
    <row r="145" spans="2:22" ht="15" customHeight="1" outlineLevel="1" thickBot="1" x14ac:dyDescent="0.3">
      <c r="B145" s="76"/>
      <c r="C145" s="60" t="s">
        <v>3442</v>
      </c>
      <c r="D145" s="61">
        <f>SUMIFS(Resumo_Trocas!$D:$D,Resumo_Trocas!$A:$A,$C145,Resumo_Trocas!$F:$F,D$27,Resumo_Trocas!$C:$C,"&gt;0")</f>
        <v>0</v>
      </c>
      <c r="E145" s="61">
        <f>SUMIFS(Resumo_Trocas!$D:$D,Resumo_Trocas!$A:$A,$C145,Resumo_Trocas!$F:$F,E$27,Resumo_Trocas!$C:$C,"&gt;0")</f>
        <v>0</v>
      </c>
      <c r="F145" s="61">
        <f>SUMIFS(Resumo_Trocas!$D:$D,Resumo_Trocas!$A:$A,$C145,Resumo_Trocas!$F:$F,F$27,Resumo_Trocas!$C:$C,"&gt;0")</f>
        <v>0</v>
      </c>
      <c r="G145" s="61">
        <f>SUMIFS(Resumo_Trocas!$D:$D,Resumo_Trocas!$A:$A,$C145,Resumo_Trocas!$F:$F,G$27,Resumo_Trocas!$C:$C,"&gt;0")</f>
        <v>0</v>
      </c>
      <c r="H145" s="61">
        <f>SUMIFS(Resumo_Trocas!$D:$D,Resumo_Trocas!$A:$A,$C145,Resumo_Trocas!$F:$F,H$27,Resumo_Trocas!$C:$C,"&gt;0")</f>
        <v>0</v>
      </c>
      <c r="I145" s="61">
        <f>SUMIFS(Resumo_Trocas!$D:$D,Resumo_Trocas!$A:$A,$C145,Resumo_Trocas!$F:$F,I$27,Resumo_Trocas!$C:$C,"&gt;0")</f>
        <v>0</v>
      </c>
      <c r="J145" s="61">
        <f>SUMIFS(Resumo_Trocas!$D:$D,Resumo_Trocas!$A:$A,$C145,Resumo_Trocas!$F:$F,J$27,Resumo_Trocas!$C:$C,"&gt;0")</f>
        <v>0</v>
      </c>
      <c r="K145" s="61">
        <f>SUMIFS(Resumo_Trocas!$D:$D,Resumo_Trocas!$A:$A,$C145,Resumo_Trocas!$F:$F,K$27,Resumo_Trocas!$C:$C,"&gt;0")</f>
        <v>0</v>
      </c>
      <c r="L145" s="61">
        <f>SUMIFS(Resumo_Trocas!$D:$D,Resumo_Trocas!$A:$A,$C145,Resumo_Trocas!$F:$F,L$27,Resumo_Trocas!$C:$C,"&gt;0")</f>
        <v>0</v>
      </c>
      <c r="M145" s="61">
        <f>SUMIFS(Resumo_Trocas!$D:$D,Resumo_Trocas!$A:$A,$C145,Resumo_Trocas!$F:$F,M$27,Resumo_Trocas!$C:$C,"&gt;0")</f>
        <v>0</v>
      </c>
      <c r="N145" s="61">
        <f>SUMIFS(Resumo_Trocas!$D:$D,Resumo_Trocas!$A:$A,$C145,Resumo_Trocas!$F:$F,N$27,Resumo_Trocas!$C:$C,"&gt;0")</f>
        <v>0</v>
      </c>
      <c r="O145" s="61">
        <f>SUMIFS(Resumo_Trocas!$D:$D,Resumo_Trocas!$A:$A,$C145,Resumo_Trocas!$F:$F,O$27,Resumo_Trocas!$C:$C,"&gt;0")</f>
        <v>0</v>
      </c>
      <c r="P145" s="61">
        <f>SUMIFS(Resumo_Trocas!$D:$D,Resumo_Trocas!$A:$A,$C145,Resumo_Trocas!$F:$F,P$27,Resumo_Trocas!$C:$C,"&gt;0")</f>
        <v>0</v>
      </c>
      <c r="Q145" s="61">
        <f>SUMIFS(Resumo_Trocas!$D:$D,Resumo_Trocas!$A:$A,$C145,Resumo_Trocas!$F:$F,Q$27,Resumo_Trocas!$C:$C,"&gt;0")</f>
        <v>0</v>
      </c>
      <c r="R145" s="61">
        <f>SUMIFS(Resumo_Trocas!$D:$D,Resumo_Trocas!$A:$A,$C145,Resumo_Trocas!$F:$F,R$27,Resumo_Trocas!$C:$C,"&gt;0")</f>
        <v>0</v>
      </c>
      <c r="S145" s="61">
        <f>SUMIFS(Resumo_Trocas!$D:$D,Resumo_Trocas!$A:$A,$C145,Resumo_Trocas!$F:$F,S$27,Resumo_Trocas!$C:$C,"&gt;0")</f>
        <v>0</v>
      </c>
      <c r="T145" s="61">
        <f>SUMIFS(Resumo_Trocas!$D:$D,Resumo_Trocas!$A:$A,$C145,Resumo_Trocas!$F:$F,T$27,Resumo_Trocas!$C:$C,"&gt;0")</f>
        <v>0</v>
      </c>
      <c r="U145" s="61">
        <f>SUMIFS(Resumo_Trocas!$D:$D,Resumo_Trocas!$A:$A,$C145,Resumo_Trocas!$F:$F,U$27,Resumo_Trocas!$C:$C,"&gt;0")</f>
        <v>0</v>
      </c>
      <c r="V145" s="61">
        <f>SUMIFS(Resumo_Trocas!$D:$D,Resumo_Trocas!$A:$A,$C145,Resumo_Trocas!$F:$F,V$27,Resumo_Trocas!$C:$C,"&gt;0")</f>
        <v>0</v>
      </c>
    </row>
    <row r="146" spans="2:22" ht="15" customHeight="1" outlineLevel="1" thickBot="1" x14ac:dyDescent="0.3">
      <c r="B146" s="76"/>
      <c r="C146" s="60" t="s">
        <v>3443</v>
      </c>
      <c r="D146" s="61">
        <f>SUMIFS(Resumo_Trocas!$D:$D,Resumo_Trocas!$A:$A,$C146,Resumo_Trocas!$F:$F,D$27,Resumo_Trocas!$C:$C,"&gt;0")</f>
        <v>0</v>
      </c>
      <c r="E146" s="61">
        <f>SUMIFS(Resumo_Trocas!$D:$D,Resumo_Trocas!$A:$A,$C146,Resumo_Trocas!$F:$F,E$27,Resumo_Trocas!$C:$C,"&gt;0")</f>
        <v>0</v>
      </c>
      <c r="F146" s="61">
        <f>SUMIFS(Resumo_Trocas!$D:$D,Resumo_Trocas!$A:$A,$C146,Resumo_Trocas!$F:$F,F$27,Resumo_Trocas!$C:$C,"&gt;0")</f>
        <v>0</v>
      </c>
      <c r="G146" s="61">
        <f>SUMIFS(Resumo_Trocas!$D:$D,Resumo_Trocas!$A:$A,$C146,Resumo_Trocas!$F:$F,G$27,Resumo_Trocas!$C:$C,"&gt;0")</f>
        <v>0</v>
      </c>
      <c r="H146" s="61">
        <f>SUMIFS(Resumo_Trocas!$D:$D,Resumo_Trocas!$A:$A,$C146,Resumo_Trocas!$F:$F,H$27,Resumo_Trocas!$C:$C,"&gt;0")</f>
        <v>0</v>
      </c>
      <c r="I146" s="61">
        <f>SUMIFS(Resumo_Trocas!$D:$D,Resumo_Trocas!$A:$A,$C146,Resumo_Trocas!$F:$F,I$27,Resumo_Trocas!$C:$C,"&gt;0")</f>
        <v>0</v>
      </c>
      <c r="J146" s="61">
        <f>SUMIFS(Resumo_Trocas!$D:$D,Resumo_Trocas!$A:$A,$C146,Resumo_Trocas!$F:$F,J$27,Resumo_Trocas!$C:$C,"&gt;0")</f>
        <v>0</v>
      </c>
      <c r="K146" s="61">
        <f>SUMIFS(Resumo_Trocas!$D:$D,Resumo_Trocas!$A:$A,$C146,Resumo_Trocas!$F:$F,K$27,Resumo_Trocas!$C:$C,"&gt;0")</f>
        <v>0</v>
      </c>
      <c r="L146" s="61">
        <f>SUMIFS(Resumo_Trocas!$D:$D,Resumo_Trocas!$A:$A,$C146,Resumo_Trocas!$F:$F,L$27,Resumo_Trocas!$C:$C,"&gt;0")</f>
        <v>0</v>
      </c>
      <c r="M146" s="61">
        <f>SUMIFS(Resumo_Trocas!$D:$D,Resumo_Trocas!$A:$A,$C146,Resumo_Trocas!$F:$F,M$27,Resumo_Trocas!$C:$C,"&gt;0")</f>
        <v>0</v>
      </c>
      <c r="N146" s="61">
        <f>SUMIFS(Resumo_Trocas!$D:$D,Resumo_Trocas!$A:$A,$C146,Resumo_Trocas!$F:$F,N$27,Resumo_Trocas!$C:$C,"&gt;0")</f>
        <v>0</v>
      </c>
      <c r="O146" s="61">
        <f>SUMIFS(Resumo_Trocas!$D:$D,Resumo_Trocas!$A:$A,$C146,Resumo_Trocas!$F:$F,O$27,Resumo_Trocas!$C:$C,"&gt;0")</f>
        <v>0</v>
      </c>
      <c r="P146" s="61">
        <f>SUMIFS(Resumo_Trocas!$D:$D,Resumo_Trocas!$A:$A,$C146,Resumo_Trocas!$F:$F,P$27,Resumo_Trocas!$C:$C,"&gt;0")</f>
        <v>0</v>
      </c>
      <c r="Q146" s="61">
        <f>SUMIFS(Resumo_Trocas!$D:$D,Resumo_Trocas!$A:$A,$C146,Resumo_Trocas!$F:$F,Q$27,Resumo_Trocas!$C:$C,"&gt;0")</f>
        <v>0</v>
      </c>
      <c r="R146" s="61">
        <f>SUMIFS(Resumo_Trocas!$D:$D,Resumo_Trocas!$A:$A,$C146,Resumo_Trocas!$F:$F,R$27,Resumo_Trocas!$C:$C,"&gt;0")</f>
        <v>0</v>
      </c>
      <c r="S146" s="61">
        <f>SUMIFS(Resumo_Trocas!$D:$D,Resumo_Trocas!$A:$A,$C146,Resumo_Trocas!$F:$F,S$27,Resumo_Trocas!$C:$C,"&gt;0")</f>
        <v>0</v>
      </c>
      <c r="T146" s="61">
        <f>SUMIFS(Resumo_Trocas!$D:$D,Resumo_Trocas!$A:$A,$C146,Resumo_Trocas!$F:$F,T$27,Resumo_Trocas!$C:$C,"&gt;0")</f>
        <v>0</v>
      </c>
      <c r="U146" s="61">
        <f>SUMIFS(Resumo_Trocas!$D:$D,Resumo_Trocas!$A:$A,$C146,Resumo_Trocas!$F:$F,U$27,Resumo_Trocas!$C:$C,"&gt;0")</f>
        <v>0</v>
      </c>
      <c r="V146" s="61">
        <f>SUMIFS(Resumo_Trocas!$D:$D,Resumo_Trocas!$A:$A,$C146,Resumo_Trocas!$F:$F,V$27,Resumo_Trocas!$C:$C,"&gt;0")</f>
        <v>0</v>
      </c>
    </row>
    <row r="147" spans="2:22" ht="15" customHeight="1" outlineLevel="1" thickBot="1" x14ac:dyDescent="0.3">
      <c r="B147" s="76"/>
      <c r="C147" s="60" t="s">
        <v>3444</v>
      </c>
      <c r="D147" s="61">
        <f>SUMIFS(Resumo_Trocas!$D:$D,Resumo_Trocas!$A:$A,$C147,Resumo_Trocas!$F:$F,D$27,Resumo_Trocas!$C:$C,"&gt;0")</f>
        <v>0</v>
      </c>
      <c r="E147" s="61">
        <f>SUMIFS(Resumo_Trocas!$D:$D,Resumo_Trocas!$A:$A,$C147,Resumo_Trocas!$F:$F,E$27,Resumo_Trocas!$C:$C,"&gt;0")</f>
        <v>0</v>
      </c>
      <c r="F147" s="61">
        <f>SUMIFS(Resumo_Trocas!$D:$D,Resumo_Trocas!$A:$A,$C147,Resumo_Trocas!$F:$F,F$27,Resumo_Trocas!$C:$C,"&gt;0")</f>
        <v>0</v>
      </c>
      <c r="G147" s="61">
        <f>SUMIFS(Resumo_Trocas!$D:$D,Resumo_Trocas!$A:$A,$C147,Resumo_Trocas!$F:$F,G$27,Resumo_Trocas!$C:$C,"&gt;0")</f>
        <v>0</v>
      </c>
      <c r="H147" s="61">
        <f>SUMIFS(Resumo_Trocas!$D:$D,Resumo_Trocas!$A:$A,$C147,Resumo_Trocas!$F:$F,H$27,Resumo_Trocas!$C:$C,"&gt;0")</f>
        <v>0</v>
      </c>
      <c r="I147" s="61">
        <f>SUMIFS(Resumo_Trocas!$D:$D,Resumo_Trocas!$A:$A,$C147,Resumo_Trocas!$F:$F,I$27,Resumo_Trocas!$C:$C,"&gt;0")</f>
        <v>0</v>
      </c>
      <c r="J147" s="61">
        <f>SUMIFS(Resumo_Trocas!$D:$D,Resumo_Trocas!$A:$A,$C147,Resumo_Trocas!$F:$F,J$27,Resumo_Trocas!$C:$C,"&gt;0")</f>
        <v>0</v>
      </c>
      <c r="K147" s="61">
        <f>SUMIFS(Resumo_Trocas!$D:$D,Resumo_Trocas!$A:$A,$C147,Resumo_Trocas!$F:$F,K$27,Resumo_Trocas!$C:$C,"&gt;0")</f>
        <v>0</v>
      </c>
      <c r="L147" s="61">
        <f>SUMIFS(Resumo_Trocas!$D:$D,Resumo_Trocas!$A:$A,$C147,Resumo_Trocas!$F:$F,L$27,Resumo_Trocas!$C:$C,"&gt;0")</f>
        <v>0</v>
      </c>
      <c r="M147" s="61">
        <f>SUMIFS(Resumo_Trocas!$D:$D,Resumo_Trocas!$A:$A,$C147,Resumo_Trocas!$F:$F,M$27,Resumo_Trocas!$C:$C,"&gt;0")</f>
        <v>0</v>
      </c>
      <c r="N147" s="61">
        <f>SUMIFS(Resumo_Trocas!$D:$D,Resumo_Trocas!$A:$A,$C147,Resumo_Trocas!$F:$F,N$27,Resumo_Trocas!$C:$C,"&gt;0")</f>
        <v>0</v>
      </c>
      <c r="O147" s="61">
        <f>SUMIFS(Resumo_Trocas!$D:$D,Resumo_Trocas!$A:$A,$C147,Resumo_Trocas!$F:$F,O$27,Resumo_Trocas!$C:$C,"&gt;0")</f>
        <v>0</v>
      </c>
      <c r="P147" s="61">
        <f>SUMIFS(Resumo_Trocas!$D:$D,Resumo_Trocas!$A:$A,$C147,Resumo_Trocas!$F:$F,P$27,Resumo_Trocas!$C:$C,"&gt;0")</f>
        <v>0</v>
      </c>
      <c r="Q147" s="61">
        <f>SUMIFS(Resumo_Trocas!$D:$D,Resumo_Trocas!$A:$A,$C147,Resumo_Trocas!$F:$F,Q$27,Resumo_Trocas!$C:$C,"&gt;0")</f>
        <v>0</v>
      </c>
      <c r="R147" s="61">
        <f>SUMIFS(Resumo_Trocas!$D:$D,Resumo_Trocas!$A:$A,$C147,Resumo_Trocas!$F:$F,R$27,Resumo_Trocas!$C:$C,"&gt;0")</f>
        <v>0</v>
      </c>
      <c r="S147" s="61">
        <f>SUMIFS(Resumo_Trocas!$D:$D,Resumo_Trocas!$A:$A,$C147,Resumo_Trocas!$F:$F,S$27,Resumo_Trocas!$C:$C,"&gt;0")</f>
        <v>0</v>
      </c>
      <c r="T147" s="61">
        <f>SUMIFS(Resumo_Trocas!$D:$D,Resumo_Trocas!$A:$A,$C147,Resumo_Trocas!$F:$F,T$27,Resumo_Trocas!$C:$C,"&gt;0")</f>
        <v>0</v>
      </c>
      <c r="U147" s="61">
        <f>SUMIFS(Resumo_Trocas!$D:$D,Resumo_Trocas!$A:$A,$C147,Resumo_Trocas!$F:$F,U$27,Resumo_Trocas!$C:$C,"&gt;0")</f>
        <v>0</v>
      </c>
      <c r="V147" s="61">
        <f>SUMIFS(Resumo_Trocas!$D:$D,Resumo_Trocas!$A:$A,$C147,Resumo_Trocas!$F:$F,V$27,Resumo_Trocas!$C:$C,"&gt;0")</f>
        <v>0</v>
      </c>
    </row>
    <row r="148" spans="2:22" ht="15" customHeight="1" outlineLevel="1" thickBot="1" x14ac:dyDescent="0.3">
      <c r="B148" s="76"/>
      <c r="C148" s="60" t="s">
        <v>3445</v>
      </c>
      <c r="D148" s="61">
        <f>SUMIFS(Resumo_Trocas!$D:$D,Resumo_Trocas!$A:$A,$C148,Resumo_Trocas!$F:$F,D$27,Resumo_Trocas!$C:$C,"&gt;0")</f>
        <v>0</v>
      </c>
      <c r="E148" s="61">
        <f>SUMIFS(Resumo_Trocas!$D:$D,Resumo_Trocas!$A:$A,$C148,Resumo_Trocas!$F:$F,E$27,Resumo_Trocas!$C:$C,"&gt;0")</f>
        <v>0</v>
      </c>
      <c r="F148" s="61">
        <f>SUMIFS(Resumo_Trocas!$D:$D,Resumo_Trocas!$A:$A,$C148,Resumo_Trocas!$F:$F,F$27,Resumo_Trocas!$C:$C,"&gt;0")</f>
        <v>0</v>
      </c>
      <c r="G148" s="61">
        <f>SUMIFS(Resumo_Trocas!$D:$D,Resumo_Trocas!$A:$A,$C148,Resumo_Trocas!$F:$F,G$27,Resumo_Trocas!$C:$C,"&gt;0")</f>
        <v>0</v>
      </c>
      <c r="H148" s="61">
        <f>SUMIFS(Resumo_Trocas!$D:$D,Resumo_Trocas!$A:$A,$C148,Resumo_Trocas!$F:$F,H$27,Resumo_Trocas!$C:$C,"&gt;0")</f>
        <v>0</v>
      </c>
      <c r="I148" s="61">
        <f>SUMIFS(Resumo_Trocas!$D:$D,Resumo_Trocas!$A:$A,$C148,Resumo_Trocas!$F:$F,I$27,Resumo_Trocas!$C:$C,"&gt;0")</f>
        <v>0</v>
      </c>
      <c r="J148" s="61">
        <f>SUMIFS(Resumo_Trocas!$D:$D,Resumo_Trocas!$A:$A,$C148,Resumo_Trocas!$F:$F,J$27,Resumo_Trocas!$C:$C,"&gt;0")</f>
        <v>0</v>
      </c>
      <c r="K148" s="61">
        <f>SUMIFS(Resumo_Trocas!$D:$D,Resumo_Trocas!$A:$A,$C148,Resumo_Trocas!$F:$F,K$27,Resumo_Trocas!$C:$C,"&gt;0")</f>
        <v>0</v>
      </c>
      <c r="L148" s="61">
        <f>SUMIFS(Resumo_Trocas!$D:$D,Resumo_Trocas!$A:$A,$C148,Resumo_Trocas!$F:$F,L$27,Resumo_Trocas!$C:$C,"&gt;0")</f>
        <v>0</v>
      </c>
      <c r="M148" s="61">
        <f>SUMIFS(Resumo_Trocas!$D:$D,Resumo_Trocas!$A:$A,$C148,Resumo_Trocas!$F:$F,M$27,Resumo_Trocas!$C:$C,"&gt;0")</f>
        <v>0</v>
      </c>
      <c r="N148" s="61">
        <f>SUMIFS(Resumo_Trocas!$D:$D,Resumo_Trocas!$A:$A,$C148,Resumo_Trocas!$F:$F,N$27,Resumo_Trocas!$C:$C,"&gt;0")</f>
        <v>0</v>
      </c>
      <c r="O148" s="61">
        <f>SUMIFS(Resumo_Trocas!$D:$D,Resumo_Trocas!$A:$A,$C148,Resumo_Trocas!$F:$F,O$27,Resumo_Trocas!$C:$C,"&gt;0")</f>
        <v>0</v>
      </c>
      <c r="P148" s="61">
        <f>SUMIFS(Resumo_Trocas!$D:$D,Resumo_Trocas!$A:$A,$C148,Resumo_Trocas!$F:$F,P$27,Resumo_Trocas!$C:$C,"&gt;0")</f>
        <v>0</v>
      </c>
      <c r="Q148" s="61">
        <f>SUMIFS(Resumo_Trocas!$D:$D,Resumo_Trocas!$A:$A,$C148,Resumo_Trocas!$F:$F,Q$27,Resumo_Trocas!$C:$C,"&gt;0")</f>
        <v>0</v>
      </c>
      <c r="R148" s="61">
        <f>SUMIFS(Resumo_Trocas!$D:$D,Resumo_Trocas!$A:$A,$C148,Resumo_Trocas!$F:$F,R$27,Resumo_Trocas!$C:$C,"&gt;0")</f>
        <v>0</v>
      </c>
      <c r="S148" s="61">
        <f>SUMIFS(Resumo_Trocas!$D:$D,Resumo_Trocas!$A:$A,$C148,Resumo_Trocas!$F:$F,S$27,Resumo_Trocas!$C:$C,"&gt;0")</f>
        <v>0</v>
      </c>
      <c r="T148" s="61">
        <f>SUMIFS(Resumo_Trocas!$D:$D,Resumo_Trocas!$A:$A,$C148,Resumo_Trocas!$F:$F,T$27,Resumo_Trocas!$C:$C,"&gt;0")</f>
        <v>0</v>
      </c>
      <c r="U148" s="61">
        <f>SUMIFS(Resumo_Trocas!$D:$D,Resumo_Trocas!$A:$A,$C148,Resumo_Trocas!$F:$F,U$27,Resumo_Trocas!$C:$C,"&gt;0")</f>
        <v>0</v>
      </c>
      <c r="V148" s="61">
        <f>SUMIFS(Resumo_Trocas!$D:$D,Resumo_Trocas!$A:$A,$C148,Resumo_Trocas!$F:$F,V$27,Resumo_Trocas!$C:$C,"&gt;0")</f>
        <v>0</v>
      </c>
    </row>
    <row r="149" spans="2:22" ht="15" customHeight="1" outlineLevel="1" thickBot="1" x14ac:dyDescent="0.3">
      <c r="B149" s="76"/>
      <c r="C149" s="60" t="s">
        <v>3446</v>
      </c>
      <c r="D149" s="61">
        <f>SUMIFS(Resumo_Trocas!$D:$D,Resumo_Trocas!$A:$A,$C149,Resumo_Trocas!$F:$F,D$27,Resumo_Trocas!$C:$C,"&gt;0")</f>
        <v>0</v>
      </c>
      <c r="E149" s="61">
        <f>SUMIFS(Resumo_Trocas!$D:$D,Resumo_Trocas!$A:$A,$C149,Resumo_Trocas!$F:$F,E$27,Resumo_Trocas!$C:$C,"&gt;0")</f>
        <v>0</v>
      </c>
      <c r="F149" s="61">
        <f>SUMIFS(Resumo_Trocas!$D:$D,Resumo_Trocas!$A:$A,$C149,Resumo_Trocas!$F:$F,F$27,Resumo_Trocas!$C:$C,"&gt;0")</f>
        <v>0</v>
      </c>
      <c r="G149" s="61">
        <f>SUMIFS(Resumo_Trocas!$D:$D,Resumo_Trocas!$A:$A,$C149,Resumo_Trocas!$F:$F,G$27,Resumo_Trocas!$C:$C,"&gt;0")</f>
        <v>0</v>
      </c>
      <c r="H149" s="61">
        <f>SUMIFS(Resumo_Trocas!$D:$D,Resumo_Trocas!$A:$A,$C149,Resumo_Trocas!$F:$F,H$27,Resumo_Trocas!$C:$C,"&gt;0")</f>
        <v>0</v>
      </c>
      <c r="I149" s="61">
        <f>SUMIFS(Resumo_Trocas!$D:$D,Resumo_Trocas!$A:$A,$C149,Resumo_Trocas!$F:$F,I$27,Resumo_Trocas!$C:$C,"&gt;0")</f>
        <v>0</v>
      </c>
      <c r="J149" s="61">
        <f>SUMIFS(Resumo_Trocas!$D:$D,Resumo_Trocas!$A:$A,$C149,Resumo_Trocas!$F:$F,J$27,Resumo_Trocas!$C:$C,"&gt;0")</f>
        <v>0</v>
      </c>
      <c r="K149" s="61">
        <f>SUMIFS(Resumo_Trocas!$D:$D,Resumo_Trocas!$A:$A,$C149,Resumo_Trocas!$F:$F,K$27,Resumo_Trocas!$C:$C,"&gt;0")</f>
        <v>0</v>
      </c>
      <c r="L149" s="61">
        <f>SUMIFS(Resumo_Trocas!$D:$D,Resumo_Trocas!$A:$A,$C149,Resumo_Trocas!$F:$F,L$27,Resumo_Trocas!$C:$C,"&gt;0")</f>
        <v>0</v>
      </c>
      <c r="M149" s="61">
        <f>SUMIFS(Resumo_Trocas!$D:$D,Resumo_Trocas!$A:$A,$C149,Resumo_Trocas!$F:$F,M$27,Resumo_Trocas!$C:$C,"&gt;0")</f>
        <v>0</v>
      </c>
      <c r="N149" s="61">
        <f>SUMIFS(Resumo_Trocas!$D:$D,Resumo_Trocas!$A:$A,$C149,Resumo_Trocas!$F:$F,N$27,Resumo_Trocas!$C:$C,"&gt;0")</f>
        <v>0</v>
      </c>
      <c r="O149" s="61">
        <f>SUMIFS(Resumo_Trocas!$D:$D,Resumo_Trocas!$A:$A,$C149,Resumo_Trocas!$F:$F,O$27,Resumo_Trocas!$C:$C,"&gt;0")</f>
        <v>0</v>
      </c>
      <c r="P149" s="61">
        <f>SUMIFS(Resumo_Trocas!$D:$D,Resumo_Trocas!$A:$A,$C149,Resumo_Trocas!$F:$F,P$27,Resumo_Trocas!$C:$C,"&gt;0")</f>
        <v>0</v>
      </c>
      <c r="Q149" s="61">
        <f>SUMIFS(Resumo_Trocas!$D:$D,Resumo_Trocas!$A:$A,$C149,Resumo_Trocas!$F:$F,Q$27,Resumo_Trocas!$C:$C,"&gt;0")</f>
        <v>0</v>
      </c>
      <c r="R149" s="61">
        <f>SUMIFS(Resumo_Trocas!$D:$D,Resumo_Trocas!$A:$A,$C149,Resumo_Trocas!$F:$F,R$27,Resumo_Trocas!$C:$C,"&gt;0")</f>
        <v>0</v>
      </c>
      <c r="S149" s="61">
        <f>SUMIFS(Resumo_Trocas!$D:$D,Resumo_Trocas!$A:$A,$C149,Resumo_Trocas!$F:$F,S$27,Resumo_Trocas!$C:$C,"&gt;0")</f>
        <v>0</v>
      </c>
      <c r="T149" s="61">
        <f>SUMIFS(Resumo_Trocas!$D:$D,Resumo_Trocas!$A:$A,$C149,Resumo_Trocas!$F:$F,T$27,Resumo_Trocas!$C:$C,"&gt;0")</f>
        <v>0</v>
      </c>
      <c r="U149" s="61">
        <f>SUMIFS(Resumo_Trocas!$D:$D,Resumo_Trocas!$A:$A,$C149,Resumo_Trocas!$F:$F,U$27,Resumo_Trocas!$C:$C,"&gt;0")</f>
        <v>0</v>
      </c>
      <c r="V149" s="61">
        <f>SUMIFS(Resumo_Trocas!$D:$D,Resumo_Trocas!$A:$A,$C149,Resumo_Trocas!$F:$F,V$27,Resumo_Trocas!$C:$C,"&gt;0")</f>
        <v>0</v>
      </c>
    </row>
    <row r="150" spans="2:22" ht="15" customHeight="1" outlineLevel="1" thickBot="1" x14ac:dyDescent="0.3">
      <c r="B150" s="76"/>
      <c r="C150" s="60" t="s">
        <v>3447</v>
      </c>
      <c r="D150" s="61">
        <f>SUMIFS(Resumo_Trocas!$D:$D,Resumo_Trocas!$A:$A,$C150,Resumo_Trocas!$F:$F,D$27,Resumo_Trocas!$C:$C,"&gt;0")</f>
        <v>0</v>
      </c>
      <c r="E150" s="61">
        <f>SUMIFS(Resumo_Trocas!$D:$D,Resumo_Trocas!$A:$A,$C150,Resumo_Trocas!$F:$F,E$27,Resumo_Trocas!$C:$C,"&gt;0")</f>
        <v>0</v>
      </c>
      <c r="F150" s="61">
        <f>SUMIFS(Resumo_Trocas!$D:$D,Resumo_Trocas!$A:$A,$C150,Resumo_Trocas!$F:$F,F$27,Resumo_Trocas!$C:$C,"&gt;0")</f>
        <v>0</v>
      </c>
      <c r="G150" s="61">
        <f>SUMIFS(Resumo_Trocas!$D:$D,Resumo_Trocas!$A:$A,$C150,Resumo_Trocas!$F:$F,G$27,Resumo_Trocas!$C:$C,"&gt;0")</f>
        <v>0</v>
      </c>
      <c r="H150" s="61">
        <f>SUMIFS(Resumo_Trocas!$D:$D,Resumo_Trocas!$A:$A,$C150,Resumo_Trocas!$F:$F,H$27,Resumo_Trocas!$C:$C,"&gt;0")</f>
        <v>0</v>
      </c>
      <c r="I150" s="61">
        <f>SUMIFS(Resumo_Trocas!$D:$D,Resumo_Trocas!$A:$A,$C150,Resumo_Trocas!$F:$F,I$27,Resumo_Trocas!$C:$C,"&gt;0")</f>
        <v>0</v>
      </c>
      <c r="J150" s="61">
        <f>SUMIFS(Resumo_Trocas!$D:$D,Resumo_Trocas!$A:$A,$C150,Resumo_Trocas!$F:$F,J$27,Resumo_Trocas!$C:$C,"&gt;0")</f>
        <v>0</v>
      </c>
      <c r="K150" s="61">
        <f>SUMIFS(Resumo_Trocas!$D:$D,Resumo_Trocas!$A:$A,$C150,Resumo_Trocas!$F:$F,K$27,Resumo_Trocas!$C:$C,"&gt;0")</f>
        <v>0</v>
      </c>
      <c r="L150" s="61">
        <f>SUMIFS(Resumo_Trocas!$D:$D,Resumo_Trocas!$A:$A,$C150,Resumo_Trocas!$F:$F,L$27,Resumo_Trocas!$C:$C,"&gt;0")</f>
        <v>0</v>
      </c>
      <c r="M150" s="61">
        <f>SUMIFS(Resumo_Trocas!$D:$D,Resumo_Trocas!$A:$A,$C150,Resumo_Trocas!$F:$F,M$27,Resumo_Trocas!$C:$C,"&gt;0")</f>
        <v>0</v>
      </c>
      <c r="N150" s="61">
        <f>SUMIFS(Resumo_Trocas!$D:$D,Resumo_Trocas!$A:$A,$C150,Resumo_Trocas!$F:$F,N$27,Resumo_Trocas!$C:$C,"&gt;0")</f>
        <v>0</v>
      </c>
      <c r="O150" s="61">
        <f>SUMIFS(Resumo_Trocas!$D:$D,Resumo_Trocas!$A:$A,$C150,Resumo_Trocas!$F:$F,O$27,Resumo_Trocas!$C:$C,"&gt;0")</f>
        <v>0</v>
      </c>
      <c r="P150" s="61">
        <f>SUMIFS(Resumo_Trocas!$D:$D,Resumo_Trocas!$A:$A,$C150,Resumo_Trocas!$F:$F,P$27,Resumo_Trocas!$C:$C,"&gt;0")</f>
        <v>0</v>
      </c>
      <c r="Q150" s="61">
        <f>SUMIFS(Resumo_Trocas!$D:$D,Resumo_Trocas!$A:$A,$C150,Resumo_Trocas!$F:$F,Q$27,Resumo_Trocas!$C:$C,"&gt;0")</f>
        <v>0</v>
      </c>
      <c r="R150" s="61">
        <f>SUMIFS(Resumo_Trocas!$D:$D,Resumo_Trocas!$A:$A,$C150,Resumo_Trocas!$F:$F,R$27,Resumo_Trocas!$C:$C,"&gt;0")</f>
        <v>0</v>
      </c>
      <c r="S150" s="61">
        <f>SUMIFS(Resumo_Trocas!$D:$D,Resumo_Trocas!$A:$A,$C150,Resumo_Trocas!$F:$F,S$27,Resumo_Trocas!$C:$C,"&gt;0")</f>
        <v>0</v>
      </c>
      <c r="T150" s="61">
        <f>SUMIFS(Resumo_Trocas!$D:$D,Resumo_Trocas!$A:$A,$C150,Resumo_Trocas!$F:$F,T$27,Resumo_Trocas!$C:$C,"&gt;0")</f>
        <v>0</v>
      </c>
      <c r="U150" s="61">
        <f>SUMIFS(Resumo_Trocas!$D:$D,Resumo_Trocas!$A:$A,$C150,Resumo_Trocas!$F:$F,U$27,Resumo_Trocas!$C:$C,"&gt;0")</f>
        <v>0</v>
      </c>
      <c r="V150" s="61">
        <f>SUMIFS(Resumo_Trocas!$D:$D,Resumo_Trocas!$A:$A,$C150,Resumo_Trocas!$F:$F,V$27,Resumo_Trocas!$C:$C,"&gt;0")</f>
        <v>0</v>
      </c>
    </row>
    <row r="151" spans="2:22" ht="15" customHeight="1" outlineLevel="1" thickBot="1" x14ac:dyDescent="0.3">
      <c r="B151" s="76"/>
      <c r="C151" s="60" t="s">
        <v>3448</v>
      </c>
      <c r="D151" s="61">
        <f>SUMIFS(Resumo_Trocas!$D:$D,Resumo_Trocas!$A:$A,$C151,Resumo_Trocas!$F:$F,D$27,Resumo_Trocas!$C:$C,"&gt;0")</f>
        <v>0</v>
      </c>
      <c r="E151" s="61">
        <f>SUMIFS(Resumo_Trocas!$D:$D,Resumo_Trocas!$A:$A,$C151,Resumo_Trocas!$F:$F,E$27,Resumo_Trocas!$C:$C,"&gt;0")</f>
        <v>0</v>
      </c>
      <c r="F151" s="61">
        <f>SUMIFS(Resumo_Trocas!$D:$D,Resumo_Trocas!$A:$A,$C151,Resumo_Trocas!$F:$F,F$27,Resumo_Trocas!$C:$C,"&gt;0")</f>
        <v>0</v>
      </c>
      <c r="G151" s="61">
        <f>SUMIFS(Resumo_Trocas!$D:$D,Resumo_Trocas!$A:$A,$C151,Resumo_Trocas!$F:$F,G$27,Resumo_Trocas!$C:$C,"&gt;0")</f>
        <v>0</v>
      </c>
      <c r="H151" s="61">
        <f>SUMIFS(Resumo_Trocas!$D:$D,Resumo_Trocas!$A:$A,$C151,Resumo_Trocas!$F:$F,H$27,Resumo_Trocas!$C:$C,"&gt;0")</f>
        <v>0</v>
      </c>
      <c r="I151" s="61">
        <f>SUMIFS(Resumo_Trocas!$D:$D,Resumo_Trocas!$A:$A,$C151,Resumo_Trocas!$F:$F,I$27,Resumo_Trocas!$C:$C,"&gt;0")</f>
        <v>0</v>
      </c>
      <c r="J151" s="61">
        <f>SUMIFS(Resumo_Trocas!$D:$D,Resumo_Trocas!$A:$A,$C151,Resumo_Trocas!$F:$F,J$27,Resumo_Trocas!$C:$C,"&gt;0")</f>
        <v>0</v>
      </c>
      <c r="K151" s="61">
        <f>SUMIFS(Resumo_Trocas!$D:$D,Resumo_Trocas!$A:$A,$C151,Resumo_Trocas!$F:$F,K$27,Resumo_Trocas!$C:$C,"&gt;0")</f>
        <v>0</v>
      </c>
      <c r="L151" s="61">
        <f>SUMIFS(Resumo_Trocas!$D:$D,Resumo_Trocas!$A:$A,$C151,Resumo_Trocas!$F:$F,L$27,Resumo_Trocas!$C:$C,"&gt;0")</f>
        <v>0</v>
      </c>
      <c r="M151" s="61">
        <f>SUMIFS(Resumo_Trocas!$D:$D,Resumo_Trocas!$A:$A,$C151,Resumo_Trocas!$F:$F,M$27,Resumo_Trocas!$C:$C,"&gt;0")</f>
        <v>0</v>
      </c>
      <c r="N151" s="61">
        <f>SUMIFS(Resumo_Trocas!$D:$D,Resumo_Trocas!$A:$A,$C151,Resumo_Trocas!$F:$F,N$27,Resumo_Trocas!$C:$C,"&gt;0")</f>
        <v>0</v>
      </c>
      <c r="O151" s="61">
        <f>SUMIFS(Resumo_Trocas!$D:$D,Resumo_Trocas!$A:$A,$C151,Resumo_Trocas!$F:$F,O$27,Resumo_Trocas!$C:$C,"&gt;0")</f>
        <v>0</v>
      </c>
      <c r="P151" s="61">
        <f>SUMIFS(Resumo_Trocas!$D:$D,Resumo_Trocas!$A:$A,$C151,Resumo_Trocas!$F:$F,P$27,Resumo_Trocas!$C:$C,"&gt;0")</f>
        <v>0</v>
      </c>
      <c r="Q151" s="61">
        <f>SUMIFS(Resumo_Trocas!$D:$D,Resumo_Trocas!$A:$A,$C151,Resumo_Trocas!$F:$F,Q$27,Resumo_Trocas!$C:$C,"&gt;0")</f>
        <v>0</v>
      </c>
      <c r="R151" s="61">
        <f>SUMIFS(Resumo_Trocas!$D:$D,Resumo_Trocas!$A:$A,$C151,Resumo_Trocas!$F:$F,R$27,Resumo_Trocas!$C:$C,"&gt;0")</f>
        <v>0</v>
      </c>
      <c r="S151" s="61">
        <f>SUMIFS(Resumo_Trocas!$D:$D,Resumo_Trocas!$A:$A,$C151,Resumo_Trocas!$F:$F,S$27,Resumo_Trocas!$C:$C,"&gt;0")</f>
        <v>0</v>
      </c>
      <c r="T151" s="61">
        <f>SUMIFS(Resumo_Trocas!$D:$D,Resumo_Trocas!$A:$A,$C151,Resumo_Trocas!$F:$F,T$27,Resumo_Trocas!$C:$C,"&gt;0")</f>
        <v>0</v>
      </c>
      <c r="U151" s="61">
        <f>SUMIFS(Resumo_Trocas!$D:$D,Resumo_Trocas!$A:$A,$C151,Resumo_Trocas!$F:$F,U$27,Resumo_Trocas!$C:$C,"&gt;0")</f>
        <v>0</v>
      </c>
      <c r="V151" s="61">
        <f>SUMIFS(Resumo_Trocas!$D:$D,Resumo_Trocas!$A:$A,$C151,Resumo_Trocas!$F:$F,V$27,Resumo_Trocas!$C:$C,"&gt;0")</f>
        <v>0</v>
      </c>
    </row>
    <row r="152" spans="2:22" ht="15" customHeight="1" outlineLevel="1" thickBot="1" x14ac:dyDescent="0.3">
      <c r="B152" s="76"/>
      <c r="C152" s="60" t="s">
        <v>3449</v>
      </c>
      <c r="D152" s="61">
        <f>SUMIFS(Resumo_Trocas!$D:$D,Resumo_Trocas!$A:$A,$C152,Resumo_Trocas!$F:$F,D$27,Resumo_Trocas!$C:$C,"&gt;0")</f>
        <v>0</v>
      </c>
      <c r="E152" s="61">
        <f>SUMIFS(Resumo_Trocas!$D:$D,Resumo_Trocas!$A:$A,$C152,Resumo_Trocas!$F:$F,E$27,Resumo_Trocas!$C:$C,"&gt;0")</f>
        <v>0</v>
      </c>
      <c r="F152" s="61">
        <f>SUMIFS(Resumo_Trocas!$D:$D,Resumo_Trocas!$A:$A,$C152,Resumo_Trocas!$F:$F,F$27,Resumo_Trocas!$C:$C,"&gt;0")</f>
        <v>0</v>
      </c>
      <c r="G152" s="61">
        <f>SUMIFS(Resumo_Trocas!$D:$D,Resumo_Trocas!$A:$A,$C152,Resumo_Trocas!$F:$F,G$27,Resumo_Trocas!$C:$C,"&gt;0")</f>
        <v>0</v>
      </c>
      <c r="H152" s="61">
        <f>SUMIFS(Resumo_Trocas!$D:$D,Resumo_Trocas!$A:$A,$C152,Resumo_Trocas!$F:$F,H$27,Resumo_Trocas!$C:$C,"&gt;0")</f>
        <v>0</v>
      </c>
      <c r="I152" s="61">
        <f>SUMIFS(Resumo_Trocas!$D:$D,Resumo_Trocas!$A:$A,$C152,Resumo_Trocas!$F:$F,I$27,Resumo_Trocas!$C:$C,"&gt;0")</f>
        <v>0</v>
      </c>
      <c r="J152" s="61">
        <f>SUMIFS(Resumo_Trocas!$D:$D,Resumo_Trocas!$A:$A,$C152,Resumo_Trocas!$F:$F,J$27,Resumo_Trocas!$C:$C,"&gt;0")</f>
        <v>0</v>
      </c>
      <c r="K152" s="61">
        <f>SUMIFS(Resumo_Trocas!$D:$D,Resumo_Trocas!$A:$A,$C152,Resumo_Trocas!$F:$F,K$27,Resumo_Trocas!$C:$C,"&gt;0")</f>
        <v>0</v>
      </c>
      <c r="L152" s="61">
        <f>SUMIFS(Resumo_Trocas!$D:$D,Resumo_Trocas!$A:$A,$C152,Resumo_Trocas!$F:$F,L$27,Resumo_Trocas!$C:$C,"&gt;0")</f>
        <v>0</v>
      </c>
      <c r="M152" s="61">
        <f>SUMIFS(Resumo_Trocas!$D:$D,Resumo_Trocas!$A:$A,$C152,Resumo_Trocas!$F:$F,M$27,Resumo_Trocas!$C:$C,"&gt;0")</f>
        <v>0</v>
      </c>
      <c r="N152" s="61">
        <f>SUMIFS(Resumo_Trocas!$D:$D,Resumo_Trocas!$A:$A,$C152,Resumo_Trocas!$F:$F,N$27,Resumo_Trocas!$C:$C,"&gt;0")</f>
        <v>0</v>
      </c>
      <c r="O152" s="61">
        <f>SUMIFS(Resumo_Trocas!$D:$D,Resumo_Trocas!$A:$A,$C152,Resumo_Trocas!$F:$F,O$27,Resumo_Trocas!$C:$C,"&gt;0")</f>
        <v>0</v>
      </c>
      <c r="P152" s="61">
        <f>SUMIFS(Resumo_Trocas!$D:$D,Resumo_Trocas!$A:$A,$C152,Resumo_Trocas!$F:$F,P$27,Resumo_Trocas!$C:$C,"&gt;0")</f>
        <v>0</v>
      </c>
      <c r="Q152" s="61">
        <f>SUMIFS(Resumo_Trocas!$D:$D,Resumo_Trocas!$A:$A,$C152,Resumo_Trocas!$F:$F,Q$27,Resumo_Trocas!$C:$C,"&gt;0")</f>
        <v>0</v>
      </c>
      <c r="R152" s="61">
        <f>SUMIFS(Resumo_Trocas!$D:$D,Resumo_Trocas!$A:$A,$C152,Resumo_Trocas!$F:$F,R$27,Resumo_Trocas!$C:$C,"&gt;0")</f>
        <v>0</v>
      </c>
      <c r="S152" s="61">
        <f>SUMIFS(Resumo_Trocas!$D:$D,Resumo_Trocas!$A:$A,$C152,Resumo_Trocas!$F:$F,S$27,Resumo_Trocas!$C:$C,"&gt;0")</f>
        <v>0</v>
      </c>
      <c r="T152" s="61">
        <f>SUMIFS(Resumo_Trocas!$D:$D,Resumo_Trocas!$A:$A,$C152,Resumo_Trocas!$F:$F,T$27,Resumo_Trocas!$C:$C,"&gt;0")</f>
        <v>0</v>
      </c>
      <c r="U152" s="61">
        <f>SUMIFS(Resumo_Trocas!$D:$D,Resumo_Trocas!$A:$A,$C152,Resumo_Trocas!$F:$F,U$27,Resumo_Trocas!$C:$C,"&gt;0")</f>
        <v>0</v>
      </c>
      <c r="V152" s="61">
        <f>SUMIFS(Resumo_Trocas!$D:$D,Resumo_Trocas!$A:$A,$C152,Resumo_Trocas!$F:$F,V$27,Resumo_Trocas!$C:$C,"&gt;0")</f>
        <v>0</v>
      </c>
    </row>
    <row r="153" spans="2:22" ht="15" customHeight="1" outlineLevel="1" thickBot="1" x14ac:dyDescent="0.3">
      <c r="B153" s="76"/>
      <c r="C153" s="60" t="s">
        <v>3450</v>
      </c>
      <c r="D153" s="61">
        <f>SUMIFS(Resumo_Trocas!$D:$D,Resumo_Trocas!$A:$A,$C153,Resumo_Trocas!$F:$F,D$27,Resumo_Trocas!$C:$C,"&gt;0")</f>
        <v>0</v>
      </c>
      <c r="E153" s="61">
        <f>SUMIFS(Resumo_Trocas!$D:$D,Resumo_Trocas!$A:$A,$C153,Resumo_Trocas!$F:$F,E$27,Resumo_Trocas!$C:$C,"&gt;0")</f>
        <v>0</v>
      </c>
      <c r="F153" s="61">
        <f>SUMIFS(Resumo_Trocas!$D:$D,Resumo_Trocas!$A:$A,$C153,Resumo_Trocas!$F:$F,F$27,Resumo_Trocas!$C:$C,"&gt;0")</f>
        <v>0</v>
      </c>
      <c r="G153" s="61">
        <f>SUMIFS(Resumo_Trocas!$D:$D,Resumo_Trocas!$A:$A,$C153,Resumo_Trocas!$F:$F,G$27,Resumo_Trocas!$C:$C,"&gt;0")</f>
        <v>0</v>
      </c>
      <c r="H153" s="61">
        <f>SUMIFS(Resumo_Trocas!$D:$D,Resumo_Trocas!$A:$A,$C153,Resumo_Trocas!$F:$F,H$27,Resumo_Trocas!$C:$C,"&gt;0")</f>
        <v>0</v>
      </c>
      <c r="I153" s="61">
        <f>SUMIFS(Resumo_Trocas!$D:$D,Resumo_Trocas!$A:$A,$C153,Resumo_Trocas!$F:$F,I$27,Resumo_Trocas!$C:$C,"&gt;0")</f>
        <v>0</v>
      </c>
      <c r="J153" s="61">
        <f>SUMIFS(Resumo_Trocas!$D:$D,Resumo_Trocas!$A:$A,$C153,Resumo_Trocas!$F:$F,J$27,Resumo_Trocas!$C:$C,"&gt;0")</f>
        <v>0</v>
      </c>
      <c r="K153" s="61">
        <f>SUMIFS(Resumo_Trocas!$D:$D,Resumo_Trocas!$A:$A,$C153,Resumo_Trocas!$F:$F,K$27,Resumo_Trocas!$C:$C,"&gt;0")</f>
        <v>0</v>
      </c>
      <c r="L153" s="61">
        <f>SUMIFS(Resumo_Trocas!$D:$D,Resumo_Trocas!$A:$A,$C153,Resumo_Trocas!$F:$F,L$27,Resumo_Trocas!$C:$C,"&gt;0")</f>
        <v>0</v>
      </c>
      <c r="M153" s="61">
        <f>SUMIFS(Resumo_Trocas!$D:$D,Resumo_Trocas!$A:$A,$C153,Resumo_Trocas!$F:$F,M$27,Resumo_Trocas!$C:$C,"&gt;0")</f>
        <v>0</v>
      </c>
      <c r="N153" s="61">
        <f>SUMIFS(Resumo_Trocas!$D:$D,Resumo_Trocas!$A:$A,$C153,Resumo_Trocas!$F:$F,N$27,Resumo_Trocas!$C:$C,"&gt;0")</f>
        <v>0</v>
      </c>
      <c r="O153" s="61">
        <f>SUMIFS(Resumo_Trocas!$D:$D,Resumo_Trocas!$A:$A,$C153,Resumo_Trocas!$F:$F,O$27,Resumo_Trocas!$C:$C,"&gt;0")</f>
        <v>0</v>
      </c>
      <c r="P153" s="61">
        <f>SUMIFS(Resumo_Trocas!$D:$D,Resumo_Trocas!$A:$A,$C153,Resumo_Trocas!$F:$F,P$27,Resumo_Trocas!$C:$C,"&gt;0")</f>
        <v>0</v>
      </c>
      <c r="Q153" s="61">
        <f>SUMIFS(Resumo_Trocas!$D:$D,Resumo_Trocas!$A:$A,$C153,Resumo_Trocas!$F:$F,Q$27,Resumo_Trocas!$C:$C,"&gt;0")</f>
        <v>0</v>
      </c>
      <c r="R153" s="61">
        <f>SUMIFS(Resumo_Trocas!$D:$D,Resumo_Trocas!$A:$A,$C153,Resumo_Trocas!$F:$F,R$27,Resumo_Trocas!$C:$C,"&gt;0")</f>
        <v>0</v>
      </c>
      <c r="S153" s="61">
        <f>SUMIFS(Resumo_Trocas!$D:$D,Resumo_Trocas!$A:$A,$C153,Resumo_Trocas!$F:$F,S$27,Resumo_Trocas!$C:$C,"&gt;0")</f>
        <v>0</v>
      </c>
      <c r="T153" s="61">
        <f>SUMIFS(Resumo_Trocas!$D:$D,Resumo_Trocas!$A:$A,$C153,Resumo_Trocas!$F:$F,T$27,Resumo_Trocas!$C:$C,"&gt;0")</f>
        <v>0</v>
      </c>
      <c r="U153" s="61">
        <f>SUMIFS(Resumo_Trocas!$D:$D,Resumo_Trocas!$A:$A,$C153,Resumo_Trocas!$F:$F,U$27,Resumo_Trocas!$C:$C,"&gt;0")</f>
        <v>0</v>
      </c>
      <c r="V153" s="61">
        <f>SUMIFS(Resumo_Trocas!$D:$D,Resumo_Trocas!$A:$A,$C153,Resumo_Trocas!$F:$F,V$27,Resumo_Trocas!$C:$C,"&gt;0")</f>
        <v>0</v>
      </c>
    </row>
    <row r="154" spans="2:22" ht="15" customHeight="1" outlineLevel="1" thickBot="1" x14ac:dyDescent="0.3">
      <c r="B154" s="76"/>
      <c r="C154" s="60" t="s">
        <v>3451</v>
      </c>
      <c r="D154" s="61">
        <f>SUMIFS(Resumo_Trocas!$D:$D,Resumo_Trocas!$A:$A,$C154,Resumo_Trocas!$F:$F,D$27,Resumo_Trocas!$C:$C,"&gt;0")</f>
        <v>0</v>
      </c>
      <c r="E154" s="61">
        <f>SUMIFS(Resumo_Trocas!$D:$D,Resumo_Trocas!$A:$A,$C154,Resumo_Trocas!$F:$F,E$27,Resumo_Trocas!$C:$C,"&gt;0")</f>
        <v>0</v>
      </c>
      <c r="F154" s="61">
        <f>SUMIFS(Resumo_Trocas!$D:$D,Resumo_Trocas!$A:$A,$C154,Resumo_Trocas!$F:$F,F$27,Resumo_Trocas!$C:$C,"&gt;0")</f>
        <v>0</v>
      </c>
      <c r="G154" s="61">
        <f>SUMIFS(Resumo_Trocas!$D:$D,Resumo_Trocas!$A:$A,$C154,Resumo_Trocas!$F:$F,G$27,Resumo_Trocas!$C:$C,"&gt;0")</f>
        <v>0</v>
      </c>
      <c r="H154" s="61">
        <f>SUMIFS(Resumo_Trocas!$D:$D,Resumo_Trocas!$A:$A,$C154,Resumo_Trocas!$F:$F,H$27,Resumo_Trocas!$C:$C,"&gt;0")</f>
        <v>0</v>
      </c>
      <c r="I154" s="61">
        <f>SUMIFS(Resumo_Trocas!$D:$D,Resumo_Trocas!$A:$A,$C154,Resumo_Trocas!$F:$F,I$27,Resumo_Trocas!$C:$C,"&gt;0")</f>
        <v>0</v>
      </c>
      <c r="J154" s="61">
        <f>SUMIFS(Resumo_Trocas!$D:$D,Resumo_Trocas!$A:$A,$C154,Resumo_Trocas!$F:$F,J$27,Resumo_Trocas!$C:$C,"&gt;0")</f>
        <v>0</v>
      </c>
      <c r="K154" s="61">
        <f>SUMIFS(Resumo_Trocas!$D:$D,Resumo_Trocas!$A:$A,$C154,Resumo_Trocas!$F:$F,K$27,Resumo_Trocas!$C:$C,"&gt;0")</f>
        <v>0</v>
      </c>
      <c r="L154" s="61">
        <f>SUMIFS(Resumo_Trocas!$D:$D,Resumo_Trocas!$A:$A,$C154,Resumo_Trocas!$F:$F,L$27,Resumo_Trocas!$C:$C,"&gt;0")</f>
        <v>0</v>
      </c>
      <c r="M154" s="61">
        <f>SUMIFS(Resumo_Trocas!$D:$D,Resumo_Trocas!$A:$A,$C154,Resumo_Trocas!$F:$F,M$27,Resumo_Trocas!$C:$C,"&gt;0")</f>
        <v>0</v>
      </c>
      <c r="N154" s="61">
        <f>SUMIFS(Resumo_Trocas!$D:$D,Resumo_Trocas!$A:$A,$C154,Resumo_Trocas!$F:$F,N$27,Resumo_Trocas!$C:$C,"&gt;0")</f>
        <v>0</v>
      </c>
      <c r="O154" s="61">
        <f>SUMIFS(Resumo_Trocas!$D:$D,Resumo_Trocas!$A:$A,$C154,Resumo_Trocas!$F:$F,O$27,Resumo_Trocas!$C:$C,"&gt;0")</f>
        <v>0</v>
      </c>
      <c r="P154" s="61">
        <f>SUMIFS(Resumo_Trocas!$D:$D,Resumo_Trocas!$A:$A,$C154,Resumo_Trocas!$F:$F,P$27,Resumo_Trocas!$C:$C,"&gt;0")</f>
        <v>0</v>
      </c>
      <c r="Q154" s="61">
        <f>SUMIFS(Resumo_Trocas!$D:$D,Resumo_Trocas!$A:$A,$C154,Resumo_Trocas!$F:$F,Q$27,Resumo_Trocas!$C:$C,"&gt;0")</f>
        <v>0</v>
      </c>
      <c r="R154" s="61">
        <f>SUMIFS(Resumo_Trocas!$D:$D,Resumo_Trocas!$A:$A,$C154,Resumo_Trocas!$F:$F,R$27,Resumo_Trocas!$C:$C,"&gt;0")</f>
        <v>0</v>
      </c>
      <c r="S154" s="61">
        <f>SUMIFS(Resumo_Trocas!$D:$D,Resumo_Trocas!$A:$A,$C154,Resumo_Trocas!$F:$F,S$27,Resumo_Trocas!$C:$C,"&gt;0")</f>
        <v>0</v>
      </c>
      <c r="T154" s="61">
        <f>SUMIFS(Resumo_Trocas!$D:$D,Resumo_Trocas!$A:$A,$C154,Resumo_Trocas!$F:$F,T$27,Resumo_Trocas!$C:$C,"&gt;0")</f>
        <v>0</v>
      </c>
      <c r="U154" s="61">
        <f>SUMIFS(Resumo_Trocas!$D:$D,Resumo_Trocas!$A:$A,$C154,Resumo_Trocas!$F:$F,U$27,Resumo_Trocas!$C:$C,"&gt;0")</f>
        <v>0</v>
      </c>
      <c r="V154" s="61">
        <f>SUMIFS(Resumo_Trocas!$D:$D,Resumo_Trocas!$A:$A,$C154,Resumo_Trocas!$F:$F,V$27,Resumo_Trocas!$C:$C,"&gt;0")</f>
        <v>0</v>
      </c>
    </row>
    <row r="155" spans="2:22" ht="15" customHeight="1" outlineLevel="1" thickBot="1" x14ac:dyDescent="0.3">
      <c r="B155" s="76"/>
      <c r="C155" s="60" t="s">
        <v>3452</v>
      </c>
      <c r="D155" s="61">
        <f>SUMIFS(Resumo_Trocas!$D:$D,Resumo_Trocas!$A:$A,$C155,Resumo_Trocas!$F:$F,D$27,Resumo_Trocas!$C:$C,"&gt;0")</f>
        <v>0</v>
      </c>
      <c r="E155" s="61">
        <f>SUMIFS(Resumo_Trocas!$D:$D,Resumo_Trocas!$A:$A,$C155,Resumo_Trocas!$F:$F,E$27,Resumo_Trocas!$C:$C,"&gt;0")</f>
        <v>0</v>
      </c>
      <c r="F155" s="61">
        <f>SUMIFS(Resumo_Trocas!$D:$D,Resumo_Trocas!$A:$A,$C155,Resumo_Trocas!$F:$F,F$27,Resumo_Trocas!$C:$C,"&gt;0")</f>
        <v>0</v>
      </c>
      <c r="G155" s="61">
        <f>SUMIFS(Resumo_Trocas!$D:$D,Resumo_Trocas!$A:$A,$C155,Resumo_Trocas!$F:$F,G$27,Resumo_Trocas!$C:$C,"&gt;0")</f>
        <v>0</v>
      </c>
      <c r="H155" s="61">
        <f>SUMIFS(Resumo_Trocas!$D:$D,Resumo_Trocas!$A:$A,$C155,Resumo_Trocas!$F:$F,H$27,Resumo_Trocas!$C:$C,"&gt;0")</f>
        <v>0</v>
      </c>
      <c r="I155" s="61">
        <f>SUMIFS(Resumo_Trocas!$D:$D,Resumo_Trocas!$A:$A,$C155,Resumo_Trocas!$F:$F,I$27,Resumo_Trocas!$C:$C,"&gt;0")</f>
        <v>0</v>
      </c>
      <c r="J155" s="61">
        <f>SUMIFS(Resumo_Trocas!$D:$D,Resumo_Trocas!$A:$A,$C155,Resumo_Trocas!$F:$F,J$27,Resumo_Trocas!$C:$C,"&gt;0")</f>
        <v>0</v>
      </c>
      <c r="K155" s="61">
        <f>SUMIFS(Resumo_Trocas!$D:$D,Resumo_Trocas!$A:$A,$C155,Resumo_Trocas!$F:$F,K$27,Resumo_Trocas!$C:$C,"&gt;0")</f>
        <v>0</v>
      </c>
      <c r="L155" s="61">
        <f>SUMIFS(Resumo_Trocas!$D:$D,Resumo_Trocas!$A:$A,$C155,Resumo_Trocas!$F:$F,L$27,Resumo_Trocas!$C:$C,"&gt;0")</f>
        <v>0</v>
      </c>
      <c r="M155" s="61">
        <f>SUMIFS(Resumo_Trocas!$D:$D,Resumo_Trocas!$A:$A,$C155,Resumo_Trocas!$F:$F,M$27,Resumo_Trocas!$C:$C,"&gt;0")</f>
        <v>0</v>
      </c>
      <c r="N155" s="61">
        <f>SUMIFS(Resumo_Trocas!$D:$D,Resumo_Trocas!$A:$A,$C155,Resumo_Trocas!$F:$F,N$27,Resumo_Trocas!$C:$C,"&gt;0")</f>
        <v>0</v>
      </c>
      <c r="O155" s="61">
        <f>SUMIFS(Resumo_Trocas!$D:$D,Resumo_Trocas!$A:$A,$C155,Resumo_Trocas!$F:$F,O$27,Resumo_Trocas!$C:$C,"&gt;0")</f>
        <v>0</v>
      </c>
      <c r="P155" s="61">
        <f>SUMIFS(Resumo_Trocas!$D:$D,Resumo_Trocas!$A:$A,$C155,Resumo_Trocas!$F:$F,P$27,Resumo_Trocas!$C:$C,"&gt;0")</f>
        <v>0</v>
      </c>
      <c r="Q155" s="61">
        <f>SUMIFS(Resumo_Trocas!$D:$D,Resumo_Trocas!$A:$A,$C155,Resumo_Trocas!$F:$F,Q$27,Resumo_Trocas!$C:$C,"&gt;0")</f>
        <v>0</v>
      </c>
      <c r="R155" s="61">
        <f>SUMIFS(Resumo_Trocas!$D:$D,Resumo_Trocas!$A:$A,$C155,Resumo_Trocas!$F:$F,R$27,Resumo_Trocas!$C:$C,"&gt;0")</f>
        <v>0</v>
      </c>
      <c r="S155" s="61">
        <f>SUMIFS(Resumo_Trocas!$D:$D,Resumo_Trocas!$A:$A,$C155,Resumo_Trocas!$F:$F,S$27,Resumo_Trocas!$C:$C,"&gt;0")</f>
        <v>0</v>
      </c>
      <c r="T155" s="61">
        <f>SUMIFS(Resumo_Trocas!$D:$D,Resumo_Trocas!$A:$A,$C155,Resumo_Trocas!$F:$F,T$27,Resumo_Trocas!$C:$C,"&gt;0")</f>
        <v>0</v>
      </c>
      <c r="U155" s="61">
        <f>SUMIFS(Resumo_Trocas!$D:$D,Resumo_Trocas!$A:$A,$C155,Resumo_Trocas!$F:$F,U$27,Resumo_Trocas!$C:$C,"&gt;0")</f>
        <v>0</v>
      </c>
      <c r="V155" s="61">
        <f>SUMIFS(Resumo_Trocas!$D:$D,Resumo_Trocas!$A:$A,$C155,Resumo_Trocas!$F:$F,V$27,Resumo_Trocas!$C:$C,"&gt;0")</f>
        <v>0</v>
      </c>
    </row>
    <row r="156" spans="2:22" ht="15" customHeight="1" outlineLevel="1" thickBot="1" x14ac:dyDescent="0.3">
      <c r="B156" s="76"/>
      <c r="C156" s="60" t="s">
        <v>3453</v>
      </c>
      <c r="D156" s="61">
        <f>SUMIFS(Resumo_Trocas!$D:$D,Resumo_Trocas!$A:$A,$C156,Resumo_Trocas!$F:$F,D$27,Resumo_Trocas!$C:$C,"&gt;0")</f>
        <v>0</v>
      </c>
      <c r="E156" s="61">
        <f>SUMIFS(Resumo_Trocas!$D:$D,Resumo_Trocas!$A:$A,$C156,Resumo_Trocas!$F:$F,E$27,Resumo_Trocas!$C:$C,"&gt;0")</f>
        <v>0</v>
      </c>
      <c r="F156" s="61">
        <f>SUMIFS(Resumo_Trocas!$D:$D,Resumo_Trocas!$A:$A,$C156,Resumo_Trocas!$F:$F,F$27,Resumo_Trocas!$C:$C,"&gt;0")</f>
        <v>0</v>
      </c>
      <c r="G156" s="61">
        <f>SUMIFS(Resumo_Trocas!$D:$D,Resumo_Trocas!$A:$A,$C156,Resumo_Trocas!$F:$F,G$27,Resumo_Trocas!$C:$C,"&gt;0")</f>
        <v>0</v>
      </c>
      <c r="H156" s="61">
        <f>SUMIFS(Resumo_Trocas!$D:$D,Resumo_Trocas!$A:$A,$C156,Resumo_Trocas!$F:$F,H$27,Resumo_Trocas!$C:$C,"&gt;0")</f>
        <v>0</v>
      </c>
      <c r="I156" s="61">
        <f>SUMIFS(Resumo_Trocas!$D:$D,Resumo_Trocas!$A:$A,$C156,Resumo_Trocas!$F:$F,I$27,Resumo_Trocas!$C:$C,"&gt;0")</f>
        <v>0</v>
      </c>
      <c r="J156" s="61">
        <f>SUMIFS(Resumo_Trocas!$D:$D,Resumo_Trocas!$A:$A,$C156,Resumo_Trocas!$F:$F,J$27,Resumo_Trocas!$C:$C,"&gt;0")</f>
        <v>0</v>
      </c>
      <c r="K156" s="61">
        <f>SUMIFS(Resumo_Trocas!$D:$D,Resumo_Trocas!$A:$A,$C156,Resumo_Trocas!$F:$F,K$27,Resumo_Trocas!$C:$C,"&gt;0")</f>
        <v>0</v>
      </c>
      <c r="L156" s="61">
        <f>SUMIFS(Resumo_Trocas!$D:$D,Resumo_Trocas!$A:$A,$C156,Resumo_Trocas!$F:$F,L$27,Resumo_Trocas!$C:$C,"&gt;0")</f>
        <v>0</v>
      </c>
      <c r="M156" s="61">
        <f>SUMIFS(Resumo_Trocas!$D:$D,Resumo_Trocas!$A:$A,$C156,Resumo_Trocas!$F:$F,M$27,Resumo_Trocas!$C:$C,"&gt;0")</f>
        <v>0</v>
      </c>
      <c r="N156" s="61">
        <f>SUMIFS(Resumo_Trocas!$D:$D,Resumo_Trocas!$A:$A,$C156,Resumo_Trocas!$F:$F,N$27,Resumo_Trocas!$C:$C,"&gt;0")</f>
        <v>0</v>
      </c>
      <c r="O156" s="61">
        <f>SUMIFS(Resumo_Trocas!$D:$D,Resumo_Trocas!$A:$A,$C156,Resumo_Trocas!$F:$F,O$27,Resumo_Trocas!$C:$C,"&gt;0")</f>
        <v>0</v>
      </c>
      <c r="P156" s="61">
        <f>SUMIFS(Resumo_Trocas!$D:$D,Resumo_Trocas!$A:$A,$C156,Resumo_Trocas!$F:$F,P$27,Resumo_Trocas!$C:$C,"&gt;0")</f>
        <v>0</v>
      </c>
      <c r="Q156" s="61">
        <f>SUMIFS(Resumo_Trocas!$D:$D,Resumo_Trocas!$A:$A,$C156,Resumo_Trocas!$F:$F,Q$27,Resumo_Trocas!$C:$C,"&gt;0")</f>
        <v>0</v>
      </c>
      <c r="R156" s="61">
        <f>SUMIFS(Resumo_Trocas!$D:$D,Resumo_Trocas!$A:$A,$C156,Resumo_Trocas!$F:$F,R$27,Resumo_Trocas!$C:$C,"&gt;0")</f>
        <v>0</v>
      </c>
      <c r="S156" s="61">
        <f>SUMIFS(Resumo_Trocas!$D:$D,Resumo_Trocas!$A:$A,$C156,Resumo_Trocas!$F:$F,S$27,Resumo_Trocas!$C:$C,"&gt;0")</f>
        <v>0</v>
      </c>
      <c r="T156" s="61">
        <f>SUMIFS(Resumo_Trocas!$D:$D,Resumo_Trocas!$A:$A,$C156,Resumo_Trocas!$F:$F,T$27,Resumo_Trocas!$C:$C,"&gt;0")</f>
        <v>0</v>
      </c>
      <c r="U156" s="61">
        <f>SUMIFS(Resumo_Trocas!$D:$D,Resumo_Trocas!$A:$A,$C156,Resumo_Trocas!$F:$F,U$27,Resumo_Trocas!$C:$C,"&gt;0")</f>
        <v>0</v>
      </c>
      <c r="V156" s="61">
        <f>SUMIFS(Resumo_Trocas!$D:$D,Resumo_Trocas!$A:$A,$C156,Resumo_Trocas!$F:$F,V$27,Resumo_Trocas!$C:$C,"&gt;0")</f>
        <v>0</v>
      </c>
    </row>
    <row r="157" spans="2:22" ht="15" customHeight="1" outlineLevel="1" thickBot="1" x14ac:dyDescent="0.3">
      <c r="B157" s="76"/>
      <c r="C157" s="60" t="s">
        <v>3454</v>
      </c>
      <c r="D157" s="61">
        <f>SUMIFS(Resumo_Trocas!$D:$D,Resumo_Trocas!$A:$A,$C157,Resumo_Trocas!$F:$F,D$27,Resumo_Trocas!$C:$C,"&gt;0")</f>
        <v>0</v>
      </c>
      <c r="E157" s="61">
        <f>SUMIFS(Resumo_Trocas!$D:$D,Resumo_Trocas!$A:$A,$C157,Resumo_Trocas!$F:$F,E$27,Resumo_Trocas!$C:$C,"&gt;0")</f>
        <v>0</v>
      </c>
      <c r="F157" s="61">
        <f>SUMIFS(Resumo_Trocas!$D:$D,Resumo_Trocas!$A:$A,$C157,Resumo_Trocas!$F:$F,F$27,Resumo_Trocas!$C:$C,"&gt;0")</f>
        <v>0</v>
      </c>
      <c r="G157" s="61">
        <f>SUMIFS(Resumo_Trocas!$D:$D,Resumo_Trocas!$A:$A,$C157,Resumo_Trocas!$F:$F,G$27,Resumo_Trocas!$C:$C,"&gt;0")</f>
        <v>0</v>
      </c>
      <c r="H157" s="61">
        <f>SUMIFS(Resumo_Trocas!$D:$D,Resumo_Trocas!$A:$A,$C157,Resumo_Trocas!$F:$F,H$27,Resumo_Trocas!$C:$C,"&gt;0")</f>
        <v>0</v>
      </c>
      <c r="I157" s="61">
        <f>SUMIFS(Resumo_Trocas!$D:$D,Resumo_Trocas!$A:$A,$C157,Resumo_Trocas!$F:$F,I$27,Resumo_Trocas!$C:$C,"&gt;0")</f>
        <v>0</v>
      </c>
      <c r="J157" s="61">
        <f>SUMIFS(Resumo_Trocas!$D:$D,Resumo_Trocas!$A:$A,$C157,Resumo_Trocas!$F:$F,J$27,Resumo_Trocas!$C:$C,"&gt;0")</f>
        <v>0</v>
      </c>
      <c r="K157" s="61">
        <f>SUMIFS(Resumo_Trocas!$D:$D,Resumo_Trocas!$A:$A,$C157,Resumo_Trocas!$F:$F,K$27,Resumo_Trocas!$C:$C,"&gt;0")</f>
        <v>0</v>
      </c>
      <c r="L157" s="61">
        <f>SUMIFS(Resumo_Trocas!$D:$D,Resumo_Trocas!$A:$A,$C157,Resumo_Trocas!$F:$F,L$27,Resumo_Trocas!$C:$C,"&gt;0")</f>
        <v>0</v>
      </c>
      <c r="M157" s="61">
        <f>SUMIFS(Resumo_Trocas!$D:$D,Resumo_Trocas!$A:$A,$C157,Resumo_Trocas!$F:$F,M$27,Resumo_Trocas!$C:$C,"&gt;0")</f>
        <v>0</v>
      </c>
      <c r="N157" s="61">
        <f>SUMIFS(Resumo_Trocas!$D:$D,Resumo_Trocas!$A:$A,$C157,Resumo_Trocas!$F:$F,N$27,Resumo_Trocas!$C:$C,"&gt;0")</f>
        <v>0</v>
      </c>
      <c r="O157" s="61">
        <f>SUMIFS(Resumo_Trocas!$D:$D,Resumo_Trocas!$A:$A,$C157,Resumo_Trocas!$F:$F,O$27,Resumo_Trocas!$C:$C,"&gt;0")</f>
        <v>0</v>
      </c>
      <c r="P157" s="61">
        <f>SUMIFS(Resumo_Trocas!$D:$D,Resumo_Trocas!$A:$A,$C157,Resumo_Trocas!$F:$F,P$27,Resumo_Trocas!$C:$C,"&gt;0")</f>
        <v>0</v>
      </c>
      <c r="Q157" s="61">
        <f>SUMIFS(Resumo_Trocas!$D:$D,Resumo_Trocas!$A:$A,$C157,Resumo_Trocas!$F:$F,Q$27,Resumo_Trocas!$C:$C,"&gt;0")</f>
        <v>0</v>
      </c>
      <c r="R157" s="61">
        <f>SUMIFS(Resumo_Trocas!$D:$D,Resumo_Trocas!$A:$A,$C157,Resumo_Trocas!$F:$F,R$27,Resumo_Trocas!$C:$C,"&gt;0")</f>
        <v>0</v>
      </c>
      <c r="S157" s="61">
        <f>SUMIFS(Resumo_Trocas!$D:$D,Resumo_Trocas!$A:$A,$C157,Resumo_Trocas!$F:$F,S$27,Resumo_Trocas!$C:$C,"&gt;0")</f>
        <v>0</v>
      </c>
      <c r="T157" s="61">
        <f>SUMIFS(Resumo_Trocas!$D:$D,Resumo_Trocas!$A:$A,$C157,Resumo_Trocas!$F:$F,T$27,Resumo_Trocas!$C:$C,"&gt;0")</f>
        <v>0</v>
      </c>
      <c r="U157" s="61">
        <f>SUMIFS(Resumo_Trocas!$D:$D,Resumo_Trocas!$A:$A,$C157,Resumo_Trocas!$F:$F,U$27,Resumo_Trocas!$C:$C,"&gt;0")</f>
        <v>0</v>
      </c>
      <c r="V157" s="61">
        <f>SUMIFS(Resumo_Trocas!$D:$D,Resumo_Trocas!$A:$A,$C157,Resumo_Trocas!$F:$F,V$27,Resumo_Trocas!$C:$C,"&gt;0")</f>
        <v>0</v>
      </c>
    </row>
    <row r="158" spans="2:22" ht="15" customHeight="1" outlineLevel="1" thickBot="1" x14ac:dyDescent="0.3">
      <c r="B158" s="76"/>
      <c r="C158" s="60" t="s">
        <v>3455</v>
      </c>
      <c r="D158" s="61">
        <f>SUMIFS(Resumo_Trocas!$D:$D,Resumo_Trocas!$A:$A,$C158,Resumo_Trocas!$F:$F,D$27,Resumo_Trocas!$C:$C,"&gt;0")</f>
        <v>0</v>
      </c>
      <c r="E158" s="61">
        <f>SUMIFS(Resumo_Trocas!$D:$D,Resumo_Trocas!$A:$A,$C158,Resumo_Trocas!$F:$F,E$27,Resumo_Trocas!$C:$C,"&gt;0")</f>
        <v>0</v>
      </c>
      <c r="F158" s="61">
        <f>SUMIFS(Resumo_Trocas!$D:$D,Resumo_Trocas!$A:$A,$C158,Resumo_Trocas!$F:$F,F$27,Resumo_Trocas!$C:$C,"&gt;0")</f>
        <v>0</v>
      </c>
      <c r="G158" s="61">
        <f>SUMIFS(Resumo_Trocas!$D:$D,Resumo_Trocas!$A:$A,$C158,Resumo_Trocas!$F:$F,G$27,Resumo_Trocas!$C:$C,"&gt;0")</f>
        <v>0</v>
      </c>
      <c r="H158" s="61">
        <f>SUMIFS(Resumo_Trocas!$D:$D,Resumo_Trocas!$A:$A,$C158,Resumo_Trocas!$F:$F,H$27,Resumo_Trocas!$C:$C,"&gt;0")</f>
        <v>0</v>
      </c>
      <c r="I158" s="61">
        <f>SUMIFS(Resumo_Trocas!$D:$D,Resumo_Trocas!$A:$A,$C158,Resumo_Trocas!$F:$F,I$27,Resumo_Trocas!$C:$C,"&gt;0")</f>
        <v>0</v>
      </c>
      <c r="J158" s="61">
        <f>SUMIFS(Resumo_Trocas!$D:$D,Resumo_Trocas!$A:$A,$C158,Resumo_Trocas!$F:$F,J$27,Resumo_Trocas!$C:$C,"&gt;0")</f>
        <v>0</v>
      </c>
      <c r="K158" s="61">
        <f>SUMIFS(Resumo_Trocas!$D:$D,Resumo_Trocas!$A:$A,$C158,Resumo_Trocas!$F:$F,K$27,Resumo_Trocas!$C:$C,"&gt;0")</f>
        <v>0</v>
      </c>
      <c r="L158" s="61">
        <f>SUMIFS(Resumo_Trocas!$D:$D,Resumo_Trocas!$A:$A,$C158,Resumo_Trocas!$F:$F,L$27,Resumo_Trocas!$C:$C,"&gt;0")</f>
        <v>0</v>
      </c>
      <c r="M158" s="61">
        <f>SUMIFS(Resumo_Trocas!$D:$D,Resumo_Trocas!$A:$A,$C158,Resumo_Trocas!$F:$F,M$27,Resumo_Trocas!$C:$C,"&gt;0")</f>
        <v>0</v>
      </c>
      <c r="N158" s="61">
        <f>SUMIFS(Resumo_Trocas!$D:$D,Resumo_Trocas!$A:$A,$C158,Resumo_Trocas!$F:$F,N$27,Resumo_Trocas!$C:$C,"&gt;0")</f>
        <v>0</v>
      </c>
      <c r="O158" s="61">
        <f>SUMIFS(Resumo_Trocas!$D:$D,Resumo_Trocas!$A:$A,$C158,Resumo_Trocas!$F:$F,O$27,Resumo_Trocas!$C:$C,"&gt;0")</f>
        <v>0</v>
      </c>
      <c r="P158" s="61">
        <f>SUMIFS(Resumo_Trocas!$D:$D,Resumo_Trocas!$A:$A,$C158,Resumo_Trocas!$F:$F,P$27,Resumo_Trocas!$C:$C,"&gt;0")</f>
        <v>0</v>
      </c>
      <c r="Q158" s="61">
        <f>SUMIFS(Resumo_Trocas!$D:$D,Resumo_Trocas!$A:$A,$C158,Resumo_Trocas!$F:$F,Q$27,Resumo_Trocas!$C:$C,"&gt;0")</f>
        <v>0</v>
      </c>
      <c r="R158" s="61">
        <f>SUMIFS(Resumo_Trocas!$D:$D,Resumo_Trocas!$A:$A,$C158,Resumo_Trocas!$F:$F,R$27,Resumo_Trocas!$C:$C,"&gt;0")</f>
        <v>0</v>
      </c>
      <c r="S158" s="61">
        <f>SUMIFS(Resumo_Trocas!$D:$D,Resumo_Trocas!$A:$A,$C158,Resumo_Trocas!$F:$F,S$27,Resumo_Trocas!$C:$C,"&gt;0")</f>
        <v>0</v>
      </c>
      <c r="T158" s="61">
        <f>SUMIFS(Resumo_Trocas!$D:$D,Resumo_Trocas!$A:$A,$C158,Resumo_Trocas!$F:$F,T$27,Resumo_Trocas!$C:$C,"&gt;0")</f>
        <v>0</v>
      </c>
      <c r="U158" s="61">
        <f>SUMIFS(Resumo_Trocas!$D:$D,Resumo_Trocas!$A:$A,$C158,Resumo_Trocas!$F:$F,U$27,Resumo_Trocas!$C:$C,"&gt;0")</f>
        <v>0</v>
      </c>
      <c r="V158" s="61">
        <f>SUMIFS(Resumo_Trocas!$D:$D,Resumo_Trocas!$A:$A,$C158,Resumo_Trocas!$F:$F,V$27,Resumo_Trocas!$C:$C,"&gt;0")</f>
        <v>0</v>
      </c>
    </row>
    <row r="159" spans="2:22" ht="21" x14ac:dyDescent="0.35">
      <c r="C159" s="71"/>
    </row>
    <row r="160" spans="2:22" ht="15" hidden="1" customHeight="1" outlineLevel="2" x14ac:dyDescent="0.35">
      <c r="B160" s="70" t="s">
        <v>3395</v>
      </c>
      <c r="C160" s="71" t="s">
        <v>3356</v>
      </c>
      <c r="D160" s="78" t="s">
        <v>3456</v>
      </c>
    </row>
    <row r="161" spans="2:7" ht="15" hidden="1" customHeight="1" outlineLevel="2" x14ac:dyDescent="0.35">
      <c r="B161" s="72" t="s">
        <v>3395</v>
      </c>
      <c r="C161" s="71" t="s">
        <v>3396</v>
      </c>
      <c r="D161" s="79"/>
    </row>
    <row r="162" spans="2:7" ht="15" hidden="1" customHeight="1" outlineLevel="2" x14ac:dyDescent="0.25">
      <c r="B162" s="80" t="s">
        <v>3395</v>
      </c>
      <c r="C162" s="81" t="s">
        <v>467</v>
      </c>
      <c r="D162" s="82">
        <f>SUM(D164:D167)</f>
        <v>0</v>
      </c>
    </row>
    <row r="163" spans="2:7" ht="15" hidden="1" customHeight="1" outlineLevel="2" thickBot="1" x14ac:dyDescent="0.3">
      <c r="B163" s="76" t="s">
        <v>3395</v>
      </c>
      <c r="C163" s="83" t="s">
        <v>3457</v>
      </c>
      <c r="D163" s="84">
        <f>SUM(D164:D167)</f>
        <v>0</v>
      </c>
    </row>
    <row r="164" spans="2:7" ht="15" hidden="1" customHeight="1" outlineLevel="2" thickBot="1" x14ac:dyDescent="0.3">
      <c r="B164" s="76"/>
      <c r="C164" s="85" t="s">
        <v>3458</v>
      </c>
      <c r="D164" s="86">
        <f>SUMIFS(D$29:D$107,$C$29:$C$107,$C164)</f>
        <v>0</v>
      </c>
    </row>
    <row r="165" spans="2:7" ht="15" hidden="1" customHeight="1" outlineLevel="2" thickBot="1" x14ac:dyDescent="0.3">
      <c r="B165" s="76"/>
      <c r="C165" s="85" t="s">
        <v>3459</v>
      </c>
      <c r="D165" s="86">
        <f>SUMIFS(D$29:D$107,$C$29:$C$107,$C165)</f>
        <v>0</v>
      </c>
    </row>
    <row r="166" spans="2:7" ht="15" hidden="1" customHeight="1" outlineLevel="2" thickBot="1" x14ac:dyDescent="0.3">
      <c r="B166" s="76"/>
      <c r="C166" s="85" t="s">
        <v>3460</v>
      </c>
      <c r="D166" s="86">
        <f>SUMIFS(D$29:D$107,$C$29:$C$107,$C166)</f>
        <v>0</v>
      </c>
    </row>
    <row r="167" spans="2:7" ht="15" hidden="1" customHeight="1" outlineLevel="2" thickBot="1" x14ac:dyDescent="0.3">
      <c r="B167" s="76"/>
      <c r="C167" s="85" t="s">
        <v>3461</v>
      </c>
      <c r="D167" s="86">
        <f>SUMIFS(D$29:D$107,$C$29:$C$107,$C167)</f>
        <v>0</v>
      </c>
    </row>
    <row r="168" spans="2:7" collapsed="1" x14ac:dyDescent="0.25">
      <c r="G168" s="87"/>
    </row>
  </sheetData>
  <mergeCells count="1">
    <mergeCell ref="D2:V2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D051E-7C58-4E27-8A5B-28D58DE4AE49}">
  <sheetPr codeName="Planilha13"/>
  <dimension ref="B2:AD25"/>
  <sheetViews>
    <sheetView showGridLines="0" topLeftCell="J1" zoomScale="130" zoomScaleNormal="130" workbookViewId="0">
      <selection activeCell="X8" sqref="X8"/>
    </sheetView>
  </sheetViews>
  <sheetFormatPr defaultRowHeight="15" outlineLevelRow="1" x14ac:dyDescent="0.25"/>
  <cols>
    <col min="2" max="2" width="11.28515625" customWidth="1"/>
    <col min="5" max="5" width="11.5703125" customWidth="1"/>
    <col min="6" max="6" width="1" customWidth="1"/>
    <col min="7" max="7" width="9.140625" style="161"/>
    <col min="8" max="8" width="10" style="170" bestFit="1" customWidth="1"/>
    <col min="10" max="10" width="10.5703125" customWidth="1"/>
    <col min="12" max="12" width="11.28515625" style="161" customWidth="1"/>
    <col min="13" max="14" width="9.140625" style="161"/>
    <col min="15" max="15" width="11.5703125" style="161" customWidth="1"/>
    <col min="16" max="16" width="1" customWidth="1"/>
    <col min="17" max="17" width="9.140625" style="161"/>
    <col min="18" max="18" width="10.85546875" style="170" customWidth="1"/>
    <col min="20" max="20" width="10.5703125" customWidth="1"/>
    <col min="22" max="22" width="11.28515625" customWidth="1"/>
    <col min="25" max="25" width="11.5703125" customWidth="1"/>
    <col min="26" max="26" width="1" customWidth="1"/>
    <col min="27" max="27" width="9.140625" style="161"/>
    <col min="28" max="28" width="9.140625" style="170"/>
    <col min="30" max="30" width="10.5703125" customWidth="1"/>
  </cols>
  <sheetData>
    <row r="2" spans="2:30" x14ac:dyDescent="0.25">
      <c r="G2" s="197" t="s">
        <v>3462</v>
      </c>
      <c r="H2" s="197"/>
      <c r="I2" s="197"/>
      <c r="J2" s="197"/>
      <c r="Q2" s="197" t="s">
        <v>3462</v>
      </c>
      <c r="R2" s="197"/>
      <c r="S2" s="197"/>
      <c r="T2" s="197"/>
      <c r="AA2" s="197" t="s">
        <v>3462</v>
      </c>
      <c r="AB2" s="197"/>
      <c r="AC2" s="197"/>
      <c r="AD2" s="197"/>
    </row>
    <row r="3" spans="2:30" x14ac:dyDescent="0.25">
      <c r="B3" s="198" t="s">
        <v>3404</v>
      </c>
      <c r="C3" s="198"/>
      <c r="D3" s="198"/>
      <c r="E3" s="198"/>
      <c r="G3" s="161" t="s">
        <v>3463</v>
      </c>
      <c r="H3" s="166">
        <f>(5*60)*1.15</f>
        <v>345</v>
      </c>
      <c r="I3" s="166">
        <v>240</v>
      </c>
      <c r="J3" s="166">
        <v>200</v>
      </c>
      <c r="L3" s="198" t="s">
        <v>3396</v>
      </c>
      <c r="M3" s="198"/>
      <c r="N3" s="198"/>
      <c r="O3" s="198"/>
      <c r="Q3" s="161" t="s">
        <v>3463</v>
      </c>
      <c r="R3" s="166">
        <f>(5*60)*1.15</f>
        <v>345</v>
      </c>
      <c r="S3" s="166">
        <v>240</v>
      </c>
      <c r="T3" s="166">
        <v>200</v>
      </c>
      <c r="V3" s="198" t="s">
        <v>3429</v>
      </c>
      <c r="W3" s="198"/>
      <c r="X3" s="198"/>
      <c r="Y3" s="198"/>
      <c r="AA3" s="161" t="s">
        <v>3463</v>
      </c>
      <c r="AB3" s="166">
        <f>(5*60)*1.15</f>
        <v>345</v>
      </c>
      <c r="AC3" s="166">
        <v>240</v>
      </c>
      <c r="AD3" s="166">
        <v>200</v>
      </c>
    </row>
    <row r="4" spans="2:30" x14ac:dyDescent="0.25">
      <c r="B4" s="115" t="s">
        <v>3397</v>
      </c>
      <c r="C4" s="115" t="s">
        <v>3352</v>
      </c>
      <c r="D4" s="115" t="s">
        <v>3353</v>
      </c>
      <c r="E4" s="115" t="s">
        <v>3354</v>
      </c>
      <c r="G4" s="163" t="s">
        <v>3397</v>
      </c>
      <c r="H4" s="164" t="s">
        <v>4713</v>
      </c>
      <c r="I4" s="164" t="s">
        <v>3353</v>
      </c>
      <c r="J4" s="165" t="s">
        <v>3354</v>
      </c>
      <c r="L4" s="115" t="s">
        <v>3397</v>
      </c>
      <c r="M4" s="115" t="s">
        <v>3352</v>
      </c>
      <c r="N4" s="115" t="s">
        <v>3353</v>
      </c>
      <c r="O4" s="115" t="s">
        <v>3354</v>
      </c>
      <c r="Q4" s="163" t="s">
        <v>3397</v>
      </c>
      <c r="R4" s="164" t="s">
        <v>4713</v>
      </c>
      <c r="S4" s="164" t="s">
        <v>3353</v>
      </c>
      <c r="T4" s="165" t="s">
        <v>3354</v>
      </c>
      <c r="V4" s="115" t="s">
        <v>3397</v>
      </c>
      <c r="W4" s="115" t="s">
        <v>3352</v>
      </c>
      <c r="X4" s="115" t="s">
        <v>3353</v>
      </c>
      <c r="Y4" s="115" t="s">
        <v>3354</v>
      </c>
      <c r="AA4" s="163" t="s">
        <v>3397</v>
      </c>
      <c r="AB4" s="164" t="s">
        <v>4713</v>
      </c>
      <c r="AC4" s="164" t="s">
        <v>3353</v>
      </c>
      <c r="AD4" s="165" t="s">
        <v>3354</v>
      </c>
    </row>
    <row r="5" spans="2:30" ht="16.5" thickBot="1" x14ac:dyDescent="0.3">
      <c r="B5" t="s">
        <v>467</v>
      </c>
      <c r="C5">
        <f>SUM(C6:C24)</f>
        <v>171</v>
      </c>
      <c r="D5">
        <f>SUM(D6:D24)</f>
        <v>257</v>
      </c>
      <c r="E5">
        <f>SUM(E6:E24)</f>
        <v>49</v>
      </c>
      <c r="G5" s="168" t="s">
        <v>3464</v>
      </c>
      <c r="H5" s="169">
        <f>ROUNDUP(H25,0)</f>
        <v>1</v>
      </c>
      <c r="I5" s="169">
        <f>ROUNDUP(I25,0)</f>
        <v>1</v>
      </c>
      <c r="J5" s="169">
        <f>ROUNDUP(J25,0)</f>
        <v>1</v>
      </c>
      <c r="L5" s="161" t="s">
        <v>467</v>
      </c>
      <c r="M5" s="161">
        <f>SUM(M6:M24)</f>
        <v>262</v>
      </c>
      <c r="N5" s="161">
        <f t="shared" ref="N5:O5" si="0">SUM(N6:N24)</f>
        <v>390</v>
      </c>
      <c r="O5" s="161">
        <f t="shared" si="0"/>
        <v>73</v>
      </c>
      <c r="Q5" s="168" t="s">
        <v>3464</v>
      </c>
      <c r="R5" s="169">
        <f>ROUNDUP(R25,0)</f>
        <v>2</v>
      </c>
      <c r="S5" s="169">
        <f>ROUNDUP(S25,0)</f>
        <v>2</v>
      </c>
      <c r="T5" s="169">
        <f>ROUNDUP(T25,0)</f>
        <v>1</v>
      </c>
      <c r="V5" t="s">
        <v>467</v>
      </c>
      <c r="W5">
        <f>SUM(W6:W24)</f>
        <v>363</v>
      </c>
      <c r="X5">
        <f t="shared" ref="X5:Y5" si="1">SUM(X6:X24)</f>
        <v>417</v>
      </c>
      <c r="Y5">
        <f t="shared" si="1"/>
        <v>93</v>
      </c>
      <c r="AA5" s="168" t="s">
        <v>3464</v>
      </c>
      <c r="AB5" s="169">
        <f>ROUNDUP(AB25,0)</f>
        <v>2</v>
      </c>
      <c r="AC5" s="169">
        <f>ROUNDUP(AC25,0)</f>
        <v>2</v>
      </c>
      <c r="AD5" s="169">
        <f>ROUNDUP(AD25,0)</f>
        <v>1</v>
      </c>
    </row>
    <row r="6" spans="2:30" ht="15.75" outlineLevel="1" thickBot="1" x14ac:dyDescent="0.3">
      <c r="B6" t="s">
        <v>3465</v>
      </c>
      <c r="C6">
        <f>SUMIFS(Resumo_Trocas!$C:$C,Resumo_Trocas!$G:$G,"Pintura",Resumo_Trocas!$H:$H,$B6)</f>
        <v>29</v>
      </c>
      <c r="D6">
        <f>SUMIFS(Resumo_Trocas!$D:$D,Resumo_Trocas!$G:$G,"Pintura",Resumo_Trocas!$H:$H,$B6)</f>
        <v>25</v>
      </c>
      <c r="E6">
        <f>SUMIFS(Resumo_Trocas!$E:$E,Resumo_Trocas!$G:$G,"Pintura",Resumo_Trocas!$H:$H,$B6)</f>
        <v>11</v>
      </c>
      <c r="G6" s="161" t="s">
        <v>3465</v>
      </c>
      <c r="H6" s="167">
        <f>IFERROR(SUM(((C6)*$H$3)/3600)," ")</f>
        <v>2.7791666666666668</v>
      </c>
      <c r="I6" s="167">
        <f>IFERROR(SUM(((D6)*$I$3)/3600)," ")</f>
        <v>1.6666666666666667</v>
      </c>
      <c r="J6" s="167">
        <f>IFERROR(SUM(((E6)*$J$3)/3600)," ")</f>
        <v>0.61111111111111116</v>
      </c>
      <c r="L6" s="161" t="s">
        <v>3465</v>
      </c>
      <c r="M6" s="161">
        <f>SUMIFS(Resumo_Trocas!$C:$C,Resumo_Trocas!$G:$G,"Montagem",Resumo_Trocas!$H:$H,$L6)</f>
        <v>36</v>
      </c>
      <c r="N6" s="161">
        <f>SUMIFS(Resumo_Trocas!$D:$D,Resumo_Trocas!$G:$G,"Montagem",Resumo_Trocas!$H:$H,$L6)</f>
        <v>30</v>
      </c>
      <c r="O6" s="161">
        <f>SUMIFS(Resumo_Trocas!$E:$E,Resumo_Trocas!$G:$G,"Montagem",Resumo_Trocas!$H:$H,$L6)</f>
        <v>13</v>
      </c>
      <c r="Q6" s="161" t="s">
        <v>3465</v>
      </c>
      <c r="R6" s="167">
        <f>IFERROR(SUM(((M6)*$R$3)/3600)," ")</f>
        <v>3.45</v>
      </c>
      <c r="S6" s="167">
        <f>IFERROR(SUM(((N6)*$I$3)/3600)," ")</f>
        <v>2</v>
      </c>
      <c r="T6" s="167">
        <f>IFERROR(SUM(((O6)*$J$3)/3600)," ")</f>
        <v>0.72222222222222221</v>
      </c>
      <c r="V6" t="s">
        <v>3465</v>
      </c>
      <c r="W6">
        <f>SUMIFS(Resumo_Trocas!$C:$C,Resumo_Trocas!$G:$G,"serigrafia",Resumo_Trocas!$H:$H,$V6)</f>
        <v>31</v>
      </c>
      <c r="X6">
        <f>SUMIFS(Resumo_Trocas!$D:$D,Resumo_Trocas!$G:$G,"serigrafia",Resumo_Trocas!$H:$H,$V6)</f>
        <v>36</v>
      </c>
      <c r="Y6">
        <f>SUMIFS(Resumo_Trocas!$E:$E,Resumo_Trocas!$G:$G,"serigrafia",Resumo_Trocas!$H:$H,$V6)</f>
        <v>9</v>
      </c>
      <c r="AA6" s="161" t="s">
        <v>3465</v>
      </c>
      <c r="AB6" s="167">
        <f>IFERROR(SUM(((W6)*$AB$3)/3600)," ")</f>
        <v>2.9708333333333332</v>
      </c>
      <c r="AC6" s="167">
        <f>IFERROR(SUM(((X6)*$I$3)/3600)," ")</f>
        <v>2.4</v>
      </c>
      <c r="AD6" s="167">
        <f>IFERROR(SUM(((Y6)*$J$3)/3600)," ")</f>
        <v>0.5</v>
      </c>
    </row>
    <row r="7" spans="2:30" ht="15.75" outlineLevel="1" thickBot="1" x14ac:dyDescent="0.3">
      <c r="B7" t="s">
        <v>3466</v>
      </c>
      <c r="C7">
        <f>SUMIFS(Resumo_Trocas!$C:$C,Resumo_Trocas!$G:$G,"Pintura",Resumo_Trocas!$H:$H,$B7)</f>
        <v>18</v>
      </c>
      <c r="D7">
        <f>SUMIFS(Resumo_Trocas!$D:$D,Resumo_Trocas!$G:$G,"Pintura",Resumo_Trocas!$H:$H,$B7)</f>
        <v>20</v>
      </c>
      <c r="E7">
        <f>SUMIFS(Resumo_Trocas!$E:$E,Resumo_Trocas!$G:$G,"Pintura",Resumo_Trocas!$H:$H,$B7)</f>
        <v>6</v>
      </c>
      <c r="G7" s="161" t="s">
        <v>3466</v>
      </c>
      <c r="H7" s="167">
        <f t="shared" ref="H7:H24" si="2">IFERROR(SUM(((C7)*$H$3)/3600)," ")</f>
        <v>1.7250000000000001</v>
      </c>
      <c r="I7" s="167">
        <f t="shared" ref="I7:I24" si="3">IFERROR(SUM(((D7)*$I$3)/3600)," ")</f>
        <v>1.3333333333333333</v>
      </c>
      <c r="J7" s="167">
        <f t="shared" ref="J7:J24" si="4">IFERROR(SUM(((E7)*$J$3)/3600)," ")</f>
        <v>0.33333333333333331</v>
      </c>
      <c r="L7" s="161" t="s">
        <v>3466</v>
      </c>
      <c r="M7" s="161">
        <f>SUMIFS(Resumo_Trocas!$C:$C,Resumo_Trocas!$G:$G,"Montagem",Resumo_Trocas!$H:$H,$L7)</f>
        <v>28</v>
      </c>
      <c r="N7" s="161">
        <f>SUMIFS(Resumo_Trocas!$D:$D,Resumo_Trocas!$G:$G,"Montagem",Resumo_Trocas!$H:$H,$L7)</f>
        <v>53</v>
      </c>
      <c r="O7" s="161">
        <f>SUMIFS(Resumo_Trocas!$E:$E,Resumo_Trocas!$G:$G,"Montagem",Resumo_Trocas!$H:$H,$L7)</f>
        <v>10</v>
      </c>
      <c r="Q7" s="161" t="s">
        <v>3466</v>
      </c>
      <c r="R7" s="167">
        <f t="shared" ref="R7:R24" si="5">IFERROR(SUM(((M7)*$R$3)/3600)," ")</f>
        <v>2.6833333333333331</v>
      </c>
      <c r="S7" s="167">
        <f>IFERROR(SUM(((N7)*$I$3)/3600)," ")</f>
        <v>3.5333333333333332</v>
      </c>
      <c r="T7" s="167">
        <f t="shared" ref="T7:T24" si="6">IFERROR(SUM(((O7)*$J$3)/3600)," ")</f>
        <v>0.55555555555555558</v>
      </c>
      <c r="V7" t="s">
        <v>3466</v>
      </c>
      <c r="W7">
        <f>SUMIFS(Resumo_Trocas!$C:$C,Resumo_Trocas!$G:$G,"serigrafia",Resumo_Trocas!$H:$H,$V7)</f>
        <v>45</v>
      </c>
      <c r="X7">
        <f>SUMIFS(Resumo_Trocas!$D:$D,Resumo_Trocas!$G:$G,"serigrafia",Resumo_Trocas!$H:$H,$V7)</f>
        <v>46</v>
      </c>
      <c r="Y7">
        <f>SUMIFS(Resumo_Trocas!$E:$E,Resumo_Trocas!$G:$G,"serigrafia",Resumo_Trocas!$H:$H,$V7)</f>
        <v>17</v>
      </c>
      <c r="AA7" s="161" t="s">
        <v>3466</v>
      </c>
      <c r="AB7" s="167">
        <f t="shared" ref="AB7:AB24" si="7">IFERROR(SUM(((W7)*$AB$3)/3600)," ")</f>
        <v>4.3125</v>
      </c>
      <c r="AC7" s="167">
        <f>IFERROR(SUM(((X7)*$I$3)/3600)," ")</f>
        <v>3.0666666666666669</v>
      </c>
      <c r="AD7" s="167">
        <f t="shared" ref="AD7:AD24" si="8">IFERROR(SUM(((Y7)*$J$3)/3600)," ")</f>
        <v>0.94444444444444442</v>
      </c>
    </row>
    <row r="8" spans="2:30" ht="15.75" outlineLevel="1" thickBot="1" x14ac:dyDescent="0.3">
      <c r="B8" t="s">
        <v>3467</v>
      </c>
      <c r="C8">
        <f>SUMIFS(Resumo_Trocas!$C:$C,Resumo_Trocas!$G:$G,"Pintura",Resumo_Trocas!$H:$H,$B8)</f>
        <v>9</v>
      </c>
      <c r="D8">
        <f>SUMIFS(Resumo_Trocas!$D:$D,Resumo_Trocas!$G:$G,"Pintura",Resumo_Trocas!$H:$H,$B8)</f>
        <v>15</v>
      </c>
      <c r="E8">
        <f>SUMIFS(Resumo_Trocas!$E:$E,Resumo_Trocas!$G:$G,"Pintura",Resumo_Trocas!$H:$H,$B8)</f>
        <v>2</v>
      </c>
      <c r="G8" s="161" t="s">
        <v>3467</v>
      </c>
      <c r="H8" s="167">
        <f t="shared" si="2"/>
        <v>0.86250000000000004</v>
      </c>
      <c r="I8" s="167">
        <f t="shared" si="3"/>
        <v>1</v>
      </c>
      <c r="J8" s="167">
        <f t="shared" si="4"/>
        <v>0.1111111111111111</v>
      </c>
      <c r="L8" s="161" t="s">
        <v>3467</v>
      </c>
      <c r="M8" s="161">
        <f>SUMIFS(Resumo_Trocas!$C:$C,Resumo_Trocas!$G:$G,"Montagem",Resumo_Trocas!$H:$H,$L8)</f>
        <v>11</v>
      </c>
      <c r="N8" s="161">
        <f>SUMIFS(Resumo_Trocas!$D:$D,Resumo_Trocas!$G:$G,"Montagem",Resumo_Trocas!$H:$H,$L8)</f>
        <v>24</v>
      </c>
      <c r="O8" s="161">
        <f>SUMIFS(Resumo_Trocas!$E:$E,Resumo_Trocas!$G:$G,"Montagem",Resumo_Trocas!$H:$H,$L8)</f>
        <v>4</v>
      </c>
      <c r="Q8" s="161" t="s">
        <v>3467</v>
      </c>
      <c r="R8" s="167">
        <f t="shared" si="5"/>
        <v>1.0541666666666667</v>
      </c>
      <c r="S8" s="167">
        <f>IFERROR(SUM(((N8)*$I$3)/3600)," ")</f>
        <v>1.6</v>
      </c>
      <c r="T8" s="167">
        <f t="shared" si="6"/>
        <v>0.22222222222222221</v>
      </c>
      <c r="V8" t="s">
        <v>3467</v>
      </c>
      <c r="W8">
        <f>SUMIFS(Resumo_Trocas!$C:$C,Resumo_Trocas!$G:$G,"serigrafia",Resumo_Trocas!$H:$H,$V8)</f>
        <v>27</v>
      </c>
      <c r="X8">
        <f>SUMIFS(Resumo_Trocas!$D:$D,Resumo_Trocas!$G:$G,"serigrafia",Resumo_Trocas!$H:$H,$V8)</f>
        <v>20</v>
      </c>
      <c r="Y8">
        <f>SUMIFS(Resumo_Trocas!$E:$E,Resumo_Trocas!$G:$G,"serigrafia",Resumo_Trocas!$H:$H,$V8)</f>
        <v>7</v>
      </c>
      <c r="AA8" s="161" t="s">
        <v>3467</v>
      </c>
      <c r="AB8" s="167">
        <f t="shared" si="7"/>
        <v>2.5874999999999999</v>
      </c>
      <c r="AC8" s="167">
        <f t="shared" ref="AC8:AC24" si="9">IFERROR(SUM(((X8)*$I$3)/3600)," ")</f>
        <v>1.3333333333333333</v>
      </c>
      <c r="AD8" s="167">
        <f t="shared" si="8"/>
        <v>0.3888888888888889</v>
      </c>
    </row>
    <row r="9" spans="2:30" ht="15.75" outlineLevel="1" thickBot="1" x14ac:dyDescent="0.3">
      <c r="B9" t="s">
        <v>3468</v>
      </c>
      <c r="C9">
        <f>SUMIFS(Resumo_Trocas!$C:$C,Resumo_Trocas!$G:$G,"Pintura",Resumo_Trocas!$H:$H,$B9)</f>
        <v>13</v>
      </c>
      <c r="D9">
        <f>SUMIFS(Resumo_Trocas!$D:$D,Resumo_Trocas!$G:$G,"Pintura",Resumo_Trocas!$H:$H,$B9)</f>
        <v>20</v>
      </c>
      <c r="E9">
        <f>SUMIFS(Resumo_Trocas!$E:$E,Resumo_Trocas!$G:$G,"Pintura",Resumo_Trocas!$H:$H,$B9)</f>
        <v>2</v>
      </c>
      <c r="G9" s="161" t="s">
        <v>3468</v>
      </c>
      <c r="H9" s="167">
        <f t="shared" si="2"/>
        <v>1.2458333333333333</v>
      </c>
      <c r="I9" s="167">
        <f t="shared" si="3"/>
        <v>1.3333333333333333</v>
      </c>
      <c r="J9" s="167">
        <f t="shared" si="4"/>
        <v>0.1111111111111111</v>
      </c>
      <c r="L9" s="161" t="s">
        <v>3468</v>
      </c>
      <c r="M9" s="161">
        <f>SUMIFS(Resumo_Trocas!$C:$C,Resumo_Trocas!$G:$G,"Montagem",Resumo_Trocas!$H:$H,$L9)</f>
        <v>15</v>
      </c>
      <c r="N9" s="161">
        <f>SUMIFS(Resumo_Trocas!$D:$D,Resumo_Trocas!$G:$G,"Montagem",Resumo_Trocas!$H:$H,$L9)</f>
        <v>23</v>
      </c>
      <c r="O9" s="161">
        <f>SUMIFS(Resumo_Trocas!$E:$E,Resumo_Trocas!$G:$G,"Montagem",Resumo_Trocas!$H:$H,$L9)</f>
        <v>2</v>
      </c>
      <c r="Q9" s="161" t="s">
        <v>3468</v>
      </c>
      <c r="R9" s="167">
        <f t="shared" si="5"/>
        <v>1.4375</v>
      </c>
      <c r="S9" s="167">
        <f>IFERROR(SUM(((N9)*$I$3)/3600)," ")</f>
        <v>1.5333333333333334</v>
      </c>
      <c r="T9" s="167">
        <f t="shared" si="6"/>
        <v>0.1111111111111111</v>
      </c>
      <c r="V9" t="s">
        <v>3468</v>
      </c>
      <c r="W9">
        <f>SUMIFS(Resumo_Trocas!$C:$C,Resumo_Trocas!$G:$G,"serigrafia",Resumo_Trocas!$H:$H,$V9)</f>
        <v>24</v>
      </c>
      <c r="X9">
        <f>SUMIFS(Resumo_Trocas!$D:$D,Resumo_Trocas!$G:$G,"serigrafia",Resumo_Trocas!$H:$H,$V9)</f>
        <v>27</v>
      </c>
      <c r="Y9">
        <f>SUMIFS(Resumo_Trocas!$E:$E,Resumo_Trocas!$G:$G,"serigrafia",Resumo_Trocas!$H:$H,$V9)</f>
        <v>7</v>
      </c>
      <c r="AA9" s="161" t="s">
        <v>3468</v>
      </c>
      <c r="AB9" s="167">
        <f t="shared" si="7"/>
        <v>2.2999999999999998</v>
      </c>
      <c r="AC9" s="167">
        <f t="shared" si="9"/>
        <v>1.8</v>
      </c>
      <c r="AD9" s="167">
        <f t="shared" si="8"/>
        <v>0.3888888888888889</v>
      </c>
    </row>
    <row r="10" spans="2:30" ht="15.75" outlineLevel="1" thickBot="1" x14ac:dyDescent="0.3">
      <c r="B10" t="s">
        <v>3469</v>
      </c>
      <c r="C10">
        <f>SUMIFS(Resumo_Trocas!$C:$C,Resumo_Trocas!$G:$G,"Pintura",Resumo_Trocas!$H:$H,$B10)</f>
        <v>5</v>
      </c>
      <c r="D10">
        <f>SUMIFS(Resumo_Trocas!$D:$D,Resumo_Trocas!$G:$G,"Pintura",Resumo_Trocas!$H:$H,$B10)</f>
        <v>15</v>
      </c>
      <c r="E10">
        <f>SUMIFS(Resumo_Trocas!$E:$E,Resumo_Trocas!$G:$G,"Pintura",Resumo_Trocas!$H:$H,$B10)</f>
        <v>2</v>
      </c>
      <c r="G10" s="161" t="s">
        <v>3469</v>
      </c>
      <c r="H10" s="167">
        <f t="shared" si="2"/>
        <v>0.47916666666666669</v>
      </c>
      <c r="I10" s="167">
        <f t="shared" si="3"/>
        <v>1</v>
      </c>
      <c r="J10" s="167">
        <f t="shared" si="4"/>
        <v>0.1111111111111111</v>
      </c>
      <c r="L10" s="161" t="s">
        <v>3469</v>
      </c>
      <c r="M10" s="161">
        <f>SUMIFS(Resumo_Trocas!$C:$C,Resumo_Trocas!$G:$G,"Montagem",Resumo_Trocas!$H:$H,$L10)</f>
        <v>13</v>
      </c>
      <c r="N10" s="161">
        <f>SUMIFS(Resumo_Trocas!$D:$D,Resumo_Trocas!$G:$G,"Montagem",Resumo_Trocas!$H:$H,$L10)</f>
        <v>16</v>
      </c>
      <c r="O10" s="161">
        <f>SUMIFS(Resumo_Trocas!$E:$E,Resumo_Trocas!$G:$G,"Montagem",Resumo_Trocas!$H:$H,$L10)</f>
        <v>2</v>
      </c>
      <c r="Q10" s="161" t="s">
        <v>3469</v>
      </c>
      <c r="R10" s="167">
        <f t="shared" si="5"/>
        <v>1.2458333333333333</v>
      </c>
      <c r="S10" s="167">
        <f>IFERROR(SUM(((N10)*$I$3)/3600)," ")</f>
        <v>1.0666666666666667</v>
      </c>
      <c r="T10" s="167">
        <f t="shared" si="6"/>
        <v>0.1111111111111111</v>
      </c>
      <c r="V10" t="s">
        <v>3469</v>
      </c>
      <c r="W10">
        <f>SUMIFS(Resumo_Trocas!$C:$C,Resumo_Trocas!$G:$G,"serigrafia",Resumo_Trocas!$H:$H,$V10)</f>
        <v>19</v>
      </c>
      <c r="X10">
        <f>SUMIFS(Resumo_Trocas!$D:$D,Resumo_Trocas!$G:$G,"serigrafia",Resumo_Trocas!$H:$H,$V10)</f>
        <v>35</v>
      </c>
      <c r="Y10">
        <f>SUMIFS(Resumo_Trocas!$E:$E,Resumo_Trocas!$G:$G,"serigrafia",Resumo_Trocas!$H:$H,$V10)</f>
        <v>9</v>
      </c>
      <c r="AA10" s="161" t="s">
        <v>3469</v>
      </c>
      <c r="AB10" s="167">
        <f t="shared" si="7"/>
        <v>1.8208333333333333</v>
      </c>
      <c r="AC10" s="167">
        <f t="shared" si="9"/>
        <v>2.3333333333333335</v>
      </c>
      <c r="AD10" s="167">
        <f t="shared" si="8"/>
        <v>0.5</v>
      </c>
    </row>
    <row r="11" spans="2:30" ht="15.75" outlineLevel="1" thickBot="1" x14ac:dyDescent="0.3">
      <c r="B11" t="s">
        <v>3470</v>
      </c>
      <c r="C11">
        <f>SUMIFS(Resumo_Trocas!$C:$C,Resumo_Trocas!$G:$G,"Pintura",Resumo_Trocas!$H:$H,$B11)</f>
        <v>1</v>
      </c>
      <c r="D11">
        <f>SUMIFS(Resumo_Trocas!$D:$D,Resumo_Trocas!$G:$G,"Pintura",Resumo_Trocas!$H:$H,$B11)</f>
        <v>3</v>
      </c>
      <c r="E11">
        <f>SUMIFS(Resumo_Trocas!$E:$E,Resumo_Trocas!$G:$G,"Pintura",Resumo_Trocas!$H:$H,$B11)</f>
        <v>0</v>
      </c>
      <c r="G11" s="161" t="s">
        <v>3470</v>
      </c>
      <c r="H11" s="167">
        <f t="shared" si="2"/>
        <v>9.583333333333334E-2</v>
      </c>
      <c r="I11" s="167">
        <f t="shared" si="3"/>
        <v>0.2</v>
      </c>
      <c r="J11" s="167">
        <f t="shared" si="4"/>
        <v>0</v>
      </c>
      <c r="L11" s="161" t="s">
        <v>3470</v>
      </c>
      <c r="M11" s="161">
        <f>SUMIFS(Resumo_Trocas!$C:$C,Resumo_Trocas!$G:$G,"Montagem",Resumo_Trocas!$H:$H,$L11)</f>
        <v>0</v>
      </c>
      <c r="N11" s="161">
        <f>SUMIFS(Resumo_Trocas!$D:$D,Resumo_Trocas!$G:$G,"Montagem",Resumo_Trocas!$H:$H,$L11)</f>
        <v>0</v>
      </c>
      <c r="O11" s="161">
        <f>SUMIFS(Resumo_Trocas!$E:$E,Resumo_Trocas!$G:$G,"Montagem",Resumo_Trocas!$H:$H,$L11)</f>
        <v>0</v>
      </c>
      <c r="Q11" s="161" t="s">
        <v>3470</v>
      </c>
      <c r="R11" s="167">
        <f t="shared" si="5"/>
        <v>0</v>
      </c>
      <c r="S11" s="167">
        <f t="shared" ref="S11:S24" si="10">IFERROR(SUM(((N11)*$I$3)/3600)," ")</f>
        <v>0</v>
      </c>
      <c r="T11" s="167">
        <f t="shared" si="6"/>
        <v>0</v>
      </c>
      <c r="V11" t="s">
        <v>3470</v>
      </c>
      <c r="W11">
        <f>SUMIFS(Resumo_Trocas!$C:$C,Resumo_Trocas!$G:$G,"serigrafia",Resumo_Trocas!$H:$H,$V11)</f>
        <v>1</v>
      </c>
      <c r="X11">
        <f>SUMIFS(Resumo_Trocas!$D:$D,Resumo_Trocas!$G:$G,"serigrafia",Resumo_Trocas!$H:$H,$V11)</f>
        <v>0</v>
      </c>
      <c r="Y11">
        <f>SUMIFS(Resumo_Trocas!$E:$E,Resumo_Trocas!$G:$G,"serigrafia",Resumo_Trocas!$H:$H,$V11)</f>
        <v>1</v>
      </c>
      <c r="AA11" s="161" t="s">
        <v>3470</v>
      </c>
      <c r="AB11" s="167">
        <f t="shared" si="7"/>
        <v>9.583333333333334E-2</v>
      </c>
      <c r="AC11" s="167">
        <f t="shared" si="9"/>
        <v>0</v>
      </c>
      <c r="AD11" s="167">
        <f t="shared" si="8"/>
        <v>5.5555555555555552E-2</v>
      </c>
    </row>
    <row r="12" spans="2:30" ht="15.75" outlineLevel="1" thickBot="1" x14ac:dyDescent="0.3">
      <c r="B12" t="s">
        <v>3471</v>
      </c>
      <c r="C12">
        <f>SUMIFS(Resumo_Trocas!$C:$C,Resumo_Trocas!$G:$G,"Pintura",Resumo_Trocas!$H:$H,$B12)</f>
        <v>11</v>
      </c>
      <c r="D12">
        <f>SUMIFS(Resumo_Trocas!$D:$D,Resumo_Trocas!$G:$G,"Pintura",Resumo_Trocas!$H:$H,$B12)</f>
        <v>23</v>
      </c>
      <c r="E12">
        <f>SUMIFS(Resumo_Trocas!$E:$E,Resumo_Trocas!$G:$G,"Pintura",Resumo_Trocas!$H:$H,$B12)</f>
        <v>1</v>
      </c>
      <c r="G12" s="161" t="s">
        <v>3471</v>
      </c>
      <c r="H12" s="167">
        <f t="shared" si="2"/>
        <v>1.0541666666666667</v>
      </c>
      <c r="I12" s="167">
        <f t="shared" si="3"/>
        <v>1.5333333333333334</v>
      </c>
      <c r="J12" s="167">
        <f t="shared" si="4"/>
        <v>5.5555555555555552E-2</v>
      </c>
      <c r="L12" s="161" t="s">
        <v>3471</v>
      </c>
      <c r="M12" s="161">
        <f>SUMIFS(Resumo_Trocas!$C:$C,Resumo_Trocas!$G:$G,"Montagem",Resumo_Trocas!$H:$H,$L12)</f>
        <v>13</v>
      </c>
      <c r="N12" s="161">
        <f>SUMIFS(Resumo_Trocas!$D:$D,Resumo_Trocas!$G:$G,"Montagem",Resumo_Trocas!$H:$H,$L12)</f>
        <v>13</v>
      </c>
      <c r="O12" s="161">
        <f>SUMIFS(Resumo_Trocas!$E:$E,Resumo_Trocas!$G:$G,"Montagem",Resumo_Trocas!$H:$H,$L12)</f>
        <v>4</v>
      </c>
      <c r="Q12" s="161" t="s">
        <v>3471</v>
      </c>
      <c r="R12" s="167">
        <f t="shared" si="5"/>
        <v>1.2458333333333333</v>
      </c>
      <c r="S12" s="167">
        <f t="shared" si="10"/>
        <v>0.8666666666666667</v>
      </c>
      <c r="T12" s="167">
        <f t="shared" si="6"/>
        <v>0.22222222222222221</v>
      </c>
      <c r="V12" t="s">
        <v>3471</v>
      </c>
      <c r="W12">
        <f>SUMIFS(Resumo_Trocas!$C:$C,Resumo_Trocas!$G:$G,"serigrafia",Resumo_Trocas!$H:$H,$V12)</f>
        <v>21</v>
      </c>
      <c r="X12">
        <f>SUMIFS(Resumo_Trocas!$D:$D,Resumo_Trocas!$G:$G,"serigrafia",Resumo_Trocas!$H:$H,$V12)</f>
        <v>22</v>
      </c>
      <c r="Y12">
        <f>SUMIFS(Resumo_Trocas!$E:$E,Resumo_Trocas!$G:$G,"serigrafia",Resumo_Trocas!$H:$H,$V12)</f>
        <v>4</v>
      </c>
      <c r="AA12" s="161" t="s">
        <v>3471</v>
      </c>
      <c r="AB12" s="167">
        <f t="shared" si="7"/>
        <v>2.0125000000000002</v>
      </c>
      <c r="AC12" s="167">
        <f t="shared" si="9"/>
        <v>1.4666666666666666</v>
      </c>
      <c r="AD12" s="167">
        <f t="shared" si="8"/>
        <v>0.22222222222222221</v>
      </c>
    </row>
    <row r="13" spans="2:30" ht="15.75" outlineLevel="1" thickBot="1" x14ac:dyDescent="0.3">
      <c r="B13" t="s">
        <v>3472</v>
      </c>
      <c r="C13">
        <f>SUMIFS(Resumo_Trocas!$C:$C,Resumo_Trocas!$G:$G,"Pintura",Resumo_Trocas!$H:$H,$B13)</f>
        <v>7</v>
      </c>
      <c r="D13">
        <f>SUMIFS(Resumo_Trocas!$D:$D,Resumo_Trocas!$G:$G,"Pintura",Resumo_Trocas!$H:$H,$B13)</f>
        <v>11</v>
      </c>
      <c r="E13">
        <f>SUMIFS(Resumo_Trocas!$E:$E,Resumo_Trocas!$G:$G,"Pintura",Resumo_Trocas!$H:$H,$B13)</f>
        <v>3</v>
      </c>
      <c r="G13" s="161" t="s">
        <v>3472</v>
      </c>
      <c r="H13" s="167">
        <f t="shared" si="2"/>
        <v>0.67083333333333328</v>
      </c>
      <c r="I13" s="167">
        <f t="shared" si="3"/>
        <v>0.73333333333333328</v>
      </c>
      <c r="J13" s="167">
        <f t="shared" si="4"/>
        <v>0.16666666666666666</v>
      </c>
      <c r="L13" s="161" t="s">
        <v>3472</v>
      </c>
      <c r="M13" s="161">
        <f>SUMIFS(Resumo_Trocas!$C:$C,Resumo_Trocas!$G:$G,"Montagem",Resumo_Trocas!$H:$H,$L13)</f>
        <v>9</v>
      </c>
      <c r="N13" s="161">
        <f>SUMIFS(Resumo_Trocas!$D:$D,Resumo_Trocas!$G:$G,"Montagem",Resumo_Trocas!$H:$H,$L13)</f>
        <v>8</v>
      </c>
      <c r="O13" s="161">
        <f>SUMIFS(Resumo_Trocas!$E:$E,Resumo_Trocas!$G:$G,"Montagem",Resumo_Trocas!$H:$H,$L13)</f>
        <v>2</v>
      </c>
      <c r="Q13" s="161" t="s">
        <v>3472</v>
      </c>
      <c r="R13" s="167">
        <f t="shared" si="5"/>
        <v>0.86250000000000004</v>
      </c>
      <c r="S13" s="167">
        <f t="shared" si="10"/>
        <v>0.53333333333333333</v>
      </c>
      <c r="T13" s="167">
        <f t="shared" si="6"/>
        <v>0.1111111111111111</v>
      </c>
      <c r="V13" t="s">
        <v>3472</v>
      </c>
      <c r="W13">
        <f>SUMIFS(Resumo_Trocas!$C:$C,Resumo_Trocas!$G:$G,"serigrafia",Resumo_Trocas!$H:$H,$V13)</f>
        <v>12</v>
      </c>
      <c r="X13">
        <f>SUMIFS(Resumo_Trocas!$D:$D,Resumo_Trocas!$G:$G,"serigrafia",Resumo_Trocas!$H:$H,$V13)</f>
        <v>15</v>
      </c>
      <c r="Y13">
        <f>SUMIFS(Resumo_Trocas!$E:$E,Resumo_Trocas!$G:$G,"serigrafia",Resumo_Trocas!$H:$H,$V13)</f>
        <v>0</v>
      </c>
      <c r="AA13" s="161" t="s">
        <v>3472</v>
      </c>
      <c r="AB13" s="167">
        <f t="shared" si="7"/>
        <v>1.1499999999999999</v>
      </c>
      <c r="AC13" s="167">
        <f t="shared" si="9"/>
        <v>1</v>
      </c>
      <c r="AD13" s="167">
        <f t="shared" si="8"/>
        <v>0</v>
      </c>
    </row>
    <row r="14" spans="2:30" ht="15.75" outlineLevel="1" thickBot="1" x14ac:dyDescent="0.3">
      <c r="B14" t="s">
        <v>3473</v>
      </c>
      <c r="C14">
        <f>SUMIFS(Resumo_Trocas!$C:$C,Resumo_Trocas!$G:$G,"Pintura",Resumo_Trocas!$H:$H,$B14)</f>
        <v>10</v>
      </c>
      <c r="D14">
        <f>SUMIFS(Resumo_Trocas!$D:$D,Resumo_Trocas!$G:$G,"Pintura",Resumo_Trocas!$H:$H,$B14)</f>
        <v>18</v>
      </c>
      <c r="E14">
        <f>SUMIFS(Resumo_Trocas!$E:$E,Resumo_Trocas!$G:$G,"Pintura",Resumo_Trocas!$H:$H,$B14)</f>
        <v>5</v>
      </c>
      <c r="G14" s="161" t="s">
        <v>3473</v>
      </c>
      <c r="H14" s="167">
        <f t="shared" si="2"/>
        <v>0.95833333333333337</v>
      </c>
      <c r="I14" s="167">
        <f t="shared" si="3"/>
        <v>1.2</v>
      </c>
      <c r="J14" s="167">
        <f t="shared" si="4"/>
        <v>0.27777777777777779</v>
      </c>
      <c r="L14" s="161" t="s">
        <v>3473</v>
      </c>
      <c r="M14" s="161">
        <f>SUMIFS(Resumo_Trocas!$C:$C,Resumo_Trocas!$G:$G,"Montagem",Resumo_Trocas!$H:$H,$L14)</f>
        <v>14</v>
      </c>
      <c r="N14" s="161">
        <f>SUMIFS(Resumo_Trocas!$D:$D,Resumo_Trocas!$G:$G,"Montagem",Resumo_Trocas!$H:$H,$L14)</f>
        <v>16</v>
      </c>
      <c r="O14" s="161">
        <f>SUMIFS(Resumo_Trocas!$E:$E,Resumo_Trocas!$G:$G,"Montagem",Resumo_Trocas!$H:$H,$L14)</f>
        <v>4</v>
      </c>
      <c r="Q14" s="161" t="s">
        <v>3473</v>
      </c>
      <c r="R14" s="167">
        <f t="shared" si="5"/>
        <v>1.3416666666666666</v>
      </c>
      <c r="S14" s="167">
        <f t="shared" si="10"/>
        <v>1.0666666666666667</v>
      </c>
      <c r="T14" s="167">
        <f t="shared" si="6"/>
        <v>0.22222222222222221</v>
      </c>
      <c r="V14" t="s">
        <v>3473</v>
      </c>
      <c r="W14">
        <f>SUMIFS(Resumo_Trocas!$C:$C,Resumo_Trocas!$G:$G,"serigrafia",Resumo_Trocas!$H:$H,$V14)</f>
        <v>18</v>
      </c>
      <c r="X14">
        <f>SUMIFS(Resumo_Trocas!$D:$D,Resumo_Trocas!$G:$G,"serigrafia",Resumo_Trocas!$H:$H,$V14)</f>
        <v>20</v>
      </c>
      <c r="Y14">
        <f>SUMIFS(Resumo_Trocas!$E:$E,Resumo_Trocas!$G:$G,"serigrafia",Resumo_Trocas!$H:$H,$V14)</f>
        <v>7</v>
      </c>
      <c r="AA14" s="161" t="s">
        <v>3473</v>
      </c>
      <c r="AB14" s="167">
        <f t="shared" si="7"/>
        <v>1.7250000000000001</v>
      </c>
      <c r="AC14" s="167">
        <f t="shared" si="9"/>
        <v>1.3333333333333333</v>
      </c>
      <c r="AD14" s="167">
        <f t="shared" si="8"/>
        <v>0.3888888888888889</v>
      </c>
    </row>
    <row r="15" spans="2:30" ht="15.75" thickBot="1" x14ac:dyDescent="0.3">
      <c r="B15" t="s">
        <v>3474</v>
      </c>
      <c r="C15">
        <f>SUMIFS(Resumo_Trocas!$C:$C,Resumo_Trocas!$G:$G,"Pintura",Resumo_Trocas!$H:$H,$B15)</f>
        <v>7</v>
      </c>
      <c r="D15">
        <f>SUMIFS(Resumo_Trocas!$D:$D,Resumo_Trocas!$G:$G,"Pintura",Resumo_Trocas!$H:$H,$B15)</f>
        <v>12</v>
      </c>
      <c r="E15">
        <f>SUMIFS(Resumo_Trocas!$E:$E,Resumo_Trocas!$G:$G,"Pintura",Resumo_Trocas!$H:$H,$B15)</f>
        <v>1</v>
      </c>
      <c r="G15" s="161" t="s">
        <v>3474</v>
      </c>
      <c r="H15" s="167">
        <f t="shared" si="2"/>
        <v>0.67083333333333328</v>
      </c>
      <c r="I15" s="167">
        <f t="shared" si="3"/>
        <v>0.8</v>
      </c>
      <c r="J15" s="167">
        <f t="shared" si="4"/>
        <v>5.5555555555555552E-2</v>
      </c>
      <c r="L15" s="161" t="s">
        <v>3474</v>
      </c>
      <c r="M15" s="161">
        <f>SUMIFS(Resumo_Trocas!$C:$C,Resumo_Trocas!$G:$G,"Montagem",Resumo_Trocas!$H:$H,$L15)</f>
        <v>17</v>
      </c>
      <c r="N15" s="161">
        <f>SUMIFS(Resumo_Trocas!$D:$D,Resumo_Trocas!$G:$G,"Montagem",Resumo_Trocas!$H:$H,$L15)</f>
        <v>24</v>
      </c>
      <c r="O15" s="161">
        <f>SUMIFS(Resumo_Trocas!$E:$E,Resumo_Trocas!$G:$G,"Montagem",Resumo_Trocas!$H:$H,$L15)</f>
        <v>5</v>
      </c>
      <c r="Q15" s="161" t="s">
        <v>3474</v>
      </c>
      <c r="R15" s="167">
        <f t="shared" si="5"/>
        <v>1.6291666666666667</v>
      </c>
      <c r="S15" s="167">
        <f t="shared" si="10"/>
        <v>1.6</v>
      </c>
      <c r="T15" s="167">
        <f t="shared" si="6"/>
        <v>0.27777777777777779</v>
      </c>
      <c r="V15" t="s">
        <v>3474</v>
      </c>
      <c r="W15">
        <f>SUMIFS(Resumo_Trocas!$C:$C,Resumo_Trocas!$G:$G,"serigrafia",Resumo_Trocas!$H:$H,$V15)</f>
        <v>17</v>
      </c>
      <c r="X15">
        <f>SUMIFS(Resumo_Trocas!$D:$D,Resumo_Trocas!$G:$G,"serigrafia",Resumo_Trocas!$H:$H,$V15)</f>
        <v>33</v>
      </c>
      <c r="Y15">
        <f>SUMIFS(Resumo_Trocas!$E:$E,Resumo_Trocas!$G:$G,"serigrafia",Resumo_Trocas!$H:$H,$V15)</f>
        <v>3</v>
      </c>
      <c r="AA15" s="161" t="s">
        <v>3474</v>
      </c>
      <c r="AB15" s="167">
        <f t="shared" si="7"/>
        <v>1.6291666666666667</v>
      </c>
      <c r="AC15" s="167">
        <f t="shared" si="9"/>
        <v>2.2000000000000002</v>
      </c>
      <c r="AD15" s="167">
        <f t="shared" si="8"/>
        <v>0.16666666666666666</v>
      </c>
    </row>
    <row r="16" spans="2:30" ht="15.75" outlineLevel="1" thickBot="1" x14ac:dyDescent="0.3">
      <c r="B16" t="s">
        <v>3475</v>
      </c>
      <c r="C16">
        <f>SUMIFS(Resumo_Trocas!$C:$C,Resumo_Trocas!$G:$G,"Pintura",Resumo_Trocas!$H:$H,$B16)</f>
        <v>7</v>
      </c>
      <c r="D16">
        <f>SUMIFS(Resumo_Trocas!$D:$D,Resumo_Trocas!$G:$G,"Pintura",Resumo_Trocas!$H:$H,$B16)</f>
        <v>13</v>
      </c>
      <c r="E16">
        <f>SUMIFS(Resumo_Trocas!$E:$E,Resumo_Trocas!$G:$G,"Pintura",Resumo_Trocas!$H:$H,$B16)</f>
        <v>3</v>
      </c>
      <c r="G16" s="161" t="s">
        <v>3475</v>
      </c>
      <c r="H16" s="167">
        <f t="shared" si="2"/>
        <v>0.67083333333333328</v>
      </c>
      <c r="I16" s="167">
        <f t="shared" si="3"/>
        <v>0.8666666666666667</v>
      </c>
      <c r="J16" s="167">
        <f t="shared" si="4"/>
        <v>0.16666666666666666</v>
      </c>
      <c r="L16" s="161" t="s">
        <v>3475</v>
      </c>
      <c r="M16" s="161">
        <f>SUMIFS(Resumo_Trocas!$C:$C,Resumo_Trocas!$G:$G,"Montagem",Resumo_Trocas!$H:$H,$L16)</f>
        <v>15</v>
      </c>
      <c r="N16" s="161">
        <f>SUMIFS(Resumo_Trocas!$D:$D,Resumo_Trocas!$G:$G,"Montagem",Resumo_Trocas!$H:$H,$L16)</f>
        <v>29</v>
      </c>
      <c r="O16" s="161">
        <f>SUMIFS(Resumo_Trocas!$E:$E,Resumo_Trocas!$G:$G,"Montagem",Resumo_Trocas!$H:$H,$L16)</f>
        <v>2</v>
      </c>
      <c r="Q16" s="161" t="s">
        <v>3475</v>
      </c>
      <c r="R16" s="167">
        <f t="shared" si="5"/>
        <v>1.4375</v>
      </c>
      <c r="S16" s="167">
        <f t="shared" si="10"/>
        <v>1.9333333333333333</v>
      </c>
      <c r="T16" s="167">
        <f t="shared" si="6"/>
        <v>0.1111111111111111</v>
      </c>
      <c r="V16" t="s">
        <v>3475</v>
      </c>
      <c r="W16">
        <f>SUMIFS(Resumo_Trocas!$C:$C,Resumo_Trocas!$G:$G,"serigrafia",Resumo_Trocas!$H:$H,$V16)</f>
        <v>26</v>
      </c>
      <c r="X16">
        <f>SUMIFS(Resumo_Trocas!$D:$D,Resumo_Trocas!$G:$G,"serigrafia",Resumo_Trocas!$H:$H,$V16)</f>
        <v>31</v>
      </c>
      <c r="Y16">
        <f>SUMIFS(Resumo_Trocas!$E:$E,Resumo_Trocas!$G:$G,"serigrafia",Resumo_Trocas!$H:$H,$V16)</f>
        <v>6</v>
      </c>
      <c r="AA16" s="161" t="s">
        <v>3475</v>
      </c>
      <c r="AB16" s="167">
        <f t="shared" si="7"/>
        <v>2.4916666666666667</v>
      </c>
      <c r="AC16" s="167">
        <f t="shared" si="9"/>
        <v>2.0666666666666669</v>
      </c>
      <c r="AD16" s="167">
        <f t="shared" si="8"/>
        <v>0.33333333333333331</v>
      </c>
    </row>
    <row r="17" spans="2:30" ht="15.75" outlineLevel="1" thickBot="1" x14ac:dyDescent="0.3">
      <c r="B17" t="s">
        <v>3476</v>
      </c>
      <c r="C17">
        <f>SUMIFS(Resumo_Trocas!$C:$C,Resumo_Trocas!$G:$G,"Pintura",Resumo_Trocas!$H:$H,$B17)</f>
        <v>7</v>
      </c>
      <c r="D17">
        <f>SUMIFS(Resumo_Trocas!$D:$D,Resumo_Trocas!$G:$G,"Pintura",Resumo_Trocas!$H:$H,$B17)</f>
        <v>6</v>
      </c>
      <c r="E17">
        <f>SUMIFS(Resumo_Trocas!$E:$E,Resumo_Trocas!$G:$G,"Pintura",Resumo_Trocas!$H:$H,$B17)</f>
        <v>2</v>
      </c>
      <c r="G17" s="161" t="s">
        <v>3476</v>
      </c>
      <c r="H17" s="167">
        <f t="shared" si="2"/>
        <v>0.67083333333333328</v>
      </c>
      <c r="I17" s="167">
        <f t="shared" si="3"/>
        <v>0.4</v>
      </c>
      <c r="J17" s="167">
        <f t="shared" si="4"/>
        <v>0.1111111111111111</v>
      </c>
      <c r="L17" s="161" t="s">
        <v>3476</v>
      </c>
      <c r="M17" s="161">
        <f>SUMIFS(Resumo_Trocas!$C:$C,Resumo_Trocas!$G:$G,"Montagem",Resumo_Trocas!$H:$H,$L17)</f>
        <v>20</v>
      </c>
      <c r="N17" s="161">
        <f>SUMIFS(Resumo_Trocas!$D:$D,Resumo_Trocas!$G:$G,"Montagem",Resumo_Trocas!$H:$H,$L17)</f>
        <v>29</v>
      </c>
      <c r="O17" s="161">
        <f>SUMIFS(Resumo_Trocas!$E:$E,Resumo_Trocas!$G:$G,"Montagem",Resumo_Trocas!$H:$H,$L17)</f>
        <v>6</v>
      </c>
      <c r="Q17" s="161" t="s">
        <v>3476</v>
      </c>
      <c r="R17" s="167">
        <f t="shared" si="5"/>
        <v>1.9166666666666667</v>
      </c>
      <c r="S17" s="167">
        <f t="shared" si="10"/>
        <v>1.9333333333333333</v>
      </c>
      <c r="T17" s="167">
        <f t="shared" si="6"/>
        <v>0.33333333333333331</v>
      </c>
      <c r="V17" t="s">
        <v>3476</v>
      </c>
      <c r="W17">
        <f>SUMIFS(Resumo_Trocas!$C:$C,Resumo_Trocas!$G:$G,"serigrafia",Resumo_Trocas!$H:$H,$V17)</f>
        <v>21</v>
      </c>
      <c r="X17">
        <f>SUMIFS(Resumo_Trocas!$D:$D,Resumo_Trocas!$G:$G,"serigrafia",Resumo_Trocas!$H:$H,$V17)</f>
        <v>26</v>
      </c>
      <c r="Y17">
        <f>SUMIFS(Resumo_Trocas!$E:$E,Resumo_Trocas!$G:$G,"serigrafia",Resumo_Trocas!$H:$H,$V17)</f>
        <v>3</v>
      </c>
      <c r="AA17" s="161" t="s">
        <v>3476</v>
      </c>
      <c r="AB17" s="167">
        <f t="shared" si="7"/>
        <v>2.0125000000000002</v>
      </c>
      <c r="AC17" s="167">
        <f t="shared" si="9"/>
        <v>1.7333333333333334</v>
      </c>
      <c r="AD17" s="167">
        <f t="shared" si="8"/>
        <v>0.16666666666666666</v>
      </c>
    </row>
    <row r="18" spans="2:30" ht="15.75" outlineLevel="1" thickBot="1" x14ac:dyDescent="0.3">
      <c r="B18" t="s">
        <v>3477</v>
      </c>
      <c r="C18">
        <f>SUMIFS(Resumo_Trocas!$C:$C,Resumo_Trocas!$G:$G,"Pintura",Resumo_Trocas!$H:$H,$B18)</f>
        <v>8</v>
      </c>
      <c r="D18">
        <f>SUMIFS(Resumo_Trocas!$D:$D,Resumo_Trocas!$G:$G,"Pintura",Resumo_Trocas!$H:$H,$B18)</f>
        <v>15</v>
      </c>
      <c r="E18">
        <f>SUMIFS(Resumo_Trocas!$E:$E,Resumo_Trocas!$G:$G,"Pintura",Resumo_Trocas!$H:$H,$B18)</f>
        <v>1</v>
      </c>
      <c r="G18" s="161" t="s">
        <v>3477</v>
      </c>
      <c r="H18" s="167">
        <f t="shared" si="2"/>
        <v>0.76666666666666672</v>
      </c>
      <c r="I18" s="167">
        <f t="shared" si="3"/>
        <v>1</v>
      </c>
      <c r="J18" s="167">
        <f t="shared" si="4"/>
        <v>5.5555555555555552E-2</v>
      </c>
      <c r="L18" s="161" t="s">
        <v>3477</v>
      </c>
      <c r="M18" s="161">
        <f>SUMIFS(Resumo_Trocas!$C:$C,Resumo_Trocas!$G:$G,"Montagem",Resumo_Trocas!$H:$H,$L18)</f>
        <v>9</v>
      </c>
      <c r="N18" s="161">
        <f>SUMIFS(Resumo_Trocas!$D:$D,Resumo_Trocas!$G:$G,"Montagem",Resumo_Trocas!$H:$H,$L18)</f>
        <v>14</v>
      </c>
      <c r="O18" s="161">
        <f>SUMIFS(Resumo_Trocas!$E:$E,Resumo_Trocas!$G:$G,"Montagem",Resumo_Trocas!$H:$H,$L18)</f>
        <v>1</v>
      </c>
      <c r="Q18" s="161" t="s">
        <v>3477</v>
      </c>
      <c r="R18" s="167">
        <f t="shared" si="5"/>
        <v>0.86250000000000004</v>
      </c>
      <c r="S18" s="167">
        <f t="shared" si="10"/>
        <v>0.93333333333333335</v>
      </c>
      <c r="T18" s="167">
        <f t="shared" si="6"/>
        <v>5.5555555555555552E-2</v>
      </c>
      <c r="V18" t="s">
        <v>3477</v>
      </c>
      <c r="W18">
        <f>SUMIFS(Resumo_Trocas!$C:$C,Resumo_Trocas!$G:$G,"serigrafia",Resumo_Trocas!$H:$H,$V18)</f>
        <v>20</v>
      </c>
      <c r="X18">
        <f>SUMIFS(Resumo_Trocas!$D:$D,Resumo_Trocas!$G:$G,"serigrafia",Resumo_Trocas!$H:$H,$V18)</f>
        <v>19</v>
      </c>
      <c r="Y18">
        <f>SUMIFS(Resumo_Trocas!$E:$E,Resumo_Trocas!$G:$G,"serigrafia",Resumo_Trocas!$H:$H,$V18)</f>
        <v>5</v>
      </c>
      <c r="AA18" s="161" t="s">
        <v>3477</v>
      </c>
      <c r="AB18" s="167">
        <f t="shared" si="7"/>
        <v>1.9166666666666667</v>
      </c>
      <c r="AC18" s="167">
        <f t="shared" si="9"/>
        <v>1.2666666666666666</v>
      </c>
      <c r="AD18" s="167">
        <f t="shared" si="8"/>
        <v>0.27777777777777779</v>
      </c>
    </row>
    <row r="19" spans="2:30" ht="15.75" outlineLevel="1" thickBot="1" x14ac:dyDescent="0.3">
      <c r="B19" t="s">
        <v>3478</v>
      </c>
      <c r="C19">
        <f>SUMIFS(Resumo_Trocas!$C:$C,Resumo_Trocas!$G:$G,"Pintura",Resumo_Trocas!$H:$H,$B19)</f>
        <v>4</v>
      </c>
      <c r="D19">
        <f>SUMIFS(Resumo_Trocas!$D:$D,Resumo_Trocas!$G:$G,"Pintura",Resumo_Trocas!$H:$H,$B19)</f>
        <v>7</v>
      </c>
      <c r="E19">
        <f>SUMIFS(Resumo_Trocas!$E:$E,Resumo_Trocas!$G:$G,"Pintura",Resumo_Trocas!$H:$H,$B19)</f>
        <v>2</v>
      </c>
      <c r="G19" s="161" t="s">
        <v>3478</v>
      </c>
      <c r="H19" s="167">
        <f t="shared" si="2"/>
        <v>0.38333333333333336</v>
      </c>
      <c r="I19" s="167">
        <f t="shared" si="3"/>
        <v>0.46666666666666667</v>
      </c>
      <c r="J19" s="167">
        <f t="shared" si="4"/>
        <v>0.1111111111111111</v>
      </c>
      <c r="L19" s="161" t="s">
        <v>3478</v>
      </c>
      <c r="M19" s="161">
        <f>SUMIFS(Resumo_Trocas!$C:$C,Resumo_Trocas!$G:$G,"Montagem",Resumo_Trocas!$H:$H,$L19)</f>
        <v>7</v>
      </c>
      <c r="N19" s="161">
        <f>SUMIFS(Resumo_Trocas!$D:$D,Resumo_Trocas!$G:$G,"Montagem",Resumo_Trocas!$H:$H,$L19)</f>
        <v>19</v>
      </c>
      <c r="O19" s="161">
        <f>SUMIFS(Resumo_Trocas!$E:$E,Resumo_Trocas!$G:$G,"Montagem",Resumo_Trocas!$H:$H,$L19)</f>
        <v>4</v>
      </c>
      <c r="Q19" s="161" t="s">
        <v>3478</v>
      </c>
      <c r="R19" s="167">
        <f t="shared" si="5"/>
        <v>0.67083333333333328</v>
      </c>
      <c r="S19" s="167">
        <f t="shared" si="10"/>
        <v>1.2666666666666666</v>
      </c>
      <c r="T19" s="167">
        <f t="shared" si="6"/>
        <v>0.22222222222222221</v>
      </c>
      <c r="V19" t="s">
        <v>3478</v>
      </c>
      <c r="W19">
        <f>SUMIFS(Resumo_Trocas!$C:$C,Resumo_Trocas!$G:$G,"serigrafia",Resumo_Trocas!$H:$H,$V19)</f>
        <v>10</v>
      </c>
      <c r="X19">
        <f>SUMIFS(Resumo_Trocas!$D:$D,Resumo_Trocas!$G:$G,"serigrafia",Resumo_Trocas!$H:$H,$V19)</f>
        <v>17</v>
      </c>
      <c r="Y19">
        <f>SUMIFS(Resumo_Trocas!$E:$E,Resumo_Trocas!$G:$G,"serigrafia",Resumo_Trocas!$H:$H,$V19)</f>
        <v>1</v>
      </c>
      <c r="AA19" s="161" t="s">
        <v>3478</v>
      </c>
      <c r="AB19" s="167">
        <f t="shared" si="7"/>
        <v>0.95833333333333337</v>
      </c>
      <c r="AC19" s="167">
        <f t="shared" si="9"/>
        <v>1.1333333333333333</v>
      </c>
      <c r="AD19" s="167">
        <f t="shared" si="8"/>
        <v>5.5555555555555552E-2</v>
      </c>
    </row>
    <row r="20" spans="2:30" ht="15.75" outlineLevel="1" thickBot="1" x14ac:dyDescent="0.3">
      <c r="B20" t="s">
        <v>3479</v>
      </c>
      <c r="C20">
        <f>SUMIFS(Resumo_Trocas!$C:$C,Resumo_Trocas!$G:$G,"Pintura",Resumo_Trocas!$H:$H,$B20)</f>
        <v>9</v>
      </c>
      <c r="D20">
        <f>SUMIFS(Resumo_Trocas!$D:$D,Resumo_Trocas!$G:$G,"Pintura",Resumo_Trocas!$H:$H,$B20)</f>
        <v>17</v>
      </c>
      <c r="E20">
        <f>SUMIFS(Resumo_Trocas!$E:$E,Resumo_Trocas!$G:$G,"Pintura",Resumo_Trocas!$H:$H,$B20)</f>
        <v>3</v>
      </c>
      <c r="G20" s="161" t="s">
        <v>3479</v>
      </c>
      <c r="H20" s="167">
        <f t="shared" si="2"/>
        <v>0.86250000000000004</v>
      </c>
      <c r="I20" s="167">
        <f t="shared" si="3"/>
        <v>1.1333333333333333</v>
      </c>
      <c r="J20" s="167">
        <f t="shared" si="4"/>
        <v>0.16666666666666666</v>
      </c>
      <c r="L20" s="161" t="s">
        <v>3479</v>
      </c>
      <c r="M20" s="161">
        <f>SUMIFS(Resumo_Trocas!$C:$C,Resumo_Trocas!$G:$G,"Montagem",Resumo_Trocas!$H:$H,$L20)</f>
        <v>12</v>
      </c>
      <c r="N20" s="161">
        <f>SUMIFS(Resumo_Trocas!$D:$D,Resumo_Trocas!$G:$G,"Montagem",Resumo_Trocas!$H:$H,$L20)</f>
        <v>18</v>
      </c>
      <c r="O20" s="161">
        <f>SUMIFS(Resumo_Trocas!$E:$E,Resumo_Trocas!$G:$G,"Montagem",Resumo_Trocas!$H:$H,$L20)</f>
        <v>3</v>
      </c>
      <c r="Q20" s="161" t="s">
        <v>3479</v>
      </c>
      <c r="R20" s="167">
        <f t="shared" si="5"/>
        <v>1.1499999999999999</v>
      </c>
      <c r="S20" s="167">
        <f t="shared" si="10"/>
        <v>1.2</v>
      </c>
      <c r="T20" s="167">
        <f t="shared" si="6"/>
        <v>0.16666666666666666</v>
      </c>
      <c r="V20" t="s">
        <v>3479</v>
      </c>
      <c r="W20">
        <f>SUMIFS(Resumo_Trocas!$C:$C,Resumo_Trocas!$G:$G,"serigrafia",Resumo_Trocas!$H:$H,$V20)</f>
        <v>10</v>
      </c>
      <c r="X20">
        <f>SUMIFS(Resumo_Trocas!$D:$D,Resumo_Trocas!$G:$G,"serigrafia",Resumo_Trocas!$H:$H,$V20)</f>
        <v>7</v>
      </c>
      <c r="Y20">
        <f>SUMIFS(Resumo_Trocas!$E:$E,Resumo_Trocas!$G:$G,"serigrafia",Resumo_Trocas!$H:$H,$V20)</f>
        <v>2</v>
      </c>
      <c r="AA20" s="161" t="s">
        <v>3479</v>
      </c>
      <c r="AB20" s="167">
        <f t="shared" si="7"/>
        <v>0.95833333333333337</v>
      </c>
      <c r="AC20" s="167">
        <f t="shared" si="9"/>
        <v>0.46666666666666667</v>
      </c>
      <c r="AD20" s="167">
        <f t="shared" si="8"/>
        <v>0.1111111111111111</v>
      </c>
    </row>
    <row r="21" spans="2:30" ht="15.75" outlineLevel="1" thickBot="1" x14ac:dyDescent="0.3">
      <c r="B21" t="s">
        <v>3480</v>
      </c>
      <c r="C21">
        <f>SUMIFS(Resumo_Trocas!$C:$C,Resumo_Trocas!$G:$G,"Pintura",Resumo_Trocas!$H:$H,$B21)</f>
        <v>9</v>
      </c>
      <c r="D21">
        <f>SUMIFS(Resumo_Trocas!$D:$D,Resumo_Trocas!$G:$G,"Pintura",Resumo_Trocas!$H:$H,$B21)</f>
        <v>18</v>
      </c>
      <c r="E21">
        <f>SUMIFS(Resumo_Trocas!$E:$E,Resumo_Trocas!$G:$G,"Pintura",Resumo_Trocas!$H:$H,$B21)</f>
        <v>2</v>
      </c>
      <c r="G21" s="161" t="s">
        <v>3480</v>
      </c>
      <c r="H21" s="167">
        <f t="shared" si="2"/>
        <v>0.86250000000000004</v>
      </c>
      <c r="I21" s="167">
        <f t="shared" si="3"/>
        <v>1.2</v>
      </c>
      <c r="J21" s="167">
        <f t="shared" si="4"/>
        <v>0.1111111111111111</v>
      </c>
      <c r="L21" s="161" t="s">
        <v>3480</v>
      </c>
      <c r="M21" s="161">
        <f>SUMIFS(Resumo_Trocas!$C:$C,Resumo_Trocas!$G:$G,"Montagem",Resumo_Trocas!$H:$H,$L21)</f>
        <v>12</v>
      </c>
      <c r="N21" s="161">
        <f>SUMIFS(Resumo_Trocas!$D:$D,Resumo_Trocas!$G:$G,"Montagem",Resumo_Trocas!$H:$H,$L21)</f>
        <v>22</v>
      </c>
      <c r="O21" s="161">
        <f>SUMIFS(Resumo_Trocas!$E:$E,Resumo_Trocas!$G:$G,"Montagem",Resumo_Trocas!$H:$H,$L21)</f>
        <v>2</v>
      </c>
      <c r="Q21" s="161" t="s">
        <v>3480</v>
      </c>
      <c r="R21" s="167">
        <f t="shared" si="5"/>
        <v>1.1499999999999999</v>
      </c>
      <c r="S21" s="167">
        <f t="shared" si="10"/>
        <v>1.4666666666666666</v>
      </c>
      <c r="T21" s="167">
        <f t="shared" si="6"/>
        <v>0.1111111111111111</v>
      </c>
      <c r="V21" t="s">
        <v>3480</v>
      </c>
      <c r="W21">
        <f>SUMIFS(Resumo_Trocas!$C:$C,Resumo_Trocas!$G:$G,"serigrafia",Resumo_Trocas!$H:$H,$V21)</f>
        <v>23</v>
      </c>
      <c r="X21">
        <f>SUMIFS(Resumo_Trocas!$D:$D,Resumo_Trocas!$G:$G,"serigrafia",Resumo_Trocas!$H:$H,$V21)</f>
        <v>19</v>
      </c>
      <c r="Y21">
        <f>SUMIFS(Resumo_Trocas!$E:$E,Resumo_Trocas!$G:$G,"serigrafia",Resumo_Trocas!$H:$H,$V21)</f>
        <v>5</v>
      </c>
      <c r="AA21" s="161" t="s">
        <v>3480</v>
      </c>
      <c r="AB21" s="167">
        <f t="shared" si="7"/>
        <v>2.2041666666666666</v>
      </c>
      <c r="AC21" s="167">
        <f t="shared" si="9"/>
        <v>1.2666666666666666</v>
      </c>
      <c r="AD21" s="167">
        <f t="shared" si="8"/>
        <v>0.27777777777777779</v>
      </c>
    </row>
    <row r="22" spans="2:30" ht="15.75" outlineLevel="1" thickBot="1" x14ac:dyDescent="0.3">
      <c r="B22" t="s">
        <v>3481</v>
      </c>
      <c r="C22">
        <f>SUMIFS(Resumo_Trocas!$C:$C,Resumo_Trocas!$G:$G,"Pintura",Resumo_Trocas!$H:$H,$B22)</f>
        <v>9</v>
      </c>
      <c r="D22">
        <f>SUMIFS(Resumo_Trocas!$D:$D,Resumo_Trocas!$G:$G,"Pintura",Resumo_Trocas!$H:$H,$B22)</f>
        <v>11</v>
      </c>
      <c r="E22">
        <f>SUMIFS(Resumo_Trocas!$E:$E,Resumo_Trocas!$G:$G,"Pintura",Resumo_Trocas!$H:$H,$B22)</f>
        <v>3</v>
      </c>
      <c r="G22" s="161" t="s">
        <v>3481</v>
      </c>
      <c r="H22" s="167">
        <f t="shared" si="2"/>
        <v>0.86250000000000004</v>
      </c>
      <c r="I22" s="167">
        <f t="shared" si="3"/>
        <v>0.73333333333333328</v>
      </c>
      <c r="J22" s="167">
        <f t="shared" si="4"/>
        <v>0.16666666666666666</v>
      </c>
      <c r="L22" s="161" t="s">
        <v>3481</v>
      </c>
      <c r="M22" s="161">
        <f>SUMIFS(Resumo_Trocas!$C:$C,Resumo_Trocas!$G:$G,"Montagem",Resumo_Trocas!$H:$H,$L22)</f>
        <v>20</v>
      </c>
      <c r="N22" s="161">
        <f>SUMIFS(Resumo_Trocas!$D:$D,Resumo_Trocas!$G:$G,"Montagem",Resumo_Trocas!$H:$H,$L22)</f>
        <v>34</v>
      </c>
      <c r="O22" s="161">
        <f>SUMIFS(Resumo_Trocas!$E:$E,Resumo_Trocas!$G:$G,"Montagem",Resumo_Trocas!$H:$H,$L22)</f>
        <v>6</v>
      </c>
      <c r="Q22" s="161" t="s">
        <v>3481</v>
      </c>
      <c r="R22" s="167">
        <f t="shared" si="5"/>
        <v>1.9166666666666667</v>
      </c>
      <c r="S22" s="167">
        <f t="shared" si="10"/>
        <v>2.2666666666666666</v>
      </c>
      <c r="T22" s="167">
        <f t="shared" si="6"/>
        <v>0.33333333333333331</v>
      </c>
      <c r="V22" t="s">
        <v>3481</v>
      </c>
      <c r="W22">
        <f>SUMIFS(Resumo_Trocas!$C:$C,Resumo_Trocas!$G:$G,"serigrafia",Resumo_Trocas!$H:$H,$V22)</f>
        <v>24</v>
      </c>
      <c r="X22">
        <f>SUMIFS(Resumo_Trocas!$D:$D,Resumo_Trocas!$G:$G,"serigrafia",Resumo_Trocas!$H:$H,$V22)</f>
        <v>30</v>
      </c>
      <c r="Y22">
        <f>SUMIFS(Resumo_Trocas!$E:$E,Resumo_Trocas!$G:$G,"serigrafia",Resumo_Trocas!$H:$H,$V22)</f>
        <v>2</v>
      </c>
      <c r="AA22" s="161" t="s">
        <v>3481</v>
      </c>
      <c r="AB22" s="167">
        <f t="shared" si="7"/>
        <v>2.2999999999999998</v>
      </c>
      <c r="AC22" s="167">
        <f t="shared" si="9"/>
        <v>2</v>
      </c>
      <c r="AD22" s="167">
        <f t="shared" si="8"/>
        <v>0.1111111111111111</v>
      </c>
    </row>
    <row r="23" spans="2:30" ht="15.75" outlineLevel="1" thickBot="1" x14ac:dyDescent="0.3">
      <c r="B23" t="s">
        <v>3482</v>
      </c>
      <c r="C23">
        <f>SUMIFS(Resumo_Trocas!$C:$C,Resumo_Trocas!$G:$G,"Pintura",Resumo_Trocas!$H:$H,$B23)</f>
        <v>8</v>
      </c>
      <c r="D23">
        <f>SUMIFS(Resumo_Trocas!$D:$D,Resumo_Trocas!$G:$G,"Pintura",Resumo_Trocas!$H:$H,$B23)</f>
        <v>8</v>
      </c>
      <c r="E23">
        <f>SUMIFS(Resumo_Trocas!$E:$E,Resumo_Trocas!$G:$G,"Pintura",Resumo_Trocas!$H:$H,$B23)</f>
        <v>0</v>
      </c>
      <c r="G23" s="161" t="s">
        <v>3482</v>
      </c>
      <c r="H23" s="167">
        <f t="shared" si="2"/>
        <v>0.76666666666666672</v>
      </c>
      <c r="I23" s="167">
        <f t="shared" si="3"/>
        <v>0.53333333333333333</v>
      </c>
      <c r="J23" s="167">
        <f t="shared" si="4"/>
        <v>0</v>
      </c>
      <c r="L23" s="161" t="s">
        <v>3482</v>
      </c>
      <c r="M23" s="161">
        <f>SUMIFS(Resumo_Trocas!$C:$C,Resumo_Trocas!$G:$G,"Montagem",Resumo_Trocas!$H:$H,$L23)</f>
        <v>11</v>
      </c>
      <c r="N23" s="161">
        <f>SUMIFS(Resumo_Trocas!$D:$D,Resumo_Trocas!$G:$G,"Montagem",Resumo_Trocas!$H:$H,$L23)</f>
        <v>18</v>
      </c>
      <c r="O23" s="161">
        <f>SUMIFS(Resumo_Trocas!$E:$E,Resumo_Trocas!$G:$G,"Montagem",Resumo_Trocas!$H:$H,$L23)</f>
        <v>3</v>
      </c>
      <c r="Q23" s="161" t="s">
        <v>3482</v>
      </c>
      <c r="R23" s="167">
        <f t="shared" si="5"/>
        <v>1.0541666666666667</v>
      </c>
      <c r="S23" s="167">
        <f t="shared" si="10"/>
        <v>1.2</v>
      </c>
      <c r="T23" s="167">
        <f t="shared" si="6"/>
        <v>0.16666666666666666</v>
      </c>
      <c r="V23" t="s">
        <v>3482</v>
      </c>
      <c r="W23">
        <f>SUMIFS(Resumo_Trocas!$C:$C,Resumo_Trocas!$G:$G,"serigrafia",Resumo_Trocas!$H:$H,$V23)</f>
        <v>14</v>
      </c>
      <c r="X23">
        <f>SUMIFS(Resumo_Trocas!$D:$D,Resumo_Trocas!$G:$G,"serigrafia",Resumo_Trocas!$H:$H,$V23)</f>
        <v>14</v>
      </c>
      <c r="Y23">
        <f>SUMIFS(Resumo_Trocas!$E:$E,Resumo_Trocas!$G:$G,"serigrafia",Resumo_Trocas!$H:$H,$V23)</f>
        <v>5</v>
      </c>
      <c r="AA23" s="161" t="s">
        <v>3482</v>
      </c>
      <c r="AB23" s="167">
        <f t="shared" si="7"/>
        <v>1.3416666666666666</v>
      </c>
      <c r="AC23" s="167">
        <f t="shared" si="9"/>
        <v>0.93333333333333335</v>
      </c>
      <c r="AD23" s="167">
        <f t="shared" si="8"/>
        <v>0.27777777777777779</v>
      </c>
    </row>
    <row r="24" spans="2:30" outlineLevel="1" x14ac:dyDescent="0.25">
      <c r="B24" t="s">
        <v>3483</v>
      </c>
      <c r="C24">
        <f>SUMIFS(Resumo_Trocas!$C:$C,Resumo_Trocas!$G:$G,"Pintura",Resumo_Trocas!$H:$H,$B24)</f>
        <v>0</v>
      </c>
      <c r="D24">
        <f>SUMIFS(Resumo_Trocas!$D:$D,Resumo_Trocas!$G:$G,"Pintura",Resumo_Trocas!$H:$H,$B24)</f>
        <v>0</v>
      </c>
      <c r="E24">
        <f>SUMIFS(Resumo_Trocas!$E:$E,Resumo_Trocas!$G:$G,"Pintura",Resumo_Trocas!$H:$H,$B24)</f>
        <v>0</v>
      </c>
      <c r="G24" s="161" t="s">
        <v>3483</v>
      </c>
      <c r="H24" s="167">
        <f t="shared" si="2"/>
        <v>0</v>
      </c>
      <c r="I24" s="167">
        <f t="shared" si="3"/>
        <v>0</v>
      </c>
      <c r="J24" s="167">
        <f t="shared" si="4"/>
        <v>0</v>
      </c>
      <c r="L24" s="161" t="s">
        <v>3483</v>
      </c>
      <c r="M24" s="161">
        <f>SUMIFS(Resumo_Trocas!$C:$C,Resumo_Trocas!$G:$G,"Montagem",Resumo_Trocas!$H:$H,$L24)</f>
        <v>0</v>
      </c>
      <c r="N24" s="161">
        <f>SUMIFS(Resumo_Trocas!$D:$D,Resumo_Trocas!$G:$G,"Montagem",Resumo_Trocas!$H:$H,$L24)</f>
        <v>0</v>
      </c>
      <c r="O24" s="161">
        <f>SUMIFS(Resumo_Trocas!$E:$E,Resumo_Trocas!$G:$G,"Montagem",Resumo_Trocas!$H:$H,$L24)</f>
        <v>0</v>
      </c>
      <c r="Q24" s="161" t="s">
        <v>3483</v>
      </c>
      <c r="R24" s="167">
        <f t="shared" si="5"/>
        <v>0</v>
      </c>
      <c r="S24" s="167">
        <f t="shared" si="10"/>
        <v>0</v>
      </c>
      <c r="T24" s="167">
        <f t="shared" si="6"/>
        <v>0</v>
      </c>
      <c r="V24" t="s">
        <v>3483</v>
      </c>
      <c r="W24">
        <f>SUMIFS(Resumo_Trocas!$C:$C,Resumo_Trocas!$G:$G,"serigrafia",Resumo_Trocas!$H:$H,$V24)</f>
        <v>0</v>
      </c>
      <c r="X24">
        <f>SUMIFS(Resumo_Trocas!$D:$D,Resumo_Trocas!$G:$G,"serigrafia",Resumo_Trocas!$H:$H,$V24)</f>
        <v>0</v>
      </c>
      <c r="Y24">
        <f>SUMIFS(Resumo_Trocas!$E:$E,Resumo_Trocas!$G:$G,"serigrafia",Resumo_Trocas!$H:$H,$V24)</f>
        <v>0</v>
      </c>
      <c r="AA24" s="161" t="s">
        <v>3483</v>
      </c>
      <c r="AB24" s="167">
        <f t="shared" si="7"/>
        <v>0</v>
      </c>
      <c r="AC24" s="167">
        <f t="shared" si="9"/>
        <v>0</v>
      </c>
      <c r="AD24" s="167">
        <f t="shared" si="8"/>
        <v>0</v>
      </c>
    </row>
    <row r="25" spans="2:30" x14ac:dyDescent="0.25">
      <c r="G25" s="174" t="s">
        <v>3383</v>
      </c>
      <c r="H25" s="175">
        <f>AVERAGE(H6:H24)</f>
        <v>0.86249999999999993</v>
      </c>
      <c r="I25" s="175">
        <f>AVERAGE(I6:I24)</f>
        <v>0.90175438596491231</v>
      </c>
      <c r="J25" s="175">
        <f>AVERAGE(J6:J24)</f>
        <v>0.14327485380116958</v>
      </c>
      <c r="Q25" s="174" t="s">
        <v>3383</v>
      </c>
      <c r="R25" s="175">
        <f>AVERAGE(R6:R24)</f>
        <v>1.3214912280701756</v>
      </c>
      <c r="S25" s="175">
        <f>AVERAGE(S6:S24)</f>
        <v>1.3684210526315785</v>
      </c>
      <c r="T25" s="175">
        <f>AVERAGE(T6:T24)</f>
        <v>0.21345029239766086</v>
      </c>
      <c r="AA25" s="174" t="s">
        <v>3383</v>
      </c>
      <c r="AB25" s="175">
        <f>AVERAGE(AB6:AB24)</f>
        <v>1.8309210526315791</v>
      </c>
      <c r="AC25" s="175">
        <f>AVERAGE(AC6:AC24)</f>
        <v>1.463157894736842</v>
      </c>
      <c r="AD25" s="175">
        <f>AVERAGE(AD6:AD24)</f>
        <v>0.27192982456140341</v>
      </c>
    </row>
  </sheetData>
  <mergeCells count="6">
    <mergeCell ref="AA2:AD2"/>
    <mergeCell ref="B3:E3"/>
    <mergeCell ref="L3:O3"/>
    <mergeCell ref="V3:Y3"/>
    <mergeCell ref="G2:J2"/>
    <mergeCell ref="Q2:T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54552-EAF8-4390-9E6D-7DC5B47A6B11}">
  <sheetPr codeName="Planilha14">
    <tabColor rgb="FFFFC000"/>
  </sheetPr>
  <dimension ref="B1:Y109"/>
  <sheetViews>
    <sheetView showGridLines="0" view="pageBreakPreview" topLeftCell="A111" zoomScale="70" zoomScaleNormal="70" zoomScaleSheetLayoutView="70" workbookViewId="0">
      <selection activeCell="B3" sqref="B3:Y3"/>
    </sheetView>
  </sheetViews>
  <sheetFormatPr defaultRowHeight="15" x14ac:dyDescent="0.25"/>
  <sheetData>
    <row r="1" spans="2:25" ht="33.75" x14ac:dyDescent="0.5">
      <c r="B1" s="200" t="s">
        <v>4716</v>
      </c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</row>
    <row r="2" spans="2:25" ht="18.75" customHeight="1" x14ac:dyDescent="0.5"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</row>
    <row r="3" spans="2:25" ht="33.75" x14ac:dyDescent="0.25">
      <c r="B3" s="199" t="s">
        <v>3404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</row>
    <row r="57" spans="2:25" ht="33.75" x14ac:dyDescent="0.5">
      <c r="B57" s="200" t="s">
        <v>3396</v>
      </c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</row>
    <row r="109" spans="2:25" ht="33.75" x14ac:dyDescent="0.5">
      <c r="B109" s="200" t="s">
        <v>3429</v>
      </c>
      <c r="C109" s="200"/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</row>
  </sheetData>
  <mergeCells count="5">
    <mergeCell ref="B3:Y3"/>
    <mergeCell ref="B57:Y57"/>
    <mergeCell ref="B109:Y109"/>
    <mergeCell ref="B1:Y1"/>
    <mergeCell ref="B2:Y2"/>
  </mergeCells>
  <pageMargins left="0.511811024" right="0.511811024" top="0.78740157499999996" bottom="0.78740157499999996" header="0.31496062000000002" footer="0.31496062000000002"/>
  <pageSetup paperSize="9" scale="57" orientation="landscape" r:id="rId1"/>
  <rowBreaks count="2" manualBreakCount="2">
    <brk id="54" max="25" man="1"/>
    <brk id="107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8FF3A-8069-48E5-8824-93F38CE7181E}">
  <sheetPr codeName="Planilha6"/>
  <dimension ref="A1:AQ42"/>
  <sheetViews>
    <sheetView showGridLines="0" showZeros="0" zoomScale="85" zoomScaleNormal="85" workbookViewId="0">
      <pane xSplit="2" ySplit="7" topLeftCell="C11" activePane="bottomRight" state="frozen"/>
      <selection pane="topRight" activeCell="AP25" sqref="AP25"/>
      <selection pane="bottomLeft" activeCell="AP25" sqref="AP25"/>
      <selection pane="bottomRight" activeCell="C35" sqref="C35:C42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customWidth="1" outlineLevel="1"/>
    <col min="8" max="21" width="8.7109375" style="62" customWidth="1" outlineLevel="1"/>
    <col min="22" max="22" width="8.7109375" style="62"/>
    <col min="23" max="41" width="8.7109375" style="62" customWidth="1" outlineLevel="1"/>
    <col min="42" max="16384" width="8.7109375" style="62"/>
  </cols>
  <sheetData>
    <row r="1" spans="1:43" ht="30" customHeight="1" x14ac:dyDescent="0.5">
      <c r="A1" s="62" t="s">
        <v>3484</v>
      </c>
      <c r="C1" s="117" t="s">
        <v>3429</v>
      </c>
    </row>
    <row r="2" spans="1:43" ht="24" thickBot="1" x14ac:dyDescent="0.4">
      <c r="C2" s="65" t="s">
        <v>3379</v>
      </c>
      <c r="D2" s="209" t="s">
        <v>3485</v>
      </c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</row>
    <row r="3" spans="1:43" s="90" customFormat="1" ht="15" customHeight="1" thickBot="1" x14ac:dyDescent="0.3">
      <c r="C3" s="118" t="s">
        <v>3381</v>
      </c>
      <c r="D3" s="211" t="s">
        <v>3372</v>
      </c>
      <c r="E3" s="212"/>
      <c r="F3" s="211" t="s">
        <v>3373</v>
      </c>
      <c r="G3" s="212"/>
      <c r="H3" s="213" t="s">
        <v>3374</v>
      </c>
      <c r="I3" s="214"/>
      <c r="J3" s="211" t="s">
        <v>3370</v>
      </c>
      <c r="K3" s="212"/>
      <c r="L3" s="211" t="s">
        <v>3371</v>
      </c>
      <c r="M3" s="212"/>
      <c r="N3" s="211" t="s">
        <v>3375</v>
      </c>
      <c r="O3" s="212"/>
      <c r="P3" s="211" t="s">
        <v>3367</v>
      </c>
      <c r="Q3" s="212"/>
      <c r="R3" s="211" t="s">
        <v>3368</v>
      </c>
      <c r="S3" s="212"/>
      <c r="T3" s="211" t="s">
        <v>3369</v>
      </c>
      <c r="U3" s="212"/>
      <c r="V3" s="213" t="s">
        <v>3358</v>
      </c>
      <c r="W3" s="214"/>
      <c r="X3" s="211" t="s">
        <v>3363</v>
      </c>
      <c r="Y3" s="212"/>
      <c r="Z3" s="211" t="s">
        <v>3361</v>
      </c>
      <c r="AA3" s="212"/>
      <c r="AB3" s="211" t="s">
        <v>3359</v>
      </c>
      <c r="AC3" s="212"/>
      <c r="AD3" s="211" t="s">
        <v>3366</v>
      </c>
      <c r="AE3" s="212"/>
      <c r="AF3" s="213" t="s">
        <v>3364</v>
      </c>
      <c r="AG3" s="214"/>
      <c r="AH3" s="211" t="s">
        <v>3360</v>
      </c>
      <c r="AI3" s="212"/>
      <c r="AJ3" s="211" t="s">
        <v>3362</v>
      </c>
      <c r="AK3" s="212"/>
      <c r="AL3" s="211" t="s">
        <v>3365</v>
      </c>
      <c r="AM3" s="212"/>
      <c r="AN3" s="201" t="s">
        <v>3486</v>
      </c>
      <c r="AO3" s="202"/>
      <c r="AP3" s="97" t="s">
        <v>3383</v>
      </c>
      <c r="AQ3" s="97" t="s">
        <v>3384</v>
      </c>
    </row>
    <row r="4" spans="1:43" s="90" customFormat="1" ht="15" customHeight="1" thickBot="1" x14ac:dyDescent="0.25">
      <c r="C4" s="129">
        <v>240</v>
      </c>
      <c r="D4" s="203">
        <f>SUM(D5:E6)</f>
        <v>2.2000000000000002</v>
      </c>
      <c r="E4" s="203"/>
      <c r="F4" s="203">
        <f>SUM(F5:G6)</f>
        <v>2.6</v>
      </c>
      <c r="G4" s="203"/>
      <c r="H4" s="203">
        <f>SUM(H5:I6)</f>
        <v>1.1333333333333333</v>
      </c>
      <c r="I4" s="203"/>
      <c r="J4" s="203">
        <f>SUM(J5:K6)</f>
        <v>1.4666666666666666</v>
      </c>
      <c r="K4" s="203"/>
      <c r="L4" s="203">
        <f>SUM(L5:M6)</f>
        <v>1.5333333333333332</v>
      </c>
      <c r="M4" s="203"/>
      <c r="N4" s="203">
        <f>SUM(N5:O6)</f>
        <v>0</v>
      </c>
      <c r="O4" s="203"/>
      <c r="P4" s="203">
        <f>SUM(P5:Q6)</f>
        <v>1.2666666666666666</v>
      </c>
      <c r="Q4" s="203"/>
      <c r="R4" s="203">
        <f>SUM(R5:S6)</f>
        <v>1</v>
      </c>
      <c r="S4" s="203"/>
      <c r="T4" s="203">
        <f>SUM(T5:U6)</f>
        <v>1</v>
      </c>
      <c r="U4" s="203"/>
      <c r="V4" s="203">
        <f>SUM(V5:W6)</f>
        <v>1.8</v>
      </c>
      <c r="W4" s="203"/>
      <c r="X4" s="203">
        <f>SUM(X5:Y6)</f>
        <v>1.9333333333333333</v>
      </c>
      <c r="Y4" s="203"/>
      <c r="Z4" s="203">
        <f>SUM(Z5:AA6)</f>
        <v>1.3333333333333333</v>
      </c>
      <c r="AA4" s="203"/>
      <c r="AB4" s="203">
        <f>SUM(AB5:AC6)</f>
        <v>0.79999999999999993</v>
      </c>
      <c r="AC4" s="203"/>
      <c r="AD4" s="203">
        <f>SUM(AD5:AE6)</f>
        <v>0.8666666666666667</v>
      </c>
      <c r="AE4" s="203"/>
      <c r="AF4" s="203">
        <f>SUM(AF5:AG6)</f>
        <v>0.33333333333333331</v>
      </c>
      <c r="AG4" s="203"/>
      <c r="AH4" s="203">
        <f>SUM(AH5:AI6)</f>
        <v>0.73333333333333339</v>
      </c>
      <c r="AI4" s="203"/>
      <c r="AJ4" s="203">
        <f>SUM(AJ5:AK6)</f>
        <v>0.93333333333333335</v>
      </c>
      <c r="AK4" s="203"/>
      <c r="AL4" s="203">
        <f>SUM(AL5:AM6)</f>
        <v>0.4</v>
      </c>
      <c r="AM4" s="203"/>
      <c r="AN4" s="203"/>
      <c r="AO4" s="204"/>
      <c r="AP4" s="96">
        <f>AVERAGE(D4:AN4)</f>
        <v>1.1851851851851851</v>
      </c>
      <c r="AQ4" s="96">
        <f>ROUNDUP(AP4,0)</f>
        <v>2</v>
      </c>
    </row>
    <row r="5" spans="1:43" s="90" customFormat="1" x14ac:dyDescent="0.25">
      <c r="C5" s="122" t="s">
        <v>3389</v>
      </c>
      <c r="D5" s="205">
        <f>IFERROR(SUM(((E12)*$C$4)/3600)," ")</f>
        <v>0.53333333333333333</v>
      </c>
      <c r="E5" s="205"/>
      <c r="F5" s="205">
        <f>IFERROR(SUM(((G12)*$C$4)/3600)," ")</f>
        <v>0.33333333333333331</v>
      </c>
      <c r="G5" s="205"/>
      <c r="H5" s="205">
        <f>IFERROR(SUM(((I12)*$C$4)/3600)," ")</f>
        <v>0.26666666666666666</v>
      </c>
      <c r="I5" s="205"/>
      <c r="J5" s="205">
        <f>IFERROR(SUM(((K12)*$C$4)/3600)," ")</f>
        <v>0.2</v>
      </c>
      <c r="K5" s="205"/>
      <c r="L5" s="205">
        <f>IFERROR(SUM(((M12)*$C$4)/3600)," ")</f>
        <v>0.2</v>
      </c>
      <c r="M5" s="205"/>
      <c r="N5" s="205">
        <f>IFERROR(SUM(((O12)*$C$4)/3600)," ")</f>
        <v>0</v>
      </c>
      <c r="O5" s="205"/>
      <c r="P5" s="205">
        <f>IFERROR(SUM(((Q12)*$C$4)/3600)," ")</f>
        <v>0.4</v>
      </c>
      <c r="Q5" s="205"/>
      <c r="R5" s="205">
        <f>IFERROR(SUM(((S12)*$C$4)/3600)," ")</f>
        <v>0.2</v>
      </c>
      <c r="S5" s="205"/>
      <c r="T5" s="205">
        <f>IFERROR(SUM(((U12)*$C$4)/3600)," ")</f>
        <v>0.2</v>
      </c>
      <c r="U5" s="205"/>
      <c r="V5" s="205">
        <f>IFERROR(SUM(((W12)*$C$4)/3600)," ")</f>
        <v>0.13333333333333333</v>
      </c>
      <c r="W5" s="205"/>
      <c r="X5" s="205">
        <f>IFERROR(SUM(((Y12)*$C$4)/3600)," ")</f>
        <v>0.26666666666666666</v>
      </c>
      <c r="Y5" s="205"/>
      <c r="Z5" s="205">
        <f>IFERROR(SUM(((AA12)*$C$4)/3600)," ")</f>
        <v>0.13333333333333333</v>
      </c>
      <c r="AA5" s="205"/>
      <c r="AB5" s="205">
        <f>IFERROR(SUM(((AC12)*$C$4)/3600)," ")</f>
        <v>0.13333333333333333</v>
      </c>
      <c r="AC5" s="205"/>
      <c r="AD5" s="205">
        <f>IFERROR(SUM(((AE12)*$C$4)/3600)," ")</f>
        <v>6.6666666666666666E-2</v>
      </c>
      <c r="AE5" s="205"/>
      <c r="AF5" s="205">
        <f>IFERROR(SUM(((AG12)*$C$4)/3600)," ")</f>
        <v>0</v>
      </c>
      <c r="AG5" s="205"/>
      <c r="AH5" s="205">
        <f>IFERROR(SUM(((AI12)*$C$4)/3600)," ")</f>
        <v>0.4</v>
      </c>
      <c r="AI5" s="205"/>
      <c r="AJ5" s="205">
        <f>IFERROR(SUM(((AK12)*$C$4)/3600)," ")</f>
        <v>0.33333333333333331</v>
      </c>
      <c r="AK5" s="205"/>
      <c r="AL5" s="205">
        <f>IFERROR(SUM(((AM12)*$C$4)/3600)," ")</f>
        <v>0</v>
      </c>
      <c r="AM5" s="205"/>
      <c r="AN5" s="205">
        <f>IFERROR(SUM(((AO12)*$C$4)/3600)," ")</f>
        <v>0</v>
      </c>
      <c r="AO5" s="206"/>
      <c r="AP5" s="96">
        <f>AVERAGE(D5:AN5)</f>
        <v>0.2</v>
      </c>
      <c r="AQ5" s="96">
        <f>ROUNDUP(AP5,0)</f>
        <v>1</v>
      </c>
    </row>
    <row r="6" spans="1:43" s="90" customFormat="1" ht="15.75" thickBot="1" x14ac:dyDescent="0.3">
      <c r="C6" s="119" t="s">
        <v>3390</v>
      </c>
      <c r="D6" s="207">
        <f>IFERROR(SUM(((E13)*$C$4)/3600)," ")</f>
        <v>1.6666666666666667</v>
      </c>
      <c r="E6" s="207"/>
      <c r="F6" s="207">
        <f>IFERROR(SUM(((G13)*$C$4)/3600)," ")</f>
        <v>2.2666666666666666</v>
      </c>
      <c r="G6" s="207"/>
      <c r="H6" s="207">
        <f>IFERROR(SUM(((I13)*$C$4)/3600)," ")</f>
        <v>0.8666666666666667</v>
      </c>
      <c r="I6" s="207"/>
      <c r="J6" s="207">
        <f>IFERROR(SUM(((K13)*$C$4)/3600)," ")</f>
        <v>1.2666666666666666</v>
      </c>
      <c r="K6" s="207"/>
      <c r="L6" s="207">
        <f>IFERROR(SUM(((M13)*$C$4)/3600)," ")</f>
        <v>1.3333333333333333</v>
      </c>
      <c r="M6" s="207"/>
      <c r="N6" s="207">
        <f>IFERROR(SUM(((O13)*$C$4)/3600)," ")</f>
        <v>0</v>
      </c>
      <c r="O6" s="207"/>
      <c r="P6" s="207">
        <f>IFERROR(SUM(((Q13)*$C$4)/3600)," ")</f>
        <v>0.8666666666666667</v>
      </c>
      <c r="Q6" s="207"/>
      <c r="R6" s="207">
        <f>IFERROR(SUM(((S13)*$C$4)/3600)," ")</f>
        <v>0.8</v>
      </c>
      <c r="S6" s="207"/>
      <c r="T6" s="207">
        <f>IFERROR(SUM(((U13)*$C$4)/3600)," ")</f>
        <v>0.8</v>
      </c>
      <c r="U6" s="207"/>
      <c r="V6" s="207">
        <f>IFERROR(SUM(((W13)*$C$4)/3600)," ")</f>
        <v>1.6666666666666667</v>
      </c>
      <c r="W6" s="207"/>
      <c r="X6" s="207">
        <f>IFERROR(SUM(((Y13)*$C$4)/3600)," ")</f>
        <v>1.6666666666666667</v>
      </c>
      <c r="Y6" s="207"/>
      <c r="Z6" s="207">
        <f>IFERROR(SUM(((AA13)*$C$4)/3600)," ")</f>
        <v>1.2</v>
      </c>
      <c r="AA6" s="207"/>
      <c r="AB6" s="207">
        <f>IFERROR(SUM(((AC13)*$C$4)/3600)," ")</f>
        <v>0.66666666666666663</v>
      </c>
      <c r="AC6" s="207"/>
      <c r="AD6" s="207">
        <f>IFERROR(SUM(((AE13)*$C$4)/3600)," ")</f>
        <v>0.8</v>
      </c>
      <c r="AE6" s="207"/>
      <c r="AF6" s="207">
        <f>IFERROR(SUM(((AG13)*$C$4)/3600)," ")</f>
        <v>0.33333333333333331</v>
      </c>
      <c r="AG6" s="207"/>
      <c r="AH6" s="207">
        <f>IFERROR(SUM(((AI13)*$C$4)/3600)," ")</f>
        <v>0.33333333333333331</v>
      </c>
      <c r="AI6" s="207"/>
      <c r="AJ6" s="207">
        <f>IFERROR(SUM(((AK13)*$C$4)/3600)," ")</f>
        <v>0.6</v>
      </c>
      <c r="AK6" s="207"/>
      <c r="AL6" s="207">
        <f>IFERROR(SUM(((AM13)*$C$4)/3600)," ")</f>
        <v>0.4</v>
      </c>
      <c r="AM6" s="207"/>
      <c r="AN6" s="207"/>
      <c r="AO6" s="208"/>
      <c r="AP6" s="96">
        <f>AVERAGE(D6:AN6)</f>
        <v>0.97407407407407398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 t="s">
        <v>3392</v>
      </c>
    </row>
    <row r="9" spans="1:43" outlineLevel="2" x14ac:dyDescent="0.25">
      <c r="D9" s="211" t="s">
        <v>3372</v>
      </c>
      <c r="E9" s="212"/>
      <c r="F9" s="211" t="s">
        <v>3373</v>
      </c>
      <c r="G9" s="212"/>
      <c r="H9" s="213" t="s">
        <v>3374</v>
      </c>
      <c r="I9" s="214"/>
      <c r="J9" s="211" t="s">
        <v>3370</v>
      </c>
      <c r="K9" s="212"/>
      <c r="L9" s="211" t="s">
        <v>3371</v>
      </c>
      <c r="M9" s="212"/>
      <c r="N9" s="211" t="s">
        <v>3375</v>
      </c>
      <c r="O9" s="212"/>
      <c r="P9" s="211" t="s">
        <v>3367</v>
      </c>
      <c r="Q9" s="212"/>
      <c r="R9" s="211" t="s">
        <v>3368</v>
      </c>
      <c r="S9" s="212"/>
      <c r="T9" s="211" t="s">
        <v>3369</v>
      </c>
      <c r="U9" s="212"/>
      <c r="V9" s="213" t="s">
        <v>3358</v>
      </c>
      <c r="W9" s="214"/>
      <c r="X9" s="211" t="s">
        <v>3363</v>
      </c>
      <c r="Y9" s="212"/>
      <c r="Z9" s="211" t="s">
        <v>3361</v>
      </c>
      <c r="AA9" s="212"/>
      <c r="AB9" s="211" t="s">
        <v>3359</v>
      </c>
      <c r="AC9" s="212"/>
      <c r="AD9" s="211" t="s">
        <v>3366</v>
      </c>
      <c r="AE9" s="212"/>
      <c r="AF9" s="213" t="s">
        <v>3364</v>
      </c>
      <c r="AG9" s="214"/>
      <c r="AH9" s="211" t="s">
        <v>3360</v>
      </c>
      <c r="AI9" s="212"/>
      <c r="AJ9" s="211" t="s">
        <v>3362</v>
      </c>
      <c r="AK9" s="212"/>
      <c r="AL9" s="211" t="s">
        <v>3365</v>
      </c>
      <c r="AM9" s="212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3353</v>
      </c>
      <c r="F10" s="101" t="s">
        <v>3487</v>
      </c>
      <c r="G10" s="102" t="s">
        <v>3353</v>
      </c>
      <c r="H10" s="101" t="s">
        <v>3487</v>
      </c>
      <c r="I10" s="102" t="s">
        <v>3353</v>
      </c>
      <c r="J10" s="101" t="s">
        <v>3487</v>
      </c>
      <c r="K10" s="102" t="s">
        <v>3353</v>
      </c>
      <c r="L10" s="101" t="s">
        <v>3487</v>
      </c>
      <c r="M10" s="102" t="s">
        <v>3353</v>
      </c>
      <c r="N10" s="101" t="s">
        <v>3487</v>
      </c>
      <c r="O10" s="102" t="s">
        <v>3353</v>
      </c>
      <c r="P10" s="101" t="s">
        <v>3487</v>
      </c>
      <c r="Q10" s="102" t="s">
        <v>3353</v>
      </c>
      <c r="R10" s="101" t="s">
        <v>3487</v>
      </c>
      <c r="S10" s="102" t="s">
        <v>3353</v>
      </c>
      <c r="T10" s="101" t="s">
        <v>3487</v>
      </c>
      <c r="U10" s="102" t="s">
        <v>3353</v>
      </c>
      <c r="V10" s="101" t="s">
        <v>3487</v>
      </c>
      <c r="W10" s="102" t="s">
        <v>3353</v>
      </c>
      <c r="X10" s="101" t="s">
        <v>3487</v>
      </c>
      <c r="Y10" s="102" t="s">
        <v>3353</v>
      </c>
      <c r="Z10" s="101" t="s">
        <v>3487</v>
      </c>
      <c r="AA10" s="102" t="s">
        <v>3353</v>
      </c>
      <c r="AB10" s="101" t="s">
        <v>3487</v>
      </c>
      <c r="AC10" s="102" t="s">
        <v>3353</v>
      </c>
      <c r="AD10" s="101" t="s">
        <v>3487</v>
      </c>
      <c r="AE10" s="102" t="s">
        <v>3353</v>
      </c>
      <c r="AF10" s="101" t="s">
        <v>3487</v>
      </c>
      <c r="AG10" s="102" t="s">
        <v>3353</v>
      </c>
      <c r="AH10" s="101" t="s">
        <v>3487</v>
      </c>
      <c r="AI10" s="102" t="s">
        <v>3353</v>
      </c>
      <c r="AJ10" s="101" t="s">
        <v>3487</v>
      </c>
      <c r="AK10" s="102" t="s">
        <v>3353</v>
      </c>
      <c r="AL10" s="101" t="s">
        <v>3487</v>
      </c>
      <c r="AM10" s="102" t="s">
        <v>3353</v>
      </c>
      <c r="AN10" s="101" t="s">
        <v>3487</v>
      </c>
      <c r="AO10" s="102" t="s">
        <v>3353</v>
      </c>
    </row>
    <row r="11" spans="1:43" ht="18" outlineLevel="2" thickBot="1" x14ac:dyDescent="0.3">
      <c r="C11" s="120" t="s">
        <v>3394</v>
      </c>
      <c r="D11" s="121">
        <f>SUM(D12:D13)</f>
        <v>27</v>
      </c>
      <c r="E11" s="121"/>
      <c r="F11" s="121">
        <f>SUM(F12:F13)</f>
        <v>33</v>
      </c>
      <c r="G11" s="121"/>
      <c r="H11" s="121">
        <f>SUM(H12:H13)</f>
        <v>22</v>
      </c>
      <c r="I11" s="121"/>
      <c r="J11" s="121">
        <f>SUM(J12:J13)</f>
        <v>18</v>
      </c>
      <c r="K11" s="121"/>
      <c r="L11" s="121">
        <f>SUM(L12:L13)</f>
        <v>13</v>
      </c>
      <c r="M11" s="121"/>
      <c r="N11" s="121">
        <f>SUM(N12:N13)</f>
        <v>1</v>
      </c>
      <c r="O11" s="121"/>
      <c r="P11" s="121">
        <f>SUM(P12:P13)</f>
        <v>16</v>
      </c>
      <c r="Q11" s="121"/>
      <c r="R11" s="121">
        <f>SUM(R12:R13)</f>
        <v>10</v>
      </c>
      <c r="S11" s="121"/>
      <c r="T11" s="121">
        <f>SUM(T12:T13)</f>
        <v>11</v>
      </c>
      <c r="U11" s="121"/>
      <c r="V11" s="121">
        <f>SUM(V12:V13)</f>
        <v>12</v>
      </c>
      <c r="W11" s="121"/>
      <c r="X11" s="121">
        <f>SUM(X12:X13)</f>
        <v>21</v>
      </c>
      <c r="Y11" s="121"/>
      <c r="Z11" s="121">
        <f>SUM(Z12:Z13)</f>
        <v>15</v>
      </c>
      <c r="AA11" s="121"/>
      <c r="AB11" s="121">
        <f>SUM(AB12:AB13)</f>
        <v>12</v>
      </c>
      <c r="AC11" s="121"/>
      <c r="AD11" s="121">
        <f>SUM(AD12:AD13)</f>
        <v>8</v>
      </c>
      <c r="AE11" s="121"/>
      <c r="AF11" s="121">
        <f>SUM(AF12:AF13)</f>
        <v>6</v>
      </c>
      <c r="AG11" s="121"/>
      <c r="AH11" s="121">
        <f>SUM(AH12:AH13)</f>
        <v>13</v>
      </c>
      <c r="AI11" s="121"/>
      <c r="AJ11" s="121">
        <f>SUM(AJ12:AJ13)</f>
        <v>18</v>
      </c>
      <c r="AK11" s="121"/>
      <c r="AL11" s="121">
        <f>SUM(AL12:AL13)</f>
        <v>9</v>
      </c>
      <c r="AM11" s="121"/>
      <c r="AN11" s="121">
        <f>SUM(AN12:AN13)</f>
        <v>0</v>
      </c>
    </row>
    <row r="12" spans="1:43" outlineLevel="2" x14ac:dyDescent="0.25">
      <c r="B12" s="62" t="e">
        <f>IF(#REF!="&lt;&gt;",RIGHT(C12,1),#REF!)</f>
        <v>#REF!</v>
      </c>
      <c r="C12" s="122" t="s">
        <v>3389</v>
      </c>
      <c r="D12" s="123">
        <f>D20</f>
        <v>12</v>
      </c>
      <c r="E12" s="124">
        <f t="shared" ref="E12:AO12" si="0">E20</f>
        <v>8</v>
      </c>
      <c r="F12" s="123">
        <f t="shared" si="0"/>
        <v>13</v>
      </c>
      <c r="G12" s="124">
        <f t="shared" si="0"/>
        <v>5</v>
      </c>
      <c r="H12" s="123">
        <f t="shared" si="0"/>
        <v>9</v>
      </c>
      <c r="I12" s="124">
        <f t="shared" si="0"/>
        <v>4</v>
      </c>
      <c r="J12" s="123">
        <f t="shared" si="0"/>
        <v>6</v>
      </c>
      <c r="K12" s="124">
        <f t="shared" si="0"/>
        <v>3</v>
      </c>
      <c r="L12" s="123">
        <f t="shared" si="0"/>
        <v>4</v>
      </c>
      <c r="M12" s="124">
        <f t="shared" si="0"/>
        <v>3</v>
      </c>
      <c r="N12" s="123">
        <f t="shared" si="0"/>
        <v>1</v>
      </c>
      <c r="O12" s="124">
        <f t="shared" si="0"/>
        <v>0</v>
      </c>
      <c r="P12" s="123">
        <f t="shared" si="0"/>
        <v>9</v>
      </c>
      <c r="Q12" s="124">
        <f t="shared" si="0"/>
        <v>6</v>
      </c>
      <c r="R12" s="123">
        <f t="shared" si="0"/>
        <v>4</v>
      </c>
      <c r="S12" s="124">
        <f t="shared" si="0"/>
        <v>3</v>
      </c>
      <c r="T12" s="123">
        <f t="shared" si="0"/>
        <v>5</v>
      </c>
      <c r="U12" s="124">
        <f t="shared" si="0"/>
        <v>3</v>
      </c>
      <c r="V12" s="123">
        <f t="shared" si="0"/>
        <v>2</v>
      </c>
      <c r="W12" s="124">
        <f t="shared" si="0"/>
        <v>2</v>
      </c>
      <c r="X12" s="123">
        <f t="shared" si="0"/>
        <v>8</v>
      </c>
      <c r="Y12" s="124">
        <f t="shared" si="0"/>
        <v>4</v>
      </c>
      <c r="Z12" s="123">
        <f t="shared" si="0"/>
        <v>3</v>
      </c>
      <c r="AA12" s="124">
        <f t="shared" si="0"/>
        <v>2</v>
      </c>
      <c r="AB12" s="123">
        <f t="shared" si="0"/>
        <v>4</v>
      </c>
      <c r="AC12" s="124">
        <f t="shared" si="0"/>
        <v>2</v>
      </c>
      <c r="AD12" s="123">
        <f t="shared" si="0"/>
        <v>1</v>
      </c>
      <c r="AE12" s="124">
        <f t="shared" si="0"/>
        <v>1</v>
      </c>
      <c r="AF12" s="123">
        <f t="shared" si="0"/>
        <v>2</v>
      </c>
      <c r="AG12" s="124">
        <f t="shared" si="0"/>
        <v>0</v>
      </c>
      <c r="AH12" s="123">
        <f t="shared" si="0"/>
        <v>5</v>
      </c>
      <c r="AI12" s="124">
        <f t="shared" si="0"/>
        <v>6</v>
      </c>
      <c r="AJ12" s="123">
        <f t="shared" si="0"/>
        <v>8</v>
      </c>
      <c r="AK12" s="124">
        <f t="shared" si="0"/>
        <v>5</v>
      </c>
      <c r="AL12" s="123">
        <f t="shared" si="0"/>
        <v>0</v>
      </c>
      <c r="AM12" s="124">
        <f t="shared" si="0"/>
        <v>0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19" t="s">
        <v>3390</v>
      </c>
      <c r="D13" s="126">
        <f>D34</f>
        <v>15</v>
      </c>
      <c r="E13" s="127">
        <f t="shared" ref="E13:AO13" si="1">E34</f>
        <v>25</v>
      </c>
      <c r="F13" s="126">
        <f t="shared" si="1"/>
        <v>20</v>
      </c>
      <c r="G13" s="127">
        <f t="shared" si="1"/>
        <v>34</v>
      </c>
      <c r="H13" s="126">
        <f t="shared" si="1"/>
        <v>13</v>
      </c>
      <c r="I13" s="127">
        <f t="shared" si="1"/>
        <v>13</v>
      </c>
      <c r="J13" s="126">
        <f t="shared" si="1"/>
        <v>12</v>
      </c>
      <c r="K13" s="127">
        <f t="shared" si="1"/>
        <v>19</v>
      </c>
      <c r="L13" s="126">
        <f t="shared" si="1"/>
        <v>9</v>
      </c>
      <c r="M13" s="127">
        <f t="shared" si="1"/>
        <v>20</v>
      </c>
      <c r="N13" s="126">
        <f t="shared" si="1"/>
        <v>0</v>
      </c>
      <c r="O13" s="127">
        <f t="shared" si="1"/>
        <v>0</v>
      </c>
      <c r="P13" s="126">
        <f t="shared" si="1"/>
        <v>7</v>
      </c>
      <c r="Q13" s="127">
        <f t="shared" si="1"/>
        <v>13</v>
      </c>
      <c r="R13" s="126">
        <f t="shared" si="1"/>
        <v>6</v>
      </c>
      <c r="S13" s="127">
        <f t="shared" si="1"/>
        <v>12</v>
      </c>
      <c r="T13" s="126">
        <f t="shared" si="1"/>
        <v>6</v>
      </c>
      <c r="U13" s="127">
        <f t="shared" si="1"/>
        <v>12</v>
      </c>
      <c r="V13" s="126">
        <f t="shared" si="1"/>
        <v>10</v>
      </c>
      <c r="W13" s="127">
        <f t="shared" si="1"/>
        <v>25</v>
      </c>
      <c r="X13" s="126">
        <f t="shared" si="1"/>
        <v>13</v>
      </c>
      <c r="Y13" s="127">
        <f t="shared" si="1"/>
        <v>25</v>
      </c>
      <c r="Z13" s="126">
        <f t="shared" si="1"/>
        <v>12</v>
      </c>
      <c r="AA13" s="127">
        <f t="shared" si="1"/>
        <v>18</v>
      </c>
      <c r="AB13" s="126">
        <f t="shared" si="1"/>
        <v>8</v>
      </c>
      <c r="AC13" s="127">
        <f t="shared" si="1"/>
        <v>10</v>
      </c>
      <c r="AD13" s="126">
        <f t="shared" si="1"/>
        <v>7</v>
      </c>
      <c r="AE13" s="127">
        <f t="shared" si="1"/>
        <v>12</v>
      </c>
      <c r="AF13" s="126">
        <f t="shared" si="1"/>
        <v>4</v>
      </c>
      <c r="AG13" s="127">
        <f t="shared" si="1"/>
        <v>5</v>
      </c>
      <c r="AH13" s="126">
        <f t="shared" si="1"/>
        <v>8</v>
      </c>
      <c r="AI13" s="127">
        <f t="shared" si="1"/>
        <v>5</v>
      </c>
      <c r="AJ13" s="126">
        <f t="shared" si="1"/>
        <v>10</v>
      </c>
      <c r="AK13" s="127">
        <f t="shared" si="1"/>
        <v>9</v>
      </c>
      <c r="AL13" s="126">
        <f t="shared" si="1"/>
        <v>9</v>
      </c>
      <c r="AM13" s="127">
        <f t="shared" si="1"/>
        <v>6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27</v>
      </c>
      <c r="E14" s="133">
        <f t="shared" si="2"/>
        <v>33</v>
      </c>
      <c r="F14" s="132">
        <f t="shared" si="2"/>
        <v>33</v>
      </c>
      <c r="G14" s="133">
        <f t="shared" si="2"/>
        <v>39</v>
      </c>
      <c r="H14" s="132">
        <f t="shared" si="2"/>
        <v>22</v>
      </c>
      <c r="I14" s="133">
        <f t="shared" si="2"/>
        <v>17</v>
      </c>
      <c r="J14" s="132">
        <f t="shared" si="2"/>
        <v>18</v>
      </c>
      <c r="K14" s="133">
        <f t="shared" si="2"/>
        <v>22</v>
      </c>
      <c r="L14" s="132">
        <f t="shared" si="2"/>
        <v>13</v>
      </c>
      <c r="M14" s="133">
        <f t="shared" si="2"/>
        <v>23</v>
      </c>
      <c r="N14" s="132">
        <f t="shared" si="2"/>
        <v>1</v>
      </c>
      <c r="O14" s="133">
        <f t="shared" si="2"/>
        <v>0</v>
      </c>
      <c r="P14" s="132">
        <f t="shared" si="2"/>
        <v>16</v>
      </c>
      <c r="Q14" s="133">
        <f t="shared" si="2"/>
        <v>19</v>
      </c>
      <c r="R14" s="132">
        <f t="shared" si="2"/>
        <v>10</v>
      </c>
      <c r="S14" s="133">
        <f t="shared" si="2"/>
        <v>15</v>
      </c>
      <c r="T14" s="132">
        <f t="shared" si="2"/>
        <v>11</v>
      </c>
      <c r="U14" s="133">
        <f t="shared" si="2"/>
        <v>15</v>
      </c>
      <c r="V14" s="132">
        <f t="shared" si="2"/>
        <v>12</v>
      </c>
      <c r="W14" s="133">
        <f t="shared" si="2"/>
        <v>27</v>
      </c>
      <c r="X14" s="132">
        <f t="shared" si="2"/>
        <v>21</v>
      </c>
      <c r="Y14" s="133">
        <f t="shared" si="2"/>
        <v>29</v>
      </c>
      <c r="Z14" s="132">
        <f t="shared" si="2"/>
        <v>15</v>
      </c>
      <c r="AA14" s="133">
        <f t="shared" si="2"/>
        <v>20</v>
      </c>
      <c r="AB14" s="132">
        <f t="shared" si="2"/>
        <v>12</v>
      </c>
      <c r="AC14" s="133">
        <f t="shared" si="2"/>
        <v>12</v>
      </c>
      <c r="AD14" s="132">
        <f t="shared" si="2"/>
        <v>8</v>
      </c>
      <c r="AE14" s="133">
        <f t="shared" si="2"/>
        <v>13</v>
      </c>
      <c r="AF14" s="132">
        <f t="shared" si="2"/>
        <v>6</v>
      </c>
      <c r="AG14" s="133">
        <f t="shared" si="2"/>
        <v>5</v>
      </c>
      <c r="AH14" s="132">
        <f t="shared" si="2"/>
        <v>13</v>
      </c>
      <c r="AI14" s="133">
        <f t="shared" si="2"/>
        <v>11</v>
      </c>
      <c r="AJ14" s="132">
        <f t="shared" si="2"/>
        <v>18</v>
      </c>
      <c r="AK14" s="133">
        <f t="shared" si="2"/>
        <v>14</v>
      </c>
      <c r="AL14" s="132">
        <f t="shared" si="2"/>
        <v>9</v>
      </c>
      <c r="AM14" s="133">
        <f t="shared" si="2"/>
        <v>6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3429</v>
      </c>
    </row>
    <row r="18" spans="2:43" ht="21" customHeight="1" x14ac:dyDescent="0.25">
      <c r="B18" s="72" t="s">
        <v>3395</v>
      </c>
      <c r="C18" s="215" t="s">
        <v>3397</v>
      </c>
      <c r="D18" s="211" t="s">
        <v>3372</v>
      </c>
      <c r="E18" s="212"/>
      <c r="F18" s="211" t="s">
        <v>3373</v>
      </c>
      <c r="G18" s="212"/>
      <c r="H18" s="213" t="s">
        <v>3374</v>
      </c>
      <c r="I18" s="214"/>
      <c r="J18" s="211" t="s">
        <v>3370</v>
      </c>
      <c r="K18" s="212"/>
      <c r="L18" s="211" t="s">
        <v>3371</v>
      </c>
      <c r="M18" s="212"/>
      <c r="N18" s="211" t="s">
        <v>3375</v>
      </c>
      <c r="O18" s="212"/>
      <c r="P18" s="211" t="s">
        <v>3367</v>
      </c>
      <c r="Q18" s="212"/>
      <c r="R18" s="211" t="s">
        <v>3368</v>
      </c>
      <c r="S18" s="212"/>
      <c r="T18" s="211" t="s">
        <v>3369</v>
      </c>
      <c r="U18" s="212"/>
      <c r="V18" s="213" t="s">
        <v>3358</v>
      </c>
      <c r="W18" s="214"/>
      <c r="X18" s="211" t="s">
        <v>3363</v>
      </c>
      <c r="Y18" s="212"/>
      <c r="Z18" s="211" t="s">
        <v>3361</v>
      </c>
      <c r="AA18" s="212"/>
      <c r="AB18" s="211" t="s">
        <v>3359</v>
      </c>
      <c r="AC18" s="212"/>
      <c r="AD18" s="211" t="s">
        <v>3366</v>
      </c>
      <c r="AE18" s="212"/>
      <c r="AF18" s="213" t="s">
        <v>3364</v>
      </c>
      <c r="AG18" s="214"/>
      <c r="AH18" s="211" t="s">
        <v>3360</v>
      </c>
      <c r="AI18" s="212"/>
      <c r="AJ18" s="211" t="s">
        <v>3362</v>
      </c>
      <c r="AK18" s="212"/>
      <c r="AL18" s="211" t="s">
        <v>3365</v>
      </c>
      <c r="AM18" s="212"/>
      <c r="AN18" s="201" t="s">
        <v>3486</v>
      </c>
      <c r="AO18" s="202"/>
    </row>
    <row r="19" spans="2:43" ht="21" customHeight="1" thickBot="1" x14ac:dyDescent="0.3">
      <c r="B19" s="72"/>
      <c r="C19" s="216"/>
      <c r="D19" s="107" t="s">
        <v>3487</v>
      </c>
      <c r="E19" s="108" t="s">
        <v>3353</v>
      </c>
      <c r="F19" s="107" t="s">
        <v>3487</v>
      </c>
      <c r="G19" s="108" t="s">
        <v>3353</v>
      </c>
      <c r="H19" s="107" t="s">
        <v>3487</v>
      </c>
      <c r="I19" s="108" t="s">
        <v>3353</v>
      </c>
      <c r="J19" s="107" t="s">
        <v>3487</v>
      </c>
      <c r="K19" s="108" t="s">
        <v>3353</v>
      </c>
      <c r="L19" s="107" t="s">
        <v>3487</v>
      </c>
      <c r="M19" s="108" t="s">
        <v>3353</v>
      </c>
      <c r="N19" s="107" t="s">
        <v>3487</v>
      </c>
      <c r="O19" s="108" t="s">
        <v>3353</v>
      </c>
      <c r="P19" s="107" t="s">
        <v>3487</v>
      </c>
      <c r="Q19" s="108" t="s">
        <v>3353</v>
      </c>
      <c r="R19" s="107" t="s">
        <v>3487</v>
      </c>
      <c r="S19" s="108" t="s">
        <v>3353</v>
      </c>
      <c r="T19" s="107" t="s">
        <v>3487</v>
      </c>
      <c r="U19" s="108" t="s">
        <v>3353</v>
      </c>
      <c r="V19" s="107" t="s">
        <v>3487</v>
      </c>
      <c r="W19" s="108" t="s">
        <v>3353</v>
      </c>
      <c r="X19" s="107" t="s">
        <v>3487</v>
      </c>
      <c r="Y19" s="108" t="s">
        <v>3353</v>
      </c>
      <c r="Z19" s="107" t="s">
        <v>3487</v>
      </c>
      <c r="AA19" s="108" t="s">
        <v>3353</v>
      </c>
      <c r="AB19" s="107" t="s">
        <v>3487</v>
      </c>
      <c r="AC19" s="108" t="s">
        <v>3353</v>
      </c>
      <c r="AD19" s="107" t="s">
        <v>3487</v>
      </c>
      <c r="AE19" s="108" t="s">
        <v>3353</v>
      </c>
      <c r="AF19" s="107" t="s">
        <v>3487</v>
      </c>
      <c r="AG19" s="108" t="s">
        <v>3353</v>
      </c>
      <c r="AH19" s="107" t="s">
        <v>3487</v>
      </c>
      <c r="AI19" s="108" t="s">
        <v>3353</v>
      </c>
      <c r="AJ19" s="107" t="s">
        <v>3487</v>
      </c>
      <c r="AK19" s="108" t="s">
        <v>3353</v>
      </c>
      <c r="AL19" s="107" t="s">
        <v>3487</v>
      </c>
      <c r="AM19" s="108" t="s">
        <v>3353</v>
      </c>
      <c r="AN19" s="107" t="s">
        <v>3487</v>
      </c>
      <c r="AO19" s="108" t="s">
        <v>3353</v>
      </c>
    </row>
    <row r="20" spans="2:43" s="75" customFormat="1" ht="21.75" customHeight="1" thickBot="1" x14ac:dyDescent="0.4">
      <c r="B20" s="98" t="s">
        <v>3395</v>
      </c>
      <c r="C20" s="114" t="s">
        <v>3398</v>
      </c>
      <c r="D20" s="136">
        <f t="shared" ref="D20:AO20" si="3">IFERROR(SUM(D21:D30)," ")</f>
        <v>12</v>
      </c>
      <c r="E20" s="137">
        <f t="shared" si="3"/>
        <v>8</v>
      </c>
      <c r="F20" s="109">
        <f t="shared" si="3"/>
        <v>13</v>
      </c>
      <c r="G20" s="110">
        <f t="shared" si="3"/>
        <v>5</v>
      </c>
      <c r="H20" s="109">
        <f t="shared" si="3"/>
        <v>9</v>
      </c>
      <c r="I20" s="110">
        <f t="shared" si="3"/>
        <v>4</v>
      </c>
      <c r="J20" s="109">
        <f t="shared" si="3"/>
        <v>6</v>
      </c>
      <c r="K20" s="110">
        <f t="shared" si="3"/>
        <v>3</v>
      </c>
      <c r="L20" s="109">
        <f t="shared" si="3"/>
        <v>4</v>
      </c>
      <c r="M20" s="110">
        <f t="shared" si="3"/>
        <v>3</v>
      </c>
      <c r="N20" s="109">
        <f t="shared" si="3"/>
        <v>1</v>
      </c>
      <c r="O20" s="110">
        <f t="shared" si="3"/>
        <v>0</v>
      </c>
      <c r="P20" s="109">
        <f t="shared" si="3"/>
        <v>9</v>
      </c>
      <c r="Q20" s="110">
        <f t="shared" si="3"/>
        <v>6</v>
      </c>
      <c r="R20" s="109">
        <f t="shared" si="3"/>
        <v>4</v>
      </c>
      <c r="S20" s="110">
        <f t="shared" si="3"/>
        <v>3</v>
      </c>
      <c r="T20" s="109">
        <f t="shared" si="3"/>
        <v>5</v>
      </c>
      <c r="U20" s="110">
        <f t="shared" si="3"/>
        <v>3</v>
      </c>
      <c r="V20" s="109">
        <f t="shared" si="3"/>
        <v>2</v>
      </c>
      <c r="W20" s="110">
        <f t="shared" si="3"/>
        <v>2</v>
      </c>
      <c r="X20" s="109">
        <f t="shared" si="3"/>
        <v>8</v>
      </c>
      <c r="Y20" s="110">
        <f t="shared" si="3"/>
        <v>4</v>
      </c>
      <c r="Z20" s="109">
        <f t="shared" si="3"/>
        <v>3</v>
      </c>
      <c r="AA20" s="110">
        <f t="shared" si="3"/>
        <v>2</v>
      </c>
      <c r="AB20" s="109">
        <f t="shared" si="3"/>
        <v>4</v>
      </c>
      <c r="AC20" s="110">
        <f t="shared" si="3"/>
        <v>2</v>
      </c>
      <c r="AD20" s="109">
        <f t="shared" si="3"/>
        <v>1</v>
      </c>
      <c r="AE20" s="110">
        <f t="shared" si="3"/>
        <v>1</v>
      </c>
      <c r="AF20" s="109">
        <f t="shared" si="3"/>
        <v>2</v>
      </c>
      <c r="AG20" s="110">
        <f t="shared" si="3"/>
        <v>0</v>
      </c>
      <c r="AH20" s="109">
        <f t="shared" si="3"/>
        <v>5</v>
      </c>
      <c r="AI20" s="110">
        <f t="shared" si="3"/>
        <v>6</v>
      </c>
      <c r="AJ20" s="109">
        <f t="shared" si="3"/>
        <v>8</v>
      </c>
      <c r="AK20" s="110">
        <f t="shared" si="3"/>
        <v>5</v>
      </c>
      <c r="AL20" s="109">
        <f t="shared" si="3"/>
        <v>0</v>
      </c>
      <c r="AM20" s="110">
        <f t="shared" si="3"/>
        <v>0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12" t="s">
        <v>400</v>
      </c>
      <c r="D21" s="138">
        <f>SUMIFS(Resumo_Trocas!$C:$C,Resumo_Trocas!$A:$A,$C21,Resumo_Trocas!$F:$F,D$18,Resumo_Trocas!$C:$C,"&gt;0")</f>
        <v>3</v>
      </c>
      <c r="E21" s="139">
        <f>SUMIFS(Resumo_Trocas!$D:$D,Resumo_Trocas!$A:$A,$C21,Resumo_Trocas!$F:$F,D$18,Resumo_Trocas!$C:$C,"&gt;0")</f>
        <v>0</v>
      </c>
      <c r="F21" s="138">
        <f>SUMIFS(Resumo_Trocas!$C:$C,Resumo_Trocas!$A:$A,$C21,Resumo_Trocas!$F:$F,F$18,Resumo_Trocas!$C:$C,"&gt;0")</f>
        <v>1</v>
      </c>
      <c r="G21" s="139">
        <f>SUMIFS(Resumo_Trocas!$D:$D,Resumo_Trocas!$A:$A,$C21,Resumo_Trocas!$F:$F,F$18,Resumo_Trocas!$C:$C,"&gt;0")</f>
        <v>1</v>
      </c>
      <c r="H21" s="138">
        <f>SUMIFS(Resumo_Trocas!$C:$C,Resumo_Trocas!$A:$A,$C21,Resumo_Trocas!$F:$F,H$18,Resumo_Trocas!$C:$C,"&gt;0")</f>
        <v>0</v>
      </c>
      <c r="I21" s="139">
        <f>SUMIFS(Resumo_Trocas!$D:$D,Resumo_Trocas!$A:$A,$C21,Resumo_Trocas!$F:$F,H$18,Resumo_Trocas!$C:$C,"&gt;0")</f>
        <v>0</v>
      </c>
      <c r="J21" s="138">
        <f>SUMIFS(Resumo_Trocas!$C:$C,Resumo_Trocas!$A:$A,$C21,Resumo_Trocas!$F:$F,J$18,Resumo_Trocas!$C:$C,"&gt;0")</f>
        <v>0</v>
      </c>
      <c r="K21" s="139">
        <f>SUMIFS(Resumo_Trocas!$D:$D,Resumo_Trocas!$A:$A,$C21,Resumo_Trocas!$F:$F,J$18,Resumo_Trocas!$C:$C,"&gt;0")</f>
        <v>0</v>
      </c>
      <c r="L21" s="138">
        <f>SUMIFS(Resumo_Trocas!$C:$C,Resumo_Trocas!$A:$A,$C21,Resumo_Trocas!$F:$F,L$18,Resumo_Trocas!$C:$C,"&gt;0")</f>
        <v>0</v>
      </c>
      <c r="M21" s="139">
        <f>SUMIFS(Resumo_Trocas!$D:$D,Resumo_Trocas!$A:$A,$C21,Resumo_Trocas!$F:$F,L$18,Resumo_Trocas!$C:$C,"&gt;0")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SUMIFS(Resumo_Trocas!$D:$D,Resumo_Trocas!$A:$A,$C21,Resumo_Trocas!$F:$F,N$18,Resumo_Trocas!$C:$C,"&gt;0")</f>
        <v>0</v>
      </c>
      <c r="P21" s="138">
        <f>SUMIFS(Resumo_Trocas!$C:$C,Resumo_Trocas!$A:$A,$C21,Resumo_Trocas!$F:$F,P$18,Resumo_Trocas!$C:$C,"&gt;0")</f>
        <v>1</v>
      </c>
      <c r="Q21" s="139">
        <f>SUMIFS(Resumo_Trocas!$D:$D,Resumo_Trocas!$A:$A,$C21,Resumo_Trocas!$F:$F,P$18,Resumo_Trocas!$C:$C,"&gt;0")</f>
        <v>1</v>
      </c>
      <c r="R21" s="138">
        <f>SUMIFS(Resumo_Trocas!$C:$C,Resumo_Trocas!$A:$A,$C21,Resumo_Trocas!$F:$F,R$18,Resumo_Trocas!$C:$C,"&gt;0")</f>
        <v>0</v>
      </c>
      <c r="S21" s="139">
        <f>SUMIFS(Resumo_Trocas!$D:$D,Resumo_Trocas!$A:$A,$C21,Resumo_Trocas!$F:$F,R$18,Resumo_Trocas!$C:$C,"&gt;0")</f>
        <v>0</v>
      </c>
      <c r="T21" s="138">
        <f>SUMIFS(Resumo_Trocas!$C:$C,Resumo_Trocas!$A:$A,$C21,Resumo_Trocas!$F:$F,T$18,Resumo_Trocas!$C:$C,"&gt;0")</f>
        <v>1</v>
      </c>
      <c r="U21" s="139">
        <f>SUMIFS(Resumo_Trocas!$D:$D,Resumo_Trocas!$A:$A,$C21,Resumo_Trocas!$F:$F,T$18,Resumo_Trocas!$C:$C,"&gt;0")</f>
        <v>1</v>
      </c>
      <c r="V21" s="138">
        <f>SUMIFS(Resumo_Trocas!$C:$C,Resumo_Trocas!$A:$A,$C21,Resumo_Trocas!$F:$F,V$18,Resumo_Trocas!$C:$C,"&gt;0")</f>
        <v>0</v>
      </c>
      <c r="W21" s="139">
        <f>SUMIFS(Resumo_Trocas!$D:$D,Resumo_Trocas!$A:$A,$C21,Resumo_Trocas!$F:$F,V$18,Resumo_Trocas!$C:$C,"&gt;0")</f>
        <v>0</v>
      </c>
      <c r="X21" s="138">
        <f>SUMIFS(Resumo_Trocas!$C:$C,Resumo_Trocas!$A:$A,$C21,Resumo_Trocas!$F:$F,X$18,Resumo_Trocas!$C:$C,"&gt;0")</f>
        <v>0</v>
      </c>
      <c r="Y21" s="139">
        <f>SUMIFS(Resumo_Trocas!$D:$D,Resumo_Trocas!$A:$A,$C21,Resumo_Trocas!$F:$F,X$18,Resumo_Trocas!$C:$C,"&gt;0")</f>
        <v>0</v>
      </c>
      <c r="Z21" s="138">
        <f>SUMIFS(Resumo_Trocas!$C:$C,Resumo_Trocas!$A:$A,$C21,Resumo_Trocas!$F:$F,Z$18,Resumo_Trocas!$C:$C,"&gt;0")</f>
        <v>1</v>
      </c>
      <c r="AA21" s="139">
        <f>SUMIFS(Resumo_Trocas!$D:$D,Resumo_Trocas!$A:$A,$C21,Resumo_Trocas!$F:$F,Z$18,Resumo_Trocas!$C:$C,"&gt;0")</f>
        <v>1</v>
      </c>
      <c r="AB21" s="138">
        <f>SUMIFS(Resumo_Trocas!$C:$C,Resumo_Trocas!$A:$A,$C21,Resumo_Trocas!$F:$F,AB$18,Resumo_Trocas!$C:$C,"&gt;0")</f>
        <v>0</v>
      </c>
      <c r="AC21" s="139">
        <f>SUMIFS(Resumo_Trocas!$D:$D,Resumo_Trocas!$A:$A,$C21,Resumo_Trocas!$F:$F,AB$18,Resumo_Trocas!$C:$C,"&gt;0")</f>
        <v>0</v>
      </c>
      <c r="AD21" s="138">
        <f>SUMIFS(Resumo_Trocas!$C:$C,Resumo_Trocas!$A:$A,$C21,Resumo_Trocas!$F:$F,AD$18,Resumo_Trocas!$C:$C,"&gt;0")</f>
        <v>0</v>
      </c>
      <c r="AE21" s="139">
        <f>SUMIFS(Resumo_Trocas!$D:$D,Resumo_Trocas!$A:$A,$C21,Resumo_Trocas!$F:$F,AD$18,Resumo_Trocas!$C:$C,"&gt;0")</f>
        <v>0</v>
      </c>
      <c r="AF21" s="138">
        <f>SUMIFS(Resumo_Trocas!$C:$C,Resumo_Trocas!$A:$A,$C21,Resumo_Trocas!$F:$F,AF$18,Resumo_Trocas!$C:$C,"&gt;0")</f>
        <v>0</v>
      </c>
      <c r="AG21" s="139">
        <f>SUMIFS(Resumo_Trocas!$D:$D,Resumo_Trocas!$A:$A,$C21,Resumo_Trocas!$F:$F,AF$18,Resumo_Trocas!$C:$C,"&gt;0")</f>
        <v>0</v>
      </c>
      <c r="AH21" s="138">
        <f>SUMIFS(Resumo_Trocas!$C:$C,Resumo_Trocas!$A:$A,$C21,Resumo_Trocas!$F:$F,AH$18,Resumo_Trocas!$C:$C,"&gt;0")</f>
        <v>0</v>
      </c>
      <c r="AI21" s="139">
        <f>SUMIFS(Resumo_Trocas!$D:$D,Resumo_Trocas!$A:$A,$C21,Resumo_Trocas!$F:$F,AH$18,Resumo_Trocas!$C:$C,"&gt;0")</f>
        <v>0</v>
      </c>
      <c r="AJ21" s="138">
        <f>SUMIFS(Resumo_Trocas!$C:$C,Resumo_Trocas!$A:$A,$C21,Resumo_Trocas!$F:$F,AJ$18,Resumo_Trocas!$C:$C,"&gt;0")</f>
        <v>0</v>
      </c>
      <c r="AK21" s="139">
        <f>SUMIFS(Resumo_Trocas!$D:$D,Resumo_Trocas!$A:$A,$C21,Resumo_Trocas!$F:$F,AJ$18,Resumo_Trocas!$C:$C,"&gt;0")</f>
        <v>0</v>
      </c>
      <c r="AL21" s="138">
        <f>SUMIFS(Resumo_Trocas!$C:$C,Resumo_Trocas!$A:$A,$C21,Resumo_Trocas!$F:$F,AL$18,Resumo_Trocas!$C:$C,"&gt;0")</f>
        <v>0</v>
      </c>
      <c r="AM21" s="139">
        <f>SUMIFS(Resumo_Trocas!$D:$D,Resumo_Trocas!$A:$A,$C21,Resumo_Trocas!$F:$F,AL$18,Resumo_Trocas!$C:$C,"&gt;0")</f>
        <v>0</v>
      </c>
      <c r="AN21" s="138">
        <f>SUMIFS(Resumo_Trocas!$C:$C,Resumo_Trocas!$A:$A,$C21,Resumo_Trocas!$F:$F,AN$18,Resumo_Trocas!$C:$C,"&gt;0")</f>
        <v>0</v>
      </c>
      <c r="AO21" s="139">
        <f>SUMIFS(Resumo_Trocas!$D:$D,Resumo_Trocas!$A:$A,$C21,Resumo_Trocas!$F:$F,AN$18,Resumo_Trocas!$C:$C,"&gt;0")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12" t="s">
        <v>401</v>
      </c>
      <c r="D22" s="140">
        <f>SUMIFS(Resumo_Trocas!$C:$C,Resumo_Trocas!$A:$A,$C22,Resumo_Trocas!$F:$F,D$18,Resumo_Trocas!$C:$C,"&gt;0")</f>
        <v>1</v>
      </c>
      <c r="E22" s="141">
        <f>SUMIFS(Resumo_Trocas!$D:$D,Resumo_Trocas!$A:$A,$C22,Resumo_Trocas!$F:$F,D$18,Resumo_Trocas!$C:$C,"&gt;0")</f>
        <v>1</v>
      </c>
      <c r="F22" s="140">
        <f>SUMIFS(Resumo_Trocas!$C:$C,Resumo_Trocas!$A:$A,$C22,Resumo_Trocas!$F:$F,F$18,Resumo_Trocas!$C:$C,"&gt;0")</f>
        <v>3</v>
      </c>
      <c r="G22" s="141">
        <f>SUMIFS(Resumo_Trocas!$D:$D,Resumo_Trocas!$A:$A,$C22,Resumo_Trocas!$F:$F,F$18,Resumo_Trocas!$C:$C,"&gt;0")</f>
        <v>0</v>
      </c>
      <c r="H22" s="140">
        <f>SUMIFS(Resumo_Trocas!$C:$C,Resumo_Trocas!$A:$A,$C22,Resumo_Trocas!$F:$F,H$18,Resumo_Trocas!$C:$C,"&gt;0")</f>
        <v>0</v>
      </c>
      <c r="I22" s="141">
        <f>SUMIFS(Resumo_Trocas!$D:$D,Resumo_Trocas!$A:$A,$C22,Resumo_Trocas!$F:$F,H$18,Resumo_Trocas!$C:$C,"&gt;0")</f>
        <v>0</v>
      </c>
      <c r="J22" s="140">
        <f>SUMIFS(Resumo_Trocas!$C:$C,Resumo_Trocas!$A:$A,$C22,Resumo_Trocas!$F:$F,J$18,Resumo_Trocas!$C:$C,"&gt;0")</f>
        <v>1</v>
      </c>
      <c r="K22" s="141">
        <f>SUMIFS(Resumo_Trocas!$D:$D,Resumo_Trocas!$A:$A,$C22,Resumo_Trocas!$F:$F,J$18,Resumo_Trocas!$C:$C,"&gt;0")</f>
        <v>0</v>
      </c>
      <c r="L22" s="140">
        <f>SUMIFS(Resumo_Trocas!$C:$C,Resumo_Trocas!$A:$A,$C22,Resumo_Trocas!$F:$F,L$18,Resumo_Trocas!$C:$C,"&gt;0")</f>
        <v>0</v>
      </c>
      <c r="M22" s="141">
        <f>SUMIFS(Resumo_Trocas!$D:$D,Resumo_Trocas!$A:$A,$C22,Resumo_Trocas!$F:$F,L$18,Resumo_Trocas!$C:$C,"&gt;0")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SUMIFS(Resumo_Trocas!$D:$D,Resumo_Trocas!$A:$A,$C22,Resumo_Trocas!$F:$F,N$18,Resumo_Trocas!$C:$C,"&gt;0")</f>
        <v>0</v>
      </c>
      <c r="P22" s="140">
        <f>SUMIFS(Resumo_Trocas!$C:$C,Resumo_Trocas!$A:$A,$C22,Resumo_Trocas!$F:$F,P$18,Resumo_Trocas!$C:$C,"&gt;0")</f>
        <v>1</v>
      </c>
      <c r="Q22" s="141">
        <f>SUMIFS(Resumo_Trocas!$D:$D,Resumo_Trocas!$A:$A,$C22,Resumo_Trocas!$F:$F,P$18,Resumo_Trocas!$C:$C,"&gt;0")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SUMIFS(Resumo_Trocas!$D:$D,Resumo_Trocas!$A:$A,$C22,Resumo_Trocas!$F:$F,R$18,Resumo_Trocas!$C:$C,"&gt;0")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SUMIFS(Resumo_Trocas!$D:$D,Resumo_Trocas!$A:$A,$C22,Resumo_Trocas!$F:$F,T$18,Resumo_Trocas!$C:$C,"&gt;0")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SUMIFS(Resumo_Trocas!$D:$D,Resumo_Trocas!$A:$A,$C22,Resumo_Trocas!$F:$F,V$18,Resumo_Trocas!$C:$C,"&gt;0")</f>
        <v>0</v>
      </c>
      <c r="X22" s="140">
        <f>SUMIFS(Resumo_Trocas!$C:$C,Resumo_Trocas!$A:$A,$C22,Resumo_Trocas!$F:$F,X$18,Resumo_Trocas!$C:$C,"&gt;0")</f>
        <v>1</v>
      </c>
      <c r="Y22" s="141">
        <f>SUMIFS(Resumo_Trocas!$D:$D,Resumo_Trocas!$A:$A,$C22,Resumo_Trocas!$F:$F,X$18,Resumo_Trocas!$C:$C,"&gt;0")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SUMIFS(Resumo_Trocas!$D:$D,Resumo_Trocas!$A:$A,$C22,Resumo_Trocas!$F:$F,Z$18,Resumo_Trocas!$C:$C,"&gt;0")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SUMIFS(Resumo_Trocas!$D:$D,Resumo_Trocas!$A:$A,$C22,Resumo_Trocas!$F:$F,AB$18,Resumo_Trocas!$C:$C,"&gt;0")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SUMIFS(Resumo_Trocas!$D:$D,Resumo_Trocas!$A:$A,$C22,Resumo_Trocas!$F:$F,AD$18,Resumo_Trocas!$C:$C,"&gt;0")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SUMIFS(Resumo_Trocas!$D:$D,Resumo_Trocas!$A:$A,$C22,Resumo_Trocas!$F:$F,AF$18,Resumo_Trocas!$C:$C,"&gt;0")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SUMIFS(Resumo_Trocas!$D:$D,Resumo_Trocas!$A:$A,$C22,Resumo_Trocas!$F:$F,AH$18,Resumo_Trocas!$C:$C,"&gt;0")</f>
        <v>0</v>
      </c>
      <c r="AJ22" s="140">
        <f>SUMIFS(Resumo_Trocas!$C:$C,Resumo_Trocas!$A:$A,$C22,Resumo_Trocas!$F:$F,AJ$18,Resumo_Trocas!$C:$C,"&gt;0")</f>
        <v>1</v>
      </c>
      <c r="AK22" s="141">
        <f>SUMIFS(Resumo_Trocas!$D:$D,Resumo_Trocas!$A:$A,$C22,Resumo_Trocas!$F:$F,AJ$18,Resumo_Trocas!$C:$C,"&gt;0")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SUMIFS(Resumo_Trocas!$D:$D,Resumo_Trocas!$A:$A,$C22,Resumo_Trocas!$F:$F,AL$18,Resumo_Trocas!$C:$C,"&gt;0")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SUMIFS(Resumo_Trocas!$D:$D,Resumo_Trocas!$A:$A,$C22,Resumo_Trocas!$F:$F,AN$18,Resumo_Trocas!$C:$C,"&gt;0")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12" t="s">
        <v>405</v>
      </c>
      <c r="D23" s="140">
        <f>SUMIFS(Resumo_Trocas!$C:$C,Resumo_Trocas!$A:$A,$C23,Resumo_Trocas!$F:$F,D$18,Resumo_Trocas!$C:$C,"&gt;0")</f>
        <v>3</v>
      </c>
      <c r="E23" s="141">
        <f>SUMIFS(Resumo_Trocas!$D:$D,Resumo_Trocas!$A:$A,$C23,Resumo_Trocas!$F:$F,D$18,Resumo_Trocas!$C:$C,"&gt;0")</f>
        <v>3</v>
      </c>
      <c r="F23" s="140">
        <f>SUMIFS(Resumo_Trocas!$C:$C,Resumo_Trocas!$A:$A,$C23,Resumo_Trocas!$F:$F,F$18,Resumo_Trocas!$C:$C,"&gt;0")</f>
        <v>1</v>
      </c>
      <c r="G23" s="141">
        <f>SUMIFS(Resumo_Trocas!$D:$D,Resumo_Trocas!$A:$A,$C23,Resumo_Trocas!$F:$F,F$18,Resumo_Trocas!$C:$C,"&gt;0")</f>
        <v>1</v>
      </c>
      <c r="H23" s="140">
        <f>SUMIFS(Resumo_Trocas!$C:$C,Resumo_Trocas!$A:$A,$C23,Resumo_Trocas!$F:$F,H$18,Resumo_Trocas!$C:$C,"&gt;0")</f>
        <v>1</v>
      </c>
      <c r="I23" s="141">
        <f>SUMIFS(Resumo_Trocas!$D:$D,Resumo_Trocas!$A:$A,$C23,Resumo_Trocas!$F:$F,H$18,Resumo_Trocas!$C:$C,"&gt;0")</f>
        <v>1</v>
      </c>
      <c r="J23" s="140">
        <f>SUMIFS(Resumo_Trocas!$C:$C,Resumo_Trocas!$A:$A,$C23,Resumo_Trocas!$F:$F,J$18,Resumo_Trocas!$C:$C,"&gt;0")</f>
        <v>0</v>
      </c>
      <c r="K23" s="141">
        <f>SUMIFS(Resumo_Trocas!$D:$D,Resumo_Trocas!$A:$A,$C23,Resumo_Trocas!$F:$F,J$18,Resumo_Trocas!$C:$C,"&gt;0")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SUMIFS(Resumo_Trocas!$D:$D,Resumo_Trocas!$A:$A,$C23,Resumo_Trocas!$F:$F,L$18,Resumo_Trocas!$C:$C,"&gt;0")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SUMIFS(Resumo_Trocas!$D:$D,Resumo_Trocas!$A:$A,$C23,Resumo_Trocas!$F:$F,N$18,Resumo_Trocas!$C:$C,"&gt;0")</f>
        <v>0</v>
      </c>
      <c r="P23" s="140">
        <f>SUMIFS(Resumo_Trocas!$C:$C,Resumo_Trocas!$A:$A,$C23,Resumo_Trocas!$F:$F,P$18,Resumo_Trocas!$C:$C,"&gt;0")</f>
        <v>1</v>
      </c>
      <c r="Q23" s="141">
        <f>SUMIFS(Resumo_Trocas!$D:$D,Resumo_Trocas!$A:$A,$C23,Resumo_Trocas!$F:$F,P$18,Resumo_Trocas!$C:$C,"&gt;0")</f>
        <v>1</v>
      </c>
      <c r="R23" s="140">
        <f>SUMIFS(Resumo_Trocas!$C:$C,Resumo_Trocas!$A:$A,$C23,Resumo_Trocas!$F:$F,R$18,Resumo_Trocas!$C:$C,"&gt;0")</f>
        <v>0</v>
      </c>
      <c r="S23" s="141">
        <f>SUMIFS(Resumo_Trocas!$D:$D,Resumo_Trocas!$A:$A,$C23,Resumo_Trocas!$F:$F,R$18,Resumo_Trocas!$C:$C,"&gt;0")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SUMIFS(Resumo_Trocas!$D:$D,Resumo_Trocas!$A:$A,$C23,Resumo_Trocas!$F:$F,T$18,Resumo_Trocas!$C:$C,"&gt;0")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SUMIFS(Resumo_Trocas!$D:$D,Resumo_Trocas!$A:$A,$C23,Resumo_Trocas!$F:$F,V$18,Resumo_Trocas!$C:$C,"&gt;0")</f>
        <v>0</v>
      </c>
      <c r="X23" s="140">
        <f>SUMIFS(Resumo_Trocas!$C:$C,Resumo_Trocas!$A:$A,$C23,Resumo_Trocas!$F:$F,X$18,Resumo_Trocas!$C:$C,"&gt;0")</f>
        <v>1</v>
      </c>
      <c r="Y23" s="141">
        <f>SUMIFS(Resumo_Trocas!$D:$D,Resumo_Trocas!$A:$A,$C23,Resumo_Trocas!$F:$F,X$18,Resumo_Trocas!$C:$C,"&gt;0")</f>
        <v>1</v>
      </c>
      <c r="Z23" s="140">
        <f>SUMIFS(Resumo_Trocas!$C:$C,Resumo_Trocas!$A:$A,$C23,Resumo_Trocas!$F:$F,Z$18,Resumo_Trocas!$C:$C,"&gt;0")</f>
        <v>0</v>
      </c>
      <c r="AA23" s="141">
        <f>SUMIFS(Resumo_Trocas!$D:$D,Resumo_Trocas!$A:$A,$C23,Resumo_Trocas!$F:$F,Z$18,Resumo_Trocas!$C:$C,"&gt;0")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SUMIFS(Resumo_Trocas!$D:$D,Resumo_Trocas!$A:$A,$C23,Resumo_Trocas!$F:$F,AB$18,Resumo_Trocas!$C:$C,"&gt;0")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SUMIFS(Resumo_Trocas!$D:$D,Resumo_Trocas!$A:$A,$C23,Resumo_Trocas!$F:$F,AD$18,Resumo_Trocas!$C:$C,"&gt;0")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SUMIFS(Resumo_Trocas!$D:$D,Resumo_Trocas!$A:$A,$C23,Resumo_Trocas!$F:$F,AF$18,Resumo_Trocas!$C:$C,"&gt;0")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SUMIFS(Resumo_Trocas!$D:$D,Resumo_Trocas!$A:$A,$C23,Resumo_Trocas!$F:$F,AH$18,Resumo_Trocas!$C:$C,"&gt;0")</f>
        <v>0</v>
      </c>
      <c r="AJ23" s="140">
        <f>SUMIFS(Resumo_Trocas!$C:$C,Resumo_Trocas!$A:$A,$C23,Resumo_Trocas!$F:$F,AJ$18,Resumo_Trocas!$C:$C,"&gt;0")</f>
        <v>1</v>
      </c>
      <c r="AK23" s="141">
        <f>SUMIFS(Resumo_Trocas!$D:$D,Resumo_Trocas!$A:$A,$C23,Resumo_Trocas!$F:$F,AJ$18,Resumo_Trocas!$C:$C,"&gt;0")</f>
        <v>1</v>
      </c>
      <c r="AL23" s="140">
        <f>SUMIFS(Resumo_Trocas!$C:$C,Resumo_Trocas!$A:$A,$C23,Resumo_Trocas!$F:$F,AL$18,Resumo_Trocas!$C:$C,"&gt;0")</f>
        <v>0</v>
      </c>
      <c r="AM23" s="141">
        <f>SUMIFS(Resumo_Trocas!$D:$D,Resumo_Trocas!$A:$A,$C23,Resumo_Trocas!$F:$F,AL$18,Resumo_Trocas!$C:$C,"&gt;0")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SUMIFS(Resumo_Trocas!$D:$D,Resumo_Trocas!$A:$A,$C23,Resumo_Trocas!$F:$F,AN$18,Resumo_Trocas!$C:$C,"&gt;0")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12" t="s">
        <v>409</v>
      </c>
      <c r="D24" s="140">
        <f>SUMIFS(Resumo_Trocas!$C:$C,Resumo_Trocas!$A:$A,$C24,Resumo_Trocas!$F:$F,D$18,Resumo_Trocas!$C:$C,"&gt;0")</f>
        <v>0</v>
      </c>
      <c r="E24" s="141">
        <f>SUMIFS(Resumo_Trocas!$D:$D,Resumo_Trocas!$A:$A,$C24,Resumo_Trocas!$F:$F,D$18,Resumo_Trocas!$C:$C,"&gt;0")</f>
        <v>0</v>
      </c>
      <c r="F24" s="140">
        <f>SUMIFS(Resumo_Trocas!$C:$C,Resumo_Trocas!$A:$A,$C24,Resumo_Trocas!$F:$F,F$18,Resumo_Trocas!$C:$C,"&gt;0")</f>
        <v>0</v>
      </c>
      <c r="G24" s="141">
        <f>SUMIFS(Resumo_Trocas!$D:$D,Resumo_Trocas!$A:$A,$C24,Resumo_Trocas!$F:$F,F$18,Resumo_Trocas!$C:$C,"&gt;0")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SUMIFS(Resumo_Trocas!$D:$D,Resumo_Trocas!$A:$A,$C24,Resumo_Trocas!$F:$F,H$18,Resumo_Trocas!$C:$C,"&gt;0")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SUMIFS(Resumo_Trocas!$D:$D,Resumo_Trocas!$A:$A,$C24,Resumo_Trocas!$F:$F,J$18,Resumo_Trocas!$C:$C,"&gt;0")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SUMIFS(Resumo_Trocas!$D:$D,Resumo_Trocas!$A:$A,$C24,Resumo_Trocas!$F:$F,L$18,Resumo_Trocas!$C:$C,"&gt;0")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SUMIFS(Resumo_Trocas!$D:$D,Resumo_Trocas!$A:$A,$C24,Resumo_Trocas!$F:$F,N$18,Resumo_Trocas!$C:$C,"&gt;0")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SUMIFS(Resumo_Trocas!$D:$D,Resumo_Trocas!$A:$A,$C24,Resumo_Trocas!$F:$F,P$18,Resumo_Trocas!$C:$C,"&gt;0")</f>
        <v>0</v>
      </c>
      <c r="R24" s="140">
        <f>SUMIFS(Resumo_Trocas!$C:$C,Resumo_Trocas!$A:$A,$C24,Resumo_Trocas!$F:$F,R$18,Resumo_Trocas!$C:$C,"&gt;0")</f>
        <v>1</v>
      </c>
      <c r="S24" s="141">
        <f>SUMIFS(Resumo_Trocas!$D:$D,Resumo_Trocas!$A:$A,$C24,Resumo_Trocas!$F:$F,R$18,Resumo_Trocas!$C:$C,"&gt;0")</f>
        <v>1</v>
      </c>
      <c r="T24" s="140">
        <f>SUMIFS(Resumo_Trocas!$C:$C,Resumo_Trocas!$A:$A,$C24,Resumo_Trocas!$F:$F,T$18,Resumo_Trocas!$C:$C,"&gt;0")</f>
        <v>0</v>
      </c>
      <c r="U24" s="141">
        <f>SUMIFS(Resumo_Trocas!$D:$D,Resumo_Trocas!$A:$A,$C24,Resumo_Trocas!$F:$F,T$18,Resumo_Trocas!$C:$C,"&gt;0")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SUMIFS(Resumo_Trocas!$D:$D,Resumo_Trocas!$A:$A,$C24,Resumo_Trocas!$F:$F,V$18,Resumo_Trocas!$C:$C,"&gt;0")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SUMIFS(Resumo_Trocas!$D:$D,Resumo_Trocas!$A:$A,$C24,Resumo_Trocas!$F:$F,X$18,Resumo_Trocas!$C:$C,"&gt;0")</f>
        <v>0</v>
      </c>
      <c r="Z24" s="140">
        <f>SUMIFS(Resumo_Trocas!$C:$C,Resumo_Trocas!$A:$A,$C24,Resumo_Trocas!$F:$F,Z$18,Resumo_Trocas!$C:$C,"&gt;0")</f>
        <v>0</v>
      </c>
      <c r="AA24" s="141">
        <f>SUMIFS(Resumo_Trocas!$D:$D,Resumo_Trocas!$A:$A,$C24,Resumo_Trocas!$F:$F,Z$18,Resumo_Trocas!$C:$C,"&gt;0")</f>
        <v>0</v>
      </c>
      <c r="AB24" s="140">
        <f>SUMIFS(Resumo_Trocas!$C:$C,Resumo_Trocas!$A:$A,$C24,Resumo_Trocas!$F:$F,AB$18,Resumo_Trocas!$C:$C,"&gt;0")</f>
        <v>1</v>
      </c>
      <c r="AC24" s="141">
        <f>SUMIFS(Resumo_Trocas!$D:$D,Resumo_Trocas!$A:$A,$C24,Resumo_Trocas!$F:$F,AB$18,Resumo_Trocas!$C:$C,"&gt;0")</f>
        <v>1</v>
      </c>
      <c r="AD24" s="140">
        <f>SUMIFS(Resumo_Trocas!$C:$C,Resumo_Trocas!$A:$A,$C24,Resumo_Trocas!$F:$F,AD$18,Resumo_Trocas!$C:$C,"&gt;0")</f>
        <v>0</v>
      </c>
      <c r="AE24" s="141">
        <f>SUMIFS(Resumo_Trocas!$D:$D,Resumo_Trocas!$A:$A,$C24,Resumo_Trocas!$F:$F,AD$18,Resumo_Trocas!$C:$C,"&gt;0")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SUMIFS(Resumo_Trocas!$D:$D,Resumo_Trocas!$A:$A,$C24,Resumo_Trocas!$F:$F,AF$18,Resumo_Trocas!$C:$C,"&gt;0")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SUMIFS(Resumo_Trocas!$D:$D,Resumo_Trocas!$A:$A,$C24,Resumo_Trocas!$F:$F,AH$18,Resumo_Trocas!$C:$C,"&gt;0")</f>
        <v>0</v>
      </c>
      <c r="AJ24" s="140">
        <f>SUMIFS(Resumo_Trocas!$C:$C,Resumo_Trocas!$A:$A,$C24,Resumo_Trocas!$F:$F,AJ$18,Resumo_Trocas!$C:$C,"&gt;0")</f>
        <v>1</v>
      </c>
      <c r="AK24" s="141">
        <f>SUMIFS(Resumo_Trocas!$D:$D,Resumo_Trocas!$A:$A,$C24,Resumo_Trocas!$F:$F,AJ$18,Resumo_Trocas!$C:$C,"&gt;0")</f>
        <v>1</v>
      </c>
      <c r="AL24" s="140">
        <f>SUMIFS(Resumo_Trocas!$C:$C,Resumo_Trocas!$A:$A,$C24,Resumo_Trocas!$F:$F,AL$18,Resumo_Trocas!$C:$C,"&gt;0")</f>
        <v>0</v>
      </c>
      <c r="AM24" s="141">
        <f>SUMIFS(Resumo_Trocas!$D:$D,Resumo_Trocas!$A:$A,$C24,Resumo_Trocas!$F:$F,AL$18,Resumo_Trocas!$C:$C,"&gt;0")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SUMIFS(Resumo_Trocas!$D:$D,Resumo_Trocas!$A:$A,$C24,Resumo_Trocas!$F:$F,AN$18,Resumo_Trocas!$C:$C,"&gt;0")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12" t="s">
        <v>413</v>
      </c>
      <c r="D25" s="140">
        <f>SUMIFS(Resumo_Trocas!$C:$C,Resumo_Trocas!$A:$A,$C25,Resumo_Trocas!$F:$F,D$18,Resumo_Trocas!$C:$C,"&gt;0")</f>
        <v>1</v>
      </c>
      <c r="E25" s="141">
        <f>SUMIFS(Resumo_Trocas!$D:$D,Resumo_Trocas!$A:$A,$C25,Resumo_Trocas!$F:$F,D$18,Resumo_Trocas!$C:$C,"&gt;0")</f>
        <v>0</v>
      </c>
      <c r="F25" s="140">
        <f>SUMIFS(Resumo_Trocas!$C:$C,Resumo_Trocas!$A:$A,$C25,Resumo_Trocas!$F:$F,F$18,Resumo_Trocas!$C:$C,"&gt;0")</f>
        <v>3</v>
      </c>
      <c r="G25" s="141">
        <f>SUMIFS(Resumo_Trocas!$D:$D,Resumo_Trocas!$A:$A,$C25,Resumo_Trocas!$F:$F,F$18,Resumo_Trocas!$C:$C,"&gt;0")</f>
        <v>0</v>
      </c>
      <c r="H25" s="140">
        <f>SUMIFS(Resumo_Trocas!$C:$C,Resumo_Trocas!$A:$A,$C25,Resumo_Trocas!$F:$F,H$18,Resumo_Trocas!$C:$C,"&gt;0")</f>
        <v>3</v>
      </c>
      <c r="I25" s="141">
        <f>SUMIFS(Resumo_Trocas!$D:$D,Resumo_Trocas!$A:$A,$C25,Resumo_Trocas!$F:$F,H$18,Resumo_Trocas!$C:$C,"&gt;0")</f>
        <v>0</v>
      </c>
      <c r="J25" s="140">
        <f>SUMIFS(Resumo_Trocas!$C:$C,Resumo_Trocas!$A:$A,$C25,Resumo_Trocas!$F:$F,J$18,Resumo_Trocas!$C:$C,"&gt;0")</f>
        <v>0</v>
      </c>
      <c r="K25" s="141">
        <f>SUMIFS(Resumo_Trocas!$D:$D,Resumo_Trocas!$A:$A,$C25,Resumo_Trocas!$F:$F,J$18,Resumo_Trocas!$C:$C,"&gt;0")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SUMIFS(Resumo_Trocas!$D:$D,Resumo_Trocas!$A:$A,$C25,Resumo_Trocas!$F:$F,L$18,Resumo_Trocas!$C:$C,"&gt;0")</f>
        <v>0</v>
      </c>
      <c r="N25" s="140">
        <f>SUMIFS(Resumo_Trocas!$C:$C,Resumo_Trocas!$A:$A,$C25,Resumo_Trocas!$F:$F,N$18,Resumo_Trocas!$C:$C,"&gt;0")</f>
        <v>1</v>
      </c>
      <c r="O25" s="141">
        <f>SUMIFS(Resumo_Trocas!$D:$D,Resumo_Trocas!$A:$A,$C25,Resumo_Trocas!$F:$F,N$18,Resumo_Trocas!$C:$C,"&gt;0")</f>
        <v>0</v>
      </c>
      <c r="P25" s="140">
        <f>SUMIFS(Resumo_Trocas!$C:$C,Resumo_Trocas!$A:$A,$C25,Resumo_Trocas!$F:$F,P$18,Resumo_Trocas!$C:$C,"&gt;0")</f>
        <v>0</v>
      </c>
      <c r="Q25" s="141">
        <f>SUMIFS(Resumo_Trocas!$D:$D,Resumo_Trocas!$A:$A,$C25,Resumo_Trocas!$F:$F,P$18,Resumo_Trocas!$C:$C,"&gt;0")</f>
        <v>0</v>
      </c>
      <c r="R25" s="140">
        <f>SUMIFS(Resumo_Trocas!$C:$C,Resumo_Trocas!$A:$A,$C25,Resumo_Trocas!$F:$F,R$18,Resumo_Trocas!$C:$C,"&gt;0")</f>
        <v>1</v>
      </c>
      <c r="S25" s="141">
        <f>SUMIFS(Resumo_Trocas!$D:$D,Resumo_Trocas!$A:$A,$C25,Resumo_Trocas!$F:$F,R$18,Resumo_Trocas!$C:$C,"&gt;0")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SUMIFS(Resumo_Trocas!$D:$D,Resumo_Trocas!$A:$A,$C25,Resumo_Trocas!$F:$F,T$18,Resumo_Trocas!$C:$C,"&gt;0")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SUMIFS(Resumo_Trocas!$D:$D,Resumo_Trocas!$A:$A,$C25,Resumo_Trocas!$F:$F,V$18,Resumo_Trocas!$C:$C,"&gt;0")</f>
        <v>0</v>
      </c>
      <c r="X25" s="140">
        <f>SUMIFS(Resumo_Trocas!$C:$C,Resumo_Trocas!$A:$A,$C25,Resumo_Trocas!$F:$F,X$18,Resumo_Trocas!$C:$C,"&gt;0")</f>
        <v>1</v>
      </c>
      <c r="Y25" s="141">
        <f>SUMIFS(Resumo_Trocas!$D:$D,Resumo_Trocas!$A:$A,$C25,Resumo_Trocas!$F:$F,X$18,Resumo_Trocas!$C:$C,"&gt;0")</f>
        <v>0</v>
      </c>
      <c r="Z25" s="140">
        <f>SUMIFS(Resumo_Trocas!$C:$C,Resumo_Trocas!$A:$A,$C25,Resumo_Trocas!$F:$F,Z$18,Resumo_Trocas!$C:$C,"&gt;0")</f>
        <v>0</v>
      </c>
      <c r="AA25" s="141">
        <f>SUMIFS(Resumo_Trocas!$D:$D,Resumo_Trocas!$A:$A,$C25,Resumo_Trocas!$F:$F,Z$18,Resumo_Trocas!$C:$C,"&gt;0")</f>
        <v>0</v>
      </c>
      <c r="AB25" s="140">
        <f>SUMIFS(Resumo_Trocas!$C:$C,Resumo_Trocas!$A:$A,$C25,Resumo_Trocas!$F:$F,AB$18,Resumo_Trocas!$C:$C,"&gt;0")</f>
        <v>1</v>
      </c>
      <c r="AC25" s="141">
        <f>SUMIFS(Resumo_Trocas!$D:$D,Resumo_Trocas!$A:$A,$C25,Resumo_Trocas!$F:$F,AB$18,Resumo_Trocas!$C:$C,"&gt;0")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SUMIFS(Resumo_Trocas!$D:$D,Resumo_Trocas!$A:$A,$C25,Resumo_Trocas!$F:$F,AD$18,Resumo_Trocas!$C:$C,"&gt;0")</f>
        <v>0</v>
      </c>
      <c r="AF25" s="140">
        <f>SUMIFS(Resumo_Trocas!$C:$C,Resumo_Trocas!$A:$A,$C25,Resumo_Trocas!$F:$F,AF$18,Resumo_Trocas!$C:$C,"&gt;0")</f>
        <v>0</v>
      </c>
      <c r="AG25" s="141">
        <f>SUMIFS(Resumo_Trocas!$D:$D,Resumo_Trocas!$A:$A,$C25,Resumo_Trocas!$F:$F,AF$18,Resumo_Trocas!$C:$C,"&gt;0")</f>
        <v>0</v>
      </c>
      <c r="AH25" s="140">
        <f>SUMIFS(Resumo_Trocas!$C:$C,Resumo_Trocas!$A:$A,$C25,Resumo_Trocas!$F:$F,AH$18,Resumo_Trocas!$C:$C,"&gt;0")</f>
        <v>0</v>
      </c>
      <c r="AI25" s="141">
        <f>SUMIFS(Resumo_Trocas!$D:$D,Resumo_Trocas!$A:$A,$C25,Resumo_Trocas!$F:$F,AH$18,Resumo_Trocas!$C:$C,"&gt;0")</f>
        <v>0</v>
      </c>
      <c r="AJ25" s="140">
        <f>SUMIFS(Resumo_Trocas!$C:$C,Resumo_Trocas!$A:$A,$C25,Resumo_Trocas!$F:$F,AJ$18,Resumo_Trocas!$C:$C,"&gt;0")</f>
        <v>1</v>
      </c>
      <c r="AK25" s="141">
        <f>SUMIFS(Resumo_Trocas!$D:$D,Resumo_Trocas!$A:$A,$C25,Resumo_Trocas!$F:$F,AJ$18,Resumo_Trocas!$C:$C,"&gt;0")</f>
        <v>0</v>
      </c>
      <c r="AL25" s="140">
        <f>SUMIFS(Resumo_Trocas!$C:$C,Resumo_Trocas!$A:$A,$C25,Resumo_Trocas!$F:$F,AL$18,Resumo_Trocas!$C:$C,"&gt;0")</f>
        <v>0</v>
      </c>
      <c r="AM25" s="141">
        <f>SUMIFS(Resumo_Trocas!$D:$D,Resumo_Trocas!$A:$A,$C25,Resumo_Trocas!$F:$F,AL$18,Resumo_Trocas!$C:$C,"&gt;0")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SUMIFS(Resumo_Trocas!$D:$D,Resumo_Trocas!$A:$A,$C25,Resumo_Trocas!$F:$F,AN$18,Resumo_Trocas!$C:$C,"&gt;0")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12" t="s">
        <v>418</v>
      </c>
      <c r="D26" s="140">
        <f>SUMIFS(Resumo_Trocas!$C:$C,Resumo_Trocas!$A:$A,$C26,Resumo_Trocas!$F:$F,D$18,Resumo_Trocas!$C:$C,"&gt;0")</f>
        <v>0</v>
      </c>
      <c r="E26" s="141">
        <f>SUMIFS(Resumo_Trocas!$D:$D,Resumo_Trocas!$A:$A,$C26,Resumo_Trocas!$F:$F,D$18,Resumo_Trocas!$C:$C,"&gt;0")</f>
        <v>0</v>
      </c>
      <c r="F26" s="140">
        <f>SUMIFS(Resumo_Trocas!$C:$C,Resumo_Trocas!$A:$A,$C26,Resumo_Trocas!$F:$F,F$18,Resumo_Trocas!$C:$C,"&gt;0")</f>
        <v>1</v>
      </c>
      <c r="G26" s="141">
        <f>SUMIFS(Resumo_Trocas!$D:$D,Resumo_Trocas!$A:$A,$C26,Resumo_Trocas!$F:$F,F$18,Resumo_Trocas!$C:$C,"&gt;0")</f>
        <v>1</v>
      </c>
      <c r="H26" s="140">
        <f>SUMIFS(Resumo_Trocas!$C:$C,Resumo_Trocas!$A:$A,$C26,Resumo_Trocas!$F:$F,H$18,Resumo_Trocas!$C:$C,"&gt;0")</f>
        <v>2</v>
      </c>
      <c r="I26" s="141">
        <f>SUMIFS(Resumo_Trocas!$D:$D,Resumo_Trocas!$A:$A,$C26,Resumo_Trocas!$F:$F,H$18,Resumo_Trocas!$C:$C,"&gt;0")</f>
        <v>2</v>
      </c>
      <c r="J26" s="140">
        <f>SUMIFS(Resumo_Trocas!$C:$C,Resumo_Trocas!$A:$A,$C26,Resumo_Trocas!$F:$F,J$18,Resumo_Trocas!$C:$C,"&gt;0")</f>
        <v>1</v>
      </c>
      <c r="K26" s="141">
        <f>SUMIFS(Resumo_Trocas!$D:$D,Resumo_Trocas!$A:$A,$C26,Resumo_Trocas!$F:$F,J$18,Resumo_Trocas!$C:$C,"&gt;0")</f>
        <v>1</v>
      </c>
      <c r="L26" s="140">
        <f>SUMIFS(Resumo_Trocas!$C:$C,Resumo_Trocas!$A:$A,$C26,Resumo_Trocas!$F:$F,L$18,Resumo_Trocas!$C:$C,"&gt;0")</f>
        <v>1</v>
      </c>
      <c r="M26" s="141">
        <f>SUMIFS(Resumo_Trocas!$D:$D,Resumo_Trocas!$A:$A,$C26,Resumo_Trocas!$F:$F,L$18,Resumo_Trocas!$C:$C,"&gt;0")</f>
        <v>1</v>
      </c>
      <c r="N26" s="140">
        <f>SUMIFS(Resumo_Trocas!$C:$C,Resumo_Trocas!$A:$A,$C26,Resumo_Trocas!$F:$F,N$18,Resumo_Trocas!$C:$C,"&gt;0")</f>
        <v>0</v>
      </c>
      <c r="O26" s="141">
        <f>SUMIFS(Resumo_Trocas!$D:$D,Resumo_Trocas!$A:$A,$C26,Resumo_Trocas!$F:$F,N$18,Resumo_Trocas!$C:$C,"&gt;0")</f>
        <v>0</v>
      </c>
      <c r="P26" s="140">
        <f>SUMIFS(Resumo_Trocas!$C:$C,Resumo_Trocas!$A:$A,$C26,Resumo_Trocas!$F:$F,P$18,Resumo_Trocas!$C:$C,"&gt;0")</f>
        <v>2</v>
      </c>
      <c r="Q26" s="141">
        <f>SUMIFS(Resumo_Trocas!$D:$D,Resumo_Trocas!$A:$A,$C26,Resumo_Trocas!$F:$F,P$18,Resumo_Trocas!$C:$C,"&gt;0")</f>
        <v>2</v>
      </c>
      <c r="R26" s="140">
        <f>SUMIFS(Resumo_Trocas!$C:$C,Resumo_Trocas!$A:$A,$C26,Resumo_Trocas!$F:$F,R$18,Resumo_Trocas!$C:$C,"&gt;0")</f>
        <v>0</v>
      </c>
      <c r="S26" s="141">
        <f>SUMIFS(Resumo_Trocas!$D:$D,Resumo_Trocas!$A:$A,$C26,Resumo_Trocas!$F:$F,R$18,Resumo_Trocas!$C:$C,"&gt;0")</f>
        <v>0</v>
      </c>
      <c r="T26" s="140">
        <f>SUMIFS(Resumo_Trocas!$C:$C,Resumo_Trocas!$A:$A,$C26,Resumo_Trocas!$F:$F,T$18,Resumo_Trocas!$C:$C,"&gt;0")</f>
        <v>1</v>
      </c>
      <c r="U26" s="141">
        <f>SUMIFS(Resumo_Trocas!$D:$D,Resumo_Trocas!$A:$A,$C26,Resumo_Trocas!$F:$F,T$18,Resumo_Trocas!$C:$C,"&gt;0")</f>
        <v>1</v>
      </c>
      <c r="V26" s="140">
        <f>SUMIFS(Resumo_Trocas!$C:$C,Resumo_Trocas!$A:$A,$C26,Resumo_Trocas!$F:$F,V$18,Resumo_Trocas!$C:$C,"&gt;0")</f>
        <v>1</v>
      </c>
      <c r="W26" s="141">
        <f>SUMIFS(Resumo_Trocas!$D:$D,Resumo_Trocas!$A:$A,$C26,Resumo_Trocas!$F:$F,V$18,Resumo_Trocas!$C:$C,"&gt;0")</f>
        <v>1</v>
      </c>
      <c r="X26" s="140">
        <f>SUMIFS(Resumo_Trocas!$C:$C,Resumo_Trocas!$A:$A,$C26,Resumo_Trocas!$F:$F,X$18,Resumo_Trocas!$C:$C,"&gt;0")</f>
        <v>1</v>
      </c>
      <c r="Y26" s="141">
        <f>SUMIFS(Resumo_Trocas!$D:$D,Resumo_Trocas!$A:$A,$C26,Resumo_Trocas!$F:$F,X$18,Resumo_Trocas!$C:$C,"&gt;0")</f>
        <v>1</v>
      </c>
      <c r="Z26" s="140">
        <f>SUMIFS(Resumo_Trocas!$C:$C,Resumo_Trocas!$A:$A,$C26,Resumo_Trocas!$F:$F,Z$18,Resumo_Trocas!$C:$C,"&gt;0")</f>
        <v>1</v>
      </c>
      <c r="AA26" s="141">
        <f>SUMIFS(Resumo_Trocas!$D:$D,Resumo_Trocas!$A:$A,$C26,Resumo_Trocas!$F:$F,Z$18,Resumo_Trocas!$C:$C,"&gt;0")</f>
        <v>1</v>
      </c>
      <c r="AB26" s="140">
        <f>SUMIFS(Resumo_Trocas!$C:$C,Resumo_Trocas!$A:$A,$C26,Resumo_Trocas!$F:$F,AB$18,Resumo_Trocas!$C:$C,"&gt;0")</f>
        <v>0</v>
      </c>
      <c r="AC26" s="141">
        <f>SUMIFS(Resumo_Trocas!$D:$D,Resumo_Trocas!$A:$A,$C26,Resumo_Trocas!$F:$F,AB$18,Resumo_Trocas!$C:$C,"&gt;0")</f>
        <v>0</v>
      </c>
      <c r="AD26" s="140">
        <f>SUMIFS(Resumo_Trocas!$C:$C,Resumo_Trocas!$A:$A,$C26,Resumo_Trocas!$F:$F,AD$18,Resumo_Trocas!$C:$C,"&gt;0")</f>
        <v>1</v>
      </c>
      <c r="AE26" s="141">
        <f>SUMIFS(Resumo_Trocas!$D:$D,Resumo_Trocas!$A:$A,$C26,Resumo_Trocas!$F:$F,AD$18,Resumo_Trocas!$C:$C,"&gt;0")</f>
        <v>1</v>
      </c>
      <c r="AF26" s="140">
        <f>SUMIFS(Resumo_Trocas!$C:$C,Resumo_Trocas!$A:$A,$C26,Resumo_Trocas!$F:$F,AF$18,Resumo_Trocas!$C:$C,"&gt;0")</f>
        <v>0</v>
      </c>
      <c r="AG26" s="141">
        <f>SUMIFS(Resumo_Trocas!$D:$D,Resumo_Trocas!$A:$A,$C26,Resumo_Trocas!$F:$F,AF$18,Resumo_Trocas!$C:$C,"&gt;0")</f>
        <v>0</v>
      </c>
      <c r="AH26" s="140">
        <f>SUMIFS(Resumo_Trocas!$C:$C,Resumo_Trocas!$A:$A,$C26,Resumo_Trocas!$F:$F,AH$18,Resumo_Trocas!$C:$C,"&gt;0")</f>
        <v>2</v>
      </c>
      <c r="AI26" s="141">
        <f>SUMIFS(Resumo_Trocas!$D:$D,Resumo_Trocas!$A:$A,$C26,Resumo_Trocas!$F:$F,AH$18,Resumo_Trocas!$C:$C,"&gt;0")</f>
        <v>2</v>
      </c>
      <c r="AJ26" s="140">
        <f>SUMIFS(Resumo_Trocas!$C:$C,Resumo_Trocas!$A:$A,$C26,Resumo_Trocas!$F:$F,AJ$18,Resumo_Trocas!$C:$C,"&gt;0")</f>
        <v>2</v>
      </c>
      <c r="AK26" s="141">
        <f>SUMIFS(Resumo_Trocas!$D:$D,Resumo_Trocas!$A:$A,$C26,Resumo_Trocas!$F:$F,AJ$18,Resumo_Trocas!$C:$C,"&gt;0")</f>
        <v>2</v>
      </c>
      <c r="AL26" s="140">
        <f>SUMIFS(Resumo_Trocas!$C:$C,Resumo_Trocas!$A:$A,$C26,Resumo_Trocas!$F:$F,AL$18,Resumo_Trocas!$C:$C,"&gt;0")</f>
        <v>0</v>
      </c>
      <c r="AM26" s="141">
        <f>SUMIFS(Resumo_Trocas!$D:$D,Resumo_Trocas!$A:$A,$C26,Resumo_Trocas!$F:$F,AL$18,Resumo_Trocas!$C:$C,"&gt;0")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SUMIFS(Resumo_Trocas!$D:$D,Resumo_Trocas!$A:$A,$C26,Resumo_Trocas!$F:$F,AN$18,Resumo_Trocas!$C:$C,"&gt;0")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12" t="s">
        <v>3430</v>
      </c>
      <c r="D27" s="140">
        <f>SUMIFS(Resumo_Trocas!$C:$C,Resumo_Trocas!$A:$A,$C27,Resumo_Trocas!$F:$F,D$18,Resumo_Trocas!$C:$C,"&gt;0")</f>
        <v>0</v>
      </c>
      <c r="E27" s="141">
        <f>SUMIFS(Resumo_Trocas!$D:$D,Resumo_Trocas!$A:$A,$C27,Resumo_Trocas!$F:$F,D$18,Resumo_Trocas!$C:$C,"&gt;0")</f>
        <v>0</v>
      </c>
      <c r="F27" s="140">
        <f>SUMIFS(Resumo_Trocas!$C:$C,Resumo_Trocas!$A:$A,$C27,Resumo_Trocas!$F:$F,F$18,Resumo_Trocas!$C:$C,"&gt;0")</f>
        <v>2</v>
      </c>
      <c r="G27" s="141">
        <f>SUMIFS(Resumo_Trocas!$D:$D,Resumo_Trocas!$A:$A,$C27,Resumo_Trocas!$F:$F,F$18,Resumo_Trocas!$C:$C,"&gt;0")</f>
        <v>2</v>
      </c>
      <c r="H27" s="140">
        <f>SUMIFS(Resumo_Trocas!$C:$C,Resumo_Trocas!$A:$A,$C27,Resumo_Trocas!$F:$F,H$18,Resumo_Trocas!$C:$C,"&gt;0")</f>
        <v>1</v>
      </c>
      <c r="I27" s="141">
        <f>SUMIFS(Resumo_Trocas!$D:$D,Resumo_Trocas!$A:$A,$C27,Resumo_Trocas!$F:$F,H$18,Resumo_Trocas!$C:$C,"&gt;0")</f>
        <v>1</v>
      </c>
      <c r="J27" s="140">
        <f>SUMIFS(Resumo_Trocas!$C:$C,Resumo_Trocas!$A:$A,$C27,Resumo_Trocas!$F:$F,J$18,Resumo_Trocas!$C:$C,"&gt;0")</f>
        <v>2</v>
      </c>
      <c r="K27" s="141">
        <f>SUMIFS(Resumo_Trocas!$D:$D,Resumo_Trocas!$A:$A,$C27,Resumo_Trocas!$F:$F,J$18,Resumo_Trocas!$C:$C,"&gt;0")</f>
        <v>2</v>
      </c>
      <c r="L27" s="140">
        <f>SUMIFS(Resumo_Trocas!$C:$C,Resumo_Trocas!$A:$A,$C27,Resumo_Trocas!$F:$F,L$18,Resumo_Trocas!$C:$C,"&gt;0")</f>
        <v>2</v>
      </c>
      <c r="M27" s="141">
        <f>SUMIFS(Resumo_Trocas!$D:$D,Resumo_Trocas!$A:$A,$C27,Resumo_Trocas!$F:$F,L$18,Resumo_Trocas!$C:$C,"&gt;0")</f>
        <v>2</v>
      </c>
      <c r="N27" s="140">
        <f>SUMIFS(Resumo_Trocas!$C:$C,Resumo_Trocas!$A:$A,$C27,Resumo_Trocas!$F:$F,N$18,Resumo_Trocas!$C:$C,"&gt;0")</f>
        <v>0</v>
      </c>
      <c r="O27" s="141">
        <f>SUMIFS(Resumo_Trocas!$D:$D,Resumo_Trocas!$A:$A,$C27,Resumo_Trocas!$F:$F,N$18,Resumo_Trocas!$C:$C,"&gt;0")</f>
        <v>0</v>
      </c>
      <c r="P27" s="140">
        <f>SUMIFS(Resumo_Trocas!$C:$C,Resumo_Trocas!$A:$A,$C27,Resumo_Trocas!$F:$F,P$18,Resumo_Trocas!$C:$C,"&gt;0")</f>
        <v>2</v>
      </c>
      <c r="Q27" s="141">
        <f>SUMIFS(Resumo_Trocas!$D:$D,Resumo_Trocas!$A:$A,$C27,Resumo_Trocas!$F:$F,P$18,Resumo_Trocas!$C:$C,"&gt;0")</f>
        <v>2</v>
      </c>
      <c r="R27" s="140">
        <f>SUMIFS(Resumo_Trocas!$C:$C,Resumo_Trocas!$A:$A,$C27,Resumo_Trocas!$F:$F,R$18,Resumo_Trocas!$C:$C,"&gt;0")</f>
        <v>1</v>
      </c>
      <c r="S27" s="141">
        <f>SUMIFS(Resumo_Trocas!$D:$D,Resumo_Trocas!$A:$A,$C27,Resumo_Trocas!$F:$F,R$18,Resumo_Trocas!$C:$C,"&gt;0")</f>
        <v>1</v>
      </c>
      <c r="T27" s="140">
        <f>SUMIFS(Resumo_Trocas!$C:$C,Resumo_Trocas!$A:$A,$C27,Resumo_Trocas!$F:$F,T$18,Resumo_Trocas!$C:$C,"&gt;0")</f>
        <v>1</v>
      </c>
      <c r="U27" s="141">
        <f>SUMIFS(Resumo_Trocas!$D:$D,Resumo_Trocas!$A:$A,$C27,Resumo_Trocas!$F:$F,T$18,Resumo_Trocas!$C:$C,"&gt;0")</f>
        <v>1</v>
      </c>
      <c r="V27" s="140">
        <f>SUMIFS(Resumo_Trocas!$C:$C,Resumo_Trocas!$A:$A,$C27,Resumo_Trocas!$F:$F,V$18,Resumo_Trocas!$C:$C,"&gt;0")</f>
        <v>1</v>
      </c>
      <c r="W27" s="141">
        <f>SUMIFS(Resumo_Trocas!$D:$D,Resumo_Trocas!$A:$A,$C27,Resumo_Trocas!$F:$F,V$18,Resumo_Trocas!$C:$C,"&gt;0")</f>
        <v>1</v>
      </c>
      <c r="X27" s="140">
        <f>SUMIFS(Resumo_Trocas!$C:$C,Resumo_Trocas!$A:$A,$C27,Resumo_Trocas!$F:$F,X$18,Resumo_Trocas!$C:$C,"&gt;0")</f>
        <v>2</v>
      </c>
      <c r="Y27" s="141">
        <f>SUMIFS(Resumo_Trocas!$D:$D,Resumo_Trocas!$A:$A,$C27,Resumo_Trocas!$F:$F,X$18,Resumo_Trocas!$C:$C,"&gt;0")</f>
        <v>1</v>
      </c>
      <c r="Z27" s="140">
        <f>SUMIFS(Resumo_Trocas!$C:$C,Resumo_Trocas!$A:$A,$C27,Resumo_Trocas!$F:$F,Z$18,Resumo_Trocas!$C:$C,"&gt;0")</f>
        <v>1</v>
      </c>
      <c r="AA27" s="141">
        <f>SUMIFS(Resumo_Trocas!$D:$D,Resumo_Trocas!$A:$A,$C27,Resumo_Trocas!$F:$F,Z$18,Resumo_Trocas!$C:$C,"&gt;0")</f>
        <v>0</v>
      </c>
      <c r="AB27" s="140">
        <f>SUMIFS(Resumo_Trocas!$C:$C,Resumo_Trocas!$A:$A,$C27,Resumo_Trocas!$F:$F,AB$18,Resumo_Trocas!$C:$C,"&gt;0")</f>
        <v>1</v>
      </c>
      <c r="AC27" s="141">
        <f>SUMIFS(Resumo_Trocas!$D:$D,Resumo_Trocas!$A:$A,$C27,Resumo_Trocas!$F:$F,AB$18,Resumo_Trocas!$C:$C,"&gt;0")</f>
        <v>0</v>
      </c>
      <c r="AD27" s="140">
        <f>SUMIFS(Resumo_Trocas!$C:$C,Resumo_Trocas!$A:$A,$C27,Resumo_Trocas!$F:$F,AD$18,Resumo_Trocas!$C:$C,"&gt;0")</f>
        <v>0</v>
      </c>
      <c r="AE27" s="141">
        <f>SUMIFS(Resumo_Trocas!$D:$D,Resumo_Trocas!$A:$A,$C27,Resumo_Trocas!$F:$F,AD$18,Resumo_Trocas!$C:$C,"&gt;0")</f>
        <v>0</v>
      </c>
      <c r="AF27" s="140">
        <f>SUMIFS(Resumo_Trocas!$C:$C,Resumo_Trocas!$A:$A,$C27,Resumo_Trocas!$F:$F,AF$18,Resumo_Trocas!$C:$C,"&gt;0")</f>
        <v>1</v>
      </c>
      <c r="AG27" s="141">
        <f>SUMIFS(Resumo_Trocas!$D:$D,Resumo_Trocas!$A:$A,$C27,Resumo_Trocas!$F:$F,AF$18,Resumo_Trocas!$C:$C,"&gt;0")</f>
        <v>0</v>
      </c>
      <c r="AH27" s="140">
        <f>SUMIFS(Resumo_Trocas!$C:$C,Resumo_Trocas!$A:$A,$C27,Resumo_Trocas!$F:$F,AH$18,Resumo_Trocas!$C:$C,"&gt;0")</f>
        <v>3</v>
      </c>
      <c r="AI27" s="141">
        <f>SUMIFS(Resumo_Trocas!$D:$D,Resumo_Trocas!$A:$A,$C27,Resumo_Trocas!$F:$F,AH$18,Resumo_Trocas!$C:$C,"&gt;0")</f>
        <v>4</v>
      </c>
      <c r="AJ27" s="140">
        <f>SUMIFS(Resumo_Trocas!$C:$C,Resumo_Trocas!$A:$A,$C27,Resumo_Trocas!$F:$F,AJ$18,Resumo_Trocas!$C:$C,"&gt;0")</f>
        <v>0</v>
      </c>
      <c r="AK27" s="141">
        <f>SUMIFS(Resumo_Trocas!$D:$D,Resumo_Trocas!$A:$A,$C27,Resumo_Trocas!$F:$F,AJ$18,Resumo_Trocas!$C:$C,"&gt;0")</f>
        <v>0</v>
      </c>
      <c r="AL27" s="140">
        <f>SUMIFS(Resumo_Trocas!$C:$C,Resumo_Trocas!$A:$A,$C27,Resumo_Trocas!$F:$F,AL$18,Resumo_Trocas!$C:$C,"&gt;0")</f>
        <v>0</v>
      </c>
      <c r="AM27" s="141">
        <f>SUMIFS(Resumo_Trocas!$D:$D,Resumo_Trocas!$A:$A,$C27,Resumo_Trocas!$F:$F,AL$18,Resumo_Trocas!$C:$C,"&gt;0")</f>
        <v>0</v>
      </c>
      <c r="AN27" s="140">
        <f>SUMIFS(Resumo_Trocas!$C:$C,Resumo_Trocas!$A:$A,$C27,Resumo_Trocas!$F:$F,AN$18,Resumo_Trocas!$C:$C,"&gt;0")</f>
        <v>0</v>
      </c>
      <c r="AO27" s="141">
        <f>SUMIFS(Resumo_Trocas!$D:$D,Resumo_Trocas!$A:$A,$C27,Resumo_Trocas!$F:$F,AN$18,Resumo_Trocas!$C:$C,"&gt;0")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12" t="s">
        <v>421</v>
      </c>
      <c r="D28" s="140">
        <f>SUMIFS(Resumo_Trocas!$C:$C,Resumo_Trocas!$A:$A,$C28,Resumo_Trocas!$F:$F,D$18,Resumo_Trocas!$C:$C,"&gt;0")</f>
        <v>3</v>
      </c>
      <c r="E28" s="141">
        <f>SUMIFS(Resumo_Trocas!$D:$D,Resumo_Trocas!$A:$A,$C28,Resumo_Trocas!$F:$F,D$18,Resumo_Trocas!$C:$C,"&gt;0")</f>
        <v>4</v>
      </c>
      <c r="F28" s="140">
        <f>SUMIFS(Resumo_Trocas!$C:$C,Resumo_Trocas!$A:$A,$C28,Resumo_Trocas!$F:$F,F$18,Resumo_Trocas!$C:$C,"&gt;0")</f>
        <v>0</v>
      </c>
      <c r="G28" s="141">
        <f>SUMIFS(Resumo_Trocas!$D:$D,Resumo_Trocas!$A:$A,$C28,Resumo_Trocas!$F:$F,F$18,Resumo_Trocas!$C:$C,"&gt;0")</f>
        <v>0</v>
      </c>
      <c r="H28" s="140">
        <f>SUMIFS(Resumo_Trocas!$C:$C,Resumo_Trocas!$A:$A,$C28,Resumo_Trocas!$F:$F,H$18,Resumo_Trocas!$C:$C,"&gt;0")</f>
        <v>0</v>
      </c>
      <c r="I28" s="141">
        <f>SUMIFS(Resumo_Trocas!$D:$D,Resumo_Trocas!$A:$A,$C28,Resumo_Trocas!$F:$F,H$18,Resumo_Trocas!$C:$C,"&gt;0")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SUMIFS(Resumo_Trocas!$D:$D,Resumo_Trocas!$A:$A,$C28,Resumo_Trocas!$F:$F,J$18,Resumo_Trocas!$C:$C,"&gt;0")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SUMIFS(Resumo_Trocas!$D:$D,Resumo_Trocas!$A:$A,$C28,Resumo_Trocas!$F:$F,L$18,Resumo_Trocas!$C:$C,"&gt;0")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SUMIFS(Resumo_Trocas!$D:$D,Resumo_Trocas!$A:$A,$C28,Resumo_Trocas!$F:$F,N$18,Resumo_Trocas!$C:$C,"&gt;0")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SUMIFS(Resumo_Trocas!$D:$D,Resumo_Trocas!$A:$A,$C28,Resumo_Trocas!$F:$F,P$18,Resumo_Trocas!$C:$C,"&gt;0")</f>
        <v>0</v>
      </c>
      <c r="R28" s="140">
        <f>SUMIFS(Resumo_Trocas!$C:$C,Resumo_Trocas!$A:$A,$C28,Resumo_Trocas!$F:$F,R$18,Resumo_Trocas!$C:$C,"&gt;0")</f>
        <v>1</v>
      </c>
      <c r="S28" s="141">
        <f>SUMIFS(Resumo_Trocas!$D:$D,Resumo_Trocas!$A:$A,$C28,Resumo_Trocas!$F:$F,R$18,Resumo_Trocas!$C:$C,"&gt;0")</f>
        <v>1</v>
      </c>
      <c r="T28" s="140">
        <f>SUMIFS(Resumo_Trocas!$C:$C,Resumo_Trocas!$A:$A,$C28,Resumo_Trocas!$F:$F,T$18,Resumo_Trocas!$C:$C,"&gt;0")</f>
        <v>0</v>
      </c>
      <c r="U28" s="141">
        <f>SUMIFS(Resumo_Trocas!$D:$D,Resumo_Trocas!$A:$A,$C28,Resumo_Trocas!$F:$F,T$18,Resumo_Trocas!$C:$C,"&gt;0")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SUMIFS(Resumo_Trocas!$D:$D,Resumo_Trocas!$A:$A,$C28,Resumo_Trocas!$F:$F,V$18,Resumo_Trocas!$C:$C,"&gt;0")</f>
        <v>0</v>
      </c>
      <c r="X28" s="140">
        <f>SUMIFS(Resumo_Trocas!$C:$C,Resumo_Trocas!$A:$A,$C28,Resumo_Trocas!$F:$F,X$18,Resumo_Trocas!$C:$C,"&gt;0")</f>
        <v>1</v>
      </c>
      <c r="Y28" s="141">
        <f>SUMIFS(Resumo_Trocas!$D:$D,Resumo_Trocas!$A:$A,$C28,Resumo_Trocas!$F:$F,X$18,Resumo_Trocas!$C:$C,"&gt;0")</f>
        <v>1</v>
      </c>
      <c r="Z28" s="140">
        <f>SUMIFS(Resumo_Trocas!$C:$C,Resumo_Trocas!$A:$A,$C28,Resumo_Trocas!$F:$F,Z$18,Resumo_Trocas!$C:$C,"&gt;0")</f>
        <v>0</v>
      </c>
      <c r="AA28" s="141">
        <f>SUMIFS(Resumo_Trocas!$D:$D,Resumo_Trocas!$A:$A,$C28,Resumo_Trocas!$F:$F,Z$18,Resumo_Trocas!$C:$C,"&gt;0")</f>
        <v>0</v>
      </c>
      <c r="AB28" s="140">
        <f>SUMIFS(Resumo_Trocas!$C:$C,Resumo_Trocas!$A:$A,$C28,Resumo_Trocas!$F:$F,AB$18,Resumo_Trocas!$C:$C,"&gt;0")</f>
        <v>1</v>
      </c>
      <c r="AC28" s="141">
        <f>SUMIFS(Resumo_Trocas!$D:$D,Resumo_Trocas!$A:$A,$C28,Resumo_Trocas!$F:$F,AB$18,Resumo_Trocas!$C:$C,"&gt;0")</f>
        <v>1</v>
      </c>
      <c r="AD28" s="140">
        <f>SUMIFS(Resumo_Trocas!$C:$C,Resumo_Trocas!$A:$A,$C28,Resumo_Trocas!$F:$F,AD$18,Resumo_Trocas!$C:$C,"&gt;0")</f>
        <v>0</v>
      </c>
      <c r="AE28" s="141">
        <f>SUMIFS(Resumo_Trocas!$D:$D,Resumo_Trocas!$A:$A,$C28,Resumo_Trocas!$F:$F,AD$18,Resumo_Trocas!$C:$C,"&gt;0")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SUMIFS(Resumo_Trocas!$D:$D,Resumo_Trocas!$A:$A,$C28,Resumo_Trocas!$F:$F,AF$18,Resumo_Trocas!$C:$C,"&gt;0")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SUMIFS(Resumo_Trocas!$D:$D,Resumo_Trocas!$A:$A,$C28,Resumo_Trocas!$F:$F,AH$18,Resumo_Trocas!$C:$C,"&gt;0")</f>
        <v>0</v>
      </c>
      <c r="AJ28" s="140">
        <f>SUMIFS(Resumo_Trocas!$C:$C,Resumo_Trocas!$A:$A,$C28,Resumo_Trocas!$F:$F,AJ$18,Resumo_Trocas!$C:$C,"&gt;0")</f>
        <v>1</v>
      </c>
      <c r="AK28" s="141">
        <f>SUMIFS(Resumo_Trocas!$D:$D,Resumo_Trocas!$A:$A,$C28,Resumo_Trocas!$F:$F,AJ$18,Resumo_Trocas!$C:$C,"&gt;0")</f>
        <v>1</v>
      </c>
      <c r="AL28" s="140">
        <f>SUMIFS(Resumo_Trocas!$C:$C,Resumo_Trocas!$A:$A,$C28,Resumo_Trocas!$F:$F,AL$18,Resumo_Trocas!$C:$C,"&gt;0")</f>
        <v>0</v>
      </c>
      <c r="AM28" s="141">
        <f>SUMIFS(Resumo_Trocas!$D:$D,Resumo_Trocas!$A:$A,$C28,Resumo_Trocas!$F:$F,AL$18,Resumo_Trocas!$C:$C,"&gt;0")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SUMIFS(Resumo_Trocas!$D:$D,Resumo_Trocas!$A:$A,$C28,Resumo_Trocas!$F:$F,AN$18,Resumo_Trocas!$C:$C,"&gt;0")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12" t="s">
        <v>3431</v>
      </c>
      <c r="D29" s="140">
        <f>SUMIFS(Resumo_Trocas!$C:$C,Resumo_Trocas!$A:$A,$C29,Resumo_Trocas!$F:$F,D$18,Resumo_Trocas!$C:$C,"&gt;0")</f>
        <v>1</v>
      </c>
      <c r="E29" s="141">
        <f>SUMIFS(Resumo_Trocas!$D:$D,Resumo_Trocas!$A:$A,$C29,Resumo_Trocas!$F:$F,D$18,Resumo_Trocas!$C:$C,"&gt;0")</f>
        <v>0</v>
      </c>
      <c r="F29" s="140">
        <f>SUMIFS(Resumo_Trocas!$C:$C,Resumo_Trocas!$A:$A,$C29,Resumo_Trocas!$F:$F,F$18,Resumo_Trocas!$C:$C,"&gt;0")</f>
        <v>2</v>
      </c>
      <c r="G29" s="141">
        <f>SUMIFS(Resumo_Trocas!$D:$D,Resumo_Trocas!$A:$A,$C29,Resumo_Trocas!$F:$F,F$18,Resumo_Trocas!$C:$C,"&gt;0")</f>
        <v>0</v>
      </c>
      <c r="H29" s="140">
        <f>SUMIFS(Resumo_Trocas!$C:$C,Resumo_Trocas!$A:$A,$C29,Resumo_Trocas!$F:$F,H$18,Resumo_Trocas!$C:$C,"&gt;0")</f>
        <v>1</v>
      </c>
      <c r="I29" s="141">
        <f>SUMIFS(Resumo_Trocas!$D:$D,Resumo_Trocas!$A:$A,$C29,Resumo_Trocas!$F:$F,H$18,Resumo_Trocas!$C:$C,"&gt;0")</f>
        <v>0</v>
      </c>
      <c r="J29" s="140">
        <f>SUMIFS(Resumo_Trocas!$C:$C,Resumo_Trocas!$A:$A,$C29,Resumo_Trocas!$F:$F,J$18,Resumo_Trocas!$C:$C,"&gt;0")</f>
        <v>1</v>
      </c>
      <c r="K29" s="141">
        <f>SUMIFS(Resumo_Trocas!$D:$D,Resumo_Trocas!$A:$A,$C29,Resumo_Trocas!$F:$F,J$18,Resumo_Trocas!$C:$C,"&gt;0")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SUMIFS(Resumo_Trocas!$D:$D,Resumo_Trocas!$A:$A,$C29,Resumo_Trocas!$F:$F,L$18,Resumo_Trocas!$C:$C,"&gt;0")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SUMIFS(Resumo_Trocas!$D:$D,Resumo_Trocas!$A:$A,$C29,Resumo_Trocas!$F:$F,N$18,Resumo_Trocas!$C:$C,"&gt;0")</f>
        <v>0</v>
      </c>
      <c r="P29" s="140">
        <f>SUMIFS(Resumo_Trocas!$C:$C,Resumo_Trocas!$A:$A,$C29,Resumo_Trocas!$F:$F,P$18,Resumo_Trocas!$C:$C,"&gt;0")</f>
        <v>1</v>
      </c>
      <c r="Q29" s="141">
        <f>SUMIFS(Resumo_Trocas!$D:$D,Resumo_Trocas!$A:$A,$C29,Resumo_Trocas!$F:$F,P$18,Resumo_Trocas!$C:$C,"&gt;0")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SUMIFS(Resumo_Trocas!$D:$D,Resumo_Trocas!$A:$A,$C29,Resumo_Trocas!$F:$F,R$18,Resumo_Trocas!$C:$C,"&gt;0")</f>
        <v>0</v>
      </c>
      <c r="T29" s="140">
        <f>SUMIFS(Resumo_Trocas!$C:$C,Resumo_Trocas!$A:$A,$C29,Resumo_Trocas!$F:$F,T$18,Resumo_Trocas!$C:$C,"&gt;0")</f>
        <v>1</v>
      </c>
      <c r="U29" s="141">
        <f>SUMIFS(Resumo_Trocas!$D:$D,Resumo_Trocas!$A:$A,$C29,Resumo_Trocas!$F:$F,T$18,Resumo_Trocas!$C:$C,"&gt;0")</f>
        <v>0</v>
      </c>
      <c r="V29" s="140">
        <f>SUMIFS(Resumo_Trocas!$C:$C,Resumo_Trocas!$A:$A,$C29,Resumo_Trocas!$F:$F,V$18,Resumo_Trocas!$C:$C,"&gt;0")</f>
        <v>0</v>
      </c>
      <c r="W29" s="141">
        <f>SUMIFS(Resumo_Trocas!$D:$D,Resumo_Trocas!$A:$A,$C29,Resumo_Trocas!$F:$F,V$18,Resumo_Trocas!$C:$C,"&gt;0")</f>
        <v>0</v>
      </c>
      <c r="X29" s="140">
        <f>SUMIFS(Resumo_Trocas!$C:$C,Resumo_Trocas!$A:$A,$C29,Resumo_Trocas!$F:$F,X$18,Resumo_Trocas!$C:$C,"&gt;0")</f>
        <v>1</v>
      </c>
      <c r="Y29" s="141">
        <f>SUMIFS(Resumo_Trocas!$D:$D,Resumo_Trocas!$A:$A,$C29,Resumo_Trocas!$F:$F,X$18,Resumo_Trocas!$C:$C,"&gt;0")</f>
        <v>0</v>
      </c>
      <c r="Z29" s="140">
        <f>SUMIFS(Resumo_Trocas!$C:$C,Resumo_Trocas!$A:$A,$C29,Resumo_Trocas!$F:$F,Z$18,Resumo_Trocas!$C:$C,"&gt;0")</f>
        <v>0</v>
      </c>
      <c r="AA29" s="141">
        <f>SUMIFS(Resumo_Trocas!$D:$D,Resumo_Trocas!$A:$A,$C29,Resumo_Trocas!$F:$F,Z$18,Resumo_Trocas!$C:$C,"&gt;0")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SUMIFS(Resumo_Trocas!$D:$D,Resumo_Trocas!$A:$A,$C29,Resumo_Trocas!$F:$F,AB$18,Resumo_Trocas!$C:$C,"&gt;0")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SUMIFS(Resumo_Trocas!$D:$D,Resumo_Trocas!$A:$A,$C29,Resumo_Trocas!$F:$F,AD$18,Resumo_Trocas!$C:$C,"&gt;0")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SUMIFS(Resumo_Trocas!$D:$D,Resumo_Trocas!$A:$A,$C29,Resumo_Trocas!$F:$F,AF$18,Resumo_Trocas!$C:$C,"&gt;0")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SUMIFS(Resumo_Trocas!$D:$D,Resumo_Trocas!$A:$A,$C29,Resumo_Trocas!$F:$F,AH$18,Resumo_Trocas!$C:$C,"&gt;0")</f>
        <v>0</v>
      </c>
      <c r="AJ29" s="140">
        <f>SUMIFS(Resumo_Trocas!$C:$C,Resumo_Trocas!$A:$A,$C29,Resumo_Trocas!$F:$F,AJ$18,Resumo_Trocas!$C:$C,"&gt;0")</f>
        <v>1</v>
      </c>
      <c r="AK29" s="141">
        <f>SUMIFS(Resumo_Trocas!$D:$D,Resumo_Trocas!$A:$A,$C29,Resumo_Trocas!$F:$F,AJ$18,Resumo_Trocas!$C:$C,"&gt;0")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SUMIFS(Resumo_Trocas!$D:$D,Resumo_Trocas!$A:$A,$C29,Resumo_Trocas!$F:$F,AL$18,Resumo_Trocas!$C:$C,"&gt;0")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SUMIFS(Resumo_Trocas!$D:$D,Resumo_Trocas!$A:$A,$C29,Resumo_Trocas!$F:$F,AN$18,Resumo_Trocas!$C:$C,"&gt;0")</f>
        <v>0</v>
      </c>
      <c r="AP29" s="75"/>
      <c r="AQ29" s="75"/>
    </row>
    <row r="30" spans="2:43" ht="18" customHeight="1" outlineLevel="1" thickBot="1" x14ac:dyDescent="0.4">
      <c r="B30" s="76"/>
      <c r="C30" s="113" t="s">
        <v>3432</v>
      </c>
      <c r="D30" s="142">
        <f>SUMIFS(Resumo_Trocas!$C:$C,Resumo_Trocas!$A:$A,$C30,Resumo_Trocas!$F:$F,D$18,Resumo_Trocas!$C:$C,"&gt;0")</f>
        <v>0</v>
      </c>
      <c r="E30" s="143">
        <f>SUMIFS(Resumo_Trocas!$D:$D,Resumo_Trocas!$A:$A,$C30,Resumo_Trocas!$F:$F,D$18,Resumo_Trocas!$C:$C,"&gt;0")</f>
        <v>0</v>
      </c>
      <c r="F30" s="142">
        <f>SUMIFS(Resumo_Trocas!$C:$C,Resumo_Trocas!$A:$A,$C30,Resumo_Trocas!$F:$F,F$18,Resumo_Trocas!$C:$C,"&gt;0")</f>
        <v>0</v>
      </c>
      <c r="G30" s="143">
        <f>SUMIFS(Resumo_Trocas!$D:$D,Resumo_Trocas!$A:$A,$C30,Resumo_Trocas!$F:$F,F$18,Resumo_Trocas!$C:$C,"&gt;0")</f>
        <v>0</v>
      </c>
      <c r="H30" s="142">
        <f>SUMIFS(Resumo_Trocas!$C:$C,Resumo_Trocas!$A:$A,$C30,Resumo_Trocas!$F:$F,H$18,Resumo_Trocas!$C:$C,"&gt;0")</f>
        <v>1</v>
      </c>
      <c r="I30" s="143">
        <f>SUMIFS(Resumo_Trocas!$D:$D,Resumo_Trocas!$A:$A,$C30,Resumo_Trocas!$F:$F,H$18,Resumo_Trocas!$C:$C,"&gt;0")</f>
        <v>0</v>
      </c>
      <c r="J30" s="142">
        <f>SUMIFS(Resumo_Trocas!$C:$C,Resumo_Trocas!$A:$A,$C30,Resumo_Trocas!$F:$F,J$18,Resumo_Trocas!$C:$C,"&gt;0")</f>
        <v>1</v>
      </c>
      <c r="K30" s="143">
        <f>SUMIFS(Resumo_Trocas!$D:$D,Resumo_Trocas!$A:$A,$C30,Resumo_Trocas!$F:$F,J$18,Resumo_Trocas!$C:$C,"&gt;0")</f>
        <v>0</v>
      </c>
      <c r="L30" s="142">
        <f>SUMIFS(Resumo_Trocas!$C:$C,Resumo_Trocas!$A:$A,$C30,Resumo_Trocas!$F:$F,L$18,Resumo_Trocas!$C:$C,"&gt;0")</f>
        <v>1</v>
      </c>
      <c r="M30" s="143">
        <f>SUMIFS(Resumo_Trocas!$D:$D,Resumo_Trocas!$A:$A,$C30,Resumo_Trocas!$F:$F,L$18,Resumo_Trocas!$C:$C,"&gt;0")</f>
        <v>0</v>
      </c>
      <c r="N30" s="142">
        <f>SUMIFS(Resumo_Trocas!$C:$C,Resumo_Trocas!$A:$A,$C30,Resumo_Trocas!$F:$F,N$18,Resumo_Trocas!$C:$C,"&gt;0")</f>
        <v>0</v>
      </c>
      <c r="O30" s="143">
        <f>SUMIFS(Resumo_Trocas!$D:$D,Resumo_Trocas!$A:$A,$C30,Resumo_Trocas!$F:$F,N$18,Resumo_Trocas!$C:$C,"&gt;0")</f>
        <v>0</v>
      </c>
      <c r="P30" s="142">
        <f>SUMIFS(Resumo_Trocas!$C:$C,Resumo_Trocas!$A:$A,$C30,Resumo_Trocas!$F:$F,P$18,Resumo_Trocas!$C:$C,"&gt;0")</f>
        <v>1</v>
      </c>
      <c r="Q30" s="143">
        <f>SUMIFS(Resumo_Trocas!$D:$D,Resumo_Trocas!$A:$A,$C30,Resumo_Trocas!$F:$F,P$18,Resumo_Trocas!$C:$C,"&gt;0")</f>
        <v>0</v>
      </c>
      <c r="R30" s="142">
        <f>SUMIFS(Resumo_Trocas!$C:$C,Resumo_Trocas!$A:$A,$C30,Resumo_Trocas!$F:$F,R$18,Resumo_Trocas!$C:$C,"&gt;0")</f>
        <v>0</v>
      </c>
      <c r="S30" s="143">
        <f>SUMIFS(Resumo_Trocas!$D:$D,Resumo_Trocas!$A:$A,$C30,Resumo_Trocas!$F:$F,R$18,Resumo_Trocas!$C:$C,"&gt;0")</f>
        <v>0</v>
      </c>
      <c r="T30" s="142">
        <f>SUMIFS(Resumo_Trocas!$C:$C,Resumo_Trocas!$A:$A,$C30,Resumo_Trocas!$F:$F,T$18,Resumo_Trocas!$C:$C,"&gt;0")</f>
        <v>1</v>
      </c>
      <c r="U30" s="143">
        <f>SUMIFS(Resumo_Trocas!$D:$D,Resumo_Trocas!$A:$A,$C30,Resumo_Trocas!$F:$F,T$18,Resumo_Trocas!$C:$C,"&gt;0")</f>
        <v>0</v>
      </c>
      <c r="V30" s="142">
        <f>SUMIFS(Resumo_Trocas!$C:$C,Resumo_Trocas!$A:$A,$C30,Resumo_Trocas!$F:$F,V$18,Resumo_Trocas!$C:$C,"&gt;0")</f>
        <v>0</v>
      </c>
      <c r="W30" s="143">
        <f>SUMIFS(Resumo_Trocas!$D:$D,Resumo_Trocas!$A:$A,$C30,Resumo_Trocas!$F:$F,V$18,Resumo_Trocas!$C:$C,"&gt;0")</f>
        <v>0</v>
      </c>
      <c r="X30" s="142">
        <f>SUMIFS(Resumo_Trocas!$C:$C,Resumo_Trocas!$A:$A,$C30,Resumo_Trocas!$F:$F,X$18,Resumo_Trocas!$C:$C,"&gt;0")</f>
        <v>0</v>
      </c>
      <c r="Y30" s="143">
        <f>SUMIFS(Resumo_Trocas!$D:$D,Resumo_Trocas!$A:$A,$C30,Resumo_Trocas!$F:$F,X$18,Resumo_Trocas!$C:$C,"&gt;0")</f>
        <v>0</v>
      </c>
      <c r="Z30" s="142">
        <f>SUMIFS(Resumo_Trocas!$C:$C,Resumo_Trocas!$A:$A,$C30,Resumo_Trocas!$F:$F,Z$18,Resumo_Trocas!$C:$C,"&gt;0")</f>
        <v>0</v>
      </c>
      <c r="AA30" s="143">
        <f>SUMIFS(Resumo_Trocas!$D:$D,Resumo_Trocas!$A:$A,$C30,Resumo_Trocas!$F:$F,Z$18,Resumo_Trocas!$C:$C,"&gt;0")</f>
        <v>0</v>
      </c>
      <c r="AB30" s="142">
        <f>SUMIFS(Resumo_Trocas!$C:$C,Resumo_Trocas!$A:$A,$C30,Resumo_Trocas!$F:$F,AB$18,Resumo_Trocas!$C:$C,"&gt;0")</f>
        <v>0</v>
      </c>
      <c r="AC30" s="143">
        <f>SUMIFS(Resumo_Trocas!$D:$D,Resumo_Trocas!$A:$A,$C30,Resumo_Trocas!$F:$F,AB$18,Resumo_Trocas!$C:$C,"&gt;0")</f>
        <v>0</v>
      </c>
      <c r="AD30" s="142">
        <f>SUMIFS(Resumo_Trocas!$C:$C,Resumo_Trocas!$A:$A,$C30,Resumo_Trocas!$F:$F,AD$18,Resumo_Trocas!$C:$C,"&gt;0")</f>
        <v>0</v>
      </c>
      <c r="AE30" s="143">
        <f>SUMIFS(Resumo_Trocas!$D:$D,Resumo_Trocas!$A:$A,$C30,Resumo_Trocas!$F:$F,AD$18,Resumo_Trocas!$C:$C,"&gt;0")</f>
        <v>0</v>
      </c>
      <c r="AF30" s="142">
        <f>SUMIFS(Resumo_Trocas!$C:$C,Resumo_Trocas!$A:$A,$C30,Resumo_Trocas!$F:$F,AF$18,Resumo_Trocas!$C:$C,"&gt;0")</f>
        <v>1</v>
      </c>
      <c r="AG30" s="143">
        <f>SUMIFS(Resumo_Trocas!$D:$D,Resumo_Trocas!$A:$A,$C30,Resumo_Trocas!$F:$F,AF$18,Resumo_Trocas!$C:$C,"&gt;0")</f>
        <v>0</v>
      </c>
      <c r="AH30" s="142">
        <f>SUMIFS(Resumo_Trocas!$C:$C,Resumo_Trocas!$A:$A,$C30,Resumo_Trocas!$F:$F,AH$18,Resumo_Trocas!$C:$C,"&gt;0")</f>
        <v>0</v>
      </c>
      <c r="AI30" s="143">
        <f>SUMIFS(Resumo_Trocas!$D:$D,Resumo_Trocas!$A:$A,$C30,Resumo_Trocas!$F:$F,AH$18,Resumo_Trocas!$C:$C,"&gt;0")</f>
        <v>0</v>
      </c>
      <c r="AJ30" s="142">
        <f>SUMIFS(Resumo_Trocas!$C:$C,Resumo_Trocas!$A:$A,$C30,Resumo_Trocas!$F:$F,AJ$18,Resumo_Trocas!$C:$C,"&gt;0")</f>
        <v>0</v>
      </c>
      <c r="AK30" s="143">
        <f>SUMIFS(Resumo_Trocas!$D:$D,Resumo_Trocas!$A:$A,$C30,Resumo_Trocas!$F:$F,AJ$18,Resumo_Trocas!$C:$C,"&gt;0")</f>
        <v>0</v>
      </c>
      <c r="AL30" s="142">
        <f>SUMIFS(Resumo_Trocas!$C:$C,Resumo_Trocas!$A:$A,$C30,Resumo_Trocas!$F:$F,AL$18,Resumo_Trocas!$C:$C,"&gt;0")</f>
        <v>0</v>
      </c>
      <c r="AM30" s="143">
        <f>SUMIFS(Resumo_Trocas!$D:$D,Resumo_Trocas!$A:$A,$C30,Resumo_Trocas!$F:$F,AL$18,Resumo_Trocas!$C:$C,"&gt;0")</f>
        <v>0</v>
      </c>
      <c r="AN30" s="142">
        <f>SUMIFS(Resumo_Trocas!$C:$C,Resumo_Trocas!$A:$A,$C30,Resumo_Trocas!$F:$F,AN$18,Resumo_Trocas!$C:$C,"&gt;0")</f>
        <v>0</v>
      </c>
      <c r="AO30" s="143">
        <f>SUMIFS(Resumo_Trocas!$D:$D,Resumo_Trocas!$A:$A,$C30,Resumo_Trocas!$F:$F,AN$18,Resumo_Trocas!$C:$C,"&gt;0")</f>
        <v>0</v>
      </c>
      <c r="AP30" s="75"/>
      <c r="AQ30" s="75"/>
    </row>
    <row r="31" spans="2:43" ht="15.75" outlineLevel="1" thickBot="1" x14ac:dyDescent="0.3">
      <c r="B31" s="76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</row>
    <row r="32" spans="2:43" ht="21" customHeight="1" thickBot="1" x14ac:dyDescent="0.3">
      <c r="B32" s="72" t="s">
        <v>3395</v>
      </c>
      <c r="C32" s="215" t="s">
        <v>3397</v>
      </c>
      <c r="D32" s="211" t="s">
        <v>3372</v>
      </c>
      <c r="E32" s="212"/>
      <c r="F32" s="211" t="s">
        <v>3373</v>
      </c>
      <c r="G32" s="212"/>
      <c r="H32" s="213" t="s">
        <v>3374</v>
      </c>
      <c r="I32" s="214"/>
      <c r="J32" s="211" t="s">
        <v>3370</v>
      </c>
      <c r="K32" s="212"/>
      <c r="L32" s="211" t="s">
        <v>3371</v>
      </c>
      <c r="M32" s="212"/>
      <c r="N32" s="211" t="s">
        <v>3375</v>
      </c>
      <c r="O32" s="212"/>
      <c r="P32" s="211" t="s">
        <v>3367</v>
      </c>
      <c r="Q32" s="212"/>
      <c r="R32" s="211" t="s">
        <v>3368</v>
      </c>
      <c r="S32" s="212"/>
      <c r="T32" s="211" t="s">
        <v>3369</v>
      </c>
      <c r="U32" s="212"/>
      <c r="V32" s="213" t="s">
        <v>3358</v>
      </c>
      <c r="W32" s="214"/>
      <c r="X32" s="211" t="s">
        <v>3363</v>
      </c>
      <c r="Y32" s="212"/>
      <c r="Z32" s="211" t="s">
        <v>3361</v>
      </c>
      <c r="AA32" s="212"/>
      <c r="AB32" s="211" t="s">
        <v>3359</v>
      </c>
      <c r="AC32" s="212"/>
      <c r="AD32" s="211" t="s">
        <v>3366</v>
      </c>
      <c r="AE32" s="212"/>
      <c r="AF32" s="213" t="s">
        <v>3364</v>
      </c>
      <c r="AG32" s="214"/>
      <c r="AH32" s="211" t="s">
        <v>3360</v>
      </c>
      <c r="AI32" s="212"/>
      <c r="AJ32" s="211" t="s">
        <v>3362</v>
      </c>
      <c r="AK32" s="212"/>
      <c r="AL32" s="211" t="s">
        <v>3365</v>
      </c>
      <c r="AM32" s="212"/>
      <c r="AN32" s="201" t="s">
        <v>3486</v>
      </c>
      <c r="AO32" s="202"/>
    </row>
    <row r="33" spans="2:41" s="75" customFormat="1" ht="21" customHeight="1" thickBot="1" x14ac:dyDescent="0.4">
      <c r="B33" s="98" t="s">
        <v>3395</v>
      </c>
      <c r="C33" s="216"/>
      <c r="D33" s="103" t="s">
        <v>3487</v>
      </c>
      <c r="E33" s="104" t="s">
        <v>3353</v>
      </c>
      <c r="F33" s="105" t="s">
        <v>3487</v>
      </c>
      <c r="G33" s="104" t="s">
        <v>3353</v>
      </c>
      <c r="H33" s="105" t="s">
        <v>3487</v>
      </c>
      <c r="I33" s="104" t="s">
        <v>3353</v>
      </c>
      <c r="J33" s="105" t="s">
        <v>3487</v>
      </c>
      <c r="K33" s="104" t="s">
        <v>3353</v>
      </c>
      <c r="L33" s="105" t="s">
        <v>3487</v>
      </c>
      <c r="M33" s="104" t="s">
        <v>3353</v>
      </c>
      <c r="N33" s="105" t="s">
        <v>3487</v>
      </c>
      <c r="O33" s="104" t="s">
        <v>3353</v>
      </c>
      <c r="P33" s="105" t="s">
        <v>3487</v>
      </c>
      <c r="Q33" s="104" t="s">
        <v>3353</v>
      </c>
      <c r="R33" s="105" t="s">
        <v>3487</v>
      </c>
      <c r="S33" s="104" t="s">
        <v>3353</v>
      </c>
      <c r="T33" s="105" t="s">
        <v>3487</v>
      </c>
      <c r="U33" s="104" t="s">
        <v>3353</v>
      </c>
      <c r="V33" s="105" t="s">
        <v>3487</v>
      </c>
      <c r="W33" s="104" t="s">
        <v>3353</v>
      </c>
      <c r="X33" s="105" t="s">
        <v>3487</v>
      </c>
      <c r="Y33" s="104" t="s">
        <v>3353</v>
      </c>
      <c r="Z33" s="105" t="s">
        <v>3487</v>
      </c>
      <c r="AA33" s="104" t="s">
        <v>3353</v>
      </c>
      <c r="AB33" s="105" t="s">
        <v>3487</v>
      </c>
      <c r="AC33" s="104" t="s">
        <v>3353</v>
      </c>
      <c r="AD33" s="105" t="s">
        <v>3487</v>
      </c>
      <c r="AE33" s="104" t="s">
        <v>3353</v>
      </c>
      <c r="AF33" s="105" t="s">
        <v>3487</v>
      </c>
      <c r="AG33" s="104" t="s">
        <v>3353</v>
      </c>
      <c r="AH33" s="105" t="s">
        <v>3487</v>
      </c>
      <c r="AI33" s="104" t="s">
        <v>3353</v>
      </c>
      <c r="AJ33" s="105" t="s">
        <v>3487</v>
      </c>
      <c r="AK33" s="104" t="s">
        <v>3353</v>
      </c>
      <c r="AL33" s="105" t="s">
        <v>3487</v>
      </c>
      <c r="AM33" s="104" t="s">
        <v>3353</v>
      </c>
      <c r="AN33" s="105" t="s">
        <v>3487</v>
      </c>
      <c r="AO33" s="106" t="s">
        <v>3353</v>
      </c>
    </row>
    <row r="34" spans="2:41" ht="21.75" customHeight="1" outlineLevel="1" thickBot="1" x14ac:dyDescent="0.3">
      <c r="B34" s="76"/>
      <c r="C34" s="114" t="s">
        <v>3399</v>
      </c>
      <c r="D34" s="144">
        <f>IFERROR(SUM(D35:D41)," ")</f>
        <v>15</v>
      </c>
      <c r="E34" s="145">
        <f>IFERROR(SUM(E35:E41)," ")</f>
        <v>25</v>
      </c>
      <c r="F34" s="99">
        <f>IFERROR(SUM(F35:F41)," ")</f>
        <v>20</v>
      </c>
      <c r="G34" s="100">
        <f>IFERROR(SUM(G35:G41)," ")</f>
        <v>34</v>
      </c>
      <c r="H34" s="99">
        <f t="shared" ref="H34:U34" si="4">IFERROR(SUM(H35:H41)," ")</f>
        <v>13</v>
      </c>
      <c r="I34" s="100">
        <f t="shared" si="4"/>
        <v>13</v>
      </c>
      <c r="J34" s="99">
        <f t="shared" si="4"/>
        <v>12</v>
      </c>
      <c r="K34" s="100">
        <f t="shared" si="4"/>
        <v>19</v>
      </c>
      <c r="L34" s="99">
        <f t="shared" si="4"/>
        <v>9</v>
      </c>
      <c r="M34" s="100">
        <f t="shared" si="4"/>
        <v>20</v>
      </c>
      <c r="N34" s="99">
        <f t="shared" si="4"/>
        <v>0</v>
      </c>
      <c r="O34" s="100">
        <f t="shared" si="4"/>
        <v>0</v>
      </c>
      <c r="P34" s="99">
        <f t="shared" si="4"/>
        <v>7</v>
      </c>
      <c r="Q34" s="100">
        <f t="shared" si="4"/>
        <v>13</v>
      </c>
      <c r="R34" s="99">
        <f t="shared" si="4"/>
        <v>6</v>
      </c>
      <c r="S34" s="100">
        <f t="shared" si="4"/>
        <v>12</v>
      </c>
      <c r="T34" s="99">
        <f t="shared" si="4"/>
        <v>6</v>
      </c>
      <c r="U34" s="100">
        <f t="shared" si="4"/>
        <v>12</v>
      </c>
      <c r="V34" s="99">
        <f t="shared" ref="V34:AO34" si="5">IFERROR(SUM(V35:V42)," ")</f>
        <v>10</v>
      </c>
      <c r="W34" s="100">
        <f t="shared" si="5"/>
        <v>25</v>
      </c>
      <c r="X34" s="99">
        <f t="shared" si="5"/>
        <v>13</v>
      </c>
      <c r="Y34" s="100">
        <f t="shared" si="5"/>
        <v>25</v>
      </c>
      <c r="Z34" s="99">
        <f t="shared" si="5"/>
        <v>12</v>
      </c>
      <c r="AA34" s="100">
        <f t="shared" si="5"/>
        <v>18</v>
      </c>
      <c r="AB34" s="99">
        <f t="shared" si="5"/>
        <v>8</v>
      </c>
      <c r="AC34" s="100">
        <f t="shared" si="5"/>
        <v>10</v>
      </c>
      <c r="AD34" s="99">
        <f t="shared" si="5"/>
        <v>7</v>
      </c>
      <c r="AE34" s="100">
        <f t="shared" si="5"/>
        <v>12</v>
      </c>
      <c r="AF34" s="99">
        <f t="shared" si="5"/>
        <v>4</v>
      </c>
      <c r="AG34" s="100">
        <f t="shared" si="5"/>
        <v>5</v>
      </c>
      <c r="AH34" s="99">
        <f t="shared" si="5"/>
        <v>8</v>
      </c>
      <c r="AI34" s="100">
        <f t="shared" si="5"/>
        <v>5</v>
      </c>
      <c r="AJ34" s="99">
        <f t="shared" si="5"/>
        <v>10</v>
      </c>
      <c r="AK34" s="100">
        <f t="shared" si="5"/>
        <v>9</v>
      </c>
      <c r="AL34" s="99">
        <f t="shared" si="5"/>
        <v>9</v>
      </c>
      <c r="AM34" s="100">
        <f t="shared" si="5"/>
        <v>6</v>
      </c>
      <c r="AN34" s="99">
        <f t="shared" si="5"/>
        <v>0</v>
      </c>
      <c r="AO34" s="100">
        <f t="shared" si="5"/>
        <v>0</v>
      </c>
    </row>
    <row r="35" spans="2:41" ht="15" customHeight="1" outlineLevel="1" thickBot="1" x14ac:dyDescent="0.3">
      <c r="B35" s="76"/>
      <c r="C35" s="112" t="s">
        <v>426</v>
      </c>
      <c r="D35" s="138">
        <f>SUMIFS(Resumo_Trocas!$C:$C,Resumo_Trocas!$A:$A,$C35,Resumo_Trocas!$F:$F,D$32,Resumo_Trocas!$C:$C,"&gt;0")</f>
        <v>3</v>
      </c>
      <c r="E35" s="139">
        <f>SUMIFS(Resumo_Trocas!$D:$D,Resumo_Trocas!$A:$A,$C35,Resumo_Trocas!$F:$F,D$32,Resumo_Trocas!$C:$C,"&gt;0")</f>
        <v>0</v>
      </c>
      <c r="F35" s="138">
        <f>SUMIFS(Resumo_Trocas!$C:$C,Resumo_Trocas!$A:$A,$C35,Resumo_Trocas!$F:$F,F$32,Resumo_Trocas!$C:$C,"&gt;0")</f>
        <v>1</v>
      </c>
      <c r="G35" s="139">
        <f>SUMIFS(Resumo_Trocas!$D:$D,Resumo_Trocas!$A:$A,$C35,Resumo_Trocas!$F:$F,F$32,Resumo_Trocas!$C:$C,"&gt;0")</f>
        <v>3</v>
      </c>
      <c r="H35" s="138">
        <f>SUMIFS(Resumo_Trocas!$C:$C,Resumo_Trocas!$A:$A,$C35,Resumo_Trocas!$F:$F,H$32,Resumo_Trocas!$C:$C,"&gt;0")</f>
        <v>0</v>
      </c>
      <c r="I35" s="139">
        <f>SUMIFS(Resumo_Trocas!$D:$D,Resumo_Trocas!$A:$A,$C35,Resumo_Trocas!$F:$F,H$32,Resumo_Trocas!$C:$C,"&gt;0")</f>
        <v>0</v>
      </c>
      <c r="J35" s="138">
        <f>SUMIFS(Resumo_Trocas!$C:$C,Resumo_Trocas!$A:$A,$C35,Resumo_Trocas!$F:$F,J$32,Resumo_Trocas!$C:$C,"&gt;0")</f>
        <v>2</v>
      </c>
      <c r="K35" s="139">
        <f>SUMIFS(Resumo_Trocas!$D:$D,Resumo_Trocas!$A:$A,$C35,Resumo_Trocas!$F:$F,J$32,Resumo_Trocas!$C:$C,"&gt;0")</f>
        <v>6</v>
      </c>
      <c r="L35" s="138">
        <f>SUMIFS(Resumo_Trocas!$C:$C,Resumo_Trocas!$A:$A,$C35,Resumo_Trocas!$F:$F,L$32,Resumo_Trocas!$C:$C,"&gt;0")</f>
        <v>1</v>
      </c>
      <c r="M35" s="139">
        <f>SUMIFS(Resumo_Trocas!$D:$D,Resumo_Trocas!$A:$A,$C35,Resumo_Trocas!$F:$F,L$32,Resumo_Trocas!$C:$C,"&gt;0")</f>
        <v>3</v>
      </c>
      <c r="N35" s="138">
        <f>SUMIFS(Resumo_Trocas!$C:$C,Resumo_Trocas!$A:$A,$C35,Resumo_Trocas!$F:$F,N$32,Resumo_Trocas!$C:$C,"&gt;0")</f>
        <v>0</v>
      </c>
      <c r="O35" s="139">
        <f>SUMIFS(Resumo_Trocas!$D:$D,Resumo_Trocas!$A:$A,$C35,Resumo_Trocas!$F:$F,N$32,Resumo_Trocas!$C:$C,"&gt;0")</f>
        <v>0</v>
      </c>
      <c r="P35" s="138">
        <f>SUMIFS(Resumo_Trocas!$C:$C,Resumo_Trocas!$A:$A,$C35,Resumo_Trocas!$F:$F,P$32,Resumo_Trocas!$C:$C,"&gt;0")</f>
        <v>1</v>
      </c>
      <c r="Q35" s="139">
        <f>SUMIFS(Resumo_Trocas!$D:$D,Resumo_Trocas!$A:$A,$C35,Resumo_Trocas!$F:$F,P$32,Resumo_Trocas!$C:$C,"&gt;0")</f>
        <v>3</v>
      </c>
      <c r="R35" s="138">
        <f>SUMIFS(Resumo_Trocas!$C:$C,Resumo_Trocas!$A:$A,$C35,Resumo_Trocas!$F:$F,R$32,Resumo_Trocas!$C:$C,"&gt;0")</f>
        <v>0</v>
      </c>
      <c r="S35" s="139">
        <f>SUMIFS(Resumo_Trocas!$D:$D,Resumo_Trocas!$A:$A,$C35,Resumo_Trocas!$F:$F,R$32,Resumo_Trocas!$C:$C,"&gt;0")</f>
        <v>0</v>
      </c>
      <c r="T35" s="138">
        <f>SUMIFS(Resumo_Trocas!$C:$C,Resumo_Trocas!$A:$A,$C35,Resumo_Trocas!$F:$F,T$32,Resumo_Trocas!$C:$C,"&gt;0")</f>
        <v>0</v>
      </c>
      <c r="U35" s="139">
        <f>SUMIFS(Resumo_Trocas!$D:$D,Resumo_Trocas!$A:$A,$C35,Resumo_Trocas!$F:$F,T$32,Resumo_Trocas!$C:$C,"&gt;0")</f>
        <v>0</v>
      </c>
      <c r="V35" s="138">
        <f>SUMIFS(Resumo_Trocas!$C:$C,Resumo_Trocas!$A:$A,$C35,Resumo_Trocas!$F:$F,V$32,Resumo_Trocas!$C:$C,"&gt;0")</f>
        <v>6</v>
      </c>
      <c r="W35" s="139">
        <f>SUMIFS(Resumo_Trocas!$D:$D,Resumo_Trocas!$A:$A,$C35,Resumo_Trocas!$F:$F,V$32,Resumo_Trocas!$C:$C,"&gt;0")</f>
        <v>17</v>
      </c>
      <c r="X35" s="138">
        <f>SUMIFS(Resumo_Trocas!$C:$C,Resumo_Trocas!$A:$A,$C35,Resumo_Trocas!$F:$F,X$32,Resumo_Trocas!$C:$C,"&gt;0")</f>
        <v>4</v>
      </c>
      <c r="Y35" s="139">
        <f>SUMIFS(Resumo_Trocas!$D:$D,Resumo_Trocas!$A:$A,$C35,Resumo_Trocas!$F:$F,X$32,Resumo_Trocas!$C:$C,"&gt;0")</f>
        <v>7</v>
      </c>
      <c r="Z35" s="138">
        <f>SUMIFS(Resumo_Trocas!$C:$C,Resumo_Trocas!$A:$A,$C35,Resumo_Trocas!$F:$F,Z$32,Resumo_Trocas!$C:$C,"&gt;0")</f>
        <v>4</v>
      </c>
      <c r="AA35" s="139">
        <f>SUMIFS(Resumo_Trocas!$D:$D,Resumo_Trocas!$A:$A,$C35,Resumo_Trocas!$F:$F,Z$32,Resumo_Trocas!$C:$C,"&gt;0")</f>
        <v>4</v>
      </c>
      <c r="AB35" s="138">
        <f>SUMIFS(Resumo_Trocas!$C:$C,Resumo_Trocas!$A:$A,$C35,Resumo_Trocas!$F:$F,AB$32,Resumo_Trocas!$C:$C,"&gt;0")</f>
        <v>2</v>
      </c>
      <c r="AC35" s="139">
        <f>SUMIFS(Resumo_Trocas!$D:$D,Resumo_Trocas!$A:$A,$C35,Resumo_Trocas!$F:$F,AB$32,Resumo_Trocas!$C:$C,"&gt;0")</f>
        <v>2</v>
      </c>
      <c r="AD35" s="138">
        <f>SUMIFS(Resumo_Trocas!$C:$C,Resumo_Trocas!$A:$A,$C35,Resumo_Trocas!$F:$F,AD$32,Resumo_Trocas!$C:$C,"&gt;0")</f>
        <v>0</v>
      </c>
      <c r="AE35" s="139">
        <f>SUMIFS(Resumo_Trocas!$D:$D,Resumo_Trocas!$A:$A,$C35,Resumo_Trocas!$F:$F,AD$32,Resumo_Trocas!$C:$C,"&gt;0")</f>
        <v>0</v>
      </c>
      <c r="AF35" s="138">
        <f>SUMIFS(Resumo_Trocas!$C:$C,Resumo_Trocas!$A:$A,$C35,Resumo_Trocas!$F:$F,AF$32,Resumo_Trocas!$C:$C,"&gt;0")</f>
        <v>1</v>
      </c>
      <c r="AG35" s="139">
        <f>SUMIFS(Resumo_Trocas!$D:$D,Resumo_Trocas!$A:$A,$C35,Resumo_Trocas!$F:$F,AF$32,Resumo_Trocas!$C:$C,"&gt;0")</f>
        <v>1</v>
      </c>
      <c r="AH35" s="138">
        <f>SUMIFS(Resumo_Trocas!$C:$C,Resumo_Trocas!$A:$A,$C35,Resumo_Trocas!$F:$F,AH$32,Resumo_Trocas!$C:$C,"&gt;0")</f>
        <v>1</v>
      </c>
      <c r="AI35" s="139">
        <f>SUMIFS(Resumo_Trocas!$D:$D,Resumo_Trocas!$A:$A,$C35,Resumo_Trocas!$F:$F,AH$32,Resumo_Trocas!$C:$C,"&gt;0")</f>
        <v>1</v>
      </c>
      <c r="AJ35" s="138">
        <f>SUMIFS(Resumo_Trocas!$C:$C,Resumo_Trocas!$A:$A,$C35,Resumo_Trocas!$F:$F,AJ$32,Resumo_Trocas!$C:$C,"&gt;0")</f>
        <v>1</v>
      </c>
      <c r="AK35" s="139">
        <f>SUMIFS(Resumo_Trocas!$D:$D,Resumo_Trocas!$A:$A,$C35,Resumo_Trocas!$F:$F,AJ$32,Resumo_Trocas!$C:$C,"&gt;0")</f>
        <v>1</v>
      </c>
      <c r="AL35" s="138">
        <f>SUMIFS(Resumo_Trocas!$C:$C,Resumo_Trocas!$A:$A,$C35,Resumo_Trocas!$F:$F,AL$32,Resumo_Trocas!$C:$C,"&gt;0")</f>
        <v>3</v>
      </c>
      <c r="AM35" s="139">
        <f>SUMIFS(Resumo_Trocas!$D:$D,Resumo_Trocas!$A:$A,$C35,Resumo_Trocas!$F:$F,AL$32,Resumo_Trocas!$C:$C,"&gt;0")</f>
        <v>3</v>
      </c>
      <c r="AN35" s="138">
        <f>SUMIFS(Resumo_Trocas!$C:$C,Resumo_Trocas!$A:$A,$C35,Resumo_Trocas!$F:$F,AN$32,Resumo_Trocas!$C:$C,"&gt;0")</f>
        <v>0</v>
      </c>
      <c r="AO35" s="139">
        <f>SUMIFS(Resumo_Trocas!$D:$D,Resumo_Trocas!$A:$A,$C35,Resumo_Trocas!$F:$F,AN$32,Resumo_Trocas!$C:$C,"&gt;0")</f>
        <v>0</v>
      </c>
    </row>
    <row r="36" spans="2:41" ht="15" customHeight="1" outlineLevel="1" thickBot="1" x14ac:dyDescent="0.3">
      <c r="B36" s="76"/>
      <c r="C36" s="112" t="s">
        <v>431</v>
      </c>
      <c r="D36" s="140">
        <f>SUMIFS(Resumo_Trocas!$C:$C,Resumo_Trocas!$A:$A,$C36,Resumo_Trocas!$F:$F,D$32,Resumo_Trocas!$C:$C,"&gt;0")</f>
        <v>2</v>
      </c>
      <c r="E36" s="141">
        <f>SUMIFS(Resumo_Trocas!$D:$D,Resumo_Trocas!$A:$A,$C36,Resumo_Trocas!$F:$F,D$32,Resumo_Trocas!$C:$C,"&gt;0")</f>
        <v>6</v>
      </c>
      <c r="F36" s="140">
        <f>SUMIFS(Resumo_Trocas!$C:$C,Resumo_Trocas!$A:$A,$C36,Resumo_Trocas!$F:$F,F$32,Resumo_Trocas!$C:$C,"&gt;0")</f>
        <v>4</v>
      </c>
      <c r="G36" s="141">
        <f>SUMIFS(Resumo_Trocas!$D:$D,Resumo_Trocas!$A:$A,$C36,Resumo_Trocas!$F:$F,F$32,Resumo_Trocas!$C:$C,"&gt;0")</f>
        <v>5</v>
      </c>
      <c r="H36" s="140">
        <f>SUMIFS(Resumo_Trocas!$C:$C,Resumo_Trocas!$A:$A,$C36,Resumo_Trocas!$F:$F,H$32,Resumo_Trocas!$C:$C,"&gt;0")</f>
        <v>1</v>
      </c>
      <c r="I36" s="141">
        <f>SUMIFS(Resumo_Trocas!$D:$D,Resumo_Trocas!$A:$A,$C36,Resumo_Trocas!$F:$F,H$32,Resumo_Trocas!$C:$C,"&gt;0")</f>
        <v>2</v>
      </c>
      <c r="J36" s="140">
        <f>SUMIFS(Resumo_Trocas!$C:$C,Resumo_Trocas!$A:$A,$C36,Resumo_Trocas!$F:$F,J$32,Resumo_Trocas!$C:$C,"&gt;0")</f>
        <v>1</v>
      </c>
      <c r="K36" s="141">
        <f>SUMIFS(Resumo_Trocas!$D:$D,Resumo_Trocas!$A:$A,$C36,Resumo_Trocas!$F:$F,J$32,Resumo_Trocas!$C:$C,"&gt;0")</f>
        <v>2</v>
      </c>
      <c r="L36" s="140">
        <f>SUMIFS(Resumo_Trocas!$C:$C,Resumo_Trocas!$A:$A,$C36,Resumo_Trocas!$F:$F,L$32,Resumo_Trocas!$C:$C,"&gt;0")</f>
        <v>0</v>
      </c>
      <c r="M36" s="141">
        <f>SUMIFS(Resumo_Trocas!$D:$D,Resumo_Trocas!$A:$A,$C36,Resumo_Trocas!$F:$F,L$32,Resumo_Trocas!$C:$C,"&gt;0")</f>
        <v>0</v>
      </c>
      <c r="N36" s="140">
        <f>SUMIFS(Resumo_Trocas!$C:$C,Resumo_Trocas!$A:$A,$C36,Resumo_Trocas!$F:$F,N$32,Resumo_Trocas!$C:$C,"&gt;0")</f>
        <v>0</v>
      </c>
      <c r="O36" s="141">
        <f>SUMIFS(Resumo_Trocas!$D:$D,Resumo_Trocas!$A:$A,$C36,Resumo_Trocas!$F:$F,N$32,Resumo_Trocas!$C:$C,"&gt;0")</f>
        <v>0</v>
      </c>
      <c r="P36" s="140">
        <f>SUMIFS(Resumo_Trocas!$C:$C,Resumo_Trocas!$A:$A,$C36,Resumo_Trocas!$F:$F,P$32,Resumo_Trocas!$C:$C,"&gt;0")</f>
        <v>0</v>
      </c>
      <c r="Q36" s="141">
        <f>SUMIFS(Resumo_Trocas!$D:$D,Resumo_Trocas!$A:$A,$C36,Resumo_Trocas!$F:$F,P$32,Resumo_Trocas!$C:$C,"&gt;0")</f>
        <v>0</v>
      </c>
      <c r="R36" s="140">
        <f>SUMIFS(Resumo_Trocas!$C:$C,Resumo_Trocas!$A:$A,$C36,Resumo_Trocas!$F:$F,R$32,Resumo_Trocas!$C:$C,"&gt;0")</f>
        <v>1</v>
      </c>
      <c r="S36" s="141">
        <f>SUMIFS(Resumo_Trocas!$D:$D,Resumo_Trocas!$A:$A,$C36,Resumo_Trocas!$F:$F,R$32,Resumo_Trocas!$C:$C,"&gt;0")</f>
        <v>2</v>
      </c>
      <c r="T36" s="140">
        <f>SUMIFS(Resumo_Trocas!$C:$C,Resumo_Trocas!$A:$A,$C36,Resumo_Trocas!$F:$F,T$32,Resumo_Trocas!$C:$C,"&gt;0")</f>
        <v>0</v>
      </c>
      <c r="U36" s="141">
        <f>SUMIFS(Resumo_Trocas!$D:$D,Resumo_Trocas!$A:$A,$C36,Resumo_Trocas!$F:$F,T$32,Resumo_Trocas!$C:$C,"&gt;0")</f>
        <v>0</v>
      </c>
      <c r="V36" s="140">
        <f>SUMIFS(Resumo_Trocas!$C:$C,Resumo_Trocas!$A:$A,$C36,Resumo_Trocas!$F:$F,V$32,Resumo_Trocas!$C:$C,"&gt;0")</f>
        <v>0</v>
      </c>
      <c r="W36" s="141">
        <f>SUMIFS(Resumo_Trocas!$D:$D,Resumo_Trocas!$A:$A,$C36,Resumo_Trocas!$F:$F,V$32,Resumo_Trocas!$C:$C,"&gt;0")</f>
        <v>0</v>
      </c>
      <c r="X36" s="140">
        <f>SUMIFS(Resumo_Trocas!$C:$C,Resumo_Trocas!$A:$A,$C36,Resumo_Trocas!$F:$F,X$32,Resumo_Trocas!$C:$C,"&gt;0")</f>
        <v>1</v>
      </c>
      <c r="Y36" s="141">
        <f>SUMIFS(Resumo_Trocas!$D:$D,Resumo_Trocas!$A:$A,$C36,Resumo_Trocas!$F:$F,X$32,Resumo_Trocas!$C:$C,"&gt;0")</f>
        <v>2</v>
      </c>
      <c r="Z36" s="140">
        <f>SUMIFS(Resumo_Trocas!$C:$C,Resumo_Trocas!$A:$A,$C36,Resumo_Trocas!$F:$F,Z$32,Resumo_Trocas!$C:$C,"&gt;0")</f>
        <v>0</v>
      </c>
      <c r="AA36" s="141">
        <f>SUMIFS(Resumo_Trocas!$D:$D,Resumo_Trocas!$A:$A,$C36,Resumo_Trocas!$F:$F,Z$32,Resumo_Trocas!$C:$C,"&gt;0")</f>
        <v>0</v>
      </c>
      <c r="AB36" s="140">
        <f>SUMIFS(Resumo_Trocas!$C:$C,Resumo_Trocas!$A:$A,$C36,Resumo_Trocas!$F:$F,AB$32,Resumo_Trocas!$C:$C,"&gt;0")</f>
        <v>0</v>
      </c>
      <c r="AC36" s="141">
        <f>SUMIFS(Resumo_Trocas!$D:$D,Resumo_Trocas!$A:$A,$C36,Resumo_Trocas!$F:$F,AB$32,Resumo_Trocas!$C:$C,"&gt;0")</f>
        <v>0</v>
      </c>
      <c r="AD36" s="140">
        <f>SUMIFS(Resumo_Trocas!$C:$C,Resumo_Trocas!$A:$A,$C36,Resumo_Trocas!$F:$F,AD$32,Resumo_Trocas!$C:$C,"&gt;0")</f>
        <v>1</v>
      </c>
      <c r="AE36" s="141">
        <f>SUMIFS(Resumo_Trocas!$D:$D,Resumo_Trocas!$A:$A,$C36,Resumo_Trocas!$F:$F,AD$32,Resumo_Trocas!$C:$C,"&gt;0")</f>
        <v>2</v>
      </c>
      <c r="AF36" s="140">
        <f>SUMIFS(Resumo_Trocas!$C:$C,Resumo_Trocas!$A:$A,$C36,Resumo_Trocas!$F:$F,AF$32,Resumo_Trocas!$C:$C,"&gt;0")</f>
        <v>0</v>
      </c>
      <c r="AG36" s="141">
        <f>SUMIFS(Resumo_Trocas!$D:$D,Resumo_Trocas!$A:$A,$C36,Resumo_Trocas!$F:$F,AF$32,Resumo_Trocas!$C:$C,"&gt;0")</f>
        <v>0</v>
      </c>
      <c r="AH36" s="140">
        <f>SUMIFS(Resumo_Trocas!$C:$C,Resumo_Trocas!$A:$A,$C36,Resumo_Trocas!$F:$F,AH$32,Resumo_Trocas!$C:$C,"&gt;0")</f>
        <v>0</v>
      </c>
      <c r="AI36" s="141">
        <f>SUMIFS(Resumo_Trocas!$D:$D,Resumo_Trocas!$A:$A,$C36,Resumo_Trocas!$F:$F,AH$32,Resumo_Trocas!$C:$C,"&gt;0")</f>
        <v>0</v>
      </c>
      <c r="AJ36" s="140">
        <f>SUMIFS(Resumo_Trocas!$C:$C,Resumo_Trocas!$A:$A,$C36,Resumo_Trocas!$F:$F,AJ$32,Resumo_Trocas!$C:$C,"&gt;0")</f>
        <v>1</v>
      </c>
      <c r="AK36" s="141">
        <f>SUMIFS(Resumo_Trocas!$D:$D,Resumo_Trocas!$A:$A,$C36,Resumo_Trocas!$F:$F,AJ$32,Resumo_Trocas!$C:$C,"&gt;0")</f>
        <v>2</v>
      </c>
      <c r="AL36" s="140">
        <f>SUMIFS(Resumo_Trocas!$C:$C,Resumo_Trocas!$A:$A,$C36,Resumo_Trocas!$F:$F,AL$32,Resumo_Trocas!$C:$C,"&gt;0")</f>
        <v>0</v>
      </c>
      <c r="AM36" s="141">
        <f>SUMIFS(Resumo_Trocas!$D:$D,Resumo_Trocas!$A:$A,$C36,Resumo_Trocas!$F:$F,AL$32,Resumo_Trocas!$C:$C,"&gt;0")</f>
        <v>0</v>
      </c>
      <c r="AN36" s="140">
        <f>SUMIFS(Resumo_Trocas!$C:$C,Resumo_Trocas!$A:$A,$C36,Resumo_Trocas!$F:$F,AN$32,Resumo_Trocas!$C:$C,"&gt;0")</f>
        <v>0</v>
      </c>
      <c r="AO36" s="141">
        <f>SUMIFS(Resumo_Trocas!$D:$D,Resumo_Trocas!$A:$A,$C36,Resumo_Trocas!$F:$F,AN$32,Resumo_Trocas!$C:$C,"&gt;0")</f>
        <v>0</v>
      </c>
    </row>
    <row r="37" spans="2:41" ht="15" customHeight="1" outlineLevel="1" thickBot="1" x14ac:dyDescent="0.3">
      <c r="B37" s="76"/>
      <c r="C37" s="112" t="s">
        <v>435</v>
      </c>
      <c r="D37" s="140">
        <f>SUMIFS(Resumo_Trocas!$C:$C,Resumo_Trocas!$A:$A,$C37,Resumo_Trocas!$F:$F,D$32,Resumo_Trocas!$C:$C,"&gt;0")</f>
        <v>1</v>
      </c>
      <c r="E37" s="141">
        <f>SUMIFS(Resumo_Trocas!$D:$D,Resumo_Trocas!$A:$A,$C37,Resumo_Trocas!$F:$F,D$32,Resumo_Trocas!$C:$C,"&gt;0")</f>
        <v>0</v>
      </c>
      <c r="F37" s="140">
        <f>SUMIFS(Resumo_Trocas!$C:$C,Resumo_Trocas!$A:$A,$C37,Resumo_Trocas!$F:$F,F$32,Resumo_Trocas!$C:$C,"&gt;0")</f>
        <v>4</v>
      </c>
      <c r="G37" s="141">
        <f>SUMIFS(Resumo_Trocas!$D:$D,Resumo_Trocas!$A:$A,$C37,Resumo_Trocas!$F:$F,F$32,Resumo_Trocas!$C:$C,"&gt;0")</f>
        <v>8</v>
      </c>
      <c r="H37" s="140">
        <f>SUMIFS(Resumo_Trocas!$C:$C,Resumo_Trocas!$A:$A,$C37,Resumo_Trocas!$F:$F,H$32,Resumo_Trocas!$C:$C,"&gt;0")</f>
        <v>1</v>
      </c>
      <c r="I37" s="141">
        <f>SUMIFS(Resumo_Trocas!$D:$D,Resumo_Trocas!$A:$A,$C37,Resumo_Trocas!$F:$F,H$32,Resumo_Trocas!$C:$C,"&gt;0")</f>
        <v>0</v>
      </c>
      <c r="J37" s="140">
        <f>SUMIFS(Resumo_Trocas!$C:$C,Resumo_Trocas!$A:$A,$C37,Resumo_Trocas!$F:$F,J$32,Resumo_Trocas!$C:$C,"&gt;0")</f>
        <v>0</v>
      </c>
      <c r="K37" s="141">
        <f>SUMIFS(Resumo_Trocas!$D:$D,Resumo_Trocas!$A:$A,$C37,Resumo_Trocas!$F:$F,J$32,Resumo_Trocas!$C:$C,"&gt;0")</f>
        <v>0</v>
      </c>
      <c r="L37" s="140">
        <f>SUMIFS(Resumo_Trocas!$C:$C,Resumo_Trocas!$A:$A,$C37,Resumo_Trocas!$F:$F,L$32,Resumo_Trocas!$C:$C,"&gt;0")</f>
        <v>1</v>
      </c>
      <c r="M37" s="141">
        <f>SUMIFS(Resumo_Trocas!$D:$D,Resumo_Trocas!$A:$A,$C37,Resumo_Trocas!$F:$F,L$32,Resumo_Trocas!$C:$C,"&gt;0")</f>
        <v>0</v>
      </c>
      <c r="N37" s="140">
        <f>SUMIFS(Resumo_Trocas!$C:$C,Resumo_Trocas!$A:$A,$C37,Resumo_Trocas!$F:$F,N$32,Resumo_Trocas!$C:$C,"&gt;0")</f>
        <v>0</v>
      </c>
      <c r="O37" s="141">
        <f>SUMIFS(Resumo_Trocas!$D:$D,Resumo_Trocas!$A:$A,$C37,Resumo_Trocas!$F:$F,N$32,Resumo_Trocas!$C:$C,"&gt;0")</f>
        <v>0</v>
      </c>
      <c r="P37" s="140">
        <f>SUMIFS(Resumo_Trocas!$C:$C,Resumo_Trocas!$A:$A,$C37,Resumo_Trocas!$F:$F,P$32,Resumo_Trocas!$C:$C,"&gt;0")</f>
        <v>0</v>
      </c>
      <c r="Q37" s="141">
        <f>SUMIFS(Resumo_Trocas!$D:$D,Resumo_Trocas!$A:$A,$C37,Resumo_Trocas!$F:$F,P$32,Resumo_Trocas!$C:$C,"&gt;0")</f>
        <v>0</v>
      </c>
      <c r="R37" s="140">
        <f>SUMIFS(Resumo_Trocas!$C:$C,Resumo_Trocas!$A:$A,$C37,Resumo_Trocas!$F:$F,R$32,Resumo_Trocas!$C:$C,"&gt;0")</f>
        <v>0</v>
      </c>
      <c r="S37" s="141">
        <f>SUMIFS(Resumo_Trocas!$D:$D,Resumo_Trocas!$A:$A,$C37,Resumo_Trocas!$F:$F,R$32,Resumo_Trocas!$C:$C,"&gt;0")</f>
        <v>0</v>
      </c>
      <c r="T37" s="140">
        <f>SUMIFS(Resumo_Trocas!$C:$C,Resumo_Trocas!$A:$A,$C37,Resumo_Trocas!$F:$F,T$32,Resumo_Trocas!$C:$C,"&gt;0")</f>
        <v>1</v>
      </c>
      <c r="U37" s="141">
        <f>SUMIFS(Resumo_Trocas!$D:$D,Resumo_Trocas!$A:$A,$C37,Resumo_Trocas!$F:$F,T$32,Resumo_Trocas!$C:$C,"&gt;0")</f>
        <v>0</v>
      </c>
      <c r="V37" s="140">
        <f>SUMIFS(Resumo_Trocas!$C:$C,Resumo_Trocas!$A:$A,$C37,Resumo_Trocas!$F:$F,V$32,Resumo_Trocas!$C:$C,"&gt;0")</f>
        <v>0</v>
      </c>
      <c r="W37" s="141">
        <f>SUMIFS(Resumo_Trocas!$D:$D,Resumo_Trocas!$A:$A,$C37,Resumo_Trocas!$F:$F,V$32,Resumo_Trocas!$C:$C,"&gt;0")</f>
        <v>0</v>
      </c>
      <c r="X37" s="140">
        <f>SUMIFS(Resumo_Trocas!$C:$C,Resumo_Trocas!$A:$A,$C37,Resumo_Trocas!$F:$F,X$32,Resumo_Trocas!$C:$C,"&gt;0")</f>
        <v>1</v>
      </c>
      <c r="Y37" s="141">
        <f>SUMIFS(Resumo_Trocas!$D:$D,Resumo_Trocas!$A:$A,$C37,Resumo_Trocas!$F:$F,X$32,Resumo_Trocas!$C:$C,"&gt;0")</f>
        <v>0</v>
      </c>
      <c r="Z37" s="140">
        <f>SUMIFS(Resumo_Trocas!$C:$C,Resumo_Trocas!$A:$A,$C37,Resumo_Trocas!$F:$F,Z$32,Resumo_Trocas!$C:$C,"&gt;0")</f>
        <v>0</v>
      </c>
      <c r="AA37" s="141">
        <f>SUMIFS(Resumo_Trocas!$D:$D,Resumo_Trocas!$A:$A,$C37,Resumo_Trocas!$F:$F,Z$32,Resumo_Trocas!$C:$C,"&gt;0")</f>
        <v>0</v>
      </c>
      <c r="AB37" s="140">
        <f>SUMIFS(Resumo_Trocas!$C:$C,Resumo_Trocas!$A:$A,$C37,Resumo_Trocas!$F:$F,AB$32,Resumo_Trocas!$C:$C,"&gt;0")</f>
        <v>2</v>
      </c>
      <c r="AC37" s="141">
        <f>SUMIFS(Resumo_Trocas!$D:$D,Resumo_Trocas!$A:$A,$C37,Resumo_Trocas!$F:$F,AB$32,Resumo_Trocas!$C:$C,"&gt;0")</f>
        <v>0</v>
      </c>
      <c r="AD37" s="140">
        <f>SUMIFS(Resumo_Trocas!$C:$C,Resumo_Trocas!$A:$A,$C37,Resumo_Trocas!$F:$F,AD$32,Resumo_Trocas!$C:$C,"&gt;0")</f>
        <v>1</v>
      </c>
      <c r="AE37" s="141">
        <f>SUMIFS(Resumo_Trocas!$D:$D,Resumo_Trocas!$A:$A,$C37,Resumo_Trocas!$F:$F,AD$32,Resumo_Trocas!$C:$C,"&gt;0")</f>
        <v>0</v>
      </c>
      <c r="AF37" s="140">
        <f>SUMIFS(Resumo_Trocas!$C:$C,Resumo_Trocas!$A:$A,$C37,Resumo_Trocas!$F:$F,AF$32,Resumo_Trocas!$C:$C,"&gt;0")</f>
        <v>1</v>
      </c>
      <c r="AG37" s="141">
        <f>SUMIFS(Resumo_Trocas!$D:$D,Resumo_Trocas!$A:$A,$C37,Resumo_Trocas!$F:$F,AF$32,Resumo_Trocas!$C:$C,"&gt;0")</f>
        <v>0</v>
      </c>
      <c r="AH37" s="140">
        <f>SUMIFS(Resumo_Trocas!$C:$C,Resumo_Trocas!$A:$A,$C37,Resumo_Trocas!$F:$F,AH$32,Resumo_Trocas!$C:$C,"&gt;0")</f>
        <v>1</v>
      </c>
      <c r="AI37" s="141">
        <f>SUMIFS(Resumo_Trocas!$D:$D,Resumo_Trocas!$A:$A,$C37,Resumo_Trocas!$F:$F,AH$32,Resumo_Trocas!$C:$C,"&gt;0")</f>
        <v>0</v>
      </c>
      <c r="AJ37" s="140">
        <f>SUMIFS(Resumo_Trocas!$C:$C,Resumo_Trocas!$A:$A,$C37,Resumo_Trocas!$F:$F,AJ$32,Resumo_Trocas!$C:$C,"&gt;0")</f>
        <v>1</v>
      </c>
      <c r="AK37" s="141">
        <f>SUMIFS(Resumo_Trocas!$D:$D,Resumo_Trocas!$A:$A,$C37,Resumo_Trocas!$F:$F,AJ$32,Resumo_Trocas!$C:$C,"&gt;0")</f>
        <v>0</v>
      </c>
      <c r="AL37" s="140">
        <f>SUMIFS(Resumo_Trocas!$C:$C,Resumo_Trocas!$A:$A,$C37,Resumo_Trocas!$F:$F,AL$32,Resumo_Trocas!$C:$C,"&gt;0")</f>
        <v>0</v>
      </c>
      <c r="AM37" s="141">
        <f>SUMIFS(Resumo_Trocas!$D:$D,Resumo_Trocas!$A:$A,$C37,Resumo_Trocas!$F:$F,AL$32,Resumo_Trocas!$C:$C,"&gt;0")</f>
        <v>0</v>
      </c>
      <c r="AN37" s="140">
        <f>SUMIFS(Resumo_Trocas!$C:$C,Resumo_Trocas!$A:$A,$C37,Resumo_Trocas!$F:$F,AN$32,Resumo_Trocas!$C:$C,"&gt;0")</f>
        <v>0</v>
      </c>
      <c r="AO37" s="141">
        <f>SUMIFS(Resumo_Trocas!$D:$D,Resumo_Trocas!$A:$A,$C37,Resumo_Trocas!$F:$F,AN$32,Resumo_Trocas!$C:$C,"&gt;0")</f>
        <v>0</v>
      </c>
    </row>
    <row r="38" spans="2:41" ht="15" customHeight="1" outlineLevel="1" thickBot="1" x14ac:dyDescent="0.3">
      <c r="B38" s="76"/>
      <c r="C38" s="112" t="s">
        <v>439</v>
      </c>
      <c r="D38" s="140">
        <f>SUMIFS(Resumo_Trocas!$C:$C,Resumo_Trocas!$A:$A,$C38,Resumo_Trocas!$F:$F,D$32,Resumo_Trocas!$C:$C,"&gt;0")</f>
        <v>3</v>
      </c>
      <c r="E38" s="141">
        <f>SUMIFS(Resumo_Trocas!$D:$D,Resumo_Trocas!$A:$A,$C38,Resumo_Trocas!$F:$F,D$32,Resumo_Trocas!$C:$C,"&gt;0")</f>
        <v>6</v>
      </c>
      <c r="F38" s="140">
        <f>SUMIFS(Resumo_Trocas!$C:$C,Resumo_Trocas!$A:$A,$C38,Resumo_Trocas!$F:$F,F$32,Resumo_Trocas!$C:$C,"&gt;0")</f>
        <v>4</v>
      </c>
      <c r="G38" s="141">
        <f>SUMIFS(Resumo_Trocas!$D:$D,Resumo_Trocas!$A:$A,$C38,Resumo_Trocas!$F:$F,F$32,Resumo_Trocas!$C:$C,"&gt;0")</f>
        <v>4</v>
      </c>
      <c r="H38" s="140">
        <f>SUMIFS(Resumo_Trocas!$C:$C,Resumo_Trocas!$A:$A,$C38,Resumo_Trocas!$F:$F,H$32,Resumo_Trocas!$C:$C,"&gt;0")</f>
        <v>2</v>
      </c>
      <c r="I38" s="141">
        <f>SUMIFS(Resumo_Trocas!$D:$D,Resumo_Trocas!$A:$A,$C38,Resumo_Trocas!$F:$F,H$32,Resumo_Trocas!$C:$C,"&gt;0")</f>
        <v>2</v>
      </c>
      <c r="J38" s="140">
        <f>SUMIFS(Resumo_Trocas!$C:$C,Resumo_Trocas!$A:$A,$C38,Resumo_Trocas!$F:$F,J$32,Resumo_Trocas!$C:$C,"&gt;0")</f>
        <v>2</v>
      </c>
      <c r="K38" s="141">
        <f>SUMIFS(Resumo_Trocas!$D:$D,Resumo_Trocas!$A:$A,$C38,Resumo_Trocas!$F:$F,J$32,Resumo_Trocas!$C:$C,"&gt;0")</f>
        <v>2</v>
      </c>
      <c r="L38" s="140">
        <f>SUMIFS(Resumo_Trocas!$C:$C,Resumo_Trocas!$A:$A,$C38,Resumo_Trocas!$F:$F,L$32,Resumo_Trocas!$C:$C,"&gt;0")</f>
        <v>3</v>
      </c>
      <c r="M38" s="141">
        <f>SUMIFS(Resumo_Trocas!$D:$D,Resumo_Trocas!$A:$A,$C38,Resumo_Trocas!$F:$F,L$32,Resumo_Trocas!$C:$C,"&gt;0")</f>
        <v>3</v>
      </c>
      <c r="N38" s="140">
        <f>SUMIFS(Resumo_Trocas!$C:$C,Resumo_Trocas!$A:$A,$C38,Resumo_Trocas!$F:$F,N$32,Resumo_Trocas!$C:$C,"&gt;0")</f>
        <v>0</v>
      </c>
      <c r="O38" s="141">
        <f>SUMIFS(Resumo_Trocas!$D:$D,Resumo_Trocas!$A:$A,$C38,Resumo_Trocas!$F:$F,N$32,Resumo_Trocas!$C:$C,"&gt;0")</f>
        <v>0</v>
      </c>
      <c r="P38" s="140">
        <f>SUMIFS(Resumo_Trocas!$C:$C,Resumo_Trocas!$A:$A,$C38,Resumo_Trocas!$F:$F,P$32,Resumo_Trocas!$C:$C,"&gt;0")</f>
        <v>3</v>
      </c>
      <c r="Q38" s="141">
        <f>SUMIFS(Resumo_Trocas!$D:$D,Resumo_Trocas!$A:$A,$C38,Resumo_Trocas!$F:$F,P$32,Resumo_Trocas!$C:$C,"&gt;0")</f>
        <v>0</v>
      </c>
      <c r="R38" s="140">
        <f>SUMIFS(Resumo_Trocas!$C:$C,Resumo_Trocas!$A:$A,$C38,Resumo_Trocas!$F:$F,R$32,Resumo_Trocas!$C:$C,"&gt;0")</f>
        <v>2</v>
      </c>
      <c r="S38" s="141">
        <f>SUMIFS(Resumo_Trocas!$D:$D,Resumo_Trocas!$A:$A,$C38,Resumo_Trocas!$F:$F,R$32,Resumo_Trocas!$C:$C,"&gt;0")</f>
        <v>0</v>
      </c>
      <c r="T38" s="140">
        <f>SUMIFS(Resumo_Trocas!$C:$C,Resumo_Trocas!$A:$A,$C38,Resumo_Trocas!$F:$F,T$32,Resumo_Trocas!$C:$C,"&gt;0")</f>
        <v>1</v>
      </c>
      <c r="U38" s="141">
        <f>SUMIFS(Resumo_Trocas!$D:$D,Resumo_Trocas!$A:$A,$C38,Resumo_Trocas!$F:$F,T$32,Resumo_Trocas!$C:$C,"&gt;0")</f>
        <v>0</v>
      </c>
      <c r="V38" s="140">
        <f>SUMIFS(Resumo_Trocas!$C:$C,Resumo_Trocas!$A:$A,$C38,Resumo_Trocas!$F:$F,V$32,Resumo_Trocas!$C:$C,"&gt;0")</f>
        <v>1</v>
      </c>
      <c r="W38" s="141">
        <f>SUMIFS(Resumo_Trocas!$D:$D,Resumo_Trocas!$A:$A,$C38,Resumo_Trocas!$F:$F,V$32,Resumo_Trocas!$C:$C,"&gt;0")</f>
        <v>0</v>
      </c>
      <c r="X38" s="140">
        <f>SUMIFS(Resumo_Trocas!$C:$C,Resumo_Trocas!$A:$A,$C38,Resumo_Trocas!$F:$F,X$32,Resumo_Trocas!$C:$C,"&gt;0")</f>
        <v>0</v>
      </c>
      <c r="Y38" s="141">
        <f>SUMIFS(Resumo_Trocas!$D:$D,Resumo_Trocas!$A:$A,$C38,Resumo_Trocas!$F:$F,X$32,Resumo_Trocas!$C:$C,"&gt;0")</f>
        <v>0</v>
      </c>
      <c r="Z38" s="140">
        <f>SUMIFS(Resumo_Trocas!$C:$C,Resumo_Trocas!$A:$A,$C38,Resumo_Trocas!$F:$F,Z$32,Resumo_Trocas!$C:$C,"&gt;0")</f>
        <v>1</v>
      </c>
      <c r="AA38" s="141">
        <f>SUMIFS(Resumo_Trocas!$D:$D,Resumo_Trocas!$A:$A,$C38,Resumo_Trocas!$F:$F,Z$32,Resumo_Trocas!$C:$C,"&gt;0")</f>
        <v>0</v>
      </c>
      <c r="AB38" s="140">
        <f>SUMIFS(Resumo_Trocas!$C:$C,Resumo_Trocas!$A:$A,$C38,Resumo_Trocas!$F:$F,AB$32,Resumo_Trocas!$C:$C,"&gt;0")</f>
        <v>0</v>
      </c>
      <c r="AC38" s="141">
        <f>SUMIFS(Resumo_Trocas!$D:$D,Resumo_Trocas!$A:$A,$C38,Resumo_Trocas!$F:$F,AB$32,Resumo_Trocas!$C:$C,"&gt;0")</f>
        <v>0</v>
      </c>
      <c r="AD38" s="140">
        <f>SUMIFS(Resumo_Trocas!$C:$C,Resumo_Trocas!$A:$A,$C38,Resumo_Trocas!$F:$F,AD$32,Resumo_Trocas!$C:$C,"&gt;0")</f>
        <v>0</v>
      </c>
      <c r="AE38" s="141">
        <f>SUMIFS(Resumo_Trocas!$D:$D,Resumo_Trocas!$A:$A,$C38,Resumo_Trocas!$F:$F,AD$32,Resumo_Trocas!$C:$C,"&gt;0")</f>
        <v>0</v>
      </c>
      <c r="AF38" s="140">
        <f>SUMIFS(Resumo_Trocas!$C:$C,Resumo_Trocas!$A:$A,$C38,Resumo_Trocas!$F:$F,AF$32,Resumo_Trocas!$C:$C,"&gt;0")</f>
        <v>0</v>
      </c>
      <c r="AG38" s="141">
        <f>SUMIFS(Resumo_Trocas!$D:$D,Resumo_Trocas!$A:$A,$C38,Resumo_Trocas!$F:$F,AF$32,Resumo_Trocas!$C:$C,"&gt;0")</f>
        <v>0</v>
      </c>
      <c r="AH38" s="140">
        <f>SUMIFS(Resumo_Trocas!$C:$C,Resumo_Trocas!$A:$A,$C38,Resumo_Trocas!$F:$F,AH$32,Resumo_Trocas!$C:$C,"&gt;0")</f>
        <v>1</v>
      </c>
      <c r="AI38" s="141">
        <f>SUMIFS(Resumo_Trocas!$D:$D,Resumo_Trocas!$A:$A,$C38,Resumo_Trocas!$F:$F,AH$32,Resumo_Trocas!$C:$C,"&gt;0")</f>
        <v>0</v>
      </c>
      <c r="AJ38" s="140">
        <f>SUMIFS(Resumo_Trocas!$C:$C,Resumo_Trocas!$A:$A,$C38,Resumo_Trocas!$F:$F,AJ$32,Resumo_Trocas!$C:$C,"&gt;0")</f>
        <v>0</v>
      </c>
      <c r="AK38" s="141">
        <f>SUMIFS(Resumo_Trocas!$D:$D,Resumo_Trocas!$A:$A,$C38,Resumo_Trocas!$F:$F,AJ$32,Resumo_Trocas!$C:$C,"&gt;0")</f>
        <v>0</v>
      </c>
      <c r="AL38" s="140">
        <f>SUMIFS(Resumo_Trocas!$C:$C,Resumo_Trocas!$A:$A,$C38,Resumo_Trocas!$F:$F,AL$32,Resumo_Trocas!$C:$C,"&gt;0")</f>
        <v>4</v>
      </c>
      <c r="AM38" s="141">
        <f>SUMIFS(Resumo_Trocas!$D:$D,Resumo_Trocas!$A:$A,$C38,Resumo_Trocas!$F:$F,AL$32,Resumo_Trocas!$C:$C,"&gt;0")</f>
        <v>0</v>
      </c>
      <c r="AN38" s="140">
        <f>SUMIFS(Resumo_Trocas!$C:$C,Resumo_Trocas!$A:$A,$C38,Resumo_Trocas!$F:$F,AN$32,Resumo_Trocas!$C:$C,"&gt;0")</f>
        <v>0</v>
      </c>
      <c r="AO38" s="141">
        <f>SUMIFS(Resumo_Trocas!$D:$D,Resumo_Trocas!$A:$A,$C38,Resumo_Trocas!$F:$F,AN$32,Resumo_Trocas!$C:$C,"&gt;0")</f>
        <v>0</v>
      </c>
    </row>
    <row r="39" spans="2:41" ht="15" customHeight="1" outlineLevel="1" thickBot="1" x14ac:dyDescent="0.3">
      <c r="B39" s="76"/>
      <c r="C39" s="112" t="s">
        <v>443</v>
      </c>
      <c r="D39" s="140">
        <f>SUMIFS(Resumo_Trocas!$C:$C,Resumo_Trocas!$A:$A,$C39,Resumo_Trocas!$F:$F,D$32,Resumo_Trocas!$C:$C,"&gt;0")</f>
        <v>2</v>
      </c>
      <c r="E39" s="141">
        <f>SUMIFS(Resumo_Trocas!$D:$D,Resumo_Trocas!$A:$A,$C39,Resumo_Trocas!$F:$F,D$32,Resumo_Trocas!$C:$C,"&gt;0")</f>
        <v>8</v>
      </c>
      <c r="F39" s="140">
        <f>SUMIFS(Resumo_Trocas!$C:$C,Resumo_Trocas!$A:$A,$C39,Resumo_Trocas!$F:$F,F$32,Resumo_Trocas!$C:$C,"&gt;0")</f>
        <v>2</v>
      </c>
      <c r="G39" s="141">
        <f>SUMIFS(Resumo_Trocas!$D:$D,Resumo_Trocas!$A:$A,$C39,Resumo_Trocas!$F:$F,F$32,Resumo_Trocas!$C:$C,"&gt;0")</f>
        <v>14</v>
      </c>
      <c r="H39" s="140">
        <f>SUMIFS(Resumo_Trocas!$C:$C,Resumo_Trocas!$A:$A,$C39,Resumo_Trocas!$F:$F,H$32,Resumo_Trocas!$C:$C,"&gt;0")</f>
        <v>3</v>
      </c>
      <c r="I39" s="141">
        <f>SUMIFS(Resumo_Trocas!$D:$D,Resumo_Trocas!$A:$A,$C39,Resumo_Trocas!$F:$F,H$32,Resumo_Trocas!$C:$C,"&gt;0")</f>
        <v>9</v>
      </c>
      <c r="J39" s="140">
        <f>SUMIFS(Resumo_Trocas!$C:$C,Resumo_Trocas!$A:$A,$C39,Resumo_Trocas!$F:$F,J$32,Resumo_Trocas!$C:$C,"&gt;0")</f>
        <v>3</v>
      </c>
      <c r="K39" s="141">
        <f>SUMIFS(Resumo_Trocas!$D:$D,Resumo_Trocas!$A:$A,$C39,Resumo_Trocas!$F:$F,J$32,Resumo_Trocas!$C:$C,"&gt;0")</f>
        <v>3</v>
      </c>
      <c r="L39" s="140">
        <f>SUMIFS(Resumo_Trocas!$C:$C,Resumo_Trocas!$A:$A,$C39,Resumo_Trocas!$F:$F,L$32,Resumo_Trocas!$C:$C,"&gt;0")</f>
        <v>2</v>
      </c>
      <c r="M39" s="141">
        <f>SUMIFS(Resumo_Trocas!$D:$D,Resumo_Trocas!$A:$A,$C39,Resumo_Trocas!$F:$F,L$32,Resumo_Trocas!$C:$C,"&gt;0")</f>
        <v>10</v>
      </c>
      <c r="N39" s="140">
        <f>SUMIFS(Resumo_Trocas!$C:$C,Resumo_Trocas!$A:$A,$C39,Resumo_Trocas!$F:$F,N$32,Resumo_Trocas!$C:$C,"&gt;0")</f>
        <v>0</v>
      </c>
      <c r="O39" s="141">
        <f>SUMIFS(Resumo_Trocas!$D:$D,Resumo_Trocas!$A:$A,$C39,Resumo_Trocas!$F:$F,N$32,Resumo_Trocas!$C:$C,"&gt;0")</f>
        <v>0</v>
      </c>
      <c r="P39" s="140">
        <f>SUMIFS(Resumo_Trocas!$C:$C,Resumo_Trocas!$A:$A,$C39,Resumo_Trocas!$F:$F,P$32,Resumo_Trocas!$C:$C,"&gt;0")</f>
        <v>1</v>
      </c>
      <c r="Q39" s="141">
        <f>SUMIFS(Resumo_Trocas!$D:$D,Resumo_Trocas!$A:$A,$C39,Resumo_Trocas!$F:$F,P$32,Resumo_Trocas!$C:$C,"&gt;0")</f>
        <v>6</v>
      </c>
      <c r="R39" s="140">
        <f>SUMIFS(Resumo_Trocas!$C:$C,Resumo_Trocas!$A:$A,$C39,Resumo_Trocas!$F:$F,R$32,Resumo_Trocas!$C:$C,"&gt;0")</f>
        <v>1</v>
      </c>
      <c r="S39" s="141">
        <f>SUMIFS(Resumo_Trocas!$D:$D,Resumo_Trocas!$A:$A,$C39,Resumo_Trocas!$F:$F,R$32,Resumo_Trocas!$C:$C,"&gt;0")</f>
        <v>6</v>
      </c>
      <c r="T39" s="140">
        <f>SUMIFS(Resumo_Trocas!$C:$C,Resumo_Trocas!$A:$A,$C39,Resumo_Trocas!$F:$F,T$32,Resumo_Trocas!$C:$C,"&gt;0")</f>
        <v>1</v>
      </c>
      <c r="U39" s="141">
        <f>SUMIFS(Resumo_Trocas!$D:$D,Resumo_Trocas!$A:$A,$C39,Resumo_Trocas!$F:$F,T$32,Resumo_Trocas!$C:$C,"&gt;0")</f>
        <v>6</v>
      </c>
      <c r="V39" s="140">
        <f>SUMIFS(Resumo_Trocas!$C:$C,Resumo_Trocas!$A:$A,$C39,Resumo_Trocas!$F:$F,V$32,Resumo_Trocas!$C:$C,"&gt;0")</f>
        <v>1</v>
      </c>
      <c r="W39" s="141">
        <f>SUMIFS(Resumo_Trocas!$D:$D,Resumo_Trocas!$A:$A,$C39,Resumo_Trocas!$F:$F,V$32,Resumo_Trocas!$C:$C,"&gt;0")</f>
        <v>6</v>
      </c>
      <c r="X39" s="140">
        <f>SUMIFS(Resumo_Trocas!$C:$C,Resumo_Trocas!$A:$A,$C39,Resumo_Trocas!$F:$F,X$32,Resumo_Trocas!$C:$C,"&gt;0")</f>
        <v>2</v>
      </c>
      <c r="Y39" s="141">
        <f>SUMIFS(Resumo_Trocas!$D:$D,Resumo_Trocas!$A:$A,$C39,Resumo_Trocas!$F:$F,X$32,Resumo_Trocas!$C:$C,"&gt;0")</f>
        <v>12</v>
      </c>
      <c r="Z39" s="140">
        <f>SUMIFS(Resumo_Trocas!$C:$C,Resumo_Trocas!$A:$A,$C39,Resumo_Trocas!$F:$F,Z$32,Resumo_Trocas!$C:$C,"&gt;0")</f>
        <v>2</v>
      </c>
      <c r="AA39" s="141">
        <f>SUMIFS(Resumo_Trocas!$D:$D,Resumo_Trocas!$A:$A,$C39,Resumo_Trocas!$F:$F,Z$32,Resumo_Trocas!$C:$C,"&gt;0")</f>
        <v>10</v>
      </c>
      <c r="AB39" s="140">
        <f>SUMIFS(Resumo_Trocas!$C:$C,Resumo_Trocas!$A:$A,$C39,Resumo_Trocas!$F:$F,AB$32,Resumo_Trocas!$C:$C,"&gt;0")</f>
        <v>2</v>
      </c>
      <c r="AC39" s="141">
        <f>SUMIFS(Resumo_Trocas!$D:$D,Resumo_Trocas!$A:$A,$C39,Resumo_Trocas!$F:$F,AB$32,Resumo_Trocas!$C:$C,"&gt;0")</f>
        <v>8</v>
      </c>
      <c r="AD39" s="140">
        <f>SUMIFS(Resumo_Trocas!$C:$C,Resumo_Trocas!$A:$A,$C39,Resumo_Trocas!$F:$F,AD$32,Resumo_Trocas!$C:$C,"&gt;0")</f>
        <v>2</v>
      </c>
      <c r="AE39" s="141">
        <f>SUMIFS(Resumo_Trocas!$D:$D,Resumo_Trocas!$A:$A,$C39,Resumo_Trocas!$F:$F,AD$32,Resumo_Trocas!$C:$C,"&gt;0")</f>
        <v>8</v>
      </c>
      <c r="AF39" s="140">
        <f>SUMIFS(Resumo_Trocas!$C:$C,Resumo_Trocas!$A:$A,$C39,Resumo_Trocas!$F:$F,AF$32,Resumo_Trocas!$C:$C,"&gt;0")</f>
        <v>1</v>
      </c>
      <c r="AG39" s="141">
        <f>SUMIFS(Resumo_Trocas!$D:$D,Resumo_Trocas!$A:$A,$C39,Resumo_Trocas!$F:$F,AF$32,Resumo_Trocas!$C:$C,"&gt;0")</f>
        <v>4</v>
      </c>
      <c r="AH39" s="140">
        <f>SUMIFS(Resumo_Trocas!$C:$C,Resumo_Trocas!$A:$A,$C39,Resumo_Trocas!$F:$F,AH$32,Resumo_Trocas!$C:$C,"&gt;0")</f>
        <v>1</v>
      </c>
      <c r="AI39" s="141">
        <f>SUMIFS(Resumo_Trocas!$D:$D,Resumo_Trocas!$A:$A,$C39,Resumo_Trocas!$F:$F,AH$32,Resumo_Trocas!$C:$C,"&gt;0")</f>
        <v>2</v>
      </c>
      <c r="AJ39" s="140">
        <f>SUMIFS(Resumo_Trocas!$C:$C,Resumo_Trocas!$A:$A,$C39,Resumo_Trocas!$F:$F,AJ$32,Resumo_Trocas!$C:$C,"&gt;0")</f>
        <v>2</v>
      </c>
      <c r="AK39" s="141">
        <f>SUMIFS(Resumo_Trocas!$D:$D,Resumo_Trocas!$A:$A,$C39,Resumo_Trocas!$F:$F,AJ$32,Resumo_Trocas!$C:$C,"&gt;0")</f>
        <v>4</v>
      </c>
      <c r="AL39" s="140">
        <f>SUMIFS(Resumo_Trocas!$C:$C,Resumo_Trocas!$A:$A,$C39,Resumo_Trocas!$F:$F,AL$32,Resumo_Trocas!$C:$C,"&gt;0")</f>
        <v>0</v>
      </c>
      <c r="AM39" s="141">
        <f>SUMIFS(Resumo_Trocas!$D:$D,Resumo_Trocas!$A:$A,$C39,Resumo_Trocas!$F:$F,AL$32,Resumo_Trocas!$C:$C,"&gt;0")</f>
        <v>0</v>
      </c>
      <c r="AN39" s="140">
        <f>SUMIFS(Resumo_Trocas!$C:$C,Resumo_Trocas!$A:$A,$C39,Resumo_Trocas!$F:$F,AN$32,Resumo_Trocas!$C:$C,"&gt;0")</f>
        <v>0</v>
      </c>
      <c r="AO39" s="141">
        <f>SUMIFS(Resumo_Trocas!$D:$D,Resumo_Trocas!$A:$A,$C39,Resumo_Trocas!$F:$F,AN$32,Resumo_Trocas!$C:$C,"&gt;0")</f>
        <v>0</v>
      </c>
    </row>
    <row r="40" spans="2:41" ht="15" customHeight="1" outlineLevel="1" thickBot="1" x14ac:dyDescent="0.3">
      <c r="B40" s="76"/>
      <c r="C40" s="112" t="s">
        <v>450</v>
      </c>
      <c r="D40" s="140">
        <f>SUMIFS(Resumo_Trocas!$C:$C,Resumo_Trocas!$A:$A,$C40,Resumo_Trocas!$F:$F,D$32,Resumo_Trocas!$C:$C,"&gt;0")</f>
        <v>1</v>
      </c>
      <c r="E40" s="141">
        <f>SUMIFS(Resumo_Trocas!$D:$D,Resumo_Trocas!$A:$A,$C40,Resumo_Trocas!$F:$F,D$32,Resumo_Trocas!$C:$C,"&gt;0")</f>
        <v>0</v>
      </c>
      <c r="F40" s="140">
        <f>SUMIFS(Resumo_Trocas!$C:$C,Resumo_Trocas!$A:$A,$C40,Resumo_Trocas!$F:$F,F$32,Resumo_Trocas!$C:$C,"&gt;0")</f>
        <v>4</v>
      </c>
      <c r="G40" s="141">
        <f>SUMIFS(Resumo_Trocas!$D:$D,Resumo_Trocas!$A:$A,$C40,Resumo_Trocas!$F:$F,F$32,Resumo_Trocas!$C:$C,"&gt;0")</f>
        <v>0</v>
      </c>
      <c r="H40" s="140">
        <f>SUMIFS(Resumo_Trocas!$C:$C,Resumo_Trocas!$A:$A,$C40,Resumo_Trocas!$F:$F,H$32,Resumo_Trocas!$C:$C,"&gt;0")</f>
        <v>4</v>
      </c>
      <c r="I40" s="141">
        <f>SUMIFS(Resumo_Trocas!$D:$D,Resumo_Trocas!$A:$A,$C40,Resumo_Trocas!$F:$F,H$32,Resumo_Trocas!$C:$C,"&gt;0")</f>
        <v>0</v>
      </c>
      <c r="J40" s="140">
        <f>SUMIFS(Resumo_Trocas!$C:$C,Resumo_Trocas!$A:$A,$C40,Resumo_Trocas!$F:$F,J$32,Resumo_Trocas!$C:$C,"&gt;0")</f>
        <v>2</v>
      </c>
      <c r="K40" s="141">
        <f>SUMIFS(Resumo_Trocas!$D:$D,Resumo_Trocas!$A:$A,$C40,Resumo_Trocas!$F:$F,J$32,Resumo_Trocas!$C:$C,"&gt;0")</f>
        <v>4</v>
      </c>
      <c r="L40" s="140">
        <f>SUMIFS(Resumo_Trocas!$C:$C,Resumo_Trocas!$A:$A,$C40,Resumo_Trocas!$F:$F,L$32,Resumo_Trocas!$C:$C,"&gt;0")</f>
        <v>2</v>
      </c>
      <c r="M40" s="141">
        <f>SUMIFS(Resumo_Trocas!$D:$D,Resumo_Trocas!$A:$A,$C40,Resumo_Trocas!$F:$F,L$32,Resumo_Trocas!$C:$C,"&gt;0")</f>
        <v>4</v>
      </c>
      <c r="N40" s="140">
        <f>SUMIFS(Resumo_Trocas!$C:$C,Resumo_Trocas!$A:$A,$C40,Resumo_Trocas!$F:$F,N$32,Resumo_Trocas!$C:$C,"&gt;0")</f>
        <v>0</v>
      </c>
      <c r="O40" s="141">
        <f>SUMIFS(Resumo_Trocas!$D:$D,Resumo_Trocas!$A:$A,$C40,Resumo_Trocas!$F:$F,N$32,Resumo_Trocas!$C:$C,"&gt;0")</f>
        <v>0</v>
      </c>
      <c r="P40" s="140">
        <f>SUMIFS(Resumo_Trocas!$C:$C,Resumo_Trocas!$A:$A,$C40,Resumo_Trocas!$F:$F,P$32,Resumo_Trocas!$C:$C,"&gt;0")</f>
        <v>1</v>
      </c>
      <c r="Q40" s="141">
        <f>SUMIFS(Resumo_Trocas!$D:$D,Resumo_Trocas!$A:$A,$C40,Resumo_Trocas!$F:$F,P$32,Resumo_Trocas!$C:$C,"&gt;0")</f>
        <v>2</v>
      </c>
      <c r="R40" s="140">
        <f>SUMIFS(Resumo_Trocas!$C:$C,Resumo_Trocas!$A:$A,$C40,Resumo_Trocas!$F:$F,R$32,Resumo_Trocas!$C:$C,"&gt;0")</f>
        <v>1</v>
      </c>
      <c r="S40" s="141">
        <f>SUMIFS(Resumo_Trocas!$D:$D,Resumo_Trocas!$A:$A,$C40,Resumo_Trocas!$F:$F,R$32,Resumo_Trocas!$C:$C,"&gt;0")</f>
        <v>2</v>
      </c>
      <c r="T40" s="140">
        <f>SUMIFS(Resumo_Trocas!$C:$C,Resumo_Trocas!$A:$A,$C40,Resumo_Trocas!$F:$F,T$32,Resumo_Trocas!$C:$C,"&gt;0")</f>
        <v>3</v>
      </c>
      <c r="U40" s="141">
        <f>SUMIFS(Resumo_Trocas!$D:$D,Resumo_Trocas!$A:$A,$C40,Resumo_Trocas!$F:$F,T$32,Resumo_Trocas!$C:$C,"&gt;0")</f>
        <v>6</v>
      </c>
      <c r="V40" s="140">
        <f>SUMIFS(Resumo_Trocas!$C:$C,Resumo_Trocas!$A:$A,$C40,Resumo_Trocas!$F:$F,V$32,Resumo_Trocas!$C:$C,"&gt;0")</f>
        <v>0</v>
      </c>
      <c r="W40" s="141">
        <f>SUMIFS(Resumo_Trocas!$D:$D,Resumo_Trocas!$A:$A,$C40,Resumo_Trocas!$F:$F,V$32,Resumo_Trocas!$C:$C,"&gt;0")</f>
        <v>0</v>
      </c>
      <c r="X40" s="140">
        <f>SUMIFS(Resumo_Trocas!$C:$C,Resumo_Trocas!$A:$A,$C40,Resumo_Trocas!$F:$F,X$32,Resumo_Trocas!$C:$C,"&gt;0")</f>
        <v>1</v>
      </c>
      <c r="Y40" s="141">
        <f>SUMIFS(Resumo_Trocas!$D:$D,Resumo_Trocas!$A:$A,$C40,Resumo_Trocas!$F:$F,X$32,Resumo_Trocas!$C:$C,"&gt;0")</f>
        <v>2</v>
      </c>
      <c r="Z40" s="140">
        <f>SUMIFS(Resumo_Trocas!$C:$C,Resumo_Trocas!$A:$A,$C40,Resumo_Trocas!$F:$F,Z$32,Resumo_Trocas!$C:$C,"&gt;0")</f>
        <v>1</v>
      </c>
      <c r="AA40" s="141">
        <f>SUMIFS(Resumo_Trocas!$D:$D,Resumo_Trocas!$A:$A,$C40,Resumo_Trocas!$F:$F,Z$32,Resumo_Trocas!$C:$C,"&gt;0")</f>
        <v>2</v>
      </c>
      <c r="AB40" s="140">
        <f>SUMIFS(Resumo_Trocas!$C:$C,Resumo_Trocas!$A:$A,$C40,Resumo_Trocas!$F:$F,AB$32,Resumo_Trocas!$C:$C,"&gt;0")</f>
        <v>0</v>
      </c>
      <c r="AC40" s="141">
        <f>SUMIFS(Resumo_Trocas!$D:$D,Resumo_Trocas!$A:$A,$C40,Resumo_Trocas!$F:$F,AB$32,Resumo_Trocas!$C:$C,"&gt;0")</f>
        <v>0</v>
      </c>
      <c r="AD40" s="140">
        <f>SUMIFS(Resumo_Trocas!$C:$C,Resumo_Trocas!$A:$A,$C40,Resumo_Trocas!$F:$F,AD$32,Resumo_Trocas!$C:$C,"&gt;0")</f>
        <v>0</v>
      </c>
      <c r="AE40" s="141">
        <f>SUMIFS(Resumo_Trocas!$D:$D,Resumo_Trocas!$A:$A,$C40,Resumo_Trocas!$F:$F,AD$32,Resumo_Trocas!$C:$C,"&gt;0")</f>
        <v>0</v>
      </c>
      <c r="AF40" s="140">
        <f>SUMIFS(Resumo_Trocas!$C:$C,Resumo_Trocas!$A:$A,$C40,Resumo_Trocas!$F:$F,AF$32,Resumo_Trocas!$C:$C,"&gt;0")</f>
        <v>0</v>
      </c>
      <c r="AG40" s="141">
        <f>SUMIFS(Resumo_Trocas!$D:$D,Resumo_Trocas!$A:$A,$C40,Resumo_Trocas!$F:$F,AF$32,Resumo_Trocas!$C:$C,"&gt;0")</f>
        <v>0</v>
      </c>
      <c r="AH40" s="140">
        <f>SUMIFS(Resumo_Trocas!$C:$C,Resumo_Trocas!$A:$A,$C40,Resumo_Trocas!$F:$F,AH$32,Resumo_Trocas!$C:$C,"&gt;0")</f>
        <v>1</v>
      </c>
      <c r="AI40" s="141">
        <f>SUMIFS(Resumo_Trocas!$D:$D,Resumo_Trocas!$A:$A,$C40,Resumo_Trocas!$F:$F,AH$32,Resumo_Trocas!$C:$C,"&gt;0")</f>
        <v>2</v>
      </c>
      <c r="AJ40" s="140">
        <f>SUMIFS(Resumo_Trocas!$C:$C,Resumo_Trocas!$A:$A,$C40,Resumo_Trocas!$F:$F,AJ$32,Resumo_Trocas!$C:$C,"&gt;0")</f>
        <v>1</v>
      </c>
      <c r="AK40" s="141">
        <f>SUMIFS(Resumo_Trocas!$D:$D,Resumo_Trocas!$A:$A,$C40,Resumo_Trocas!$F:$F,AJ$32,Resumo_Trocas!$C:$C,"&gt;0")</f>
        <v>2</v>
      </c>
      <c r="AL40" s="140">
        <f>SUMIFS(Resumo_Trocas!$C:$C,Resumo_Trocas!$A:$A,$C40,Resumo_Trocas!$F:$F,AL$32,Resumo_Trocas!$C:$C,"&gt;0")</f>
        <v>0</v>
      </c>
      <c r="AM40" s="141">
        <f>SUMIFS(Resumo_Trocas!$D:$D,Resumo_Trocas!$A:$A,$C40,Resumo_Trocas!$F:$F,AL$32,Resumo_Trocas!$C:$C,"&gt;0")</f>
        <v>0</v>
      </c>
      <c r="AN40" s="140">
        <f>SUMIFS(Resumo_Trocas!$C:$C,Resumo_Trocas!$A:$A,$C40,Resumo_Trocas!$F:$F,AN$32,Resumo_Trocas!$C:$C,"&gt;0")</f>
        <v>0</v>
      </c>
      <c r="AO40" s="141">
        <f>SUMIFS(Resumo_Trocas!$D:$D,Resumo_Trocas!$A:$A,$C40,Resumo_Trocas!$F:$F,AN$32,Resumo_Trocas!$C:$C,"&gt;0")</f>
        <v>0</v>
      </c>
    </row>
    <row r="41" spans="2:41" ht="15" customHeight="1" outlineLevel="1" thickBot="1" x14ac:dyDescent="0.3">
      <c r="B41" s="76"/>
      <c r="C41" s="112" t="s">
        <v>454</v>
      </c>
      <c r="D41" s="140">
        <f>SUMIFS(Resumo_Trocas!$C:$C,Resumo_Trocas!$A:$A,$C41,Resumo_Trocas!$F:$F,D$32,Resumo_Trocas!$C:$C,"&gt;0")</f>
        <v>3</v>
      </c>
      <c r="E41" s="141">
        <f>SUMIFS(Resumo_Trocas!$D:$D,Resumo_Trocas!$A:$A,$C41,Resumo_Trocas!$F:$F,D$32,Resumo_Trocas!$C:$C,"&gt;0")</f>
        <v>5</v>
      </c>
      <c r="F41" s="140">
        <f>SUMIFS(Resumo_Trocas!$C:$C,Resumo_Trocas!$A:$A,$C41,Resumo_Trocas!$F:$F,F$32,Resumo_Trocas!$C:$C,"&gt;0")</f>
        <v>1</v>
      </c>
      <c r="G41" s="141">
        <f>SUMIFS(Resumo_Trocas!$D:$D,Resumo_Trocas!$A:$A,$C41,Resumo_Trocas!$F:$F,F$32,Resumo_Trocas!$C:$C,"&gt;0")</f>
        <v>0</v>
      </c>
      <c r="H41" s="140">
        <f>SUMIFS(Resumo_Trocas!$C:$C,Resumo_Trocas!$A:$A,$C41,Resumo_Trocas!$F:$F,H$32,Resumo_Trocas!$C:$C,"&gt;0")</f>
        <v>2</v>
      </c>
      <c r="I41" s="141">
        <f>SUMIFS(Resumo_Trocas!$D:$D,Resumo_Trocas!$A:$A,$C41,Resumo_Trocas!$F:$F,H$32,Resumo_Trocas!$C:$C,"&gt;0")</f>
        <v>0</v>
      </c>
      <c r="J41" s="140">
        <f>SUMIFS(Resumo_Trocas!$C:$C,Resumo_Trocas!$A:$A,$C41,Resumo_Trocas!$F:$F,J$32,Resumo_Trocas!$C:$C,"&gt;0")</f>
        <v>2</v>
      </c>
      <c r="K41" s="141">
        <f>SUMIFS(Resumo_Trocas!$D:$D,Resumo_Trocas!$A:$A,$C41,Resumo_Trocas!$F:$F,J$32,Resumo_Trocas!$C:$C,"&gt;0")</f>
        <v>2</v>
      </c>
      <c r="L41" s="140">
        <f>SUMIFS(Resumo_Trocas!$C:$C,Resumo_Trocas!$A:$A,$C41,Resumo_Trocas!$F:$F,L$32,Resumo_Trocas!$C:$C,"&gt;0")</f>
        <v>0</v>
      </c>
      <c r="M41" s="141">
        <f>SUMIFS(Resumo_Trocas!$D:$D,Resumo_Trocas!$A:$A,$C41,Resumo_Trocas!$F:$F,L$32,Resumo_Trocas!$C:$C,"&gt;0")</f>
        <v>0</v>
      </c>
      <c r="N41" s="140">
        <f>SUMIFS(Resumo_Trocas!$C:$C,Resumo_Trocas!$A:$A,$C41,Resumo_Trocas!$F:$F,N$32,Resumo_Trocas!$C:$C,"&gt;0")</f>
        <v>0</v>
      </c>
      <c r="O41" s="141">
        <f>SUMIFS(Resumo_Trocas!$D:$D,Resumo_Trocas!$A:$A,$C41,Resumo_Trocas!$F:$F,N$32,Resumo_Trocas!$C:$C,"&gt;0")</f>
        <v>0</v>
      </c>
      <c r="P41" s="140">
        <f>SUMIFS(Resumo_Trocas!$C:$C,Resumo_Trocas!$A:$A,$C41,Resumo_Trocas!$F:$F,P$32,Resumo_Trocas!$C:$C,"&gt;0")</f>
        <v>1</v>
      </c>
      <c r="Q41" s="141">
        <f>SUMIFS(Resumo_Trocas!$D:$D,Resumo_Trocas!$A:$A,$C41,Resumo_Trocas!$F:$F,P$32,Resumo_Trocas!$C:$C,"&gt;0")</f>
        <v>2</v>
      </c>
      <c r="R41" s="140">
        <f>SUMIFS(Resumo_Trocas!$C:$C,Resumo_Trocas!$A:$A,$C41,Resumo_Trocas!$F:$F,R$32,Resumo_Trocas!$C:$C,"&gt;0")</f>
        <v>1</v>
      </c>
      <c r="S41" s="141">
        <f>SUMIFS(Resumo_Trocas!$D:$D,Resumo_Trocas!$A:$A,$C41,Resumo_Trocas!$F:$F,R$32,Resumo_Trocas!$C:$C,"&gt;0")</f>
        <v>2</v>
      </c>
      <c r="T41" s="140">
        <f>SUMIFS(Resumo_Trocas!$C:$C,Resumo_Trocas!$A:$A,$C41,Resumo_Trocas!$F:$F,T$32,Resumo_Trocas!$C:$C,"&gt;0")</f>
        <v>0</v>
      </c>
      <c r="U41" s="141">
        <f>SUMIFS(Resumo_Trocas!$D:$D,Resumo_Trocas!$A:$A,$C41,Resumo_Trocas!$F:$F,T$32,Resumo_Trocas!$C:$C,"&gt;0")</f>
        <v>0</v>
      </c>
      <c r="V41" s="140">
        <f>SUMIFS(Resumo_Trocas!$C:$C,Resumo_Trocas!$A:$A,$C41,Resumo_Trocas!$F:$F,V$32,Resumo_Trocas!$C:$C,"&gt;0")</f>
        <v>1</v>
      </c>
      <c r="W41" s="141">
        <f>SUMIFS(Resumo_Trocas!$D:$D,Resumo_Trocas!$A:$A,$C41,Resumo_Trocas!$F:$F,V$32,Resumo_Trocas!$C:$C,"&gt;0")</f>
        <v>2</v>
      </c>
      <c r="X41" s="140">
        <f>SUMIFS(Resumo_Trocas!$C:$C,Resumo_Trocas!$A:$A,$C41,Resumo_Trocas!$F:$F,X$32,Resumo_Trocas!$C:$C,"&gt;0")</f>
        <v>1</v>
      </c>
      <c r="Y41" s="141">
        <f>SUMIFS(Resumo_Trocas!$D:$D,Resumo_Trocas!$A:$A,$C41,Resumo_Trocas!$F:$F,X$32,Resumo_Trocas!$C:$C,"&gt;0")</f>
        <v>2</v>
      </c>
      <c r="Z41" s="140">
        <f>SUMIFS(Resumo_Trocas!$C:$C,Resumo_Trocas!$A:$A,$C41,Resumo_Trocas!$F:$F,Z$32,Resumo_Trocas!$C:$C,"&gt;0")</f>
        <v>1</v>
      </c>
      <c r="AA41" s="141">
        <f>SUMIFS(Resumo_Trocas!$D:$D,Resumo_Trocas!$A:$A,$C41,Resumo_Trocas!$F:$F,Z$32,Resumo_Trocas!$C:$C,"&gt;0")</f>
        <v>2</v>
      </c>
      <c r="AB41" s="140">
        <f>SUMIFS(Resumo_Trocas!$C:$C,Resumo_Trocas!$A:$A,$C41,Resumo_Trocas!$F:$F,AB$32,Resumo_Trocas!$C:$C,"&gt;0")</f>
        <v>0</v>
      </c>
      <c r="AC41" s="141">
        <f>SUMIFS(Resumo_Trocas!$D:$D,Resumo_Trocas!$A:$A,$C41,Resumo_Trocas!$F:$F,AB$32,Resumo_Trocas!$C:$C,"&gt;0")</f>
        <v>0</v>
      </c>
      <c r="AD41" s="140">
        <f>SUMIFS(Resumo_Trocas!$C:$C,Resumo_Trocas!$A:$A,$C41,Resumo_Trocas!$F:$F,AD$32,Resumo_Trocas!$C:$C,"&gt;0")</f>
        <v>1</v>
      </c>
      <c r="AE41" s="141">
        <f>SUMIFS(Resumo_Trocas!$D:$D,Resumo_Trocas!$A:$A,$C41,Resumo_Trocas!$F:$F,AD$32,Resumo_Trocas!$C:$C,"&gt;0")</f>
        <v>2</v>
      </c>
      <c r="AF41" s="140">
        <f>SUMIFS(Resumo_Trocas!$C:$C,Resumo_Trocas!$A:$A,$C41,Resumo_Trocas!$F:$F,AF$32,Resumo_Trocas!$C:$C,"&gt;0")</f>
        <v>0</v>
      </c>
      <c r="AG41" s="141">
        <f>SUMIFS(Resumo_Trocas!$D:$D,Resumo_Trocas!$A:$A,$C41,Resumo_Trocas!$F:$F,AF$32,Resumo_Trocas!$C:$C,"&gt;0")</f>
        <v>0</v>
      </c>
      <c r="AH41" s="140">
        <f>SUMIFS(Resumo_Trocas!$C:$C,Resumo_Trocas!$A:$A,$C41,Resumo_Trocas!$F:$F,AH$32,Resumo_Trocas!$C:$C,"&gt;0")</f>
        <v>0</v>
      </c>
      <c r="AI41" s="141">
        <f>SUMIFS(Resumo_Trocas!$D:$D,Resumo_Trocas!$A:$A,$C41,Resumo_Trocas!$F:$F,AH$32,Resumo_Trocas!$C:$C,"&gt;0")</f>
        <v>0</v>
      </c>
      <c r="AJ41" s="140">
        <f>SUMIFS(Resumo_Trocas!$C:$C,Resumo_Trocas!$A:$A,$C41,Resumo_Trocas!$F:$F,AJ$32,Resumo_Trocas!$C:$C,"&gt;0")</f>
        <v>0</v>
      </c>
      <c r="AK41" s="141">
        <f>SUMIFS(Resumo_Trocas!$D:$D,Resumo_Trocas!$A:$A,$C41,Resumo_Trocas!$F:$F,AJ$32,Resumo_Trocas!$C:$C,"&gt;0")</f>
        <v>0</v>
      </c>
      <c r="AL41" s="140">
        <f>SUMIFS(Resumo_Trocas!$C:$C,Resumo_Trocas!$A:$A,$C41,Resumo_Trocas!$F:$F,AL$32,Resumo_Trocas!$C:$C,"&gt;0")</f>
        <v>1</v>
      </c>
      <c r="AM41" s="141">
        <f>SUMIFS(Resumo_Trocas!$D:$D,Resumo_Trocas!$A:$A,$C41,Resumo_Trocas!$F:$F,AL$32,Resumo_Trocas!$C:$C,"&gt;0")</f>
        <v>3</v>
      </c>
      <c r="AN41" s="140">
        <f>SUMIFS(Resumo_Trocas!$C:$C,Resumo_Trocas!$A:$A,$C41,Resumo_Trocas!$F:$F,AN$32,Resumo_Trocas!$C:$C,"&gt;0")</f>
        <v>0</v>
      </c>
      <c r="AO41" s="141">
        <f>SUMIFS(Resumo_Trocas!$D:$D,Resumo_Trocas!$A:$A,$C41,Resumo_Trocas!$F:$F,AN$32,Resumo_Trocas!$C:$C,"&gt;0")</f>
        <v>0</v>
      </c>
    </row>
    <row r="42" spans="2:41" ht="15.75" outlineLevel="1" thickBot="1" x14ac:dyDescent="0.3">
      <c r="C42" s="113" t="s">
        <v>461</v>
      </c>
      <c r="D42" s="142">
        <f>SUMIFS(Resumo_Trocas!$C:$C,Resumo_Trocas!$A:$A,$C42,Resumo_Trocas!$F:$F,D$32,Resumo_Trocas!$C:$C,"&gt;0")</f>
        <v>1</v>
      </c>
      <c r="E42" s="143">
        <f>SUMIFS(Resumo_Trocas!$D:$D,Resumo_Trocas!$A:$A,$C42,Resumo_Trocas!$F:$F,D$32,Resumo_Trocas!$C:$C,"&gt;0")</f>
        <v>0</v>
      </c>
      <c r="F42" s="142">
        <f>SUMIFS(Resumo_Trocas!$C:$C,Resumo_Trocas!$A:$A,$C42,Resumo_Trocas!$F:$F,F$32,Resumo_Trocas!$C:$C,"&gt;0")</f>
        <v>4</v>
      </c>
      <c r="G42" s="143">
        <f>SUMIFS(Resumo_Trocas!$D:$D,Resumo_Trocas!$A:$A,$C42,Resumo_Trocas!$F:$F,F$32,Resumo_Trocas!$C:$C,"&gt;0")</f>
        <v>2</v>
      </c>
      <c r="H42" s="142">
        <f>SUMIFS(Resumo_Trocas!$C:$C,Resumo_Trocas!$A:$A,$C42,Resumo_Trocas!$F:$F,H$32,Resumo_Trocas!$C:$C,"&gt;0")</f>
        <v>1</v>
      </c>
      <c r="I42" s="143">
        <f>SUMIFS(Resumo_Trocas!$D:$D,Resumo_Trocas!$A:$A,$C42,Resumo_Trocas!$F:$F,H$32,Resumo_Trocas!$C:$C,"&gt;0")</f>
        <v>0</v>
      </c>
      <c r="J42" s="142">
        <f>SUMIFS(Resumo_Trocas!$C:$C,Resumo_Trocas!$A:$A,$C42,Resumo_Trocas!$F:$F,J$32,Resumo_Trocas!$C:$C,"&gt;0")</f>
        <v>1</v>
      </c>
      <c r="K42" s="143">
        <f>SUMIFS(Resumo_Trocas!$D:$D,Resumo_Trocas!$A:$A,$C42,Resumo_Trocas!$F:$F,J$32,Resumo_Trocas!$C:$C,"&gt;0")</f>
        <v>0</v>
      </c>
      <c r="L42" s="142">
        <f>SUMIFS(Resumo_Trocas!$C:$C,Resumo_Trocas!$A:$A,$C42,Resumo_Trocas!$F:$F,L$32,Resumo_Trocas!$C:$C,"&gt;0")</f>
        <v>1</v>
      </c>
      <c r="M42" s="143">
        <f>SUMIFS(Resumo_Trocas!$D:$D,Resumo_Trocas!$A:$A,$C42,Resumo_Trocas!$F:$F,L$32,Resumo_Trocas!$C:$C,"&gt;0")</f>
        <v>0</v>
      </c>
      <c r="N42" s="142">
        <f>SUMIFS(Resumo_Trocas!$C:$C,Resumo_Trocas!$A:$A,$C42,Resumo_Trocas!$F:$F,N$32,Resumo_Trocas!$C:$C,"&gt;0")</f>
        <v>0</v>
      </c>
      <c r="O42" s="143">
        <f>SUMIFS(Resumo_Trocas!$D:$D,Resumo_Trocas!$A:$A,$C42,Resumo_Trocas!$F:$F,N$32,Resumo_Trocas!$C:$C,"&gt;0")</f>
        <v>0</v>
      </c>
      <c r="P42" s="142">
        <f>SUMIFS(Resumo_Trocas!$C:$C,Resumo_Trocas!$A:$A,$C42,Resumo_Trocas!$F:$F,P$32,Resumo_Trocas!$C:$C,"&gt;0")</f>
        <v>0</v>
      </c>
      <c r="Q42" s="143">
        <f>SUMIFS(Resumo_Trocas!$D:$D,Resumo_Trocas!$A:$A,$C42,Resumo_Trocas!$F:$F,P$32,Resumo_Trocas!$C:$C,"&gt;0")</f>
        <v>0</v>
      </c>
      <c r="R42" s="142">
        <f>SUMIFS(Resumo_Trocas!$C:$C,Resumo_Trocas!$A:$A,$C42,Resumo_Trocas!$F:$F,R$32,Resumo_Trocas!$C:$C,"&gt;0")</f>
        <v>1</v>
      </c>
      <c r="S42" s="143">
        <f>SUMIFS(Resumo_Trocas!$D:$D,Resumo_Trocas!$A:$A,$C42,Resumo_Trocas!$F:$F,R$32,Resumo_Trocas!$C:$C,"&gt;0")</f>
        <v>0</v>
      </c>
      <c r="T42" s="142">
        <f>SUMIFS(Resumo_Trocas!$C:$C,Resumo_Trocas!$A:$A,$C42,Resumo_Trocas!$F:$F,T$32,Resumo_Trocas!$C:$C,"&gt;0")</f>
        <v>0</v>
      </c>
      <c r="U42" s="143">
        <f>SUMIFS(Resumo_Trocas!$D:$D,Resumo_Trocas!$A:$A,$C42,Resumo_Trocas!$F:$F,T$32,Resumo_Trocas!$C:$C,"&gt;0")</f>
        <v>0</v>
      </c>
      <c r="V42" s="142">
        <f>SUMIFS(Resumo_Trocas!$C:$C,Resumo_Trocas!$A:$A,$C42,Resumo_Trocas!$F:$F,V$32,Resumo_Trocas!$C:$C,"&gt;0")</f>
        <v>1</v>
      </c>
      <c r="W42" s="143">
        <f>SUMIFS(Resumo_Trocas!$D:$D,Resumo_Trocas!$A:$A,$C42,Resumo_Trocas!$F:$F,V$32,Resumo_Trocas!$C:$C,"&gt;0")</f>
        <v>0</v>
      </c>
      <c r="X42" s="142">
        <f>SUMIFS(Resumo_Trocas!$C:$C,Resumo_Trocas!$A:$A,$C42,Resumo_Trocas!$F:$F,X$32,Resumo_Trocas!$C:$C,"&gt;0")</f>
        <v>3</v>
      </c>
      <c r="Y42" s="143">
        <f>SUMIFS(Resumo_Trocas!$D:$D,Resumo_Trocas!$A:$A,$C42,Resumo_Trocas!$F:$F,X$32,Resumo_Trocas!$C:$C,"&gt;0")</f>
        <v>0</v>
      </c>
      <c r="Z42" s="142">
        <f>SUMIFS(Resumo_Trocas!$C:$C,Resumo_Trocas!$A:$A,$C42,Resumo_Trocas!$F:$F,Z$32,Resumo_Trocas!$C:$C,"&gt;0")</f>
        <v>3</v>
      </c>
      <c r="AA42" s="143">
        <f>SUMIFS(Resumo_Trocas!$D:$D,Resumo_Trocas!$A:$A,$C42,Resumo_Trocas!$F:$F,Z$32,Resumo_Trocas!$C:$C,"&gt;0")</f>
        <v>0</v>
      </c>
      <c r="AB42" s="142">
        <f>SUMIFS(Resumo_Trocas!$C:$C,Resumo_Trocas!$A:$A,$C42,Resumo_Trocas!$F:$F,AB$32,Resumo_Trocas!$C:$C,"&gt;0")</f>
        <v>2</v>
      </c>
      <c r="AC42" s="143">
        <f>SUMIFS(Resumo_Trocas!$D:$D,Resumo_Trocas!$A:$A,$C42,Resumo_Trocas!$F:$F,AB$32,Resumo_Trocas!$C:$C,"&gt;0")</f>
        <v>0</v>
      </c>
      <c r="AD42" s="142">
        <f>SUMIFS(Resumo_Trocas!$C:$C,Resumo_Trocas!$A:$A,$C42,Resumo_Trocas!$F:$F,AD$32,Resumo_Trocas!$C:$C,"&gt;0")</f>
        <v>2</v>
      </c>
      <c r="AE42" s="143">
        <f>SUMIFS(Resumo_Trocas!$D:$D,Resumo_Trocas!$A:$A,$C42,Resumo_Trocas!$F:$F,AD$32,Resumo_Trocas!$C:$C,"&gt;0")</f>
        <v>0</v>
      </c>
      <c r="AF42" s="142">
        <f>SUMIFS(Resumo_Trocas!$C:$C,Resumo_Trocas!$A:$A,$C42,Resumo_Trocas!$F:$F,AF$32,Resumo_Trocas!$C:$C,"&gt;0")</f>
        <v>1</v>
      </c>
      <c r="AG42" s="143">
        <f>SUMIFS(Resumo_Trocas!$D:$D,Resumo_Trocas!$A:$A,$C42,Resumo_Trocas!$F:$F,AF$32,Resumo_Trocas!$C:$C,"&gt;0")</f>
        <v>0</v>
      </c>
      <c r="AH42" s="142">
        <f>SUMIFS(Resumo_Trocas!$C:$C,Resumo_Trocas!$A:$A,$C42,Resumo_Trocas!$F:$F,AH$32,Resumo_Trocas!$C:$C,"&gt;0")</f>
        <v>3</v>
      </c>
      <c r="AI42" s="143">
        <f>SUMIFS(Resumo_Trocas!$D:$D,Resumo_Trocas!$A:$A,$C42,Resumo_Trocas!$F:$F,AH$32,Resumo_Trocas!$C:$C,"&gt;0")</f>
        <v>0</v>
      </c>
      <c r="AJ42" s="142">
        <f>SUMIFS(Resumo_Trocas!$C:$C,Resumo_Trocas!$A:$A,$C42,Resumo_Trocas!$F:$F,AJ$32,Resumo_Trocas!$C:$C,"&gt;0")</f>
        <v>4</v>
      </c>
      <c r="AK42" s="143">
        <f>SUMIFS(Resumo_Trocas!$D:$D,Resumo_Trocas!$A:$A,$C42,Resumo_Trocas!$F:$F,AJ$32,Resumo_Trocas!$C:$C,"&gt;0")</f>
        <v>0</v>
      </c>
      <c r="AL42" s="142">
        <f>SUMIFS(Resumo_Trocas!$C:$C,Resumo_Trocas!$A:$A,$C42,Resumo_Trocas!$F:$F,AL$32,Resumo_Trocas!$C:$C,"&gt;0")</f>
        <v>1</v>
      </c>
      <c r="AM42" s="143">
        <f>SUMIFS(Resumo_Trocas!$D:$D,Resumo_Trocas!$A:$A,$C42,Resumo_Trocas!$F:$F,AL$32,Resumo_Trocas!$C:$C,"&gt;0")</f>
        <v>0</v>
      </c>
      <c r="AN42" s="142">
        <f>SUMIFS(Resumo_Trocas!$C:$C,Resumo_Trocas!$A:$A,$C42,Resumo_Trocas!$F:$F,AN$32,Resumo_Trocas!$C:$C,"&gt;0")</f>
        <v>0</v>
      </c>
      <c r="AO42" s="143">
        <f>SUMIFS(Resumo_Trocas!$D:$D,Resumo_Trocas!$A:$A,$C42,Resumo_Trocas!$F:$F,AN$32,Resumo_Trocas!$C:$C,"&gt;0")</f>
        <v>0</v>
      </c>
    </row>
  </sheetData>
  <mergeCells count="136">
    <mergeCell ref="C32:C33"/>
    <mergeCell ref="AD32:AE32"/>
    <mergeCell ref="AL9:AM9"/>
    <mergeCell ref="AN9:AO9"/>
    <mergeCell ref="D32:E32"/>
    <mergeCell ref="F32:G32"/>
    <mergeCell ref="H32:I32"/>
    <mergeCell ref="J32:K32"/>
    <mergeCell ref="L32:M32"/>
    <mergeCell ref="N32:O32"/>
    <mergeCell ref="P32:Q32"/>
    <mergeCell ref="R32:S32"/>
    <mergeCell ref="Z9:AA9"/>
    <mergeCell ref="AB9:AC9"/>
    <mergeCell ref="AD9:AE9"/>
    <mergeCell ref="AF9:AG9"/>
    <mergeCell ref="AH9:AI9"/>
    <mergeCell ref="T32:U32"/>
    <mergeCell ref="V32:W32"/>
    <mergeCell ref="X32:Y32"/>
    <mergeCell ref="Z32:AA32"/>
    <mergeCell ref="AB32:AC32"/>
    <mergeCell ref="AF32:AG32"/>
    <mergeCell ref="AH32:AI32"/>
    <mergeCell ref="AJ32:AK32"/>
    <mergeCell ref="AF18:AG18"/>
    <mergeCell ref="AH18:AI18"/>
    <mergeCell ref="AJ18:AK18"/>
    <mergeCell ref="AL18:AM18"/>
    <mergeCell ref="AN18:AO18"/>
    <mergeCell ref="AJ9:AK9"/>
    <mergeCell ref="AL32:AM32"/>
    <mergeCell ref="AN32:AO32"/>
    <mergeCell ref="N9:O9"/>
    <mergeCell ref="P9:Q9"/>
    <mergeCell ref="R9:S9"/>
    <mergeCell ref="T9:U9"/>
    <mergeCell ref="V9:W9"/>
    <mergeCell ref="X9:Y9"/>
    <mergeCell ref="C18:C19"/>
    <mergeCell ref="F18:G18"/>
    <mergeCell ref="H18:I18"/>
    <mergeCell ref="J18:K18"/>
    <mergeCell ref="L18:M18"/>
    <mergeCell ref="N18:O18"/>
    <mergeCell ref="P18:Q18"/>
    <mergeCell ref="R18:S18"/>
    <mergeCell ref="T18:U18"/>
    <mergeCell ref="D3:E3"/>
    <mergeCell ref="D4:E4"/>
    <mergeCell ref="D5:E5"/>
    <mergeCell ref="D6:E6"/>
    <mergeCell ref="F3:G3"/>
    <mergeCell ref="F4:G4"/>
    <mergeCell ref="F5:G5"/>
    <mergeCell ref="F6:G6"/>
    <mergeCell ref="AD18:AE18"/>
    <mergeCell ref="D18:E18"/>
    <mergeCell ref="V18:W18"/>
    <mergeCell ref="X18:Y18"/>
    <mergeCell ref="Z18:AA18"/>
    <mergeCell ref="AB18:AC18"/>
    <mergeCell ref="D9:E9"/>
    <mergeCell ref="F9:G9"/>
    <mergeCell ref="H9:I9"/>
    <mergeCell ref="J9:K9"/>
    <mergeCell ref="L9:M9"/>
    <mergeCell ref="L3:M3"/>
    <mergeCell ref="L4:M4"/>
    <mergeCell ref="L5:M5"/>
    <mergeCell ref="L6:M6"/>
    <mergeCell ref="N3:O3"/>
    <mergeCell ref="N4:O4"/>
    <mergeCell ref="N5:O5"/>
    <mergeCell ref="N6:O6"/>
    <mergeCell ref="H3:I3"/>
    <mergeCell ref="H4:I4"/>
    <mergeCell ref="H5:I5"/>
    <mergeCell ref="H6:I6"/>
    <mergeCell ref="J3:K3"/>
    <mergeCell ref="J4:K4"/>
    <mergeCell ref="J5:K5"/>
    <mergeCell ref="J6:K6"/>
    <mergeCell ref="T3:U3"/>
    <mergeCell ref="T4:U4"/>
    <mergeCell ref="T5:U5"/>
    <mergeCell ref="T6:U6"/>
    <mergeCell ref="V3:W3"/>
    <mergeCell ref="V4:W4"/>
    <mergeCell ref="V5:W5"/>
    <mergeCell ref="V6:W6"/>
    <mergeCell ref="P3:Q3"/>
    <mergeCell ref="P4:Q4"/>
    <mergeCell ref="P5:Q5"/>
    <mergeCell ref="P6:Q6"/>
    <mergeCell ref="R3:S3"/>
    <mergeCell ref="R4:S4"/>
    <mergeCell ref="R5:S5"/>
    <mergeCell ref="R6:S6"/>
    <mergeCell ref="AB6:AC6"/>
    <mergeCell ref="AD3:AE3"/>
    <mergeCell ref="AD4:AE4"/>
    <mergeCell ref="AD5:AE5"/>
    <mergeCell ref="AD6:AE6"/>
    <mergeCell ref="X3:Y3"/>
    <mergeCell ref="X4:Y4"/>
    <mergeCell ref="X5:Y5"/>
    <mergeCell ref="X6:Y6"/>
    <mergeCell ref="Z3:AA3"/>
    <mergeCell ref="Z4:AA4"/>
    <mergeCell ref="Z5:AA5"/>
    <mergeCell ref="Z6:AA6"/>
    <mergeCell ref="AN3:AO3"/>
    <mergeCell ref="AN4:AO4"/>
    <mergeCell ref="AN5:AO5"/>
    <mergeCell ref="AN6:AO6"/>
    <mergeCell ref="D2:AO2"/>
    <mergeCell ref="AJ3:AK3"/>
    <mergeCell ref="AJ4:AK4"/>
    <mergeCell ref="AJ5:AK5"/>
    <mergeCell ref="AJ6:AK6"/>
    <mergeCell ref="AL3:AM3"/>
    <mergeCell ref="AL4:AM4"/>
    <mergeCell ref="AL5:AM5"/>
    <mergeCell ref="AL6:AM6"/>
    <mergeCell ref="AF3:AG3"/>
    <mergeCell ref="AF4:AG4"/>
    <mergeCell ref="AF5:AG5"/>
    <mergeCell ref="AF6:AG6"/>
    <mergeCell ref="AH3:AI3"/>
    <mergeCell ref="AH4:AI4"/>
    <mergeCell ref="AH5:AI5"/>
    <mergeCell ref="AH6:AI6"/>
    <mergeCell ref="AB3:AC3"/>
    <mergeCell ref="AB4:AC4"/>
    <mergeCell ref="AB5:AC5"/>
  </mergeCells>
  <phoneticPr fontId="12" type="noConversion"/>
  <pageMargins left="0.511811024" right="0.511811024" top="0.78740157499999996" bottom="0.78740157499999996" header="0.31496062000000002" footer="0.31496062000000002"/>
  <pageSetup paperSize="9" orientation="landscape" r:id="rId1"/>
  <headerFooter>
    <oddFooter>&amp;L_x000D_&amp;1#&amp;"Calibri"&amp;10&amp;K000000 Classificação Privada</oddFooter>
  </headerFooter>
  <colBreaks count="1" manualBreakCount="1">
    <brk id="41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8815-CC2E-46DF-988F-29266EB82ABD}">
  <sheetPr codeName="Planilha7"/>
  <dimension ref="A1:AQ51"/>
  <sheetViews>
    <sheetView showGridLines="0" showZeros="0" zoomScale="110" zoomScaleNormal="110" workbookViewId="0">
      <pane xSplit="2" ySplit="7" topLeftCell="C8" activePane="bottomRight" state="frozen"/>
      <selection pane="topRight" activeCell="AP25" sqref="AP25"/>
      <selection pane="bottomLeft" activeCell="AP25" sqref="AP25"/>
      <selection pane="bottomRight" activeCell="AQ15" sqref="AQ15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hidden="1" customWidth="1" outlineLevel="1"/>
    <col min="8" max="21" width="8.7109375" style="62" hidden="1" customWidth="1" outlineLevel="1"/>
    <col min="22" max="22" width="8.7109375" style="62" collapsed="1"/>
    <col min="23" max="41" width="8.7109375" style="62" customWidth="1" outlineLevel="1"/>
    <col min="42" max="16384" width="8.7109375" style="62"/>
  </cols>
  <sheetData>
    <row r="1" spans="1:43" ht="30" customHeight="1" x14ac:dyDescent="0.5">
      <c r="A1" s="62" t="s">
        <v>3484</v>
      </c>
      <c r="C1" s="117" t="s">
        <v>3396</v>
      </c>
    </row>
    <row r="2" spans="1:43" ht="24" thickBot="1" x14ac:dyDescent="0.4">
      <c r="C2" s="65" t="s">
        <v>3379</v>
      </c>
      <c r="D2" s="209" t="s">
        <v>3485</v>
      </c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</row>
    <row r="3" spans="1:43" s="90" customFormat="1" ht="15" customHeight="1" thickBot="1" x14ac:dyDescent="0.3">
      <c r="C3" s="118" t="s">
        <v>3381</v>
      </c>
      <c r="D3" s="217" t="s">
        <v>3372</v>
      </c>
      <c r="E3" s="217"/>
      <c r="F3" s="217" t="s">
        <v>3373</v>
      </c>
      <c r="G3" s="217"/>
      <c r="H3" s="218" t="s">
        <v>3374</v>
      </c>
      <c r="I3" s="218"/>
      <c r="J3" s="217" t="s">
        <v>3370</v>
      </c>
      <c r="K3" s="217"/>
      <c r="L3" s="219" t="s">
        <v>3371</v>
      </c>
      <c r="M3" s="219"/>
      <c r="N3" s="219" t="s">
        <v>3375</v>
      </c>
      <c r="O3" s="219"/>
      <c r="P3" s="219" t="s">
        <v>3367</v>
      </c>
      <c r="Q3" s="219"/>
      <c r="R3" s="219" t="s">
        <v>3368</v>
      </c>
      <c r="S3" s="219"/>
      <c r="T3" s="219" t="s">
        <v>3369</v>
      </c>
      <c r="U3" s="219"/>
      <c r="V3" s="219" t="s">
        <v>3358</v>
      </c>
      <c r="W3" s="219"/>
      <c r="X3" s="219" t="s">
        <v>3363</v>
      </c>
      <c r="Y3" s="219"/>
      <c r="Z3" s="219" t="s">
        <v>3361</v>
      </c>
      <c r="AA3" s="219"/>
      <c r="AB3" s="219" t="s">
        <v>3359</v>
      </c>
      <c r="AC3" s="219"/>
      <c r="AD3" s="219" t="s">
        <v>3366</v>
      </c>
      <c r="AE3" s="219"/>
      <c r="AF3" s="219" t="s">
        <v>3364</v>
      </c>
      <c r="AG3" s="219"/>
      <c r="AH3" s="219" t="s">
        <v>3360</v>
      </c>
      <c r="AI3" s="219"/>
      <c r="AJ3" s="219" t="s">
        <v>3362</v>
      </c>
      <c r="AK3" s="219"/>
      <c r="AL3" s="219" t="s">
        <v>3365</v>
      </c>
      <c r="AM3" s="219"/>
      <c r="AN3" s="218" t="s">
        <v>3486</v>
      </c>
      <c r="AO3" s="218"/>
      <c r="AP3" s="97" t="s">
        <v>3383</v>
      </c>
      <c r="AQ3" s="97" t="s">
        <v>3384</v>
      </c>
    </row>
    <row r="4" spans="1:43" s="90" customFormat="1" ht="15" customHeight="1" thickBot="1" x14ac:dyDescent="0.25">
      <c r="C4" s="129">
        <v>240</v>
      </c>
      <c r="D4" s="220">
        <f>SUM(D5:E6)</f>
        <v>1.8</v>
      </c>
      <c r="E4" s="220"/>
      <c r="F4" s="220">
        <f>SUM(F5:G6)</f>
        <v>3.0666666666666664</v>
      </c>
      <c r="G4" s="220"/>
      <c r="H4" s="220">
        <f>SUM(H5:I6)</f>
        <v>1.0666666666666667</v>
      </c>
      <c r="I4" s="220"/>
      <c r="J4" s="220">
        <f>SUM(J5:K6)</f>
        <v>1.4</v>
      </c>
      <c r="K4" s="220"/>
      <c r="L4" s="220">
        <f>SUM(L5:M6)</f>
        <v>1.0666666666666667</v>
      </c>
      <c r="M4" s="220"/>
      <c r="N4" s="220">
        <f>SUM(N5:O6)</f>
        <v>0</v>
      </c>
      <c r="O4" s="220"/>
      <c r="P4" s="220">
        <f>SUM(P5:Q6)</f>
        <v>0.73333333333333339</v>
      </c>
      <c r="Q4" s="220"/>
      <c r="R4" s="220">
        <f>SUM(R5:S6)</f>
        <v>0.53333333333333333</v>
      </c>
      <c r="S4" s="220"/>
      <c r="T4" s="220">
        <f>SUM(T5:U6)</f>
        <v>1.0666666666666667</v>
      </c>
      <c r="U4" s="220"/>
      <c r="V4" s="220">
        <f>SUM(V5:W6)</f>
        <v>1.6</v>
      </c>
      <c r="W4" s="220"/>
      <c r="X4" s="220">
        <f>SUM(X5:Y6)</f>
        <v>1.7333333333333334</v>
      </c>
      <c r="Y4" s="220"/>
      <c r="Z4" s="220">
        <f>SUM(Z5:AA6)</f>
        <v>1.9333333333333333</v>
      </c>
      <c r="AA4" s="220"/>
      <c r="AB4" s="220">
        <f>SUM(AB5:AC6)</f>
        <v>0.93333333333333335</v>
      </c>
      <c r="AC4" s="220"/>
      <c r="AD4" s="220">
        <f>SUM(AD5:AE6)</f>
        <v>0.73333333333333339</v>
      </c>
      <c r="AE4" s="220"/>
      <c r="AF4" s="220">
        <f>SUM(AF5:AG6)</f>
        <v>1.2000000000000002</v>
      </c>
      <c r="AG4" s="220"/>
      <c r="AH4" s="220">
        <f>SUM(AH5:AI6)</f>
        <v>1.3333333333333333</v>
      </c>
      <c r="AI4" s="220"/>
      <c r="AJ4" s="220">
        <f>SUM(AJ5:AK6)</f>
        <v>2.0666666666666664</v>
      </c>
      <c r="AK4" s="220"/>
      <c r="AL4" s="220">
        <f>SUM(AL5:AM6)</f>
        <v>1.0666666666666667</v>
      </c>
      <c r="AM4" s="220"/>
      <c r="AN4" s="220"/>
      <c r="AO4" s="221"/>
      <c r="AP4" s="96">
        <f>AVERAGE(D4:AN4)</f>
        <v>1.2962962962962963</v>
      </c>
      <c r="AQ4" s="96">
        <f>ROUNDUP(AP4,0)</f>
        <v>2</v>
      </c>
    </row>
    <row r="5" spans="1:43" s="90" customFormat="1" ht="15.75" thickBot="1" x14ac:dyDescent="0.3">
      <c r="C5" s="151" t="s">
        <v>3385</v>
      </c>
      <c r="D5" s="205">
        <f>IFERROR(SUM(((E12)*$C$4)/3600)," ")</f>
        <v>0.8666666666666667</v>
      </c>
      <c r="E5" s="205"/>
      <c r="F5" s="205">
        <f>IFERROR(SUM(((G12)*$C$4)/3600)," ")</f>
        <v>1.4</v>
      </c>
      <c r="G5" s="205"/>
      <c r="H5" s="205">
        <f>IFERROR(SUM(((I12)*$C$4)/3600)," ")</f>
        <v>0.53333333333333333</v>
      </c>
      <c r="I5" s="205"/>
      <c r="J5" s="205">
        <f>IFERROR(SUM(((K12)*$C$4)/3600)," ")</f>
        <v>0.6</v>
      </c>
      <c r="K5" s="205"/>
      <c r="L5" s="205">
        <f>IFERROR(SUM(((M12)*$C$4)/3600)," ")</f>
        <v>0.26666666666666666</v>
      </c>
      <c r="M5" s="205"/>
      <c r="N5" s="205">
        <f>IFERROR(SUM(((O12)*$C$4)/3600)," ")</f>
        <v>0</v>
      </c>
      <c r="O5" s="205"/>
      <c r="P5" s="205">
        <f>IFERROR(SUM(((Q12)*$C$4)/3600)," ")</f>
        <v>0.26666666666666666</v>
      </c>
      <c r="Q5" s="205"/>
      <c r="R5" s="205">
        <f>IFERROR(SUM(((S12)*$C$4)/3600)," ")</f>
        <v>0.2</v>
      </c>
      <c r="S5" s="205"/>
      <c r="T5" s="205">
        <f>IFERROR(SUM(((U12)*$C$4)/3600)," ")</f>
        <v>0.26666666666666666</v>
      </c>
      <c r="U5" s="205"/>
      <c r="V5" s="205">
        <f>IFERROR(SUM(((W12)*$C$4)/3600)," ")</f>
        <v>0.8</v>
      </c>
      <c r="W5" s="205"/>
      <c r="X5" s="205">
        <f>IFERROR(SUM(((Y12)*$C$4)/3600)," ")</f>
        <v>0.8666666666666667</v>
      </c>
      <c r="Y5" s="205"/>
      <c r="Z5" s="205">
        <f>IFERROR(SUM(((AA12)*$C$4)/3600)," ")</f>
        <v>0.93333333333333335</v>
      </c>
      <c r="AA5" s="205"/>
      <c r="AB5" s="205">
        <f>IFERROR(SUM(((AC12)*$C$4)/3600)," ")</f>
        <v>0.33333333333333331</v>
      </c>
      <c r="AC5" s="205"/>
      <c r="AD5" s="205">
        <f>IFERROR(SUM(((AE12)*$C$4)/3600)," ")</f>
        <v>0.2</v>
      </c>
      <c r="AE5" s="205"/>
      <c r="AF5" s="205">
        <f>IFERROR(SUM(((AG12)*$C$4)/3600)," ")</f>
        <v>0.4</v>
      </c>
      <c r="AG5" s="205"/>
      <c r="AH5" s="205">
        <f>IFERROR(SUM(((AI12)*$C$4)/3600)," ")</f>
        <v>1</v>
      </c>
      <c r="AI5" s="205"/>
      <c r="AJ5" s="205">
        <f>IFERROR(SUM(((AK12)*$C$4)/3600)," ")</f>
        <v>1.4</v>
      </c>
      <c r="AK5" s="205"/>
      <c r="AL5" s="205">
        <f>IFERROR(SUM(((AM12)*$C$4)/3600)," ")</f>
        <v>0.8</v>
      </c>
      <c r="AM5" s="205"/>
      <c r="AN5" s="205">
        <f>IFERROR(SUM(((AO12)*$C$4)/3600)," ")</f>
        <v>0</v>
      </c>
      <c r="AO5" s="206"/>
      <c r="AP5" s="96">
        <f>AVERAGE(D5:AN5)</f>
        <v>0.5859649122807018</v>
      </c>
      <c r="AQ5" s="96">
        <f>ROUNDUP(AP5,0)</f>
        <v>1</v>
      </c>
    </row>
    <row r="6" spans="1:43" s="90" customFormat="1" ht="15.75" thickBot="1" x14ac:dyDescent="0.3">
      <c r="C6" s="151" t="s">
        <v>3386</v>
      </c>
      <c r="D6" s="207">
        <f>IFERROR(SUM(((E13)*$C$4)/3600)," ")</f>
        <v>0.93333333333333335</v>
      </c>
      <c r="E6" s="207"/>
      <c r="F6" s="207">
        <f>IFERROR(SUM(((G13)*$C$4)/3600)," ")</f>
        <v>1.6666666666666667</v>
      </c>
      <c r="G6" s="207"/>
      <c r="H6" s="207">
        <f>IFERROR(SUM(((I13)*$C$4)/3600)," ")</f>
        <v>0.53333333333333333</v>
      </c>
      <c r="I6" s="207"/>
      <c r="J6" s="207">
        <f>IFERROR(SUM(((K13)*$C$4)/3600)," ")</f>
        <v>0.8</v>
      </c>
      <c r="K6" s="207"/>
      <c r="L6" s="207">
        <f>IFERROR(SUM(((M13)*$C$4)/3600)," ")</f>
        <v>0.8</v>
      </c>
      <c r="M6" s="207"/>
      <c r="N6" s="207">
        <f>IFERROR(SUM(((O13)*$C$4)/3600)," ")</f>
        <v>0</v>
      </c>
      <c r="O6" s="207"/>
      <c r="P6" s="207">
        <f>IFERROR(SUM(((Q13)*$C$4)/3600)," ")</f>
        <v>0.46666666666666667</v>
      </c>
      <c r="Q6" s="207"/>
      <c r="R6" s="207">
        <f>IFERROR(SUM(((S13)*$C$4)/3600)," ")</f>
        <v>0.33333333333333331</v>
      </c>
      <c r="S6" s="207"/>
      <c r="T6" s="207">
        <f>IFERROR(SUM(((U13)*$C$4)/3600)," ")</f>
        <v>0.8</v>
      </c>
      <c r="U6" s="207"/>
      <c r="V6" s="207">
        <f>IFERROR(SUM(((W13)*$C$4)/3600)," ")</f>
        <v>0.8</v>
      </c>
      <c r="W6" s="207"/>
      <c r="X6" s="207">
        <f>IFERROR(SUM(((Y13)*$C$4)/3600)," ")</f>
        <v>0.8666666666666667</v>
      </c>
      <c r="Y6" s="207"/>
      <c r="Z6" s="207">
        <f>IFERROR(SUM(((AA13)*$C$4)/3600)," ")</f>
        <v>1</v>
      </c>
      <c r="AA6" s="207"/>
      <c r="AB6" s="207">
        <f>IFERROR(SUM(((AC13)*$C$4)/3600)," ")</f>
        <v>0.6</v>
      </c>
      <c r="AC6" s="207"/>
      <c r="AD6" s="207">
        <f>IFERROR(SUM(((AE13)*$C$4)/3600)," ")</f>
        <v>0.53333333333333333</v>
      </c>
      <c r="AE6" s="207"/>
      <c r="AF6" s="207">
        <f>IFERROR(SUM(((AG13)*$C$4)/3600)," ")</f>
        <v>0.8</v>
      </c>
      <c r="AG6" s="207"/>
      <c r="AH6" s="207">
        <f>IFERROR(SUM(((AI13)*$C$4)/3600)," ")</f>
        <v>0.33333333333333331</v>
      </c>
      <c r="AI6" s="207"/>
      <c r="AJ6" s="207">
        <f>IFERROR(SUM(((AK13)*$C$4)/3600)," ")</f>
        <v>0.66666666666666663</v>
      </c>
      <c r="AK6" s="207"/>
      <c r="AL6" s="207">
        <f>IFERROR(SUM(((AM13)*$C$4)/3600)," ")</f>
        <v>0.26666666666666666</v>
      </c>
      <c r="AM6" s="207"/>
      <c r="AN6" s="207"/>
      <c r="AO6" s="208"/>
      <c r="AP6" s="96">
        <f>AVERAGE(D6:AN6)</f>
        <v>0.67777777777777781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 t="s">
        <v>3392</v>
      </c>
    </row>
    <row r="9" spans="1:43" outlineLevel="2" x14ac:dyDescent="0.25">
      <c r="D9" s="222" t="s">
        <v>3372</v>
      </c>
      <c r="E9" s="223"/>
      <c r="F9" s="222" t="s">
        <v>3373</v>
      </c>
      <c r="G9" s="223"/>
      <c r="H9" s="201" t="s">
        <v>3374</v>
      </c>
      <c r="I9" s="202"/>
      <c r="J9" s="222" t="s">
        <v>3370</v>
      </c>
      <c r="K9" s="223"/>
      <c r="L9" s="222" t="s">
        <v>3371</v>
      </c>
      <c r="M9" s="223"/>
      <c r="N9" s="222" t="s">
        <v>3375</v>
      </c>
      <c r="O9" s="223"/>
      <c r="P9" s="222" t="s">
        <v>3367</v>
      </c>
      <c r="Q9" s="223"/>
      <c r="R9" s="222" t="s">
        <v>3368</v>
      </c>
      <c r="S9" s="223"/>
      <c r="T9" s="222" t="s">
        <v>3369</v>
      </c>
      <c r="U9" s="223"/>
      <c r="V9" s="201" t="s">
        <v>3358</v>
      </c>
      <c r="W9" s="202"/>
      <c r="X9" s="222" t="s">
        <v>3363</v>
      </c>
      <c r="Y9" s="223"/>
      <c r="Z9" s="222" t="s">
        <v>3361</v>
      </c>
      <c r="AA9" s="223"/>
      <c r="AB9" s="222" t="s">
        <v>3359</v>
      </c>
      <c r="AC9" s="223"/>
      <c r="AD9" s="222" t="s">
        <v>3366</v>
      </c>
      <c r="AE9" s="223"/>
      <c r="AF9" s="201" t="s">
        <v>3364</v>
      </c>
      <c r="AG9" s="202"/>
      <c r="AH9" s="222" t="s">
        <v>3360</v>
      </c>
      <c r="AI9" s="223"/>
      <c r="AJ9" s="222" t="s">
        <v>3362</v>
      </c>
      <c r="AK9" s="223"/>
      <c r="AL9" s="222" t="s">
        <v>3365</v>
      </c>
      <c r="AM9" s="223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3353</v>
      </c>
      <c r="F10" s="101" t="s">
        <v>3487</v>
      </c>
      <c r="G10" s="102" t="s">
        <v>3353</v>
      </c>
      <c r="H10" s="101" t="s">
        <v>3487</v>
      </c>
      <c r="I10" s="102" t="s">
        <v>3353</v>
      </c>
      <c r="J10" s="101" t="s">
        <v>3487</v>
      </c>
      <c r="K10" s="102" t="s">
        <v>3353</v>
      </c>
      <c r="L10" s="101" t="s">
        <v>3487</v>
      </c>
      <c r="M10" s="102" t="s">
        <v>3353</v>
      </c>
      <c r="N10" s="101" t="s">
        <v>3487</v>
      </c>
      <c r="O10" s="102" t="s">
        <v>3353</v>
      </c>
      <c r="P10" s="101" t="s">
        <v>3487</v>
      </c>
      <c r="Q10" s="102" t="s">
        <v>3353</v>
      </c>
      <c r="R10" s="101" t="s">
        <v>3487</v>
      </c>
      <c r="S10" s="102" t="s">
        <v>3353</v>
      </c>
      <c r="T10" s="101" t="s">
        <v>3487</v>
      </c>
      <c r="U10" s="102" t="s">
        <v>3353</v>
      </c>
      <c r="V10" s="101" t="s">
        <v>3487</v>
      </c>
      <c r="W10" s="102" t="s">
        <v>3353</v>
      </c>
      <c r="X10" s="101" t="s">
        <v>3487</v>
      </c>
      <c r="Y10" s="102" t="s">
        <v>3353</v>
      </c>
      <c r="Z10" s="101" t="s">
        <v>3487</v>
      </c>
      <c r="AA10" s="102" t="s">
        <v>3353</v>
      </c>
      <c r="AB10" s="101" t="s">
        <v>3487</v>
      </c>
      <c r="AC10" s="102" t="s">
        <v>3353</v>
      </c>
      <c r="AD10" s="101" t="s">
        <v>3487</v>
      </c>
      <c r="AE10" s="102" t="s">
        <v>3353</v>
      </c>
      <c r="AF10" s="101" t="s">
        <v>3487</v>
      </c>
      <c r="AG10" s="102" t="s">
        <v>3353</v>
      </c>
      <c r="AH10" s="101" t="s">
        <v>3487</v>
      </c>
      <c r="AI10" s="102" t="s">
        <v>3353</v>
      </c>
      <c r="AJ10" s="101" t="s">
        <v>3487</v>
      </c>
      <c r="AK10" s="102" t="s">
        <v>3353</v>
      </c>
      <c r="AL10" s="101" t="s">
        <v>3487</v>
      </c>
      <c r="AM10" s="102" t="s">
        <v>3353</v>
      </c>
      <c r="AN10" s="101" t="s">
        <v>3487</v>
      </c>
      <c r="AO10" s="102" t="s">
        <v>3353</v>
      </c>
    </row>
    <row r="11" spans="1:43" ht="18" hidden="1" outlineLevel="2" thickBot="1" x14ac:dyDescent="0.3">
      <c r="C11" s="120" t="s">
        <v>3394</v>
      </c>
      <c r="D11" s="121">
        <f>SUM(D12:D13)</f>
        <v>36</v>
      </c>
      <c r="E11" s="121"/>
      <c r="F11" s="121">
        <f>SUM(F12:F13)</f>
        <v>27</v>
      </c>
      <c r="G11" s="121"/>
      <c r="H11" s="121">
        <f>SUM(H12:H13)</f>
        <v>11</v>
      </c>
      <c r="I11" s="121"/>
      <c r="J11" s="121">
        <f>SUM(J12:J13)</f>
        <v>14</v>
      </c>
      <c r="K11" s="121"/>
      <c r="L11" s="121">
        <f>SUM(L12:L13)</f>
        <v>13</v>
      </c>
      <c r="M11" s="121"/>
      <c r="N11" s="121">
        <f>SUM(N12:N13)</f>
        <v>0</v>
      </c>
      <c r="O11" s="121"/>
      <c r="P11" s="121">
        <f>SUM(P12:P13)</f>
        <v>13</v>
      </c>
      <c r="Q11" s="121"/>
      <c r="R11" s="121">
        <f>SUM(R12:R13)</f>
        <v>8</v>
      </c>
      <c r="S11" s="121"/>
      <c r="T11" s="121">
        <f>SUM(T12:T13)</f>
        <v>14</v>
      </c>
      <c r="U11" s="121"/>
      <c r="V11" s="121">
        <f>SUM(V12:V13)</f>
        <v>17</v>
      </c>
      <c r="W11" s="121"/>
      <c r="X11" s="121">
        <f>SUM(X12:X13)</f>
        <v>14</v>
      </c>
      <c r="Y11" s="121"/>
      <c r="Z11" s="121">
        <f>SUM(Z12:Z13)</f>
        <v>20</v>
      </c>
      <c r="AA11" s="121"/>
      <c r="AB11" s="121">
        <f>SUM(AB12:AB13)</f>
        <v>9</v>
      </c>
      <c r="AC11" s="121"/>
      <c r="AD11" s="121">
        <f>SUM(AD12:AD13)</f>
        <v>7</v>
      </c>
      <c r="AE11" s="121"/>
      <c r="AF11" s="121">
        <f>SUM(AF12:AF13)</f>
        <v>12</v>
      </c>
      <c r="AG11" s="121"/>
      <c r="AH11" s="121">
        <f>SUM(AH12:AH13)</f>
        <v>11</v>
      </c>
      <c r="AI11" s="121"/>
      <c r="AJ11" s="121">
        <f>SUM(AJ12:AJ13)</f>
        <v>20</v>
      </c>
      <c r="AK11" s="121"/>
      <c r="AL11" s="121">
        <f>SUM(AL12:AL13)</f>
        <v>11</v>
      </c>
      <c r="AM11" s="121"/>
      <c r="AN11" s="121">
        <f>SUM(AN12:AN13)</f>
        <v>0</v>
      </c>
    </row>
    <row r="12" spans="1:43" ht="15.75" outlineLevel="2" thickBot="1" x14ac:dyDescent="0.3">
      <c r="B12" s="62" t="e">
        <f>IF(#REF!="&lt;&gt;",RIGHT(C12,1),#REF!)</f>
        <v>#REF!</v>
      </c>
      <c r="C12" s="151" t="s">
        <v>3385</v>
      </c>
      <c r="D12" s="123">
        <f>D20</f>
        <v>25</v>
      </c>
      <c r="E12" s="124">
        <f t="shared" ref="E12:AO12" si="0">E20</f>
        <v>13</v>
      </c>
      <c r="F12" s="123">
        <f t="shared" si="0"/>
        <v>14</v>
      </c>
      <c r="G12" s="124">
        <f t="shared" si="0"/>
        <v>21</v>
      </c>
      <c r="H12" s="123">
        <f t="shared" si="0"/>
        <v>5</v>
      </c>
      <c r="I12" s="124">
        <f t="shared" si="0"/>
        <v>8</v>
      </c>
      <c r="J12" s="123">
        <f t="shared" si="0"/>
        <v>8</v>
      </c>
      <c r="K12" s="124">
        <f t="shared" si="0"/>
        <v>9</v>
      </c>
      <c r="L12" s="123">
        <f t="shared" si="0"/>
        <v>5</v>
      </c>
      <c r="M12" s="124">
        <f t="shared" si="0"/>
        <v>4</v>
      </c>
      <c r="N12" s="123">
        <f t="shared" si="0"/>
        <v>0</v>
      </c>
      <c r="O12" s="124">
        <f t="shared" si="0"/>
        <v>0</v>
      </c>
      <c r="P12" s="123">
        <f t="shared" si="0"/>
        <v>10</v>
      </c>
      <c r="Q12" s="124">
        <f t="shared" si="0"/>
        <v>4</v>
      </c>
      <c r="R12" s="123">
        <f t="shared" si="0"/>
        <v>5</v>
      </c>
      <c r="S12" s="124">
        <f t="shared" si="0"/>
        <v>3</v>
      </c>
      <c r="T12" s="123">
        <f t="shared" si="0"/>
        <v>7</v>
      </c>
      <c r="U12" s="124">
        <f t="shared" si="0"/>
        <v>4</v>
      </c>
      <c r="V12" s="123">
        <f t="shared" si="0"/>
        <v>7</v>
      </c>
      <c r="W12" s="124">
        <f t="shared" si="0"/>
        <v>12</v>
      </c>
      <c r="X12" s="123">
        <f t="shared" si="0"/>
        <v>8</v>
      </c>
      <c r="Y12" s="124">
        <f t="shared" si="0"/>
        <v>13</v>
      </c>
      <c r="Z12" s="123">
        <f t="shared" si="0"/>
        <v>12</v>
      </c>
      <c r="AA12" s="124">
        <f t="shared" si="0"/>
        <v>14</v>
      </c>
      <c r="AB12" s="123">
        <f t="shared" si="0"/>
        <v>5</v>
      </c>
      <c r="AC12" s="124">
        <f t="shared" si="0"/>
        <v>5</v>
      </c>
      <c r="AD12" s="123">
        <f t="shared" si="0"/>
        <v>2</v>
      </c>
      <c r="AE12" s="124">
        <f t="shared" si="0"/>
        <v>3</v>
      </c>
      <c r="AF12" s="123">
        <f t="shared" si="0"/>
        <v>8</v>
      </c>
      <c r="AG12" s="124">
        <f t="shared" si="0"/>
        <v>6</v>
      </c>
      <c r="AH12" s="123">
        <f t="shared" si="0"/>
        <v>8</v>
      </c>
      <c r="AI12" s="124">
        <f t="shared" si="0"/>
        <v>15</v>
      </c>
      <c r="AJ12" s="123">
        <f t="shared" si="0"/>
        <v>17</v>
      </c>
      <c r="AK12" s="124">
        <f t="shared" si="0"/>
        <v>21</v>
      </c>
      <c r="AL12" s="123">
        <f t="shared" si="0"/>
        <v>6</v>
      </c>
      <c r="AM12" s="124">
        <f t="shared" si="0"/>
        <v>12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51" t="s">
        <v>3386</v>
      </c>
      <c r="D13" s="126">
        <f>D38</f>
        <v>11</v>
      </c>
      <c r="E13" s="127">
        <f t="shared" ref="E13:AO13" si="1">E38</f>
        <v>14</v>
      </c>
      <c r="F13" s="126">
        <f t="shared" si="1"/>
        <v>13</v>
      </c>
      <c r="G13" s="127">
        <f t="shared" si="1"/>
        <v>25</v>
      </c>
      <c r="H13" s="126">
        <f t="shared" si="1"/>
        <v>6</v>
      </c>
      <c r="I13" s="127">
        <f t="shared" si="1"/>
        <v>8</v>
      </c>
      <c r="J13" s="126">
        <f t="shared" si="1"/>
        <v>6</v>
      </c>
      <c r="K13" s="127">
        <f t="shared" si="1"/>
        <v>12</v>
      </c>
      <c r="L13" s="126">
        <f t="shared" si="1"/>
        <v>8</v>
      </c>
      <c r="M13" s="127">
        <f t="shared" si="1"/>
        <v>12</v>
      </c>
      <c r="N13" s="126">
        <f t="shared" si="1"/>
        <v>0</v>
      </c>
      <c r="O13" s="127">
        <f t="shared" si="1"/>
        <v>0</v>
      </c>
      <c r="P13" s="126">
        <f t="shared" si="1"/>
        <v>3</v>
      </c>
      <c r="Q13" s="127">
        <f t="shared" si="1"/>
        <v>7</v>
      </c>
      <c r="R13" s="126">
        <f t="shared" si="1"/>
        <v>3</v>
      </c>
      <c r="S13" s="127">
        <f t="shared" si="1"/>
        <v>5</v>
      </c>
      <c r="T13" s="126">
        <f t="shared" si="1"/>
        <v>7</v>
      </c>
      <c r="U13" s="127">
        <f t="shared" si="1"/>
        <v>12</v>
      </c>
      <c r="V13" s="126">
        <f t="shared" si="1"/>
        <v>10</v>
      </c>
      <c r="W13" s="127">
        <f t="shared" si="1"/>
        <v>12</v>
      </c>
      <c r="X13" s="126">
        <f t="shared" si="1"/>
        <v>6</v>
      </c>
      <c r="Y13" s="127">
        <f t="shared" si="1"/>
        <v>13</v>
      </c>
      <c r="Z13" s="126">
        <f t="shared" si="1"/>
        <v>8</v>
      </c>
      <c r="AA13" s="127">
        <f t="shared" si="1"/>
        <v>15</v>
      </c>
      <c r="AB13" s="126">
        <f t="shared" si="1"/>
        <v>4</v>
      </c>
      <c r="AC13" s="127">
        <f t="shared" si="1"/>
        <v>9</v>
      </c>
      <c r="AD13" s="126">
        <f t="shared" si="1"/>
        <v>5</v>
      </c>
      <c r="AE13" s="127">
        <f t="shared" si="1"/>
        <v>8</v>
      </c>
      <c r="AF13" s="126">
        <f t="shared" si="1"/>
        <v>4</v>
      </c>
      <c r="AG13" s="127">
        <f t="shared" si="1"/>
        <v>12</v>
      </c>
      <c r="AH13" s="126">
        <f t="shared" si="1"/>
        <v>3</v>
      </c>
      <c r="AI13" s="127">
        <f t="shared" si="1"/>
        <v>5</v>
      </c>
      <c r="AJ13" s="126">
        <f t="shared" si="1"/>
        <v>3</v>
      </c>
      <c r="AK13" s="127">
        <f t="shared" si="1"/>
        <v>10</v>
      </c>
      <c r="AL13" s="126">
        <f t="shared" si="1"/>
        <v>5</v>
      </c>
      <c r="AM13" s="127">
        <f t="shared" si="1"/>
        <v>4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36</v>
      </c>
      <c r="E14" s="133">
        <f t="shared" si="2"/>
        <v>27</v>
      </c>
      <c r="F14" s="132">
        <f t="shared" si="2"/>
        <v>27</v>
      </c>
      <c r="G14" s="133">
        <f t="shared" si="2"/>
        <v>46</v>
      </c>
      <c r="H14" s="132">
        <f t="shared" si="2"/>
        <v>11</v>
      </c>
      <c r="I14" s="133">
        <f t="shared" si="2"/>
        <v>16</v>
      </c>
      <c r="J14" s="132">
        <f t="shared" si="2"/>
        <v>14</v>
      </c>
      <c r="K14" s="133">
        <f t="shared" si="2"/>
        <v>21</v>
      </c>
      <c r="L14" s="132">
        <f t="shared" si="2"/>
        <v>13</v>
      </c>
      <c r="M14" s="133">
        <f t="shared" si="2"/>
        <v>16</v>
      </c>
      <c r="N14" s="132">
        <f t="shared" si="2"/>
        <v>0</v>
      </c>
      <c r="O14" s="133">
        <f t="shared" si="2"/>
        <v>0</v>
      </c>
      <c r="P14" s="132">
        <f t="shared" si="2"/>
        <v>13</v>
      </c>
      <c r="Q14" s="133">
        <f t="shared" si="2"/>
        <v>11</v>
      </c>
      <c r="R14" s="132">
        <f t="shared" si="2"/>
        <v>8</v>
      </c>
      <c r="S14" s="133">
        <f t="shared" si="2"/>
        <v>8</v>
      </c>
      <c r="T14" s="132">
        <f t="shared" si="2"/>
        <v>14</v>
      </c>
      <c r="U14" s="133">
        <f t="shared" si="2"/>
        <v>16</v>
      </c>
      <c r="V14" s="132">
        <f t="shared" si="2"/>
        <v>17</v>
      </c>
      <c r="W14" s="133">
        <f t="shared" si="2"/>
        <v>24</v>
      </c>
      <c r="X14" s="132">
        <f t="shared" si="2"/>
        <v>14</v>
      </c>
      <c r="Y14" s="133">
        <f t="shared" si="2"/>
        <v>26</v>
      </c>
      <c r="Z14" s="132">
        <f t="shared" si="2"/>
        <v>20</v>
      </c>
      <c r="AA14" s="133">
        <f t="shared" si="2"/>
        <v>29</v>
      </c>
      <c r="AB14" s="132">
        <f t="shared" si="2"/>
        <v>9</v>
      </c>
      <c r="AC14" s="133">
        <f t="shared" si="2"/>
        <v>14</v>
      </c>
      <c r="AD14" s="132">
        <f t="shared" si="2"/>
        <v>7</v>
      </c>
      <c r="AE14" s="133">
        <f t="shared" si="2"/>
        <v>11</v>
      </c>
      <c r="AF14" s="132">
        <f t="shared" si="2"/>
        <v>12</v>
      </c>
      <c r="AG14" s="133">
        <f t="shared" si="2"/>
        <v>18</v>
      </c>
      <c r="AH14" s="132">
        <f t="shared" si="2"/>
        <v>11</v>
      </c>
      <c r="AI14" s="133">
        <f t="shared" si="2"/>
        <v>20</v>
      </c>
      <c r="AJ14" s="132">
        <f t="shared" si="2"/>
        <v>20</v>
      </c>
      <c r="AK14" s="133">
        <f t="shared" si="2"/>
        <v>31</v>
      </c>
      <c r="AL14" s="132">
        <f t="shared" si="2"/>
        <v>11</v>
      </c>
      <c r="AM14" s="133">
        <f t="shared" si="2"/>
        <v>16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3396</v>
      </c>
    </row>
    <row r="18" spans="2:43" ht="21" customHeight="1" x14ac:dyDescent="0.25">
      <c r="B18" s="72" t="s">
        <v>3395</v>
      </c>
      <c r="C18" s="215" t="s">
        <v>3397</v>
      </c>
      <c r="D18" s="222" t="s">
        <v>3372</v>
      </c>
      <c r="E18" s="223"/>
      <c r="F18" s="222" t="s">
        <v>3373</v>
      </c>
      <c r="G18" s="223"/>
      <c r="H18" s="201" t="s">
        <v>3374</v>
      </c>
      <c r="I18" s="202"/>
      <c r="J18" s="222" t="s">
        <v>3370</v>
      </c>
      <c r="K18" s="223"/>
      <c r="L18" s="222" t="s">
        <v>3371</v>
      </c>
      <c r="M18" s="223"/>
      <c r="N18" s="222" t="s">
        <v>3375</v>
      </c>
      <c r="O18" s="223"/>
      <c r="P18" s="222" t="s">
        <v>3367</v>
      </c>
      <c r="Q18" s="223"/>
      <c r="R18" s="222" t="s">
        <v>3368</v>
      </c>
      <c r="S18" s="223"/>
      <c r="T18" s="222" t="s">
        <v>3369</v>
      </c>
      <c r="U18" s="223"/>
      <c r="V18" s="201" t="s">
        <v>3358</v>
      </c>
      <c r="W18" s="202"/>
      <c r="X18" s="222" t="s">
        <v>3363</v>
      </c>
      <c r="Y18" s="223"/>
      <c r="Z18" s="222" t="s">
        <v>3361</v>
      </c>
      <c r="AA18" s="223"/>
      <c r="AB18" s="222" t="s">
        <v>3359</v>
      </c>
      <c r="AC18" s="223"/>
      <c r="AD18" s="222" t="s">
        <v>3366</v>
      </c>
      <c r="AE18" s="223"/>
      <c r="AF18" s="201" t="s">
        <v>3364</v>
      </c>
      <c r="AG18" s="202"/>
      <c r="AH18" s="222" t="s">
        <v>3360</v>
      </c>
      <c r="AI18" s="223"/>
      <c r="AJ18" s="222" t="s">
        <v>3362</v>
      </c>
      <c r="AK18" s="223"/>
      <c r="AL18" s="222" t="s">
        <v>3365</v>
      </c>
      <c r="AM18" s="223"/>
      <c r="AN18" s="201" t="s">
        <v>3486</v>
      </c>
      <c r="AO18" s="202"/>
    </row>
    <row r="19" spans="2:43" ht="21" customHeight="1" thickBot="1" x14ac:dyDescent="0.3">
      <c r="B19" s="72"/>
      <c r="C19" s="216"/>
      <c r="D19" s="107" t="s">
        <v>3487</v>
      </c>
      <c r="E19" s="108" t="s">
        <v>3353</v>
      </c>
      <c r="F19" s="107" t="s">
        <v>3487</v>
      </c>
      <c r="G19" s="108" t="s">
        <v>3353</v>
      </c>
      <c r="H19" s="107" t="s">
        <v>3487</v>
      </c>
      <c r="I19" s="108" t="s">
        <v>3353</v>
      </c>
      <c r="J19" s="107" t="s">
        <v>3487</v>
      </c>
      <c r="K19" s="108" t="s">
        <v>3353</v>
      </c>
      <c r="L19" s="107" t="s">
        <v>3487</v>
      </c>
      <c r="M19" s="108" t="s">
        <v>3353</v>
      </c>
      <c r="N19" s="107" t="s">
        <v>3487</v>
      </c>
      <c r="O19" s="108" t="s">
        <v>3353</v>
      </c>
      <c r="P19" s="107" t="s">
        <v>3487</v>
      </c>
      <c r="Q19" s="108" t="s">
        <v>3353</v>
      </c>
      <c r="R19" s="107" t="s">
        <v>3487</v>
      </c>
      <c r="S19" s="108" t="s">
        <v>3353</v>
      </c>
      <c r="T19" s="107" t="s">
        <v>3487</v>
      </c>
      <c r="U19" s="108" t="s">
        <v>3353</v>
      </c>
      <c r="V19" s="107" t="s">
        <v>3487</v>
      </c>
      <c r="W19" s="108" t="s">
        <v>3353</v>
      </c>
      <c r="X19" s="107" t="s">
        <v>3487</v>
      </c>
      <c r="Y19" s="108" t="s">
        <v>3353</v>
      </c>
      <c r="Z19" s="107" t="s">
        <v>3487</v>
      </c>
      <c r="AA19" s="108" t="s">
        <v>3353</v>
      </c>
      <c r="AB19" s="107" t="s">
        <v>3487</v>
      </c>
      <c r="AC19" s="108" t="s">
        <v>3353</v>
      </c>
      <c r="AD19" s="107" t="s">
        <v>3487</v>
      </c>
      <c r="AE19" s="108" t="s">
        <v>3353</v>
      </c>
      <c r="AF19" s="107" t="s">
        <v>3487</v>
      </c>
      <c r="AG19" s="108" t="s">
        <v>3353</v>
      </c>
      <c r="AH19" s="107" t="s">
        <v>3487</v>
      </c>
      <c r="AI19" s="108" t="s">
        <v>3353</v>
      </c>
      <c r="AJ19" s="107" t="s">
        <v>3487</v>
      </c>
      <c r="AK19" s="108" t="s">
        <v>3353</v>
      </c>
      <c r="AL19" s="107" t="s">
        <v>3487</v>
      </c>
      <c r="AM19" s="108" t="s">
        <v>3353</v>
      </c>
      <c r="AN19" s="107" t="s">
        <v>3487</v>
      </c>
      <c r="AO19" s="108" t="s">
        <v>3353</v>
      </c>
    </row>
    <row r="20" spans="2:43" s="75" customFormat="1" ht="21.75" customHeight="1" thickBot="1" x14ac:dyDescent="0.4">
      <c r="B20" s="98" t="s">
        <v>3395</v>
      </c>
      <c r="C20" s="114" t="s">
        <v>3398</v>
      </c>
      <c r="D20" s="136">
        <f t="shared" ref="D20:AO20" si="3">IFERROR(SUM(D21:D34)," ")</f>
        <v>25</v>
      </c>
      <c r="E20" s="137">
        <f t="shared" si="3"/>
        <v>13</v>
      </c>
      <c r="F20" s="109">
        <f t="shared" si="3"/>
        <v>14</v>
      </c>
      <c r="G20" s="110">
        <f t="shared" si="3"/>
        <v>21</v>
      </c>
      <c r="H20" s="109">
        <f t="shared" si="3"/>
        <v>5</v>
      </c>
      <c r="I20" s="110">
        <f t="shared" si="3"/>
        <v>8</v>
      </c>
      <c r="J20" s="109">
        <f t="shared" si="3"/>
        <v>8</v>
      </c>
      <c r="K20" s="110">
        <f t="shared" si="3"/>
        <v>9</v>
      </c>
      <c r="L20" s="109">
        <f t="shared" si="3"/>
        <v>5</v>
      </c>
      <c r="M20" s="110">
        <f t="shared" si="3"/>
        <v>4</v>
      </c>
      <c r="N20" s="109">
        <f t="shared" si="3"/>
        <v>0</v>
      </c>
      <c r="O20" s="110">
        <f t="shared" si="3"/>
        <v>0</v>
      </c>
      <c r="P20" s="109">
        <f t="shared" si="3"/>
        <v>10</v>
      </c>
      <c r="Q20" s="110">
        <f t="shared" si="3"/>
        <v>4</v>
      </c>
      <c r="R20" s="109">
        <f t="shared" si="3"/>
        <v>5</v>
      </c>
      <c r="S20" s="110">
        <f t="shared" si="3"/>
        <v>3</v>
      </c>
      <c r="T20" s="109">
        <f t="shared" si="3"/>
        <v>7</v>
      </c>
      <c r="U20" s="110">
        <f t="shared" si="3"/>
        <v>4</v>
      </c>
      <c r="V20" s="109">
        <f t="shared" si="3"/>
        <v>7</v>
      </c>
      <c r="W20" s="110">
        <f t="shared" si="3"/>
        <v>12</v>
      </c>
      <c r="X20" s="109">
        <f t="shared" si="3"/>
        <v>8</v>
      </c>
      <c r="Y20" s="110">
        <f t="shared" si="3"/>
        <v>13</v>
      </c>
      <c r="Z20" s="109">
        <f t="shared" si="3"/>
        <v>12</v>
      </c>
      <c r="AA20" s="110">
        <f t="shared" si="3"/>
        <v>14</v>
      </c>
      <c r="AB20" s="109">
        <f t="shared" si="3"/>
        <v>5</v>
      </c>
      <c r="AC20" s="110">
        <f t="shared" si="3"/>
        <v>5</v>
      </c>
      <c r="AD20" s="109">
        <f t="shared" si="3"/>
        <v>2</v>
      </c>
      <c r="AE20" s="110">
        <f t="shared" si="3"/>
        <v>3</v>
      </c>
      <c r="AF20" s="109">
        <f t="shared" si="3"/>
        <v>8</v>
      </c>
      <c r="AG20" s="110">
        <f t="shared" si="3"/>
        <v>6</v>
      </c>
      <c r="AH20" s="109">
        <f t="shared" si="3"/>
        <v>8</v>
      </c>
      <c r="AI20" s="110">
        <f t="shared" si="3"/>
        <v>15</v>
      </c>
      <c r="AJ20" s="109">
        <f t="shared" si="3"/>
        <v>17</v>
      </c>
      <c r="AK20" s="110">
        <f t="shared" si="3"/>
        <v>21</v>
      </c>
      <c r="AL20" s="109">
        <f t="shared" si="3"/>
        <v>6</v>
      </c>
      <c r="AM20" s="110">
        <f t="shared" si="3"/>
        <v>12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46" t="s">
        <v>335</v>
      </c>
      <c r="D21" s="138">
        <f>SUMIFS(Resumo_Trocas!$C:$C,Resumo_Trocas!$A:$A,$C21,Resumo_Trocas!$F:$F,D$18,Resumo_Trocas!$C:$C,"&gt;0")</f>
        <v>2</v>
      </c>
      <c r="E21" s="139">
        <f>SUMIFS(Resumo_Trocas!$D:$D,Resumo_Trocas!$A:$A,$C21,Resumo_Trocas!$F:$F,D$18,Resumo_Trocas!$C:$C,"&gt;0")</f>
        <v>2</v>
      </c>
      <c r="F21" s="138">
        <f>SUMIFS(Resumo_Trocas!$C:$C,Resumo_Trocas!$A:$A,$C21,Resumo_Trocas!$F:$F,F$18,Resumo_Trocas!$C:$C,"&gt;0")</f>
        <v>2</v>
      </c>
      <c r="G21" s="139">
        <f>SUMIFS(Resumo_Trocas!$D:$D,Resumo_Trocas!$A:$A,$C21,Resumo_Trocas!$F:$F,F$18,Resumo_Trocas!$C:$C,"&gt;0")</f>
        <v>0</v>
      </c>
      <c r="H21" s="138">
        <f>SUMIFS(Resumo_Trocas!$C:$C,Resumo_Trocas!$A:$A,$C21,Resumo_Trocas!$F:$F,H$18,Resumo_Trocas!$C:$C,"&gt;0")</f>
        <v>1</v>
      </c>
      <c r="I21" s="139">
        <f>SUMIFS(Resumo_Trocas!$D:$D,Resumo_Trocas!$A:$A,$C21,Resumo_Trocas!$F:$F,H$18,Resumo_Trocas!$C:$C,"&gt;0")</f>
        <v>0</v>
      </c>
      <c r="J21" s="138">
        <f>SUMIFS(Resumo_Trocas!$C:$C,Resumo_Trocas!$A:$A,$C21,Resumo_Trocas!$F:$F,J$18,Resumo_Trocas!$C:$C,"&gt;0")</f>
        <v>1</v>
      </c>
      <c r="K21" s="139">
        <f>SUMIFS(Resumo_Trocas!$D:$D,Resumo_Trocas!$A:$A,$C21,Resumo_Trocas!$F:$F,J$18,Resumo_Trocas!$C:$C,"&gt;0")</f>
        <v>0</v>
      </c>
      <c r="L21" s="138">
        <f>SUMIFS(Resumo_Trocas!$C:$C,Resumo_Trocas!$A:$A,$C21,Resumo_Trocas!$F:$F,L$18,Resumo_Trocas!$C:$C,"&gt;0")</f>
        <v>1</v>
      </c>
      <c r="M21" s="139">
        <f>SUMIFS(Resumo_Trocas!$D:$D,Resumo_Trocas!$A:$A,$C21,Resumo_Trocas!$F:$F,L$18,Resumo_Trocas!$C:$C,"&gt;0")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SUMIFS(Resumo_Trocas!$D:$D,Resumo_Trocas!$A:$A,$C21,Resumo_Trocas!$F:$F,N$18,Resumo_Trocas!$C:$C,"&gt;0")</f>
        <v>0</v>
      </c>
      <c r="P21" s="138">
        <f>SUMIFS(Resumo_Trocas!$C:$C,Resumo_Trocas!$A:$A,$C21,Resumo_Trocas!$F:$F,P$18,Resumo_Trocas!$C:$C,"&gt;0")</f>
        <v>1</v>
      </c>
      <c r="Q21" s="139">
        <f>SUMIFS(Resumo_Trocas!$D:$D,Resumo_Trocas!$A:$A,$C21,Resumo_Trocas!$F:$F,P$18,Resumo_Trocas!$C:$C,"&gt;0")</f>
        <v>0</v>
      </c>
      <c r="R21" s="138">
        <f>SUMIFS(Resumo_Trocas!$C:$C,Resumo_Trocas!$A:$A,$C21,Resumo_Trocas!$F:$F,R$18,Resumo_Trocas!$C:$C,"&gt;0")</f>
        <v>2</v>
      </c>
      <c r="S21" s="139">
        <f>SUMIFS(Resumo_Trocas!$D:$D,Resumo_Trocas!$A:$A,$C21,Resumo_Trocas!$F:$F,R$18,Resumo_Trocas!$C:$C,"&gt;0")</f>
        <v>0</v>
      </c>
      <c r="T21" s="138">
        <f>SUMIFS(Resumo_Trocas!$C:$C,Resumo_Trocas!$A:$A,$C21,Resumo_Trocas!$F:$F,T$18,Resumo_Trocas!$C:$C,"&gt;0")</f>
        <v>2</v>
      </c>
      <c r="U21" s="139">
        <f>SUMIFS(Resumo_Trocas!$D:$D,Resumo_Trocas!$A:$A,$C21,Resumo_Trocas!$F:$F,T$18,Resumo_Trocas!$C:$C,"&gt;0")</f>
        <v>0</v>
      </c>
      <c r="V21" s="138">
        <f>SUMIFS(Resumo_Trocas!$C:$C,Resumo_Trocas!$A:$A,$C21,Resumo_Trocas!$F:$F,V$18,Resumo_Trocas!$C:$C,"&gt;0")</f>
        <v>3</v>
      </c>
      <c r="W21" s="139">
        <f>SUMIFS(Resumo_Trocas!$D:$D,Resumo_Trocas!$A:$A,$C21,Resumo_Trocas!$F:$F,V$18,Resumo_Trocas!$C:$C,"&gt;0")</f>
        <v>0</v>
      </c>
      <c r="X21" s="138">
        <f>SUMIFS(Resumo_Trocas!$C:$C,Resumo_Trocas!$A:$A,$C21,Resumo_Trocas!$F:$F,X$18,Resumo_Trocas!$C:$C,"&gt;0")</f>
        <v>2</v>
      </c>
      <c r="Y21" s="139">
        <f>SUMIFS(Resumo_Trocas!$D:$D,Resumo_Trocas!$A:$A,$C21,Resumo_Trocas!$F:$F,X$18,Resumo_Trocas!$C:$C,"&gt;0")</f>
        <v>0</v>
      </c>
      <c r="Z21" s="138">
        <f>SUMIFS(Resumo_Trocas!$C:$C,Resumo_Trocas!$A:$A,$C21,Resumo_Trocas!$F:$F,Z$18,Resumo_Trocas!$C:$C,"&gt;0")</f>
        <v>2</v>
      </c>
      <c r="AA21" s="139">
        <f>SUMIFS(Resumo_Trocas!$D:$D,Resumo_Trocas!$A:$A,$C21,Resumo_Trocas!$F:$F,Z$18,Resumo_Trocas!$C:$C,"&gt;0")</f>
        <v>2</v>
      </c>
      <c r="AB21" s="138">
        <f>SUMIFS(Resumo_Trocas!$C:$C,Resumo_Trocas!$A:$A,$C21,Resumo_Trocas!$F:$F,AB$18,Resumo_Trocas!$C:$C,"&gt;0")</f>
        <v>1</v>
      </c>
      <c r="AC21" s="139">
        <f>SUMIFS(Resumo_Trocas!$D:$D,Resumo_Trocas!$A:$A,$C21,Resumo_Trocas!$F:$F,AB$18,Resumo_Trocas!$C:$C,"&gt;0")</f>
        <v>1</v>
      </c>
      <c r="AD21" s="138">
        <f>SUMIFS(Resumo_Trocas!$C:$C,Resumo_Trocas!$A:$A,$C21,Resumo_Trocas!$F:$F,AD$18,Resumo_Trocas!$C:$C,"&gt;0")</f>
        <v>0</v>
      </c>
      <c r="AE21" s="139">
        <f>SUMIFS(Resumo_Trocas!$D:$D,Resumo_Trocas!$A:$A,$C21,Resumo_Trocas!$F:$F,AD$18,Resumo_Trocas!$C:$C,"&gt;0")</f>
        <v>0</v>
      </c>
      <c r="AF21" s="138">
        <f>SUMIFS(Resumo_Trocas!$C:$C,Resumo_Trocas!$A:$A,$C21,Resumo_Trocas!$F:$F,AF$18,Resumo_Trocas!$C:$C,"&gt;0")</f>
        <v>1</v>
      </c>
      <c r="AG21" s="139">
        <f>SUMIFS(Resumo_Trocas!$D:$D,Resumo_Trocas!$A:$A,$C21,Resumo_Trocas!$F:$F,AF$18,Resumo_Trocas!$C:$C,"&gt;0")</f>
        <v>1</v>
      </c>
      <c r="AH21" s="138">
        <f>SUMIFS(Resumo_Trocas!$C:$C,Resumo_Trocas!$A:$A,$C21,Resumo_Trocas!$F:$F,AH$18,Resumo_Trocas!$C:$C,"&gt;0")</f>
        <v>1</v>
      </c>
      <c r="AI21" s="139">
        <f>SUMIFS(Resumo_Trocas!$D:$D,Resumo_Trocas!$A:$A,$C21,Resumo_Trocas!$F:$F,AH$18,Resumo_Trocas!$C:$C,"&gt;0")</f>
        <v>1</v>
      </c>
      <c r="AJ21" s="138">
        <f>SUMIFS(Resumo_Trocas!$C:$C,Resumo_Trocas!$A:$A,$C21,Resumo_Trocas!$F:$F,AJ$18,Resumo_Trocas!$C:$C,"&gt;0")</f>
        <v>2</v>
      </c>
      <c r="AK21" s="139">
        <f>SUMIFS(Resumo_Trocas!$D:$D,Resumo_Trocas!$A:$A,$C21,Resumo_Trocas!$F:$F,AJ$18,Resumo_Trocas!$C:$C,"&gt;0")</f>
        <v>2</v>
      </c>
      <c r="AL21" s="138">
        <f>SUMIFS(Resumo_Trocas!$C:$C,Resumo_Trocas!$A:$A,$C21,Resumo_Trocas!$F:$F,AL$18,Resumo_Trocas!$C:$C,"&gt;0")</f>
        <v>1</v>
      </c>
      <c r="AM21" s="139">
        <f>SUMIFS(Resumo_Trocas!$D:$D,Resumo_Trocas!$A:$A,$C21,Resumo_Trocas!$F:$F,AL$18,Resumo_Trocas!$C:$C,"&gt;0")</f>
        <v>1</v>
      </c>
      <c r="AN21" s="138">
        <f>SUMIFS(Resumo_Trocas!$C:$C,Resumo_Trocas!$A:$A,$C21,Resumo_Trocas!$F:$F,AN$18,Resumo_Trocas!$C:$C,"&gt;0")</f>
        <v>0</v>
      </c>
      <c r="AO21" s="139">
        <f>SUMIFS(Resumo_Trocas!$D:$D,Resumo_Trocas!$A:$A,$C21,Resumo_Trocas!$F:$F,AN$18,Resumo_Trocas!$C:$C,"&gt;0")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47" t="s">
        <v>337</v>
      </c>
      <c r="D22" s="140">
        <f>SUMIFS(Resumo_Trocas!$C:$C,Resumo_Trocas!$A:$A,$C22,Resumo_Trocas!$F:$F,D$18,Resumo_Trocas!$C:$C,"&gt;0")</f>
        <v>6</v>
      </c>
      <c r="E22" s="141">
        <f>SUMIFS(Resumo_Trocas!$D:$D,Resumo_Trocas!$A:$A,$C22,Resumo_Trocas!$F:$F,D$18,Resumo_Trocas!$C:$C,"&gt;0")</f>
        <v>0</v>
      </c>
      <c r="F22" s="140">
        <f>SUMIFS(Resumo_Trocas!$C:$C,Resumo_Trocas!$A:$A,$C22,Resumo_Trocas!$F:$F,F$18,Resumo_Trocas!$C:$C,"&gt;0")</f>
        <v>3</v>
      </c>
      <c r="G22" s="141">
        <f>SUMIFS(Resumo_Trocas!$D:$D,Resumo_Trocas!$A:$A,$C22,Resumo_Trocas!$F:$F,F$18,Resumo_Trocas!$C:$C,"&gt;0")</f>
        <v>0</v>
      </c>
      <c r="H22" s="140">
        <f>SUMIFS(Resumo_Trocas!$C:$C,Resumo_Trocas!$A:$A,$C22,Resumo_Trocas!$F:$F,H$18,Resumo_Trocas!$C:$C,"&gt;0")</f>
        <v>0</v>
      </c>
      <c r="I22" s="141">
        <f>SUMIFS(Resumo_Trocas!$D:$D,Resumo_Trocas!$A:$A,$C22,Resumo_Trocas!$F:$F,H$18,Resumo_Trocas!$C:$C,"&gt;0")</f>
        <v>0</v>
      </c>
      <c r="J22" s="140">
        <f>SUMIFS(Resumo_Trocas!$C:$C,Resumo_Trocas!$A:$A,$C22,Resumo_Trocas!$F:$F,J$18,Resumo_Trocas!$C:$C,"&gt;0")</f>
        <v>0</v>
      </c>
      <c r="K22" s="141">
        <f>SUMIFS(Resumo_Trocas!$D:$D,Resumo_Trocas!$A:$A,$C22,Resumo_Trocas!$F:$F,J$18,Resumo_Trocas!$C:$C,"&gt;0")</f>
        <v>0</v>
      </c>
      <c r="L22" s="140">
        <f>SUMIFS(Resumo_Trocas!$C:$C,Resumo_Trocas!$A:$A,$C22,Resumo_Trocas!$F:$F,L$18,Resumo_Trocas!$C:$C,"&gt;0")</f>
        <v>0</v>
      </c>
      <c r="M22" s="141">
        <f>SUMIFS(Resumo_Trocas!$D:$D,Resumo_Trocas!$A:$A,$C22,Resumo_Trocas!$F:$F,L$18,Resumo_Trocas!$C:$C,"&gt;0")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SUMIFS(Resumo_Trocas!$D:$D,Resumo_Trocas!$A:$A,$C22,Resumo_Trocas!$F:$F,N$18,Resumo_Trocas!$C:$C,"&gt;0")</f>
        <v>0</v>
      </c>
      <c r="P22" s="140">
        <f>SUMIFS(Resumo_Trocas!$C:$C,Resumo_Trocas!$A:$A,$C22,Resumo_Trocas!$F:$F,P$18,Resumo_Trocas!$C:$C,"&gt;0")</f>
        <v>1</v>
      </c>
      <c r="Q22" s="141">
        <f>SUMIFS(Resumo_Trocas!$D:$D,Resumo_Trocas!$A:$A,$C22,Resumo_Trocas!$F:$F,P$18,Resumo_Trocas!$C:$C,"&gt;0")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SUMIFS(Resumo_Trocas!$D:$D,Resumo_Trocas!$A:$A,$C22,Resumo_Trocas!$F:$F,R$18,Resumo_Trocas!$C:$C,"&gt;0")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SUMIFS(Resumo_Trocas!$D:$D,Resumo_Trocas!$A:$A,$C22,Resumo_Trocas!$F:$F,T$18,Resumo_Trocas!$C:$C,"&gt;0")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SUMIFS(Resumo_Trocas!$D:$D,Resumo_Trocas!$A:$A,$C22,Resumo_Trocas!$F:$F,V$18,Resumo_Trocas!$C:$C,"&gt;0")</f>
        <v>0</v>
      </c>
      <c r="X22" s="140">
        <f>SUMIFS(Resumo_Trocas!$C:$C,Resumo_Trocas!$A:$A,$C22,Resumo_Trocas!$F:$F,X$18,Resumo_Trocas!$C:$C,"&gt;0")</f>
        <v>0</v>
      </c>
      <c r="Y22" s="141">
        <f>SUMIFS(Resumo_Trocas!$D:$D,Resumo_Trocas!$A:$A,$C22,Resumo_Trocas!$F:$F,X$18,Resumo_Trocas!$C:$C,"&gt;0")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SUMIFS(Resumo_Trocas!$D:$D,Resumo_Trocas!$A:$A,$C22,Resumo_Trocas!$F:$F,Z$18,Resumo_Trocas!$C:$C,"&gt;0")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SUMIFS(Resumo_Trocas!$D:$D,Resumo_Trocas!$A:$A,$C22,Resumo_Trocas!$F:$F,AB$18,Resumo_Trocas!$C:$C,"&gt;0")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SUMIFS(Resumo_Trocas!$D:$D,Resumo_Trocas!$A:$A,$C22,Resumo_Trocas!$F:$F,AD$18,Resumo_Trocas!$C:$C,"&gt;0")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SUMIFS(Resumo_Trocas!$D:$D,Resumo_Trocas!$A:$A,$C22,Resumo_Trocas!$F:$F,AF$18,Resumo_Trocas!$C:$C,"&gt;0")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SUMIFS(Resumo_Trocas!$D:$D,Resumo_Trocas!$A:$A,$C22,Resumo_Trocas!$F:$F,AH$18,Resumo_Trocas!$C:$C,"&gt;0")</f>
        <v>0</v>
      </c>
      <c r="AJ22" s="140">
        <f>SUMIFS(Resumo_Trocas!$C:$C,Resumo_Trocas!$A:$A,$C22,Resumo_Trocas!$F:$F,AJ$18,Resumo_Trocas!$C:$C,"&gt;0")</f>
        <v>1</v>
      </c>
      <c r="AK22" s="141">
        <f>SUMIFS(Resumo_Trocas!$D:$D,Resumo_Trocas!$A:$A,$C22,Resumo_Trocas!$F:$F,AJ$18,Resumo_Trocas!$C:$C,"&gt;0")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SUMIFS(Resumo_Trocas!$D:$D,Resumo_Trocas!$A:$A,$C22,Resumo_Trocas!$F:$F,AL$18,Resumo_Trocas!$C:$C,"&gt;0")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SUMIFS(Resumo_Trocas!$D:$D,Resumo_Trocas!$A:$A,$C22,Resumo_Trocas!$F:$F,AN$18,Resumo_Trocas!$C:$C,"&gt;0")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47" t="s">
        <v>338</v>
      </c>
      <c r="D23" s="140">
        <f>SUMIFS(Resumo_Trocas!$C:$C,Resumo_Trocas!$A:$A,$C23,Resumo_Trocas!$F:$F,D$18,Resumo_Trocas!$C:$C,"&gt;0")</f>
        <v>2</v>
      </c>
      <c r="E23" s="141">
        <f>SUMIFS(Resumo_Trocas!$D:$D,Resumo_Trocas!$A:$A,$C23,Resumo_Trocas!$F:$F,D$18,Resumo_Trocas!$C:$C,"&gt;0")</f>
        <v>1</v>
      </c>
      <c r="F23" s="140">
        <f>SUMIFS(Resumo_Trocas!$C:$C,Resumo_Trocas!$A:$A,$C23,Resumo_Trocas!$F:$F,F$18,Resumo_Trocas!$C:$C,"&gt;0")</f>
        <v>1</v>
      </c>
      <c r="G23" s="141">
        <f>SUMIFS(Resumo_Trocas!$D:$D,Resumo_Trocas!$A:$A,$C23,Resumo_Trocas!$F:$F,F$18,Resumo_Trocas!$C:$C,"&gt;0")</f>
        <v>0</v>
      </c>
      <c r="H23" s="140">
        <f>SUMIFS(Resumo_Trocas!$C:$C,Resumo_Trocas!$A:$A,$C23,Resumo_Trocas!$F:$F,H$18,Resumo_Trocas!$C:$C,"&gt;0")</f>
        <v>0</v>
      </c>
      <c r="I23" s="141">
        <f>SUMIFS(Resumo_Trocas!$D:$D,Resumo_Trocas!$A:$A,$C23,Resumo_Trocas!$F:$F,H$18,Resumo_Trocas!$C:$C,"&gt;0")</f>
        <v>0</v>
      </c>
      <c r="J23" s="140">
        <f>SUMIFS(Resumo_Trocas!$C:$C,Resumo_Trocas!$A:$A,$C23,Resumo_Trocas!$F:$F,J$18,Resumo_Trocas!$C:$C,"&gt;0")</f>
        <v>0</v>
      </c>
      <c r="K23" s="141">
        <f>SUMIFS(Resumo_Trocas!$D:$D,Resumo_Trocas!$A:$A,$C23,Resumo_Trocas!$F:$F,J$18,Resumo_Trocas!$C:$C,"&gt;0")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SUMIFS(Resumo_Trocas!$D:$D,Resumo_Trocas!$A:$A,$C23,Resumo_Trocas!$F:$F,L$18,Resumo_Trocas!$C:$C,"&gt;0")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SUMIFS(Resumo_Trocas!$D:$D,Resumo_Trocas!$A:$A,$C23,Resumo_Trocas!$F:$F,N$18,Resumo_Trocas!$C:$C,"&gt;0")</f>
        <v>0</v>
      </c>
      <c r="P23" s="140">
        <f>SUMIFS(Resumo_Trocas!$C:$C,Resumo_Trocas!$A:$A,$C23,Resumo_Trocas!$F:$F,P$18,Resumo_Trocas!$C:$C,"&gt;0")</f>
        <v>1</v>
      </c>
      <c r="Q23" s="141">
        <f>SUMIFS(Resumo_Trocas!$D:$D,Resumo_Trocas!$A:$A,$C23,Resumo_Trocas!$F:$F,P$18,Resumo_Trocas!$C:$C,"&gt;0")</f>
        <v>0</v>
      </c>
      <c r="R23" s="140">
        <f>SUMIFS(Resumo_Trocas!$C:$C,Resumo_Trocas!$A:$A,$C23,Resumo_Trocas!$F:$F,R$18,Resumo_Trocas!$C:$C,"&gt;0")</f>
        <v>0</v>
      </c>
      <c r="S23" s="141">
        <f>SUMIFS(Resumo_Trocas!$D:$D,Resumo_Trocas!$A:$A,$C23,Resumo_Trocas!$F:$F,R$18,Resumo_Trocas!$C:$C,"&gt;0")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SUMIFS(Resumo_Trocas!$D:$D,Resumo_Trocas!$A:$A,$C23,Resumo_Trocas!$F:$F,T$18,Resumo_Trocas!$C:$C,"&gt;0")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SUMIFS(Resumo_Trocas!$D:$D,Resumo_Trocas!$A:$A,$C23,Resumo_Trocas!$F:$F,V$18,Resumo_Trocas!$C:$C,"&gt;0")</f>
        <v>0</v>
      </c>
      <c r="X23" s="140">
        <f>SUMIFS(Resumo_Trocas!$C:$C,Resumo_Trocas!$A:$A,$C23,Resumo_Trocas!$F:$F,X$18,Resumo_Trocas!$C:$C,"&gt;0")</f>
        <v>1</v>
      </c>
      <c r="Y23" s="141">
        <f>SUMIFS(Resumo_Trocas!$D:$D,Resumo_Trocas!$A:$A,$C23,Resumo_Trocas!$F:$F,X$18,Resumo_Trocas!$C:$C,"&gt;0")</f>
        <v>0</v>
      </c>
      <c r="Z23" s="140">
        <f>SUMIFS(Resumo_Trocas!$C:$C,Resumo_Trocas!$A:$A,$C23,Resumo_Trocas!$F:$F,Z$18,Resumo_Trocas!$C:$C,"&gt;0")</f>
        <v>0</v>
      </c>
      <c r="AA23" s="141">
        <f>SUMIFS(Resumo_Trocas!$D:$D,Resumo_Trocas!$A:$A,$C23,Resumo_Trocas!$F:$F,Z$18,Resumo_Trocas!$C:$C,"&gt;0")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SUMIFS(Resumo_Trocas!$D:$D,Resumo_Trocas!$A:$A,$C23,Resumo_Trocas!$F:$F,AB$18,Resumo_Trocas!$C:$C,"&gt;0")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SUMIFS(Resumo_Trocas!$D:$D,Resumo_Trocas!$A:$A,$C23,Resumo_Trocas!$F:$F,AD$18,Resumo_Trocas!$C:$C,"&gt;0")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SUMIFS(Resumo_Trocas!$D:$D,Resumo_Trocas!$A:$A,$C23,Resumo_Trocas!$F:$F,AF$18,Resumo_Trocas!$C:$C,"&gt;0")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SUMIFS(Resumo_Trocas!$D:$D,Resumo_Trocas!$A:$A,$C23,Resumo_Trocas!$F:$F,AH$18,Resumo_Trocas!$C:$C,"&gt;0")</f>
        <v>0</v>
      </c>
      <c r="AJ23" s="140">
        <f>SUMIFS(Resumo_Trocas!$C:$C,Resumo_Trocas!$A:$A,$C23,Resumo_Trocas!$F:$F,AJ$18,Resumo_Trocas!$C:$C,"&gt;0")</f>
        <v>0</v>
      </c>
      <c r="AK23" s="141">
        <f>SUMIFS(Resumo_Trocas!$D:$D,Resumo_Trocas!$A:$A,$C23,Resumo_Trocas!$F:$F,AJ$18,Resumo_Trocas!$C:$C,"&gt;0")</f>
        <v>0</v>
      </c>
      <c r="AL23" s="140">
        <f>SUMIFS(Resumo_Trocas!$C:$C,Resumo_Trocas!$A:$A,$C23,Resumo_Trocas!$F:$F,AL$18,Resumo_Trocas!$C:$C,"&gt;0")</f>
        <v>1</v>
      </c>
      <c r="AM23" s="141">
        <f>SUMIFS(Resumo_Trocas!$D:$D,Resumo_Trocas!$A:$A,$C23,Resumo_Trocas!$F:$F,AL$18,Resumo_Trocas!$C:$C,"&gt;0")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SUMIFS(Resumo_Trocas!$D:$D,Resumo_Trocas!$A:$A,$C23,Resumo_Trocas!$F:$F,AN$18,Resumo_Trocas!$C:$C,"&gt;0")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47" t="s">
        <v>344</v>
      </c>
      <c r="D24" s="140">
        <f>SUMIFS(Resumo_Trocas!$C:$C,Resumo_Trocas!$A:$A,$C24,Resumo_Trocas!$F:$F,D$18,Resumo_Trocas!$C:$C,"&gt;0")</f>
        <v>2</v>
      </c>
      <c r="E24" s="141">
        <f>SUMIFS(Resumo_Trocas!$D:$D,Resumo_Trocas!$A:$A,$C24,Resumo_Trocas!$F:$F,D$18,Resumo_Trocas!$C:$C,"&gt;0")</f>
        <v>0</v>
      </c>
      <c r="F24" s="140">
        <f>SUMIFS(Resumo_Trocas!$C:$C,Resumo_Trocas!$A:$A,$C24,Resumo_Trocas!$F:$F,F$18,Resumo_Trocas!$C:$C,"&gt;0")</f>
        <v>0</v>
      </c>
      <c r="G24" s="141">
        <f>SUMIFS(Resumo_Trocas!$D:$D,Resumo_Trocas!$A:$A,$C24,Resumo_Trocas!$F:$F,F$18,Resumo_Trocas!$C:$C,"&gt;0")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SUMIFS(Resumo_Trocas!$D:$D,Resumo_Trocas!$A:$A,$C24,Resumo_Trocas!$F:$F,H$18,Resumo_Trocas!$C:$C,"&gt;0")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SUMIFS(Resumo_Trocas!$D:$D,Resumo_Trocas!$A:$A,$C24,Resumo_Trocas!$F:$F,J$18,Resumo_Trocas!$C:$C,"&gt;0")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SUMIFS(Resumo_Trocas!$D:$D,Resumo_Trocas!$A:$A,$C24,Resumo_Trocas!$F:$F,L$18,Resumo_Trocas!$C:$C,"&gt;0")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SUMIFS(Resumo_Trocas!$D:$D,Resumo_Trocas!$A:$A,$C24,Resumo_Trocas!$F:$F,N$18,Resumo_Trocas!$C:$C,"&gt;0")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SUMIFS(Resumo_Trocas!$D:$D,Resumo_Trocas!$A:$A,$C24,Resumo_Trocas!$F:$F,P$18,Resumo_Trocas!$C:$C,"&gt;0")</f>
        <v>0</v>
      </c>
      <c r="R24" s="140">
        <f>SUMIFS(Resumo_Trocas!$C:$C,Resumo_Trocas!$A:$A,$C24,Resumo_Trocas!$F:$F,R$18,Resumo_Trocas!$C:$C,"&gt;0")</f>
        <v>0</v>
      </c>
      <c r="S24" s="141">
        <f>SUMIFS(Resumo_Trocas!$D:$D,Resumo_Trocas!$A:$A,$C24,Resumo_Trocas!$F:$F,R$18,Resumo_Trocas!$C:$C,"&gt;0")</f>
        <v>0</v>
      </c>
      <c r="T24" s="140">
        <f>SUMIFS(Resumo_Trocas!$C:$C,Resumo_Trocas!$A:$A,$C24,Resumo_Trocas!$F:$F,T$18,Resumo_Trocas!$C:$C,"&gt;0")</f>
        <v>0</v>
      </c>
      <c r="U24" s="141">
        <f>SUMIFS(Resumo_Trocas!$D:$D,Resumo_Trocas!$A:$A,$C24,Resumo_Trocas!$F:$F,T$18,Resumo_Trocas!$C:$C,"&gt;0")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SUMIFS(Resumo_Trocas!$D:$D,Resumo_Trocas!$A:$A,$C24,Resumo_Trocas!$F:$F,V$18,Resumo_Trocas!$C:$C,"&gt;0")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SUMIFS(Resumo_Trocas!$D:$D,Resumo_Trocas!$A:$A,$C24,Resumo_Trocas!$F:$F,X$18,Resumo_Trocas!$C:$C,"&gt;0")</f>
        <v>0</v>
      </c>
      <c r="Z24" s="140">
        <f>SUMIFS(Resumo_Trocas!$C:$C,Resumo_Trocas!$A:$A,$C24,Resumo_Trocas!$F:$F,Z$18,Resumo_Trocas!$C:$C,"&gt;0")</f>
        <v>1</v>
      </c>
      <c r="AA24" s="141">
        <f>SUMIFS(Resumo_Trocas!$D:$D,Resumo_Trocas!$A:$A,$C24,Resumo_Trocas!$F:$F,Z$18,Resumo_Trocas!$C:$C,"&gt;0")</f>
        <v>1</v>
      </c>
      <c r="AB24" s="140">
        <f>SUMIFS(Resumo_Trocas!$C:$C,Resumo_Trocas!$A:$A,$C24,Resumo_Trocas!$F:$F,AB$18,Resumo_Trocas!$C:$C,"&gt;0")</f>
        <v>0</v>
      </c>
      <c r="AC24" s="141">
        <f>SUMIFS(Resumo_Trocas!$D:$D,Resumo_Trocas!$A:$A,$C24,Resumo_Trocas!$F:$F,AB$18,Resumo_Trocas!$C:$C,"&gt;0")</f>
        <v>0</v>
      </c>
      <c r="AD24" s="140">
        <f>SUMIFS(Resumo_Trocas!$C:$C,Resumo_Trocas!$A:$A,$C24,Resumo_Trocas!$F:$F,AD$18,Resumo_Trocas!$C:$C,"&gt;0")</f>
        <v>0</v>
      </c>
      <c r="AE24" s="141">
        <f>SUMIFS(Resumo_Trocas!$D:$D,Resumo_Trocas!$A:$A,$C24,Resumo_Trocas!$F:$F,AD$18,Resumo_Trocas!$C:$C,"&gt;0")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SUMIFS(Resumo_Trocas!$D:$D,Resumo_Trocas!$A:$A,$C24,Resumo_Trocas!$F:$F,AF$18,Resumo_Trocas!$C:$C,"&gt;0")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SUMIFS(Resumo_Trocas!$D:$D,Resumo_Trocas!$A:$A,$C24,Resumo_Trocas!$F:$F,AH$18,Resumo_Trocas!$C:$C,"&gt;0")</f>
        <v>0</v>
      </c>
      <c r="AJ24" s="140">
        <f>SUMIFS(Resumo_Trocas!$C:$C,Resumo_Trocas!$A:$A,$C24,Resumo_Trocas!$F:$F,AJ$18,Resumo_Trocas!$C:$C,"&gt;0")</f>
        <v>1</v>
      </c>
      <c r="AK24" s="141">
        <f>SUMIFS(Resumo_Trocas!$D:$D,Resumo_Trocas!$A:$A,$C24,Resumo_Trocas!$F:$F,AJ$18,Resumo_Trocas!$C:$C,"&gt;0")</f>
        <v>1</v>
      </c>
      <c r="AL24" s="140">
        <f>SUMIFS(Resumo_Trocas!$C:$C,Resumo_Trocas!$A:$A,$C24,Resumo_Trocas!$F:$F,AL$18,Resumo_Trocas!$C:$C,"&gt;0")</f>
        <v>0</v>
      </c>
      <c r="AM24" s="141">
        <f>SUMIFS(Resumo_Trocas!$D:$D,Resumo_Trocas!$A:$A,$C24,Resumo_Trocas!$F:$F,AL$18,Resumo_Trocas!$C:$C,"&gt;0")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SUMIFS(Resumo_Trocas!$D:$D,Resumo_Trocas!$A:$A,$C24,Resumo_Trocas!$F:$F,AN$18,Resumo_Trocas!$C:$C,"&gt;0")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47" t="s">
        <v>350</v>
      </c>
      <c r="D25" s="140">
        <f>SUMIFS(Resumo_Trocas!$C:$C,Resumo_Trocas!$A:$A,$C25,Resumo_Trocas!$F:$F,D$18,Resumo_Trocas!$C:$C,"&gt;0")</f>
        <v>3</v>
      </c>
      <c r="E25" s="141">
        <f>SUMIFS(Resumo_Trocas!$D:$D,Resumo_Trocas!$A:$A,$C25,Resumo_Trocas!$F:$F,D$18,Resumo_Trocas!$C:$C,"&gt;0")</f>
        <v>1</v>
      </c>
      <c r="F25" s="140">
        <f>SUMIFS(Resumo_Trocas!$C:$C,Resumo_Trocas!$A:$A,$C25,Resumo_Trocas!$F:$F,F$18,Resumo_Trocas!$C:$C,"&gt;0")</f>
        <v>0</v>
      </c>
      <c r="G25" s="141">
        <f>SUMIFS(Resumo_Trocas!$D:$D,Resumo_Trocas!$A:$A,$C25,Resumo_Trocas!$F:$F,F$18,Resumo_Trocas!$C:$C,"&gt;0")</f>
        <v>0</v>
      </c>
      <c r="H25" s="140">
        <f>SUMIFS(Resumo_Trocas!$C:$C,Resumo_Trocas!$A:$A,$C25,Resumo_Trocas!$F:$F,H$18,Resumo_Trocas!$C:$C,"&gt;0")</f>
        <v>0</v>
      </c>
      <c r="I25" s="141">
        <f>SUMIFS(Resumo_Trocas!$D:$D,Resumo_Trocas!$A:$A,$C25,Resumo_Trocas!$F:$F,H$18,Resumo_Trocas!$C:$C,"&gt;0")</f>
        <v>0</v>
      </c>
      <c r="J25" s="140">
        <f>SUMIFS(Resumo_Trocas!$C:$C,Resumo_Trocas!$A:$A,$C25,Resumo_Trocas!$F:$F,J$18,Resumo_Trocas!$C:$C,"&gt;0")</f>
        <v>0</v>
      </c>
      <c r="K25" s="141">
        <f>SUMIFS(Resumo_Trocas!$D:$D,Resumo_Trocas!$A:$A,$C25,Resumo_Trocas!$F:$F,J$18,Resumo_Trocas!$C:$C,"&gt;0")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SUMIFS(Resumo_Trocas!$D:$D,Resumo_Trocas!$A:$A,$C25,Resumo_Trocas!$F:$F,L$18,Resumo_Trocas!$C:$C,"&gt;0")</f>
        <v>0</v>
      </c>
      <c r="N25" s="140">
        <f>SUMIFS(Resumo_Trocas!$C:$C,Resumo_Trocas!$A:$A,$C25,Resumo_Trocas!$F:$F,N$18,Resumo_Trocas!$C:$C,"&gt;0")</f>
        <v>0</v>
      </c>
      <c r="O25" s="141">
        <f>SUMIFS(Resumo_Trocas!$D:$D,Resumo_Trocas!$A:$A,$C25,Resumo_Trocas!$F:$F,N$18,Resumo_Trocas!$C:$C,"&gt;0")</f>
        <v>0</v>
      </c>
      <c r="P25" s="140">
        <f>SUMIFS(Resumo_Trocas!$C:$C,Resumo_Trocas!$A:$A,$C25,Resumo_Trocas!$F:$F,P$18,Resumo_Trocas!$C:$C,"&gt;0")</f>
        <v>1</v>
      </c>
      <c r="Q25" s="141">
        <f>SUMIFS(Resumo_Trocas!$D:$D,Resumo_Trocas!$A:$A,$C25,Resumo_Trocas!$F:$F,P$18,Resumo_Trocas!$C:$C,"&gt;0")</f>
        <v>1</v>
      </c>
      <c r="R25" s="140">
        <f>SUMIFS(Resumo_Trocas!$C:$C,Resumo_Trocas!$A:$A,$C25,Resumo_Trocas!$F:$F,R$18,Resumo_Trocas!$C:$C,"&gt;0")</f>
        <v>0</v>
      </c>
      <c r="S25" s="141">
        <f>SUMIFS(Resumo_Trocas!$D:$D,Resumo_Trocas!$A:$A,$C25,Resumo_Trocas!$F:$F,R$18,Resumo_Trocas!$C:$C,"&gt;0")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SUMIFS(Resumo_Trocas!$D:$D,Resumo_Trocas!$A:$A,$C25,Resumo_Trocas!$F:$F,T$18,Resumo_Trocas!$C:$C,"&gt;0")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SUMIFS(Resumo_Trocas!$D:$D,Resumo_Trocas!$A:$A,$C25,Resumo_Trocas!$F:$F,V$18,Resumo_Trocas!$C:$C,"&gt;0")</f>
        <v>0</v>
      </c>
      <c r="X25" s="140">
        <f>SUMIFS(Resumo_Trocas!$C:$C,Resumo_Trocas!$A:$A,$C25,Resumo_Trocas!$F:$F,X$18,Resumo_Trocas!$C:$C,"&gt;0")</f>
        <v>0</v>
      </c>
      <c r="Y25" s="141">
        <f>SUMIFS(Resumo_Trocas!$D:$D,Resumo_Trocas!$A:$A,$C25,Resumo_Trocas!$F:$F,X$18,Resumo_Trocas!$C:$C,"&gt;0")</f>
        <v>0</v>
      </c>
      <c r="Z25" s="140">
        <f>SUMIFS(Resumo_Trocas!$C:$C,Resumo_Trocas!$A:$A,$C25,Resumo_Trocas!$F:$F,Z$18,Resumo_Trocas!$C:$C,"&gt;0")</f>
        <v>1</v>
      </c>
      <c r="AA25" s="141">
        <f>SUMIFS(Resumo_Trocas!$D:$D,Resumo_Trocas!$A:$A,$C25,Resumo_Trocas!$F:$F,Z$18,Resumo_Trocas!$C:$C,"&gt;0")</f>
        <v>1</v>
      </c>
      <c r="AB25" s="140">
        <f>SUMIFS(Resumo_Trocas!$C:$C,Resumo_Trocas!$A:$A,$C25,Resumo_Trocas!$F:$F,AB$18,Resumo_Trocas!$C:$C,"&gt;0")</f>
        <v>0</v>
      </c>
      <c r="AC25" s="141">
        <f>SUMIFS(Resumo_Trocas!$D:$D,Resumo_Trocas!$A:$A,$C25,Resumo_Trocas!$F:$F,AB$18,Resumo_Trocas!$C:$C,"&gt;0")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SUMIFS(Resumo_Trocas!$D:$D,Resumo_Trocas!$A:$A,$C25,Resumo_Trocas!$F:$F,AD$18,Resumo_Trocas!$C:$C,"&gt;0")</f>
        <v>0</v>
      </c>
      <c r="AF25" s="140">
        <f>SUMIFS(Resumo_Trocas!$C:$C,Resumo_Trocas!$A:$A,$C25,Resumo_Trocas!$F:$F,AF$18,Resumo_Trocas!$C:$C,"&gt;0")</f>
        <v>1</v>
      </c>
      <c r="AG25" s="141">
        <f>SUMIFS(Resumo_Trocas!$D:$D,Resumo_Trocas!$A:$A,$C25,Resumo_Trocas!$F:$F,AF$18,Resumo_Trocas!$C:$C,"&gt;0")</f>
        <v>1</v>
      </c>
      <c r="AH25" s="140">
        <f>SUMIFS(Resumo_Trocas!$C:$C,Resumo_Trocas!$A:$A,$C25,Resumo_Trocas!$F:$F,AH$18,Resumo_Trocas!$C:$C,"&gt;0")</f>
        <v>1</v>
      </c>
      <c r="AI25" s="141">
        <f>SUMIFS(Resumo_Trocas!$D:$D,Resumo_Trocas!$A:$A,$C25,Resumo_Trocas!$F:$F,AH$18,Resumo_Trocas!$C:$C,"&gt;0")</f>
        <v>1</v>
      </c>
      <c r="AJ25" s="140">
        <f>SUMIFS(Resumo_Trocas!$C:$C,Resumo_Trocas!$A:$A,$C25,Resumo_Trocas!$F:$F,AJ$18,Resumo_Trocas!$C:$C,"&gt;0")</f>
        <v>1</v>
      </c>
      <c r="AK25" s="141">
        <f>SUMIFS(Resumo_Trocas!$D:$D,Resumo_Trocas!$A:$A,$C25,Resumo_Trocas!$F:$F,AJ$18,Resumo_Trocas!$C:$C,"&gt;0")</f>
        <v>1</v>
      </c>
      <c r="AL25" s="140">
        <f>SUMIFS(Resumo_Trocas!$C:$C,Resumo_Trocas!$A:$A,$C25,Resumo_Trocas!$F:$F,AL$18,Resumo_Trocas!$C:$C,"&gt;0")</f>
        <v>0</v>
      </c>
      <c r="AM25" s="141">
        <f>SUMIFS(Resumo_Trocas!$D:$D,Resumo_Trocas!$A:$A,$C25,Resumo_Trocas!$F:$F,AL$18,Resumo_Trocas!$C:$C,"&gt;0")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SUMIFS(Resumo_Trocas!$D:$D,Resumo_Trocas!$A:$A,$C25,Resumo_Trocas!$F:$F,AN$18,Resumo_Trocas!$C:$C,"&gt;0")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47" t="s">
        <v>357</v>
      </c>
      <c r="D26" s="140">
        <f>SUMIFS(Resumo_Trocas!$C:$C,Resumo_Trocas!$A:$A,$C26,Resumo_Trocas!$F:$F,D$18,Resumo_Trocas!$C:$C,"&gt;0")</f>
        <v>1</v>
      </c>
      <c r="E26" s="141">
        <f>SUMIFS(Resumo_Trocas!$D:$D,Resumo_Trocas!$A:$A,$C26,Resumo_Trocas!$F:$F,D$18,Resumo_Trocas!$C:$C,"&gt;0")</f>
        <v>0</v>
      </c>
      <c r="F26" s="140">
        <f>SUMIFS(Resumo_Trocas!$C:$C,Resumo_Trocas!$A:$A,$C26,Resumo_Trocas!$F:$F,F$18,Resumo_Trocas!$C:$C,"&gt;0")</f>
        <v>0</v>
      </c>
      <c r="G26" s="141">
        <f>SUMIFS(Resumo_Trocas!$D:$D,Resumo_Trocas!$A:$A,$C26,Resumo_Trocas!$F:$F,F$18,Resumo_Trocas!$C:$C,"&gt;0")</f>
        <v>0</v>
      </c>
      <c r="H26" s="140">
        <f>SUMIFS(Resumo_Trocas!$C:$C,Resumo_Trocas!$A:$A,$C26,Resumo_Trocas!$F:$F,H$18,Resumo_Trocas!$C:$C,"&gt;0")</f>
        <v>0</v>
      </c>
      <c r="I26" s="141">
        <f>SUMIFS(Resumo_Trocas!$D:$D,Resumo_Trocas!$A:$A,$C26,Resumo_Trocas!$F:$F,H$18,Resumo_Trocas!$C:$C,"&gt;0")</f>
        <v>0</v>
      </c>
      <c r="J26" s="140">
        <f>SUMIFS(Resumo_Trocas!$C:$C,Resumo_Trocas!$A:$A,$C26,Resumo_Trocas!$F:$F,J$18,Resumo_Trocas!$C:$C,"&gt;0")</f>
        <v>0</v>
      </c>
      <c r="K26" s="141">
        <f>SUMIFS(Resumo_Trocas!$D:$D,Resumo_Trocas!$A:$A,$C26,Resumo_Trocas!$F:$F,J$18,Resumo_Trocas!$C:$C,"&gt;0")</f>
        <v>0</v>
      </c>
      <c r="L26" s="140">
        <f>SUMIFS(Resumo_Trocas!$C:$C,Resumo_Trocas!$A:$A,$C26,Resumo_Trocas!$F:$F,L$18,Resumo_Trocas!$C:$C,"&gt;0")</f>
        <v>0</v>
      </c>
      <c r="M26" s="141">
        <f>SUMIFS(Resumo_Trocas!$D:$D,Resumo_Trocas!$A:$A,$C26,Resumo_Trocas!$F:$F,L$18,Resumo_Trocas!$C:$C,"&gt;0")</f>
        <v>0</v>
      </c>
      <c r="N26" s="140">
        <f>SUMIFS(Resumo_Trocas!$C:$C,Resumo_Trocas!$A:$A,$C26,Resumo_Trocas!$F:$F,N$18,Resumo_Trocas!$C:$C,"&gt;0")</f>
        <v>0</v>
      </c>
      <c r="O26" s="141">
        <f>SUMIFS(Resumo_Trocas!$D:$D,Resumo_Trocas!$A:$A,$C26,Resumo_Trocas!$F:$F,N$18,Resumo_Trocas!$C:$C,"&gt;0")</f>
        <v>0</v>
      </c>
      <c r="P26" s="140">
        <f>SUMIFS(Resumo_Trocas!$C:$C,Resumo_Trocas!$A:$A,$C26,Resumo_Trocas!$F:$F,P$18,Resumo_Trocas!$C:$C,"&gt;0")</f>
        <v>1</v>
      </c>
      <c r="Q26" s="141">
        <f>SUMIFS(Resumo_Trocas!$D:$D,Resumo_Trocas!$A:$A,$C26,Resumo_Trocas!$F:$F,P$18,Resumo_Trocas!$C:$C,"&gt;0")</f>
        <v>0</v>
      </c>
      <c r="R26" s="140">
        <f>SUMIFS(Resumo_Trocas!$C:$C,Resumo_Trocas!$A:$A,$C26,Resumo_Trocas!$F:$F,R$18,Resumo_Trocas!$C:$C,"&gt;0")</f>
        <v>0</v>
      </c>
      <c r="S26" s="141">
        <f>SUMIFS(Resumo_Trocas!$D:$D,Resumo_Trocas!$A:$A,$C26,Resumo_Trocas!$F:$F,R$18,Resumo_Trocas!$C:$C,"&gt;0")</f>
        <v>0</v>
      </c>
      <c r="T26" s="140">
        <f>SUMIFS(Resumo_Trocas!$C:$C,Resumo_Trocas!$A:$A,$C26,Resumo_Trocas!$F:$F,T$18,Resumo_Trocas!$C:$C,"&gt;0")</f>
        <v>0</v>
      </c>
      <c r="U26" s="141">
        <f>SUMIFS(Resumo_Trocas!$D:$D,Resumo_Trocas!$A:$A,$C26,Resumo_Trocas!$F:$F,T$18,Resumo_Trocas!$C:$C,"&gt;0")</f>
        <v>0</v>
      </c>
      <c r="V26" s="140">
        <f>SUMIFS(Resumo_Trocas!$C:$C,Resumo_Trocas!$A:$A,$C26,Resumo_Trocas!$F:$F,V$18,Resumo_Trocas!$C:$C,"&gt;0")</f>
        <v>0</v>
      </c>
      <c r="W26" s="141">
        <f>SUMIFS(Resumo_Trocas!$D:$D,Resumo_Trocas!$A:$A,$C26,Resumo_Trocas!$F:$F,V$18,Resumo_Trocas!$C:$C,"&gt;0")</f>
        <v>0</v>
      </c>
      <c r="X26" s="140">
        <f>SUMIFS(Resumo_Trocas!$C:$C,Resumo_Trocas!$A:$A,$C26,Resumo_Trocas!$F:$F,X$18,Resumo_Trocas!$C:$C,"&gt;0")</f>
        <v>0</v>
      </c>
      <c r="Y26" s="141">
        <f>SUMIFS(Resumo_Trocas!$D:$D,Resumo_Trocas!$A:$A,$C26,Resumo_Trocas!$F:$F,X$18,Resumo_Trocas!$C:$C,"&gt;0")</f>
        <v>0</v>
      </c>
      <c r="Z26" s="140">
        <f>SUMIFS(Resumo_Trocas!$C:$C,Resumo_Trocas!$A:$A,$C26,Resumo_Trocas!$F:$F,Z$18,Resumo_Trocas!$C:$C,"&gt;0")</f>
        <v>0</v>
      </c>
      <c r="AA26" s="141">
        <f>SUMIFS(Resumo_Trocas!$D:$D,Resumo_Trocas!$A:$A,$C26,Resumo_Trocas!$F:$F,Z$18,Resumo_Trocas!$C:$C,"&gt;0")</f>
        <v>0</v>
      </c>
      <c r="AB26" s="140">
        <f>SUMIFS(Resumo_Trocas!$C:$C,Resumo_Trocas!$A:$A,$C26,Resumo_Trocas!$F:$F,AB$18,Resumo_Trocas!$C:$C,"&gt;0")</f>
        <v>0</v>
      </c>
      <c r="AC26" s="141">
        <f>SUMIFS(Resumo_Trocas!$D:$D,Resumo_Trocas!$A:$A,$C26,Resumo_Trocas!$F:$F,AB$18,Resumo_Trocas!$C:$C,"&gt;0")</f>
        <v>0</v>
      </c>
      <c r="AD26" s="140">
        <f>SUMIFS(Resumo_Trocas!$C:$C,Resumo_Trocas!$A:$A,$C26,Resumo_Trocas!$F:$F,AD$18,Resumo_Trocas!$C:$C,"&gt;0")</f>
        <v>0</v>
      </c>
      <c r="AE26" s="141">
        <f>SUMIFS(Resumo_Trocas!$D:$D,Resumo_Trocas!$A:$A,$C26,Resumo_Trocas!$F:$F,AD$18,Resumo_Trocas!$C:$C,"&gt;0")</f>
        <v>0</v>
      </c>
      <c r="AF26" s="140">
        <f>SUMIFS(Resumo_Trocas!$C:$C,Resumo_Trocas!$A:$A,$C26,Resumo_Trocas!$F:$F,AF$18,Resumo_Trocas!$C:$C,"&gt;0")</f>
        <v>0</v>
      </c>
      <c r="AG26" s="141">
        <f>SUMIFS(Resumo_Trocas!$D:$D,Resumo_Trocas!$A:$A,$C26,Resumo_Trocas!$F:$F,AF$18,Resumo_Trocas!$C:$C,"&gt;0")</f>
        <v>0</v>
      </c>
      <c r="AH26" s="140">
        <f>SUMIFS(Resumo_Trocas!$C:$C,Resumo_Trocas!$A:$A,$C26,Resumo_Trocas!$F:$F,AH$18,Resumo_Trocas!$C:$C,"&gt;0")</f>
        <v>0</v>
      </c>
      <c r="AI26" s="141">
        <f>SUMIFS(Resumo_Trocas!$D:$D,Resumo_Trocas!$A:$A,$C26,Resumo_Trocas!$F:$F,AH$18,Resumo_Trocas!$C:$C,"&gt;0")</f>
        <v>0</v>
      </c>
      <c r="AJ26" s="140">
        <f>SUMIFS(Resumo_Trocas!$C:$C,Resumo_Trocas!$A:$A,$C26,Resumo_Trocas!$F:$F,AJ$18,Resumo_Trocas!$C:$C,"&gt;0")</f>
        <v>0</v>
      </c>
      <c r="AK26" s="141">
        <f>SUMIFS(Resumo_Trocas!$D:$D,Resumo_Trocas!$A:$A,$C26,Resumo_Trocas!$F:$F,AJ$18,Resumo_Trocas!$C:$C,"&gt;0")</f>
        <v>0</v>
      </c>
      <c r="AL26" s="140">
        <f>SUMIFS(Resumo_Trocas!$C:$C,Resumo_Trocas!$A:$A,$C26,Resumo_Trocas!$F:$F,AL$18,Resumo_Trocas!$C:$C,"&gt;0")</f>
        <v>0</v>
      </c>
      <c r="AM26" s="141">
        <f>SUMIFS(Resumo_Trocas!$D:$D,Resumo_Trocas!$A:$A,$C26,Resumo_Trocas!$F:$F,AL$18,Resumo_Trocas!$C:$C,"&gt;0")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SUMIFS(Resumo_Trocas!$D:$D,Resumo_Trocas!$A:$A,$C26,Resumo_Trocas!$F:$F,AN$18,Resumo_Trocas!$C:$C,"&gt;0")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47" t="s">
        <v>360</v>
      </c>
      <c r="D27" s="140">
        <f>SUMIFS(Resumo_Trocas!$C:$C,Resumo_Trocas!$A:$A,$C27,Resumo_Trocas!$F:$F,D$18,Resumo_Trocas!$C:$C,"&gt;0")</f>
        <v>0</v>
      </c>
      <c r="E27" s="141">
        <f>SUMIFS(Resumo_Trocas!$D:$D,Resumo_Trocas!$A:$A,$C27,Resumo_Trocas!$F:$F,D$18,Resumo_Trocas!$C:$C,"&gt;0")</f>
        <v>0</v>
      </c>
      <c r="F27" s="140">
        <f>SUMIFS(Resumo_Trocas!$C:$C,Resumo_Trocas!$A:$A,$C27,Resumo_Trocas!$F:$F,F$18,Resumo_Trocas!$C:$C,"&gt;0")</f>
        <v>0</v>
      </c>
      <c r="G27" s="141">
        <f>SUMIFS(Resumo_Trocas!$D:$D,Resumo_Trocas!$A:$A,$C27,Resumo_Trocas!$F:$F,F$18,Resumo_Trocas!$C:$C,"&gt;0")</f>
        <v>0</v>
      </c>
      <c r="H27" s="140">
        <f>SUMIFS(Resumo_Trocas!$C:$C,Resumo_Trocas!$A:$A,$C27,Resumo_Trocas!$F:$F,H$18,Resumo_Trocas!$C:$C,"&gt;0")</f>
        <v>0</v>
      </c>
      <c r="I27" s="141">
        <f>SUMIFS(Resumo_Trocas!$D:$D,Resumo_Trocas!$A:$A,$C27,Resumo_Trocas!$F:$F,H$18,Resumo_Trocas!$C:$C,"&gt;0")</f>
        <v>0</v>
      </c>
      <c r="J27" s="140">
        <f>SUMIFS(Resumo_Trocas!$C:$C,Resumo_Trocas!$A:$A,$C27,Resumo_Trocas!$F:$F,J$18,Resumo_Trocas!$C:$C,"&gt;0")</f>
        <v>0</v>
      </c>
      <c r="K27" s="141">
        <f>SUMIFS(Resumo_Trocas!$D:$D,Resumo_Trocas!$A:$A,$C27,Resumo_Trocas!$F:$F,J$18,Resumo_Trocas!$C:$C,"&gt;0")</f>
        <v>0</v>
      </c>
      <c r="L27" s="140">
        <f>SUMIFS(Resumo_Trocas!$C:$C,Resumo_Trocas!$A:$A,$C27,Resumo_Trocas!$F:$F,L$18,Resumo_Trocas!$C:$C,"&gt;0")</f>
        <v>0</v>
      </c>
      <c r="M27" s="141">
        <f>SUMIFS(Resumo_Trocas!$D:$D,Resumo_Trocas!$A:$A,$C27,Resumo_Trocas!$F:$F,L$18,Resumo_Trocas!$C:$C,"&gt;0")</f>
        <v>0</v>
      </c>
      <c r="N27" s="140">
        <f>SUMIFS(Resumo_Trocas!$C:$C,Resumo_Trocas!$A:$A,$C27,Resumo_Trocas!$F:$F,N$18,Resumo_Trocas!$C:$C,"&gt;0")</f>
        <v>0</v>
      </c>
      <c r="O27" s="141">
        <f>SUMIFS(Resumo_Trocas!$D:$D,Resumo_Trocas!$A:$A,$C27,Resumo_Trocas!$F:$F,N$18,Resumo_Trocas!$C:$C,"&gt;0")</f>
        <v>0</v>
      </c>
      <c r="P27" s="140">
        <f>SUMIFS(Resumo_Trocas!$C:$C,Resumo_Trocas!$A:$A,$C27,Resumo_Trocas!$F:$F,P$18,Resumo_Trocas!$C:$C,"&gt;0")</f>
        <v>0</v>
      </c>
      <c r="Q27" s="141">
        <f>SUMIFS(Resumo_Trocas!$D:$D,Resumo_Trocas!$A:$A,$C27,Resumo_Trocas!$F:$F,P$18,Resumo_Trocas!$C:$C,"&gt;0")</f>
        <v>0</v>
      </c>
      <c r="R27" s="140">
        <f>SUMIFS(Resumo_Trocas!$C:$C,Resumo_Trocas!$A:$A,$C27,Resumo_Trocas!$F:$F,R$18,Resumo_Trocas!$C:$C,"&gt;0")</f>
        <v>0</v>
      </c>
      <c r="S27" s="141">
        <f>SUMIFS(Resumo_Trocas!$D:$D,Resumo_Trocas!$A:$A,$C27,Resumo_Trocas!$F:$F,R$18,Resumo_Trocas!$C:$C,"&gt;0")</f>
        <v>0</v>
      </c>
      <c r="T27" s="140">
        <f>SUMIFS(Resumo_Trocas!$C:$C,Resumo_Trocas!$A:$A,$C27,Resumo_Trocas!$F:$F,T$18,Resumo_Trocas!$C:$C,"&gt;0")</f>
        <v>0</v>
      </c>
      <c r="U27" s="141">
        <f>SUMIFS(Resumo_Trocas!$D:$D,Resumo_Trocas!$A:$A,$C27,Resumo_Trocas!$F:$F,T$18,Resumo_Trocas!$C:$C,"&gt;0")</f>
        <v>0</v>
      </c>
      <c r="V27" s="140">
        <f>SUMIFS(Resumo_Trocas!$C:$C,Resumo_Trocas!$A:$A,$C27,Resumo_Trocas!$F:$F,V$18,Resumo_Trocas!$C:$C,"&gt;0")</f>
        <v>0</v>
      </c>
      <c r="W27" s="141">
        <f>SUMIFS(Resumo_Trocas!$D:$D,Resumo_Trocas!$A:$A,$C27,Resumo_Trocas!$F:$F,V$18,Resumo_Trocas!$C:$C,"&gt;0")</f>
        <v>0</v>
      </c>
      <c r="X27" s="140">
        <f>SUMIFS(Resumo_Trocas!$C:$C,Resumo_Trocas!$A:$A,$C27,Resumo_Trocas!$F:$F,X$18,Resumo_Trocas!$C:$C,"&gt;0")</f>
        <v>0</v>
      </c>
      <c r="Y27" s="141">
        <f>SUMIFS(Resumo_Trocas!$D:$D,Resumo_Trocas!$A:$A,$C27,Resumo_Trocas!$F:$F,X$18,Resumo_Trocas!$C:$C,"&gt;0")</f>
        <v>0</v>
      </c>
      <c r="Z27" s="140">
        <f>SUMIFS(Resumo_Trocas!$C:$C,Resumo_Trocas!$A:$A,$C27,Resumo_Trocas!$F:$F,Z$18,Resumo_Trocas!$C:$C,"&gt;0")</f>
        <v>2</v>
      </c>
      <c r="AA27" s="141">
        <f>SUMIFS(Resumo_Trocas!$D:$D,Resumo_Trocas!$A:$A,$C27,Resumo_Trocas!$F:$F,Z$18,Resumo_Trocas!$C:$C,"&gt;0")</f>
        <v>3</v>
      </c>
      <c r="AB27" s="140">
        <f>SUMIFS(Resumo_Trocas!$C:$C,Resumo_Trocas!$A:$A,$C27,Resumo_Trocas!$F:$F,AB$18,Resumo_Trocas!$C:$C,"&gt;0")</f>
        <v>1</v>
      </c>
      <c r="AC27" s="141">
        <f>SUMIFS(Resumo_Trocas!$D:$D,Resumo_Trocas!$A:$A,$C27,Resumo_Trocas!$F:$F,AB$18,Resumo_Trocas!$C:$C,"&gt;0")</f>
        <v>3</v>
      </c>
      <c r="AD27" s="140">
        <f>SUMIFS(Resumo_Trocas!$C:$C,Resumo_Trocas!$A:$A,$C27,Resumo_Trocas!$F:$F,AD$18,Resumo_Trocas!$C:$C,"&gt;0")</f>
        <v>1</v>
      </c>
      <c r="AE27" s="141">
        <f>SUMIFS(Resumo_Trocas!$D:$D,Resumo_Trocas!$A:$A,$C27,Resumo_Trocas!$F:$F,AD$18,Resumo_Trocas!$C:$C,"&gt;0")</f>
        <v>3</v>
      </c>
      <c r="AF27" s="140">
        <f>SUMIFS(Resumo_Trocas!$C:$C,Resumo_Trocas!$A:$A,$C27,Resumo_Trocas!$F:$F,AF$18,Resumo_Trocas!$C:$C,"&gt;0")</f>
        <v>0</v>
      </c>
      <c r="AG27" s="141">
        <f>SUMIFS(Resumo_Trocas!$D:$D,Resumo_Trocas!$A:$A,$C27,Resumo_Trocas!$F:$F,AF$18,Resumo_Trocas!$C:$C,"&gt;0")</f>
        <v>0</v>
      </c>
      <c r="AH27" s="140">
        <f>SUMIFS(Resumo_Trocas!$C:$C,Resumo_Trocas!$A:$A,$C27,Resumo_Trocas!$F:$F,AH$18,Resumo_Trocas!$C:$C,"&gt;0")</f>
        <v>1</v>
      </c>
      <c r="AI27" s="141">
        <f>SUMIFS(Resumo_Trocas!$D:$D,Resumo_Trocas!$A:$A,$C27,Resumo_Trocas!$F:$F,AH$18,Resumo_Trocas!$C:$C,"&gt;0")</f>
        <v>3</v>
      </c>
      <c r="AJ27" s="140">
        <f>SUMIFS(Resumo_Trocas!$C:$C,Resumo_Trocas!$A:$A,$C27,Resumo_Trocas!$F:$F,AJ$18,Resumo_Trocas!$C:$C,"&gt;0")</f>
        <v>2</v>
      </c>
      <c r="AK27" s="141">
        <f>SUMIFS(Resumo_Trocas!$D:$D,Resumo_Trocas!$A:$A,$C27,Resumo_Trocas!$F:$F,AJ$18,Resumo_Trocas!$C:$C,"&gt;0")</f>
        <v>6</v>
      </c>
      <c r="AL27" s="140">
        <f>SUMIFS(Resumo_Trocas!$C:$C,Resumo_Trocas!$A:$A,$C27,Resumo_Trocas!$F:$F,AL$18,Resumo_Trocas!$C:$C,"&gt;0")</f>
        <v>2</v>
      </c>
      <c r="AM27" s="141">
        <f>SUMIFS(Resumo_Trocas!$D:$D,Resumo_Trocas!$A:$A,$C27,Resumo_Trocas!$F:$F,AL$18,Resumo_Trocas!$C:$C,"&gt;0")</f>
        <v>4</v>
      </c>
      <c r="AN27" s="140">
        <f>SUMIFS(Resumo_Trocas!$C:$C,Resumo_Trocas!$A:$A,$C27,Resumo_Trocas!$F:$F,AN$18,Resumo_Trocas!$C:$C,"&gt;0")</f>
        <v>0</v>
      </c>
      <c r="AO27" s="141">
        <f>SUMIFS(Resumo_Trocas!$D:$D,Resumo_Trocas!$A:$A,$C27,Resumo_Trocas!$F:$F,AN$18,Resumo_Trocas!$C:$C,"&gt;0")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47" t="s">
        <v>365</v>
      </c>
      <c r="D28" s="140">
        <f>SUMIFS(Resumo_Trocas!$C:$C,Resumo_Trocas!$A:$A,$C28,Resumo_Trocas!$F:$F,D$18,Resumo_Trocas!$C:$C,"&gt;0")</f>
        <v>0</v>
      </c>
      <c r="E28" s="141">
        <f>SUMIFS(Resumo_Trocas!$D:$D,Resumo_Trocas!$A:$A,$C28,Resumo_Trocas!$F:$F,D$18,Resumo_Trocas!$C:$C,"&gt;0")</f>
        <v>0</v>
      </c>
      <c r="F28" s="140">
        <f>SUMIFS(Resumo_Trocas!$C:$C,Resumo_Trocas!$A:$A,$C28,Resumo_Trocas!$F:$F,F$18,Resumo_Trocas!$C:$C,"&gt;0")</f>
        <v>0</v>
      </c>
      <c r="G28" s="141">
        <f>SUMIFS(Resumo_Trocas!$D:$D,Resumo_Trocas!$A:$A,$C28,Resumo_Trocas!$F:$F,F$18,Resumo_Trocas!$C:$C,"&gt;0")</f>
        <v>0</v>
      </c>
      <c r="H28" s="140">
        <f>SUMIFS(Resumo_Trocas!$C:$C,Resumo_Trocas!$A:$A,$C28,Resumo_Trocas!$F:$F,H$18,Resumo_Trocas!$C:$C,"&gt;0")</f>
        <v>1</v>
      </c>
      <c r="I28" s="141">
        <f>SUMIFS(Resumo_Trocas!$D:$D,Resumo_Trocas!$A:$A,$C28,Resumo_Trocas!$F:$F,H$18,Resumo_Trocas!$C:$C,"&gt;0")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SUMIFS(Resumo_Trocas!$D:$D,Resumo_Trocas!$A:$A,$C28,Resumo_Trocas!$F:$F,J$18,Resumo_Trocas!$C:$C,"&gt;0")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SUMIFS(Resumo_Trocas!$D:$D,Resumo_Trocas!$A:$A,$C28,Resumo_Trocas!$F:$F,L$18,Resumo_Trocas!$C:$C,"&gt;0")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SUMIFS(Resumo_Trocas!$D:$D,Resumo_Trocas!$A:$A,$C28,Resumo_Trocas!$F:$F,N$18,Resumo_Trocas!$C:$C,"&gt;0")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SUMIFS(Resumo_Trocas!$D:$D,Resumo_Trocas!$A:$A,$C28,Resumo_Trocas!$F:$F,P$18,Resumo_Trocas!$C:$C,"&gt;0")</f>
        <v>0</v>
      </c>
      <c r="R28" s="140">
        <f>SUMIFS(Resumo_Trocas!$C:$C,Resumo_Trocas!$A:$A,$C28,Resumo_Trocas!$F:$F,R$18,Resumo_Trocas!$C:$C,"&gt;0")</f>
        <v>0</v>
      </c>
      <c r="S28" s="141">
        <f>SUMIFS(Resumo_Trocas!$D:$D,Resumo_Trocas!$A:$A,$C28,Resumo_Trocas!$F:$F,R$18,Resumo_Trocas!$C:$C,"&gt;0")</f>
        <v>0</v>
      </c>
      <c r="T28" s="140">
        <f>SUMIFS(Resumo_Trocas!$C:$C,Resumo_Trocas!$A:$A,$C28,Resumo_Trocas!$F:$F,T$18,Resumo_Trocas!$C:$C,"&gt;0")</f>
        <v>0</v>
      </c>
      <c r="U28" s="141">
        <f>SUMIFS(Resumo_Trocas!$D:$D,Resumo_Trocas!$A:$A,$C28,Resumo_Trocas!$F:$F,T$18,Resumo_Trocas!$C:$C,"&gt;0")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SUMIFS(Resumo_Trocas!$D:$D,Resumo_Trocas!$A:$A,$C28,Resumo_Trocas!$F:$F,V$18,Resumo_Trocas!$C:$C,"&gt;0")</f>
        <v>0</v>
      </c>
      <c r="X28" s="140">
        <f>SUMIFS(Resumo_Trocas!$C:$C,Resumo_Trocas!$A:$A,$C28,Resumo_Trocas!$F:$F,X$18,Resumo_Trocas!$C:$C,"&gt;0")</f>
        <v>0</v>
      </c>
      <c r="Y28" s="141">
        <f>SUMIFS(Resumo_Trocas!$D:$D,Resumo_Trocas!$A:$A,$C28,Resumo_Trocas!$F:$F,X$18,Resumo_Trocas!$C:$C,"&gt;0")</f>
        <v>0</v>
      </c>
      <c r="Z28" s="140">
        <f>SUMIFS(Resumo_Trocas!$C:$C,Resumo_Trocas!$A:$A,$C28,Resumo_Trocas!$F:$F,Z$18,Resumo_Trocas!$C:$C,"&gt;0")</f>
        <v>0</v>
      </c>
      <c r="AA28" s="141">
        <f>SUMIFS(Resumo_Trocas!$D:$D,Resumo_Trocas!$A:$A,$C28,Resumo_Trocas!$F:$F,Z$18,Resumo_Trocas!$C:$C,"&gt;0")</f>
        <v>0</v>
      </c>
      <c r="AB28" s="140">
        <f>SUMIFS(Resumo_Trocas!$C:$C,Resumo_Trocas!$A:$A,$C28,Resumo_Trocas!$F:$F,AB$18,Resumo_Trocas!$C:$C,"&gt;0")</f>
        <v>0</v>
      </c>
      <c r="AC28" s="141">
        <f>SUMIFS(Resumo_Trocas!$D:$D,Resumo_Trocas!$A:$A,$C28,Resumo_Trocas!$F:$F,AB$18,Resumo_Trocas!$C:$C,"&gt;0")</f>
        <v>0</v>
      </c>
      <c r="AD28" s="140">
        <f>SUMIFS(Resumo_Trocas!$C:$C,Resumo_Trocas!$A:$A,$C28,Resumo_Trocas!$F:$F,AD$18,Resumo_Trocas!$C:$C,"&gt;0")</f>
        <v>0</v>
      </c>
      <c r="AE28" s="141">
        <f>SUMIFS(Resumo_Trocas!$D:$D,Resumo_Trocas!$A:$A,$C28,Resumo_Trocas!$F:$F,AD$18,Resumo_Trocas!$C:$C,"&gt;0")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SUMIFS(Resumo_Trocas!$D:$D,Resumo_Trocas!$A:$A,$C28,Resumo_Trocas!$F:$F,AF$18,Resumo_Trocas!$C:$C,"&gt;0")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SUMIFS(Resumo_Trocas!$D:$D,Resumo_Trocas!$A:$A,$C28,Resumo_Trocas!$F:$F,AH$18,Resumo_Trocas!$C:$C,"&gt;0")</f>
        <v>0</v>
      </c>
      <c r="AJ28" s="140">
        <f>SUMIFS(Resumo_Trocas!$C:$C,Resumo_Trocas!$A:$A,$C28,Resumo_Trocas!$F:$F,AJ$18,Resumo_Trocas!$C:$C,"&gt;0")</f>
        <v>2</v>
      </c>
      <c r="AK28" s="141">
        <f>SUMIFS(Resumo_Trocas!$D:$D,Resumo_Trocas!$A:$A,$C28,Resumo_Trocas!$F:$F,AJ$18,Resumo_Trocas!$C:$C,"&gt;0")</f>
        <v>1</v>
      </c>
      <c r="AL28" s="140">
        <f>SUMIFS(Resumo_Trocas!$C:$C,Resumo_Trocas!$A:$A,$C28,Resumo_Trocas!$F:$F,AL$18,Resumo_Trocas!$C:$C,"&gt;0")</f>
        <v>0</v>
      </c>
      <c r="AM28" s="141">
        <f>SUMIFS(Resumo_Trocas!$D:$D,Resumo_Trocas!$A:$A,$C28,Resumo_Trocas!$F:$F,AL$18,Resumo_Trocas!$C:$C,"&gt;0")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SUMIFS(Resumo_Trocas!$D:$D,Resumo_Trocas!$A:$A,$C28,Resumo_Trocas!$F:$F,AN$18,Resumo_Trocas!$C:$C,"&gt;0")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47" t="s">
        <v>366</v>
      </c>
      <c r="D29" s="140">
        <f>SUMIFS(Resumo_Trocas!$C:$C,Resumo_Trocas!$A:$A,$C29,Resumo_Trocas!$F:$F,D$18,Resumo_Trocas!$C:$C,"&gt;0")</f>
        <v>0</v>
      </c>
      <c r="E29" s="141">
        <f>SUMIFS(Resumo_Trocas!$D:$D,Resumo_Trocas!$A:$A,$C29,Resumo_Trocas!$F:$F,D$18,Resumo_Trocas!$C:$C,"&gt;0")</f>
        <v>0</v>
      </c>
      <c r="F29" s="140">
        <f>SUMIFS(Resumo_Trocas!$C:$C,Resumo_Trocas!$A:$A,$C29,Resumo_Trocas!$F:$F,F$18,Resumo_Trocas!$C:$C,"&gt;0")</f>
        <v>0</v>
      </c>
      <c r="G29" s="141">
        <f>SUMIFS(Resumo_Trocas!$D:$D,Resumo_Trocas!$A:$A,$C29,Resumo_Trocas!$F:$F,F$18,Resumo_Trocas!$C:$C,"&gt;0")</f>
        <v>0</v>
      </c>
      <c r="H29" s="140">
        <f>SUMIFS(Resumo_Trocas!$C:$C,Resumo_Trocas!$A:$A,$C29,Resumo_Trocas!$F:$F,H$18,Resumo_Trocas!$C:$C,"&gt;0")</f>
        <v>0</v>
      </c>
      <c r="I29" s="141">
        <f>SUMIFS(Resumo_Trocas!$D:$D,Resumo_Trocas!$A:$A,$C29,Resumo_Trocas!$F:$F,H$18,Resumo_Trocas!$C:$C,"&gt;0")</f>
        <v>0</v>
      </c>
      <c r="J29" s="140">
        <f>SUMIFS(Resumo_Trocas!$C:$C,Resumo_Trocas!$A:$A,$C29,Resumo_Trocas!$F:$F,J$18,Resumo_Trocas!$C:$C,"&gt;0")</f>
        <v>0</v>
      </c>
      <c r="K29" s="141">
        <f>SUMIFS(Resumo_Trocas!$D:$D,Resumo_Trocas!$A:$A,$C29,Resumo_Trocas!$F:$F,J$18,Resumo_Trocas!$C:$C,"&gt;0")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SUMIFS(Resumo_Trocas!$D:$D,Resumo_Trocas!$A:$A,$C29,Resumo_Trocas!$F:$F,L$18,Resumo_Trocas!$C:$C,"&gt;0")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SUMIFS(Resumo_Trocas!$D:$D,Resumo_Trocas!$A:$A,$C29,Resumo_Trocas!$F:$F,N$18,Resumo_Trocas!$C:$C,"&gt;0")</f>
        <v>0</v>
      </c>
      <c r="P29" s="140">
        <f>SUMIFS(Resumo_Trocas!$C:$C,Resumo_Trocas!$A:$A,$C29,Resumo_Trocas!$F:$F,P$18,Resumo_Trocas!$C:$C,"&gt;0")</f>
        <v>0</v>
      </c>
      <c r="Q29" s="141">
        <f>SUMIFS(Resumo_Trocas!$D:$D,Resumo_Trocas!$A:$A,$C29,Resumo_Trocas!$F:$F,P$18,Resumo_Trocas!$C:$C,"&gt;0")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SUMIFS(Resumo_Trocas!$D:$D,Resumo_Trocas!$A:$A,$C29,Resumo_Trocas!$F:$F,R$18,Resumo_Trocas!$C:$C,"&gt;0")</f>
        <v>0</v>
      </c>
      <c r="T29" s="140">
        <f>SUMIFS(Resumo_Trocas!$C:$C,Resumo_Trocas!$A:$A,$C29,Resumo_Trocas!$F:$F,T$18,Resumo_Trocas!$C:$C,"&gt;0")</f>
        <v>0</v>
      </c>
      <c r="U29" s="141">
        <f>SUMIFS(Resumo_Trocas!$D:$D,Resumo_Trocas!$A:$A,$C29,Resumo_Trocas!$F:$F,T$18,Resumo_Trocas!$C:$C,"&gt;0")</f>
        <v>0</v>
      </c>
      <c r="V29" s="140">
        <f>SUMIFS(Resumo_Trocas!$C:$C,Resumo_Trocas!$A:$A,$C29,Resumo_Trocas!$F:$F,V$18,Resumo_Trocas!$C:$C,"&gt;0")</f>
        <v>0</v>
      </c>
      <c r="W29" s="141">
        <f>SUMIFS(Resumo_Trocas!$D:$D,Resumo_Trocas!$A:$A,$C29,Resumo_Trocas!$F:$F,V$18,Resumo_Trocas!$C:$C,"&gt;0")</f>
        <v>0</v>
      </c>
      <c r="X29" s="140">
        <f>SUMIFS(Resumo_Trocas!$C:$C,Resumo_Trocas!$A:$A,$C29,Resumo_Trocas!$F:$F,X$18,Resumo_Trocas!$C:$C,"&gt;0")</f>
        <v>0</v>
      </c>
      <c r="Y29" s="141">
        <f>SUMIFS(Resumo_Trocas!$D:$D,Resumo_Trocas!$A:$A,$C29,Resumo_Trocas!$F:$F,X$18,Resumo_Trocas!$C:$C,"&gt;0")</f>
        <v>0</v>
      </c>
      <c r="Z29" s="140">
        <f>SUMIFS(Resumo_Trocas!$C:$C,Resumo_Trocas!$A:$A,$C29,Resumo_Trocas!$F:$F,Z$18,Resumo_Trocas!$C:$C,"&gt;0")</f>
        <v>1</v>
      </c>
      <c r="AA29" s="141">
        <f>SUMIFS(Resumo_Trocas!$D:$D,Resumo_Trocas!$A:$A,$C29,Resumo_Trocas!$F:$F,Z$18,Resumo_Trocas!$C:$C,"&gt;0")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SUMIFS(Resumo_Trocas!$D:$D,Resumo_Trocas!$A:$A,$C29,Resumo_Trocas!$F:$F,AB$18,Resumo_Trocas!$C:$C,"&gt;0")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SUMIFS(Resumo_Trocas!$D:$D,Resumo_Trocas!$A:$A,$C29,Resumo_Trocas!$F:$F,AD$18,Resumo_Trocas!$C:$C,"&gt;0")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SUMIFS(Resumo_Trocas!$D:$D,Resumo_Trocas!$A:$A,$C29,Resumo_Trocas!$F:$F,AF$18,Resumo_Trocas!$C:$C,"&gt;0")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SUMIFS(Resumo_Trocas!$D:$D,Resumo_Trocas!$A:$A,$C29,Resumo_Trocas!$F:$F,AH$18,Resumo_Trocas!$C:$C,"&gt;0")</f>
        <v>0</v>
      </c>
      <c r="AJ29" s="140">
        <f>SUMIFS(Resumo_Trocas!$C:$C,Resumo_Trocas!$A:$A,$C29,Resumo_Trocas!$F:$F,AJ$18,Resumo_Trocas!$C:$C,"&gt;0")</f>
        <v>0</v>
      </c>
      <c r="AK29" s="141">
        <f>SUMIFS(Resumo_Trocas!$D:$D,Resumo_Trocas!$A:$A,$C29,Resumo_Trocas!$F:$F,AJ$18,Resumo_Trocas!$C:$C,"&gt;0")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SUMIFS(Resumo_Trocas!$D:$D,Resumo_Trocas!$A:$A,$C29,Resumo_Trocas!$F:$F,AL$18,Resumo_Trocas!$C:$C,"&gt;0")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SUMIFS(Resumo_Trocas!$D:$D,Resumo_Trocas!$A:$A,$C29,Resumo_Trocas!$F:$F,AN$18,Resumo_Trocas!$C:$C,"&gt;0")</f>
        <v>0</v>
      </c>
      <c r="AP29" s="75"/>
      <c r="AQ29" s="75"/>
    </row>
    <row r="30" spans="2:43" ht="15" customHeight="1" outlineLevel="1" thickBot="1" x14ac:dyDescent="0.4">
      <c r="B30" s="76"/>
      <c r="C30" s="147" t="s">
        <v>368</v>
      </c>
      <c r="D30" s="140">
        <f>SUMIFS(Resumo_Trocas!$C:$C,Resumo_Trocas!$A:$A,$C30,Resumo_Trocas!$F:$F,D$18,Resumo_Trocas!$C:$C,"&gt;0")</f>
        <v>0</v>
      </c>
      <c r="E30" s="141">
        <f>SUMIFS(Resumo_Trocas!$D:$D,Resumo_Trocas!$A:$A,$C30,Resumo_Trocas!$F:$F,D$18,Resumo_Trocas!$C:$C,"&gt;0")</f>
        <v>0</v>
      </c>
      <c r="F30" s="140">
        <f>SUMIFS(Resumo_Trocas!$C:$C,Resumo_Trocas!$A:$A,$C30,Resumo_Trocas!$F:$F,F$18,Resumo_Trocas!$C:$C,"&gt;0")</f>
        <v>0</v>
      </c>
      <c r="G30" s="141">
        <f>SUMIFS(Resumo_Trocas!$D:$D,Resumo_Trocas!$A:$A,$C30,Resumo_Trocas!$F:$F,F$18,Resumo_Trocas!$C:$C,"&gt;0")</f>
        <v>0</v>
      </c>
      <c r="H30" s="140">
        <f>SUMIFS(Resumo_Trocas!$C:$C,Resumo_Trocas!$A:$A,$C30,Resumo_Trocas!$F:$F,H$18,Resumo_Trocas!$C:$C,"&gt;0")</f>
        <v>0</v>
      </c>
      <c r="I30" s="141">
        <f>SUMIFS(Resumo_Trocas!$D:$D,Resumo_Trocas!$A:$A,$C30,Resumo_Trocas!$F:$F,H$18,Resumo_Trocas!$C:$C,"&gt;0")</f>
        <v>0</v>
      </c>
      <c r="J30" s="140">
        <f>SUMIFS(Resumo_Trocas!$C:$C,Resumo_Trocas!$A:$A,$C30,Resumo_Trocas!$F:$F,J$18,Resumo_Trocas!$C:$C,"&gt;0")</f>
        <v>0</v>
      </c>
      <c r="K30" s="141">
        <f>SUMIFS(Resumo_Trocas!$D:$D,Resumo_Trocas!$A:$A,$C30,Resumo_Trocas!$F:$F,J$18,Resumo_Trocas!$C:$C,"&gt;0")</f>
        <v>0</v>
      </c>
      <c r="L30" s="140">
        <f>SUMIFS(Resumo_Trocas!$C:$C,Resumo_Trocas!$A:$A,$C30,Resumo_Trocas!$F:$F,L$18,Resumo_Trocas!$C:$C,"&gt;0")</f>
        <v>0</v>
      </c>
      <c r="M30" s="141">
        <f>SUMIFS(Resumo_Trocas!$D:$D,Resumo_Trocas!$A:$A,$C30,Resumo_Trocas!$F:$F,L$18,Resumo_Trocas!$C:$C,"&gt;0")</f>
        <v>0</v>
      </c>
      <c r="N30" s="140">
        <f>SUMIFS(Resumo_Trocas!$C:$C,Resumo_Trocas!$A:$A,$C30,Resumo_Trocas!$F:$F,N$18,Resumo_Trocas!$C:$C,"&gt;0")</f>
        <v>0</v>
      </c>
      <c r="O30" s="141">
        <f>SUMIFS(Resumo_Trocas!$D:$D,Resumo_Trocas!$A:$A,$C30,Resumo_Trocas!$F:$F,N$18,Resumo_Trocas!$C:$C,"&gt;0")</f>
        <v>0</v>
      </c>
      <c r="P30" s="140">
        <f>SUMIFS(Resumo_Trocas!$C:$C,Resumo_Trocas!$A:$A,$C30,Resumo_Trocas!$F:$F,P$18,Resumo_Trocas!$C:$C,"&gt;0")</f>
        <v>0</v>
      </c>
      <c r="Q30" s="141">
        <f>SUMIFS(Resumo_Trocas!$D:$D,Resumo_Trocas!$A:$A,$C30,Resumo_Trocas!$F:$F,P$18,Resumo_Trocas!$C:$C,"&gt;0")</f>
        <v>0</v>
      </c>
      <c r="R30" s="140">
        <f>SUMIFS(Resumo_Trocas!$C:$C,Resumo_Trocas!$A:$A,$C30,Resumo_Trocas!$F:$F,R$18,Resumo_Trocas!$C:$C,"&gt;0")</f>
        <v>0</v>
      </c>
      <c r="S30" s="141">
        <f>SUMIFS(Resumo_Trocas!$D:$D,Resumo_Trocas!$A:$A,$C30,Resumo_Trocas!$F:$F,R$18,Resumo_Trocas!$C:$C,"&gt;0")</f>
        <v>0</v>
      </c>
      <c r="T30" s="140">
        <f>SUMIFS(Resumo_Trocas!$C:$C,Resumo_Trocas!$A:$A,$C30,Resumo_Trocas!$F:$F,T$18,Resumo_Trocas!$C:$C,"&gt;0")</f>
        <v>0</v>
      </c>
      <c r="U30" s="141">
        <f>SUMIFS(Resumo_Trocas!$D:$D,Resumo_Trocas!$A:$A,$C30,Resumo_Trocas!$F:$F,T$18,Resumo_Trocas!$C:$C,"&gt;0")</f>
        <v>0</v>
      </c>
      <c r="V30" s="140">
        <f>SUMIFS(Resumo_Trocas!$C:$C,Resumo_Trocas!$A:$A,$C30,Resumo_Trocas!$F:$F,V$18,Resumo_Trocas!$C:$C,"&gt;0")</f>
        <v>0</v>
      </c>
      <c r="W30" s="141">
        <f>SUMIFS(Resumo_Trocas!$D:$D,Resumo_Trocas!$A:$A,$C30,Resumo_Trocas!$F:$F,V$18,Resumo_Trocas!$C:$C,"&gt;0")</f>
        <v>0</v>
      </c>
      <c r="X30" s="140">
        <f>SUMIFS(Resumo_Trocas!$C:$C,Resumo_Trocas!$A:$A,$C30,Resumo_Trocas!$F:$F,X$18,Resumo_Trocas!$C:$C,"&gt;0")</f>
        <v>0</v>
      </c>
      <c r="Y30" s="141">
        <f>SUMIFS(Resumo_Trocas!$D:$D,Resumo_Trocas!$A:$A,$C30,Resumo_Trocas!$F:$F,X$18,Resumo_Trocas!$C:$C,"&gt;0")</f>
        <v>0</v>
      </c>
      <c r="Z30" s="140">
        <f>SUMIFS(Resumo_Trocas!$C:$C,Resumo_Trocas!$A:$A,$C30,Resumo_Trocas!$F:$F,Z$18,Resumo_Trocas!$C:$C,"&gt;0")</f>
        <v>0</v>
      </c>
      <c r="AA30" s="141">
        <f>SUMIFS(Resumo_Trocas!$D:$D,Resumo_Trocas!$A:$A,$C30,Resumo_Trocas!$F:$F,Z$18,Resumo_Trocas!$C:$C,"&gt;0")</f>
        <v>0</v>
      </c>
      <c r="AB30" s="140">
        <f>SUMIFS(Resumo_Trocas!$C:$C,Resumo_Trocas!$A:$A,$C30,Resumo_Trocas!$F:$F,AB$18,Resumo_Trocas!$C:$C,"&gt;0")</f>
        <v>1</v>
      </c>
      <c r="AC30" s="141">
        <f>SUMIFS(Resumo_Trocas!$D:$D,Resumo_Trocas!$A:$A,$C30,Resumo_Trocas!$F:$F,AB$18,Resumo_Trocas!$C:$C,"&gt;0")</f>
        <v>0</v>
      </c>
      <c r="AD30" s="140">
        <f>SUMIFS(Resumo_Trocas!$C:$C,Resumo_Trocas!$A:$A,$C30,Resumo_Trocas!$F:$F,AD$18,Resumo_Trocas!$C:$C,"&gt;0")</f>
        <v>0</v>
      </c>
      <c r="AE30" s="141">
        <f>SUMIFS(Resumo_Trocas!$D:$D,Resumo_Trocas!$A:$A,$C30,Resumo_Trocas!$F:$F,AD$18,Resumo_Trocas!$C:$C,"&gt;0")</f>
        <v>0</v>
      </c>
      <c r="AF30" s="140">
        <f>SUMIFS(Resumo_Trocas!$C:$C,Resumo_Trocas!$A:$A,$C30,Resumo_Trocas!$F:$F,AF$18,Resumo_Trocas!$C:$C,"&gt;0")</f>
        <v>2</v>
      </c>
      <c r="AG30" s="141">
        <f>SUMIFS(Resumo_Trocas!$D:$D,Resumo_Trocas!$A:$A,$C30,Resumo_Trocas!$F:$F,AF$18,Resumo_Trocas!$C:$C,"&gt;0")</f>
        <v>2</v>
      </c>
      <c r="AH30" s="140">
        <f>SUMIFS(Resumo_Trocas!$C:$C,Resumo_Trocas!$A:$A,$C30,Resumo_Trocas!$F:$F,AH$18,Resumo_Trocas!$C:$C,"&gt;0")</f>
        <v>1</v>
      </c>
      <c r="AI30" s="141">
        <f>SUMIFS(Resumo_Trocas!$D:$D,Resumo_Trocas!$A:$A,$C30,Resumo_Trocas!$F:$F,AH$18,Resumo_Trocas!$C:$C,"&gt;0")</f>
        <v>1</v>
      </c>
      <c r="AJ30" s="140">
        <f>SUMIFS(Resumo_Trocas!$C:$C,Resumo_Trocas!$A:$A,$C30,Resumo_Trocas!$F:$F,AJ$18,Resumo_Trocas!$C:$C,"&gt;0")</f>
        <v>3</v>
      </c>
      <c r="AK30" s="141">
        <f>SUMIFS(Resumo_Trocas!$D:$D,Resumo_Trocas!$A:$A,$C30,Resumo_Trocas!$F:$F,AJ$18,Resumo_Trocas!$C:$C,"&gt;0")</f>
        <v>3</v>
      </c>
      <c r="AL30" s="140">
        <f>SUMIFS(Resumo_Trocas!$C:$C,Resumo_Trocas!$A:$A,$C30,Resumo_Trocas!$F:$F,AL$18,Resumo_Trocas!$C:$C,"&gt;0")</f>
        <v>0</v>
      </c>
      <c r="AM30" s="141">
        <f>SUMIFS(Resumo_Trocas!$D:$D,Resumo_Trocas!$A:$A,$C30,Resumo_Trocas!$F:$F,AL$18,Resumo_Trocas!$C:$C,"&gt;0")</f>
        <v>0</v>
      </c>
      <c r="AN30" s="140">
        <f>SUMIFS(Resumo_Trocas!$C:$C,Resumo_Trocas!$A:$A,$C30,Resumo_Trocas!$F:$F,AN$18,Resumo_Trocas!$C:$C,"&gt;0")</f>
        <v>0</v>
      </c>
      <c r="AO30" s="141">
        <f>SUMIFS(Resumo_Trocas!$D:$D,Resumo_Trocas!$A:$A,$C30,Resumo_Trocas!$F:$F,AN$18,Resumo_Trocas!$C:$C,"&gt;0")</f>
        <v>0</v>
      </c>
      <c r="AP30" s="75"/>
      <c r="AQ30" s="75"/>
    </row>
    <row r="31" spans="2:43" ht="15" customHeight="1" outlineLevel="1" thickBot="1" x14ac:dyDescent="0.4">
      <c r="B31" s="76"/>
      <c r="C31" s="147" t="s">
        <v>369</v>
      </c>
      <c r="D31" s="140">
        <f>SUMIFS(Resumo_Trocas!$C:$C,Resumo_Trocas!$A:$A,$C31,Resumo_Trocas!$F:$F,D$18,Resumo_Trocas!$C:$C,"&gt;0")</f>
        <v>4</v>
      </c>
      <c r="E31" s="141">
        <f>SUMIFS(Resumo_Trocas!$D:$D,Resumo_Trocas!$A:$A,$C31,Resumo_Trocas!$F:$F,D$18,Resumo_Trocas!$C:$C,"&gt;0")</f>
        <v>7</v>
      </c>
      <c r="F31" s="140">
        <f>SUMIFS(Resumo_Trocas!$C:$C,Resumo_Trocas!$A:$A,$C31,Resumo_Trocas!$F:$F,F$18,Resumo_Trocas!$C:$C,"&gt;0")</f>
        <v>5</v>
      </c>
      <c r="G31" s="141">
        <f>SUMIFS(Resumo_Trocas!$D:$D,Resumo_Trocas!$A:$A,$C31,Resumo_Trocas!$F:$F,F$18,Resumo_Trocas!$C:$C,"&gt;0")</f>
        <v>20</v>
      </c>
      <c r="H31" s="140">
        <f>SUMIFS(Resumo_Trocas!$C:$C,Resumo_Trocas!$A:$A,$C31,Resumo_Trocas!$F:$F,H$18,Resumo_Trocas!$C:$C,"&gt;0")</f>
        <v>2</v>
      </c>
      <c r="I31" s="141">
        <f>SUMIFS(Resumo_Trocas!$D:$D,Resumo_Trocas!$A:$A,$C31,Resumo_Trocas!$F:$F,H$18,Resumo_Trocas!$C:$C,"&gt;0")</f>
        <v>8</v>
      </c>
      <c r="J31" s="140">
        <f>SUMIFS(Resumo_Trocas!$C:$C,Resumo_Trocas!$A:$A,$C31,Resumo_Trocas!$F:$F,J$18,Resumo_Trocas!$C:$C,"&gt;0")</f>
        <v>2</v>
      </c>
      <c r="K31" s="141">
        <f>SUMIFS(Resumo_Trocas!$D:$D,Resumo_Trocas!$A:$A,$C31,Resumo_Trocas!$F:$F,J$18,Resumo_Trocas!$C:$C,"&gt;0")</f>
        <v>8</v>
      </c>
      <c r="L31" s="140">
        <f>SUMIFS(Resumo_Trocas!$C:$C,Resumo_Trocas!$A:$A,$C31,Resumo_Trocas!$F:$F,L$18,Resumo_Trocas!$C:$C,"&gt;0")</f>
        <v>1</v>
      </c>
      <c r="M31" s="141">
        <f>SUMIFS(Resumo_Trocas!$D:$D,Resumo_Trocas!$A:$A,$C31,Resumo_Trocas!$F:$F,L$18,Resumo_Trocas!$C:$C,"&gt;0")</f>
        <v>3</v>
      </c>
      <c r="N31" s="140">
        <f>SUMIFS(Resumo_Trocas!$C:$C,Resumo_Trocas!$A:$A,$C31,Resumo_Trocas!$F:$F,N$18,Resumo_Trocas!$C:$C,"&gt;0")</f>
        <v>0</v>
      </c>
      <c r="O31" s="141">
        <f>SUMIFS(Resumo_Trocas!$D:$D,Resumo_Trocas!$A:$A,$C31,Resumo_Trocas!$F:$F,N$18,Resumo_Trocas!$C:$C,"&gt;0")</f>
        <v>0</v>
      </c>
      <c r="P31" s="140">
        <f>SUMIFS(Resumo_Trocas!$C:$C,Resumo_Trocas!$A:$A,$C31,Resumo_Trocas!$F:$F,P$18,Resumo_Trocas!$C:$C,"&gt;0")</f>
        <v>1</v>
      </c>
      <c r="Q31" s="141">
        <f>SUMIFS(Resumo_Trocas!$D:$D,Resumo_Trocas!$A:$A,$C31,Resumo_Trocas!$F:$F,P$18,Resumo_Trocas!$C:$C,"&gt;0")</f>
        <v>3</v>
      </c>
      <c r="R31" s="140">
        <f>SUMIFS(Resumo_Trocas!$C:$C,Resumo_Trocas!$A:$A,$C31,Resumo_Trocas!$F:$F,R$18,Resumo_Trocas!$C:$C,"&gt;0")</f>
        <v>1</v>
      </c>
      <c r="S31" s="141">
        <f>SUMIFS(Resumo_Trocas!$D:$D,Resumo_Trocas!$A:$A,$C31,Resumo_Trocas!$F:$F,R$18,Resumo_Trocas!$C:$C,"&gt;0")</f>
        <v>3</v>
      </c>
      <c r="T31" s="140">
        <f>SUMIFS(Resumo_Trocas!$C:$C,Resumo_Trocas!$A:$A,$C31,Resumo_Trocas!$F:$F,T$18,Resumo_Trocas!$C:$C,"&gt;0")</f>
        <v>1</v>
      </c>
      <c r="U31" s="141">
        <f>SUMIFS(Resumo_Trocas!$D:$D,Resumo_Trocas!$A:$A,$C31,Resumo_Trocas!$F:$F,T$18,Resumo_Trocas!$C:$C,"&gt;0")</f>
        <v>3</v>
      </c>
      <c r="V31" s="140">
        <f>SUMIFS(Resumo_Trocas!$C:$C,Resumo_Trocas!$A:$A,$C31,Resumo_Trocas!$F:$F,V$18,Resumo_Trocas!$C:$C,"&gt;0")</f>
        <v>2</v>
      </c>
      <c r="W31" s="141">
        <f>SUMIFS(Resumo_Trocas!$D:$D,Resumo_Trocas!$A:$A,$C31,Resumo_Trocas!$F:$F,V$18,Resumo_Trocas!$C:$C,"&gt;0")</f>
        <v>12</v>
      </c>
      <c r="X31" s="140">
        <f>SUMIFS(Resumo_Trocas!$C:$C,Resumo_Trocas!$A:$A,$C31,Resumo_Trocas!$F:$F,X$18,Resumo_Trocas!$C:$C,"&gt;0")</f>
        <v>2</v>
      </c>
      <c r="Y31" s="141">
        <f>SUMIFS(Resumo_Trocas!$D:$D,Resumo_Trocas!$A:$A,$C31,Resumo_Trocas!$F:$F,X$18,Resumo_Trocas!$C:$C,"&gt;0")</f>
        <v>12</v>
      </c>
      <c r="Z31" s="140">
        <f>SUMIFS(Resumo_Trocas!$C:$C,Resumo_Trocas!$A:$A,$C31,Resumo_Trocas!$F:$F,Z$18,Resumo_Trocas!$C:$C,"&gt;0")</f>
        <v>1</v>
      </c>
      <c r="AA31" s="141">
        <f>SUMIFS(Resumo_Trocas!$D:$D,Resumo_Trocas!$A:$A,$C31,Resumo_Trocas!$F:$F,Z$18,Resumo_Trocas!$C:$C,"&gt;0")</f>
        <v>6</v>
      </c>
      <c r="AB31" s="140">
        <f>SUMIFS(Resumo_Trocas!$C:$C,Resumo_Trocas!$A:$A,$C31,Resumo_Trocas!$F:$F,AB$18,Resumo_Trocas!$C:$C,"&gt;0")</f>
        <v>0</v>
      </c>
      <c r="AC31" s="141">
        <f>SUMIFS(Resumo_Trocas!$D:$D,Resumo_Trocas!$A:$A,$C31,Resumo_Trocas!$F:$F,AB$18,Resumo_Trocas!$C:$C,"&gt;0")</f>
        <v>0</v>
      </c>
      <c r="AD31" s="140">
        <f>SUMIFS(Resumo_Trocas!$C:$C,Resumo_Trocas!$A:$A,$C31,Resumo_Trocas!$F:$F,AD$18,Resumo_Trocas!$C:$C,"&gt;0")</f>
        <v>0</v>
      </c>
      <c r="AE31" s="141">
        <f>SUMIFS(Resumo_Trocas!$D:$D,Resumo_Trocas!$A:$A,$C31,Resumo_Trocas!$F:$F,AD$18,Resumo_Trocas!$C:$C,"&gt;0")</f>
        <v>0</v>
      </c>
      <c r="AF31" s="140">
        <f>SUMIFS(Resumo_Trocas!$C:$C,Resumo_Trocas!$A:$A,$C31,Resumo_Trocas!$F:$F,AF$18,Resumo_Trocas!$C:$C,"&gt;0")</f>
        <v>0</v>
      </c>
      <c r="AG31" s="141">
        <f>SUMIFS(Resumo_Trocas!$D:$D,Resumo_Trocas!$A:$A,$C31,Resumo_Trocas!$F:$F,AF$18,Resumo_Trocas!$C:$C,"&gt;0")</f>
        <v>0</v>
      </c>
      <c r="AH31" s="140">
        <f>SUMIFS(Resumo_Trocas!$C:$C,Resumo_Trocas!$A:$A,$C31,Resumo_Trocas!$F:$F,AH$18,Resumo_Trocas!$C:$C,"&gt;0")</f>
        <v>1</v>
      </c>
      <c r="AI31" s="141">
        <f>SUMIFS(Resumo_Trocas!$D:$D,Resumo_Trocas!$A:$A,$C31,Resumo_Trocas!$F:$F,AH$18,Resumo_Trocas!$C:$C,"&gt;0")</f>
        <v>6</v>
      </c>
      <c r="AJ31" s="140">
        <f>SUMIFS(Resumo_Trocas!$C:$C,Resumo_Trocas!$A:$A,$C31,Resumo_Trocas!$F:$F,AJ$18,Resumo_Trocas!$C:$C,"&gt;0")</f>
        <v>0</v>
      </c>
      <c r="AK31" s="141">
        <f>SUMIFS(Resumo_Trocas!$D:$D,Resumo_Trocas!$A:$A,$C31,Resumo_Trocas!$F:$F,AJ$18,Resumo_Trocas!$C:$C,"&gt;0")</f>
        <v>0</v>
      </c>
      <c r="AL31" s="140">
        <f>SUMIFS(Resumo_Trocas!$C:$C,Resumo_Trocas!$A:$A,$C31,Resumo_Trocas!$F:$F,AL$18,Resumo_Trocas!$C:$C,"&gt;0")</f>
        <v>1</v>
      </c>
      <c r="AM31" s="141">
        <f>SUMIFS(Resumo_Trocas!$D:$D,Resumo_Trocas!$A:$A,$C31,Resumo_Trocas!$F:$F,AL$18,Resumo_Trocas!$C:$C,"&gt;0")</f>
        <v>6</v>
      </c>
      <c r="AN31" s="140">
        <f>SUMIFS(Resumo_Trocas!$C:$C,Resumo_Trocas!$A:$A,$C31,Resumo_Trocas!$F:$F,AN$18,Resumo_Trocas!$C:$C,"&gt;0")</f>
        <v>0</v>
      </c>
      <c r="AO31" s="141">
        <f>SUMIFS(Resumo_Trocas!$D:$D,Resumo_Trocas!$A:$A,$C31,Resumo_Trocas!$F:$F,AN$18,Resumo_Trocas!$C:$C,"&gt;0")</f>
        <v>0</v>
      </c>
      <c r="AP31" s="75"/>
      <c r="AQ31" s="75"/>
    </row>
    <row r="32" spans="2:43" ht="15" customHeight="1" outlineLevel="1" thickBot="1" x14ac:dyDescent="0.4">
      <c r="B32" s="76"/>
      <c r="C32" s="147" t="s">
        <v>373</v>
      </c>
      <c r="D32" s="140">
        <f>SUMIFS(Resumo_Trocas!$C:$C,Resumo_Trocas!$A:$A,$C32,Resumo_Trocas!$F:$F,D$18,Resumo_Trocas!$C:$C,"&gt;0")</f>
        <v>2</v>
      </c>
      <c r="E32" s="141">
        <f>SUMIFS(Resumo_Trocas!$D:$D,Resumo_Trocas!$A:$A,$C32,Resumo_Trocas!$F:$F,D$18,Resumo_Trocas!$C:$C,"&gt;0")</f>
        <v>2</v>
      </c>
      <c r="F32" s="140">
        <f>SUMIFS(Resumo_Trocas!$C:$C,Resumo_Trocas!$A:$A,$C32,Resumo_Trocas!$F:$F,F$18,Resumo_Trocas!$C:$C,"&gt;0")</f>
        <v>1</v>
      </c>
      <c r="G32" s="141">
        <f>SUMIFS(Resumo_Trocas!$D:$D,Resumo_Trocas!$A:$A,$C32,Resumo_Trocas!$F:$F,F$18,Resumo_Trocas!$C:$C,"&gt;0")</f>
        <v>1</v>
      </c>
      <c r="H32" s="140">
        <f>SUMIFS(Resumo_Trocas!$C:$C,Resumo_Trocas!$A:$A,$C32,Resumo_Trocas!$F:$F,H$18,Resumo_Trocas!$C:$C,"&gt;0")</f>
        <v>0</v>
      </c>
      <c r="I32" s="141">
        <f>SUMIFS(Resumo_Trocas!$D:$D,Resumo_Trocas!$A:$A,$C32,Resumo_Trocas!$F:$F,H$18,Resumo_Trocas!$C:$C,"&gt;0")</f>
        <v>0</v>
      </c>
      <c r="J32" s="140">
        <f>SUMIFS(Resumo_Trocas!$C:$C,Resumo_Trocas!$A:$A,$C32,Resumo_Trocas!$F:$F,J$18,Resumo_Trocas!$C:$C,"&gt;0")</f>
        <v>1</v>
      </c>
      <c r="K32" s="141">
        <f>SUMIFS(Resumo_Trocas!$D:$D,Resumo_Trocas!$A:$A,$C32,Resumo_Trocas!$F:$F,J$18,Resumo_Trocas!$C:$C,"&gt;0")</f>
        <v>1</v>
      </c>
      <c r="L32" s="140">
        <f>SUMIFS(Resumo_Trocas!$C:$C,Resumo_Trocas!$A:$A,$C32,Resumo_Trocas!$F:$F,L$18,Resumo_Trocas!$C:$C,"&gt;0")</f>
        <v>1</v>
      </c>
      <c r="M32" s="141">
        <f>SUMIFS(Resumo_Trocas!$D:$D,Resumo_Trocas!$A:$A,$C32,Resumo_Trocas!$F:$F,L$18,Resumo_Trocas!$C:$C,"&gt;0")</f>
        <v>1</v>
      </c>
      <c r="N32" s="140">
        <f>SUMIFS(Resumo_Trocas!$C:$C,Resumo_Trocas!$A:$A,$C32,Resumo_Trocas!$F:$F,N$18,Resumo_Trocas!$C:$C,"&gt;0")</f>
        <v>0</v>
      </c>
      <c r="O32" s="141">
        <f>SUMIFS(Resumo_Trocas!$D:$D,Resumo_Trocas!$A:$A,$C32,Resumo_Trocas!$F:$F,N$18,Resumo_Trocas!$C:$C,"&gt;0")</f>
        <v>0</v>
      </c>
      <c r="P32" s="140">
        <f>SUMIFS(Resumo_Trocas!$C:$C,Resumo_Trocas!$A:$A,$C32,Resumo_Trocas!$F:$F,P$18,Resumo_Trocas!$C:$C,"&gt;0")</f>
        <v>0</v>
      </c>
      <c r="Q32" s="141">
        <f>SUMIFS(Resumo_Trocas!$D:$D,Resumo_Trocas!$A:$A,$C32,Resumo_Trocas!$F:$F,P$18,Resumo_Trocas!$C:$C,"&gt;0")</f>
        <v>0</v>
      </c>
      <c r="R32" s="140">
        <f>SUMIFS(Resumo_Trocas!$C:$C,Resumo_Trocas!$A:$A,$C32,Resumo_Trocas!$F:$F,R$18,Resumo_Trocas!$C:$C,"&gt;0")</f>
        <v>0</v>
      </c>
      <c r="S32" s="141">
        <f>SUMIFS(Resumo_Trocas!$D:$D,Resumo_Trocas!$A:$A,$C32,Resumo_Trocas!$F:$F,R$18,Resumo_Trocas!$C:$C,"&gt;0")</f>
        <v>0</v>
      </c>
      <c r="T32" s="140">
        <f>SUMIFS(Resumo_Trocas!$C:$C,Resumo_Trocas!$A:$A,$C32,Resumo_Trocas!$F:$F,T$18,Resumo_Trocas!$C:$C,"&gt;0")</f>
        <v>1</v>
      </c>
      <c r="U32" s="141">
        <f>SUMIFS(Resumo_Trocas!$D:$D,Resumo_Trocas!$A:$A,$C32,Resumo_Trocas!$F:$F,T$18,Resumo_Trocas!$C:$C,"&gt;0")</f>
        <v>1</v>
      </c>
      <c r="V32" s="140">
        <f>SUMIFS(Resumo_Trocas!$C:$C,Resumo_Trocas!$A:$A,$C32,Resumo_Trocas!$F:$F,V$18,Resumo_Trocas!$C:$C,"&gt;0")</f>
        <v>0</v>
      </c>
      <c r="W32" s="141">
        <f>SUMIFS(Resumo_Trocas!$D:$D,Resumo_Trocas!$A:$A,$C32,Resumo_Trocas!$F:$F,V$18,Resumo_Trocas!$C:$C,"&gt;0")</f>
        <v>0</v>
      </c>
      <c r="X32" s="140">
        <f>SUMIFS(Resumo_Trocas!$C:$C,Resumo_Trocas!$A:$A,$C32,Resumo_Trocas!$F:$F,X$18,Resumo_Trocas!$C:$C,"&gt;0")</f>
        <v>1</v>
      </c>
      <c r="Y32" s="141">
        <f>SUMIFS(Resumo_Trocas!$D:$D,Resumo_Trocas!$A:$A,$C32,Resumo_Trocas!$F:$F,X$18,Resumo_Trocas!$C:$C,"&gt;0")</f>
        <v>1</v>
      </c>
      <c r="Z32" s="140">
        <f>SUMIFS(Resumo_Trocas!$C:$C,Resumo_Trocas!$A:$A,$C32,Resumo_Trocas!$F:$F,Z$18,Resumo_Trocas!$C:$C,"&gt;0")</f>
        <v>1</v>
      </c>
      <c r="AA32" s="141">
        <f>SUMIFS(Resumo_Trocas!$D:$D,Resumo_Trocas!$A:$A,$C32,Resumo_Trocas!$F:$F,Z$18,Resumo_Trocas!$C:$C,"&gt;0")</f>
        <v>0</v>
      </c>
      <c r="AB32" s="140">
        <f>SUMIFS(Resumo_Trocas!$C:$C,Resumo_Trocas!$A:$A,$C32,Resumo_Trocas!$F:$F,AB$18,Resumo_Trocas!$C:$C,"&gt;0")</f>
        <v>1</v>
      </c>
      <c r="AC32" s="141">
        <f>SUMIFS(Resumo_Trocas!$D:$D,Resumo_Trocas!$A:$A,$C32,Resumo_Trocas!$F:$F,AB$18,Resumo_Trocas!$C:$C,"&gt;0")</f>
        <v>0</v>
      </c>
      <c r="AD32" s="140">
        <f>SUMIFS(Resumo_Trocas!$C:$C,Resumo_Trocas!$A:$A,$C32,Resumo_Trocas!$F:$F,AD$18,Resumo_Trocas!$C:$C,"&gt;0")</f>
        <v>1</v>
      </c>
      <c r="AE32" s="141">
        <f>SUMIFS(Resumo_Trocas!$D:$D,Resumo_Trocas!$A:$A,$C32,Resumo_Trocas!$F:$F,AD$18,Resumo_Trocas!$C:$C,"&gt;0")</f>
        <v>0</v>
      </c>
      <c r="AF32" s="140">
        <f>SUMIFS(Resumo_Trocas!$C:$C,Resumo_Trocas!$A:$A,$C32,Resumo_Trocas!$F:$F,AF$18,Resumo_Trocas!$C:$C,"&gt;0")</f>
        <v>2</v>
      </c>
      <c r="AG32" s="141">
        <f>SUMIFS(Resumo_Trocas!$D:$D,Resumo_Trocas!$A:$A,$C32,Resumo_Trocas!$F:$F,AF$18,Resumo_Trocas!$C:$C,"&gt;0")</f>
        <v>1</v>
      </c>
      <c r="AH32" s="140">
        <f>SUMIFS(Resumo_Trocas!$C:$C,Resumo_Trocas!$A:$A,$C32,Resumo_Trocas!$F:$F,AH$18,Resumo_Trocas!$C:$C,"&gt;0")</f>
        <v>3</v>
      </c>
      <c r="AI32" s="141">
        <f>SUMIFS(Resumo_Trocas!$D:$D,Resumo_Trocas!$A:$A,$C32,Resumo_Trocas!$F:$F,AH$18,Resumo_Trocas!$C:$C,"&gt;0")</f>
        <v>3</v>
      </c>
      <c r="AJ32" s="140">
        <f>SUMIFS(Resumo_Trocas!$C:$C,Resumo_Trocas!$A:$A,$C32,Resumo_Trocas!$F:$F,AJ$18,Resumo_Trocas!$C:$C,"&gt;0")</f>
        <v>3</v>
      </c>
      <c r="AK32" s="141">
        <f>SUMIFS(Resumo_Trocas!$D:$D,Resumo_Trocas!$A:$A,$C32,Resumo_Trocas!$F:$F,AJ$18,Resumo_Trocas!$C:$C,"&gt;0")</f>
        <v>6</v>
      </c>
      <c r="AL32" s="140">
        <f>SUMIFS(Resumo_Trocas!$C:$C,Resumo_Trocas!$A:$A,$C32,Resumo_Trocas!$F:$F,AL$18,Resumo_Trocas!$C:$C,"&gt;0")</f>
        <v>1</v>
      </c>
      <c r="AM32" s="141">
        <f>SUMIFS(Resumo_Trocas!$D:$D,Resumo_Trocas!$A:$A,$C32,Resumo_Trocas!$F:$F,AL$18,Resumo_Trocas!$C:$C,"&gt;0")</f>
        <v>1</v>
      </c>
      <c r="AN32" s="140">
        <f>SUMIFS(Resumo_Trocas!$C:$C,Resumo_Trocas!$A:$A,$C32,Resumo_Trocas!$F:$F,AN$18,Resumo_Trocas!$C:$C,"&gt;0")</f>
        <v>0</v>
      </c>
      <c r="AO32" s="141">
        <f>SUMIFS(Resumo_Trocas!$D:$D,Resumo_Trocas!$A:$A,$C32,Resumo_Trocas!$F:$F,AN$18,Resumo_Trocas!$C:$C,"&gt;0")</f>
        <v>0</v>
      </c>
      <c r="AP32" s="75"/>
      <c r="AQ32" s="75"/>
    </row>
    <row r="33" spans="2:43" ht="15" customHeight="1" outlineLevel="1" thickBot="1" x14ac:dyDescent="0.4">
      <c r="B33" s="76"/>
      <c r="C33" s="147" t="s">
        <v>375</v>
      </c>
      <c r="D33" s="140">
        <f>SUMIFS(Resumo_Trocas!$C:$C,Resumo_Trocas!$A:$A,$C33,Resumo_Trocas!$F:$F,D$18,Resumo_Trocas!$C:$C,"&gt;0")</f>
        <v>1</v>
      </c>
      <c r="E33" s="141">
        <f>SUMIFS(Resumo_Trocas!$D:$D,Resumo_Trocas!$A:$A,$C33,Resumo_Trocas!$F:$F,D$18,Resumo_Trocas!$C:$C,"&gt;0")</f>
        <v>0</v>
      </c>
      <c r="F33" s="140">
        <f>SUMIFS(Resumo_Trocas!$C:$C,Resumo_Trocas!$A:$A,$C33,Resumo_Trocas!$F:$F,F$18,Resumo_Trocas!$C:$C,"&gt;0")</f>
        <v>0</v>
      </c>
      <c r="G33" s="141">
        <f>SUMIFS(Resumo_Trocas!$D:$D,Resumo_Trocas!$A:$A,$C33,Resumo_Trocas!$F:$F,F$18,Resumo_Trocas!$C:$C,"&gt;0")</f>
        <v>0</v>
      </c>
      <c r="H33" s="140">
        <f>SUMIFS(Resumo_Trocas!$C:$C,Resumo_Trocas!$A:$A,$C33,Resumo_Trocas!$F:$F,H$18,Resumo_Trocas!$C:$C,"&gt;0")</f>
        <v>0</v>
      </c>
      <c r="I33" s="141">
        <f>SUMIFS(Resumo_Trocas!$D:$D,Resumo_Trocas!$A:$A,$C33,Resumo_Trocas!$F:$F,H$18,Resumo_Trocas!$C:$C,"&gt;0")</f>
        <v>0</v>
      </c>
      <c r="J33" s="140">
        <f>SUMIFS(Resumo_Trocas!$C:$C,Resumo_Trocas!$A:$A,$C33,Resumo_Trocas!$F:$F,J$18,Resumo_Trocas!$C:$C,"&gt;0")</f>
        <v>0</v>
      </c>
      <c r="K33" s="141">
        <f>SUMIFS(Resumo_Trocas!$D:$D,Resumo_Trocas!$A:$A,$C33,Resumo_Trocas!$F:$F,J$18,Resumo_Trocas!$C:$C,"&gt;0")</f>
        <v>0</v>
      </c>
      <c r="L33" s="140">
        <f>SUMIFS(Resumo_Trocas!$C:$C,Resumo_Trocas!$A:$A,$C33,Resumo_Trocas!$F:$F,L$18,Resumo_Trocas!$C:$C,"&gt;0")</f>
        <v>1</v>
      </c>
      <c r="M33" s="141">
        <f>SUMIFS(Resumo_Trocas!$D:$D,Resumo_Trocas!$A:$A,$C33,Resumo_Trocas!$F:$F,L$18,Resumo_Trocas!$C:$C,"&gt;0")</f>
        <v>0</v>
      </c>
      <c r="N33" s="140">
        <f>SUMIFS(Resumo_Trocas!$C:$C,Resumo_Trocas!$A:$A,$C33,Resumo_Trocas!$F:$F,N$18,Resumo_Trocas!$C:$C,"&gt;0")</f>
        <v>0</v>
      </c>
      <c r="O33" s="141">
        <f>SUMIFS(Resumo_Trocas!$D:$D,Resumo_Trocas!$A:$A,$C33,Resumo_Trocas!$F:$F,N$18,Resumo_Trocas!$C:$C,"&gt;0")</f>
        <v>0</v>
      </c>
      <c r="P33" s="140">
        <f>SUMIFS(Resumo_Trocas!$C:$C,Resumo_Trocas!$A:$A,$C33,Resumo_Trocas!$F:$F,P$18,Resumo_Trocas!$C:$C,"&gt;0")</f>
        <v>2</v>
      </c>
      <c r="Q33" s="141">
        <f>SUMIFS(Resumo_Trocas!$D:$D,Resumo_Trocas!$A:$A,$C33,Resumo_Trocas!$F:$F,P$18,Resumo_Trocas!$C:$C,"&gt;0")</f>
        <v>0</v>
      </c>
      <c r="R33" s="140">
        <f>SUMIFS(Resumo_Trocas!$C:$C,Resumo_Trocas!$A:$A,$C33,Resumo_Trocas!$F:$F,R$18,Resumo_Trocas!$C:$C,"&gt;0")</f>
        <v>1</v>
      </c>
      <c r="S33" s="141">
        <f>SUMIFS(Resumo_Trocas!$D:$D,Resumo_Trocas!$A:$A,$C33,Resumo_Trocas!$F:$F,R$18,Resumo_Trocas!$C:$C,"&gt;0")</f>
        <v>0</v>
      </c>
      <c r="T33" s="140">
        <f>SUMIFS(Resumo_Trocas!$C:$C,Resumo_Trocas!$A:$A,$C33,Resumo_Trocas!$F:$F,T$18,Resumo_Trocas!$C:$C,"&gt;0")</f>
        <v>2</v>
      </c>
      <c r="U33" s="141">
        <f>SUMIFS(Resumo_Trocas!$D:$D,Resumo_Trocas!$A:$A,$C33,Resumo_Trocas!$F:$F,T$18,Resumo_Trocas!$C:$C,"&gt;0")</f>
        <v>0</v>
      </c>
      <c r="V33" s="140">
        <f>SUMIFS(Resumo_Trocas!$C:$C,Resumo_Trocas!$A:$A,$C33,Resumo_Trocas!$F:$F,V$18,Resumo_Trocas!$C:$C,"&gt;0")</f>
        <v>2</v>
      </c>
      <c r="W33" s="141">
        <f>SUMIFS(Resumo_Trocas!$D:$D,Resumo_Trocas!$A:$A,$C33,Resumo_Trocas!$F:$F,V$18,Resumo_Trocas!$C:$C,"&gt;0")</f>
        <v>0</v>
      </c>
      <c r="X33" s="140">
        <f>SUMIFS(Resumo_Trocas!$C:$C,Resumo_Trocas!$A:$A,$C33,Resumo_Trocas!$F:$F,X$18,Resumo_Trocas!$C:$C,"&gt;0")</f>
        <v>2</v>
      </c>
      <c r="Y33" s="141">
        <f>SUMIFS(Resumo_Trocas!$D:$D,Resumo_Trocas!$A:$A,$C33,Resumo_Trocas!$F:$F,X$18,Resumo_Trocas!$C:$C,"&gt;0")</f>
        <v>0</v>
      </c>
      <c r="Z33" s="140">
        <f>SUMIFS(Resumo_Trocas!$C:$C,Resumo_Trocas!$A:$A,$C33,Resumo_Trocas!$F:$F,Z$18,Resumo_Trocas!$C:$C,"&gt;0")</f>
        <v>1</v>
      </c>
      <c r="AA33" s="141">
        <f>SUMIFS(Resumo_Trocas!$D:$D,Resumo_Trocas!$A:$A,$C33,Resumo_Trocas!$F:$F,Z$18,Resumo_Trocas!$C:$C,"&gt;0")</f>
        <v>1</v>
      </c>
      <c r="AB33" s="140">
        <f>SUMIFS(Resumo_Trocas!$C:$C,Resumo_Trocas!$A:$A,$C33,Resumo_Trocas!$F:$F,AB$18,Resumo_Trocas!$C:$C,"&gt;0")</f>
        <v>1</v>
      </c>
      <c r="AC33" s="141">
        <f>SUMIFS(Resumo_Trocas!$D:$D,Resumo_Trocas!$A:$A,$C33,Resumo_Trocas!$F:$F,AB$18,Resumo_Trocas!$C:$C,"&gt;0")</f>
        <v>1</v>
      </c>
      <c r="AD33" s="140">
        <f>SUMIFS(Resumo_Trocas!$C:$C,Resumo_Trocas!$A:$A,$C33,Resumo_Trocas!$F:$F,AD$18,Resumo_Trocas!$C:$C,"&gt;0")</f>
        <v>0</v>
      </c>
      <c r="AE33" s="141">
        <f>SUMIFS(Resumo_Trocas!$D:$D,Resumo_Trocas!$A:$A,$C33,Resumo_Trocas!$F:$F,AD$18,Resumo_Trocas!$C:$C,"&gt;0")</f>
        <v>0</v>
      </c>
      <c r="AF33" s="140">
        <f>SUMIFS(Resumo_Trocas!$C:$C,Resumo_Trocas!$A:$A,$C33,Resumo_Trocas!$F:$F,AF$18,Resumo_Trocas!$C:$C,"&gt;0")</f>
        <v>1</v>
      </c>
      <c r="AG33" s="141">
        <f>SUMIFS(Resumo_Trocas!$D:$D,Resumo_Trocas!$A:$A,$C33,Resumo_Trocas!$F:$F,AF$18,Resumo_Trocas!$C:$C,"&gt;0")</f>
        <v>1</v>
      </c>
      <c r="AH33" s="140">
        <f>SUMIFS(Resumo_Trocas!$C:$C,Resumo_Trocas!$A:$A,$C33,Resumo_Trocas!$F:$F,AH$18,Resumo_Trocas!$C:$C,"&gt;0")</f>
        <v>0</v>
      </c>
      <c r="AI33" s="141">
        <f>SUMIFS(Resumo_Trocas!$D:$D,Resumo_Trocas!$A:$A,$C33,Resumo_Trocas!$F:$F,AH$18,Resumo_Trocas!$C:$C,"&gt;0")</f>
        <v>0</v>
      </c>
      <c r="AJ33" s="140">
        <f>SUMIFS(Resumo_Trocas!$C:$C,Resumo_Trocas!$A:$A,$C33,Resumo_Trocas!$F:$F,AJ$18,Resumo_Trocas!$C:$C,"&gt;0")</f>
        <v>1</v>
      </c>
      <c r="AK33" s="141">
        <f>SUMIFS(Resumo_Trocas!$D:$D,Resumo_Trocas!$A:$A,$C33,Resumo_Trocas!$F:$F,AJ$18,Resumo_Trocas!$C:$C,"&gt;0")</f>
        <v>1</v>
      </c>
      <c r="AL33" s="140">
        <f>SUMIFS(Resumo_Trocas!$C:$C,Resumo_Trocas!$A:$A,$C33,Resumo_Trocas!$F:$F,AL$18,Resumo_Trocas!$C:$C,"&gt;0")</f>
        <v>0</v>
      </c>
      <c r="AM33" s="141">
        <f>SUMIFS(Resumo_Trocas!$D:$D,Resumo_Trocas!$A:$A,$C33,Resumo_Trocas!$F:$F,AL$18,Resumo_Trocas!$C:$C,"&gt;0")</f>
        <v>0</v>
      </c>
      <c r="AN33" s="140">
        <f>SUMIFS(Resumo_Trocas!$C:$C,Resumo_Trocas!$A:$A,$C33,Resumo_Trocas!$F:$F,AN$18,Resumo_Trocas!$C:$C,"&gt;0")</f>
        <v>0</v>
      </c>
      <c r="AO33" s="141">
        <f>SUMIFS(Resumo_Trocas!$D:$D,Resumo_Trocas!$A:$A,$C33,Resumo_Trocas!$F:$F,AN$18,Resumo_Trocas!$C:$C,"&gt;0")</f>
        <v>0</v>
      </c>
      <c r="AP33" s="75"/>
      <c r="AQ33" s="75"/>
    </row>
    <row r="34" spans="2:43" ht="18" customHeight="1" outlineLevel="1" thickBot="1" x14ac:dyDescent="0.4">
      <c r="B34" s="76"/>
      <c r="C34" s="113" t="s">
        <v>376</v>
      </c>
      <c r="D34" s="142">
        <f>SUMIFS(Resumo_Trocas!$C:$C,Resumo_Trocas!$A:$A,$C34,Resumo_Trocas!$F:$F,D$18,Resumo_Trocas!$C:$C,"&gt;0")</f>
        <v>2</v>
      </c>
      <c r="E34" s="143">
        <f>SUMIFS(Resumo_Trocas!$D:$D,Resumo_Trocas!$A:$A,$C34,Resumo_Trocas!$F:$F,D$18,Resumo_Trocas!$C:$C,"&gt;0")</f>
        <v>0</v>
      </c>
      <c r="F34" s="142">
        <f>SUMIFS(Resumo_Trocas!$C:$C,Resumo_Trocas!$A:$A,$C34,Resumo_Trocas!$F:$F,F$18,Resumo_Trocas!$C:$C,"&gt;0")</f>
        <v>2</v>
      </c>
      <c r="G34" s="143">
        <f>SUMIFS(Resumo_Trocas!$D:$D,Resumo_Trocas!$A:$A,$C34,Resumo_Trocas!$F:$F,F$18,Resumo_Trocas!$C:$C,"&gt;0")</f>
        <v>0</v>
      </c>
      <c r="H34" s="142">
        <f>SUMIFS(Resumo_Trocas!$C:$C,Resumo_Trocas!$A:$A,$C34,Resumo_Trocas!$F:$F,H$18,Resumo_Trocas!$C:$C,"&gt;0")</f>
        <v>1</v>
      </c>
      <c r="I34" s="143">
        <f>SUMIFS(Resumo_Trocas!$D:$D,Resumo_Trocas!$A:$A,$C34,Resumo_Trocas!$F:$F,H$18,Resumo_Trocas!$C:$C,"&gt;0")</f>
        <v>0</v>
      </c>
      <c r="J34" s="142">
        <f>SUMIFS(Resumo_Trocas!$C:$C,Resumo_Trocas!$A:$A,$C34,Resumo_Trocas!$F:$F,J$18,Resumo_Trocas!$C:$C,"&gt;0")</f>
        <v>4</v>
      </c>
      <c r="K34" s="143">
        <f>SUMIFS(Resumo_Trocas!$D:$D,Resumo_Trocas!$A:$A,$C34,Resumo_Trocas!$F:$F,J$18,Resumo_Trocas!$C:$C,"&gt;0")</f>
        <v>0</v>
      </c>
      <c r="L34" s="142">
        <f>SUMIFS(Resumo_Trocas!$C:$C,Resumo_Trocas!$A:$A,$C34,Resumo_Trocas!$F:$F,L$18,Resumo_Trocas!$C:$C,"&gt;0")</f>
        <v>1</v>
      </c>
      <c r="M34" s="143">
        <f>SUMIFS(Resumo_Trocas!$D:$D,Resumo_Trocas!$A:$A,$C34,Resumo_Trocas!$F:$F,L$18,Resumo_Trocas!$C:$C,"&gt;0")</f>
        <v>0</v>
      </c>
      <c r="N34" s="142">
        <f>SUMIFS(Resumo_Trocas!$C:$C,Resumo_Trocas!$A:$A,$C34,Resumo_Trocas!$F:$F,N$18,Resumo_Trocas!$C:$C,"&gt;0")</f>
        <v>0</v>
      </c>
      <c r="O34" s="143">
        <f>SUMIFS(Resumo_Trocas!$D:$D,Resumo_Trocas!$A:$A,$C34,Resumo_Trocas!$F:$F,N$18,Resumo_Trocas!$C:$C,"&gt;0")</f>
        <v>0</v>
      </c>
      <c r="P34" s="142">
        <f>SUMIFS(Resumo_Trocas!$C:$C,Resumo_Trocas!$A:$A,$C34,Resumo_Trocas!$F:$F,P$18,Resumo_Trocas!$C:$C,"&gt;0")</f>
        <v>2</v>
      </c>
      <c r="Q34" s="143">
        <f>SUMIFS(Resumo_Trocas!$D:$D,Resumo_Trocas!$A:$A,$C34,Resumo_Trocas!$F:$F,P$18,Resumo_Trocas!$C:$C,"&gt;0")</f>
        <v>0</v>
      </c>
      <c r="R34" s="142">
        <f>SUMIFS(Resumo_Trocas!$C:$C,Resumo_Trocas!$A:$A,$C34,Resumo_Trocas!$F:$F,R$18,Resumo_Trocas!$C:$C,"&gt;0")</f>
        <v>1</v>
      </c>
      <c r="S34" s="143">
        <f>SUMIFS(Resumo_Trocas!$D:$D,Resumo_Trocas!$A:$A,$C34,Resumo_Trocas!$F:$F,R$18,Resumo_Trocas!$C:$C,"&gt;0")</f>
        <v>0</v>
      </c>
      <c r="T34" s="142">
        <f>SUMIFS(Resumo_Trocas!$C:$C,Resumo_Trocas!$A:$A,$C34,Resumo_Trocas!$F:$F,T$18,Resumo_Trocas!$C:$C,"&gt;0")</f>
        <v>1</v>
      </c>
      <c r="U34" s="143">
        <f>SUMIFS(Resumo_Trocas!$D:$D,Resumo_Trocas!$A:$A,$C34,Resumo_Trocas!$F:$F,T$18,Resumo_Trocas!$C:$C,"&gt;0")</f>
        <v>0</v>
      </c>
      <c r="V34" s="142">
        <f>SUMIFS(Resumo_Trocas!$C:$C,Resumo_Trocas!$A:$A,$C34,Resumo_Trocas!$F:$F,V$18,Resumo_Trocas!$C:$C,"&gt;0")</f>
        <v>0</v>
      </c>
      <c r="W34" s="143">
        <f>SUMIFS(Resumo_Trocas!$D:$D,Resumo_Trocas!$A:$A,$C34,Resumo_Trocas!$F:$F,V$18,Resumo_Trocas!$C:$C,"&gt;0")</f>
        <v>0</v>
      </c>
      <c r="X34" s="142">
        <f>SUMIFS(Resumo_Trocas!$C:$C,Resumo_Trocas!$A:$A,$C34,Resumo_Trocas!$F:$F,X$18,Resumo_Trocas!$C:$C,"&gt;0")</f>
        <v>0</v>
      </c>
      <c r="Y34" s="143">
        <f>SUMIFS(Resumo_Trocas!$D:$D,Resumo_Trocas!$A:$A,$C34,Resumo_Trocas!$F:$F,X$18,Resumo_Trocas!$C:$C,"&gt;0")</f>
        <v>0</v>
      </c>
      <c r="Z34" s="142">
        <f>SUMIFS(Resumo_Trocas!$C:$C,Resumo_Trocas!$A:$A,$C34,Resumo_Trocas!$F:$F,Z$18,Resumo_Trocas!$C:$C,"&gt;0")</f>
        <v>2</v>
      </c>
      <c r="AA34" s="143">
        <f>SUMIFS(Resumo_Trocas!$D:$D,Resumo_Trocas!$A:$A,$C34,Resumo_Trocas!$F:$F,Z$18,Resumo_Trocas!$C:$C,"&gt;0")</f>
        <v>0</v>
      </c>
      <c r="AB34" s="142">
        <f>SUMIFS(Resumo_Trocas!$C:$C,Resumo_Trocas!$A:$A,$C34,Resumo_Trocas!$F:$F,AB$18,Resumo_Trocas!$C:$C,"&gt;0")</f>
        <v>0</v>
      </c>
      <c r="AC34" s="143">
        <f>SUMIFS(Resumo_Trocas!$D:$D,Resumo_Trocas!$A:$A,$C34,Resumo_Trocas!$F:$F,AB$18,Resumo_Trocas!$C:$C,"&gt;0")</f>
        <v>0</v>
      </c>
      <c r="AD34" s="142">
        <f>SUMIFS(Resumo_Trocas!$C:$C,Resumo_Trocas!$A:$A,$C34,Resumo_Trocas!$F:$F,AD$18,Resumo_Trocas!$C:$C,"&gt;0")</f>
        <v>0</v>
      </c>
      <c r="AE34" s="143">
        <f>SUMIFS(Resumo_Trocas!$D:$D,Resumo_Trocas!$A:$A,$C34,Resumo_Trocas!$F:$F,AD$18,Resumo_Trocas!$C:$C,"&gt;0")</f>
        <v>0</v>
      </c>
      <c r="AF34" s="142">
        <f>SUMIFS(Resumo_Trocas!$C:$C,Resumo_Trocas!$A:$A,$C34,Resumo_Trocas!$F:$F,AF$18,Resumo_Trocas!$C:$C,"&gt;0")</f>
        <v>1</v>
      </c>
      <c r="AG34" s="143">
        <f>SUMIFS(Resumo_Trocas!$D:$D,Resumo_Trocas!$A:$A,$C34,Resumo_Trocas!$F:$F,AF$18,Resumo_Trocas!$C:$C,"&gt;0")</f>
        <v>0</v>
      </c>
      <c r="AH34" s="142">
        <f>SUMIFS(Resumo_Trocas!$C:$C,Resumo_Trocas!$A:$A,$C34,Resumo_Trocas!$F:$F,AH$18,Resumo_Trocas!$C:$C,"&gt;0")</f>
        <v>0</v>
      </c>
      <c r="AI34" s="143">
        <f>SUMIFS(Resumo_Trocas!$D:$D,Resumo_Trocas!$A:$A,$C34,Resumo_Trocas!$F:$F,AH$18,Resumo_Trocas!$C:$C,"&gt;0")</f>
        <v>0</v>
      </c>
      <c r="AJ34" s="142">
        <f>SUMIFS(Resumo_Trocas!$C:$C,Resumo_Trocas!$A:$A,$C34,Resumo_Trocas!$F:$F,AJ$18,Resumo_Trocas!$C:$C,"&gt;0")</f>
        <v>1</v>
      </c>
      <c r="AK34" s="143">
        <f>SUMIFS(Resumo_Trocas!$D:$D,Resumo_Trocas!$A:$A,$C34,Resumo_Trocas!$F:$F,AJ$18,Resumo_Trocas!$C:$C,"&gt;0")</f>
        <v>0</v>
      </c>
      <c r="AL34" s="142">
        <f>SUMIFS(Resumo_Trocas!$C:$C,Resumo_Trocas!$A:$A,$C34,Resumo_Trocas!$F:$F,AL$18,Resumo_Trocas!$C:$C,"&gt;0")</f>
        <v>0</v>
      </c>
      <c r="AM34" s="143">
        <f>SUMIFS(Resumo_Trocas!$D:$D,Resumo_Trocas!$A:$A,$C34,Resumo_Trocas!$F:$F,AL$18,Resumo_Trocas!$C:$C,"&gt;0")</f>
        <v>0</v>
      </c>
      <c r="AN34" s="142">
        <f>SUMIFS(Resumo_Trocas!$C:$C,Resumo_Trocas!$A:$A,$C34,Resumo_Trocas!$F:$F,AN$18,Resumo_Trocas!$C:$C,"&gt;0")</f>
        <v>0</v>
      </c>
      <c r="AO34" s="143">
        <f>SUMIFS(Resumo_Trocas!$D:$D,Resumo_Trocas!$A:$A,$C34,Resumo_Trocas!$F:$F,AN$18,Resumo_Trocas!$C:$C,"&gt;0")</f>
        <v>0</v>
      </c>
      <c r="AP34" s="75"/>
      <c r="AQ34" s="75"/>
    </row>
    <row r="35" spans="2:43" ht="15.75" outlineLevel="1" thickBot="1" x14ac:dyDescent="0.3">
      <c r="B35" s="76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</row>
    <row r="36" spans="2:43" ht="21" customHeight="1" thickBot="1" x14ac:dyDescent="0.3">
      <c r="B36" s="72" t="s">
        <v>3395</v>
      </c>
      <c r="C36" s="215" t="s">
        <v>3397</v>
      </c>
      <c r="D36" s="211" t="s">
        <v>3372</v>
      </c>
      <c r="E36" s="212"/>
      <c r="F36" s="211" t="s">
        <v>3373</v>
      </c>
      <c r="G36" s="212"/>
      <c r="H36" s="213" t="s">
        <v>3374</v>
      </c>
      <c r="I36" s="214"/>
      <c r="J36" s="211" t="s">
        <v>3370</v>
      </c>
      <c r="K36" s="212"/>
      <c r="L36" s="211" t="s">
        <v>3371</v>
      </c>
      <c r="M36" s="212"/>
      <c r="N36" s="211" t="s">
        <v>3375</v>
      </c>
      <c r="O36" s="212"/>
      <c r="P36" s="211" t="s">
        <v>3367</v>
      </c>
      <c r="Q36" s="212"/>
      <c r="R36" s="211" t="s">
        <v>3368</v>
      </c>
      <c r="S36" s="212"/>
      <c r="T36" s="211" t="s">
        <v>3369</v>
      </c>
      <c r="U36" s="212"/>
      <c r="V36" s="213" t="s">
        <v>3358</v>
      </c>
      <c r="W36" s="214"/>
      <c r="X36" s="211" t="s">
        <v>3363</v>
      </c>
      <c r="Y36" s="212"/>
      <c r="Z36" s="211" t="s">
        <v>3361</v>
      </c>
      <c r="AA36" s="212"/>
      <c r="AB36" s="211" t="s">
        <v>3359</v>
      </c>
      <c r="AC36" s="212"/>
      <c r="AD36" s="211" t="s">
        <v>3366</v>
      </c>
      <c r="AE36" s="212"/>
      <c r="AF36" s="213" t="s">
        <v>3364</v>
      </c>
      <c r="AG36" s="214"/>
      <c r="AH36" s="211" t="s">
        <v>3360</v>
      </c>
      <c r="AI36" s="212"/>
      <c r="AJ36" s="211" t="s">
        <v>3362</v>
      </c>
      <c r="AK36" s="212"/>
      <c r="AL36" s="211" t="s">
        <v>3365</v>
      </c>
      <c r="AM36" s="212"/>
      <c r="AN36" s="201" t="s">
        <v>3486</v>
      </c>
      <c r="AO36" s="202"/>
    </row>
    <row r="37" spans="2:43" s="75" customFormat="1" ht="21" customHeight="1" thickBot="1" x14ac:dyDescent="0.4">
      <c r="B37" s="98" t="s">
        <v>3395</v>
      </c>
      <c r="C37" s="216"/>
      <c r="D37" s="103" t="s">
        <v>3487</v>
      </c>
      <c r="E37" s="104" t="s">
        <v>3353</v>
      </c>
      <c r="F37" s="105" t="s">
        <v>3487</v>
      </c>
      <c r="G37" s="104" t="s">
        <v>3353</v>
      </c>
      <c r="H37" s="105" t="s">
        <v>3487</v>
      </c>
      <c r="I37" s="104" t="s">
        <v>3353</v>
      </c>
      <c r="J37" s="105" t="s">
        <v>3487</v>
      </c>
      <c r="K37" s="104" t="s">
        <v>3353</v>
      </c>
      <c r="L37" s="105" t="s">
        <v>3487</v>
      </c>
      <c r="M37" s="104" t="s">
        <v>3353</v>
      </c>
      <c r="N37" s="105" t="s">
        <v>3487</v>
      </c>
      <c r="O37" s="104" t="s">
        <v>3353</v>
      </c>
      <c r="P37" s="105" t="s">
        <v>3487</v>
      </c>
      <c r="Q37" s="104" t="s">
        <v>3353</v>
      </c>
      <c r="R37" s="105" t="s">
        <v>3487</v>
      </c>
      <c r="S37" s="104" t="s">
        <v>3353</v>
      </c>
      <c r="T37" s="105" t="s">
        <v>3487</v>
      </c>
      <c r="U37" s="104" t="s">
        <v>3353</v>
      </c>
      <c r="V37" s="105" t="s">
        <v>3487</v>
      </c>
      <c r="W37" s="104" t="s">
        <v>3353</v>
      </c>
      <c r="X37" s="105" t="s">
        <v>3487</v>
      </c>
      <c r="Y37" s="104" t="s">
        <v>3353</v>
      </c>
      <c r="Z37" s="105" t="s">
        <v>3487</v>
      </c>
      <c r="AA37" s="104" t="s">
        <v>3353</v>
      </c>
      <c r="AB37" s="105" t="s">
        <v>3487</v>
      </c>
      <c r="AC37" s="104" t="s">
        <v>3353</v>
      </c>
      <c r="AD37" s="105" t="s">
        <v>3487</v>
      </c>
      <c r="AE37" s="104" t="s">
        <v>3353</v>
      </c>
      <c r="AF37" s="105" t="s">
        <v>3487</v>
      </c>
      <c r="AG37" s="104" t="s">
        <v>3353</v>
      </c>
      <c r="AH37" s="105" t="s">
        <v>3487</v>
      </c>
      <c r="AI37" s="104" t="s">
        <v>3353</v>
      </c>
      <c r="AJ37" s="105" t="s">
        <v>3487</v>
      </c>
      <c r="AK37" s="104" t="s">
        <v>3353</v>
      </c>
      <c r="AL37" s="105" t="s">
        <v>3487</v>
      </c>
      <c r="AM37" s="104" t="s">
        <v>3353</v>
      </c>
      <c r="AN37" s="105" t="s">
        <v>3487</v>
      </c>
      <c r="AO37" s="106" t="s">
        <v>3353</v>
      </c>
    </row>
    <row r="38" spans="2:43" ht="21.75" customHeight="1" outlineLevel="1" thickBot="1" x14ac:dyDescent="0.3">
      <c r="B38" s="76"/>
      <c r="C38" s="114" t="s">
        <v>3399</v>
      </c>
      <c r="D38" s="144">
        <f>IFERROR(SUM(D39:D50)," ")</f>
        <v>11</v>
      </c>
      <c r="E38" s="145">
        <f>IFERROR(SUM(E39:E50)," ")</f>
        <v>14</v>
      </c>
      <c r="F38" s="99">
        <f>IFERROR(SUM(F39:F50)," ")</f>
        <v>13</v>
      </c>
      <c r="G38" s="100">
        <f>IFERROR(SUM(G39:G50)," ")</f>
        <v>25</v>
      </c>
      <c r="H38" s="99">
        <f t="shared" ref="H38:U38" si="4">IFERROR(SUM(H39:H50)," ")</f>
        <v>6</v>
      </c>
      <c r="I38" s="100">
        <f t="shared" si="4"/>
        <v>8</v>
      </c>
      <c r="J38" s="99">
        <f t="shared" si="4"/>
        <v>6</v>
      </c>
      <c r="K38" s="100">
        <f t="shared" si="4"/>
        <v>12</v>
      </c>
      <c r="L38" s="99">
        <f t="shared" si="4"/>
        <v>8</v>
      </c>
      <c r="M38" s="100">
        <f t="shared" si="4"/>
        <v>12</v>
      </c>
      <c r="N38" s="99">
        <f t="shared" si="4"/>
        <v>0</v>
      </c>
      <c r="O38" s="100">
        <f t="shared" si="4"/>
        <v>0</v>
      </c>
      <c r="P38" s="99">
        <f t="shared" si="4"/>
        <v>3</v>
      </c>
      <c r="Q38" s="100">
        <f t="shared" si="4"/>
        <v>7</v>
      </c>
      <c r="R38" s="99">
        <f t="shared" si="4"/>
        <v>3</v>
      </c>
      <c r="S38" s="100">
        <f t="shared" si="4"/>
        <v>5</v>
      </c>
      <c r="T38" s="99">
        <f t="shared" si="4"/>
        <v>7</v>
      </c>
      <c r="U38" s="100">
        <f t="shared" si="4"/>
        <v>12</v>
      </c>
      <c r="V38" s="99">
        <f t="shared" ref="V38:AO38" si="5">IFERROR(SUM(V39:V51)," ")</f>
        <v>10</v>
      </c>
      <c r="W38" s="100">
        <f t="shared" si="5"/>
        <v>12</v>
      </c>
      <c r="X38" s="99">
        <f t="shared" si="5"/>
        <v>6</v>
      </c>
      <c r="Y38" s="100">
        <f t="shared" si="5"/>
        <v>13</v>
      </c>
      <c r="Z38" s="99">
        <f t="shared" si="5"/>
        <v>8</v>
      </c>
      <c r="AA38" s="100">
        <f t="shared" si="5"/>
        <v>15</v>
      </c>
      <c r="AB38" s="99">
        <f t="shared" si="5"/>
        <v>4</v>
      </c>
      <c r="AC38" s="100">
        <f t="shared" si="5"/>
        <v>9</v>
      </c>
      <c r="AD38" s="99">
        <f t="shared" si="5"/>
        <v>5</v>
      </c>
      <c r="AE38" s="100">
        <f t="shared" si="5"/>
        <v>8</v>
      </c>
      <c r="AF38" s="99">
        <f t="shared" si="5"/>
        <v>4</v>
      </c>
      <c r="AG38" s="100">
        <f t="shared" si="5"/>
        <v>12</v>
      </c>
      <c r="AH38" s="99">
        <f t="shared" si="5"/>
        <v>3</v>
      </c>
      <c r="AI38" s="100">
        <f t="shared" si="5"/>
        <v>5</v>
      </c>
      <c r="AJ38" s="99">
        <f t="shared" si="5"/>
        <v>3</v>
      </c>
      <c r="AK38" s="100">
        <f t="shared" si="5"/>
        <v>10</v>
      </c>
      <c r="AL38" s="99">
        <f t="shared" si="5"/>
        <v>5</v>
      </c>
      <c r="AM38" s="100">
        <f t="shared" si="5"/>
        <v>4</v>
      </c>
      <c r="AN38" s="99">
        <f t="shared" si="5"/>
        <v>0</v>
      </c>
      <c r="AO38" s="100">
        <f t="shared" si="5"/>
        <v>0</v>
      </c>
    </row>
    <row r="39" spans="2:43" ht="15" customHeight="1" outlineLevel="1" thickBot="1" x14ac:dyDescent="0.3">
      <c r="B39" s="76"/>
      <c r="C39" s="146" t="s">
        <v>381</v>
      </c>
      <c r="D39" s="138">
        <f>SUMIFS(Resumo_Trocas!$C:$C,Resumo_Trocas!$A:$A,$C39,Resumo_Trocas!$F:$F,D$36,Resumo_Trocas!$C:$C,"&gt;0")</f>
        <v>2</v>
      </c>
      <c r="E39" s="139">
        <f>SUMIFS(Resumo_Trocas!$D:$D,Resumo_Trocas!$A:$A,$C39,Resumo_Trocas!$F:$F,D$36,Resumo_Trocas!$C:$C,"&gt;0")</f>
        <v>4</v>
      </c>
      <c r="F39" s="138">
        <f>SUMIFS(Resumo_Trocas!$C:$C,Resumo_Trocas!$A:$A,$C39,Resumo_Trocas!$F:$F,F$36,Resumo_Trocas!$C:$C,"&gt;0")</f>
        <v>4</v>
      </c>
      <c r="G39" s="139">
        <f>SUMIFS(Resumo_Trocas!$D:$D,Resumo_Trocas!$A:$A,$C39,Resumo_Trocas!$F:$F,F$36,Resumo_Trocas!$C:$C,"&gt;0")</f>
        <v>5</v>
      </c>
      <c r="H39" s="138">
        <f>SUMIFS(Resumo_Trocas!$C:$C,Resumo_Trocas!$A:$A,$C39,Resumo_Trocas!$F:$F,H$36,Resumo_Trocas!$C:$C,"&gt;0")</f>
        <v>0</v>
      </c>
      <c r="I39" s="139">
        <f>SUMIFS(Resumo_Trocas!$D:$D,Resumo_Trocas!$A:$A,$C39,Resumo_Trocas!$F:$F,H$36,Resumo_Trocas!$C:$C,"&gt;0")</f>
        <v>0</v>
      </c>
      <c r="J39" s="138">
        <f>SUMIFS(Resumo_Trocas!$C:$C,Resumo_Trocas!$A:$A,$C39,Resumo_Trocas!$F:$F,J$36,Resumo_Trocas!$C:$C,"&gt;0")</f>
        <v>0</v>
      </c>
      <c r="K39" s="139">
        <f>SUMIFS(Resumo_Trocas!$D:$D,Resumo_Trocas!$A:$A,$C39,Resumo_Trocas!$F:$F,J$36,Resumo_Trocas!$C:$C,"&gt;0")</f>
        <v>0</v>
      </c>
      <c r="L39" s="138">
        <f>SUMIFS(Resumo_Trocas!$C:$C,Resumo_Trocas!$A:$A,$C39,Resumo_Trocas!$F:$F,L$36,Resumo_Trocas!$C:$C,"&gt;0")</f>
        <v>1</v>
      </c>
      <c r="M39" s="139">
        <f>SUMIFS(Resumo_Trocas!$D:$D,Resumo_Trocas!$A:$A,$C39,Resumo_Trocas!$F:$F,L$36,Resumo_Trocas!$C:$C,"&gt;0")</f>
        <v>1</v>
      </c>
      <c r="N39" s="138">
        <f>SUMIFS(Resumo_Trocas!$C:$C,Resumo_Trocas!$A:$A,$C39,Resumo_Trocas!$F:$F,N$36,Resumo_Trocas!$C:$C,"&gt;0")</f>
        <v>0</v>
      </c>
      <c r="O39" s="139">
        <f>SUMIFS(Resumo_Trocas!$D:$D,Resumo_Trocas!$A:$A,$C39,Resumo_Trocas!$F:$F,N$36,Resumo_Trocas!$C:$C,"&gt;0")</f>
        <v>0</v>
      </c>
      <c r="P39" s="138">
        <f>SUMIFS(Resumo_Trocas!$C:$C,Resumo_Trocas!$A:$A,$C39,Resumo_Trocas!$F:$F,P$36,Resumo_Trocas!$C:$C,"&gt;0")</f>
        <v>0</v>
      </c>
      <c r="Q39" s="139">
        <f>SUMIFS(Resumo_Trocas!$D:$D,Resumo_Trocas!$A:$A,$C39,Resumo_Trocas!$F:$F,P$36,Resumo_Trocas!$C:$C,"&gt;0")</f>
        <v>0</v>
      </c>
      <c r="R39" s="138">
        <f>SUMIFS(Resumo_Trocas!$C:$C,Resumo_Trocas!$A:$A,$C39,Resumo_Trocas!$F:$F,R$36,Resumo_Trocas!$C:$C,"&gt;0")</f>
        <v>0</v>
      </c>
      <c r="S39" s="139">
        <f>SUMIFS(Resumo_Trocas!$D:$D,Resumo_Trocas!$A:$A,$C39,Resumo_Trocas!$F:$F,R$36,Resumo_Trocas!$C:$C,"&gt;0")</f>
        <v>0</v>
      </c>
      <c r="T39" s="138">
        <f>SUMIFS(Resumo_Trocas!$C:$C,Resumo_Trocas!$A:$A,$C39,Resumo_Trocas!$F:$F,T$36,Resumo_Trocas!$C:$C,"&gt;0")</f>
        <v>0</v>
      </c>
      <c r="U39" s="139">
        <f>SUMIFS(Resumo_Trocas!$D:$D,Resumo_Trocas!$A:$A,$C39,Resumo_Trocas!$F:$F,T$36,Resumo_Trocas!$C:$C,"&gt;0")</f>
        <v>0</v>
      </c>
      <c r="V39" s="138">
        <f>SUMIFS(Resumo_Trocas!$C:$C,Resumo_Trocas!$A:$A,$C39,Resumo_Trocas!$F:$F,V$36,Resumo_Trocas!$C:$C,"&gt;0")</f>
        <v>0</v>
      </c>
      <c r="W39" s="139">
        <f>SUMIFS(Resumo_Trocas!$D:$D,Resumo_Trocas!$A:$A,$C39,Resumo_Trocas!$F:$F,V$36,Resumo_Trocas!$C:$C,"&gt;0")</f>
        <v>0</v>
      </c>
      <c r="X39" s="138">
        <f>SUMIFS(Resumo_Trocas!$C:$C,Resumo_Trocas!$A:$A,$C39,Resumo_Trocas!$F:$F,X$36,Resumo_Trocas!$C:$C,"&gt;0")</f>
        <v>1</v>
      </c>
      <c r="Y39" s="139">
        <f>SUMIFS(Resumo_Trocas!$D:$D,Resumo_Trocas!$A:$A,$C39,Resumo_Trocas!$F:$F,X$36,Resumo_Trocas!$C:$C,"&gt;0")</f>
        <v>1</v>
      </c>
      <c r="Z39" s="138">
        <f>SUMIFS(Resumo_Trocas!$C:$C,Resumo_Trocas!$A:$A,$C39,Resumo_Trocas!$F:$F,Z$36,Resumo_Trocas!$C:$C,"&gt;0")</f>
        <v>0</v>
      </c>
      <c r="AA39" s="139">
        <f>SUMIFS(Resumo_Trocas!$D:$D,Resumo_Trocas!$A:$A,$C39,Resumo_Trocas!$F:$F,Z$36,Resumo_Trocas!$C:$C,"&gt;0")</f>
        <v>0</v>
      </c>
      <c r="AB39" s="138">
        <f>SUMIFS(Resumo_Trocas!$C:$C,Resumo_Trocas!$A:$A,$C39,Resumo_Trocas!$F:$F,AB$36,Resumo_Trocas!$C:$C,"&gt;0")</f>
        <v>0</v>
      </c>
      <c r="AC39" s="139">
        <f>SUMIFS(Resumo_Trocas!$D:$D,Resumo_Trocas!$A:$A,$C39,Resumo_Trocas!$F:$F,AB$36,Resumo_Trocas!$C:$C,"&gt;0")</f>
        <v>0</v>
      </c>
      <c r="AD39" s="138">
        <f>SUMIFS(Resumo_Trocas!$C:$C,Resumo_Trocas!$A:$A,$C39,Resumo_Trocas!$F:$F,AD$36,Resumo_Trocas!$C:$C,"&gt;0")</f>
        <v>0</v>
      </c>
      <c r="AE39" s="139">
        <f>SUMIFS(Resumo_Trocas!$D:$D,Resumo_Trocas!$A:$A,$C39,Resumo_Trocas!$F:$F,AD$36,Resumo_Trocas!$C:$C,"&gt;0")</f>
        <v>0</v>
      </c>
      <c r="AF39" s="138">
        <f>SUMIFS(Resumo_Trocas!$C:$C,Resumo_Trocas!$A:$A,$C39,Resumo_Trocas!$F:$F,AF$36,Resumo_Trocas!$C:$C,"&gt;0")</f>
        <v>0</v>
      </c>
      <c r="AG39" s="139">
        <f>SUMIFS(Resumo_Trocas!$D:$D,Resumo_Trocas!$A:$A,$C39,Resumo_Trocas!$F:$F,AF$36,Resumo_Trocas!$C:$C,"&gt;0")</f>
        <v>0</v>
      </c>
      <c r="AH39" s="138">
        <f>SUMIFS(Resumo_Trocas!$C:$C,Resumo_Trocas!$A:$A,$C39,Resumo_Trocas!$F:$F,AH$36,Resumo_Trocas!$C:$C,"&gt;0")</f>
        <v>0</v>
      </c>
      <c r="AI39" s="139">
        <f>SUMIFS(Resumo_Trocas!$D:$D,Resumo_Trocas!$A:$A,$C39,Resumo_Trocas!$F:$F,AH$36,Resumo_Trocas!$C:$C,"&gt;0")</f>
        <v>0</v>
      </c>
      <c r="AJ39" s="138">
        <f>SUMIFS(Resumo_Trocas!$C:$C,Resumo_Trocas!$A:$A,$C39,Resumo_Trocas!$F:$F,AJ$36,Resumo_Trocas!$C:$C,"&gt;0")</f>
        <v>0</v>
      </c>
      <c r="AK39" s="139">
        <f>SUMIFS(Resumo_Trocas!$D:$D,Resumo_Trocas!$A:$A,$C39,Resumo_Trocas!$F:$F,AJ$36,Resumo_Trocas!$C:$C,"&gt;0")</f>
        <v>0</v>
      </c>
      <c r="AL39" s="138">
        <f>SUMIFS(Resumo_Trocas!$C:$C,Resumo_Trocas!$A:$A,$C39,Resumo_Trocas!$F:$F,AL$36,Resumo_Trocas!$C:$C,"&gt;0")</f>
        <v>0</v>
      </c>
      <c r="AM39" s="139">
        <f>SUMIFS(Resumo_Trocas!$D:$D,Resumo_Trocas!$A:$A,$C39,Resumo_Trocas!$F:$F,AL$36,Resumo_Trocas!$C:$C,"&gt;0")</f>
        <v>0</v>
      </c>
      <c r="AN39" s="138">
        <f>SUMIFS(Resumo_Trocas!$C:$C,Resumo_Trocas!$A:$A,$C39,Resumo_Trocas!$F:$F,AN$36,Resumo_Trocas!$C:$C,"&gt;0")</f>
        <v>0</v>
      </c>
      <c r="AO39" s="139">
        <f>SUMIFS(Resumo_Trocas!$D:$D,Resumo_Trocas!$A:$A,$C39,Resumo_Trocas!$F:$F,AN$36,Resumo_Trocas!$C:$C,"&gt;0")</f>
        <v>0</v>
      </c>
    </row>
    <row r="40" spans="2:43" ht="15" customHeight="1" outlineLevel="1" thickBot="1" x14ac:dyDescent="0.3">
      <c r="B40" s="76"/>
      <c r="C40" s="147" t="s">
        <v>382</v>
      </c>
      <c r="D40" s="140">
        <f>SUMIFS(Resumo_Trocas!$C:$C,Resumo_Trocas!$A:$A,$C40,Resumo_Trocas!$F:$F,D$36,Resumo_Trocas!$C:$C,"&gt;0")</f>
        <v>1</v>
      </c>
      <c r="E40" s="141">
        <f>SUMIFS(Resumo_Trocas!$D:$D,Resumo_Trocas!$A:$A,$C40,Resumo_Trocas!$F:$F,D$36,Resumo_Trocas!$C:$C,"&gt;0")</f>
        <v>0</v>
      </c>
      <c r="F40" s="140">
        <f>SUMIFS(Resumo_Trocas!$C:$C,Resumo_Trocas!$A:$A,$C40,Resumo_Trocas!$F:$F,F$36,Resumo_Trocas!$C:$C,"&gt;0")</f>
        <v>0</v>
      </c>
      <c r="G40" s="141">
        <f>SUMIFS(Resumo_Trocas!$D:$D,Resumo_Trocas!$A:$A,$C40,Resumo_Trocas!$F:$F,F$36,Resumo_Trocas!$C:$C,"&gt;0")</f>
        <v>0</v>
      </c>
      <c r="H40" s="140">
        <f>SUMIFS(Resumo_Trocas!$C:$C,Resumo_Trocas!$A:$A,$C40,Resumo_Trocas!$F:$F,H$36,Resumo_Trocas!$C:$C,"&gt;0")</f>
        <v>2</v>
      </c>
      <c r="I40" s="141">
        <f>SUMIFS(Resumo_Trocas!$D:$D,Resumo_Trocas!$A:$A,$C40,Resumo_Trocas!$F:$F,H$36,Resumo_Trocas!$C:$C,"&gt;0")</f>
        <v>4</v>
      </c>
      <c r="J40" s="140">
        <f>SUMIFS(Resumo_Trocas!$C:$C,Resumo_Trocas!$A:$A,$C40,Resumo_Trocas!$F:$F,J$36,Resumo_Trocas!$C:$C,"&gt;0")</f>
        <v>3</v>
      </c>
      <c r="K40" s="141">
        <f>SUMIFS(Resumo_Trocas!$D:$D,Resumo_Trocas!$A:$A,$C40,Resumo_Trocas!$F:$F,J$36,Resumo_Trocas!$C:$C,"&gt;0")</f>
        <v>6</v>
      </c>
      <c r="L40" s="140">
        <f>SUMIFS(Resumo_Trocas!$C:$C,Resumo_Trocas!$A:$A,$C40,Resumo_Trocas!$F:$F,L$36,Resumo_Trocas!$C:$C,"&gt;0")</f>
        <v>0</v>
      </c>
      <c r="M40" s="141">
        <f>SUMIFS(Resumo_Trocas!$D:$D,Resumo_Trocas!$A:$A,$C40,Resumo_Trocas!$F:$F,L$36,Resumo_Trocas!$C:$C,"&gt;0")</f>
        <v>0</v>
      </c>
      <c r="N40" s="140">
        <f>SUMIFS(Resumo_Trocas!$C:$C,Resumo_Trocas!$A:$A,$C40,Resumo_Trocas!$F:$F,N$36,Resumo_Trocas!$C:$C,"&gt;0")</f>
        <v>0</v>
      </c>
      <c r="O40" s="141">
        <f>SUMIFS(Resumo_Trocas!$D:$D,Resumo_Trocas!$A:$A,$C40,Resumo_Trocas!$F:$F,N$36,Resumo_Trocas!$C:$C,"&gt;0")</f>
        <v>0</v>
      </c>
      <c r="P40" s="140">
        <f>SUMIFS(Resumo_Trocas!$C:$C,Resumo_Trocas!$A:$A,$C40,Resumo_Trocas!$F:$F,P$36,Resumo_Trocas!$C:$C,"&gt;0")</f>
        <v>0</v>
      </c>
      <c r="Q40" s="141">
        <f>SUMIFS(Resumo_Trocas!$D:$D,Resumo_Trocas!$A:$A,$C40,Resumo_Trocas!$F:$F,P$36,Resumo_Trocas!$C:$C,"&gt;0")</f>
        <v>0</v>
      </c>
      <c r="R40" s="140">
        <f>SUMIFS(Resumo_Trocas!$C:$C,Resumo_Trocas!$A:$A,$C40,Resumo_Trocas!$F:$F,R$36,Resumo_Trocas!$C:$C,"&gt;0")</f>
        <v>0</v>
      </c>
      <c r="S40" s="141">
        <f>SUMIFS(Resumo_Trocas!$D:$D,Resumo_Trocas!$A:$A,$C40,Resumo_Trocas!$F:$F,R$36,Resumo_Trocas!$C:$C,"&gt;0")</f>
        <v>0</v>
      </c>
      <c r="T40" s="140">
        <f>SUMIFS(Resumo_Trocas!$C:$C,Resumo_Trocas!$A:$A,$C40,Resumo_Trocas!$F:$F,T$36,Resumo_Trocas!$C:$C,"&gt;0")</f>
        <v>1</v>
      </c>
      <c r="U40" s="141">
        <f>SUMIFS(Resumo_Trocas!$D:$D,Resumo_Trocas!$A:$A,$C40,Resumo_Trocas!$F:$F,T$36,Resumo_Trocas!$C:$C,"&gt;0")</f>
        <v>2</v>
      </c>
      <c r="V40" s="140">
        <f>SUMIFS(Resumo_Trocas!$C:$C,Resumo_Trocas!$A:$A,$C40,Resumo_Trocas!$F:$F,V$36,Resumo_Trocas!$C:$C,"&gt;0")</f>
        <v>0</v>
      </c>
      <c r="W40" s="141">
        <f>SUMIFS(Resumo_Trocas!$D:$D,Resumo_Trocas!$A:$A,$C40,Resumo_Trocas!$F:$F,V$36,Resumo_Trocas!$C:$C,"&gt;0")</f>
        <v>0</v>
      </c>
      <c r="X40" s="140">
        <f>SUMIFS(Resumo_Trocas!$C:$C,Resumo_Trocas!$A:$A,$C40,Resumo_Trocas!$F:$F,X$36,Resumo_Trocas!$C:$C,"&gt;0")</f>
        <v>0</v>
      </c>
      <c r="Y40" s="141">
        <f>SUMIFS(Resumo_Trocas!$D:$D,Resumo_Trocas!$A:$A,$C40,Resumo_Trocas!$F:$F,X$36,Resumo_Trocas!$C:$C,"&gt;0")</f>
        <v>0</v>
      </c>
      <c r="Z40" s="140">
        <f>SUMIFS(Resumo_Trocas!$C:$C,Resumo_Trocas!$A:$A,$C40,Resumo_Trocas!$F:$F,Z$36,Resumo_Trocas!$C:$C,"&gt;0")</f>
        <v>1</v>
      </c>
      <c r="AA40" s="141">
        <f>SUMIFS(Resumo_Trocas!$D:$D,Resumo_Trocas!$A:$A,$C40,Resumo_Trocas!$F:$F,Z$36,Resumo_Trocas!$C:$C,"&gt;0")</f>
        <v>2</v>
      </c>
      <c r="AB40" s="140">
        <f>SUMIFS(Resumo_Trocas!$C:$C,Resumo_Trocas!$A:$A,$C40,Resumo_Trocas!$F:$F,AB$36,Resumo_Trocas!$C:$C,"&gt;0")</f>
        <v>1</v>
      </c>
      <c r="AC40" s="141">
        <f>SUMIFS(Resumo_Trocas!$D:$D,Resumo_Trocas!$A:$A,$C40,Resumo_Trocas!$F:$F,AB$36,Resumo_Trocas!$C:$C,"&gt;0")</f>
        <v>2</v>
      </c>
      <c r="AD40" s="140">
        <f>SUMIFS(Resumo_Trocas!$C:$C,Resumo_Trocas!$A:$A,$C40,Resumo_Trocas!$F:$F,AD$36,Resumo_Trocas!$C:$C,"&gt;0")</f>
        <v>0</v>
      </c>
      <c r="AE40" s="141">
        <f>SUMIFS(Resumo_Trocas!$D:$D,Resumo_Trocas!$A:$A,$C40,Resumo_Trocas!$F:$F,AD$36,Resumo_Trocas!$C:$C,"&gt;0")</f>
        <v>0</v>
      </c>
      <c r="AF40" s="140">
        <f>SUMIFS(Resumo_Trocas!$C:$C,Resumo_Trocas!$A:$A,$C40,Resumo_Trocas!$F:$F,AF$36,Resumo_Trocas!$C:$C,"&gt;0")</f>
        <v>0</v>
      </c>
      <c r="AG40" s="141">
        <f>SUMIFS(Resumo_Trocas!$D:$D,Resumo_Trocas!$A:$A,$C40,Resumo_Trocas!$F:$F,AF$36,Resumo_Trocas!$C:$C,"&gt;0")</f>
        <v>0</v>
      </c>
      <c r="AH40" s="140">
        <f>SUMIFS(Resumo_Trocas!$C:$C,Resumo_Trocas!$A:$A,$C40,Resumo_Trocas!$F:$F,AH$36,Resumo_Trocas!$C:$C,"&gt;0")</f>
        <v>0</v>
      </c>
      <c r="AI40" s="141">
        <f>SUMIFS(Resumo_Trocas!$D:$D,Resumo_Trocas!$A:$A,$C40,Resumo_Trocas!$F:$F,AH$36,Resumo_Trocas!$C:$C,"&gt;0")</f>
        <v>0</v>
      </c>
      <c r="AJ40" s="140">
        <f>SUMIFS(Resumo_Trocas!$C:$C,Resumo_Trocas!$A:$A,$C40,Resumo_Trocas!$F:$F,AJ$36,Resumo_Trocas!$C:$C,"&gt;0")</f>
        <v>1</v>
      </c>
      <c r="AK40" s="141">
        <f>SUMIFS(Resumo_Trocas!$D:$D,Resumo_Trocas!$A:$A,$C40,Resumo_Trocas!$F:$F,AJ$36,Resumo_Trocas!$C:$C,"&gt;0")</f>
        <v>2</v>
      </c>
      <c r="AL40" s="140">
        <f>SUMIFS(Resumo_Trocas!$C:$C,Resumo_Trocas!$A:$A,$C40,Resumo_Trocas!$F:$F,AL$36,Resumo_Trocas!$C:$C,"&gt;0")</f>
        <v>0</v>
      </c>
      <c r="AM40" s="141">
        <f>SUMIFS(Resumo_Trocas!$D:$D,Resumo_Trocas!$A:$A,$C40,Resumo_Trocas!$F:$F,AL$36,Resumo_Trocas!$C:$C,"&gt;0")</f>
        <v>0</v>
      </c>
      <c r="AN40" s="140">
        <f>SUMIFS(Resumo_Trocas!$C:$C,Resumo_Trocas!$A:$A,$C40,Resumo_Trocas!$F:$F,AN$36,Resumo_Trocas!$C:$C,"&gt;0")</f>
        <v>0</v>
      </c>
      <c r="AO40" s="141">
        <f>SUMIFS(Resumo_Trocas!$D:$D,Resumo_Trocas!$A:$A,$C40,Resumo_Trocas!$F:$F,AN$36,Resumo_Trocas!$C:$C,"&gt;0")</f>
        <v>0</v>
      </c>
    </row>
    <row r="41" spans="2:43" ht="15" customHeight="1" outlineLevel="1" thickBot="1" x14ac:dyDescent="0.3">
      <c r="B41" s="76"/>
      <c r="C41" s="147" t="s">
        <v>383</v>
      </c>
      <c r="D41" s="140">
        <f>SUMIFS(Resumo_Trocas!$C:$C,Resumo_Trocas!$A:$A,$C41,Resumo_Trocas!$F:$F,D$36,Resumo_Trocas!$C:$C,"&gt;0")</f>
        <v>1</v>
      </c>
      <c r="E41" s="141">
        <f>SUMIFS(Resumo_Trocas!$D:$D,Resumo_Trocas!$A:$A,$C41,Resumo_Trocas!$F:$F,D$36,Resumo_Trocas!$C:$C,"&gt;0")</f>
        <v>1</v>
      </c>
      <c r="F41" s="140">
        <f>SUMIFS(Resumo_Trocas!$C:$C,Resumo_Trocas!$A:$A,$C41,Resumo_Trocas!$F:$F,F$36,Resumo_Trocas!$C:$C,"&gt;0")</f>
        <v>1</v>
      </c>
      <c r="G41" s="141">
        <f>SUMIFS(Resumo_Trocas!$D:$D,Resumo_Trocas!$A:$A,$C41,Resumo_Trocas!$F:$F,F$36,Resumo_Trocas!$C:$C,"&gt;0")</f>
        <v>1</v>
      </c>
      <c r="H41" s="140">
        <f>SUMIFS(Resumo_Trocas!$C:$C,Resumo_Trocas!$A:$A,$C41,Resumo_Trocas!$F:$F,H$36,Resumo_Trocas!$C:$C,"&gt;0")</f>
        <v>1</v>
      </c>
      <c r="I41" s="141">
        <f>SUMIFS(Resumo_Trocas!$D:$D,Resumo_Trocas!$A:$A,$C41,Resumo_Trocas!$F:$F,H$36,Resumo_Trocas!$C:$C,"&gt;0")</f>
        <v>1</v>
      </c>
      <c r="J41" s="140">
        <f>SUMIFS(Resumo_Trocas!$C:$C,Resumo_Trocas!$A:$A,$C41,Resumo_Trocas!$F:$F,J$36,Resumo_Trocas!$C:$C,"&gt;0")</f>
        <v>0</v>
      </c>
      <c r="K41" s="141">
        <f>SUMIFS(Resumo_Trocas!$D:$D,Resumo_Trocas!$A:$A,$C41,Resumo_Trocas!$F:$F,J$36,Resumo_Trocas!$C:$C,"&gt;0")</f>
        <v>0</v>
      </c>
      <c r="L41" s="140">
        <f>SUMIFS(Resumo_Trocas!$C:$C,Resumo_Trocas!$A:$A,$C41,Resumo_Trocas!$F:$F,L$36,Resumo_Trocas!$C:$C,"&gt;0")</f>
        <v>1</v>
      </c>
      <c r="M41" s="141">
        <f>SUMIFS(Resumo_Trocas!$D:$D,Resumo_Trocas!$A:$A,$C41,Resumo_Trocas!$F:$F,L$36,Resumo_Trocas!$C:$C,"&gt;0")</f>
        <v>1</v>
      </c>
      <c r="N41" s="140">
        <f>SUMIFS(Resumo_Trocas!$C:$C,Resumo_Trocas!$A:$A,$C41,Resumo_Trocas!$F:$F,N$36,Resumo_Trocas!$C:$C,"&gt;0")</f>
        <v>0</v>
      </c>
      <c r="O41" s="141">
        <f>SUMIFS(Resumo_Trocas!$D:$D,Resumo_Trocas!$A:$A,$C41,Resumo_Trocas!$F:$F,N$36,Resumo_Trocas!$C:$C,"&gt;0")</f>
        <v>0</v>
      </c>
      <c r="P41" s="140">
        <f>SUMIFS(Resumo_Trocas!$C:$C,Resumo_Trocas!$A:$A,$C41,Resumo_Trocas!$F:$F,P$36,Resumo_Trocas!$C:$C,"&gt;0")</f>
        <v>0</v>
      </c>
      <c r="Q41" s="141">
        <f>SUMIFS(Resumo_Trocas!$D:$D,Resumo_Trocas!$A:$A,$C41,Resumo_Trocas!$F:$F,P$36,Resumo_Trocas!$C:$C,"&gt;0")</f>
        <v>0</v>
      </c>
      <c r="R41" s="140">
        <f>SUMIFS(Resumo_Trocas!$C:$C,Resumo_Trocas!$A:$A,$C41,Resumo_Trocas!$F:$F,R$36,Resumo_Trocas!$C:$C,"&gt;0")</f>
        <v>1</v>
      </c>
      <c r="S41" s="141">
        <f>SUMIFS(Resumo_Trocas!$D:$D,Resumo_Trocas!$A:$A,$C41,Resumo_Trocas!$F:$F,R$36,Resumo_Trocas!$C:$C,"&gt;0")</f>
        <v>1</v>
      </c>
      <c r="T41" s="140">
        <f>SUMIFS(Resumo_Trocas!$C:$C,Resumo_Trocas!$A:$A,$C41,Resumo_Trocas!$F:$F,T$36,Resumo_Trocas!$C:$C,"&gt;0")</f>
        <v>3</v>
      </c>
      <c r="U41" s="141">
        <f>SUMIFS(Resumo_Trocas!$D:$D,Resumo_Trocas!$A:$A,$C41,Resumo_Trocas!$F:$F,T$36,Resumo_Trocas!$C:$C,"&gt;0")</f>
        <v>3</v>
      </c>
      <c r="V41" s="140">
        <f>SUMIFS(Resumo_Trocas!$C:$C,Resumo_Trocas!$A:$A,$C41,Resumo_Trocas!$F:$F,V$36,Resumo_Trocas!$C:$C,"&gt;0")</f>
        <v>5</v>
      </c>
      <c r="W41" s="141">
        <f>SUMIFS(Resumo_Trocas!$D:$D,Resumo_Trocas!$A:$A,$C41,Resumo_Trocas!$F:$F,V$36,Resumo_Trocas!$C:$C,"&gt;0")</f>
        <v>5</v>
      </c>
      <c r="X41" s="140">
        <f>SUMIFS(Resumo_Trocas!$C:$C,Resumo_Trocas!$A:$A,$C41,Resumo_Trocas!$F:$F,X$36,Resumo_Trocas!$C:$C,"&gt;0")</f>
        <v>1</v>
      </c>
      <c r="Y41" s="141">
        <f>SUMIFS(Resumo_Trocas!$D:$D,Resumo_Trocas!$A:$A,$C41,Resumo_Trocas!$F:$F,X$36,Resumo_Trocas!$C:$C,"&gt;0")</f>
        <v>1</v>
      </c>
      <c r="Z41" s="140">
        <f>SUMIFS(Resumo_Trocas!$C:$C,Resumo_Trocas!$A:$A,$C41,Resumo_Trocas!$F:$F,Z$36,Resumo_Trocas!$C:$C,"&gt;0")</f>
        <v>1</v>
      </c>
      <c r="AA41" s="141">
        <f>SUMIFS(Resumo_Trocas!$D:$D,Resumo_Trocas!$A:$A,$C41,Resumo_Trocas!$F:$F,Z$36,Resumo_Trocas!$C:$C,"&gt;0")</f>
        <v>1</v>
      </c>
      <c r="AB41" s="140">
        <f>SUMIFS(Resumo_Trocas!$C:$C,Resumo_Trocas!$A:$A,$C41,Resumo_Trocas!$F:$F,AB$36,Resumo_Trocas!$C:$C,"&gt;0")</f>
        <v>1</v>
      </c>
      <c r="AC41" s="141">
        <f>SUMIFS(Resumo_Trocas!$D:$D,Resumo_Trocas!$A:$A,$C41,Resumo_Trocas!$F:$F,AB$36,Resumo_Trocas!$C:$C,"&gt;0")</f>
        <v>1</v>
      </c>
      <c r="AD41" s="140">
        <f>SUMIFS(Resumo_Trocas!$C:$C,Resumo_Trocas!$A:$A,$C41,Resumo_Trocas!$F:$F,AD$36,Resumo_Trocas!$C:$C,"&gt;0")</f>
        <v>1</v>
      </c>
      <c r="AE41" s="141">
        <f>SUMIFS(Resumo_Trocas!$D:$D,Resumo_Trocas!$A:$A,$C41,Resumo_Trocas!$F:$F,AD$36,Resumo_Trocas!$C:$C,"&gt;0")</f>
        <v>1</v>
      </c>
      <c r="AF41" s="140">
        <f>SUMIFS(Resumo_Trocas!$C:$C,Resumo_Trocas!$A:$A,$C41,Resumo_Trocas!$F:$F,AF$36,Resumo_Trocas!$C:$C,"&gt;0")</f>
        <v>0</v>
      </c>
      <c r="AG41" s="141">
        <f>SUMIFS(Resumo_Trocas!$D:$D,Resumo_Trocas!$A:$A,$C41,Resumo_Trocas!$F:$F,AF$36,Resumo_Trocas!$C:$C,"&gt;0")</f>
        <v>0</v>
      </c>
      <c r="AH41" s="140">
        <f>SUMIFS(Resumo_Trocas!$C:$C,Resumo_Trocas!$A:$A,$C41,Resumo_Trocas!$F:$F,AH$36,Resumo_Trocas!$C:$C,"&gt;0")</f>
        <v>2</v>
      </c>
      <c r="AI41" s="141">
        <f>SUMIFS(Resumo_Trocas!$D:$D,Resumo_Trocas!$A:$A,$C41,Resumo_Trocas!$F:$F,AH$36,Resumo_Trocas!$C:$C,"&gt;0")</f>
        <v>1</v>
      </c>
      <c r="AJ41" s="140">
        <f>SUMIFS(Resumo_Trocas!$C:$C,Resumo_Trocas!$A:$A,$C41,Resumo_Trocas!$F:$F,AJ$36,Resumo_Trocas!$C:$C,"&gt;0")</f>
        <v>0</v>
      </c>
      <c r="AK41" s="141">
        <f>SUMIFS(Resumo_Trocas!$D:$D,Resumo_Trocas!$A:$A,$C41,Resumo_Trocas!$F:$F,AJ$36,Resumo_Trocas!$C:$C,"&gt;0")</f>
        <v>0</v>
      </c>
      <c r="AL41" s="140">
        <f>SUMIFS(Resumo_Trocas!$C:$C,Resumo_Trocas!$A:$A,$C41,Resumo_Trocas!$F:$F,AL$36,Resumo_Trocas!$C:$C,"&gt;0")</f>
        <v>1</v>
      </c>
      <c r="AM41" s="141">
        <f>SUMIFS(Resumo_Trocas!$D:$D,Resumo_Trocas!$A:$A,$C41,Resumo_Trocas!$F:$F,AL$36,Resumo_Trocas!$C:$C,"&gt;0")</f>
        <v>0</v>
      </c>
      <c r="AN41" s="140">
        <f>SUMIFS(Resumo_Trocas!$C:$C,Resumo_Trocas!$A:$A,$C41,Resumo_Trocas!$F:$F,AN$36,Resumo_Trocas!$C:$C,"&gt;0")</f>
        <v>0</v>
      </c>
      <c r="AO41" s="141">
        <f>SUMIFS(Resumo_Trocas!$D:$D,Resumo_Trocas!$A:$A,$C41,Resumo_Trocas!$F:$F,AN$36,Resumo_Trocas!$C:$C,"&gt;0")</f>
        <v>0</v>
      </c>
    </row>
    <row r="42" spans="2:43" ht="15" customHeight="1" outlineLevel="1" thickBot="1" x14ac:dyDescent="0.3">
      <c r="B42" s="76"/>
      <c r="C42" s="147" t="s">
        <v>384</v>
      </c>
      <c r="D42" s="140">
        <f>SUMIFS(Resumo_Trocas!$C:$C,Resumo_Trocas!$A:$A,$C42,Resumo_Trocas!$F:$F,D$36,Resumo_Trocas!$C:$C,"&gt;0")</f>
        <v>2</v>
      </c>
      <c r="E42" s="141">
        <f>SUMIFS(Resumo_Trocas!$D:$D,Resumo_Trocas!$A:$A,$C42,Resumo_Trocas!$F:$F,D$36,Resumo_Trocas!$C:$C,"&gt;0")</f>
        <v>4</v>
      </c>
      <c r="F42" s="140">
        <f>SUMIFS(Resumo_Trocas!$C:$C,Resumo_Trocas!$A:$A,$C42,Resumo_Trocas!$F:$F,F$36,Resumo_Trocas!$C:$C,"&gt;0")</f>
        <v>4</v>
      </c>
      <c r="G42" s="141">
        <f>SUMIFS(Resumo_Trocas!$D:$D,Resumo_Trocas!$A:$A,$C42,Resumo_Trocas!$F:$F,F$36,Resumo_Trocas!$C:$C,"&gt;0")</f>
        <v>10</v>
      </c>
      <c r="H42" s="140">
        <f>SUMIFS(Resumo_Trocas!$C:$C,Resumo_Trocas!$A:$A,$C42,Resumo_Trocas!$F:$F,H$36,Resumo_Trocas!$C:$C,"&gt;0")</f>
        <v>0</v>
      </c>
      <c r="I42" s="141">
        <f>SUMIFS(Resumo_Trocas!$D:$D,Resumo_Trocas!$A:$A,$C42,Resumo_Trocas!$F:$F,H$36,Resumo_Trocas!$C:$C,"&gt;0")</f>
        <v>0</v>
      </c>
      <c r="J42" s="140">
        <f>SUMIFS(Resumo_Trocas!$C:$C,Resumo_Trocas!$A:$A,$C42,Resumo_Trocas!$F:$F,J$36,Resumo_Trocas!$C:$C,"&gt;0")</f>
        <v>0</v>
      </c>
      <c r="K42" s="141">
        <f>SUMIFS(Resumo_Trocas!$D:$D,Resumo_Trocas!$A:$A,$C42,Resumo_Trocas!$F:$F,J$36,Resumo_Trocas!$C:$C,"&gt;0")</f>
        <v>0</v>
      </c>
      <c r="L42" s="140">
        <f>SUMIFS(Resumo_Trocas!$C:$C,Resumo_Trocas!$A:$A,$C42,Resumo_Trocas!$F:$F,L$36,Resumo_Trocas!$C:$C,"&gt;0")</f>
        <v>1</v>
      </c>
      <c r="M42" s="141">
        <f>SUMIFS(Resumo_Trocas!$D:$D,Resumo_Trocas!$A:$A,$C42,Resumo_Trocas!$F:$F,L$36,Resumo_Trocas!$C:$C,"&gt;0")</f>
        <v>0</v>
      </c>
      <c r="N42" s="140">
        <f>SUMIFS(Resumo_Trocas!$C:$C,Resumo_Trocas!$A:$A,$C42,Resumo_Trocas!$F:$F,N$36,Resumo_Trocas!$C:$C,"&gt;0")</f>
        <v>0</v>
      </c>
      <c r="O42" s="141">
        <f>SUMIFS(Resumo_Trocas!$D:$D,Resumo_Trocas!$A:$A,$C42,Resumo_Trocas!$F:$F,N$36,Resumo_Trocas!$C:$C,"&gt;0")</f>
        <v>0</v>
      </c>
      <c r="P42" s="140">
        <f>SUMIFS(Resumo_Trocas!$C:$C,Resumo_Trocas!$A:$A,$C42,Resumo_Trocas!$F:$F,P$36,Resumo_Trocas!$C:$C,"&gt;0")</f>
        <v>0</v>
      </c>
      <c r="Q42" s="141">
        <f>SUMIFS(Resumo_Trocas!$D:$D,Resumo_Trocas!$A:$A,$C42,Resumo_Trocas!$F:$F,P$36,Resumo_Trocas!$C:$C,"&gt;0")</f>
        <v>0</v>
      </c>
      <c r="R42" s="140">
        <f>SUMIFS(Resumo_Trocas!$C:$C,Resumo_Trocas!$A:$A,$C42,Resumo_Trocas!$F:$F,R$36,Resumo_Trocas!$C:$C,"&gt;0")</f>
        <v>0</v>
      </c>
      <c r="S42" s="141">
        <f>SUMIFS(Resumo_Trocas!$D:$D,Resumo_Trocas!$A:$A,$C42,Resumo_Trocas!$F:$F,R$36,Resumo_Trocas!$C:$C,"&gt;0")</f>
        <v>0</v>
      </c>
      <c r="T42" s="140">
        <f>SUMIFS(Resumo_Trocas!$C:$C,Resumo_Trocas!$A:$A,$C42,Resumo_Trocas!$F:$F,T$36,Resumo_Trocas!$C:$C,"&gt;0")</f>
        <v>0</v>
      </c>
      <c r="U42" s="141">
        <f>SUMIFS(Resumo_Trocas!$D:$D,Resumo_Trocas!$A:$A,$C42,Resumo_Trocas!$F:$F,T$36,Resumo_Trocas!$C:$C,"&gt;0")</f>
        <v>0</v>
      </c>
      <c r="V42" s="140">
        <f>SUMIFS(Resumo_Trocas!$C:$C,Resumo_Trocas!$A:$A,$C42,Resumo_Trocas!$F:$F,V$36,Resumo_Trocas!$C:$C,"&gt;0")</f>
        <v>0</v>
      </c>
      <c r="W42" s="141">
        <f>SUMIFS(Resumo_Trocas!$D:$D,Resumo_Trocas!$A:$A,$C42,Resumo_Trocas!$F:$F,V$36,Resumo_Trocas!$C:$C,"&gt;0")</f>
        <v>0</v>
      </c>
      <c r="X42" s="140">
        <f>SUMIFS(Resumo_Trocas!$C:$C,Resumo_Trocas!$A:$A,$C42,Resumo_Trocas!$F:$F,X$36,Resumo_Trocas!$C:$C,"&gt;0")</f>
        <v>0</v>
      </c>
      <c r="Y42" s="141">
        <f>SUMIFS(Resumo_Trocas!$D:$D,Resumo_Trocas!$A:$A,$C42,Resumo_Trocas!$F:$F,X$36,Resumo_Trocas!$C:$C,"&gt;0")</f>
        <v>0</v>
      </c>
      <c r="Z42" s="140">
        <f>SUMIFS(Resumo_Trocas!$C:$C,Resumo_Trocas!$A:$A,$C42,Resumo_Trocas!$F:$F,Z$36,Resumo_Trocas!$C:$C,"&gt;0")</f>
        <v>1</v>
      </c>
      <c r="AA42" s="141">
        <f>SUMIFS(Resumo_Trocas!$D:$D,Resumo_Trocas!$A:$A,$C42,Resumo_Trocas!$F:$F,Z$36,Resumo_Trocas!$C:$C,"&gt;0")</f>
        <v>0</v>
      </c>
      <c r="AB42" s="140">
        <f>SUMIFS(Resumo_Trocas!$C:$C,Resumo_Trocas!$A:$A,$C42,Resumo_Trocas!$F:$F,AB$36,Resumo_Trocas!$C:$C,"&gt;0")</f>
        <v>0</v>
      </c>
      <c r="AC42" s="141">
        <f>SUMIFS(Resumo_Trocas!$D:$D,Resumo_Trocas!$A:$A,$C42,Resumo_Trocas!$F:$F,AB$36,Resumo_Trocas!$C:$C,"&gt;0")</f>
        <v>0</v>
      </c>
      <c r="AD42" s="140">
        <f>SUMIFS(Resumo_Trocas!$C:$C,Resumo_Trocas!$A:$A,$C42,Resumo_Trocas!$F:$F,AD$36,Resumo_Trocas!$C:$C,"&gt;0")</f>
        <v>1</v>
      </c>
      <c r="AE42" s="141">
        <f>SUMIFS(Resumo_Trocas!$D:$D,Resumo_Trocas!$A:$A,$C42,Resumo_Trocas!$F:$F,AD$36,Resumo_Trocas!$C:$C,"&gt;0")</f>
        <v>2</v>
      </c>
      <c r="AF42" s="140">
        <f>SUMIFS(Resumo_Trocas!$C:$C,Resumo_Trocas!$A:$A,$C42,Resumo_Trocas!$F:$F,AF$36,Resumo_Trocas!$C:$C,"&gt;0")</f>
        <v>0</v>
      </c>
      <c r="AG42" s="141">
        <f>SUMIFS(Resumo_Trocas!$D:$D,Resumo_Trocas!$A:$A,$C42,Resumo_Trocas!$F:$F,AF$36,Resumo_Trocas!$C:$C,"&gt;0")</f>
        <v>0</v>
      </c>
      <c r="AH42" s="140">
        <f>SUMIFS(Resumo_Trocas!$C:$C,Resumo_Trocas!$A:$A,$C42,Resumo_Trocas!$F:$F,AH$36,Resumo_Trocas!$C:$C,"&gt;0")</f>
        <v>0</v>
      </c>
      <c r="AI42" s="141">
        <f>SUMIFS(Resumo_Trocas!$D:$D,Resumo_Trocas!$A:$A,$C42,Resumo_Trocas!$F:$F,AH$36,Resumo_Trocas!$C:$C,"&gt;0")</f>
        <v>0</v>
      </c>
      <c r="AJ42" s="140">
        <f>SUMIFS(Resumo_Trocas!$C:$C,Resumo_Trocas!$A:$A,$C42,Resumo_Trocas!$F:$F,AJ$36,Resumo_Trocas!$C:$C,"&gt;0")</f>
        <v>0</v>
      </c>
      <c r="AK42" s="141">
        <f>SUMIFS(Resumo_Trocas!$D:$D,Resumo_Trocas!$A:$A,$C42,Resumo_Trocas!$F:$F,AJ$36,Resumo_Trocas!$C:$C,"&gt;0")</f>
        <v>0</v>
      </c>
      <c r="AL42" s="140">
        <f>SUMIFS(Resumo_Trocas!$C:$C,Resumo_Trocas!$A:$A,$C42,Resumo_Trocas!$F:$F,AL$36,Resumo_Trocas!$C:$C,"&gt;0")</f>
        <v>0</v>
      </c>
      <c r="AM42" s="141">
        <f>SUMIFS(Resumo_Trocas!$D:$D,Resumo_Trocas!$A:$A,$C42,Resumo_Trocas!$F:$F,AL$36,Resumo_Trocas!$C:$C,"&gt;0")</f>
        <v>0</v>
      </c>
      <c r="AN42" s="140">
        <f>SUMIFS(Resumo_Trocas!$C:$C,Resumo_Trocas!$A:$A,$C42,Resumo_Trocas!$F:$F,AN$36,Resumo_Trocas!$C:$C,"&gt;0")</f>
        <v>0</v>
      </c>
      <c r="AO42" s="141">
        <f>SUMIFS(Resumo_Trocas!$D:$D,Resumo_Trocas!$A:$A,$C42,Resumo_Trocas!$F:$F,AN$36,Resumo_Trocas!$C:$C,"&gt;0")</f>
        <v>0</v>
      </c>
    </row>
    <row r="43" spans="2:43" ht="15" customHeight="1" outlineLevel="1" thickBot="1" x14ac:dyDescent="0.3">
      <c r="B43" s="76"/>
      <c r="C43" s="147" t="s">
        <v>387</v>
      </c>
      <c r="D43" s="140">
        <f>SUMIFS(Resumo_Trocas!$C:$C,Resumo_Trocas!$A:$A,$C43,Resumo_Trocas!$F:$F,D$36,Resumo_Trocas!$C:$C,"&gt;0")</f>
        <v>1</v>
      </c>
      <c r="E43" s="141">
        <f>SUMIFS(Resumo_Trocas!$D:$D,Resumo_Trocas!$A:$A,$C43,Resumo_Trocas!$F:$F,D$36,Resumo_Trocas!$C:$C,"&gt;0")</f>
        <v>2</v>
      </c>
      <c r="F43" s="140">
        <f>SUMIFS(Resumo_Trocas!$C:$C,Resumo_Trocas!$A:$A,$C43,Resumo_Trocas!$F:$F,F$36,Resumo_Trocas!$C:$C,"&gt;0")</f>
        <v>0</v>
      </c>
      <c r="G43" s="141">
        <f>SUMIFS(Resumo_Trocas!$D:$D,Resumo_Trocas!$A:$A,$C43,Resumo_Trocas!$F:$F,F$36,Resumo_Trocas!$C:$C,"&gt;0")</f>
        <v>0</v>
      </c>
      <c r="H43" s="140">
        <f>SUMIFS(Resumo_Trocas!$C:$C,Resumo_Trocas!$A:$A,$C43,Resumo_Trocas!$F:$F,H$36,Resumo_Trocas!$C:$C,"&gt;0")</f>
        <v>1</v>
      </c>
      <c r="I43" s="141">
        <f>SUMIFS(Resumo_Trocas!$D:$D,Resumo_Trocas!$A:$A,$C43,Resumo_Trocas!$F:$F,H$36,Resumo_Trocas!$C:$C,"&gt;0")</f>
        <v>0</v>
      </c>
      <c r="J43" s="140">
        <f>SUMIFS(Resumo_Trocas!$C:$C,Resumo_Trocas!$A:$A,$C43,Resumo_Trocas!$F:$F,J$36,Resumo_Trocas!$C:$C,"&gt;0")</f>
        <v>1</v>
      </c>
      <c r="K43" s="141">
        <f>SUMIFS(Resumo_Trocas!$D:$D,Resumo_Trocas!$A:$A,$C43,Resumo_Trocas!$F:$F,J$36,Resumo_Trocas!$C:$C,"&gt;0")</f>
        <v>0</v>
      </c>
      <c r="L43" s="140">
        <f>SUMIFS(Resumo_Trocas!$C:$C,Resumo_Trocas!$A:$A,$C43,Resumo_Trocas!$F:$F,L$36,Resumo_Trocas!$C:$C,"&gt;0")</f>
        <v>0</v>
      </c>
      <c r="M43" s="141">
        <f>SUMIFS(Resumo_Trocas!$D:$D,Resumo_Trocas!$A:$A,$C43,Resumo_Trocas!$F:$F,L$36,Resumo_Trocas!$C:$C,"&gt;0")</f>
        <v>0</v>
      </c>
      <c r="N43" s="140">
        <f>SUMIFS(Resumo_Trocas!$C:$C,Resumo_Trocas!$A:$A,$C43,Resumo_Trocas!$F:$F,N$36,Resumo_Trocas!$C:$C,"&gt;0")</f>
        <v>0</v>
      </c>
      <c r="O43" s="141">
        <f>SUMIFS(Resumo_Trocas!$D:$D,Resumo_Trocas!$A:$A,$C43,Resumo_Trocas!$F:$F,N$36,Resumo_Trocas!$C:$C,"&gt;0")</f>
        <v>0</v>
      </c>
      <c r="P43" s="140">
        <f>SUMIFS(Resumo_Trocas!$C:$C,Resumo_Trocas!$A:$A,$C43,Resumo_Trocas!$F:$F,P$36,Resumo_Trocas!$C:$C,"&gt;0")</f>
        <v>1</v>
      </c>
      <c r="Q43" s="141">
        <f>SUMIFS(Resumo_Trocas!$D:$D,Resumo_Trocas!$A:$A,$C43,Resumo_Trocas!$F:$F,P$36,Resumo_Trocas!$C:$C,"&gt;0")</f>
        <v>0</v>
      </c>
      <c r="R43" s="140">
        <f>SUMIFS(Resumo_Trocas!$C:$C,Resumo_Trocas!$A:$A,$C43,Resumo_Trocas!$F:$F,R$36,Resumo_Trocas!$C:$C,"&gt;0")</f>
        <v>0</v>
      </c>
      <c r="S43" s="141">
        <f>SUMIFS(Resumo_Trocas!$D:$D,Resumo_Trocas!$A:$A,$C43,Resumo_Trocas!$F:$F,R$36,Resumo_Trocas!$C:$C,"&gt;0")</f>
        <v>0</v>
      </c>
      <c r="T43" s="140">
        <f>SUMIFS(Resumo_Trocas!$C:$C,Resumo_Trocas!$A:$A,$C43,Resumo_Trocas!$F:$F,T$36,Resumo_Trocas!$C:$C,"&gt;0")</f>
        <v>0</v>
      </c>
      <c r="U43" s="141">
        <f>SUMIFS(Resumo_Trocas!$D:$D,Resumo_Trocas!$A:$A,$C43,Resumo_Trocas!$F:$F,T$36,Resumo_Trocas!$C:$C,"&gt;0")</f>
        <v>0</v>
      </c>
      <c r="V43" s="140">
        <f>SUMIFS(Resumo_Trocas!$C:$C,Resumo_Trocas!$A:$A,$C43,Resumo_Trocas!$F:$F,V$36,Resumo_Trocas!$C:$C,"&gt;0")</f>
        <v>1</v>
      </c>
      <c r="W43" s="141">
        <f>SUMIFS(Resumo_Trocas!$D:$D,Resumo_Trocas!$A:$A,$C43,Resumo_Trocas!$F:$F,V$36,Resumo_Trocas!$C:$C,"&gt;0")</f>
        <v>0</v>
      </c>
      <c r="X43" s="140">
        <f>SUMIFS(Resumo_Trocas!$C:$C,Resumo_Trocas!$A:$A,$C43,Resumo_Trocas!$F:$F,X$36,Resumo_Trocas!$C:$C,"&gt;0")</f>
        <v>0</v>
      </c>
      <c r="Y43" s="141">
        <f>SUMIFS(Resumo_Trocas!$D:$D,Resumo_Trocas!$A:$A,$C43,Resumo_Trocas!$F:$F,X$36,Resumo_Trocas!$C:$C,"&gt;0")</f>
        <v>0</v>
      </c>
      <c r="Z43" s="140">
        <f>SUMIFS(Resumo_Trocas!$C:$C,Resumo_Trocas!$A:$A,$C43,Resumo_Trocas!$F:$F,Z$36,Resumo_Trocas!$C:$C,"&gt;0")</f>
        <v>0</v>
      </c>
      <c r="AA43" s="141">
        <f>SUMIFS(Resumo_Trocas!$D:$D,Resumo_Trocas!$A:$A,$C43,Resumo_Trocas!$F:$F,Z$36,Resumo_Trocas!$C:$C,"&gt;0")</f>
        <v>0</v>
      </c>
      <c r="AB43" s="140">
        <f>SUMIFS(Resumo_Trocas!$C:$C,Resumo_Trocas!$A:$A,$C43,Resumo_Trocas!$F:$F,AB$36,Resumo_Trocas!$C:$C,"&gt;0")</f>
        <v>0</v>
      </c>
      <c r="AC43" s="141">
        <f>SUMIFS(Resumo_Trocas!$D:$D,Resumo_Trocas!$A:$A,$C43,Resumo_Trocas!$F:$F,AB$36,Resumo_Trocas!$C:$C,"&gt;0")</f>
        <v>0</v>
      </c>
      <c r="AD43" s="140">
        <f>SUMIFS(Resumo_Trocas!$C:$C,Resumo_Trocas!$A:$A,$C43,Resumo_Trocas!$F:$F,AD$36,Resumo_Trocas!$C:$C,"&gt;0")</f>
        <v>0</v>
      </c>
      <c r="AE43" s="141">
        <f>SUMIFS(Resumo_Trocas!$D:$D,Resumo_Trocas!$A:$A,$C43,Resumo_Trocas!$F:$F,AD$36,Resumo_Trocas!$C:$C,"&gt;0")</f>
        <v>0</v>
      </c>
      <c r="AF43" s="140">
        <f>SUMIFS(Resumo_Trocas!$C:$C,Resumo_Trocas!$A:$A,$C43,Resumo_Trocas!$F:$F,AF$36,Resumo_Trocas!$C:$C,"&gt;0")</f>
        <v>1</v>
      </c>
      <c r="AG43" s="141">
        <f>SUMIFS(Resumo_Trocas!$D:$D,Resumo_Trocas!$A:$A,$C43,Resumo_Trocas!$F:$F,AF$36,Resumo_Trocas!$C:$C,"&gt;0")</f>
        <v>0</v>
      </c>
      <c r="AH43" s="140">
        <f>SUMIFS(Resumo_Trocas!$C:$C,Resumo_Trocas!$A:$A,$C43,Resumo_Trocas!$F:$F,AH$36,Resumo_Trocas!$C:$C,"&gt;0")</f>
        <v>0</v>
      </c>
      <c r="AI43" s="141">
        <f>SUMIFS(Resumo_Trocas!$D:$D,Resumo_Trocas!$A:$A,$C43,Resumo_Trocas!$F:$F,AH$36,Resumo_Trocas!$C:$C,"&gt;0")</f>
        <v>0</v>
      </c>
      <c r="AJ43" s="140">
        <f>SUMIFS(Resumo_Trocas!$C:$C,Resumo_Trocas!$A:$A,$C43,Resumo_Trocas!$F:$F,AJ$36,Resumo_Trocas!$C:$C,"&gt;0")</f>
        <v>0</v>
      </c>
      <c r="AK43" s="141">
        <f>SUMIFS(Resumo_Trocas!$D:$D,Resumo_Trocas!$A:$A,$C43,Resumo_Trocas!$F:$F,AJ$36,Resumo_Trocas!$C:$C,"&gt;0")</f>
        <v>0</v>
      </c>
      <c r="AL43" s="140">
        <f>SUMIFS(Resumo_Trocas!$C:$C,Resumo_Trocas!$A:$A,$C43,Resumo_Trocas!$F:$F,AL$36,Resumo_Trocas!$C:$C,"&gt;0")</f>
        <v>1</v>
      </c>
      <c r="AM43" s="141">
        <f>SUMIFS(Resumo_Trocas!$D:$D,Resumo_Trocas!$A:$A,$C43,Resumo_Trocas!$F:$F,AL$36,Resumo_Trocas!$C:$C,"&gt;0")</f>
        <v>0</v>
      </c>
      <c r="AN43" s="140">
        <f>SUMIFS(Resumo_Trocas!$C:$C,Resumo_Trocas!$A:$A,$C43,Resumo_Trocas!$F:$F,AN$36,Resumo_Trocas!$C:$C,"&gt;0")</f>
        <v>0</v>
      </c>
      <c r="AO43" s="141">
        <f>SUMIFS(Resumo_Trocas!$D:$D,Resumo_Trocas!$A:$A,$C43,Resumo_Trocas!$F:$F,AN$36,Resumo_Trocas!$C:$C,"&gt;0")</f>
        <v>0</v>
      </c>
    </row>
    <row r="44" spans="2:43" ht="15" customHeight="1" outlineLevel="1" thickBot="1" x14ac:dyDescent="0.3">
      <c r="B44" s="76"/>
      <c r="C44" s="147" t="s">
        <v>390</v>
      </c>
      <c r="D44" s="140">
        <f>SUMIFS(Resumo_Trocas!$C:$C,Resumo_Trocas!$A:$A,$C44,Resumo_Trocas!$F:$F,D$36,Resumo_Trocas!$C:$C,"&gt;0")</f>
        <v>1</v>
      </c>
      <c r="E44" s="141">
        <f>SUMIFS(Resumo_Trocas!$D:$D,Resumo_Trocas!$A:$A,$C44,Resumo_Trocas!$F:$F,D$36,Resumo_Trocas!$C:$C,"&gt;0")</f>
        <v>0</v>
      </c>
      <c r="F44" s="140">
        <f>SUMIFS(Resumo_Trocas!$C:$C,Resumo_Trocas!$A:$A,$C44,Resumo_Trocas!$F:$F,F$36,Resumo_Trocas!$C:$C,"&gt;0")</f>
        <v>0</v>
      </c>
      <c r="G44" s="141">
        <f>SUMIFS(Resumo_Trocas!$D:$D,Resumo_Trocas!$A:$A,$C44,Resumo_Trocas!$F:$F,F$36,Resumo_Trocas!$C:$C,"&gt;0")</f>
        <v>0</v>
      </c>
      <c r="H44" s="140">
        <f>SUMIFS(Resumo_Trocas!$C:$C,Resumo_Trocas!$A:$A,$C44,Resumo_Trocas!$F:$F,H$36,Resumo_Trocas!$C:$C,"&gt;0")</f>
        <v>0</v>
      </c>
      <c r="I44" s="141">
        <f>SUMIFS(Resumo_Trocas!$D:$D,Resumo_Trocas!$A:$A,$C44,Resumo_Trocas!$F:$F,H$36,Resumo_Trocas!$C:$C,"&gt;0")</f>
        <v>0</v>
      </c>
      <c r="J44" s="140">
        <f>SUMIFS(Resumo_Trocas!$C:$C,Resumo_Trocas!$A:$A,$C44,Resumo_Trocas!$F:$F,J$36,Resumo_Trocas!$C:$C,"&gt;0")</f>
        <v>0</v>
      </c>
      <c r="K44" s="141">
        <f>SUMIFS(Resumo_Trocas!$D:$D,Resumo_Trocas!$A:$A,$C44,Resumo_Trocas!$F:$F,J$36,Resumo_Trocas!$C:$C,"&gt;0")</f>
        <v>0</v>
      </c>
      <c r="L44" s="140">
        <f>SUMIFS(Resumo_Trocas!$C:$C,Resumo_Trocas!$A:$A,$C44,Resumo_Trocas!$F:$F,L$36,Resumo_Trocas!$C:$C,"&gt;0")</f>
        <v>1</v>
      </c>
      <c r="M44" s="141">
        <f>SUMIFS(Resumo_Trocas!$D:$D,Resumo_Trocas!$A:$A,$C44,Resumo_Trocas!$F:$F,L$36,Resumo_Trocas!$C:$C,"&gt;0")</f>
        <v>0</v>
      </c>
      <c r="N44" s="140">
        <f>SUMIFS(Resumo_Trocas!$C:$C,Resumo_Trocas!$A:$A,$C44,Resumo_Trocas!$F:$F,N$36,Resumo_Trocas!$C:$C,"&gt;0")</f>
        <v>0</v>
      </c>
      <c r="O44" s="141">
        <f>SUMIFS(Resumo_Trocas!$D:$D,Resumo_Trocas!$A:$A,$C44,Resumo_Trocas!$F:$F,N$36,Resumo_Trocas!$C:$C,"&gt;0")</f>
        <v>0</v>
      </c>
      <c r="P44" s="140">
        <f>SUMIFS(Resumo_Trocas!$C:$C,Resumo_Trocas!$A:$A,$C44,Resumo_Trocas!$F:$F,P$36,Resumo_Trocas!$C:$C,"&gt;0")</f>
        <v>0</v>
      </c>
      <c r="Q44" s="141">
        <f>SUMIFS(Resumo_Trocas!$D:$D,Resumo_Trocas!$A:$A,$C44,Resumo_Trocas!$F:$F,P$36,Resumo_Trocas!$C:$C,"&gt;0")</f>
        <v>0</v>
      </c>
      <c r="R44" s="140">
        <f>SUMIFS(Resumo_Trocas!$C:$C,Resumo_Trocas!$A:$A,$C44,Resumo_Trocas!$F:$F,R$36,Resumo_Trocas!$C:$C,"&gt;0")</f>
        <v>0</v>
      </c>
      <c r="S44" s="141">
        <f>SUMIFS(Resumo_Trocas!$D:$D,Resumo_Trocas!$A:$A,$C44,Resumo_Trocas!$F:$F,R$36,Resumo_Trocas!$C:$C,"&gt;0")</f>
        <v>0</v>
      </c>
      <c r="T44" s="140">
        <f>SUMIFS(Resumo_Trocas!$C:$C,Resumo_Trocas!$A:$A,$C44,Resumo_Trocas!$F:$F,T$36,Resumo_Trocas!$C:$C,"&gt;0")</f>
        <v>0</v>
      </c>
      <c r="U44" s="141">
        <f>SUMIFS(Resumo_Trocas!$D:$D,Resumo_Trocas!$A:$A,$C44,Resumo_Trocas!$F:$F,T$36,Resumo_Trocas!$C:$C,"&gt;0")</f>
        <v>0</v>
      </c>
      <c r="V44" s="140">
        <f>SUMIFS(Resumo_Trocas!$C:$C,Resumo_Trocas!$A:$A,$C44,Resumo_Trocas!$F:$F,V$36,Resumo_Trocas!$C:$C,"&gt;0")</f>
        <v>1</v>
      </c>
      <c r="W44" s="141">
        <f>SUMIFS(Resumo_Trocas!$D:$D,Resumo_Trocas!$A:$A,$C44,Resumo_Trocas!$F:$F,V$36,Resumo_Trocas!$C:$C,"&gt;0")</f>
        <v>0</v>
      </c>
      <c r="X44" s="140">
        <f>SUMIFS(Resumo_Trocas!$C:$C,Resumo_Trocas!$A:$A,$C44,Resumo_Trocas!$F:$F,X$36,Resumo_Trocas!$C:$C,"&gt;0")</f>
        <v>0</v>
      </c>
      <c r="Y44" s="141">
        <f>SUMIFS(Resumo_Trocas!$D:$D,Resumo_Trocas!$A:$A,$C44,Resumo_Trocas!$F:$F,X$36,Resumo_Trocas!$C:$C,"&gt;0")</f>
        <v>0</v>
      </c>
      <c r="Z44" s="140">
        <f>SUMIFS(Resumo_Trocas!$C:$C,Resumo_Trocas!$A:$A,$C44,Resumo_Trocas!$F:$F,Z$36,Resumo_Trocas!$C:$C,"&gt;0")</f>
        <v>1</v>
      </c>
      <c r="AA44" s="141">
        <f>SUMIFS(Resumo_Trocas!$D:$D,Resumo_Trocas!$A:$A,$C44,Resumo_Trocas!$F:$F,Z$36,Resumo_Trocas!$C:$C,"&gt;0")</f>
        <v>0</v>
      </c>
      <c r="AB44" s="140">
        <f>SUMIFS(Resumo_Trocas!$C:$C,Resumo_Trocas!$A:$A,$C44,Resumo_Trocas!$F:$F,AB$36,Resumo_Trocas!$C:$C,"&gt;0")</f>
        <v>0</v>
      </c>
      <c r="AC44" s="141">
        <f>SUMIFS(Resumo_Trocas!$D:$D,Resumo_Trocas!$A:$A,$C44,Resumo_Trocas!$F:$F,AB$36,Resumo_Trocas!$C:$C,"&gt;0")</f>
        <v>0</v>
      </c>
      <c r="AD44" s="140">
        <f>SUMIFS(Resumo_Trocas!$C:$C,Resumo_Trocas!$A:$A,$C44,Resumo_Trocas!$F:$F,AD$36,Resumo_Trocas!$C:$C,"&gt;0")</f>
        <v>0</v>
      </c>
      <c r="AE44" s="141">
        <f>SUMIFS(Resumo_Trocas!$D:$D,Resumo_Trocas!$A:$A,$C44,Resumo_Trocas!$F:$F,AD$36,Resumo_Trocas!$C:$C,"&gt;0")</f>
        <v>0</v>
      </c>
      <c r="AF44" s="140">
        <f>SUMIFS(Resumo_Trocas!$C:$C,Resumo_Trocas!$A:$A,$C44,Resumo_Trocas!$F:$F,AF$36,Resumo_Trocas!$C:$C,"&gt;0")</f>
        <v>0</v>
      </c>
      <c r="AG44" s="141">
        <f>SUMIFS(Resumo_Trocas!$D:$D,Resumo_Trocas!$A:$A,$C44,Resumo_Trocas!$F:$F,AF$36,Resumo_Trocas!$C:$C,"&gt;0")</f>
        <v>0</v>
      </c>
      <c r="AH44" s="140">
        <f>SUMIFS(Resumo_Trocas!$C:$C,Resumo_Trocas!$A:$A,$C44,Resumo_Trocas!$F:$F,AH$36,Resumo_Trocas!$C:$C,"&gt;0")</f>
        <v>0</v>
      </c>
      <c r="AI44" s="141">
        <f>SUMIFS(Resumo_Trocas!$D:$D,Resumo_Trocas!$A:$A,$C44,Resumo_Trocas!$F:$F,AH$36,Resumo_Trocas!$C:$C,"&gt;0")</f>
        <v>0</v>
      </c>
      <c r="AJ44" s="140">
        <f>SUMIFS(Resumo_Trocas!$C:$C,Resumo_Trocas!$A:$A,$C44,Resumo_Trocas!$F:$F,AJ$36,Resumo_Trocas!$C:$C,"&gt;0")</f>
        <v>0</v>
      </c>
      <c r="AK44" s="141">
        <f>SUMIFS(Resumo_Trocas!$D:$D,Resumo_Trocas!$A:$A,$C44,Resumo_Trocas!$F:$F,AJ$36,Resumo_Trocas!$C:$C,"&gt;0")</f>
        <v>0</v>
      </c>
      <c r="AL44" s="140">
        <f>SUMIFS(Resumo_Trocas!$C:$C,Resumo_Trocas!$A:$A,$C44,Resumo_Trocas!$F:$F,AL$36,Resumo_Trocas!$C:$C,"&gt;0")</f>
        <v>1</v>
      </c>
      <c r="AM44" s="141">
        <f>SUMIFS(Resumo_Trocas!$D:$D,Resumo_Trocas!$A:$A,$C44,Resumo_Trocas!$F:$F,AL$36,Resumo_Trocas!$C:$C,"&gt;0")</f>
        <v>0</v>
      </c>
      <c r="AN44" s="140">
        <f>SUMIFS(Resumo_Trocas!$C:$C,Resumo_Trocas!$A:$A,$C44,Resumo_Trocas!$F:$F,AN$36,Resumo_Trocas!$C:$C,"&gt;0")</f>
        <v>0</v>
      </c>
      <c r="AO44" s="141">
        <f>SUMIFS(Resumo_Trocas!$D:$D,Resumo_Trocas!$A:$A,$C44,Resumo_Trocas!$F:$F,AN$36,Resumo_Trocas!$C:$C,"&gt;0")</f>
        <v>0</v>
      </c>
    </row>
    <row r="45" spans="2:43" ht="15" customHeight="1" outlineLevel="1" thickBot="1" x14ac:dyDescent="0.3">
      <c r="B45" s="76"/>
      <c r="C45" s="146" t="s">
        <v>393</v>
      </c>
      <c r="D45" s="140">
        <f>SUMIFS(Resumo_Trocas!$C:$C,Resumo_Trocas!$A:$A,$C45,Resumo_Trocas!$F:$F,D$36,Resumo_Trocas!$C:$C,"&gt;0")</f>
        <v>0</v>
      </c>
      <c r="E45" s="141">
        <f>SUMIFS(Resumo_Trocas!$D:$D,Resumo_Trocas!$A:$A,$C45,Resumo_Trocas!$F:$F,D$36,Resumo_Trocas!$C:$C,"&gt;0")</f>
        <v>0</v>
      </c>
      <c r="F45" s="140">
        <f>SUMIFS(Resumo_Trocas!$C:$C,Resumo_Trocas!$A:$A,$C45,Resumo_Trocas!$F:$F,F$36,Resumo_Trocas!$C:$C,"&gt;0")</f>
        <v>1</v>
      </c>
      <c r="G45" s="141">
        <f>SUMIFS(Resumo_Trocas!$D:$D,Resumo_Trocas!$A:$A,$C45,Resumo_Trocas!$F:$F,F$36,Resumo_Trocas!$C:$C,"&gt;0")</f>
        <v>3</v>
      </c>
      <c r="H45" s="140">
        <f>SUMIFS(Resumo_Trocas!$C:$C,Resumo_Trocas!$A:$A,$C45,Resumo_Trocas!$F:$F,H$36,Resumo_Trocas!$C:$C,"&gt;0")</f>
        <v>1</v>
      </c>
      <c r="I45" s="141">
        <f>SUMIFS(Resumo_Trocas!$D:$D,Resumo_Trocas!$A:$A,$C45,Resumo_Trocas!$F:$F,H$36,Resumo_Trocas!$C:$C,"&gt;0")</f>
        <v>3</v>
      </c>
      <c r="J45" s="140">
        <f>SUMIFS(Resumo_Trocas!$C:$C,Resumo_Trocas!$A:$A,$C45,Resumo_Trocas!$F:$F,J$36,Resumo_Trocas!$C:$C,"&gt;0")</f>
        <v>0</v>
      </c>
      <c r="K45" s="141">
        <f>SUMIFS(Resumo_Trocas!$D:$D,Resumo_Trocas!$A:$A,$C45,Resumo_Trocas!$F:$F,J$36,Resumo_Trocas!$C:$C,"&gt;0")</f>
        <v>0</v>
      </c>
      <c r="L45" s="140">
        <f>SUMIFS(Resumo_Trocas!$C:$C,Resumo_Trocas!$A:$A,$C45,Resumo_Trocas!$F:$F,L$36,Resumo_Trocas!$C:$C,"&gt;0")</f>
        <v>0</v>
      </c>
      <c r="M45" s="141">
        <f>SUMIFS(Resumo_Trocas!$D:$D,Resumo_Trocas!$A:$A,$C45,Resumo_Trocas!$F:$F,L$36,Resumo_Trocas!$C:$C,"&gt;0")</f>
        <v>0</v>
      </c>
      <c r="N45" s="140">
        <f>SUMIFS(Resumo_Trocas!$C:$C,Resumo_Trocas!$A:$A,$C45,Resumo_Trocas!$F:$F,N$36,Resumo_Trocas!$C:$C,"&gt;0")</f>
        <v>0</v>
      </c>
      <c r="O45" s="141">
        <f>SUMIFS(Resumo_Trocas!$D:$D,Resumo_Trocas!$A:$A,$C45,Resumo_Trocas!$F:$F,N$36,Resumo_Trocas!$C:$C,"&gt;0")</f>
        <v>0</v>
      </c>
      <c r="P45" s="140">
        <f>SUMIFS(Resumo_Trocas!$C:$C,Resumo_Trocas!$A:$A,$C45,Resumo_Trocas!$F:$F,P$36,Resumo_Trocas!$C:$C,"&gt;0")</f>
        <v>1</v>
      </c>
      <c r="Q45" s="141">
        <f>SUMIFS(Resumo_Trocas!$D:$D,Resumo_Trocas!$A:$A,$C45,Resumo_Trocas!$F:$F,P$36,Resumo_Trocas!$C:$C,"&gt;0")</f>
        <v>3</v>
      </c>
      <c r="R45" s="140">
        <f>SUMIFS(Resumo_Trocas!$C:$C,Resumo_Trocas!$A:$A,$C45,Resumo_Trocas!$F:$F,R$36,Resumo_Trocas!$C:$C,"&gt;0")</f>
        <v>0</v>
      </c>
      <c r="S45" s="141">
        <f>SUMIFS(Resumo_Trocas!$D:$D,Resumo_Trocas!$A:$A,$C45,Resumo_Trocas!$F:$F,R$36,Resumo_Trocas!$C:$C,"&gt;0")</f>
        <v>0</v>
      </c>
      <c r="T45" s="140">
        <f>SUMIFS(Resumo_Trocas!$C:$C,Resumo_Trocas!$A:$A,$C45,Resumo_Trocas!$F:$F,T$36,Resumo_Trocas!$C:$C,"&gt;0")</f>
        <v>1</v>
      </c>
      <c r="U45" s="141">
        <f>SUMIFS(Resumo_Trocas!$D:$D,Resumo_Trocas!$A:$A,$C45,Resumo_Trocas!$F:$F,T$36,Resumo_Trocas!$C:$C,"&gt;0")</f>
        <v>3</v>
      </c>
      <c r="V45" s="140">
        <f>SUMIFS(Resumo_Trocas!$C:$C,Resumo_Trocas!$A:$A,$C45,Resumo_Trocas!$F:$F,V$36,Resumo_Trocas!$C:$C,"&gt;0")</f>
        <v>1</v>
      </c>
      <c r="W45" s="141">
        <f>SUMIFS(Resumo_Trocas!$D:$D,Resumo_Trocas!$A:$A,$C45,Resumo_Trocas!$F:$F,V$36,Resumo_Trocas!$C:$C,"&gt;0")</f>
        <v>3</v>
      </c>
      <c r="X45" s="140">
        <f>SUMIFS(Resumo_Trocas!$C:$C,Resumo_Trocas!$A:$A,$C45,Resumo_Trocas!$F:$F,X$36,Resumo_Trocas!$C:$C,"&gt;0")</f>
        <v>1</v>
      </c>
      <c r="Y45" s="141">
        <f>SUMIFS(Resumo_Trocas!$D:$D,Resumo_Trocas!$A:$A,$C45,Resumo_Trocas!$F:$F,X$36,Resumo_Trocas!$C:$C,"&gt;0")</f>
        <v>3</v>
      </c>
      <c r="Z45" s="140">
        <f>SUMIFS(Resumo_Trocas!$C:$C,Resumo_Trocas!$A:$A,$C45,Resumo_Trocas!$F:$F,Z$36,Resumo_Trocas!$C:$C,"&gt;0")</f>
        <v>2</v>
      </c>
      <c r="AA45" s="141">
        <f>SUMIFS(Resumo_Trocas!$D:$D,Resumo_Trocas!$A:$A,$C45,Resumo_Trocas!$F:$F,Z$36,Resumo_Trocas!$C:$C,"&gt;0")</f>
        <v>6</v>
      </c>
      <c r="AB45" s="140">
        <f>SUMIFS(Resumo_Trocas!$C:$C,Resumo_Trocas!$A:$A,$C45,Resumo_Trocas!$F:$F,AB$36,Resumo_Trocas!$C:$C,"&gt;0")</f>
        <v>0</v>
      </c>
      <c r="AC45" s="141">
        <f>SUMIFS(Resumo_Trocas!$D:$D,Resumo_Trocas!$A:$A,$C45,Resumo_Trocas!$F:$F,AB$36,Resumo_Trocas!$C:$C,"&gt;0")</f>
        <v>0</v>
      </c>
      <c r="AD45" s="140">
        <f>SUMIFS(Resumo_Trocas!$C:$C,Resumo_Trocas!$A:$A,$C45,Resumo_Trocas!$F:$F,AD$36,Resumo_Trocas!$C:$C,"&gt;0")</f>
        <v>1</v>
      </c>
      <c r="AE45" s="141">
        <f>SUMIFS(Resumo_Trocas!$D:$D,Resumo_Trocas!$A:$A,$C45,Resumo_Trocas!$F:$F,AD$36,Resumo_Trocas!$C:$C,"&gt;0")</f>
        <v>2</v>
      </c>
      <c r="AF45" s="140">
        <f>SUMIFS(Resumo_Trocas!$C:$C,Resumo_Trocas!$A:$A,$C45,Resumo_Trocas!$F:$F,AF$36,Resumo_Trocas!$C:$C,"&gt;0")</f>
        <v>0</v>
      </c>
      <c r="AG45" s="141">
        <f>SUMIFS(Resumo_Trocas!$D:$D,Resumo_Trocas!$A:$A,$C45,Resumo_Trocas!$F:$F,AF$36,Resumo_Trocas!$C:$C,"&gt;0")</f>
        <v>0</v>
      </c>
      <c r="AH45" s="140">
        <f>SUMIFS(Resumo_Trocas!$C:$C,Resumo_Trocas!$A:$A,$C45,Resumo_Trocas!$F:$F,AH$36,Resumo_Trocas!$C:$C,"&gt;0")</f>
        <v>0</v>
      </c>
      <c r="AI45" s="141">
        <f>SUMIFS(Resumo_Trocas!$D:$D,Resumo_Trocas!$A:$A,$C45,Resumo_Trocas!$F:$F,AH$36,Resumo_Trocas!$C:$C,"&gt;0")</f>
        <v>0</v>
      </c>
      <c r="AJ45" s="140">
        <f>SUMIFS(Resumo_Trocas!$C:$C,Resumo_Trocas!$A:$A,$C45,Resumo_Trocas!$F:$F,AJ$36,Resumo_Trocas!$C:$C,"&gt;0")</f>
        <v>0</v>
      </c>
      <c r="AK45" s="141">
        <f>SUMIFS(Resumo_Trocas!$D:$D,Resumo_Trocas!$A:$A,$C45,Resumo_Trocas!$F:$F,AJ$36,Resumo_Trocas!$C:$C,"&gt;0")</f>
        <v>0</v>
      </c>
      <c r="AL45" s="140">
        <f>SUMIFS(Resumo_Trocas!$C:$C,Resumo_Trocas!$A:$A,$C45,Resumo_Trocas!$F:$F,AL$36,Resumo_Trocas!$C:$C,"&gt;0")</f>
        <v>0</v>
      </c>
      <c r="AM45" s="141">
        <f>SUMIFS(Resumo_Trocas!$D:$D,Resumo_Trocas!$A:$A,$C45,Resumo_Trocas!$F:$F,AL$36,Resumo_Trocas!$C:$C,"&gt;0")</f>
        <v>0</v>
      </c>
      <c r="AN45" s="140">
        <f>SUMIFS(Resumo_Trocas!$C:$C,Resumo_Trocas!$A:$A,$C45,Resumo_Trocas!$F:$F,AN$36,Resumo_Trocas!$C:$C,"&gt;0")</f>
        <v>0</v>
      </c>
      <c r="AO45" s="141">
        <f>SUMIFS(Resumo_Trocas!$D:$D,Resumo_Trocas!$A:$A,$C45,Resumo_Trocas!$F:$F,AN$36,Resumo_Trocas!$C:$C,"&gt;0")</f>
        <v>0</v>
      </c>
    </row>
    <row r="46" spans="2:43" ht="15" customHeight="1" outlineLevel="1" thickBot="1" x14ac:dyDescent="0.3">
      <c r="B46" s="76"/>
      <c r="C46" s="147" t="s">
        <v>396</v>
      </c>
      <c r="D46" s="140">
        <f>SUMIFS(Resumo_Trocas!$C:$C,Resumo_Trocas!$A:$A,$C46,Resumo_Trocas!$F:$F,D$36,Resumo_Trocas!$C:$C,"&gt;0")</f>
        <v>0</v>
      </c>
      <c r="E46" s="141">
        <f>SUMIFS(Resumo_Trocas!$D:$D,Resumo_Trocas!$A:$A,$C46,Resumo_Trocas!$F:$F,D$36,Resumo_Trocas!$C:$C,"&gt;0")</f>
        <v>0</v>
      </c>
      <c r="F46" s="140">
        <f>SUMIFS(Resumo_Trocas!$C:$C,Resumo_Trocas!$A:$A,$C46,Resumo_Trocas!$F:$F,F$36,Resumo_Trocas!$C:$C,"&gt;0")</f>
        <v>2</v>
      </c>
      <c r="G46" s="141">
        <f>SUMIFS(Resumo_Trocas!$D:$D,Resumo_Trocas!$A:$A,$C46,Resumo_Trocas!$F:$F,F$36,Resumo_Trocas!$C:$C,"&gt;0")</f>
        <v>6</v>
      </c>
      <c r="H46" s="140">
        <f>SUMIFS(Resumo_Trocas!$C:$C,Resumo_Trocas!$A:$A,$C46,Resumo_Trocas!$F:$F,H$36,Resumo_Trocas!$C:$C,"&gt;0")</f>
        <v>0</v>
      </c>
      <c r="I46" s="141">
        <f>SUMIFS(Resumo_Trocas!$D:$D,Resumo_Trocas!$A:$A,$C46,Resumo_Trocas!$F:$F,H$36,Resumo_Trocas!$C:$C,"&gt;0")</f>
        <v>0</v>
      </c>
      <c r="J46" s="140">
        <f>SUMIFS(Resumo_Trocas!$C:$C,Resumo_Trocas!$A:$A,$C46,Resumo_Trocas!$F:$F,J$36,Resumo_Trocas!$C:$C,"&gt;0")</f>
        <v>2</v>
      </c>
      <c r="K46" s="141">
        <f>SUMIFS(Resumo_Trocas!$D:$D,Resumo_Trocas!$A:$A,$C46,Resumo_Trocas!$F:$F,J$36,Resumo_Trocas!$C:$C,"&gt;0")</f>
        <v>6</v>
      </c>
      <c r="L46" s="140">
        <f>SUMIFS(Resumo_Trocas!$C:$C,Resumo_Trocas!$A:$A,$C46,Resumo_Trocas!$F:$F,L$36,Resumo_Trocas!$C:$C,"&gt;0")</f>
        <v>3</v>
      </c>
      <c r="M46" s="141">
        <f>SUMIFS(Resumo_Trocas!$D:$D,Resumo_Trocas!$A:$A,$C46,Resumo_Trocas!$F:$F,L$36,Resumo_Trocas!$C:$C,"&gt;0")</f>
        <v>10</v>
      </c>
      <c r="N46" s="140">
        <f>SUMIFS(Resumo_Trocas!$C:$C,Resumo_Trocas!$A:$A,$C46,Resumo_Trocas!$F:$F,N$36,Resumo_Trocas!$C:$C,"&gt;0")</f>
        <v>0</v>
      </c>
      <c r="O46" s="141">
        <f>SUMIFS(Resumo_Trocas!$D:$D,Resumo_Trocas!$A:$A,$C46,Resumo_Trocas!$F:$F,N$36,Resumo_Trocas!$C:$C,"&gt;0")</f>
        <v>0</v>
      </c>
      <c r="P46" s="140">
        <f>SUMIFS(Resumo_Trocas!$C:$C,Resumo_Trocas!$A:$A,$C46,Resumo_Trocas!$F:$F,P$36,Resumo_Trocas!$C:$C,"&gt;0")</f>
        <v>1</v>
      </c>
      <c r="Q46" s="141">
        <f>SUMIFS(Resumo_Trocas!$D:$D,Resumo_Trocas!$A:$A,$C46,Resumo_Trocas!$F:$F,P$36,Resumo_Trocas!$C:$C,"&gt;0")</f>
        <v>4</v>
      </c>
      <c r="R46" s="140">
        <f>SUMIFS(Resumo_Trocas!$C:$C,Resumo_Trocas!$A:$A,$C46,Resumo_Trocas!$F:$F,R$36,Resumo_Trocas!$C:$C,"&gt;0")</f>
        <v>1</v>
      </c>
      <c r="S46" s="141">
        <f>SUMIFS(Resumo_Trocas!$D:$D,Resumo_Trocas!$A:$A,$C46,Resumo_Trocas!$F:$F,R$36,Resumo_Trocas!$C:$C,"&gt;0")</f>
        <v>4</v>
      </c>
      <c r="T46" s="140">
        <f>SUMIFS(Resumo_Trocas!$C:$C,Resumo_Trocas!$A:$A,$C46,Resumo_Trocas!$F:$F,T$36,Resumo_Trocas!$C:$C,"&gt;0")</f>
        <v>1</v>
      </c>
      <c r="U46" s="141">
        <f>SUMIFS(Resumo_Trocas!$D:$D,Resumo_Trocas!$A:$A,$C46,Resumo_Trocas!$F:$F,T$36,Resumo_Trocas!$C:$C,"&gt;0")</f>
        <v>4</v>
      </c>
      <c r="V46" s="140">
        <f>SUMIFS(Resumo_Trocas!$C:$C,Resumo_Trocas!$A:$A,$C46,Resumo_Trocas!$F:$F,V$36,Resumo_Trocas!$C:$C,"&gt;0")</f>
        <v>1</v>
      </c>
      <c r="W46" s="141">
        <f>SUMIFS(Resumo_Trocas!$D:$D,Resumo_Trocas!$A:$A,$C46,Resumo_Trocas!$F:$F,V$36,Resumo_Trocas!$C:$C,"&gt;0")</f>
        <v>4</v>
      </c>
      <c r="X46" s="140">
        <f>SUMIFS(Resumo_Trocas!$C:$C,Resumo_Trocas!$A:$A,$C46,Resumo_Trocas!$F:$F,X$36,Resumo_Trocas!$C:$C,"&gt;0")</f>
        <v>2</v>
      </c>
      <c r="Y46" s="141">
        <f>SUMIFS(Resumo_Trocas!$D:$D,Resumo_Trocas!$A:$A,$C46,Resumo_Trocas!$F:$F,X$36,Resumo_Trocas!$C:$C,"&gt;0")</f>
        <v>8</v>
      </c>
      <c r="Z46" s="140">
        <f>SUMIFS(Resumo_Trocas!$C:$C,Resumo_Trocas!$A:$A,$C46,Resumo_Trocas!$F:$F,Z$36,Resumo_Trocas!$C:$C,"&gt;0")</f>
        <v>2</v>
      </c>
      <c r="AA46" s="141">
        <f>SUMIFS(Resumo_Trocas!$D:$D,Resumo_Trocas!$A:$A,$C46,Resumo_Trocas!$F:$F,Z$36,Resumo_Trocas!$C:$C,"&gt;0")</f>
        <v>6</v>
      </c>
      <c r="AB46" s="140">
        <f>SUMIFS(Resumo_Trocas!$C:$C,Resumo_Trocas!$A:$A,$C46,Resumo_Trocas!$F:$F,AB$36,Resumo_Trocas!$C:$C,"&gt;0")</f>
        <v>2</v>
      </c>
      <c r="AC46" s="141">
        <f>SUMIFS(Resumo_Trocas!$D:$D,Resumo_Trocas!$A:$A,$C46,Resumo_Trocas!$F:$F,AB$36,Resumo_Trocas!$C:$C,"&gt;0")</f>
        <v>6</v>
      </c>
      <c r="AD46" s="140">
        <f>SUMIFS(Resumo_Trocas!$C:$C,Resumo_Trocas!$A:$A,$C46,Resumo_Trocas!$F:$F,AD$36,Resumo_Trocas!$C:$C,"&gt;0")</f>
        <v>1</v>
      </c>
      <c r="AE46" s="141">
        <f>SUMIFS(Resumo_Trocas!$D:$D,Resumo_Trocas!$A:$A,$C46,Resumo_Trocas!$F:$F,AD$36,Resumo_Trocas!$C:$C,"&gt;0")</f>
        <v>3</v>
      </c>
      <c r="AF46" s="140">
        <f>SUMIFS(Resumo_Trocas!$C:$C,Resumo_Trocas!$A:$A,$C46,Resumo_Trocas!$F:$F,AF$36,Resumo_Trocas!$C:$C,"&gt;0")</f>
        <v>3</v>
      </c>
      <c r="AG46" s="141">
        <f>SUMIFS(Resumo_Trocas!$D:$D,Resumo_Trocas!$A:$A,$C46,Resumo_Trocas!$F:$F,AF$36,Resumo_Trocas!$C:$C,"&gt;0")</f>
        <v>12</v>
      </c>
      <c r="AH46" s="140">
        <f>SUMIFS(Resumo_Trocas!$C:$C,Resumo_Trocas!$A:$A,$C46,Resumo_Trocas!$F:$F,AH$36,Resumo_Trocas!$C:$C,"&gt;0")</f>
        <v>1</v>
      </c>
      <c r="AI46" s="141">
        <f>SUMIFS(Resumo_Trocas!$D:$D,Resumo_Trocas!$A:$A,$C46,Resumo_Trocas!$F:$F,AH$36,Resumo_Trocas!$C:$C,"&gt;0")</f>
        <v>4</v>
      </c>
      <c r="AJ46" s="140">
        <f>SUMIFS(Resumo_Trocas!$C:$C,Resumo_Trocas!$A:$A,$C46,Resumo_Trocas!$F:$F,AJ$36,Resumo_Trocas!$C:$C,"&gt;0")</f>
        <v>2</v>
      </c>
      <c r="AK46" s="141">
        <f>SUMIFS(Resumo_Trocas!$D:$D,Resumo_Trocas!$A:$A,$C46,Resumo_Trocas!$F:$F,AJ$36,Resumo_Trocas!$C:$C,"&gt;0")</f>
        <v>8</v>
      </c>
      <c r="AL46" s="140">
        <f>SUMIFS(Resumo_Trocas!$C:$C,Resumo_Trocas!$A:$A,$C46,Resumo_Trocas!$F:$F,AL$36,Resumo_Trocas!$C:$C,"&gt;0")</f>
        <v>1</v>
      </c>
      <c r="AM46" s="141">
        <f>SUMIFS(Resumo_Trocas!$D:$D,Resumo_Trocas!$A:$A,$C46,Resumo_Trocas!$F:$F,AL$36,Resumo_Trocas!$C:$C,"&gt;0")</f>
        <v>4</v>
      </c>
      <c r="AN46" s="140">
        <f>SUMIFS(Resumo_Trocas!$C:$C,Resumo_Trocas!$A:$A,$C46,Resumo_Trocas!$F:$F,AN$36,Resumo_Trocas!$C:$C,"&gt;0")</f>
        <v>0</v>
      </c>
      <c r="AO46" s="141">
        <f>SUMIFS(Resumo_Trocas!$D:$D,Resumo_Trocas!$A:$A,$C46,Resumo_Trocas!$F:$F,AN$36,Resumo_Trocas!$C:$C,"&gt;0")</f>
        <v>0</v>
      </c>
    </row>
    <row r="47" spans="2:43" ht="15" customHeight="1" outlineLevel="1" thickBot="1" x14ac:dyDescent="0.3">
      <c r="B47" s="76"/>
      <c r="C47" s="147" t="s">
        <v>399</v>
      </c>
      <c r="D47" s="140">
        <f>SUMIFS(Resumo_Trocas!$C:$C,Resumo_Trocas!$A:$A,$C47,Resumo_Trocas!$F:$F,D$36,Resumo_Trocas!$C:$C,"&gt;0")</f>
        <v>1</v>
      </c>
      <c r="E47" s="141">
        <f>SUMIFS(Resumo_Trocas!$D:$D,Resumo_Trocas!$A:$A,$C47,Resumo_Trocas!$F:$F,D$36,Resumo_Trocas!$C:$C,"&gt;0")</f>
        <v>0</v>
      </c>
      <c r="F47" s="140">
        <f>SUMIFS(Resumo_Trocas!$C:$C,Resumo_Trocas!$A:$A,$C47,Resumo_Trocas!$F:$F,F$36,Resumo_Trocas!$C:$C,"&gt;0")</f>
        <v>1</v>
      </c>
      <c r="G47" s="141">
        <f>SUMIFS(Resumo_Trocas!$D:$D,Resumo_Trocas!$A:$A,$C47,Resumo_Trocas!$F:$F,F$36,Resumo_Trocas!$C:$C,"&gt;0")</f>
        <v>0</v>
      </c>
      <c r="H47" s="140">
        <f>SUMIFS(Resumo_Trocas!$C:$C,Resumo_Trocas!$A:$A,$C47,Resumo_Trocas!$F:$F,H$36,Resumo_Trocas!$C:$C,"&gt;0")</f>
        <v>1</v>
      </c>
      <c r="I47" s="141">
        <f>SUMIFS(Resumo_Trocas!$D:$D,Resumo_Trocas!$A:$A,$C47,Resumo_Trocas!$F:$F,H$36,Resumo_Trocas!$C:$C,"&gt;0")</f>
        <v>0</v>
      </c>
      <c r="J47" s="140">
        <f>SUMIFS(Resumo_Trocas!$C:$C,Resumo_Trocas!$A:$A,$C47,Resumo_Trocas!$F:$F,J$36,Resumo_Trocas!$C:$C,"&gt;0")</f>
        <v>0</v>
      </c>
      <c r="K47" s="141">
        <f>SUMIFS(Resumo_Trocas!$D:$D,Resumo_Trocas!$A:$A,$C47,Resumo_Trocas!$F:$F,J$36,Resumo_Trocas!$C:$C,"&gt;0")</f>
        <v>0</v>
      </c>
      <c r="L47" s="140">
        <f>SUMIFS(Resumo_Trocas!$C:$C,Resumo_Trocas!$A:$A,$C47,Resumo_Trocas!$F:$F,L$36,Resumo_Trocas!$C:$C,"&gt;0")</f>
        <v>1</v>
      </c>
      <c r="M47" s="141">
        <f>SUMIFS(Resumo_Trocas!$D:$D,Resumo_Trocas!$A:$A,$C47,Resumo_Trocas!$F:$F,L$36,Resumo_Trocas!$C:$C,"&gt;0")</f>
        <v>0</v>
      </c>
      <c r="N47" s="140">
        <f>SUMIFS(Resumo_Trocas!$C:$C,Resumo_Trocas!$A:$A,$C47,Resumo_Trocas!$F:$F,N$36,Resumo_Trocas!$C:$C,"&gt;0")</f>
        <v>0</v>
      </c>
      <c r="O47" s="141">
        <f>SUMIFS(Resumo_Trocas!$D:$D,Resumo_Trocas!$A:$A,$C47,Resumo_Trocas!$F:$F,N$36,Resumo_Trocas!$C:$C,"&gt;0")</f>
        <v>0</v>
      </c>
      <c r="P47" s="140">
        <f>SUMIFS(Resumo_Trocas!$C:$C,Resumo_Trocas!$A:$A,$C47,Resumo_Trocas!$F:$F,P$36,Resumo_Trocas!$C:$C,"&gt;0")</f>
        <v>0</v>
      </c>
      <c r="Q47" s="141">
        <f>SUMIFS(Resumo_Trocas!$D:$D,Resumo_Trocas!$A:$A,$C47,Resumo_Trocas!$F:$F,P$36,Resumo_Trocas!$C:$C,"&gt;0")</f>
        <v>0</v>
      </c>
      <c r="R47" s="140">
        <f>SUMIFS(Resumo_Trocas!$C:$C,Resumo_Trocas!$A:$A,$C47,Resumo_Trocas!$F:$F,R$36,Resumo_Trocas!$C:$C,"&gt;0")</f>
        <v>1</v>
      </c>
      <c r="S47" s="141">
        <f>SUMIFS(Resumo_Trocas!$D:$D,Resumo_Trocas!$A:$A,$C47,Resumo_Trocas!$F:$F,R$36,Resumo_Trocas!$C:$C,"&gt;0")</f>
        <v>0</v>
      </c>
      <c r="T47" s="140">
        <f>SUMIFS(Resumo_Trocas!$C:$C,Resumo_Trocas!$A:$A,$C47,Resumo_Trocas!$F:$F,T$36,Resumo_Trocas!$C:$C,"&gt;0")</f>
        <v>1</v>
      </c>
      <c r="U47" s="141">
        <f>SUMIFS(Resumo_Trocas!$D:$D,Resumo_Trocas!$A:$A,$C47,Resumo_Trocas!$F:$F,T$36,Resumo_Trocas!$C:$C,"&gt;0")</f>
        <v>0</v>
      </c>
      <c r="V47" s="140">
        <f>SUMIFS(Resumo_Trocas!$C:$C,Resumo_Trocas!$A:$A,$C47,Resumo_Trocas!$F:$F,V$36,Resumo_Trocas!$C:$C,"&gt;0")</f>
        <v>1</v>
      </c>
      <c r="W47" s="141">
        <f>SUMIFS(Resumo_Trocas!$D:$D,Resumo_Trocas!$A:$A,$C47,Resumo_Trocas!$F:$F,V$36,Resumo_Trocas!$C:$C,"&gt;0")</f>
        <v>0</v>
      </c>
      <c r="X47" s="140">
        <f>SUMIFS(Resumo_Trocas!$C:$C,Resumo_Trocas!$A:$A,$C47,Resumo_Trocas!$F:$F,X$36,Resumo_Trocas!$C:$C,"&gt;0")</f>
        <v>1</v>
      </c>
      <c r="Y47" s="141">
        <f>SUMIFS(Resumo_Trocas!$D:$D,Resumo_Trocas!$A:$A,$C47,Resumo_Trocas!$F:$F,X$36,Resumo_Trocas!$C:$C,"&gt;0")</f>
        <v>0</v>
      </c>
      <c r="Z47" s="140">
        <f>SUMIFS(Resumo_Trocas!$C:$C,Resumo_Trocas!$A:$A,$C47,Resumo_Trocas!$F:$F,Z$36,Resumo_Trocas!$C:$C,"&gt;0")</f>
        <v>0</v>
      </c>
      <c r="AA47" s="141">
        <f>SUMIFS(Resumo_Trocas!$D:$D,Resumo_Trocas!$A:$A,$C47,Resumo_Trocas!$F:$F,Z$36,Resumo_Trocas!$C:$C,"&gt;0")</f>
        <v>0</v>
      </c>
      <c r="AB47" s="140">
        <f>SUMIFS(Resumo_Trocas!$C:$C,Resumo_Trocas!$A:$A,$C47,Resumo_Trocas!$F:$F,AB$36,Resumo_Trocas!$C:$C,"&gt;0")</f>
        <v>0</v>
      </c>
      <c r="AC47" s="141">
        <f>SUMIFS(Resumo_Trocas!$D:$D,Resumo_Trocas!$A:$A,$C47,Resumo_Trocas!$F:$F,AB$36,Resumo_Trocas!$C:$C,"&gt;0")</f>
        <v>0</v>
      </c>
      <c r="AD47" s="140">
        <f>SUMIFS(Resumo_Trocas!$C:$C,Resumo_Trocas!$A:$A,$C47,Resumo_Trocas!$F:$F,AD$36,Resumo_Trocas!$C:$C,"&gt;0")</f>
        <v>1</v>
      </c>
      <c r="AE47" s="141">
        <f>SUMIFS(Resumo_Trocas!$D:$D,Resumo_Trocas!$A:$A,$C47,Resumo_Trocas!$F:$F,AD$36,Resumo_Trocas!$C:$C,"&gt;0")</f>
        <v>0</v>
      </c>
      <c r="AF47" s="140">
        <f>SUMIFS(Resumo_Trocas!$C:$C,Resumo_Trocas!$A:$A,$C47,Resumo_Trocas!$F:$F,AF$36,Resumo_Trocas!$C:$C,"&gt;0")</f>
        <v>0</v>
      </c>
      <c r="AG47" s="141">
        <f>SUMIFS(Resumo_Trocas!$D:$D,Resumo_Trocas!$A:$A,$C47,Resumo_Trocas!$F:$F,AF$36,Resumo_Trocas!$C:$C,"&gt;0")</f>
        <v>0</v>
      </c>
      <c r="AH47" s="140">
        <f>SUMIFS(Resumo_Trocas!$C:$C,Resumo_Trocas!$A:$A,$C47,Resumo_Trocas!$F:$F,AH$36,Resumo_Trocas!$C:$C,"&gt;0")</f>
        <v>0</v>
      </c>
      <c r="AI47" s="141">
        <f>SUMIFS(Resumo_Trocas!$D:$D,Resumo_Trocas!$A:$A,$C47,Resumo_Trocas!$F:$F,AH$36,Resumo_Trocas!$C:$C,"&gt;0")</f>
        <v>0</v>
      </c>
      <c r="AJ47" s="140">
        <f>SUMIFS(Resumo_Trocas!$C:$C,Resumo_Trocas!$A:$A,$C47,Resumo_Trocas!$F:$F,AJ$36,Resumo_Trocas!$C:$C,"&gt;0")</f>
        <v>0</v>
      </c>
      <c r="AK47" s="141">
        <f>SUMIFS(Resumo_Trocas!$D:$D,Resumo_Trocas!$A:$A,$C47,Resumo_Trocas!$F:$F,AJ$36,Resumo_Trocas!$C:$C,"&gt;0")</f>
        <v>0</v>
      </c>
      <c r="AL47" s="140">
        <f>SUMIFS(Resumo_Trocas!$C:$C,Resumo_Trocas!$A:$A,$C47,Resumo_Trocas!$F:$F,AL$36,Resumo_Trocas!$C:$C,"&gt;0")</f>
        <v>1</v>
      </c>
      <c r="AM47" s="141">
        <f>SUMIFS(Resumo_Trocas!$D:$D,Resumo_Trocas!$A:$A,$C47,Resumo_Trocas!$F:$F,AL$36,Resumo_Trocas!$C:$C,"&gt;0")</f>
        <v>0</v>
      </c>
      <c r="AN47" s="140">
        <f>SUMIFS(Resumo_Trocas!$C:$C,Resumo_Trocas!$A:$A,$C47,Resumo_Trocas!$F:$F,AN$36,Resumo_Trocas!$C:$C,"&gt;0")</f>
        <v>0</v>
      </c>
      <c r="AO47" s="141">
        <f>SUMIFS(Resumo_Trocas!$D:$D,Resumo_Trocas!$A:$A,$C47,Resumo_Trocas!$F:$F,AN$36,Resumo_Trocas!$C:$C,"&gt;0")</f>
        <v>0</v>
      </c>
    </row>
    <row r="48" spans="2:43" ht="15" customHeight="1" outlineLevel="1" thickBot="1" x14ac:dyDescent="0.3">
      <c r="B48" s="76"/>
      <c r="C48" s="147" t="s">
        <v>3400</v>
      </c>
      <c r="D48" s="140">
        <f>SUMIFS(Resumo_Trocas!$C:$C,Resumo_Trocas!$A:$A,$C48,Resumo_Trocas!$F:$F,D$36,Resumo_Trocas!$C:$C,"&gt;0")</f>
        <v>0</v>
      </c>
      <c r="E48" s="141">
        <f>SUMIFS(Resumo_Trocas!$D:$D,Resumo_Trocas!$A:$A,$C48,Resumo_Trocas!$F:$F,D$36,Resumo_Trocas!$C:$C,"&gt;0")</f>
        <v>0</v>
      </c>
      <c r="F48" s="140">
        <f>SUMIFS(Resumo_Trocas!$C:$C,Resumo_Trocas!$A:$A,$C48,Resumo_Trocas!$F:$F,F$36,Resumo_Trocas!$C:$C,"&gt;0")</f>
        <v>0</v>
      </c>
      <c r="G48" s="141">
        <f>SUMIFS(Resumo_Trocas!$D:$D,Resumo_Trocas!$A:$A,$C48,Resumo_Trocas!$F:$F,F$36,Resumo_Trocas!$C:$C,"&gt;0")</f>
        <v>0</v>
      </c>
      <c r="H48" s="140">
        <f>SUMIFS(Resumo_Trocas!$C:$C,Resumo_Trocas!$A:$A,$C48,Resumo_Trocas!$F:$F,H$36,Resumo_Trocas!$C:$C,"&gt;0")</f>
        <v>0</v>
      </c>
      <c r="I48" s="141">
        <f>SUMIFS(Resumo_Trocas!$D:$D,Resumo_Trocas!$A:$A,$C48,Resumo_Trocas!$F:$F,H$36,Resumo_Trocas!$C:$C,"&gt;0")</f>
        <v>0</v>
      </c>
      <c r="J48" s="140">
        <f>SUMIFS(Resumo_Trocas!$C:$C,Resumo_Trocas!$A:$A,$C48,Resumo_Trocas!$F:$F,J$36,Resumo_Trocas!$C:$C,"&gt;0")</f>
        <v>0</v>
      </c>
      <c r="K48" s="141">
        <f>SUMIFS(Resumo_Trocas!$D:$D,Resumo_Trocas!$A:$A,$C48,Resumo_Trocas!$F:$F,J$36,Resumo_Trocas!$C:$C,"&gt;0")</f>
        <v>0</v>
      </c>
      <c r="L48" s="140">
        <f>SUMIFS(Resumo_Trocas!$C:$C,Resumo_Trocas!$A:$A,$C48,Resumo_Trocas!$F:$F,L$36,Resumo_Trocas!$C:$C,"&gt;0")</f>
        <v>0</v>
      </c>
      <c r="M48" s="141">
        <f>SUMIFS(Resumo_Trocas!$D:$D,Resumo_Trocas!$A:$A,$C48,Resumo_Trocas!$F:$F,L$36,Resumo_Trocas!$C:$C,"&gt;0")</f>
        <v>0</v>
      </c>
      <c r="N48" s="140">
        <f>SUMIFS(Resumo_Trocas!$C:$C,Resumo_Trocas!$A:$A,$C48,Resumo_Trocas!$F:$F,N$36,Resumo_Trocas!$C:$C,"&gt;0")</f>
        <v>0</v>
      </c>
      <c r="O48" s="141">
        <f>SUMIFS(Resumo_Trocas!$D:$D,Resumo_Trocas!$A:$A,$C48,Resumo_Trocas!$F:$F,N$36,Resumo_Trocas!$C:$C,"&gt;0")</f>
        <v>0</v>
      </c>
      <c r="P48" s="140">
        <f>SUMIFS(Resumo_Trocas!$C:$C,Resumo_Trocas!$A:$A,$C48,Resumo_Trocas!$F:$F,P$36,Resumo_Trocas!$C:$C,"&gt;0")</f>
        <v>0</v>
      </c>
      <c r="Q48" s="141">
        <f>SUMIFS(Resumo_Trocas!$D:$D,Resumo_Trocas!$A:$A,$C48,Resumo_Trocas!$F:$F,P$36,Resumo_Trocas!$C:$C,"&gt;0")</f>
        <v>0</v>
      </c>
      <c r="R48" s="140">
        <f>SUMIFS(Resumo_Trocas!$C:$C,Resumo_Trocas!$A:$A,$C48,Resumo_Trocas!$F:$F,R$36,Resumo_Trocas!$C:$C,"&gt;0")</f>
        <v>0</v>
      </c>
      <c r="S48" s="141">
        <f>SUMIFS(Resumo_Trocas!$D:$D,Resumo_Trocas!$A:$A,$C48,Resumo_Trocas!$F:$F,R$36,Resumo_Trocas!$C:$C,"&gt;0")</f>
        <v>0</v>
      </c>
      <c r="T48" s="140">
        <f>SUMIFS(Resumo_Trocas!$C:$C,Resumo_Trocas!$A:$A,$C48,Resumo_Trocas!$F:$F,T$36,Resumo_Trocas!$C:$C,"&gt;0")</f>
        <v>0</v>
      </c>
      <c r="U48" s="141">
        <f>SUMIFS(Resumo_Trocas!$D:$D,Resumo_Trocas!$A:$A,$C48,Resumo_Trocas!$F:$F,T$36,Resumo_Trocas!$C:$C,"&gt;0")</f>
        <v>0</v>
      </c>
      <c r="V48" s="140">
        <f>SUMIFS(Resumo_Trocas!$C:$C,Resumo_Trocas!$A:$A,$C48,Resumo_Trocas!$F:$F,V$36,Resumo_Trocas!$C:$C,"&gt;0")</f>
        <v>0</v>
      </c>
      <c r="W48" s="141">
        <f>SUMIFS(Resumo_Trocas!$D:$D,Resumo_Trocas!$A:$A,$C48,Resumo_Trocas!$F:$F,V$36,Resumo_Trocas!$C:$C,"&gt;0")</f>
        <v>0</v>
      </c>
      <c r="X48" s="140">
        <f>SUMIFS(Resumo_Trocas!$C:$C,Resumo_Trocas!$A:$A,$C48,Resumo_Trocas!$F:$F,X$36,Resumo_Trocas!$C:$C,"&gt;0")</f>
        <v>0</v>
      </c>
      <c r="Y48" s="141">
        <f>SUMIFS(Resumo_Trocas!$D:$D,Resumo_Trocas!$A:$A,$C48,Resumo_Trocas!$F:$F,X$36,Resumo_Trocas!$C:$C,"&gt;0")</f>
        <v>0</v>
      </c>
      <c r="Z48" s="140">
        <f>SUMIFS(Resumo_Trocas!$C:$C,Resumo_Trocas!$A:$A,$C48,Resumo_Trocas!$F:$F,Z$36,Resumo_Trocas!$C:$C,"&gt;0")</f>
        <v>0</v>
      </c>
      <c r="AA48" s="141">
        <f>SUMIFS(Resumo_Trocas!$D:$D,Resumo_Trocas!$A:$A,$C48,Resumo_Trocas!$F:$F,Z$36,Resumo_Trocas!$C:$C,"&gt;0")</f>
        <v>0</v>
      </c>
      <c r="AB48" s="140">
        <f>SUMIFS(Resumo_Trocas!$C:$C,Resumo_Trocas!$A:$A,$C48,Resumo_Trocas!$F:$F,AB$36,Resumo_Trocas!$C:$C,"&gt;0")</f>
        <v>0</v>
      </c>
      <c r="AC48" s="141">
        <f>SUMIFS(Resumo_Trocas!$D:$D,Resumo_Trocas!$A:$A,$C48,Resumo_Trocas!$F:$F,AB$36,Resumo_Trocas!$C:$C,"&gt;0")</f>
        <v>0</v>
      </c>
      <c r="AD48" s="140">
        <f>SUMIFS(Resumo_Trocas!$C:$C,Resumo_Trocas!$A:$A,$C48,Resumo_Trocas!$F:$F,AD$36,Resumo_Trocas!$C:$C,"&gt;0")</f>
        <v>0</v>
      </c>
      <c r="AE48" s="141">
        <f>SUMIFS(Resumo_Trocas!$D:$D,Resumo_Trocas!$A:$A,$C48,Resumo_Trocas!$F:$F,AD$36,Resumo_Trocas!$C:$C,"&gt;0")</f>
        <v>0</v>
      </c>
      <c r="AF48" s="140">
        <f>SUMIFS(Resumo_Trocas!$C:$C,Resumo_Trocas!$A:$A,$C48,Resumo_Trocas!$F:$F,AF$36,Resumo_Trocas!$C:$C,"&gt;0")</f>
        <v>0</v>
      </c>
      <c r="AG48" s="141">
        <f>SUMIFS(Resumo_Trocas!$D:$D,Resumo_Trocas!$A:$A,$C48,Resumo_Trocas!$F:$F,AF$36,Resumo_Trocas!$C:$C,"&gt;0")</f>
        <v>0</v>
      </c>
      <c r="AH48" s="140">
        <f>SUMIFS(Resumo_Trocas!$C:$C,Resumo_Trocas!$A:$A,$C48,Resumo_Trocas!$F:$F,AH$36,Resumo_Trocas!$C:$C,"&gt;0")</f>
        <v>0</v>
      </c>
      <c r="AI48" s="141">
        <f>SUMIFS(Resumo_Trocas!$D:$D,Resumo_Trocas!$A:$A,$C48,Resumo_Trocas!$F:$F,AH$36,Resumo_Trocas!$C:$C,"&gt;0")</f>
        <v>0</v>
      </c>
      <c r="AJ48" s="140">
        <f>SUMIFS(Resumo_Trocas!$C:$C,Resumo_Trocas!$A:$A,$C48,Resumo_Trocas!$F:$F,AJ$36,Resumo_Trocas!$C:$C,"&gt;0")</f>
        <v>0</v>
      </c>
      <c r="AK48" s="141">
        <f>SUMIFS(Resumo_Trocas!$D:$D,Resumo_Trocas!$A:$A,$C48,Resumo_Trocas!$F:$F,AJ$36,Resumo_Trocas!$C:$C,"&gt;0")</f>
        <v>0</v>
      </c>
      <c r="AL48" s="140">
        <f>SUMIFS(Resumo_Trocas!$C:$C,Resumo_Trocas!$A:$A,$C48,Resumo_Trocas!$F:$F,AL$36,Resumo_Trocas!$C:$C,"&gt;0")</f>
        <v>0</v>
      </c>
      <c r="AM48" s="141">
        <f>SUMIFS(Resumo_Trocas!$D:$D,Resumo_Trocas!$A:$A,$C48,Resumo_Trocas!$F:$F,AL$36,Resumo_Trocas!$C:$C,"&gt;0")</f>
        <v>0</v>
      </c>
      <c r="AN48" s="140">
        <f>SUMIFS(Resumo_Trocas!$C:$C,Resumo_Trocas!$A:$A,$C48,Resumo_Trocas!$F:$F,AN$36,Resumo_Trocas!$C:$C,"&gt;0")</f>
        <v>0</v>
      </c>
      <c r="AO48" s="141">
        <f>SUMIFS(Resumo_Trocas!$D:$D,Resumo_Trocas!$A:$A,$C48,Resumo_Trocas!$F:$F,AN$36,Resumo_Trocas!$C:$C,"&gt;0")</f>
        <v>0</v>
      </c>
    </row>
    <row r="49" spans="2:41" ht="15" customHeight="1" outlineLevel="1" thickBot="1" x14ac:dyDescent="0.3">
      <c r="B49" s="76"/>
      <c r="C49" s="147" t="s">
        <v>3401</v>
      </c>
      <c r="D49" s="140">
        <f>SUMIFS(Resumo_Trocas!$C:$C,Resumo_Trocas!$A:$A,$C49,Resumo_Trocas!$F:$F,D$36,Resumo_Trocas!$C:$C,"&gt;0")</f>
        <v>2</v>
      </c>
      <c r="E49" s="141">
        <f>SUMIFS(Resumo_Trocas!$D:$D,Resumo_Trocas!$A:$A,$C49,Resumo_Trocas!$F:$F,D$36,Resumo_Trocas!$C:$C,"&gt;0")</f>
        <v>3</v>
      </c>
      <c r="F49" s="140">
        <f>SUMIFS(Resumo_Trocas!$C:$C,Resumo_Trocas!$A:$A,$C49,Resumo_Trocas!$F:$F,F$36,Resumo_Trocas!$C:$C,"&gt;0")</f>
        <v>0</v>
      </c>
      <c r="G49" s="141">
        <f>SUMIFS(Resumo_Trocas!$D:$D,Resumo_Trocas!$A:$A,$C49,Resumo_Trocas!$F:$F,F$36,Resumo_Trocas!$C:$C,"&gt;0")</f>
        <v>0</v>
      </c>
      <c r="H49" s="140">
        <f>SUMIFS(Resumo_Trocas!$C:$C,Resumo_Trocas!$A:$A,$C49,Resumo_Trocas!$F:$F,H$36,Resumo_Trocas!$C:$C,"&gt;0")</f>
        <v>0</v>
      </c>
      <c r="I49" s="141">
        <f>SUMIFS(Resumo_Trocas!$D:$D,Resumo_Trocas!$A:$A,$C49,Resumo_Trocas!$F:$F,H$36,Resumo_Trocas!$C:$C,"&gt;0")</f>
        <v>0</v>
      </c>
      <c r="J49" s="140">
        <f>SUMIFS(Resumo_Trocas!$C:$C,Resumo_Trocas!$A:$A,$C49,Resumo_Trocas!$F:$F,J$36,Resumo_Trocas!$C:$C,"&gt;0")</f>
        <v>0</v>
      </c>
      <c r="K49" s="141">
        <f>SUMIFS(Resumo_Trocas!$D:$D,Resumo_Trocas!$A:$A,$C49,Resumo_Trocas!$F:$F,J$36,Resumo_Trocas!$C:$C,"&gt;0")</f>
        <v>0</v>
      </c>
      <c r="L49" s="140">
        <f>SUMIFS(Resumo_Trocas!$C:$C,Resumo_Trocas!$A:$A,$C49,Resumo_Trocas!$F:$F,L$36,Resumo_Trocas!$C:$C,"&gt;0")</f>
        <v>0</v>
      </c>
      <c r="M49" s="141">
        <f>SUMIFS(Resumo_Trocas!$D:$D,Resumo_Trocas!$A:$A,$C49,Resumo_Trocas!$F:$F,L$36,Resumo_Trocas!$C:$C,"&gt;0")</f>
        <v>0</v>
      </c>
      <c r="N49" s="140">
        <f>SUMIFS(Resumo_Trocas!$C:$C,Resumo_Trocas!$A:$A,$C49,Resumo_Trocas!$F:$F,N$36,Resumo_Trocas!$C:$C,"&gt;0")</f>
        <v>0</v>
      </c>
      <c r="O49" s="141">
        <f>SUMIFS(Resumo_Trocas!$D:$D,Resumo_Trocas!$A:$A,$C49,Resumo_Trocas!$F:$F,N$36,Resumo_Trocas!$C:$C,"&gt;0")</f>
        <v>0</v>
      </c>
      <c r="P49" s="140">
        <f>SUMIFS(Resumo_Trocas!$C:$C,Resumo_Trocas!$A:$A,$C49,Resumo_Trocas!$F:$F,P$36,Resumo_Trocas!$C:$C,"&gt;0")</f>
        <v>0</v>
      </c>
      <c r="Q49" s="141">
        <f>SUMIFS(Resumo_Trocas!$D:$D,Resumo_Trocas!$A:$A,$C49,Resumo_Trocas!$F:$F,P$36,Resumo_Trocas!$C:$C,"&gt;0")</f>
        <v>0</v>
      </c>
      <c r="R49" s="140">
        <f>SUMIFS(Resumo_Trocas!$C:$C,Resumo_Trocas!$A:$A,$C49,Resumo_Trocas!$F:$F,R$36,Resumo_Trocas!$C:$C,"&gt;0")</f>
        <v>0</v>
      </c>
      <c r="S49" s="141">
        <f>SUMIFS(Resumo_Trocas!$D:$D,Resumo_Trocas!$A:$A,$C49,Resumo_Trocas!$F:$F,R$36,Resumo_Trocas!$C:$C,"&gt;0")</f>
        <v>0</v>
      </c>
      <c r="T49" s="140">
        <f>SUMIFS(Resumo_Trocas!$C:$C,Resumo_Trocas!$A:$A,$C49,Resumo_Trocas!$F:$F,T$36,Resumo_Trocas!$C:$C,"&gt;0")</f>
        <v>0</v>
      </c>
      <c r="U49" s="141">
        <f>SUMIFS(Resumo_Trocas!$D:$D,Resumo_Trocas!$A:$A,$C49,Resumo_Trocas!$F:$F,T$36,Resumo_Trocas!$C:$C,"&gt;0")</f>
        <v>0</v>
      </c>
      <c r="V49" s="140">
        <f>SUMIFS(Resumo_Trocas!$C:$C,Resumo_Trocas!$A:$A,$C49,Resumo_Trocas!$F:$F,V$36,Resumo_Trocas!$C:$C,"&gt;0")</f>
        <v>0</v>
      </c>
      <c r="W49" s="141">
        <f>SUMIFS(Resumo_Trocas!$D:$D,Resumo_Trocas!$A:$A,$C49,Resumo_Trocas!$F:$F,V$36,Resumo_Trocas!$C:$C,"&gt;0")</f>
        <v>0</v>
      </c>
      <c r="X49" s="140">
        <f>SUMIFS(Resumo_Trocas!$C:$C,Resumo_Trocas!$A:$A,$C49,Resumo_Trocas!$F:$F,X$36,Resumo_Trocas!$C:$C,"&gt;0")</f>
        <v>0</v>
      </c>
      <c r="Y49" s="141">
        <f>SUMIFS(Resumo_Trocas!$D:$D,Resumo_Trocas!$A:$A,$C49,Resumo_Trocas!$F:$F,X$36,Resumo_Trocas!$C:$C,"&gt;0")</f>
        <v>0</v>
      </c>
      <c r="Z49" s="140">
        <f>SUMIFS(Resumo_Trocas!$C:$C,Resumo_Trocas!$A:$A,$C49,Resumo_Trocas!$F:$F,Z$36,Resumo_Trocas!$C:$C,"&gt;0")</f>
        <v>0</v>
      </c>
      <c r="AA49" s="141">
        <f>SUMIFS(Resumo_Trocas!$D:$D,Resumo_Trocas!$A:$A,$C49,Resumo_Trocas!$F:$F,Z$36,Resumo_Trocas!$C:$C,"&gt;0")</f>
        <v>0</v>
      </c>
      <c r="AB49" s="140">
        <f>SUMIFS(Resumo_Trocas!$C:$C,Resumo_Trocas!$A:$A,$C49,Resumo_Trocas!$F:$F,AB$36,Resumo_Trocas!$C:$C,"&gt;0")</f>
        <v>0</v>
      </c>
      <c r="AC49" s="141">
        <f>SUMIFS(Resumo_Trocas!$D:$D,Resumo_Trocas!$A:$A,$C49,Resumo_Trocas!$F:$F,AB$36,Resumo_Trocas!$C:$C,"&gt;0")</f>
        <v>0</v>
      </c>
      <c r="AD49" s="140">
        <f>SUMIFS(Resumo_Trocas!$C:$C,Resumo_Trocas!$A:$A,$C49,Resumo_Trocas!$F:$F,AD$36,Resumo_Trocas!$C:$C,"&gt;0")</f>
        <v>0</v>
      </c>
      <c r="AE49" s="141">
        <f>SUMIFS(Resumo_Trocas!$D:$D,Resumo_Trocas!$A:$A,$C49,Resumo_Trocas!$F:$F,AD$36,Resumo_Trocas!$C:$C,"&gt;0")</f>
        <v>0</v>
      </c>
      <c r="AF49" s="140">
        <f>SUMIFS(Resumo_Trocas!$C:$C,Resumo_Trocas!$A:$A,$C49,Resumo_Trocas!$F:$F,AF$36,Resumo_Trocas!$C:$C,"&gt;0")</f>
        <v>0</v>
      </c>
      <c r="AG49" s="141">
        <f>SUMIFS(Resumo_Trocas!$D:$D,Resumo_Trocas!$A:$A,$C49,Resumo_Trocas!$F:$F,AF$36,Resumo_Trocas!$C:$C,"&gt;0")</f>
        <v>0</v>
      </c>
      <c r="AH49" s="140">
        <f>SUMIFS(Resumo_Trocas!$C:$C,Resumo_Trocas!$A:$A,$C49,Resumo_Trocas!$F:$F,AH$36,Resumo_Trocas!$C:$C,"&gt;0")</f>
        <v>0</v>
      </c>
      <c r="AI49" s="141">
        <f>SUMIFS(Resumo_Trocas!$D:$D,Resumo_Trocas!$A:$A,$C49,Resumo_Trocas!$F:$F,AH$36,Resumo_Trocas!$C:$C,"&gt;0")</f>
        <v>0</v>
      </c>
      <c r="AJ49" s="140">
        <f>SUMIFS(Resumo_Trocas!$C:$C,Resumo_Trocas!$A:$A,$C49,Resumo_Trocas!$F:$F,AJ$36,Resumo_Trocas!$C:$C,"&gt;0")</f>
        <v>0</v>
      </c>
      <c r="AK49" s="141">
        <f>SUMIFS(Resumo_Trocas!$D:$D,Resumo_Trocas!$A:$A,$C49,Resumo_Trocas!$F:$F,AJ$36,Resumo_Trocas!$C:$C,"&gt;0")</f>
        <v>0</v>
      </c>
      <c r="AL49" s="140">
        <f>SUMIFS(Resumo_Trocas!$C:$C,Resumo_Trocas!$A:$A,$C49,Resumo_Trocas!$F:$F,AL$36,Resumo_Trocas!$C:$C,"&gt;0")</f>
        <v>0</v>
      </c>
      <c r="AM49" s="141">
        <f>SUMIFS(Resumo_Trocas!$D:$D,Resumo_Trocas!$A:$A,$C49,Resumo_Trocas!$F:$F,AL$36,Resumo_Trocas!$C:$C,"&gt;0")</f>
        <v>0</v>
      </c>
      <c r="AN49" s="140">
        <f>SUMIFS(Resumo_Trocas!$C:$C,Resumo_Trocas!$A:$A,$C49,Resumo_Trocas!$F:$F,AN$36,Resumo_Trocas!$C:$C,"&gt;0")</f>
        <v>0</v>
      </c>
      <c r="AO49" s="141">
        <f>SUMIFS(Resumo_Trocas!$D:$D,Resumo_Trocas!$A:$A,$C49,Resumo_Trocas!$F:$F,AN$36,Resumo_Trocas!$C:$C,"&gt;0")</f>
        <v>0</v>
      </c>
    </row>
    <row r="50" spans="2:41" ht="15" customHeight="1" outlineLevel="1" thickBot="1" x14ac:dyDescent="0.3">
      <c r="B50" s="76"/>
      <c r="C50" s="147" t="s">
        <v>3402</v>
      </c>
      <c r="D50" s="140">
        <f>SUMIFS(Resumo_Trocas!$C:$C,Resumo_Trocas!$A:$A,$C50,Resumo_Trocas!$F:$F,D$36,Resumo_Trocas!$C:$C,"&gt;0")</f>
        <v>0</v>
      </c>
      <c r="E50" s="141">
        <f>SUMIFS(Resumo_Trocas!$D:$D,Resumo_Trocas!$A:$A,$C50,Resumo_Trocas!$F:$F,D$36,Resumo_Trocas!$C:$C,"&gt;0")</f>
        <v>0</v>
      </c>
      <c r="F50" s="140">
        <f>SUMIFS(Resumo_Trocas!$C:$C,Resumo_Trocas!$A:$A,$C50,Resumo_Trocas!$F:$F,F$36,Resumo_Trocas!$C:$C,"&gt;0")</f>
        <v>0</v>
      </c>
      <c r="G50" s="141">
        <f>SUMIFS(Resumo_Trocas!$D:$D,Resumo_Trocas!$A:$A,$C50,Resumo_Trocas!$F:$F,F$36,Resumo_Trocas!$C:$C,"&gt;0")</f>
        <v>0</v>
      </c>
      <c r="H50" s="140">
        <f>SUMIFS(Resumo_Trocas!$C:$C,Resumo_Trocas!$A:$A,$C50,Resumo_Trocas!$F:$F,H$36,Resumo_Trocas!$C:$C,"&gt;0")</f>
        <v>0</v>
      </c>
      <c r="I50" s="141">
        <f>SUMIFS(Resumo_Trocas!$D:$D,Resumo_Trocas!$A:$A,$C50,Resumo_Trocas!$F:$F,H$36,Resumo_Trocas!$C:$C,"&gt;0")</f>
        <v>0</v>
      </c>
      <c r="J50" s="140">
        <f>SUMIFS(Resumo_Trocas!$C:$C,Resumo_Trocas!$A:$A,$C50,Resumo_Trocas!$F:$F,J$36,Resumo_Trocas!$C:$C,"&gt;0")</f>
        <v>0</v>
      </c>
      <c r="K50" s="141">
        <f>SUMIFS(Resumo_Trocas!$D:$D,Resumo_Trocas!$A:$A,$C50,Resumo_Trocas!$F:$F,J$36,Resumo_Trocas!$C:$C,"&gt;0")</f>
        <v>0</v>
      </c>
      <c r="L50" s="140">
        <f>SUMIFS(Resumo_Trocas!$C:$C,Resumo_Trocas!$A:$A,$C50,Resumo_Trocas!$F:$F,L$36,Resumo_Trocas!$C:$C,"&gt;0")</f>
        <v>0</v>
      </c>
      <c r="M50" s="141">
        <f>SUMIFS(Resumo_Trocas!$D:$D,Resumo_Trocas!$A:$A,$C50,Resumo_Trocas!$F:$F,L$36,Resumo_Trocas!$C:$C,"&gt;0")</f>
        <v>0</v>
      </c>
      <c r="N50" s="140">
        <f>SUMIFS(Resumo_Trocas!$C:$C,Resumo_Trocas!$A:$A,$C50,Resumo_Trocas!$F:$F,N$36,Resumo_Trocas!$C:$C,"&gt;0")</f>
        <v>0</v>
      </c>
      <c r="O50" s="141">
        <f>SUMIFS(Resumo_Trocas!$D:$D,Resumo_Trocas!$A:$A,$C50,Resumo_Trocas!$F:$F,N$36,Resumo_Trocas!$C:$C,"&gt;0")</f>
        <v>0</v>
      </c>
      <c r="P50" s="140">
        <f>SUMIFS(Resumo_Trocas!$C:$C,Resumo_Trocas!$A:$A,$C50,Resumo_Trocas!$F:$F,P$36,Resumo_Trocas!$C:$C,"&gt;0")</f>
        <v>0</v>
      </c>
      <c r="Q50" s="141">
        <f>SUMIFS(Resumo_Trocas!$D:$D,Resumo_Trocas!$A:$A,$C50,Resumo_Trocas!$F:$F,P$36,Resumo_Trocas!$C:$C,"&gt;0")</f>
        <v>0</v>
      </c>
      <c r="R50" s="140">
        <f>SUMIFS(Resumo_Trocas!$C:$C,Resumo_Trocas!$A:$A,$C50,Resumo_Trocas!$F:$F,R$36,Resumo_Trocas!$C:$C,"&gt;0")</f>
        <v>0</v>
      </c>
      <c r="S50" s="141">
        <f>SUMIFS(Resumo_Trocas!$D:$D,Resumo_Trocas!$A:$A,$C50,Resumo_Trocas!$F:$F,R$36,Resumo_Trocas!$C:$C,"&gt;0")</f>
        <v>0</v>
      </c>
      <c r="T50" s="140">
        <f>SUMIFS(Resumo_Trocas!$C:$C,Resumo_Trocas!$A:$A,$C50,Resumo_Trocas!$F:$F,T$36,Resumo_Trocas!$C:$C,"&gt;0")</f>
        <v>0</v>
      </c>
      <c r="U50" s="141">
        <f>SUMIFS(Resumo_Trocas!$D:$D,Resumo_Trocas!$A:$A,$C50,Resumo_Trocas!$F:$F,T$36,Resumo_Trocas!$C:$C,"&gt;0")</f>
        <v>0</v>
      </c>
      <c r="V50" s="140">
        <f>SUMIFS(Resumo_Trocas!$C:$C,Resumo_Trocas!$A:$A,$C50,Resumo_Trocas!$F:$F,V$36,Resumo_Trocas!$C:$C,"&gt;0")</f>
        <v>0</v>
      </c>
      <c r="W50" s="141">
        <f>SUMIFS(Resumo_Trocas!$D:$D,Resumo_Trocas!$A:$A,$C50,Resumo_Trocas!$F:$F,V$36,Resumo_Trocas!$C:$C,"&gt;0")</f>
        <v>0</v>
      </c>
      <c r="X50" s="140">
        <f>SUMIFS(Resumo_Trocas!$C:$C,Resumo_Trocas!$A:$A,$C50,Resumo_Trocas!$F:$F,X$36,Resumo_Trocas!$C:$C,"&gt;0")</f>
        <v>0</v>
      </c>
      <c r="Y50" s="141">
        <f>SUMIFS(Resumo_Trocas!$D:$D,Resumo_Trocas!$A:$A,$C50,Resumo_Trocas!$F:$F,X$36,Resumo_Trocas!$C:$C,"&gt;0")</f>
        <v>0</v>
      </c>
      <c r="Z50" s="140">
        <f>SUMIFS(Resumo_Trocas!$C:$C,Resumo_Trocas!$A:$A,$C50,Resumo_Trocas!$F:$F,Z$36,Resumo_Trocas!$C:$C,"&gt;0")</f>
        <v>0</v>
      </c>
      <c r="AA50" s="141">
        <f>SUMIFS(Resumo_Trocas!$D:$D,Resumo_Trocas!$A:$A,$C50,Resumo_Trocas!$F:$F,Z$36,Resumo_Trocas!$C:$C,"&gt;0")</f>
        <v>0</v>
      </c>
      <c r="AB50" s="140">
        <f>SUMIFS(Resumo_Trocas!$C:$C,Resumo_Trocas!$A:$A,$C50,Resumo_Trocas!$F:$F,AB$36,Resumo_Trocas!$C:$C,"&gt;0")</f>
        <v>0</v>
      </c>
      <c r="AC50" s="141">
        <f>SUMIFS(Resumo_Trocas!$D:$D,Resumo_Trocas!$A:$A,$C50,Resumo_Trocas!$F:$F,AB$36,Resumo_Trocas!$C:$C,"&gt;0")</f>
        <v>0</v>
      </c>
      <c r="AD50" s="140">
        <f>SUMIFS(Resumo_Trocas!$C:$C,Resumo_Trocas!$A:$A,$C50,Resumo_Trocas!$F:$F,AD$36,Resumo_Trocas!$C:$C,"&gt;0")</f>
        <v>0</v>
      </c>
      <c r="AE50" s="141">
        <f>SUMIFS(Resumo_Trocas!$D:$D,Resumo_Trocas!$A:$A,$C50,Resumo_Trocas!$F:$F,AD$36,Resumo_Trocas!$C:$C,"&gt;0")</f>
        <v>0</v>
      </c>
      <c r="AF50" s="140">
        <f>SUMIFS(Resumo_Trocas!$C:$C,Resumo_Trocas!$A:$A,$C50,Resumo_Trocas!$F:$F,AF$36,Resumo_Trocas!$C:$C,"&gt;0")</f>
        <v>0</v>
      </c>
      <c r="AG50" s="141">
        <f>SUMIFS(Resumo_Trocas!$D:$D,Resumo_Trocas!$A:$A,$C50,Resumo_Trocas!$F:$F,AF$36,Resumo_Trocas!$C:$C,"&gt;0")</f>
        <v>0</v>
      </c>
      <c r="AH50" s="140">
        <f>SUMIFS(Resumo_Trocas!$C:$C,Resumo_Trocas!$A:$A,$C50,Resumo_Trocas!$F:$F,AH$36,Resumo_Trocas!$C:$C,"&gt;0")</f>
        <v>0</v>
      </c>
      <c r="AI50" s="141">
        <f>SUMIFS(Resumo_Trocas!$D:$D,Resumo_Trocas!$A:$A,$C50,Resumo_Trocas!$F:$F,AH$36,Resumo_Trocas!$C:$C,"&gt;0")</f>
        <v>0</v>
      </c>
      <c r="AJ50" s="140">
        <f>SUMIFS(Resumo_Trocas!$C:$C,Resumo_Trocas!$A:$A,$C50,Resumo_Trocas!$F:$F,AJ$36,Resumo_Trocas!$C:$C,"&gt;0")</f>
        <v>0</v>
      </c>
      <c r="AK50" s="141">
        <f>SUMIFS(Resumo_Trocas!$D:$D,Resumo_Trocas!$A:$A,$C50,Resumo_Trocas!$F:$F,AJ$36,Resumo_Trocas!$C:$C,"&gt;0")</f>
        <v>0</v>
      </c>
      <c r="AL50" s="140">
        <f>SUMIFS(Resumo_Trocas!$C:$C,Resumo_Trocas!$A:$A,$C50,Resumo_Trocas!$F:$F,AL$36,Resumo_Trocas!$C:$C,"&gt;0")</f>
        <v>0</v>
      </c>
      <c r="AM50" s="141">
        <f>SUMIFS(Resumo_Trocas!$D:$D,Resumo_Trocas!$A:$A,$C50,Resumo_Trocas!$F:$F,AL$36,Resumo_Trocas!$C:$C,"&gt;0")</f>
        <v>0</v>
      </c>
      <c r="AN50" s="140">
        <f>SUMIFS(Resumo_Trocas!$C:$C,Resumo_Trocas!$A:$A,$C50,Resumo_Trocas!$F:$F,AN$36,Resumo_Trocas!$C:$C,"&gt;0")</f>
        <v>0</v>
      </c>
      <c r="AO50" s="141">
        <f>SUMIFS(Resumo_Trocas!$D:$D,Resumo_Trocas!$A:$A,$C50,Resumo_Trocas!$F:$F,AN$36,Resumo_Trocas!$C:$C,"&gt;0")</f>
        <v>0</v>
      </c>
    </row>
    <row r="51" spans="2:41" ht="15.75" outlineLevel="1" thickBot="1" x14ac:dyDescent="0.3">
      <c r="C51" s="113" t="s">
        <v>3403</v>
      </c>
      <c r="D51" s="142">
        <f>SUMIFS(Resumo_Trocas!$C:$C,Resumo_Trocas!$A:$A,$C51,Resumo_Trocas!$F:$F,D$36,Resumo_Trocas!$C:$C,"&gt;0")</f>
        <v>0</v>
      </c>
      <c r="E51" s="143">
        <f>SUMIFS(Resumo_Trocas!$D:$D,Resumo_Trocas!$A:$A,$C51,Resumo_Trocas!$F:$F,D$36,Resumo_Trocas!$C:$C,"&gt;0")</f>
        <v>0</v>
      </c>
      <c r="F51" s="142">
        <f>SUMIFS(Resumo_Trocas!$C:$C,Resumo_Trocas!$A:$A,$C51,Resumo_Trocas!$F:$F,F$36,Resumo_Trocas!$C:$C,"&gt;0")</f>
        <v>0</v>
      </c>
      <c r="G51" s="143">
        <f>SUMIFS(Resumo_Trocas!$D:$D,Resumo_Trocas!$A:$A,$C51,Resumo_Trocas!$F:$F,F$36,Resumo_Trocas!$C:$C,"&gt;0")</f>
        <v>0</v>
      </c>
      <c r="H51" s="142">
        <f>SUMIFS(Resumo_Trocas!$C:$C,Resumo_Trocas!$A:$A,$C51,Resumo_Trocas!$F:$F,H$36,Resumo_Trocas!$C:$C,"&gt;0")</f>
        <v>0</v>
      </c>
      <c r="I51" s="143">
        <f>SUMIFS(Resumo_Trocas!$D:$D,Resumo_Trocas!$A:$A,$C51,Resumo_Trocas!$F:$F,H$36,Resumo_Trocas!$C:$C,"&gt;0")</f>
        <v>0</v>
      </c>
      <c r="J51" s="142">
        <f>SUMIFS(Resumo_Trocas!$C:$C,Resumo_Trocas!$A:$A,$C51,Resumo_Trocas!$F:$F,J$36,Resumo_Trocas!$C:$C,"&gt;0")</f>
        <v>0</v>
      </c>
      <c r="K51" s="143">
        <f>SUMIFS(Resumo_Trocas!$D:$D,Resumo_Trocas!$A:$A,$C51,Resumo_Trocas!$F:$F,J$36,Resumo_Trocas!$C:$C,"&gt;0")</f>
        <v>0</v>
      </c>
      <c r="L51" s="142">
        <f>SUMIFS(Resumo_Trocas!$C:$C,Resumo_Trocas!$A:$A,$C51,Resumo_Trocas!$F:$F,L$36,Resumo_Trocas!$C:$C,"&gt;0")</f>
        <v>0</v>
      </c>
      <c r="M51" s="143">
        <f>SUMIFS(Resumo_Trocas!$D:$D,Resumo_Trocas!$A:$A,$C51,Resumo_Trocas!$F:$F,L$36,Resumo_Trocas!$C:$C,"&gt;0")</f>
        <v>0</v>
      </c>
      <c r="N51" s="142">
        <f>SUMIFS(Resumo_Trocas!$C:$C,Resumo_Trocas!$A:$A,$C51,Resumo_Trocas!$F:$F,N$36,Resumo_Trocas!$C:$C,"&gt;0")</f>
        <v>0</v>
      </c>
      <c r="O51" s="143">
        <f>SUMIFS(Resumo_Trocas!$D:$D,Resumo_Trocas!$A:$A,$C51,Resumo_Trocas!$F:$F,N$36,Resumo_Trocas!$C:$C,"&gt;0")</f>
        <v>0</v>
      </c>
      <c r="P51" s="142">
        <f>SUMIFS(Resumo_Trocas!$C:$C,Resumo_Trocas!$A:$A,$C51,Resumo_Trocas!$F:$F,P$36,Resumo_Trocas!$C:$C,"&gt;0")</f>
        <v>0</v>
      </c>
      <c r="Q51" s="143">
        <f>SUMIFS(Resumo_Trocas!$D:$D,Resumo_Trocas!$A:$A,$C51,Resumo_Trocas!$F:$F,P$36,Resumo_Trocas!$C:$C,"&gt;0")</f>
        <v>0</v>
      </c>
      <c r="R51" s="142">
        <f>SUMIFS(Resumo_Trocas!$C:$C,Resumo_Trocas!$A:$A,$C51,Resumo_Trocas!$F:$F,R$36,Resumo_Trocas!$C:$C,"&gt;0")</f>
        <v>0</v>
      </c>
      <c r="S51" s="143">
        <f>SUMIFS(Resumo_Trocas!$D:$D,Resumo_Trocas!$A:$A,$C51,Resumo_Trocas!$F:$F,R$36,Resumo_Trocas!$C:$C,"&gt;0")</f>
        <v>0</v>
      </c>
      <c r="T51" s="142">
        <f>SUMIFS(Resumo_Trocas!$C:$C,Resumo_Trocas!$A:$A,$C51,Resumo_Trocas!$F:$F,T$36,Resumo_Trocas!$C:$C,"&gt;0")</f>
        <v>0</v>
      </c>
      <c r="U51" s="143">
        <f>SUMIFS(Resumo_Trocas!$D:$D,Resumo_Trocas!$A:$A,$C51,Resumo_Trocas!$F:$F,T$36,Resumo_Trocas!$C:$C,"&gt;0")</f>
        <v>0</v>
      </c>
      <c r="V51" s="142">
        <f>SUMIFS(Resumo_Trocas!$C:$C,Resumo_Trocas!$A:$A,$C51,Resumo_Trocas!$F:$F,V$36,Resumo_Trocas!$C:$C,"&gt;0")</f>
        <v>0</v>
      </c>
      <c r="W51" s="143">
        <f>SUMIFS(Resumo_Trocas!$D:$D,Resumo_Trocas!$A:$A,$C51,Resumo_Trocas!$F:$F,V$36,Resumo_Trocas!$C:$C,"&gt;0")</f>
        <v>0</v>
      </c>
      <c r="X51" s="142">
        <f>SUMIFS(Resumo_Trocas!$C:$C,Resumo_Trocas!$A:$A,$C51,Resumo_Trocas!$F:$F,X$36,Resumo_Trocas!$C:$C,"&gt;0")</f>
        <v>0</v>
      </c>
      <c r="Y51" s="143">
        <f>SUMIFS(Resumo_Trocas!$D:$D,Resumo_Trocas!$A:$A,$C51,Resumo_Trocas!$F:$F,X$36,Resumo_Trocas!$C:$C,"&gt;0")</f>
        <v>0</v>
      </c>
      <c r="Z51" s="142">
        <f>SUMIFS(Resumo_Trocas!$C:$C,Resumo_Trocas!$A:$A,$C51,Resumo_Trocas!$F:$F,Z$36,Resumo_Trocas!$C:$C,"&gt;0")</f>
        <v>0</v>
      </c>
      <c r="AA51" s="143">
        <f>SUMIFS(Resumo_Trocas!$D:$D,Resumo_Trocas!$A:$A,$C51,Resumo_Trocas!$F:$F,Z$36,Resumo_Trocas!$C:$C,"&gt;0")</f>
        <v>0</v>
      </c>
      <c r="AB51" s="142">
        <f>SUMIFS(Resumo_Trocas!$C:$C,Resumo_Trocas!$A:$A,$C51,Resumo_Trocas!$F:$F,AB$36,Resumo_Trocas!$C:$C,"&gt;0")</f>
        <v>0</v>
      </c>
      <c r="AC51" s="143">
        <f>SUMIFS(Resumo_Trocas!$D:$D,Resumo_Trocas!$A:$A,$C51,Resumo_Trocas!$F:$F,AB$36,Resumo_Trocas!$C:$C,"&gt;0")</f>
        <v>0</v>
      </c>
      <c r="AD51" s="142">
        <f>SUMIFS(Resumo_Trocas!$C:$C,Resumo_Trocas!$A:$A,$C51,Resumo_Trocas!$F:$F,AD$36,Resumo_Trocas!$C:$C,"&gt;0")</f>
        <v>0</v>
      </c>
      <c r="AE51" s="143">
        <f>SUMIFS(Resumo_Trocas!$D:$D,Resumo_Trocas!$A:$A,$C51,Resumo_Trocas!$F:$F,AD$36,Resumo_Trocas!$C:$C,"&gt;0")</f>
        <v>0</v>
      </c>
      <c r="AF51" s="142">
        <f>SUMIFS(Resumo_Trocas!$C:$C,Resumo_Trocas!$A:$A,$C51,Resumo_Trocas!$F:$F,AF$36,Resumo_Trocas!$C:$C,"&gt;0")</f>
        <v>0</v>
      </c>
      <c r="AG51" s="143">
        <f>SUMIFS(Resumo_Trocas!$D:$D,Resumo_Trocas!$A:$A,$C51,Resumo_Trocas!$F:$F,AF$36,Resumo_Trocas!$C:$C,"&gt;0")</f>
        <v>0</v>
      </c>
      <c r="AH51" s="142">
        <f>SUMIFS(Resumo_Trocas!$C:$C,Resumo_Trocas!$A:$A,$C51,Resumo_Trocas!$F:$F,AH$36,Resumo_Trocas!$C:$C,"&gt;0")</f>
        <v>0</v>
      </c>
      <c r="AI51" s="143">
        <f>SUMIFS(Resumo_Trocas!$D:$D,Resumo_Trocas!$A:$A,$C51,Resumo_Trocas!$F:$F,AH$36,Resumo_Trocas!$C:$C,"&gt;0")</f>
        <v>0</v>
      </c>
      <c r="AJ51" s="142">
        <f>SUMIFS(Resumo_Trocas!$C:$C,Resumo_Trocas!$A:$A,$C51,Resumo_Trocas!$F:$F,AJ$36,Resumo_Trocas!$C:$C,"&gt;0")</f>
        <v>0</v>
      </c>
      <c r="AK51" s="143">
        <f>SUMIFS(Resumo_Trocas!$D:$D,Resumo_Trocas!$A:$A,$C51,Resumo_Trocas!$F:$F,AJ$36,Resumo_Trocas!$C:$C,"&gt;0")</f>
        <v>0</v>
      </c>
      <c r="AL51" s="142">
        <f>SUMIFS(Resumo_Trocas!$C:$C,Resumo_Trocas!$A:$A,$C51,Resumo_Trocas!$F:$F,AL$36,Resumo_Trocas!$C:$C,"&gt;0")</f>
        <v>0</v>
      </c>
      <c r="AM51" s="143">
        <f>SUMIFS(Resumo_Trocas!$D:$D,Resumo_Trocas!$A:$A,$C51,Resumo_Trocas!$F:$F,AL$36,Resumo_Trocas!$C:$C,"&gt;0")</f>
        <v>0</v>
      </c>
      <c r="AN51" s="142">
        <f>SUMIFS(Resumo_Trocas!$C:$C,Resumo_Trocas!$A:$A,$C51,Resumo_Trocas!$F:$F,AN$36,Resumo_Trocas!$C:$C,"&gt;0")</f>
        <v>0</v>
      </c>
      <c r="AO51" s="143">
        <f>SUMIFS(Resumo_Trocas!$D:$D,Resumo_Trocas!$A:$A,$C51,Resumo_Trocas!$F:$F,AN$36,Resumo_Trocas!$C:$C,"&gt;0")</f>
        <v>0</v>
      </c>
    </row>
  </sheetData>
  <mergeCells count="136">
    <mergeCell ref="AH18:AI18"/>
    <mergeCell ref="AJ18:AK18"/>
    <mergeCell ref="AJ36:AK36"/>
    <mergeCell ref="AD36:AE36"/>
    <mergeCell ref="AF36:AG36"/>
    <mergeCell ref="AH36:AI36"/>
    <mergeCell ref="AL36:AM36"/>
    <mergeCell ref="AN36:AO36"/>
    <mergeCell ref="R36:S36"/>
    <mergeCell ref="T36:U36"/>
    <mergeCell ref="V36:W36"/>
    <mergeCell ref="X36:Y36"/>
    <mergeCell ref="Z36:AA36"/>
    <mergeCell ref="AB36:AC36"/>
    <mergeCell ref="C36:C37"/>
    <mergeCell ref="D36:E36"/>
    <mergeCell ref="F36:G36"/>
    <mergeCell ref="H36:I36"/>
    <mergeCell ref="J36:K36"/>
    <mergeCell ref="L36:M36"/>
    <mergeCell ref="N36:O36"/>
    <mergeCell ref="P36:Q36"/>
    <mergeCell ref="Z18:AA18"/>
    <mergeCell ref="N18:O18"/>
    <mergeCell ref="P18:Q18"/>
    <mergeCell ref="R18:S18"/>
    <mergeCell ref="T18:U18"/>
    <mergeCell ref="V18:W18"/>
    <mergeCell ref="X18:Y18"/>
    <mergeCell ref="V6:W6"/>
    <mergeCell ref="X6:Y6"/>
    <mergeCell ref="Z6:AA6"/>
    <mergeCell ref="AH9:AI9"/>
    <mergeCell ref="AJ9:AK9"/>
    <mergeCell ref="AL9:AM9"/>
    <mergeCell ref="AN9:AO9"/>
    <mergeCell ref="C18:C19"/>
    <mergeCell ref="D18:E18"/>
    <mergeCell ref="F18:G18"/>
    <mergeCell ref="H18:I18"/>
    <mergeCell ref="J18:K18"/>
    <mergeCell ref="L18:M18"/>
    <mergeCell ref="V9:W9"/>
    <mergeCell ref="X9:Y9"/>
    <mergeCell ref="Z9:AA9"/>
    <mergeCell ref="AB9:AC9"/>
    <mergeCell ref="AD9:AE9"/>
    <mergeCell ref="AF9:AG9"/>
    <mergeCell ref="AL18:AM18"/>
    <mergeCell ref="AN18:AO18"/>
    <mergeCell ref="AB18:AC18"/>
    <mergeCell ref="AD18:AE18"/>
    <mergeCell ref="AF18:AG18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AL5:AM5"/>
    <mergeCell ref="AN5:AO5"/>
    <mergeCell ref="D6:E6"/>
    <mergeCell ref="F6:G6"/>
    <mergeCell ref="H6:I6"/>
    <mergeCell ref="J6:K6"/>
    <mergeCell ref="L6:M6"/>
    <mergeCell ref="N6:O6"/>
    <mergeCell ref="V5:W5"/>
    <mergeCell ref="X5:Y5"/>
    <mergeCell ref="Z5:AA5"/>
    <mergeCell ref="AB5:AC5"/>
    <mergeCell ref="AD5:AE5"/>
    <mergeCell ref="AF5:AG5"/>
    <mergeCell ref="AN6:AO6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AN4:AO4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H5:AI5"/>
    <mergeCell ref="AJ5:AK5"/>
    <mergeCell ref="D4:E4"/>
    <mergeCell ref="F4:G4"/>
    <mergeCell ref="H4:I4"/>
    <mergeCell ref="J4:K4"/>
    <mergeCell ref="L4:M4"/>
    <mergeCell ref="N4:O4"/>
    <mergeCell ref="V3:W3"/>
    <mergeCell ref="X3:Y3"/>
    <mergeCell ref="Z3:AA3"/>
    <mergeCell ref="D2:AO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B3:AC3"/>
    <mergeCell ref="AD3:AE3"/>
    <mergeCell ref="AF3:AG3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EB45-E537-4D9A-BBFB-AE63AAA7A759}">
  <sheetPr codeName="Planilha8"/>
  <dimension ref="A1:AQ66"/>
  <sheetViews>
    <sheetView showGridLines="0" showZeros="0" zoomScale="110" zoomScaleNormal="110" workbookViewId="0">
      <pane xSplit="2" ySplit="7" topLeftCell="C8" activePane="bottomRight" state="frozen"/>
      <selection pane="topRight" activeCell="AP25" sqref="AP25"/>
      <selection pane="bottomLeft" activeCell="AP25" sqref="AP25"/>
      <selection pane="bottomRight" activeCell="AQ31" sqref="AQ31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hidden="1" customWidth="1" outlineLevel="1"/>
    <col min="8" max="21" width="8.7109375" style="62" hidden="1" customWidth="1" outlineLevel="1"/>
    <col min="22" max="22" width="8.7109375" style="62" collapsed="1"/>
    <col min="23" max="41" width="8.7109375" style="62" customWidth="1" outlineLevel="1"/>
    <col min="42" max="16384" width="8.7109375" style="62"/>
  </cols>
  <sheetData>
    <row r="1" spans="1:43" ht="30" customHeight="1" x14ac:dyDescent="0.35">
      <c r="A1" s="62" t="s">
        <v>3484</v>
      </c>
      <c r="C1" s="71" t="s">
        <v>3404</v>
      </c>
    </row>
    <row r="2" spans="1:43" ht="24" thickBot="1" x14ac:dyDescent="0.4">
      <c r="C2" s="65" t="s">
        <v>3379</v>
      </c>
      <c r="D2" s="209" t="s">
        <v>3485</v>
      </c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</row>
    <row r="3" spans="1:43" s="90" customFormat="1" ht="15" customHeight="1" thickBot="1" x14ac:dyDescent="0.3">
      <c r="C3" s="118" t="s">
        <v>3381</v>
      </c>
      <c r="D3" s="217" t="s">
        <v>3372</v>
      </c>
      <c r="E3" s="217"/>
      <c r="F3" s="217" t="s">
        <v>3373</v>
      </c>
      <c r="G3" s="217"/>
      <c r="H3" s="218" t="s">
        <v>3374</v>
      </c>
      <c r="I3" s="218"/>
      <c r="J3" s="217" t="s">
        <v>3370</v>
      </c>
      <c r="K3" s="217"/>
      <c r="L3" s="219" t="s">
        <v>3371</v>
      </c>
      <c r="M3" s="219"/>
      <c r="N3" s="219" t="s">
        <v>3375</v>
      </c>
      <c r="O3" s="219"/>
      <c r="P3" s="219" t="s">
        <v>3367</v>
      </c>
      <c r="Q3" s="219"/>
      <c r="R3" s="219" t="s">
        <v>3368</v>
      </c>
      <c r="S3" s="219"/>
      <c r="T3" s="219" t="s">
        <v>3369</v>
      </c>
      <c r="U3" s="219"/>
      <c r="V3" s="219" t="s">
        <v>3358</v>
      </c>
      <c r="W3" s="219"/>
      <c r="X3" s="219" t="s">
        <v>3363</v>
      </c>
      <c r="Y3" s="219"/>
      <c r="Z3" s="219" t="s">
        <v>3361</v>
      </c>
      <c r="AA3" s="219"/>
      <c r="AB3" s="219" t="s">
        <v>3359</v>
      </c>
      <c r="AC3" s="219"/>
      <c r="AD3" s="219" t="s">
        <v>3366</v>
      </c>
      <c r="AE3" s="219"/>
      <c r="AF3" s="219" t="s">
        <v>3364</v>
      </c>
      <c r="AG3" s="219"/>
      <c r="AH3" s="219" t="s">
        <v>3360</v>
      </c>
      <c r="AI3" s="219"/>
      <c r="AJ3" s="219" t="s">
        <v>3362</v>
      </c>
      <c r="AK3" s="219"/>
      <c r="AL3" s="219" t="s">
        <v>3365</v>
      </c>
      <c r="AM3" s="219"/>
      <c r="AN3" s="218" t="s">
        <v>3486</v>
      </c>
      <c r="AO3" s="218"/>
      <c r="AP3" s="97" t="s">
        <v>3383</v>
      </c>
      <c r="AQ3" s="97" t="s">
        <v>3384</v>
      </c>
    </row>
    <row r="4" spans="1:43" s="90" customFormat="1" ht="15" customHeight="1" thickBot="1" x14ac:dyDescent="0.25">
      <c r="C4" s="129">
        <v>240</v>
      </c>
      <c r="D4" s="220">
        <f>SUM(D5:E6)</f>
        <v>1.4666666666666666</v>
      </c>
      <c r="E4" s="220"/>
      <c r="F4" s="220">
        <f>SUM(F5:G6)</f>
        <v>1.2</v>
      </c>
      <c r="G4" s="220"/>
      <c r="H4" s="220">
        <f>SUM(H5:I6)</f>
        <v>0.73333333333333328</v>
      </c>
      <c r="I4" s="220"/>
      <c r="J4" s="220">
        <f>SUM(J5:K6)</f>
        <v>1</v>
      </c>
      <c r="K4" s="220"/>
      <c r="L4" s="220">
        <f>SUM(L5:M6)</f>
        <v>0.6</v>
      </c>
      <c r="M4" s="220"/>
      <c r="N4" s="220">
        <f>SUM(N5:O6)</f>
        <v>0.2</v>
      </c>
      <c r="O4" s="220"/>
      <c r="P4" s="220">
        <f>SUM(P5:Q6)</f>
        <v>1.4</v>
      </c>
      <c r="Q4" s="220"/>
      <c r="R4" s="220">
        <f>SUM(R5:S6)</f>
        <v>0.33333333333333331</v>
      </c>
      <c r="S4" s="220"/>
      <c r="T4" s="220">
        <f>SUM(T5:U6)</f>
        <v>0.93333333333333335</v>
      </c>
      <c r="U4" s="220"/>
      <c r="V4" s="220">
        <f>SUM(V5:W6)</f>
        <v>0.66666666666666663</v>
      </c>
      <c r="W4" s="220"/>
      <c r="X4" s="220">
        <f>SUM(X5:Y6)</f>
        <v>0.73333333333333328</v>
      </c>
      <c r="Y4" s="220"/>
      <c r="Z4" s="220">
        <f>SUM(Z5:AA6)</f>
        <v>0.26666666666666666</v>
      </c>
      <c r="AA4" s="220"/>
      <c r="AB4" s="220">
        <f>SUM(AB5:AC6)</f>
        <v>1</v>
      </c>
      <c r="AC4" s="220"/>
      <c r="AD4" s="220">
        <f>SUM(AD5:AE6)</f>
        <v>0.46666666666666667</v>
      </c>
      <c r="AE4" s="220"/>
      <c r="AF4" s="220">
        <f>SUM(AF5:AG6)</f>
        <v>1</v>
      </c>
      <c r="AG4" s="220"/>
      <c r="AH4" s="220">
        <f>SUM(AH5:AI6)</f>
        <v>1.2</v>
      </c>
      <c r="AI4" s="220"/>
      <c r="AJ4" s="220">
        <f>SUM(AJ5:AK6)</f>
        <v>0.4</v>
      </c>
      <c r="AK4" s="220"/>
      <c r="AL4" s="220">
        <f>SUM(AL5:AM6)</f>
        <v>0.4</v>
      </c>
      <c r="AM4" s="220"/>
      <c r="AN4" s="220"/>
      <c r="AO4" s="221"/>
      <c r="AP4" s="96">
        <f>AVERAGE(D4:AN4)</f>
        <v>0.77777777777777779</v>
      </c>
      <c r="AQ4" s="96">
        <f>ROUNDUP(AP4,0)</f>
        <v>1</v>
      </c>
    </row>
    <row r="5" spans="1:43" s="90" customFormat="1" ht="15.75" thickBot="1" x14ac:dyDescent="0.3">
      <c r="C5" s="122" t="s">
        <v>3488</v>
      </c>
      <c r="D5" s="205">
        <f>IFERROR(SUM(((E12)*$C$4)/3600)," ")</f>
        <v>0</v>
      </c>
      <c r="E5" s="205"/>
      <c r="F5" s="205">
        <f>IFERROR(SUM(((G12)*$C$4)/3600)," ")</f>
        <v>0</v>
      </c>
      <c r="G5" s="205"/>
      <c r="H5" s="205">
        <f>IFERROR(SUM(((I12)*$C$4)/3600)," ")</f>
        <v>0</v>
      </c>
      <c r="I5" s="205"/>
      <c r="J5" s="205">
        <f>IFERROR(SUM(((K12)*$C$4)/3600)," ")</f>
        <v>0</v>
      </c>
      <c r="K5" s="205"/>
      <c r="L5" s="205">
        <f>IFERROR(SUM(((M12)*$C$4)/3600)," ")</f>
        <v>0</v>
      </c>
      <c r="M5" s="205"/>
      <c r="N5" s="205">
        <f>IFERROR(SUM(((O12)*$C$4)/3600)," ")</f>
        <v>0</v>
      </c>
      <c r="O5" s="205"/>
      <c r="P5" s="205">
        <f>IFERROR(SUM(((Q12)*$C$4)/3600)," ")</f>
        <v>0</v>
      </c>
      <c r="Q5" s="205"/>
      <c r="R5" s="205">
        <f>IFERROR(SUM(((S12)*$C$4)/3600)," ")</f>
        <v>0</v>
      </c>
      <c r="S5" s="205"/>
      <c r="T5" s="205">
        <f>IFERROR(SUM(((U12)*$C$4)/3600)," ")</f>
        <v>0</v>
      </c>
      <c r="U5" s="205"/>
      <c r="V5" s="205">
        <f>IFERROR(SUM(((W12)*$C$4)/3600)," ")</f>
        <v>0</v>
      </c>
      <c r="W5" s="205"/>
      <c r="X5" s="205">
        <f>IFERROR(SUM(((Y12)*$C$4)/3600)," ")</f>
        <v>0</v>
      </c>
      <c r="Y5" s="205"/>
      <c r="Z5" s="205">
        <f>IFERROR(SUM(((AA12)*$C$4)/3600)," ")</f>
        <v>0</v>
      </c>
      <c r="AA5" s="205"/>
      <c r="AB5" s="205">
        <f>IFERROR(SUM(((AC12)*$C$4)/3600)," ")</f>
        <v>0</v>
      </c>
      <c r="AC5" s="205"/>
      <c r="AD5" s="205">
        <f>IFERROR(SUM(((AE12)*$C$4)/3600)," ")</f>
        <v>0</v>
      </c>
      <c r="AE5" s="205"/>
      <c r="AF5" s="205">
        <f>IFERROR(SUM(((AG12)*$C$4)/3600)," ")</f>
        <v>0</v>
      </c>
      <c r="AG5" s="205"/>
      <c r="AH5" s="205">
        <f>IFERROR(SUM(((AI12)*$C$4)/3600)," ")</f>
        <v>0</v>
      </c>
      <c r="AI5" s="205"/>
      <c r="AJ5" s="205">
        <f>IFERROR(SUM(((AK12)*$C$4)/3600)," ")</f>
        <v>0</v>
      </c>
      <c r="AK5" s="205"/>
      <c r="AL5" s="205">
        <f>IFERROR(SUM(((AM12)*$C$4)/3600)," ")</f>
        <v>0</v>
      </c>
      <c r="AM5" s="205"/>
      <c r="AN5" s="205">
        <f>IFERROR(SUM(((AO12)*$C$4)/3600)," ")</f>
        <v>0</v>
      </c>
      <c r="AO5" s="206"/>
      <c r="AP5" s="96">
        <f>AVERAGE(D5:AN5)</f>
        <v>0</v>
      </c>
      <c r="AQ5" s="96">
        <f>ROUNDUP(AP5,0)</f>
        <v>0</v>
      </c>
    </row>
    <row r="6" spans="1:43" s="90" customFormat="1" ht="15.75" thickBot="1" x14ac:dyDescent="0.3">
      <c r="C6" s="122" t="s">
        <v>3489</v>
      </c>
      <c r="D6" s="207">
        <f>IFERROR(SUM(((E13)*$C$4)/3600)," ")</f>
        <v>1.4666666666666666</v>
      </c>
      <c r="E6" s="207"/>
      <c r="F6" s="207">
        <f>IFERROR(SUM(((G13)*$C$4)/3600)," ")</f>
        <v>1.2</v>
      </c>
      <c r="G6" s="207"/>
      <c r="H6" s="207">
        <f>IFERROR(SUM(((I13)*$C$4)/3600)," ")</f>
        <v>0.73333333333333328</v>
      </c>
      <c r="I6" s="207"/>
      <c r="J6" s="207">
        <f>IFERROR(SUM(((K13)*$C$4)/3600)," ")</f>
        <v>1</v>
      </c>
      <c r="K6" s="207"/>
      <c r="L6" s="207">
        <f>IFERROR(SUM(((M13)*$C$4)/3600)," ")</f>
        <v>0.6</v>
      </c>
      <c r="M6" s="207"/>
      <c r="N6" s="207">
        <f>IFERROR(SUM(((O13)*$C$4)/3600)," ")</f>
        <v>0.2</v>
      </c>
      <c r="O6" s="207"/>
      <c r="P6" s="207">
        <f>IFERROR(SUM(((Q13)*$C$4)/3600)," ")</f>
        <v>1.4</v>
      </c>
      <c r="Q6" s="207"/>
      <c r="R6" s="207">
        <f>IFERROR(SUM(((S13)*$C$4)/3600)," ")</f>
        <v>0.33333333333333331</v>
      </c>
      <c r="S6" s="207"/>
      <c r="T6" s="207">
        <f>IFERROR(SUM(((U13)*$C$4)/3600)," ")</f>
        <v>0.93333333333333335</v>
      </c>
      <c r="U6" s="207"/>
      <c r="V6" s="207">
        <f>IFERROR(SUM(((W13)*$C$4)/3600)," ")</f>
        <v>0.66666666666666663</v>
      </c>
      <c r="W6" s="207"/>
      <c r="X6" s="207">
        <f>IFERROR(SUM(((Y13)*$C$4)/3600)," ")</f>
        <v>0.73333333333333328</v>
      </c>
      <c r="Y6" s="207"/>
      <c r="Z6" s="207">
        <f>IFERROR(SUM(((AA13)*$C$4)/3600)," ")</f>
        <v>0.26666666666666666</v>
      </c>
      <c r="AA6" s="207"/>
      <c r="AB6" s="207">
        <f>IFERROR(SUM(((AC13)*$C$4)/3600)," ")</f>
        <v>1</v>
      </c>
      <c r="AC6" s="207"/>
      <c r="AD6" s="207">
        <f>IFERROR(SUM(((AE13)*$C$4)/3600)," ")</f>
        <v>0.46666666666666667</v>
      </c>
      <c r="AE6" s="207"/>
      <c r="AF6" s="207">
        <f>IFERROR(SUM(((AG13)*$C$4)/3600)," ")</f>
        <v>1</v>
      </c>
      <c r="AG6" s="207"/>
      <c r="AH6" s="207">
        <f>IFERROR(SUM(((AI13)*$C$4)/3600)," ")</f>
        <v>1.2</v>
      </c>
      <c r="AI6" s="207"/>
      <c r="AJ6" s="207">
        <f>IFERROR(SUM(((AK13)*$C$4)/3600)," ")</f>
        <v>0.4</v>
      </c>
      <c r="AK6" s="207"/>
      <c r="AL6" s="207">
        <f>IFERROR(SUM(((AM13)*$C$4)/3600)," ")</f>
        <v>0.4</v>
      </c>
      <c r="AM6" s="207"/>
      <c r="AN6" s="207"/>
      <c r="AO6" s="208"/>
      <c r="AP6" s="96">
        <f>AVERAGE(D6:AN6)</f>
        <v>0.77777777777777779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/>
    </row>
    <row r="9" spans="1:43" ht="21" outlineLevel="2" x14ac:dyDescent="0.35">
      <c r="C9" s="65" t="s">
        <v>3392</v>
      </c>
      <c r="D9" s="222" t="s">
        <v>3372</v>
      </c>
      <c r="E9" s="223"/>
      <c r="F9" s="222" t="s">
        <v>3373</v>
      </c>
      <c r="G9" s="223"/>
      <c r="H9" s="201" t="s">
        <v>3374</v>
      </c>
      <c r="I9" s="202"/>
      <c r="J9" s="222" t="s">
        <v>3370</v>
      </c>
      <c r="K9" s="223"/>
      <c r="L9" s="222" t="s">
        <v>3371</v>
      </c>
      <c r="M9" s="223"/>
      <c r="N9" s="222" t="s">
        <v>3375</v>
      </c>
      <c r="O9" s="223"/>
      <c r="P9" s="222" t="s">
        <v>3367</v>
      </c>
      <c r="Q9" s="223"/>
      <c r="R9" s="222" t="s">
        <v>3368</v>
      </c>
      <c r="S9" s="223"/>
      <c r="T9" s="222" t="s">
        <v>3369</v>
      </c>
      <c r="U9" s="223"/>
      <c r="V9" s="201" t="s">
        <v>3358</v>
      </c>
      <c r="W9" s="202"/>
      <c r="X9" s="222" t="s">
        <v>3363</v>
      </c>
      <c r="Y9" s="223"/>
      <c r="Z9" s="222" t="s">
        <v>3361</v>
      </c>
      <c r="AA9" s="223"/>
      <c r="AB9" s="222" t="s">
        <v>3359</v>
      </c>
      <c r="AC9" s="223"/>
      <c r="AD9" s="222" t="s">
        <v>3366</v>
      </c>
      <c r="AE9" s="223"/>
      <c r="AF9" s="201" t="s">
        <v>3364</v>
      </c>
      <c r="AG9" s="202"/>
      <c r="AH9" s="222" t="s">
        <v>3360</v>
      </c>
      <c r="AI9" s="223"/>
      <c r="AJ9" s="222" t="s">
        <v>3362</v>
      </c>
      <c r="AK9" s="223"/>
      <c r="AL9" s="222" t="s">
        <v>3365</v>
      </c>
      <c r="AM9" s="223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3353</v>
      </c>
      <c r="F10" s="101" t="s">
        <v>3487</v>
      </c>
      <c r="G10" s="102" t="s">
        <v>3353</v>
      </c>
      <c r="H10" s="101" t="s">
        <v>3487</v>
      </c>
      <c r="I10" s="102" t="s">
        <v>3353</v>
      </c>
      <c r="J10" s="101" t="s">
        <v>3487</v>
      </c>
      <c r="K10" s="102" t="s">
        <v>3353</v>
      </c>
      <c r="L10" s="101" t="s">
        <v>3487</v>
      </c>
      <c r="M10" s="102" t="s">
        <v>3353</v>
      </c>
      <c r="N10" s="101" t="s">
        <v>3487</v>
      </c>
      <c r="O10" s="102" t="s">
        <v>3353</v>
      </c>
      <c r="P10" s="101" t="s">
        <v>3487</v>
      </c>
      <c r="Q10" s="102" t="s">
        <v>3353</v>
      </c>
      <c r="R10" s="101" t="s">
        <v>3487</v>
      </c>
      <c r="S10" s="102" t="s">
        <v>3353</v>
      </c>
      <c r="T10" s="101" t="s">
        <v>3487</v>
      </c>
      <c r="U10" s="102" t="s">
        <v>3353</v>
      </c>
      <c r="V10" s="101" t="s">
        <v>3487</v>
      </c>
      <c r="W10" s="102" t="s">
        <v>3353</v>
      </c>
      <c r="X10" s="101" t="s">
        <v>3487</v>
      </c>
      <c r="Y10" s="102" t="s">
        <v>3353</v>
      </c>
      <c r="Z10" s="101" t="s">
        <v>3487</v>
      </c>
      <c r="AA10" s="102" t="s">
        <v>3353</v>
      </c>
      <c r="AB10" s="101" t="s">
        <v>3487</v>
      </c>
      <c r="AC10" s="102" t="s">
        <v>3353</v>
      </c>
      <c r="AD10" s="101" t="s">
        <v>3487</v>
      </c>
      <c r="AE10" s="102" t="s">
        <v>3353</v>
      </c>
      <c r="AF10" s="101" t="s">
        <v>3487</v>
      </c>
      <c r="AG10" s="102" t="s">
        <v>3353</v>
      </c>
      <c r="AH10" s="101" t="s">
        <v>3487</v>
      </c>
      <c r="AI10" s="102" t="s">
        <v>3353</v>
      </c>
      <c r="AJ10" s="101" t="s">
        <v>3487</v>
      </c>
      <c r="AK10" s="102" t="s">
        <v>3353</v>
      </c>
      <c r="AL10" s="101" t="s">
        <v>3487</v>
      </c>
      <c r="AM10" s="102" t="s">
        <v>3353</v>
      </c>
      <c r="AN10" s="101" t="s">
        <v>3487</v>
      </c>
      <c r="AO10" s="102" t="s">
        <v>3353</v>
      </c>
    </row>
    <row r="11" spans="1:43" ht="18" hidden="1" outlineLevel="2" thickBot="1" x14ac:dyDescent="0.3">
      <c r="C11" s="120" t="s">
        <v>3394</v>
      </c>
      <c r="D11" s="121">
        <f>SUM(D12:D13)</f>
        <v>28</v>
      </c>
      <c r="E11" s="121"/>
      <c r="F11" s="121">
        <f>SUM(F12:F13)</f>
        <v>17</v>
      </c>
      <c r="G11" s="121"/>
      <c r="H11" s="121">
        <f>SUM(H12:H13)</f>
        <v>9</v>
      </c>
      <c r="I11" s="121"/>
      <c r="J11" s="121">
        <f>SUM(J12:J13)</f>
        <v>12</v>
      </c>
      <c r="K11" s="121"/>
      <c r="L11" s="121">
        <f>SUM(L12:L13)</f>
        <v>5</v>
      </c>
      <c r="M11" s="121"/>
      <c r="N11" s="121">
        <f>SUM(N12:N13)</f>
        <v>1</v>
      </c>
      <c r="O11" s="121"/>
      <c r="P11" s="121">
        <f>SUM(P12:P13)</f>
        <v>10</v>
      </c>
      <c r="Q11" s="121"/>
      <c r="R11" s="121">
        <f>SUM(R12:R13)</f>
        <v>5</v>
      </c>
      <c r="S11" s="121"/>
      <c r="T11" s="121">
        <f>SUM(T12:T13)</f>
        <v>9</v>
      </c>
      <c r="U11" s="121"/>
      <c r="V11" s="121">
        <f>SUM(V12:V13)</f>
        <v>6</v>
      </c>
      <c r="W11" s="121"/>
      <c r="X11" s="121">
        <f>SUM(X12:X13)</f>
        <v>6</v>
      </c>
      <c r="Y11" s="121"/>
      <c r="Z11" s="121">
        <f>SUM(Z12:Z13)</f>
        <v>6</v>
      </c>
      <c r="AA11" s="121"/>
      <c r="AB11" s="121">
        <f>SUM(AB12:AB13)</f>
        <v>8</v>
      </c>
      <c r="AC11" s="121"/>
      <c r="AD11" s="121">
        <f>SUM(AD12:AD13)</f>
        <v>4</v>
      </c>
      <c r="AE11" s="121"/>
      <c r="AF11" s="121">
        <f>SUM(AF12:AF13)</f>
        <v>9</v>
      </c>
      <c r="AG11" s="121"/>
      <c r="AH11" s="121">
        <f>SUM(AH12:AH13)</f>
        <v>9</v>
      </c>
      <c r="AI11" s="121"/>
      <c r="AJ11" s="121">
        <f>SUM(AJ12:AJ13)</f>
        <v>9</v>
      </c>
      <c r="AK11" s="121"/>
      <c r="AL11" s="121">
        <f>SUM(AL12:AL13)</f>
        <v>7</v>
      </c>
      <c r="AM11" s="121"/>
      <c r="AN11" s="121">
        <f>SUM(AN12:AN13)</f>
        <v>0</v>
      </c>
    </row>
    <row r="12" spans="1:43" ht="15.75" outlineLevel="2" thickBot="1" x14ac:dyDescent="0.3">
      <c r="B12" s="62" t="e">
        <f>IF(#REF!="&lt;&gt;",RIGHT(C12,1),#REF!)</f>
        <v>#REF!</v>
      </c>
      <c r="C12" s="122" t="s">
        <v>3488</v>
      </c>
      <c r="D12" s="123">
        <f>D20</f>
        <v>0</v>
      </c>
      <c r="E12" s="124">
        <f t="shared" ref="E12:AO12" si="0">E20</f>
        <v>0</v>
      </c>
      <c r="F12" s="123">
        <f t="shared" si="0"/>
        <v>0</v>
      </c>
      <c r="G12" s="124">
        <f t="shared" si="0"/>
        <v>0</v>
      </c>
      <c r="H12" s="123">
        <f t="shared" si="0"/>
        <v>1</v>
      </c>
      <c r="I12" s="124">
        <f t="shared" si="0"/>
        <v>0</v>
      </c>
      <c r="J12" s="123">
        <f t="shared" si="0"/>
        <v>0</v>
      </c>
      <c r="K12" s="124">
        <f t="shared" si="0"/>
        <v>0</v>
      </c>
      <c r="L12" s="123">
        <f t="shared" si="0"/>
        <v>0</v>
      </c>
      <c r="M12" s="124">
        <f t="shared" si="0"/>
        <v>0</v>
      </c>
      <c r="N12" s="123">
        <f t="shared" si="0"/>
        <v>0</v>
      </c>
      <c r="O12" s="124">
        <f t="shared" si="0"/>
        <v>0</v>
      </c>
      <c r="P12" s="123">
        <f t="shared" si="0"/>
        <v>0</v>
      </c>
      <c r="Q12" s="124">
        <f t="shared" si="0"/>
        <v>0</v>
      </c>
      <c r="R12" s="123">
        <f t="shared" si="0"/>
        <v>0</v>
      </c>
      <c r="S12" s="124">
        <f t="shared" si="0"/>
        <v>0</v>
      </c>
      <c r="T12" s="123">
        <f t="shared" si="0"/>
        <v>0</v>
      </c>
      <c r="U12" s="124">
        <f t="shared" si="0"/>
        <v>0</v>
      </c>
      <c r="V12" s="123">
        <f t="shared" si="0"/>
        <v>0</v>
      </c>
      <c r="W12" s="124">
        <f t="shared" si="0"/>
        <v>0</v>
      </c>
      <c r="X12" s="123">
        <f t="shared" si="0"/>
        <v>0</v>
      </c>
      <c r="Y12" s="124">
        <f t="shared" si="0"/>
        <v>0</v>
      </c>
      <c r="Z12" s="123">
        <f t="shared" si="0"/>
        <v>0</v>
      </c>
      <c r="AA12" s="124">
        <f t="shared" si="0"/>
        <v>0</v>
      </c>
      <c r="AB12" s="123">
        <f t="shared" si="0"/>
        <v>0</v>
      </c>
      <c r="AC12" s="124">
        <f t="shared" si="0"/>
        <v>0</v>
      </c>
      <c r="AD12" s="123">
        <f t="shared" si="0"/>
        <v>0</v>
      </c>
      <c r="AE12" s="124">
        <f t="shared" si="0"/>
        <v>0</v>
      </c>
      <c r="AF12" s="123">
        <f t="shared" si="0"/>
        <v>0</v>
      </c>
      <c r="AG12" s="124">
        <f t="shared" si="0"/>
        <v>0</v>
      </c>
      <c r="AH12" s="123">
        <f t="shared" si="0"/>
        <v>0</v>
      </c>
      <c r="AI12" s="124">
        <f t="shared" si="0"/>
        <v>0</v>
      </c>
      <c r="AJ12" s="123">
        <f t="shared" si="0"/>
        <v>0</v>
      </c>
      <c r="AK12" s="124">
        <f t="shared" si="0"/>
        <v>0</v>
      </c>
      <c r="AL12" s="123">
        <f t="shared" si="0"/>
        <v>0</v>
      </c>
      <c r="AM12" s="124">
        <f t="shared" si="0"/>
        <v>0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22" t="s">
        <v>3489</v>
      </c>
      <c r="D13" s="126">
        <f>D46</f>
        <v>28</v>
      </c>
      <c r="E13" s="127">
        <f t="shared" ref="E13:AO13" si="1">E46</f>
        <v>22</v>
      </c>
      <c r="F13" s="126">
        <f t="shared" si="1"/>
        <v>17</v>
      </c>
      <c r="G13" s="127">
        <f t="shared" si="1"/>
        <v>18</v>
      </c>
      <c r="H13" s="126">
        <f t="shared" si="1"/>
        <v>8</v>
      </c>
      <c r="I13" s="127">
        <f t="shared" si="1"/>
        <v>11</v>
      </c>
      <c r="J13" s="126">
        <f t="shared" si="1"/>
        <v>12</v>
      </c>
      <c r="K13" s="127">
        <f t="shared" si="1"/>
        <v>15</v>
      </c>
      <c r="L13" s="126">
        <f t="shared" si="1"/>
        <v>5</v>
      </c>
      <c r="M13" s="127">
        <f t="shared" si="1"/>
        <v>9</v>
      </c>
      <c r="N13" s="126">
        <f t="shared" si="1"/>
        <v>1</v>
      </c>
      <c r="O13" s="127">
        <f t="shared" si="1"/>
        <v>3</v>
      </c>
      <c r="P13" s="126">
        <f t="shared" si="1"/>
        <v>10</v>
      </c>
      <c r="Q13" s="127">
        <f t="shared" si="1"/>
        <v>21</v>
      </c>
      <c r="R13" s="126">
        <f t="shared" si="1"/>
        <v>5</v>
      </c>
      <c r="S13" s="127">
        <f t="shared" si="1"/>
        <v>5</v>
      </c>
      <c r="T13" s="126">
        <f t="shared" si="1"/>
        <v>9</v>
      </c>
      <c r="U13" s="127">
        <f t="shared" si="1"/>
        <v>14</v>
      </c>
      <c r="V13" s="126">
        <f t="shared" si="1"/>
        <v>6</v>
      </c>
      <c r="W13" s="127">
        <f t="shared" si="1"/>
        <v>10</v>
      </c>
      <c r="X13" s="126">
        <f t="shared" si="1"/>
        <v>6</v>
      </c>
      <c r="Y13" s="127">
        <f t="shared" si="1"/>
        <v>11</v>
      </c>
      <c r="Z13" s="126">
        <f t="shared" si="1"/>
        <v>6</v>
      </c>
      <c r="AA13" s="127">
        <f t="shared" si="1"/>
        <v>4</v>
      </c>
      <c r="AB13" s="126">
        <f t="shared" si="1"/>
        <v>8</v>
      </c>
      <c r="AC13" s="127">
        <f t="shared" si="1"/>
        <v>15</v>
      </c>
      <c r="AD13" s="126">
        <f t="shared" si="1"/>
        <v>4</v>
      </c>
      <c r="AE13" s="127">
        <f t="shared" si="1"/>
        <v>7</v>
      </c>
      <c r="AF13" s="126">
        <f t="shared" si="1"/>
        <v>9</v>
      </c>
      <c r="AG13" s="127">
        <f t="shared" si="1"/>
        <v>15</v>
      </c>
      <c r="AH13" s="126">
        <f t="shared" si="1"/>
        <v>9</v>
      </c>
      <c r="AI13" s="127">
        <f t="shared" si="1"/>
        <v>18</v>
      </c>
      <c r="AJ13" s="126">
        <f t="shared" si="1"/>
        <v>9</v>
      </c>
      <c r="AK13" s="127">
        <f t="shared" si="1"/>
        <v>6</v>
      </c>
      <c r="AL13" s="126">
        <f t="shared" si="1"/>
        <v>7</v>
      </c>
      <c r="AM13" s="127">
        <f t="shared" si="1"/>
        <v>6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28</v>
      </c>
      <c r="E14" s="133">
        <f t="shared" si="2"/>
        <v>22</v>
      </c>
      <c r="F14" s="132">
        <f t="shared" si="2"/>
        <v>17</v>
      </c>
      <c r="G14" s="133">
        <f t="shared" si="2"/>
        <v>18</v>
      </c>
      <c r="H14" s="132">
        <f t="shared" si="2"/>
        <v>9</v>
      </c>
      <c r="I14" s="133">
        <f t="shared" si="2"/>
        <v>11</v>
      </c>
      <c r="J14" s="132">
        <f t="shared" si="2"/>
        <v>12</v>
      </c>
      <c r="K14" s="133">
        <f t="shared" si="2"/>
        <v>15</v>
      </c>
      <c r="L14" s="132">
        <f t="shared" si="2"/>
        <v>5</v>
      </c>
      <c r="M14" s="133">
        <f t="shared" si="2"/>
        <v>9</v>
      </c>
      <c r="N14" s="132">
        <f t="shared" si="2"/>
        <v>1</v>
      </c>
      <c r="O14" s="133">
        <f t="shared" si="2"/>
        <v>3</v>
      </c>
      <c r="P14" s="132">
        <f t="shared" si="2"/>
        <v>10</v>
      </c>
      <c r="Q14" s="133">
        <f t="shared" si="2"/>
        <v>21</v>
      </c>
      <c r="R14" s="132">
        <f t="shared" si="2"/>
        <v>5</v>
      </c>
      <c r="S14" s="133">
        <f t="shared" si="2"/>
        <v>5</v>
      </c>
      <c r="T14" s="132">
        <f t="shared" si="2"/>
        <v>9</v>
      </c>
      <c r="U14" s="133">
        <f t="shared" si="2"/>
        <v>14</v>
      </c>
      <c r="V14" s="132">
        <f t="shared" si="2"/>
        <v>6</v>
      </c>
      <c r="W14" s="133">
        <f t="shared" si="2"/>
        <v>10</v>
      </c>
      <c r="X14" s="132">
        <f t="shared" si="2"/>
        <v>6</v>
      </c>
      <c r="Y14" s="133">
        <f t="shared" si="2"/>
        <v>11</v>
      </c>
      <c r="Z14" s="132">
        <f t="shared" si="2"/>
        <v>6</v>
      </c>
      <c r="AA14" s="133">
        <f t="shared" si="2"/>
        <v>4</v>
      </c>
      <c r="AB14" s="132">
        <f t="shared" si="2"/>
        <v>8</v>
      </c>
      <c r="AC14" s="133">
        <f t="shared" si="2"/>
        <v>15</v>
      </c>
      <c r="AD14" s="132">
        <f t="shared" si="2"/>
        <v>4</v>
      </c>
      <c r="AE14" s="133">
        <f t="shared" si="2"/>
        <v>7</v>
      </c>
      <c r="AF14" s="132">
        <f t="shared" si="2"/>
        <v>9</v>
      </c>
      <c r="AG14" s="133">
        <f t="shared" si="2"/>
        <v>15</v>
      </c>
      <c r="AH14" s="132">
        <f t="shared" si="2"/>
        <v>9</v>
      </c>
      <c r="AI14" s="133">
        <f t="shared" si="2"/>
        <v>18</v>
      </c>
      <c r="AJ14" s="132">
        <f t="shared" si="2"/>
        <v>9</v>
      </c>
      <c r="AK14" s="133">
        <f t="shared" si="2"/>
        <v>6</v>
      </c>
      <c r="AL14" s="132">
        <f t="shared" si="2"/>
        <v>7</v>
      </c>
      <c r="AM14" s="133">
        <f t="shared" si="2"/>
        <v>6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3404</v>
      </c>
    </row>
    <row r="18" spans="2:43" ht="21" customHeight="1" x14ac:dyDescent="0.25">
      <c r="B18" s="72" t="s">
        <v>3395</v>
      </c>
      <c r="C18" s="215" t="s">
        <v>3397</v>
      </c>
      <c r="D18" s="222" t="s">
        <v>3372</v>
      </c>
      <c r="E18" s="223"/>
      <c r="F18" s="222" t="s">
        <v>3373</v>
      </c>
      <c r="G18" s="223"/>
      <c r="H18" s="201" t="s">
        <v>3374</v>
      </c>
      <c r="I18" s="202"/>
      <c r="J18" s="222" t="s">
        <v>3370</v>
      </c>
      <c r="K18" s="223"/>
      <c r="L18" s="222" t="s">
        <v>3371</v>
      </c>
      <c r="M18" s="223"/>
      <c r="N18" s="222" t="s">
        <v>3375</v>
      </c>
      <c r="O18" s="223"/>
      <c r="P18" s="222" t="s">
        <v>3367</v>
      </c>
      <c r="Q18" s="223"/>
      <c r="R18" s="222" t="s">
        <v>3368</v>
      </c>
      <c r="S18" s="223"/>
      <c r="T18" s="222" t="s">
        <v>3369</v>
      </c>
      <c r="U18" s="223"/>
      <c r="V18" s="201" t="s">
        <v>3358</v>
      </c>
      <c r="W18" s="202"/>
      <c r="X18" s="222" t="s">
        <v>3363</v>
      </c>
      <c r="Y18" s="223"/>
      <c r="Z18" s="222" t="s">
        <v>3361</v>
      </c>
      <c r="AA18" s="223"/>
      <c r="AB18" s="222" t="s">
        <v>3359</v>
      </c>
      <c r="AC18" s="223"/>
      <c r="AD18" s="222" t="s">
        <v>3366</v>
      </c>
      <c r="AE18" s="223"/>
      <c r="AF18" s="201" t="s">
        <v>3364</v>
      </c>
      <c r="AG18" s="202"/>
      <c r="AH18" s="222" t="s">
        <v>3360</v>
      </c>
      <c r="AI18" s="223"/>
      <c r="AJ18" s="222" t="s">
        <v>3362</v>
      </c>
      <c r="AK18" s="223"/>
      <c r="AL18" s="222" t="s">
        <v>3365</v>
      </c>
      <c r="AM18" s="223"/>
      <c r="AN18" s="201" t="s">
        <v>3486</v>
      </c>
      <c r="AO18" s="202"/>
    </row>
    <row r="19" spans="2:43" ht="21" customHeight="1" thickBot="1" x14ac:dyDescent="0.3">
      <c r="B19" s="72"/>
      <c r="C19" s="216"/>
      <c r="D19" s="107" t="s">
        <v>3487</v>
      </c>
      <c r="E19" s="108" t="s">
        <v>3353</v>
      </c>
      <c r="F19" s="107" t="s">
        <v>3487</v>
      </c>
      <c r="G19" s="108" t="s">
        <v>3353</v>
      </c>
      <c r="H19" s="107" t="s">
        <v>3487</v>
      </c>
      <c r="I19" s="108" t="s">
        <v>3353</v>
      </c>
      <c r="J19" s="107" t="s">
        <v>3487</v>
      </c>
      <c r="K19" s="108" t="s">
        <v>3353</v>
      </c>
      <c r="L19" s="107" t="s">
        <v>3487</v>
      </c>
      <c r="M19" s="108" t="s">
        <v>3353</v>
      </c>
      <c r="N19" s="107" t="s">
        <v>3487</v>
      </c>
      <c r="O19" s="108" t="s">
        <v>3353</v>
      </c>
      <c r="P19" s="107" t="s">
        <v>3487</v>
      </c>
      <c r="Q19" s="108" t="s">
        <v>3353</v>
      </c>
      <c r="R19" s="107" t="s">
        <v>3487</v>
      </c>
      <c r="S19" s="108" t="s">
        <v>3353</v>
      </c>
      <c r="T19" s="107" t="s">
        <v>3487</v>
      </c>
      <c r="U19" s="108" t="s">
        <v>3353</v>
      </c>
      <c r="V19" s="107" t="s">
        <v>3487</v>
      </c>
      <c r="W19" s="108" t="s">
        <v>3353</v>
      </c>
      <c r="X19" s="107" t="s">
        <v>3487</v>
      </c>
      <c r="Y19" s="108" t="s">
        <v>3353</v>
      </c>
      <c r="Z19" s="107" t="s">
        <v>3487</v>
      </c>
      <c r="AA19" s="108" t="s">
        <v>3353</v>
      </c>
      <c r="AB19" s="107" t="s">
        <v>3487</v>
      </c>
      <c r="AC19" s="108" t="s">
        <v>3353</v>
      </c>
      <c r="AD19" s="107" t="s">
        <v>3487</v>
      </c>
      <c r="AE19" s="108" t="s">
        <v>3353</v>
      </c>
      <c r="AF19" s="107" t="s">
        <v>3487</v>
      </c>
      <c r="AG19" s="108" t="s">
        <v>3353</v>
      </c>
      <c r="AH19" s="107" t="s">
        <v>3487</v>
      </c>
      <c r="AI19" s="108" t="s">
        <v>3353</v>
      </c>
      <c r="AJ19" s="107" t="s">
        <v>3487</v>
      </c>
      <c r="AK19" s="108" t="s">
        <v>3353</v>
      </c>
      <c r="AL19" s="107" t="s">
        <v>3487</v>
      </c>
      <c r="AM19" s="108" t="s">
        <v>3353</v>
      </c>
      <c r="AN19" s="107" t="s">
        <v>3487</v>
      </c>
      <c r="AO19" s="108" t="s">
        <v>3353</v>
      </c>
    </row>
    <row r="20" spans="2:43" s="75" customFormat="1" ht="21.75" customHeight="1" thickBot="1" x14ac:dyDescent="0.4">
      <c r="B20" s="98" t="s">
        <v>3395</v>
      </c>
      <c r="C20" s="114" t="s">
        <v>3405</v>
      </c>
      <c r="D20" s="136">
        <f t="shared" ref="D20:AO20" si="3">IFERROR(SUM(D21:D42)," ")</f>
        <v>0</v>
      </c>
      <c r="E20" s="137">
        <f t="shared" si="3"/>
        <v>0</v>
      </c>
      <c r="F20" s="109">
        <f t="shared" si="3"/>
        <v>0</v>
      </c>
      <c r="G20" s="110">
        <f t="shared" si="3"/>
        <v>0</v>
      </c>
      <c r="H20" s="109">
        <f t="shared" si="3"/>
        <v>1</v>
      </c>
      <c r="I20" s="110">
        <f t="shared" si="3"/>
        <v>0</v>
      </c>
      <c r="J20" s="109">
        <f t="shared" si="3"/>
        <v>0</v>
      </c>
      <c r="K20" s="110">
        <f t="shared" si="3"/>
        <v>0</v>
      </c>
      <c r="L20" s="109">
        <f t="shared" si="3"/>
        <v>0</v>
      </c>
      <c r="M20" s="110">
        <f t="shared" si="3"/>
        <v>0</v>
      </c>
      <c r="N20" s="109">
        <f t="shared" si="3"/>
        <v>0</v>
      </c>
      <c r="O20" s="110">
        <f t="shared" si="3"/>
        <v>0</v>
      </c>
      <c r="P20" s="109">
        <f t="shared" si="3"/>
        <v>0</v>
      </c>
      <c r="Q20" s="110">
        <f t="shared" si="3"/>
        <v>0</v>
      </c>
      <c r="R20" s="109">
        <f t="shared" si="3"/>
        <v>0</v>
      </c>
      <c r="S20" s="110">
        <f t="shared" si="3"/>
        <v>0</v>
      </c>
      <c r="T20" s="109">
        <f t="shared" si="3"/>
        <v>0</v>
      </c>
      <c r="U20" s="110">
        <f t="shared" si="3"/>
        <v>0</v>
      </c>
      <c r="V20" s="109">
        <f t="shared" si="3"/>
        <v>0</v>
      </c>
      <c r="W20" s="110">
        <f t="shared" si="3"/>
        <v>0</v>
      </c>
      <c r="X20" s="109">
        <f t="shared" si="3"/>
        <v>0</v>
      </c>
      <c r="Y20" s="110">
        <f t="shared" si="3"/>
        <v>0</v>
      </c>
      <c r="Z20" s="109">
        <f t="shared" si="3"/>
        <v>0</v>
      </c>
      <c r="AA20" s="110">
        <f t="shared" si="3"/>
        <v>0</v>
      </c>
      <c r="AB20" s="109">
        <f t="shared" si="3"/>
        <v>0</v>
      </c>
      <c r="AC20" s="110">
        <f t="shared" si="3"/>
        <v>0</v>
      </c>
      <c r="AD20" s="109">
        <f t="shared" si="3"/>
        <v>0</v>
      </c>
      <c r="AE20" s="110">
        <f t="shared" si="3"/>
        <v>0</v>
      </c>
      <c r="AF20" s="109">
        <f t="shared" si="3"/>
        <v>0</v>
      </c>
      <c r="AG20" s="110">
        <f t="shared" si="3"/>
        <v>0</v>
      </c>
      <c r="AH20" s="109">
        <f t="shared" si="3"/>
        <v>0</v>
      </c>
      <c r="AI20" s="110">
        <f t="shared" si="3"/>
        <v>0</v>
      </c>
      <c r="AJ20" s="109">
        <f t="shared" si="3"/>
        <v>0</v>
      </c>
      <c r="AK20" s="110">
        <f t="shared" si="3"/>
        <v>0</v>
      </c>
      <c r="AL20" s="109">
        <f t="shared" si="3"/>
        <v>0</v>
      </c>
      <c r="AM20" s="110">
        <f t="shared" si="3"/>
        <v>0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49" t="s">
        <v>3406</v>
      </c>
      <c r="D21" s="138">
        <f>SUMIFS(Resumo_Trocas!$C:$C,Resumo_Trocas!$A:$A,$C21,Resumo_Trocas!$F:$F,D$18,Resumo_Trocas!$C:$C,"&gt;0")</f>
        <v>0</v>
      </c>
      <c r="E21" s="139">
        <f>SUMIFS(Resumo_Trocas!$D:$D,Resumo_Trocas!$A:$A,$C21,Resumo_Trocas!$F:$F,D$18,Resumo_Trocas!$C:$C,"&gt;0")</f>
        <v>0</v>
      </c>
      <c r="F21" s="138">
        <f>SUMIFS(Resumo_Trocas!$C:$C,Resumo_Trocas!$A:$A,$C21,Resumo_Trocas!$F:$F,F$18,Resumo_Trocas!$C:$C,"&gt;0")</f>
        <v>0</v>
      </c>
      <c r="G21" s="139">
        <f>SUMIFS(Resumo_Trocas!$D:$D,Resumo_Trocas!$A:$A,$C21,Resumo_Trocas!$F:$F,F$18,Resumo_Trocas!$C:$C,"&gt;0")</f>
        <v>0</v>
      </c>
      <c r="H21" s="138">
        <f>SUMIFS(Resumo_Trocas!$C:$C,Resumo_Trocas!$A:$A,$C21,Resumo_Trocas!$F:$F,H$18,Resumo_Trocas!$C:$C,"&gt;0")</f>
        <v>1</v>
      </c>
      <c r="I21" s="139">
        <f>SUMIFS(Resumo_Trocas!$D:$D,Resumo_Trocas!$A:$A,$C21,Resumo_Trocas!$F:$F,H$18,Resumo_Trocas!$C:$C,"&gt;0")</f>
        <v>0</v>
      </c>
      <c r="J21" s="138">
        <f>SUMIFS(Resumo_Trocas!$C:$C,Resumo_Trocas!$A:$A,$C21,Resumo_Trocas!$F:$F,J$18,Resumo_Trocas!$C:$C,"&gt;0")</f>
        <v>0</v>
      </c>
      <c r="K21" s="139">
        <f>SUMIFS(Resumo_Trocas!$D:$D,Resumo_Trocas!$A:$A,$C21,Resumo_Trocas!$F:$F,J$18,Resumo_Trocas!$C:$C,"&gt;0")</f>
        <v>0</v>
      </c>
      <c r="L21" s="138">
        <f>SUMIFS(Resumo_Trocas!$C:$C,Resumo_Trocas!$A:$A,$C21,Resumo_Trocas!$F:$F,L$18,Resumo_Trocas!$C:$C,"&gt;0")</f>
        <v>0</v>
      </c>
      <c r="M21" s="139">
        <f>SUMIFS(Resumo_Trocas!$D:$D,Resumo_Trocas!$A:$A,$C21,Resumo_Trocas!$F:$F,L$18,Resumo_Trocas!$C:$C,"&gt;0")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SUMIFS(Resumo_Trocas!$D:$D,Resumo_Trocas!$A:$A,$C21,Resumo_Trocas!$F:$F,N$18,Resumo_Trocas!$C:$C,"&gt;0")</f>
        <v>0</v>
      </c>
      <c r="P21" s="138">
        <f>SUMIFS(Resumo_Trocas!$C:$C,Resumo_Trocas!$A:$A,$C21,Resumo_Trocas!$F:$F,P$18,Resumo_Trocas!$C:$C,"&gt;0")</f>
        <v>0</v>
      </c>
      <c r="Q21" s="139">
        <f>SUMIFS(Resumo_Trocas!$D:$D,Resumo_Trocas!$A:$A,$C21,Resumo_Trocas!$F:$F,P$18,Resumo_Trocas!$C:$C,"&gt;0")</f>
        <v>0</v>
      </c>
      <c r="R21" s="138">
        <f>SUMIFS(Resumo_Trocas!$C:$C,Resumo_Trocas!$A:$A,$C21,Resumo_Trocas!$F:$F,R$18,Resumo_Trocas!$C:$C,"&gt;0")</f>
        <v>0</v>
      </c>
      <c r="S21" s="139">
        <f>SUMIFS(Resumo_Trocas!$D:$D,Resumo_Trocas!$A:$A,$C21,Resumo_Trocas!$F:$F,R$18,Resumo_Trocas!$C:$C,"&gt;0")</f>
        <v>0</v>
      </c>
      <c r="T21" s="138">
        <f>SUMIFS(Resumo_Trocas!$C:$C,Resumo_Trocas!$A:$A,$C21,Resumo_Trocas!$F:$F,T$18,Resumo_Trocas!$C:$C,"&gt;0")</f>
        <v>0</v>
      </c>
      <c r="U21" s="139">
        <f>SUMIFS(Resumo_Trocas!$D:$D,Resumo_Trocas!$A:$A,$C21,Resumo_Trocas!$F:$F,T$18,Resumo_Trocas!$C:$C,"&gt;0")</f>
        <v>0</v>
      </c>
      <c r="V21" s="138">
        <f>SUMIFS(Resumo_Trocas!$C:$C,Resumo_Trocas!$A:$A,$C21,Resumo_Trocas!$F:$F,V$18,Resumo_Trocas!$C:$C,"&gt;0")</f>
        <v>0</v>
      </c>
      <c r="W21" s="139">
        <f>SUMIFS(Resumo_Trocas!$D:$D,Resumo_Trocas!$A:$A,$C21,Resumo_Trocas!$F:$F,V$18,Resumo_Trocas!$C:$C,"&gt;0")</f>
        <v>0</v>
      </c>
      <c r="X21" s="138">
        <f>SUMIFS(Resumo_Trocas!$C:$C,Resumo_Trocas!$A:$A,$C21,Resumo_Trocas!$F:$F,X$18,Resumo_Trocas!$C:$C,"&gt;0")</f>
        <v>0</v>
      </c>
      <c r="Y21" s="139">
        <f>SUMIFS(Resumo_Trocas!$D:$D,Resumo_Trocas!$A:$A,$C21,Resumo_Trocas!$F:$F,X$18,Resumo_Trocas!$C:$C,"&gt;0")</f>
        <v>0</v>
      </c>
      <c r="Z21" s="138">
        <f>SUMIFS(Resumo_Trocas!$C:$C,Resumo_Trocas!$A:$A,$C21,Resumo_Trocas!$F:$F,Z$18,Resumo_Trocas!$C:$C,"&gt;0")</f>
        <v>0</v>
      </c>
      <c r="AA21" s="139">
        <f>SUMIFS(Resumo_Trocas!$D:$D,Resumo_Trocas!$A:$A,$C21,Resumo_Trocas!$F:$F,Z$18,Resumo_Trocas!$C:$C,"&gt;0")</f>
        <v>0</v>
      </c>
      <c r="AB21" s="138">
        <f>SUMIFS(Resumo_Trocas!$C:$C,Resumo_Trocas!$A:$A,$C21,Resumo_Trocas!$F:$F,AB$18,Resumo_Trocas!$C:$C,"&gt;0")</f>
        <v>0</v>
      </c>
      <c r="AC21" s="139">
        <f>SUMIFS(Resumo_Trocas!$D:$D,Resumo_Trocas!$A:$A,$C21,Resumo_Trocas!$F:$F,AB$18,Resumo_Trocas!$C:$C,"&gt;0")</f>
        <v>0</v>
      </c>
      <c r="AD21" s="138">
        <f>SUMIFS(Resumo_Trocas!$C:$C,Resumo_Trocas!$A:$A,$C21,Resumo_Trocas!$F:$F,AD$18,Resumo_Trocas!$C:$C,"&gt;0")</f>
        <v>0</v>
      </c>
      <c r="AE21" s="139">
        <f>SUMIFS(Resumo_Trocas!$D:$D,Resumo_Trocas!$A:$A,$C21,Resumo_Trocas!$F:$F,AD$18,Resumo_Trocas!$C:$C,"&gt;0")</f>
        <v>0</v>
      </c>
      <c r="AF21" s="138">
        <f>SUMIFS(Resumo_Trocas!$C:$C,Resumo_Trocas!$A:$A,$C21,Resumo_Trocas!$F:$F,AF$18,Resumo_Trocas!$C:$C,"&gt;0")</f>
        <v>0</v>
      </c>
      <c r="AG21" s="139">
        <f>SUMIFS(Resumo_Trocas!$D:$D,Resumo_Trocas!$A:$A,$C21,Resumo_Trocas!$F:$F,AF$18,Resumo_Trocas!$C:$C,"&gt;0")</f>
        <v>0</v>
      </c>
      <c r="AH21" s="138">
        <f>SUMIFS(Resumo_Trocas!$C:$C,Resumo_Trocas!$A:$A,$C21,Resumo_Trocas!$F:$F,AH$18,Resumo_Trocas!$C:$C,"&gt;0")</f>
        <v>0</v>
      </c>
      <c r="AI21" s="139">
        <f>SUMIFS(Resumo_Trocas!$D:$D,Resumo_Trocas!$A:$A,$C21,Resumo_Trocas!$F:$F,AH$18,Resumo_Trocas!$C:$C,"&gt;0")</f>
        <v>0</v>
      </c>
      <c r="AJ21" s="138">
        <f>SUMIFS(Resumo_Trocas!$C:$C,Resumo_Trocas!$A:$A,$C21,Resumo_Trocas!$F:$F,AJ$18,Resumo_Trocas!$C:$C,"&gt;0")</f>
        <v>0</v>
      </c>
      <c r="AK21" s="139">
        <f>SUMIFS(Resumo_Trocas!$D:$D,Resumo_Trocas!$A:$A,$C21,Resumo_Trocas!$F:$F,AJ$18,Resumo_Trocas!$C:$C,"&gt;0")</f>
        <v>0</v>
      </c>
      <c r="AL21" s="138">
        <f>SUMIFS(Resumo_Trocas!$C:$C,Resumo_Trocas!$A:$A,$C21,Resumo_Trocas!$F:$F,AL$18,Resumo_Trocas!$C:$C,"&gt;0")</f>
        <v>0</v>
      </c>
      <c r="AM21" s="139">
        <f>SUMIFS(Resumo_Trocas!$D:$D,Resumo_Trocas!$A:$A,$C21,Resumo_Trocas!$F:$F,AL$18,Resumo_Trocas!$C:$C,"&gt;0")</f>
        <v>0</v>
      </c>
      <c r="AN21" s="138">
        <f>SUMIFS(Resumo_Trocas!$C:$C,Resumo_Trocas!$A:$A,$C21,Resumo_Trocas!$F:$F,AN$18,Resumo_Trocas!$C:$C,"&gt;0")</f>
        <v>0</v>
      </c>
      <c r="AO21" s="139">
        <f>SUMIFS(Resumo_Trocas!$D:$D,Resumo_Trocas!$A:$A,$C21,Resumo_Trocas!$F:$F,AN$18,Resumo_Trocas!$C:$C,"&gt;0")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50" t="s">
        <v>3407</v>
      </c>
      <c r="D22" s="140">
        <f>SUMIFS(Resumo_Trocas!$C:$C,Resumo_Trocas!$A:$A,$C22,Resumo_Trocas!$F:$F,D$18,Resumo_Trocas!$C:$C,"&gt;0")</f>
        <v>0</v>
      </c>
      <c r="E22" s="141">
        <f>SUMIFS(Resumo_Trocas!$D:$D,Resumo_Trocas!$A:$A,$C22,Resumo_Trocas!$F:$F,D$18,Resumo_Trocas!$C:$C,"&gt;0")</f>
        <v>0</v>
      </c>
      <c r="F22" s="140">
        <f>SUMIFS(Resumo_Trocas!$C:$C,Resumo_Trocas!$A:$A,$C22,Resumo_Trocas!$F:$F,F$18,Resumo_Trocas!$C:$C,"&gt;0")</f>
        <v>0</v>
      </c>
      <c r="G22" s="141">
        <f>SUMIFS(Resumo_Trocas!$D:$D,Resumo_Trocas!$A:$A,$C22,Resumo_Trocas!$F:$F,F$18,Resumo_Trocas!$C:$C,"&gt;0")</f>
        <v>0</v>
      </c>
      <c r="H22" s="140">
        <f>SUMIFS(Resumo_Trocas!$C:$C,Resumo_Trocas!$A:$A,$C22,Resumo_Trocas!$F:$F,H$18,Resumo_Trocas!$C:$C,"&gt;0")</f>
        <v>0</v>
      </c>
      <c r="I22" s="141">
        <f>SUMIFS(Resumo_Trocas!$D:$D,Resumo_Trocas!$A:$A,$C22,Resumo_Trocas!$F:$F,H$18,Resumo_Trocas!$C:$C,"&gt;0")</f>
        <v>0</v>
      </c>
      <c r="J22" s="140">
        <f>SUMIFS(Resumo_Trocas!$C:$C,Resumo_Trocas!$A:$A,$C22,Resumo_Trocas!$F:$F,J$18,Resumo_Trocas!$C:$C,"&gt;0")</f>
        <v>0</v>
      </c>
      <c r="K22" s="141">
        <f>SUMIFS(Resumo_Trocas!$D:$D,Resumo_Trocas!$A:$A,$C22,Resumo_Trocas!$F:$F,J$18,Resumo_Trocas!$C:$C,"&gt;0")</f>
        <v>0</v>
      </c>
      <c r="L22" s="140">
        <f>SUMIFS(Resumo_Trocas!$C:$C,Resumo_Trocas!$A:$A,$C22,Resumo_Trocas!$F:$F,L$18,Resumo_Trocas!$C:$C,"&gt;0")</f>
        <v>0</v>
      </c>
      <c r="M22" s="141">
        <f>SUMIFS(Resumo_Trocas!$D:$D,Resumo_Trocas!$A:$A,$C22,Resumo_Trocas!$F:$F,L$18,Resumo_Trocas!$C:$C,"&gt;0")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SUMIFS(Resumo_Trocas!$D:$D,Resumo_Trocas!$A:$A,$C22,Resumo_Trocas!$F:$F,N$18,Resumo_Trocas!$C:$C,"&gt;0")</f>
        <v>0</v>
      </c>
      <c r="P22" s="140">
        <f>SUMIFS(Resumo_Trocas!$C:$C,Resumo_Trocas!$A:$A,$C22,Resumo_Trocas!$F:$F,P$18,Resumo_Trocas!$C:$C,"&gt;0")</f>
        <v>0</v>
      </c>
      <c r="Q22" s="141">
        <f>SUMIFS(Resumo_Trocas!$D:$D,Resumo_Trocas!$A:$A,$C22,Resumo_Trocas!$F:$F,P$18,Resumo_Trocas!$C:$C,"&gt;0")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SUMIFS(Resumo_Trocas!$D:$D,Resumo_Trocas!$A:$A,$C22,Resumo_Trocas!$F:$F,R$18,Resumo_Trocas!$C:$C,"&gt;0")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SUMIFS(Resumo_Trocas!$D:$D,Resumo_Trocas!$A:$A,$C22,Resumo_Trocas!$F:$F,T$18,Resumo_Trocas!$C:$C,"&gt;0")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SUMIFS(Resumo_Trocas!$D:$D,Resumo_Trocas!$A:$A,$C22,Resumo_Trocas!$F:$F,V$18,Resumo_Trocas!$C:$C,"&gt;0")</f>
        <v>0</v>
      </c>
      <c r="X22" s="140">
        <f>SUMIFS(Resumo_Trocas!$C:$C,Resumo_Trocas!$A:$A,$C22,Resumo_Trocas!$F:$F,X$18,Resumo_Trocas!$C:$C,"&gt;0")</f>
        <v>0</v>
      </c>
      <c r="Y22" s="141">
        <f>SUMIFS(Resumo_Trocas!$D:$D,Resumo_Trocas!$A:$A,$C22,Resumo_Trocas!$F:$F,X$18,Resumo_Trocas!$C:$C,"&gt;0")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SUMIFS(Resumo_Trocas!$D:$D,Resumo_Trocas!$A:$A,$C22,Resumo_Trocas!$F:$F,Z$18,Resumo_Trocas!$C:$C,"&gt;0")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SUMIFS(Resumo_Trocas!$D:$D,Resumo_Trocas!$A:$A,$C22,Resumo_Trocas!$F:$F,AB$18,Resumo_Trocas!$C:$C,"&gt;0")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SUMIFS(Resumo_Trocas!$D:$D,Resumo_Trocas!$A:$A,$C22,Resumo_Trocas!$F:$F,AD$18,Resumo_Trocas!$C:$C,"&gt;0")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SUMIFS(Resumo_Trocas!$D:$D,Resumo_Trocas!$A:$A,$C22,Resumo_Trocas!$F:$F,AF$18,Resumo_Trocas!$C:$C,"&gt;0")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SUMIFS(Resumo_Trocas!$D:$D,Resumo_Trocas!$A:$A,$C22,Resumo_Trocas!$F:$F,AH$18,Resumo_Trocas!$C:$C,"&gt;0")</f>
        <v>0</v>
      </c>
      <c r="AJ22" s="140">
        <f>SUMIFS(Resumo_Trocas!$C:$C,Resumo_Trocas!$A:$A,$C22,Resumo_Trocas!$F:$F,AJ$18,Resumo_Trocas!$C:$C,"&gt;0")</f>
        <v>0</v>
      </c>
      <c r="AK22" s="141">
        <f>SUMIFS(Resumo_Trocas!$D:$D,Resumo_Trocas!$A:$A,$C22,Resumo_Trocas!$F:$F,AJ$18,Resumo_Trocas!$C:$C,"&gt;0")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SUMIFS(Resumo_Trocas!$D:$D,Resumo_Trocas!$A:$A,$C22,Resumo_Trocas!$F:$F,AL$18,Resumo_Trocas!$C:$C,"&gt;0")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SUMIFS(Resumo_Trocas!$D:$D,Resumo_Trocas!$A:$A,$C22,Resumo_Trocas!$F:$F,AN$18,Resumo_Trocas!$C:$C,"&gt;0")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50" t="s">
        <v>3408</v>
      </c>
      <c r="D23" s="140">
        <f>SUMIFS(Resumo_Trocas!$C:$C,Resumo_Trocas!$A:$A,$C23,Resumo_Trocas!$F:$F,D$18,Resumo_Trocas!$C:$C,"&gt;0")</f>
        <v>0</v>
      </c>
      <c r="E23" s="141">
        <f>SUMIFS(Resumo_Trocas!$D:$D,Resumo_Trocas!$A:$A,$C23,Resumo_Trocas!$F:$F,D$18,Resumo_Trocas!$C:$C,"&gt;0")</f>
        <v>0</v>
      </c>
      <c r="F23" s="140">
        <f>SUMIFS(Resumo_Trocas!$C:$C,Resumo_Trocas!$A:$A,$C23,Resumo_Trocas!$F:$F,F$18,Resumo_Trocas!$C:$C,"&gt;0")</f>
        <v>0</v>
      </c>
      <c r="G23" s="141">
        <f>SUMIFS(Resumo_Trocas!$D:$D,Resumo_Trocas!$A:$A,$C23,Resumo_Trocas!$F:$F,F$18,Resumo_Trocas!$C:$C,"&gt;0")</f>
        <v>0</v>
      </c>
      <c r="H23" s="140">
        <f>SUMIFS(Resumo_Trocas!$C:$C,Resumo_Trocas!$A:$A,$C23,Resumo_Trocas!$F:$F,H$18,Resumo_Trocas!$C:$C,"&gt;0")</f>
        <v>0</v>
      </c>
      <c r="I23" s="141">
        <f>SUMIFS(Resumo_Trocas!$D:$D,Resumo_Trocas!$A:$A,$C23,Resumo_Trocas!$F:$F,H$18,Resumo_Trocas!$C:$C,"&gt;0")</f>
        <v>0</v>
      </c>
      <c r="J23" s="140">
        <f>SUMIFS(Resumo_Trocas!$C:$C,Resumo_Trocas!$A:$A,$C23,Resumo_Trocas!$F:$F,J$18,Resumo_Trocas!$C:$C,"&gt;0")</f>
        <v>0</v>
      </c>
      <c r="K23" s="141">
        <f>SUMIFS(Resumo_Trocas!$D:$D,Resumo_Trocas!$A:$A,$C23,Resumo_Trocas!$F:$F,J$18,Resumo_Trocas!$C:$C,"&gt;0")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SUMIFS(Resumo_Trocas!$D:$D,Resumo_Trocas!$A:$A,$C23,Resumo_Trocas!$F:$F,L$18,Resumo_Trocas!$C:$C,"&gt;0")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SUMIFS(Resumo_Trocas!$D:$D,Resumo_Trocas!$A:$A,$C23,Resumo_Trocas!$F:$F,N$18,Resumo_Trocas!$C:$C,"&gt;0")</f>
        <v>0</v>
      </c>
      <c r="P23" s="140">
        <f>SUMIFS(Resumo_Trocas!$C:$C,Resumo_Trocas!$A:$A,$C23,Resumo_Trocas!$F:$F,P$18,Resumo_Trocas!$C:$C,"&gt;0")</f>
        <v>0</v>
      </c>
      <c r="Q23" s="141">
        <f>SUMIFS(Resumo_Trocas!$D:$D,Resumo_Trocas!$A:$A,$C23,Resumo_Trocas!$F:$F,P$18,Resumo_Trocas!$C:$C,"&gt;0")</f>
        <v>0</v>
      </c>
      <c r="R23" s="140">
        <f>SUMIFS(Resumo_Trocas!$C:$C,Resumo_Trocas!$A:$A,$C23,Resumo_Trocas!$F:$F,R$18,Resumo_Trocas!$C:$C,"&gt;0")</f>
        <v>0</v>
      </c>
      <c r="S23" s="141">
        <f>SUMIFS(Resumo_Trocas!$D:$D,Resumo_Trocas!$A:$A,$C23,Resumo_Trocas!$F:$F,R$18,Resumo_Trocas!$C:$C,"&gt;0")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SUMIFS(Resumo_Trocas!$D:$D,Resumo_Trocas!$A:$A,$C23,Resumo_Trocas!$F:$F,T$18,Resumo_Trocas!$C:$C,"&gt;0")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SUMIFS(Resumo_Trocas!$D:$D,Resumo_Trocas!$A:$A,$C23,Resumo_Trocas!$F:$F,V$18,Resumo_Trocas!$C:$C,"&gt;0")</f>
        <v>0</v>
      </c>
      <c r="X23" s="140">
        <f>SUMIFS(Resumo_Trocas!$C:$C,Resumo_Trocas!$A:$A,$C23,Resumo_Trocas!$F:$F,X$18,Resumo_Trocas!$C:$C,"&gt;0")</f>
        <v>0</v>
      </c>
      <c r="Y23" s="141">
        <f>SUMIFS(Resumo_Trocas!$D:$D,Resumo_Trocas!$A:$A,$C23,Resumo_Trocas!$F:$F,X$18,Resumo_Trocas!$C:$C,"&gt;0")</f>
        <v>0</v>
      </c>
      <c r="Z23" s="140">
        <f>SUMIFS(Resumo_Trocas!$C:$C,Resumo_Trocas!$A:$A,$C23,Resumo_Trocas!$F:$F,Z$18,Resumo_Trocas!$C:$C,"&gt;0")</f>
        <v>0</v>
      </c>
      <c r="AA23" s="141">
        <f>SUMIFS(Resumo_Trocas!$D:$D,Resumo_Trocas!$A:$A,$C23,Resumo_Trocas!$F:$F,Z$18,Resumo_Trocas!$C:$C,"&gt;0")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SUMIFS(Resumo_Trocas!$D:$D,Resumo_Trocas!$A:$A,$C23,Resumo_Trocas!$F:$F,AB$18,Resumo_Trocas!$C:$C,"&gt;0")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SUMIFS(Resumo_Trocas!$D:$D,Resumo_Trocas!$A:$A,$C23,Resumo_Trocas!$F:$F,AD$18,Resumo_Trocas!$C:$C,"&gt;0")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SUMIFS(Resumo_Trocas!$D:$D,Resumo_Trocas!$A:$A,$C23,Resumo_Trocas!$F:$F,AF$18,Resumo_Trocas!$C:$C,"&gt;0")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SUMIFS(Resumo_Trocas!$D:$D,Resumo_Trocas!$A:$A,$C23,Resumo_Trocas!$F:$F,AH$18,Resumo_Trocas!$C:$C,"&gt;0")</f>
        <v>0</v>
      </c>
      <c r="AJ23" s="140">
        <f>SUMIFS(Resumo_Trocas!$C:$C,Resumo_Trocas!$A:$A,$C23,Resumo_Trocas!$F:$F,AJ$18,Resumo_Trocas!$C:$C,"&gt;0")</f>
        <v>0</v>
      </c>
      <c r="AK23" s="141">
        <f>SUMIFS(Resumo_Trocas!$D:$D,Resumo_Trocas!$A:$A,$C23,Resumo_Trocas!$F:$F,AJ$18,Resumo_Trocas!$C:$C,"&gt;0")</f>
        <v>0</v>
      </c>
      <c r="AL23" s="140">
        <f>SUMIFS(Resumo_Trocas!$C:$C,Resumo_Trocas!$A:$A,$C23,Resumo_Trocas!$F:$F,AL$18,Resumo_Trocas!$C:$C,"&gt;0")</f>
        <v>0</v>
      </c>
      <c r="AM23" s="141">
        <f>SUMIFS(Resumo_Trocas!$D:$D,Resumo_Trocas!$A:$A,$C23,Resumo_Trocas!$F:$F,AL$18,Resumo_Trocas!$C:$C,"&gt;0")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SUMIFS(Resumo_Trocas!$D:$D,Resumo_Trocas!$A:$A,$C23,Resumo_Trocas!$F:$F,AN$18,Resumo_Trocas!$C:$C,"&gt;0")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50" t="s">
        <v>3409</v>
      </c>
      <c r="D24" s="140">
        <f>SUMIFS(Resumo_Trocas!$C:$C,Resumo_Trocas!$A:$A,$C24,Resumo_Trocas!$F:$F,D$18,Resumo_Trocas!$C:$C,"&gt;0")</f>
        <v>0</v>
      </c>
      <c r="E24" s="141">
        <f>SUMIFS(Resumo_Trocas!$D:$D,Resumo_Trocas!$A:$A,$C24,Resumo_Trocas!$F:$F,D$18,Resumo_Trocas!$C:$C,"&gt;0")</f>
        <v>0</v>
      </c>
      <c r="F24" s="140">
        <f>SUMIFS(Resumo_Trocas!$C:$C,Resumo_Trocas!$A:$A,$C24,Resumo_Trocas!$F:$F,F$18,Resumo_Trocas!$C:$C,"&gt;0")</f>
        <v>0</v>
      </c>
      <c r="G24" s="141">
        <f>SUMIFS(Resumo_Trocas!$D:$D,Resumo_Trocas!$A:$A,$C24,Resumo_Trocas!$F:$F,F$18,Resumo_Trocas!$C:$C,"&gt;0")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SUMIFS(Resumo_Trocas!$D:$D,Resumo_Trocas!$A:$A,$C24,Resumo_Trocas!$F:$F,H$18,Resumo_Trocas!$C:$C,"&gt;0")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SUMIFS(Resumo_Trocas!$D:$D,Resumo_Trocas!$A:$A,$C24,Resumo_Trocas!$F:$F,J$18,Resumo_Trocas!$C:$C,"&gt;0")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SUMIFS(Resumo_Trocas!$D:$D,Resumo_Trocas!$A:$A,$C24,Resumo_Trocas!$F:$F,L$18,Resumo_Trocas!$C:$C,"&gt;0")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SUMIFS(Resumo_Trocas!$D:$D,Resumo_Trocas!$A:$A,$C24,Resumo_Trocas!$F:$F,N$18,Resumo_Trocas!$C:$C,"&gt;0")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SUMIFS(Resumo_Trocas!$D:$D,Resumo_Trocas!$A:$A,$C24,Resumo_Trocas!$F:$F,P$18,Resumo_Trocas!$C:$C,"&gt;0")</f>
        <v>0</v>
      </c>
      <c r="R24" s="140">
        <f>SUMIFS(Resumo_Trocas!$C:$C,Resumo_Trocas!$A:$A,$C24,Resumo_Trocas!$F:$F,R$18,Resumo_Trocas!$C:$C,"&gt;0")</f>
        <v>0</v>
      </c>
      <c r="S24" s="141">
        <f>SUMIFS(Resumo_Trocas!$D:$D,Resumo_Trocas!$A:$A,$C24,Resumo_Trocas!$F:$F,R$18,Resumo_Trocas!$C:$C,"&gt;0")</f>
        <v>0</v>
      </c>
      <c r="T24" s="140">
        <f>SUMIFS(Resumo_Trocas!$C:$C,Resumo_Trocas!$A:$A,$C24,Resumo_Trocas!$F:$F,T$18,Resumo_Trocas!$C:$C,"&gt;0")</f>
        <v>0</v>
      </c>
      <c r="U24" s="141">
        <f>SUMIFS(Resumo_Trocas!$D:$D,Resumo_Trocas!$A:$A,$C24,Resumo_Trocas!$F:$F,T$18,Resumo_Trocas!$C:$C,"&gt;0")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SUMIFS(Resumo_Trocas!$D:$D,Resumo_Trocas!$A:$A,$C24,Resumo_Trocas!$F:$F,V$18,Resumo_Trocas!$C:$C,"&gt;0")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SUMIFS(Resumo_Trocas!$D:$D,Resumo_Trocas!$A:$A,$C24,Resumo_Trocas!$F:$F,X$18,Resumo_Trocas!$C:$C,"&gt;0")</f>
        <v>0</v>
      </c>
      <c r="Z24" s="140">
        <f>SUMIFS(Resumo_Trocas!$C:$C,Resumo_Trocas!$A:$A,$C24,Resumo_Trocas!$F:$F,Z$18,Resumo_Trocas!$C:$C,"&gt;0")</f>
        <v>0</v>
      </c>
      <c r="AA24" s="141">
        <f>SUMIFS(Resumo_Trocas!$D:$D,Resumo_Trocas!$A:$A,$C24,Resumo_Trocas!$F:$F,Z$18,Resumo_Trocas!$C:$C,"&gt;0")</f>
        <v>0</v>
      </c>
      <c r="AB24" s="140">
        <f>SUMIFS(Resumo_Trocas!$C:$C,Resumo_Trocas!$A:$A,$C24,Resumo_Trocas!$F:$F,AB$18,Resumo_Trocas!$C:$C,"&gt;0")</f>
        <v>0</v>
      </c>
      <c r="AC24" s="141">
        <f>SUMIFS(Resumo_Trocas!$D:$D,Resumo_Trocas!$A:$A,$C24,Resumo_Trocas!$F:$F,AB$18,Resumo_Trocas!$C:$C,"&gt;0")</f>
        <v>0</v>
      </c>
      <c r="AD24" s="140">
        <f>SUMIFS(Resumo_Trocas!$C:$C,Resumo_Trocas!$A:$A,$C24,Resumo_Trocas!$F:$F,AD$18,Resumo_Trocas!$C:$C,"&gt;0")</f>
        <v>0</v>
      </c>
      <c r="AE24" s="141">
        <f>SUMIFS(Resumo_Trocas!$D:$D,Resumo_Trocas!$A:$A,$C24,Resumo_Trocas!$F:$F,AD$18,Resumo_Trocas!$C:$C,"&gt;0")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SUMIFS(Resumo_Trocas!$D:$D,Resumo_Trocas!$A:$A,$C24,Resumo_Trocas!$F:$F,AF$18,Resumo_Trocas!$C:$C,"&gt;0")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SUMIFS(Resumo_Trocas!$D:$D,Resumo_Trocas!$A:$A,$C24,Resumo_Trocas!$F:$F,AH$18,Resumo_Trocas!$C:$C,"&gt;0")</f>
        <v>0</v>
      </c>
      <c r="AJ24" s="140">
        <f>SUMIFS(Resumo_Trocas!$C:$C,Resumo_Trocas!$A:$A,$C24,Resumo_Trocas!$F:$F,AJ$18,Resumo_Trocas!$C:$C,"&gt;0")</f>
        <v>0</v>
      </c>
      <c r="AK24" s="141">
        <f>SUMIFS(Resumo_Trocas!$D:$D,Resumo_Trocas!$A:$A,$C24,Resumo_Trocas!$F:$F,AJ$18,Resumo_Trocas!$C:$C,"&gt;0")</f>
        <v>0</v>
      </c>
      <c r="AL24" s="140">
        <f>SUMIFS(Resumo_Trocas!$C:$C,Resumo_Trocas!$A:$A,$C24,Resumo_Trocas!$F:$F,AL$18,Resumo_Trocas!$C:$C,"&gt;0")</f>
        <v>0</v>
      </c>
      <c r="AM24" s="141">
        <f>SUMIFS(Resumo_Trocas!$D:$D,Resumo_Trocas!$A:$A,$C24,Resumo_Trocas!$F:$F,AL$18,Resumo_Trocas!$C:$C,"&gt;0")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SUMIFS(Resumo_Trocas!$D:$D,Resumo_Trocas!$A:$A,$C24,Resumo_Trocas!$F:$F,AN$18,Resumo_Trocas!$C:$C,"&gt;0")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50" t="s">
        <v>3410</v>
      </c>
      <c r="D25" s="140">
        <f>SUMIFS(Resumo_Trocas!$C:$C,Resumo_Trocas!$A:$A,$C25,Resumo_Trocas!$F:$F,D$18,Resumo_Trocas!$C:$C,"&gt;0")</f>
        <v>0</v>
      </c>
      <c r="E25" s="141">
        <f>SUMIFS(Resumo_Trocas!$D:$D,Resumo_Trocas!$A:$A,$C25,Resumo_Trocas!$F:$F,D$18,Resumo_Trocas!$C:$C,"&gt;0")</f>
        <v>0</v>
      </c>
      <c r="F25" s="140">
        <f>SUMIFS(Resumo_Trocas!$C:$C,Resumo_Trocas!$A:$A,$C25,Resumo_Trocas!$F:$F,F$18,Resumo_Trocas!$C:$C,"&gt;0")</f>
        <v>0</v>
      </c>
      <c r="G25" s="141">
        <f>SUMIFS(Resumo_Trocas!$D:$D,Resumo_Trocas!$A:$A,$C25,Resumo_Trocas!$F:$F,F$18,Resumo_Trocas!$C:$C,"&gt;0")</f>
        <v>0</v>
      </c>
      <c r="H25" s="140">
        <f>SUMIFS(Resumo_Trocas!$C:$C,Resumo_Trocas!$A:$A,$C25,Resumo_Trocas!$F:$F,H$18,Resumo_Trocas!$C:$C,"&gt;0")</f>
        <v>0</v>
      </c>
      <c r="I25" s="141">
        <f>SUMIFS(Resumo_Trocas!$D:$D,Resumo_Trocas!$A:$A,$C25,Resumo_Trocas!$F:$F,H$18,Resumo_Trocas!$C:$C,"&gt;0")</f>
        <v>0</v>
      </c>
      <c r="J25" s="140">
        <f>SUMIFS(Resumo_Trocas!$C:$C,Resumo_Trocas!$A:$A,$C25,Resumo_Trocas!$F:$F,J$18,Resumo_Trocas!$C:$C,"&gt;0")</f>
        <v>0</v>
      </c>
      <c r="K25" s="141">
        <f>SUMIFS(Resumo_Trocas!$D:$D,Resumo_Trocas!$A:$A,$C25,Resumo_Trocas!$F:$F,J$18,Resumo_Trocas!$C:$C,"&gt;0")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SUMIFS(Resumo_Trocas!$D:$D,Resumo_Trocas!$A:$A,$C25,Resumo_Trocas!$F:$F,L$18,Resumo_Trocas!$C:$C,"&gt;0")</f>
        <v>0</v>
      </c>
      <c r="N25" s="140">
        <f>SUMIFS(Resumo_Trocas!$C:$C,Resumo_Trocas!$A:$A,$C25,Resumo_Trocas!$F:$F,N$18,Resumo_Trocas!$C:$C,"&gt;0")</f>
        <v>0</v>
      </c>
      <c r="O25" s="141">
        <f>SUMIFS(Resumo_Trocas!$D:$D,Resumo_Trocas!$A:$A,$C25,Resumo_Trocas!$F:$F,N$18,Resumo_Trocas!$C:$C,"&gt;0")</f>
        <v>0</v>
      </c>
      <c r="P25" s="140">
        <f>SUMIFS(Resumo_Trocas!$C:$C,Resumo_Trocas!$A:$A,$C25,Resumo_Trocas!$F:$F,P$18,Resumo_Trocas!$C:$C,"&gt;0")</f>
        <v>0</v>
      </c>
      <c r="Q25" s="141">
        <f>SUMIFS(Resumo_Trocas!$D:$D,Resumo_Trocas!$A:$A,$C25,Resumo_Trocas!$F:$F,P$18,Resumo_Trocas!$C:$C,"&gt;0")</f>
        <v>0</v>
      </c>
      <c r="R25" s="140">
        <f>SUMIFS(Resumo_Trocas!$C:$C,Resumo_Trocas!$A:$A,$C25,Resumo_Trocas!$F:$F,R$18,Resumo_Trocas!$C:$C,"&gt;0")</f>
        <v>0</v>
      </c>
      <c r="S25" s="141">
        <f>SUMIFS(Resumo_Trocas!$D:$D,Resumo_Trocas!$A:$A,$C25,Resumo_Trocas!$F:$F,R$18,Resumo_Trocas!$C:$C,"&gt;0")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SUMIFS(Resumo_Trocas!$D:$D,Resumo_Trocas!$A:$A,$C25,Resumo_Trocas!$F:$F,T$18,Resumo_Trocas!$C:$C,"&gt;0")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SUMIFS(Resumo_Trocas!$D:$D,Resumo_Trocas!$A:$A,$C25,Resumo_Trocas!$F:$F,V$18,Resumo_Trocas!$C:$C,"&gt;0")</f>
        <v>0</v>
      </c>
      <c r="X25" s="140">
        <f>SUMIFS(Resumo_Trocas!$C:$C,Resumo_Trocas!$A:$A,$C25,Resumo_Trocas!$F:$F,X$18,Resumo_Trocas!$C:$C,"&gt;0")</f>
        <v>0</v>
      </c>
      <c r="Y25" s="141">
        <f>SUMIFS(Resumo_Trocas!$D:$D,Resumo_Trocas!$A:$A,$C25,Resumo_Trocas!$F:$F,X$18,Resumo_Trocas!$C:$C,"&gt;0")</f>
        <v>0</v>
      </c>
      <c r="Z25" s="140">
        <f>SUMIFS(Resumo_Trocas!$C:$C,Resumo_Trocas!$A:$A,$C25,Resumo_Trocas!$F:$F,Z$18,Resumo_Trocas!$C:$C,"&gt;0")</f>
        <v>0</v>
      </c>
      <c r="AA25" s="141">
        <f>SUMIFS(Resumo_Trocas!$D:$D,Resumo_Trocas!$A:$A,$C25,Resumo_Trocas!$F:$F,Z$18,Resumo_Trocas!$C:$C,"&gt;0")</f>
        <v>0</v>
      </c>
      <c r="AB25" s="140">
        <f>SUMIFS(Resumo_Trocas!$C:$C,Resumo_Trocas!$A:$A,$C25,Resumo_Trocas!$F:$F,AB$18,Resumo_Trocas!$C:$C,"&gt;0")</f>
        <v>0</v>
      </c>
      <c r="AC25" s="141">
        <f>SUMIFS(Resumo_Trocas!$D:$D,Resumo_Trocas!$A:$A,$C25,Resumo_Trocas!$F:$F,AB$18,Resumo_Trocas!$C:$C,"&gt;0")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SUMIFS(Resumo_Trocas!$D:$D,Resumo_Trocas!$A:$A,$C25,Resumo_Trocas!$F:$F,AD$18,Resumo_Trocas!$C:$C,"&gt;0")</f>
        <v>0</v>
      </c>
      <c r="AF25" s="140">
        <f>SUMIFS(Resumo_Trocas!$C:$C,Resumo_Trocas!$A:$A,$C25,Resumo_Trocas!$F:$F,AF$18,Resumo_Trocas!$C:$C,"&gt;0")</f>
        <v>0</v>
      </c>
      <c r="AG25" s="141">
        <f>SUMIFS(Resumo_Trocas!$D:$D,Resumo_Trocas!$A:$A,$C25,Resumo_Trocas!$F:$F,AF$18,Resumo_Trocas!$C:$C,"&gt;0")</f>
        <v>0</v>
      </c>
      <c r="AH25" s="140">
        <f>SUMIFS(Resumo_Trocas!$C:$C,Resumo_Trocas!$A:$A,$C25,Resumo_Trocas!$F:$F,AH$18,Resumo_Trocas!$C:$C,"&gt;0")</f>
        <v>0</v>
      </c>
      <c r="AI25" s="141">
        <f>SUMIFS(Resumo_Trocas!$D:$D,Resumo_Trocas!$A:$A,$C25,Resumo_Trocas!$F:$F,AH$18,Resumo_Trocas!$C:$C,"&gt;0")</f>
        <v>0</v>
      </c>
      <c r="AJ25" s="140">
        <f>SUMIFS(Resumo_Trocas!$C:$C,Resumo_Trocas!$A:$A,$C25,Resumo_Trocas!$F:$F,AJ$18,Resumo_Trocas!$C:$C,"&gt;0")</f>
        <v>0</v>
      </c>
      <c r="AK25" s="141">
        <f>SUMIFS(Resumo_Trocas!$D:$D,Resumo_Trocas!$A:$A,$C25,Resumo_Trocas!$F:$F,AJ$18,Resumo_Trocas!$C:$C,"&gt;0")</f>
        <v>0</v>
      </c>
      <c r="AL25" s="140">
        <f>SUMIFS(Resumo_Trocas!$C:$C,Resumo_Trocas!$A:$A,$C25,Resumo_Trocas!$F:$F,AL$18,Resumo_Trocas!$C:$C,"&gt;0")</f>
        <v>0</v>
      </c>
      <c r="AM25" s="141">
        <f>SUMIFS(Resumo_Trocas!$D:$D,Resumo_Trocas!$A:$A,$C25,Resumo_Trocas!$F:$F,AL$18,Resumo_Trocas!$C:$C,"&gt;0")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SUMIFS(Resumo_Trocas!$D:$D,Resumo_Trocas!$A:$A,$C25,Resumo_Trocas!$F:$F,AN$18,Resumo_Trocas!$C:$C,"&gt;0")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50" t="s">
        <v>3411</v>
      </c>
      <c r="D26" s="140">
        <f>SUMIFS(Resumo_Trocas!$C:$C,Resumo_Trocas!$A:$A,$C26,Resumo_Trocas!$F:$F,D$18,Resumo_Trocas!$C:$C,"&gt;0")</f>
        <v>0</v>
      </c>
      <c r="E26" s="141">
        <f>SUMIFS(Resumo_Trocas!$D:$D,Resumo_Trocas!$A:$A,$C26,Resumo_Trocas!$F:$F,D$18,Resumo_Trocas!$C:$C,"&gt;0")</f>
        <v>0</v>
      </c>
      <c r="F26" s="140">
        <f>SUMIFS(Resumo_Trocas!$C:$C,Resumo_Trocas!$A:$A,$C26,Resumo_Trocas!$F:$F,F$18,Resumo_Trocas!$C:$C,"&gt;0")</f>
        <v>0</v>
      </c>
      <c r="G26" s="141">
        <f>SUMIFS(Resumo_Trocas!$D:$D,Resumo_Trocas!$A:$A,$C26,Resumo_Trocas!$F:$F,F$18,Resumo_Trocas!$C:$C,"&gt;0")</f>
        <v>0</v>
      </c>
      <c r="H26" s="140">
        <f>SUMIFS(Resumo_Trocas!$C:$C,Resumo_Trocas!$A:$A,$C26,Resumo_Trocas!$F:$F,H$18,Resumo_Trocas!$C:$C,"&gt;0")</f>
        <v>0</v>
      </c>
      <c r="I26" s="141">
        <f>SUMIFS(Resumo_Trocas!$D:$D,Resumo_Trocas!$A:$A,$C26,Resumo_Trocas!$F:$F,H$18,Resumo_Trocas!$C:$C,"&gt;0")</f>
        <v>0</v>
      </c>
      <c r="J26" s="140">
        <f>SUMIFS(Resumo_Trocas!$C:$C,Resumo_Trocas!$A:$A,$C26,Resumo_Trocas!$F:$F,J$18,Resumo_Trocas!$C:$C,"&gt;0")</f>
        <v>0</v>
      </c>
      <c r="K26" s="141">
        <f>SUMIFS(Resumo_Trocas!$D:$D,Resumo_Trocas!$A:$A,$C26,Resumo_Trocas!$F:$F,J$18,Resumo_Trocas!$C:$C,"&gt;0")</f>
        <v>0</v>
      </c>
      <c r="L26" s="140">
        <f>SUMIFS(Resumo_Trocas!$C:$C,Resumo_Trocas!$A:$A,$C26,Resumo_Trocas!$F:$F,L$18,Resumo_Trocas!$C:$C,"&gt;0")</f>
        <v>0</v>
      </c>
      <c r="M26" s="141">
        <f>SUMIFS(Resumo_Trocas!$D:$D,Resumo_Trocas!$A:$A,$C26,Resumo_Trocas!$F:$F,L$18,Resumo_Trocas!$C:$C,"&gt;0")</f>
        <v>0</v>
      </c>
      <c r="N26" s="140">
        <f>SUMIFS(Resumo_Trocas!$C:$C,Resumo_Trocas!$A:$A,$C26,Resumo_Trocas!$F:$F,N$18,Resumo_Trocas!$C:$C,"&gt;0")</f>
        <v>0</v>
      </c>
      <c r="O26" s="141">
        <f>SUMIFS(Resumo_Trocas!$D:$D,Resumo_Trocas!$A:$A,$C26,Resumo_Trocas!$F:$F,N$18,Resumo_Trocas!$C:$C,"&gt;0")</f>
        <v>0</v>
      </c>
      <c r="P26" s="140">
        <f>SUMIFS(Resumo_Trocas!$C:$C,Resumo_Trocas!$A:$A,$C26,Resumo_Trocas!$F:$F,P$18,Resumo_Trocas!$C:$C,"&gt;0")</f>
        <v>0</v>
      </c>
      <c r="Q26" s="141">
        <f>SUMIFS(Resumo_Trocas!$D:$D,Resumo_Trocas!$A:$A,$C26,Resumo_Trocas!$F:$F,P$18,Resumo_Trocas!$C:$C,"&gt;0")</f>
        <v>0</v>
      </c>
      <c r="R26" s="140">
        <f>SUMIFS(Resumo_Trocas!$C:$C,Resumo_Trocas!$A:$A,$C26,Resumo_Trocas!$F:$F,R$18,Resumo_Trocas!$C:$C,"&gt;0")</f>
        <v>0</v>
      </c>
      <c r="S26" s="141">
        <f>SUMIFS(Resumo_Trocas!$D:$D,Resumo_Trocas!$A:$A,$C26,Resumo_Trocas!$F:$F,R$18,Resumo_Trocas!$C:$C,"&gt;0")</f>
        <v>0</v>
      </c>
      <c r="T26" s="140">
        <f>SUMIFS(Resumo_Trocas!$C:$C,Resumo_Trocas!$A:$A,$C26,Resumo_Trocas!$F:$F,T$18,Resumo_Trocas!$C:$C,"&gt;0")</f>
        <v>0</v>
      </c>
      <c r="U26" s="141">
        <f>SUMIFS(Resumo_Trocas!$D:$D,Resumo_Trocas!$A:$A,$C26,Resumo_Trocas!$F:$F,T$18,Resumo_Trocas!$C:$C,"&gt;0")</f>
        <v>0</v>
      </c>
      <c r="V26" s="140">
        <f>SUMIFS(Resumo_Trocas!$C:$C,Resumo_Trocas!$A:$A,$C26,Resumo_Trocas!$F:$F,V$18,Resumo_Trocas!$C:$C,"&gt;0")</f>
        <v>0</v>
      </c>
      <c r="W26" s="141">
        <f>SUMIFS(Resumo_Trocas!$D:$D,Resumo_Trocas!$A:$A,$C26,Resumo_Trocas!$F:$F,V$18,Resumo_Trocas!$C:$C,"&gt;0")</f>
        <v>0</v>
      </c>
      <c r="X26" s="140">
        <f>SUMIFS(Resumo_Trocas!$C:$C,Resumo_Trocas!$A:$A,$C26,Resumo_Trocas!$F:$F,X$18,Resumo_Trocas!$C:$C,"&gt;0")</f>
        <v>0</v>
      </c>
      <c r="Y26" s="141">
        <f>SUMIFS(Resumo_Trocas!$D:$D,Resumo_Trocas!$A:$A,$C26,Resumo_Trocas!$F:$F,X$18,Resumo_Trocas!$C:$C,"&gt;0")</f>
        <v>0</v>
      </c>
      <c r="Z26" s="140">
        <f>SUMIFS(Resumo_Trocas!$C:$C,Resumo_Trocas!$A:$A,$C26,Resumo_Trocas!$F:$F,Z$18,Resumo_Trocas!$C:$C,"&gt;0")</f>
        <v>0</v>
      </c>
      <c r="AA26" s="141">
        <f>SUMIFS(Resumo_Trocas!$D:$D,Resumo_Trocas!$A:$A,$C26,Resumo_Trocas!$F:$F,Z$18,Resumo_Trocas!$C:$C,"&gt;0")</f>
        <v>0</v>
      </c>
      <c r="AB26" s="140">
        <f>SUMIFS(Resumo_Trocas!$C:$C,Resumo_Trocas!$A:$A,$C26,Resumo_Trocas!$F:$F,AB$18,Resumo_Trocas!$C:$C,"&gt;0")</f>
        <v>0</v>
      </c>
      <c r="AC26" s="141">
        <f>SUMIFS(Resumo_Trocas!$D:$D,Resumo_Trocas!$A:$A,$C26,Resumo_Trocas!$F:$F,AB$18,Resumo_Trocas!$C:$C,"&gt;0")</f>
        <v>0</v>
      </c>
      <c r="AD26" s="140">
        <f>SUMIFS(Resumo_Trocas!$C:$C,Resumo_Trocas!$A:$A,$C26,Resumo_Trocas!$F:$F,AD$18,Resumo_Trocas!$C:$C,"&gt;0")</f>
        <v>0</v>
      </c>
      <c r="AE26" s="141">
        <f>SUMIFS(Resumo_Trocas!$D:$D,Resumo_Trocas!$A:$A,$C26,Resumo_Trocas!$F:$F,AD$18,Resumo_Trocas!$C:$C,"&gt;0")</f>
        <v>0</v>
      </c>
      <c r="AF26" s="140">
        <f>SUMIFS(Resumo_Trocas!$C:$C,Resumo_Trocas!$A:$A,$C26,Resumo_Trocas!$F:$F,AF$18,Resumo_Trocas!$C:$C,"&gt;0")</f>
        <v>0</v>
      </c>
      <c r="AG26" s="141">
        <f>SUMIFS(Resumo_Trocas!$D:$D,Resumo_Trocas!$A:$A,$C26,Resumo_Trocas!$F:$F,AF$18,Resumo_Trocas!$C:$C,"&gt;0")</f>
        <v>0</v>
      </c>
      <c r="AH26" s="140">
        <f>SUMIFS(Resumo_Trocas!$C:$C,Resumo_Trocas!$A:$A,$C26,Resumo_Trocas!$F:$F,AH$18,Resumo_Trocas!$C:$C,"&gt;0")</f>
        <v>0</v>
      </c>
      <c r="AI26" s="141">
        <f>SUMIFS(Resumo_Trocas!$D:$D,Resumo_Trocas!$A:$A,$C26,Resumo_Trocas!$F:$F,AH$18,Resumo_Trocas!$C:$C,"&gt;0")</f>
        <v>0</v>
      </c>
      <c r="AJ26" s="140">
        <f>SUMIFS(Resumo_Trocas!$C:$C,Resumo_Trocas!$A:$A,$C26,Resumo_Trocas!$F:$F,AJ$18,Resumo_Trocas!$C:$C,"&gt;0")</f>
        <v>0</v>
      </c>
      <c r="AK26" s="141">
        <f>SUMIFS(Resumo_Trocas!$D:$D,Resumo_Trocas!$A:$A,$C26,Resumo_Trocas!$F:$F,AJ$18,Resumo_Trocas!$C:$C,"&gt;0")</f>
        <v>0</v>
      </c>
      <c r="AL26" s="140">
        <f>SUMIFS(Resumo_Trocas!$C:$C,Resumo_Trocas!$A:$A,$C26,Resumo_Trocas!$F:$F,AL$18,Resumo_Trocas!$C:$C,"&gt;0")</f>
        <v>0</v>
      </c>
      <c r="AM26" s="141">
        <f>SUMIFS(Resumo_Trocas!$D:$D,Resumo_Trocas!$A:$A,$C26,Resumo_Trocas!$F:$F,AL$18,Resumo_Trocas!$C:$C,"&gt;0")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SUMIFS(Resumo_Trocas!$D:$D,Resumo_Trocas!$A:$A,$C26,Resumo_Trocas!$F:$F,AN$18,Resumo_Trocas!$C:$C,"&gt;0")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50" t="s">
        <v>3412</v>
      </c>
      <c r="D27" s="140">
        <f>SUMIFS(Resumo_Trocas!$C:$C,Resumo_Trocas!$A:$A,$C27,Resumo_Trocas!$F:$F,D$18,Resumo_Trocas!$C:$C,"&gt;0")</f>
        <v>0</v>
      </c>
      <c r="E27" s="141">
        <f>SUMIFS(Resumo_Trocas!$D:$D,Resumo_Trocas!$A:$A,$C27,Resumo_Trocas!$F:$F,D$18,Resumo_Trocas!$C:$C,"&gt;0")</f>
        <v>0</v>
      </c>
      <c r="F27" s="140">
        <f>SUMIFS(Resumo_Trocas!$C:$C,Resumo_Trocas!$A:$A,$C27,Resumo_Trocas!$F:$F,F$18,Resumo_Trocas!$C:$C,"&gt;0")</f>
        <v>0</v>
      </c>
      <c r="G27" s="141">
        <f>SUMIFS(Resumo_Trocas!$D:$D,Resumo_Trocas!$A:$A,$C27,Resumo_Trocas!$F:$F,F$18,Resumo_Trocas!$C:$C,"&gt;0")</f>
        <v>0</v>
      </c>
      <c r="H27" s="140">
        <f>SUMIFS(Resumo_Trocas!$C:$C,Resumo_Trocas!$A:$A,$C27,Resumo_Trocas!$F:$F,H$18,Resumo_Trocas!$C:$C,"&gt;0")</f>
        <v>0</v>
      </c>
      <c r="I27" s="141">
        <f>SUMIFS(Resumo_Trocas!$D:$D,Resumo_Trocas!$A:$A,$C27,Resumo_Trocas!$F:$F,H$18,Resumo_Trocas!$C:$C,"&gt;0")</f>
        <v>0</v>
      </c>
      <c r="J27" s="140">
        <f>SUMIFS(Resumo_Trocas!$C:$C,Resumo_Trocas!$A:$A,$C27,Resumo_Trocas!$F:$F,J$18,Resumo_Trocas!$C:$C,"&gt;0")</f>
        <v>0</v>
      </c>
      <c r="K27" s="141">
        <f>SUMIFS(Resumo_Trocas!$D:$D,Resumo_Trocas!$A:$A,$C27,Resumo_Trocas!$F:$F,J$18,Resumo_Trocas!$C:$C,"&gt;0")</f>
        <v>0</v>
      </c>
      <c r="L27" s="140">
        <f>SUMIFS(Resumo_Trocas!$C:$C,Resumo_Trocas!$A:$A,$C27,Resumo_Trocas!$F:$F,L$18,Resumo_Trocas!$C:$C,"&gt;0")</f>
        <v>0</v>
      </c>
      <c r="M27" s="141">
        <f>SUMIFS(Resumo_Trocas!$D:$D,Resumo_Trocas!$A:$A,$C27,Resumo_Trocas!$F:$F,L$18,Resumo_Trocas!$C:$C,"&gt;0")</f>
        <v>0</v>
      </c>
      <c r="N27" s="140">
        <f>SUMIFS(Resumo_Trocas!$C:$C,Resumo_Trocas!$A:$A,$C27,Resumo_Trocas!$F:$F,N$18,Resumo_Trocas!$C:$C,"&gt;0")</f>
        <v>0</v>
      </c>
      <c r="O27" s="141">
        <f>SUMIFS(Resumo_Trocas!$D:$D,Resumo_Trocas!$A:$A,$C27,Resumo_Trocas!$F:$F,N$18,Resumo_Trocas!$C:$C,"&gt;0")</f>
        <v>0</v>
      </c>
      <c r="P27" s="140">
        <f>SUMIFS(Resumo_Trocas!$C:$C,Resumo_Trocas!$A:$A,$C27,Resumo_Trocas!$F:$F,P$18,Resumo_Trocas!$C:$C,"&gt;0")</f>
        <v>0</v>
      </c>
      <c r="Q27" s="141">
        <f>SUMIFS(Resumo_Trocas!$D:$D,Resumo_Trocas!$A:$A,$C27,Resumo_Trocas!$F:$F,P$18,Resumo_Trocas!$C:$C,"&gt;0")</f>
        <v>0</v>
      </c>
      <c r="R27" s="140">
        <f>SUMIFS(Resumo_Trocas!$C:$C,Resumo_Trocas!$A:$A,$C27,Resumo_Trocas!$F:$F,R$18,Resumo_Trocas!$C:$C,"&gt;0")</f>
        <v>0</v>
      </c>
      <c r="S27" s="141">
        <f>SUMIFS(Resumo_Trocas!$D:$D,Resumo_Trocas!$A:$A,$C27,Resumo_Trocas!$F:$F,R$18,Resumo_Trocas!$C:$C,"&gt;0")</f>
        <v>0</v>
      </c>
      <c r="T27" s="140">
        <f>SUMIFS(Resumo_Trocas!$C:$C,Resumo_Trocas!$A:$A,$C27,Resumo_Trocas!$F:$F,T$18,Resumo_Trocas!$C:$C,"&gt;0")</f>
        <v>0</v>
      </c>
      <c r="U27" s="141">
        <f>SUMIFS(Resumo_Trocas!$D:$D,Resumo_Trocas!$A:$A,$C27,Resumo_Trocas!$F:$F,T$18,Resumo_Trocas!$C:$C,"&gt;0")</f>
        <v>0</v>
      </c>
      <c r="V27" s="140">
        <f>SUMIFS(Resumo_Trocas!$C:$C,Resumo_Trocas!$A:$A,$C27,Resumo_Trocas!$F:$F,V$18,Resumo_Trocas!$C:$C,"&gt;0")</f>
        <v>0</v>
      </c>
      <c r="W27" s="141">
        <f>SUMIFS(Resumo_Trocas!$D:$D,Resumo_Trocas!$A:$A,$C27,Resumo_Trocas!$F:$F,V$18,Resumo_Trocas!$C:$C,"&gt;0")</f>
        <v>0</v>
      </c>
      <c r="X27" s="140">
        <f>SUMIFS(Resumo_Trocas!$C:$C,Resumo_Trocas!$A:$A,$C27,Resumo_Trocas!$F:$F,X$18,Resumo_Trocas!$C:$C,"&gt;0")</f>
        <v>0</v>
      </c>
      <c r="Y27" s="141">
        <f>SUMIFS(Resumo_Trocas!$D:$D,Resumo_Trocas!$A:$A,$C27,Resumo_Trocas!$F:$F,X$18,Resumo_Trocas!$C:$C,"&gt;0")</f>
        <v>0</v>
      </c>
      <c r="Z27" s="140">
        <f>SUMIFS(Resumo_Trocas!$C:$C,Resumo_Trocas!$A:$A,$C27,Resumo_Trocas!$F:$F,Z$18,Resumo_Trocas!$C:$C,"&gt;0")</f>
        <v>0</v>
      </c>
      <c r="AA27" s="141">
        <f>SUMIFS(Resumo_Trocas!$D:$D,Resumo_Trocas!$A:$A,$C27,Resumo_Trocas!$F:$F,Z$18,Resumo_Trocas!$C:$C,"&gt;0")</f>
        <v>0</v>
      </c>
      <c r="AB27" s="140">
        <f>SUMIFS(Resumo_Trocas!$C:$C,Resumo_Trocas!$A:$A,$C27,Resumo_Trocas!$F:$F,AB$18,Resumo_Trocas!$C:$C,"&gt;0")</f>
        <v>0</v>
      </c>
      <c r="AC27" s="141">
        <f>SUMIFS(Resumo_Trocas!$D:$D,Resumo_Trocas!$A:$A,$C27,Resumo_Trocas!$F:$F,AB$18,Resumo_Trocas!$C:$C,"&gt;0")</f>
        <v>0</v>
      </c>
      <c r="AD27" s="140">
        <f>SUMIFS(Resumo_Trocas!$C:$C,Resumo_Trocas!$A:$A,$C27,Resumo_Trocas!$F:$F,AD$18,Resumo_Trocas!$C:$C,"&gt;0")</f>
        <v>0</v>
      </c>
      <c r="AE27" s="141">
        <f>SUMIFS(Resumo_Trocas!$D:$D,Resumo_Trocas!$A:$A,$C27,Resumo_Trocas!$F:$F,AD$18,Resumo_Trocas!$C:$C,"&gt;0")</f>
        <v>0</v>
      </c>
      <c r="AF27" s="140">
        <f>SUMIFS(Resumo_Trocas!$C:$C,Resumo_Trocas!$A:$A,$C27,Resumo_Trocas!$F:$F,AF$18,Resumo_Trocas!$C:$C,"&gt;0")</f>
        <v>0</v>
      </c>
      <c r="AG27" s="141">
        <f>SUMIFS(Resumo_Trocas!$D:$D,Resumo_Trocas!$A:$A,$C27,Resumo_Trocas!$F:$F,AF$18,Resumo_Trocas!$C:$C,"&gt;0")</f>
        <v>0</v>
      </c>
      <c r="AH27" s="140">
        <f>SUMIFS(Resumo_Trocas!$C:$C,Resumo_Trocas!$A:$A,$C27,Resumo_Trocas!$F:$F,AH$18,Resumo_Trocas!$C:$C,"&gt;0")</f>
        <v>0</v>
      </c>
      <c r="AI27" s="141">
        <f>SUMIFS(Resumo_Trocas!$D:$D,Resumo_Trocas!$A:$A,$C27,Resumo_Trocas!$F:$F,AH$18,Resumo_Trocas!$C:$C,"&gt;0")</f>
        <v>0</v>
      </c>
      <c r="AJ27" s="140">
        <f>SUMIFS(Resumo_Trocas!$C:$C,Resumo_Trocas!$A:$A,$C27,Resumo_Trocas!$F:$F,AJ$18,Resumo_Trocas!$C:$C,"&gt;0")</f>
        <v>0</v>
      </c>
      <c r="AK27" s="141">
        <f>SUMIFS(Resumo_Trocas!$D:$D,Resumo_Trocas!$A:$A,$C27,Resumo_Trocas!$F:$F,AJ$18,Resumo_Trocas!$C:$C,"&gt;0")</f>
        <v>0</v>
      </c>
      <c r="AL27" s="140">
        <f>SUMIFS(Resumo_Trocas!$C:$C,Resumo_Trocas!$A:$A,$C27,Resumo_Trocas!$F:$F,AL$18,Resumo_Trocas!$C:$C,"&gt;0")</f>
        <v>0</v>
      </c>
      <c r="AM27" s="141">
        <f>SUMIFS(Resumo_Trocas!$D:$D,Resumo_Trocas!$A:$A,$C27,Resumo_Trocas!$F:$F,AL$18,Resumo_Trocas!$C:$C,"&gt;0")</f>
        <v>0</v>
      </c>
      <c r="AN27" s="140">
        <f>SUMIFS(Resumo_Trocas!$C:$C,Resumo_Trocas!$A:$A,$C27,Resumo_Trocas!$F:$F,AN$18,Resumo_Trocas!$C:$C,"&gt;0")</f>
        <v>0</v>
      </c>
      <c r="AO27" s="141">
        <f>SUMIFS(Resumo_Trocas!$D:$D,Resumo_Trocas!$A:$A,$C27,Resumo_Trocas!$F:$F,AN$18,Resumo_Trocas!$C:$C,"&gt;0")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50" t="s">
        <v>3413</v>
      </c>
      <c r="D28" s="140">
        <f>SUMIFS(Resumo_Trocas!$C:$C,Resumo_Trocas!$A:$A,$C28,Resumo_Trocas!$F:$F,D$18,Resumo_Trocas!$C:$C,"&gt;0")</f>
        <v>0</v>
      </c>
      <c r="E28" s="141">
        <f>SUMIFS(Resumo_Trocas!$D:$D,Resumo_Trocas!$A:$A,$C28,Resumo_Trocas!$F:$F,D$18,Resumo_Trocas!$C:$C,"&gt;0")</f>
        <v>0</v>
      </c>
      <c r="F28" s="140">
        <f>SUMIFS(Resumo_Trocas!$C:$C,Resumo_Trocas!$A:$A,$C28,Resumo_Trocas!$F:$F,F$18,Resumo_Trocas!$C:$C,"&gt;0")</f>
        <v>0</v>
      </c>
      <c r="G28" s="141">
        <f>SUMIFS(Resumo_Trocas!$D:$D,Resumo_Trocas!$A:$A,$C28,Resumo_Trocas!$F:$F,F$18,Resumo_Trocas!$C:$C,"&gt;0")</f>
        <v>0</v>
      </c>
      <c r="H28" s="140">
        <f>SUMIFS(Resumo_Trocas!$C:$C,Resumo_Trocas!$A:$A,$C28,Resumo_Trocas!$F:$F,H$18,Resumo_Trocas!$C:$C,"&gt;0")</f>
        <v>0</v>
      </c>
      <c r="I28" s="141">
        <f>SUMIFS(Resumo_Trocas!$D:$D,Resumo_Trocas!$A:$A,$C28,Resumo_Trocas!$F:$F,H$18,Resumo_Trocas!$C:$C,"&gt;0")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SUMIFS(Resumo_Trocas!$D:$D,Resumo_Trocas!$A:$A,$C28,Resumo_Trocas!$F:$F,J$18,Resumo_Trocas!$C:$C,"&gt;0")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SUMIFS(Resumo_Trocas!$D:$D,Resumo_Trocas!$A:$A,$C28,Resumo_Trocas!$F:$F,L$18,Resumo_Trocas!$C:$C,"&gt;0")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SUMIFS(Resumo_Trocas!$D:$D,Resumo_Trocas!$A:$A,$C28,Resumo_Trocas!$F:$F,N$18,Resumo_Trocas!$C:$C,"&gt;0")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SUMIFS(Resumo_Trocas!$D:$D,Resumo_Trocas!$A:$A,$C28,Resumo_Trocas!$F:$F,P$18,Resumo_Trocas!$C:$C,"&gt;0")</f>
        <v>0</v>
      </c>
      <c r="R28" s="140">
        <f>SUMIFS(Resumo_Trocas!$C:$C,Resumo_Trocas!$A:$A,$C28,Resumo_Trocas!$F:$F,R$18,Resumo_Trocas!$C:$C,"&gt;0")</f>
        <v>0</v>
      </c>
      <c r="S28" s="141">
        <f>SUMIFS(Resumo_Trocas!$D:$D,Resumo_Trocas!$A:$A,$C28,Resumo_Trocas!$F:$F,R$18,Resumo_Trocas!$C:$C,"&gt;0")</f>
        <v>0</v>
      </c>
      <c r="T28" s="140">
        <f>SUMIFS(Resumo_Trocas!$C:$C,Resumo_Trocas!$A:$A,$C28,Resumo_Trocas!$F:$F,T$18,Resumo_Trocas!$C:$C,"&gt;0")</f>
        <v>0</v>
      </c>
      <c r="U28" s="141">
        <f>SUMIFS(Resumo_Trocas!$D:$D,Resumo_Trocas!$A:$A,$C28,Resumo_Trocas!$F:$F,T$18,Resumo_Trocas!$C:$C,"&gt;0")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SUMIFS(Resumo_Trocas!$D:$D,Resumo_Trocas!$A:$A,$C28,Resumo_Trocas!$F:$F,V$18,Resumo_Trocas!$C:$C,"&gt;0")</f>
        <v>0</v>
      </c>
      <c r="X28" s="140">
        <f>SUMIFS(Resumo_Trocas!$C:$C,Resumo_Trocas!$A:$A,$C28,Resumo_Trocas!$F:$F,X$18,Resumo_Trocas!$C:$C,"&gt;0")</f>
        <v>0</v>
      </c>
      <c r="Y28" s="141">
        <f>SUMIFS(Resumo_Trocas!$D:$D,Resumo_Trocas!$A:$A,$C28,Resumo_Trocas!$F:$F,X$18,Resumo_Trocas!$C:$C,"&gt;0")</f>
        <v>0</v>
      </c>
      <c r="Z28" s="140">
        <f>SUMIFS(Resumo_Trocas!$C:$C,Resumo_Trocas!$A:$A,$C28,Resumo_Trocas!$F:$F,Z$18,Resumo_Trocas!$C:$C,"&gt;0")</f>
        <v>0</v>
      </c>
      <c r="AA28" s="141">
        <f>SUMIFS(Resumo_Trocas!$D:$D,Resumo_Trocas!$A:$A,$C28,Resumo_Trocas!$F:$F,Z$18,Resumo_Trocas!$C:$C,"&gt;0")</f>
        <v>0</v>
      </c>
      <c r="AB28" s="140">
        <f>SUMIFS(Resumo_Trocas!$C:$C,Resumo_Trocas!$A:$A,$C28,Resumo_Trocas!$F:$F,AB$18,Resumo_Trocas!$C:$C,"&gt;0")</f>
        <v>0</v>
      </c>
      <c r="AC28" s="141">
        <f>SUMIFS(Resumo_Trocas!$D:$D,Resumo_Trocas!$A:$A,$C28,Resumo_Trocas!$F:$F,AB$18,Resumo_Trocas!$C:$C,"&gt;0")</f>
        <v>0</v>
      </c>
      <c r="AD28" s="140">
        <f>SUMIFS(Resumo_Trocas!$C:$C,Resumo_Trocas!$A:$A,$C28,Resumo_Trocas!$F:$F,AD$18,Resumo_Trocas!$C:$C,"&gt;0")</f>
        <v>0</v>
      </c>
      <c r="AE28" s="141">
        <f>SUMIFS(Resumo_Trocas!$D:$D,Resumo_Trocas!$A:$A,$C28,Resumo_Trocas!$F:$F,AD$18,Resumo_Trocas!$C:$C,"&gt;0")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SUMIFS(Resumo_Trocas!$D:$D,Resumo_Trocas!$A:$A,$C28,Resumo_Trocas!$F:$F,AF$18,Resumo_Trocas!$C:$C,"&gt;0")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SUMIFS(Resumo_Trocas!$D:$D,Resumo_Trocas!$A:$A,$C28,Resumo_Trocas!$F:$F,AH$18,Resumo_Trocas!$C:$C,"&gt;0")</f>
        <v>0</v>
      </c>
      <c r="AJ28" s="140">
        <f>SUMIFS(Resumo_Trocas!$C:$C,Resumo_Trocas!$A:$A,$C28,Resumo_Trocas!$F:$F,AJ$18,Resumo_Trocas!$C:$C,"&gt;0")</f>
        <v>0</v>
      </c>
      <c r="AK28" s="141">
        <f>SUMIFS(Resumo_Trocas!$D:$D,Resumo_Trocas!$A:$A,$C28,Resumo_Trocas!$F:$F,AJ$18,Resumo_Trocas!$C:$C,"&gt;0")</f>
        <v>0</v>
      </c>
      <c r="AL28" s="140">
        <f>SUMIFS(Resumo_Trocas!$C:$C,Resumo_Trocas!$A:$A,$C28,Resumo_Trocas!$F:$F,AL$18,Resumo_Trocas!$C:$C,"&gt;0")</f>
        <v>0</v>
      </c>
      <c r="AM28" s="141">
        <f>SUMIFS(Resumo_Trocas!$D:$D,Resumo_Trocas!$A:$A,$C28,Resumo_Trocas!$F:$F,AL$18,Resumo_Trocas!$C:$C,"&gt;0")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SUMIFS(Resumo_Trocas!$D:$D,Resumo_Trocas!$A:$A,$C28,Resumo_Trocas!$F:$F,AN$18,Resumo_Trocas!$C:$C,"&gt;0")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50" t="s">
        <v>3414</v>
      </c>
      <c r="D29" s="140">
        <f>SUMIFS(Resumo_Trocas!$C:$C,Resumo_Trocas!$A:$A,$C29,Resumo_Trocas!$F:$F,D$18,Resumo_Trocas!$C:$C,"&gt;0")</f>
        <v>0</v>
      </c>
      <c r="E29" s="141">
        <f>SUMIFS(Resumo_Trocas!$D:$D,Resumo_Trocas!$A:$A,$C29,Resumo_Trocas!$F:$F,D$18,Resumo_Trocas!$C:$C,"&gt;0")</f>
        <v>0</v>
      </c>
      <c r="F29" s="140">
        <f>SUMIFS(Resumo_Trocas!$C:$C,Resumo_Trocas!$A:$A,$C29,Resumo_Trocas!$F:$F,F$18,Resumo_Trocas!$C:$C,"&gt;0")</f>
        <v>0</v>
      </c>
      <c r="G29" s="141">
        <f>SUMIFS(Resumo_Trocas!$D:$D,Resumo_Trocas!$A:$A,$C29,Resumo_Trocas!$F:$F,F$18,Resumo_Trocas!$C:$C,"&gt;0")</f>
        <v>0</v>
      </c>
      <c r="H29" s="140">
        <f>SUMIFS(Resumo_Trocas!$C:$C,Resumo_Trocas!$A:$A,$C29,Resumo_Trocas!$F:$F,H$18,Resumo_Trocas!$C:$C,"&gt;0")</f>
        <v>0</v>
      </c>
      <c r="I29" s="141">
        <f>SUMIFS(Resumo_Trocas!$D:$D,Resumo_Trocas!$A:$A,$C29,Resumo_Trocas!$F:$F,H$18,Resumo_Trocas!$C:$C,"&gt;0")</f>
        <v>0</v>
      </c>
      <c r="J29" s="140">
        <f>SUMIFS(Resumo_Trocas!$C:$C,Resumo_Trocas!$A:$A,$C29,Resumo_Trocas!$F:$F,J$18,Resumo_Trocas!$C:$C,"&gt;0")</f>
        <v>0</v>
      </c>
      <c r="K29" s="141">
        <f>SUMIFS(Resumo_Trocas!$D:$D,Resumo_Trocas!$A:$A,$C29,Resumo_Trocas!$F:$F,J$18,Resumo_Trocas!$C:$C,"&gt;0")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SUMIFS(Resumo_Trocas!$D:$D,Resumo_Trocas!$A:$A,$C29,Resumo_Trocas!$F:$F,L$18,Resumo_Trocas!$C:$C,"&gt;0")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SUMIFS(Resumo_Trocas!$D:$D,Resumo_Trocas!$A:$A,$C29,Resumo_Trocas!$F:$F,N$18,Resumo_Trocas!$C:$C,"&gt;0")</f>
        <v>0</v>
      </c>
      <c r="P29" s="140">
        <f>SUMIFS(Resumo_Trocas!$C:$C,Resumo_Trocas!$A:$A,$C29,Resumo_Trocas!$F:$F,P$18,Resumo_Trocas!$C:$C,"&gt;0")</f>
        <v>0</v>
      </c>
      <c r="Q29" s="141">
        <f>SUMIFS(Resumo_Trocas!$D:$D,Resumo_Trocas!$A:$A,$C29,Resumo_Trocas!$F:$F,P$18,Resumo_Trocas!$C:$C,"&gt;0")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SUMIFS(Resumo_Trocas!$D:$D,Resumo_Trocas!$A:$A,$C29,Resumo_Trocas!$F:$F,R$18,Resumo_Trocas!$C:$C,"&gt;0")</f>
        <v>0</v>
      </c>
      <c r="T29" s="140">
        <f>SUMIFS(Resumo_Trocas!$C:$C,Resumo_Trocas!$A:$A,$C29,Resumo_Trocas!$F:$F,T$18,Resumo_Trocas!$C:$C,"&gt;0")</f>
        <v>0</v>
      </c>
      <c r="U29" s="141">
        <f>SUMIFS(Resumo_Trocas!$D:$D,Resumo_Trocas!$A:$A,$C29,Resumo_Trocas!$F:$F,T$18,Resumo_Trocas!$C:$C,"&gt;0")</f>
        <v>0</v>
      </c>
      <c r="V29" s="140">
        <f>SUMIFS(Resumo_Trocas!$C:$C,Resumo_Trocas!$A:$A,$C29,Resumo_Trocas!$F:$F,V$18,Resumo_Trocas!$C:$C,"&gt;0")</f>
        <v>0</v>
      </c>
      <c r="W29" s="141">
        <f>SUMIFS(Resumo_Trocas!$D:$D,Resumo_Trocas!$A:$A,$C29,Resumo_Trocas!$F:$F,V$18,Resumo_Trocas!$C:$C,"&gt;0")</f>
        <v>0</v>
      </c>
      <c r="X29" s="140">
        <f>SUMIFS(Resumo_Trocas!$C:$C,Resumo_Trocas!$A:$A,$C29,Resumo_Trocas!$F:$F,X$18,Resumo_Trocas!$C:$C,"&gt;0")</f>
        <v>0</v>
      </c>
      <c r="Y29" s="141">
        <f>SUMIFS(Resumo_Trocas!$D:$D,Resumo_Trocas!$A:$A,$C29,Resumo_Trocas!$F:$F,X$18,Resumo_Trocas!$C:$C,"&gt;0")</f>
        <v>0</v>
      </c>
      <c r="Z29" s="140">
        <f>SUMIFS(Resumo_Trocas!$C:$C,Resumo_Trocas!$A:$A,$C29,Resumo_Trocas!$F:$F,Z$18,Resumo_Trocas!$C:$C,"&gt;0")</f>
        <v>0</v>
      </c>
      <c r="AA29" s="141">
        <f>SUMIFS(Resumo_Trocas!$D:$D,Resumo_Trocas!$A:$A,$C29,Resumo_Trocas!$F:$F,Z$18,Resumo_Trocas!$C:$C,"&gt;0")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SUMIFS(Resumo_Trocas!$D:$D,Resumo_Trocas!$A:$A,$C29,Resumo_Trocas!$F:$F,AB$18,Resumo_Trocas!$C:$C,"&gt;0")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SUMIFS(Resumo_Trocas!$D:$D,Resumo_Trocas!$A:$A,$C29,Resumo_Trocas!$F:$F,AD$18,Resumo_Trocas!$C:$C,"&gt;0")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SUMIFS(Resumo_Trocas!$D:$D,Resumo_Trocas!$A:$A,$C29,Resumo_Trocas!$F:$F,AF$18,Resumo_Trocas!$C:$C,"&gt;0")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SUMIFS(Resumo_Trocas!$D:$D,Resumo_Trocas!$A:$A,$C29,Resumo_Trocas!$F:$F,AH$18,Resumo_Trocas!$C:$C,"&gt;0")</f>
        <v>0</v>
      </c>
      <c r="AJ29" s="140">
        <f>SUMIFS(Resumo_Trocas!$C:$C,Resumo_Trocas!$A:$A,$C29,Resumo_Trocas!$F:$F,AJ$18,Resumo_Trocas!$C:$C,"&gt;0")</f>
        <v>0</v>
      </c>
      <c r="AK29" s="141">
        <f>SUMIFS(Resumo_Trocas!$D:$D,Resumo_Trocas!$A:$A,$C29,Resumo_Trocas!$F:$F,AJ$18,Resumo_Trocas!$C:$C,"&gt;0")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SUMIFS(Resumo_Trocas!$D:$D,Resumo_Trocas!$A:$A,$C29,Resumo_Trocas!$F:$F,AL$18,Resumo_Trocas!$C:$C,"&gt;0")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SUMIFS(Resumo_Trocas!$D:$D,Resumo_Trocas!$A:$A,$C29,Resumo_Trocas!$F:$F,AN$18,Resumo_Trocas!$C:$C,"&gt;0")</f>
        <v>0</v>
      </c>
      <c r="AP29" s="75"/>
      <c r="AQ29" s="75"/>
    </row>
    <row r="30" spans="2:43" ht="15" customHeight="1" outlineLevel="1" thickBot="1" x14ac:dyDescent="0.4">
      <c r="B30" s="76"/>
      <c r="C30" s="150" t="s">
        <v>3415</v>
      </c>
      <c r="D30" s="140">
        <f>SUMIFS(Resumo_Trocas!$C:$C,Resumo_Trocas!$A:$A,$C30,Resumo_Trocas!$F:$F,D$18,Resumo_Trocas!$C:$C,"&gt;0")</f>
        <v>0</v>
      </c>
      <c r="E30" s="141">
        <f>SUMIFS(Resumo_Trocas!$D:$D,Resumo_Trocas!$A:$A,$C30,Resumo_Trocas!$F:$F,D$18,Resumo_Trocas!$C:$C,"&gt;0")</f>
        <v>0</v>
      </c>
      <c r="F30" s="140">
        <f>SUMIFS(Resumo_Trocas!$C:$C,Resumo_Trocas!$A:$A,$C30,Resumo_Trocas!$F:$F,F$18,Resumo_Trocas!$C:$C,"&gt;0")</f>
        <v>0</v>
      </c>
      <c r="G30" s="141">
        <f>SUMIFS(Resumo_Trocas!$D:$D,Resumo_Trocas!$A:$A,$C30,Resumo_Trocas!$F:$F,F$18,Resumo_Trocas!$C:$C,"&gt;0")</f>
        <v>0</v>
      </c>
      <c r="H30" s="140">
        <f>SUMIFS(Resumo_Trocas!$C:$C,Resumo_Trocas!$A:$A,$C30,Resumo_Trocas!$F:$F,H$18,Resumo_Trocas!$C:$C,"&gt;0")</f>
        <v>0</v>
      </c>
      <c r="I30" s="141">
        <f>SUMIFS(Resumo_Trocas!$D:$D,Resumo_Trocas!$A:$A,$C30,Resumo_Trocas!$F:$F,H$18,Resumo_Trocas!$C:$C,"&gt;0")</f>
        <v>0</v>
      </c>
      <c r="J30" s="140">
        <f>SUMIFS(Resumo_Trocas!$C:$C,Resumo_Trocas!$A:$A,$C30,Resumo_Trocas!$F:$F,J$18,Resumo_Trocas!$C:$C,"&gt;0")</f>
        <v>0</v>
      </c>
      <c r="K30" s="141">
        <f>SUMIFS(Resumo_Trocas!$D:$D,Resumo_Trocas!$A:$A,$C30,Resumo_Trocas!$F:$F,J$18,Resumo_Trocas!$C:$C,"&gt;0")</f>
        <v>0</v>
      </c>
      <c r="L30" s="140">
        <f>SUMIFS(Resumo_Trocas!$C:$C,Resumo_Trocas!$A:$A,$C30,Resumo_Trocas!$F:$F,L$18,Resumo_Trocas!$C:$C,"&gt;0")</f>
        <v>0</v>
      </c>
      <c r="M30" s="141">
        <f>SUMIFS(Resumo_Trocas!$D:$D,Resumo_Trocas!$A:$A,$C30,Resumo_Trocas!$F:$F,L$18,Resumo_Trocas!$C:$C,"&gt;0")</f>
        <v>0</v>
      </c>
      <c r="N30" s="140">
        <f>SUMIFS(Resumo_Trocas!$C:$C,Resumo_Trocas!$A:$A,$C30,Resumo_Trocas!$F:$F,N$18,Resumo_Trocas!$C:$C,"&gt;0")</f>
        <v>0</v>
      </c>
      <c r="O30" s="141">
        <f>SUMIFS(Resumo_Trocas!$D:$D,Resumo_Trocas!$A:$A,$C30,Resumo_Trocas!$F:$F,N$18,Resumo_Trocas!$C:$C,"&gt;0")</f>
        <v>0</v>
      </c>
      <c r="P30" s="140">
        <f>SUMIFS(Resumo_Trocas!$C:$C,Resumo_Trocas!$A:$A,$C30,Resumo_Trocas!$F:$F,P$18,Resumo_Trocas!$C:$C,"&gt;0")</f>
        <v>0</v>
      </c>
      <c r="Q30" s="141">
        <f>SUMIFS(Resumo_Trocas!$D:$D,Resumo_Trocas!$A:$A,$C30,Resumo_Trocas!$F:$F,P$18,Resumo_Trocas!$C:$C,"&gt;0")</f>
        <v>0</v>
      </c>
      <c r="R30" s="140">
        <f>SUMIFS(Resumo_Trocas!$C:$C,Resumo_Trocas!$A:$A,$C30,Resumo_Trocas!$F:$F,R$18,Resumo_Trocas!$C:$C,"&gt;0")</f>
        <v>0</v>
      </c>
      <c r="S30" s="141">
        <f>SUMIFS(Resumo_Trocas!$D:$D,Resumo_Trocas!$A:$A,$C30,Resumo_Trocas!$F:$F,R$18,Resumo_Trocas!$C:$C,"&gt;0")</f>
        <v>0</v>
      </c>
      <c r="T30" s="140">
        <f>SUMIFS(Resumo_Trocas!$C:$C,Resumo_Trocas!$A:$A,$C30,Resumo_Trocas!$F:$F,T$18,Resumo_Trocas!$C:$C,"&gt;0")</f>
        <v>0</v>
      </c>
      <c r="U30" s="141">
        <f>SUMIFS(Resumo_Trocas!$D:$D,Resumo_Trocas!$A:$A,$C30,Resumo_Trocas!$F:$F,T$18,Resumo_Trocas!$C:$C,"&gt;0")</f>
        <v>0</v>
      </c>
      <c r="V30" s="140">
        <f>SUMIFS(Resumo_Trocas!$C:$C,Resumo_Trocas!$A:$A,$C30,Resumo_Trocas!$F:$F,V$18,Resumo_Trocas!$C:$C,"&gt;0")</f>
        <v>0</v>
      </c>
      <c r="W30" s="141">
        <f>SUMIFS(Resumo_Trocas!$D:$D,Resumo_Trocas!$A:$A,$C30,Resumo_Trocas!$F:$F,V$18,Resumo_Trocas!$C:$C,"&gt;0")</f>
        <v>0</v>
      </c>
      <c r="X30" s="140">
        <f>SUMIFS(Resumo_Trocas!$C:$C,Resumo_Trocas!$A:$A,$C30,Resumo_Trocas!$F:$F,X$18,Resumo_Trocas!$C:$C,"&gt;0")</f>
        <v>0</v>
      </c>
      <c r="Y30" s="141">
        <f>SUMIFS(Resumo_Trocas!$D:$D,Resumo_Trocas!$A:$A,$C30,Resumo_Trocas!$F:$F,X$18,Resumo_Trocas!$C:$C,"&gt;0")</f>
        <v>0</v>
      </c>
      <c r="Z30" s="140">
        <f>SUMIFS(Resumo_Trocas!$C:$C,Resumo_Trocas!$A:$A,$C30,Resumo_Trocas!$F:$F,Z$18,Resumo_Trocas!$C:$C,"&gt;0")</f>
        <v>0</v>
      </c>
      <c r="AA30" s="141">
        <f>SUMIFS(Resumo_Trocas!$D:$D,Resumo_Trocas!$A:$A,$C30,Resumo_Trocas!$F:$F,Z$18,Resumo_Trocas!$C:$C,"&gt;0")</f>
        <v>0</v>
      </c>
      <c r="AB30" s="140">
        <f>SUMIFS(Resumo_Trocas!$C:$C,Resumo_Trocas!$A:$A,$C30,Resumo_Trocas!$F:$F,AB$18,Resumo_Trocas!$C:$C,"&gt;0")</f>
        <v>0</v>
      </c>
      <c r="AC30" s="141">
        <f>SUMIFS(Resumo_Trocas!$D:$D,Resumo_Trocas!$A:$A,$C30,Resumo_Trocas!$F:$F,AB$18,Resumo_Trocas!$C:$C,"&gt;0")</f>
        <v>0</v>
      </c>
      <c r="AD30" s="140">
        <f>SUMIFS(Resumo_Trocas!$C:$C,Resumo_Trocas!$A:$A,$C30,Resumo_Trocas!$F:$F,AD$18,Resumo_Trocas!$C:$C,"&gt;0")</f>
        <v>0</v>
      </c>
      <c r="AE30" s="141">
        <f>SUMIFS(Resumo_Trocas!$D:$D,Resumo_Trocas!$A:$A,$C30,Resumo_Trocas!$F:$F,AD$18,Resumo_Trocas!$C:$C,"&gt;0")</f>
        <v>0</v>
      </c>
      <c r="AF30" s="140">
        <f>SUMIFS(Resumo_Trocas!$C:$C,Resumo_Trocas!$A:$A,$C30,Resumo_Trocas!$F:$F,AF$18,Resumo_Trocas!$C:$C,"&gt;0")</f>
        <v>0</v>
      </c>
      <c r="AG30" s="141">
        <f>SUMIFS(Resumo_Trocas!$D:$D,Resumo_Trocas!$A:$A,$C30,Resumo_Trocas!$F:$F,AF$18,Resumo_Trocas!$C:$C,"&gt;0")</f>
        <v>0</v>
      </c>
      <c r="AH30" s="140">
        <f>SUMIFS(Resumo_Trocas!$C:$C,Resumo_Trocas!$A:$A,$C30,Resumo_Trocas!$F:$F,AH$18,Resumo_Trocas!$C:$C,"&gt;0")</f>
        <v>0</v>
      </c>
      <c r="AI30" s="141">
        <f>SUMIFS(Resumo_Trocas!$D:$D,Resumo_Trocas!$A:$A,$C30,Resumo_Trocas!$F:$F,AH$18,Resumo_Trocas!$C:$C,"&gt;0")</f>
        <v>0</v>
      </c>
      <c r="AJ30" s="140">
        <f>SUMIFS(Resumo_Trocas!$C:$C,Resumo_Trocas!$A:$A,$C30,Resumo_Trocas!$F:$F,AJ$18,Resumo_Trocas!$C:$C,"&gt;0")</f>
        <v>0</v>
      </c>
      <c r="AK30" s="141">
        <f>SUMIFS(Resumo_Trocas!$D:$D,Resumo_Trocas!$A:$A,$C30,Resumo_Trocas!$F:$F,AJ$18,Resumo_Trocas!$C:$C,"&gt;0")</f>
        <v>0</v>
      </c>
      <c r="AL30" s="140">
        <f>SUMIFS(Resumo_Trocas!$C:$C,Resumo_Trocas!$A:$A,$C30,Resumo_Trocas!$F:$F,AL$18,Resumo_Trocas!$C:$C,"&gt;0")</f>
        <v>0</v>
      </c>
      <c r="AM30" s="141">
        <f>SUMIFS(Resumo_Trocas!$D:$D,Resumo_Trocas!$A:$A,$C30,Resumo_Trocas!$F:$F,AL$18,Resumo_Trocas!$C:$C,"&gt;0")</f>
        <v>0</v>
      </c>
      <c r="AN30" s="140">
        <f>SUMIFS(Resumo_Trocas!$C:$C,Resumo_Trocas!$A:$A,$C30,Resumo_Trocas!$F:$F,AN$18,Resumo_Trocas!$C:$C,"&gt;0")</f>
        <v>0</v>
      </c>
      <c r="AO30" s="141">
        <f>SUMIFS(Resumo_Trocas!$D:$D,Resumo_Trocas!$A:$A,$C30,Resumo_Trocas!$F:$F,AN$18,Resumo_Trocas!$C:$C,"&gt;0")</f>
        <v>0</v>
      </c>
      <c r="AP30" s="75"/>
      <c r="AQ30" s="75"/>
    </row>
    <row r="31" spans="2:43" ht="15" customHeight="1" outlineLevel="1" thickBot="1" x14ac:dyDescent="0.4">
      <c r="B31" s="76"/>
      <c r="C31" s="150" t="s">
        <v>3416</v>
      </c>
      <c r="D31" s="140">
        <f>SUMIFS(Resumo_Trocas!$C:$C,Resumo_Trocas!$A:$A,$C31,Resumo_Trocas!$F:$F,D$18,Resumo_Trocas!$C:$C,"&gt;0")</f>
        <v>0</v>
      </c>
      <c r="E31" s="141">
        <f>SUMIFS(Resumo_Trocas!$D:$D,Resumo_Trocas!$A:$A,$C31,Resumo_Trocas!$F:$F,D$18,Resumo_Trocas!$C:$C,"&gt;0")</f>
        <v>0</v>
      </c>
      <c r="F31" s="140">
        <f>SUMIFS(Resumo_Trocas!$C:$C,Resumo_Trocas!$A:$A,$C31,Resumo_Trocas!$F:$F,F$18,Resumo_Trocas!$C:$C,"&gt;0")</f>
        <v>0</v>
      </c>
      <c r="G31" s="141">
        <f>SUMIFS(Resumo_Trocas!$D:$D,Resumo_Trocas!$A:$A,$C31,Resumo_Trocas!$F:$F,F$18,Resumo_Trocas!$C:$C,"&gt;0")</f>
        <v>0</v>
      </c>
      <c r="H31" s="140">
        <f>SUMIFS(Resumo_Trocas!$C:$C,Resumo_Trocas!$A:$A,$C31,Resumo_Trocas!$F:$F,H$18,Resumo_Trocas!$C:$C,"&gt;0")</f>
        <v>0</v>
      </c>
      <c r="I31" s="141">
        <f>SUMIFS(Resumo_Trocas!$D:$D,Resumo_Trocas!$A:$A,$C31,Resumo_Trocas!$F:$F,H$18,Resumo_Trocas!$C:$C,"&gt;0")</f>
        <v>0</v>
      </c>
      <c r="J31" s="140">
        <f>SUMIFS(Resumo_Trocas!$C:$C,Resumo_Trocas!$A:$A,$C31,Resumo_Trocas!$F:$F,J$18,Resumo_Trocas!$C:$C,"&gt;0")</f>
        <v>0</v>
      </c>
      <c r="K31" s="141">
        <f>SUMIFS(Resumo_Trocas!$D:$D,Resumo_Trocas!$A:$A,$C31,Resumo_Trocas!$F:$F,J$18,Resumo_Trocas!$C:$C,"&gt;0")</f>
        <v>0</v>
      </c>
      <c r="L31" s="140">
        <f>SUMIFS(Resumo_Trocas!$C:$C,Resumo_Trocas!$A:$A,$C31,Resumo_Trocas!$F:$F,L$18,Resumo_Trocas!$C:$C,"&gt;0")</f>
        <v>0</v>
      </c>
      <c r="M31" s="141">
        <f>SUMIFS(Resumo_Trocas!$D:$D,Resumo_Trocas!$A:$A,$C31,Resumo_Trocas!$F:$F,L$18,Resumo_Trocas!$C:$C,"&gt;0")</f>
        <v>0</v>
      </c>
      <c r="N31" s="140">
        <f>SUMIFS(Resumo_Trocas!$C:$C,Resumo_Trocas!$A:$A,$C31,Resumo_Trocas!$F:$F,N$18,Resumo_Trocas!$C:$C,"&gt;0")</f>
        <v>0</v>
      </c>
      <c r="O31" s="141">
        <f>SUMIFS(Resumo_Trocas!$D:$D,Resumo_Trocas!$A:$A,$C31,Resumo_Trocas!$F:$F,N$18,Resumo_Trocas!$C:$C,"&gt;0")</f>
        <v>0</v>
      </c>
      <c r="P31" s="140">
        <f>SUMIFS(Resumo_Trocas!$C:$C,Resumo_Trocas!$A:$A,$C31,Resumo_Trocas!$F:$F,P$18,Resumo_Trocas!$C:$C,"&gt;0")</f>
        <v>0</v>
      </c>
      <c r="Q31" s="141">
        <f>SUMIFS(Resumo_Trocas!$D:$D,Resumo_Trocas!$A:$A,$C31,Resumo_Trocas!$F:$F,P$18,Resumo_Trocas!$C:$C,"&gt;0")</f>
        <v>0</v>
      </c>
      <c r="R31" s="140">
        <f>SUMIFS(Resumo_Trocas!$C:$C,Resumo_Trocas!$A:$A,$C31,Resumo_Trocas!$F:$F,R$18,Resumo_Trocas!$C:$C,"&gt;0")</f>
        <v>0</v>
      </c>
      <c r="S31" s="141">
        <f>SUMIFS(Resumo_Trocas!$D:$D,Resumo_Trocas!$A:$A,$C31,Resumo_Trocas!$F:$F,R$18,Resumo_Trocas!$C:$C,"&gt;0")</f>
        <v>0</v>
      </c>
      <c r="T31" s="140">
        <f>SUMIFS(Resumo_Trocas!$C:$C,Resumo_Trocas!$A:$A,$C31,Resumo_Trocas!$F:$F,T$18,Resumo_Trocas!$C:$C,"&gt;0")</f>
        <v>0</v>
      </c>
      <c r="U31" s="141">
        <f>SUMIFS(Resumo_Trocas!$D:$D,Resumo_Trocas!$A:$A,$C31,Resumo_Trocas!$F:$F,T$18,Resumo_Trocas!$C:$C,"&gt;0")</f>
        <v>0</v>
      </c>
      <c r="V31" s="140">
        <f>SUMIFS(Resumo_Trocas!$C:$C,Resumo_Trocas!$A:$A,$C31,Resumo_Trocas!$F:$F,V$18,Resumo_Trocas!$C:$C,"&gt;0")</f>
        <v>0</v>
      </c>
      <c r="W31" s="141">
        <f>SUMIFS(Resumo_Trocas!$D:$D,Resumo_Trocas!$A:$A,$C31,Resumo_Trocas!$F:$F,V$18,Resumo_Trocas!$C:$C,"&gt;0")</f>
        <v>0</v>
      </c>
      <c r="X31" s="140">
        <f>SUMIFS(Resumo_Trocas!$C:$C,Resumo_Trocas!$A:$A,$C31,Resumo_Trocas!$F:$F,X$18,Resumo_Trocas!$C:$C,"&gt;0")</f>
        <v>0</v>
      </c>
      <c r="Y31" s="141">
        <f>SUMIFS(Resumo_Trocas!$D:$D,Resumo_Trocas!$A:$A,$C31,Resumo_Trocas!$F:$F,X$18,Resumo_Trocas!$C:$C,"&gt;0")</f>
        <v>0</v>
      </c>
      <c r="Z31" s="140">
        <f>SUMIFS(Resumo_Trocas!$C:$C,Resumo_Trocas!$A:$A,$C31,Resumo_Trocas!$F:$F,Z$18,Resumo_Trocas!$C:$C,"&gt;0")</f>
        <v>0</v>
      </c>
      <c r="AA31" s="141">
        <f>SUMIFS(Resumo_Trocas!$D:$D,Resumo_Trocas!$A:$A,$C31,Resumo_Trocas!$F:$F,Z$18,Resumo_Trocas!$C:$C,"&gt;0")</f>
        <v>0</v>
      </c>
      <c r="AB31" s="140">
        <f>SUMIFS(Resumo_Trocas!$C:$C,Resumo_Trocas!$A:$A,$C31,Resumo_Trocas!$F:$F,AB$18,Resumo_Trocas!$C:$C,"&gt;0")</f>
        <v>0</v>
      </c>
      <c r="AC31" s="141">
        <f>SUMIFS(Resumo_Trocas!$D:$D,Resumo_Trocas!$A:$A,$C31,Resumo_Trocas!$F:$F,AB$18,Resumo_Trocas!$C:$C,"&gt;0")</f>
        <v>0</v>
      </c>
      <c r="AD31" s="140">
        <f>SUMIFS(Resumo_Trocas!$C:$C,Resumo_Trocas!$A:$A,$C31,Resumo_Trocas!$F:$F,AD$18,Resumo_Trocas!$C:$C,"&gt;0")</f>
        <v>0</v>
      </c>
      <c r="AE31" s="141">
        <f>SUMIFS(Resumo_Trocas!$D:$D,Resumo_Trocas!$A:$A,$C31,Resumo_Trocas!$F:$F,AD$18,Resumo_Trocas!$C:$C,"&gt;0")</f>
        <v>0</v>
      </c>
      <c r="AF31" s="140">
        <f>SUMIFS(Resumo_Trocas!$C:$C,Resumo_Trocas!$A:$A,$C31,Resumo_Trocas!$F:$F,AF$18,Resumo_Trocas!$C:$C,"&gt;0")</f>
        <v>0</v>
      </c>
      <c r="AG31" s="141">
        <f>SUMIFS(Resumo_Trocas!$D:$D,Resumo_Trocas!$A:$A,$C31,Resumo_Trocas!$F:$F,AF$18,Resumo_Trocas!$C:$C,"&gt;0")</f>
        <v>0</v>
      </c>
      <c r="AH31" s="140">
        <f>SUMIFS(Resumo_Trocas!$C:$C,Resumo_Trocas!$A:$A,$C31,Resumo_Trocas!$F:$F,AH$18,Resumo_Trocas!$C:$C,"&gt;0")</f>
        <v>0</v>
      </c>
      <c r="AI31" s="141">
        <f>SUMIFS(Resumo_Trocas!$D:$D,Resumo_Trocas!$A:$A,$C31,Resumo_Trocas!$F:$F,AH$18,Resumo_Trocas!$C:$C,"&gt;0")</f>
        <v>0</v>
      </c>
      <c r="AJ31" s="140">
        <f>SUMIFS(Resumo_Trocas!$C:$C,Resumo_Trocas!$A:$A,$C31,Resumo_Trocas!$F:$F,AJ$18,Resumo_Trocas!$C:$C,"&gt;0")</f>
        <v>0</v>
      </c>
      <c r="AK31" s="141">
        <f>SUMIFS(Resumo_Trocas!$D:$D,Resumo_Trocas!$A:$A,$C31,Resumo_Trocas!$F:$F,AJ$18,Resumo_Trocas!$C:$C,"&gt;0")</f>
        <v>0</v>
      </c>
      <c r="AL31" s="140">
        <f>SUMIFS(Resumo_Trocas!$C:$C,Resumo_Trocas!$A:$A,$C31,Resumo_Trocas!$F:$F,AL$18,Resumo_Trocas!$C:$C,"&gt;0")</f>
        <v>0</v>
      </c>
      <c r="AM31" s="141">
        <f>SUMIFS(Resumo_Trocas!$D:$D,Resumo_Trocas!$A:$A,$C31,Resumo_Trocas!$F:$F,AL$18,Resumo_Trocas!$C:$C,"&gt;0")</f>
        <v>0</v>
      </c>
      <c r="AN31" s="140">
        <f>SUMIFS(Resumo_Trocas!$C:$C,Resumo_Trocas!$A:$A,$C31,Resumo_Trocas!$F:$F,AN$18,Resumo_Trocas!$C:$C,"&gt;0")</f>
        <v>0</v>
      </c>
      <c r="AO31" s="141">
        <f>SUMIFS(Resumo_Trocas!$D:$D,Resumo_Trocas!$A:$A,$C31,Resumo_Trocas!$F:$F,AN$18,Resumo_Trocas!$C:$C,"&gt;0")</f>
        <v>0</v>
      </c>
      <c r="AP31" s="75"/>
      <c r="AQ31" s="75"/>
    </row>
    <row r="32" spans="2:43" ht="15" customHeight="1" outlineLevel="1" thickBot="1" x14ac:dyDescent="0.4">
      <c r="B32" s="76"/>
      <c r="C32" s="150" t="s">
        <v>3417</v>
      </c>
      <c r="D32" s="140">
        <f>SUMIFS(Resumo_Trocas!$C:$C,Resumo_Trocas!$A:$A,$C32,Resumo_Trocas!$F:$F,D$18,Resumo_Trocas!$C:$C,"&gt;0")</f>
        <v>0</v>
      </c>
      <c r="E32" s="141">
        <f>SUMIFS(Resumo_Trocas!$D:$D,Resumo_Trocas!$A:$A,$C32,Resumo_Trocas!$F:$F,D$18,Resumo_Trocas!$C:$C,"&gt;0")</f>
        <v>0</v>
      </c>
      <c r="F32" s="140">
        <f>SUMIFS(Resumo_Trocas!$C:$C,Resumo_Trocas!$A:$A,$C32,Resumo_Trocas!$F:$F,F$18,Resumo_Trocas!$C:$C,"&gt;0")</f>
        <v>0</v>
      </c>
      <c r="G32" s="141">
        <f>SUMIFS(Resumo_Trocas!$D:$D,Resumo_Trocas!$A:$A,$C32,Resumo_Trocas!$F:$F,F$18,Resumo_Trocas!$C:$C,"&gt;0")</f>
        <v>0</v>
      </c>
      <c r="H32" s="140">
        <f>SUMIFS(Resumo_Trocas!$C:$C,Resumo_Trocas!$A:$A,$C32,Resumo_Trocas!$F:$F,H$18,Resumo_Trocas!$C:$C,"&gt;0")</f>
        <v>0</v>
      </c>
      <c r="I32" s="141">
        <f>SUMIFS(Resumo_Trocas!$D:$D,Resumo_Trocas!$A:$A,$C32,Resumo_Trocas!$F:$F,H$18,Resumo_Trocas!$C:$C,"&gt;0")</f>
        <v>0</v>
      </c>
      <c r="J32" s="140">
        <f>SUMIFS(Resumo_Trocas!$C:$C,Resumo_Trocas!$A:$A,$C32,Resumo_Trocas!$F:$F,J$18,Resumo_Trocas!$C:$C,"&gt;0")</f>
        <v>0</v>
      </c>
      <c r="K32" s="141">
        <f>SUMIFS(Resumo_Trocas!$D:$D,Resumo_Trocas!$A:$A,$C32,Resumo_Trocas!$F:$F,J$18,Resumo_Trocas!$C:$C,"&gt;0")</f>
        <v>0</v>
      </c>
      <c r="L32" s="140">
        <f>SUMIFS(Resumo_Trocas!$C:$C,Resumo_Trocas!$A:$A,$C32,Resumo_Trocas!$F:$F,L$18,Resumo_Trocas!$C:$C,"&gt;0")</f>
        <v>0</v>
      </c>
      <c r="M32" s="141">
        <f>SUMIFS(Resumo_Trocas!$D:$D,Resumo_Trocas!$A:$A,$C32,Resumo_Trocas!$F:$F,L$18,Resumo_Trocas!$C:$C,"&gt;0")</f>
        <v>0</v>
      </c>
      <c r="N32" s="140">
        <f>SUMIFS(Resumo_Trocas!$C:$C,Resumo_Trocas!$A:$A,$C32,Resumo_Trocas!$F:$F,N$18,Resumo_Trocas!$C:$C,"&gt;0")</f>
        <v>0</v>
      </c>
      <c r="O32" s="141">
        <f>SUMIFS(Resumo_Trocas!$D:$D,Resumo_Trocas!$A:$A,$C32,Resumo_Trocas!$F:$F,N$18,Resumo_Trocas!$C:$C,"&gt;0")</f>
        <v>0</v>
      </c>
      <c r="P32" s="140">
        <f>SUMIFS(Resumo_Trocas!$C:$C,Resumo_Trocas!$A:$A,$C32,Resumo_Trocas!$F:$F,P$18,Resumo_Trocas!$C:$C,"&gt;0")</f>
        <v>0</v>
      </c>
      <c r="Q32" s="141">
        <f>SUMIFS(Resumo_Trocas!$D:$D,Resumo_Trocas!$A:$A,$C32,Resumo_Trocas!$F:$F,P$18,Resumo_Trocas!$C:$C,"&gt;0")</f>
        <v>0</v>
      </c>
      <c r="R32" s="140">
        <f>SUMIFS(Resumo_Trocas!$C:$C,Resumo_Trocas!$A:$A,$C32,Resumo_Trocas!$F:$F,R$18,Resumo_Trocas!$C:$C,"&gt;0")</f>
        <v>0</v>
      </c>
      <c r="S32" s="141">
        <f>SUMIFS(Resumo_Trocas!$D:$D,Resumo_Trocas!$A:$A,$C32,Resumo_Trocas!$F:$F,R$18,Resumo_Trocas!$C:$C,"&gt;0")</f>
        <v>0</v>
      </c>
      <c r="T32" s="140">
        <f>SUMIFS(Resumo_Trocas!$C:$C,Resumo_Trocas!$A:$A,$C32,Resumo_Trocas!$F:$F,T$18,Resumo_Trocas!$C:$C,"&gt;0")</f>
        <v>0</v>
      </c>
      <c r="U32" s="141">
        <f>SUMIFS(Resumo_Trocas!$D:$D,Resumo_Trocas!$A:$A,$C32,Resumo_Trocas!$F:$F,T$18,Resumo_Trocas!$C:$C,"&gt;0")</f>
        <v>0</v>
      </c>
      <c r="V32" s="140">
        <f>SUMIFS(Resumo_Trocas!$C:$C,Resumo_Trocas!$A:$A,$C32,Resumo_Trocas!$F:$F,V$18,Resumo_Trocas!$C:$C,"&gt;0")</f>
        <v>0</v>
      </c>
      <c r="W32" s="141">
        <f>SUMIFS(Resumo_Trocas!$D:$D,Resumo_Trocas!$A:$A,$C32,Resumo_Trocas!$F:$F,V$18,Resumo_Trocas!$C:$C,"&gt;0")</f>
        <v>0</v>
      </c>
      <c r="X32" s="140">
        <f>SUMIFS(Resumo_Trocas!$C:$C,Resumo_Trocas!$A:$A,$C32,Resumo_Trocas!$F:$F,X$18,Resumo_Trocas!$C:$C,"&gt;0")</f>
        <v>0</v>
      </c>
      <c r="Y32" s="141">
        <f>SUMIFS(Resumo_Trocas!$D:$D,Resumo_Trocas!$A:$A,$C32,Resumo_Trocas!$F:$F,X$18,Resumo_Trocas!$C:$C,"&gt;0")</f>
        <v>0</v>
      </c>
      <c r="Z32" s="140">
        <f>SUMIFS(Resumo_Trocas!$C:$C,Resumo_Trocas!$A:$A,$C32,Resumo_Trocas!$F:$F,Z$18,Resumo_Trocas!$C:$C,"&gt;0")</f>
        <v>0</v>
      </c>
      <c r="AA32" s="141">
        <f>SUMIFS(Resumo_Trocas!$D:$D,Resumo_Trocas!$A:$A,$C32,Resumo_Trocas!$F:$F,Z$18,Resumo_Trocas!$C:$C,"&gt;0")</f>
        <v>0</v>
      </c>
      <c r="AB32" s="140">
        <f>SUMIFS(Resumo_Trocas!$C:$C,Resumo_Trocas!$A:$A,$C32,Resumo_Trocas!$F:$F,AB$18,Resumo_Trocas!$C:$C,"&gt;0")</f>
        <v>0</v>
      </c>
      <c r="AC32" s="141">
        <f>SUMIFS(Resumo_Trocas!$D:$D,Resumo_Trocas!$A:$A,$C32,Resumo_Trocas!$F:$F,AB$18,Resumo_Trocas!$C:$C,"&gt;0")</f>
        <v>0</v>
      </c>
      <c r="AD32" s="140">
        <f>SUMIFS(Resumo_Trocas!$C:$C,Resumo_Trocas!$A:$A,$C32,Resumo_Trocas!$F:$F,AD$18,Resumo_Trocas!$C:$C,"&gt;0")</f>
        <v>0</v>
      </c>
      <c r="AE32" s="141">
        <f>SUMIFS(Resumo_Trocas!$D:$D,Resumo_Trocas!$A:$A,$C32,Resumo_Trocas!$F:$F,AD$18,Resumo_Trocas!$C:$C,"&gt;0")</f>
        <v>0</v>
      </c>
      <c r="AF32" s="140">
        <f>SUMIFS(Resumo_Trocas!$C:$C,Resumo_Trocas!$A:$A,$C32,Resumo_Trocas!$F:$F,AF$18,Resumo_Trocas!$C:$C,"&gt;0")</f>
        <v>0</v>
      </c>
      <c r="AG32" s="141">
        <f>SUMIFS(Resumo_Trocas!$D:$D,Resumo_Trocas!$A:$A,$C32,Resumo_Trocas!$F:$F,AF$18,Resumo_Trocas!$C:$C,"&gt;0")</f>
        <v>0</v>
      </c>
      <c r="AH32" s="140">
        <f>SUMIFS(Resumo_Trocas!$C:$C,Resumo_Trocas!$A:$A,$C32,Resumo_Trocas!$F:$F,AH$18,Resumo_Trocas!$C:$C,"&gt;0")</f>
        <v>0</v>
      </c>
      <c r="AI32" s="141">
        <f>SUMIFS(Resumo_Trocas!$D:$D,Resumo_Trocas!$A:$A,$C32,Resumo_Trocas!$F:$F,AH$18,Resumo_Trocas!$C:$C,"&gt;0")</f>
        <v>0</v>
      </c>
      <c r="AJ32" s="140">
        <f>SUMIFS(Resumo_Trocas!$C:$C,Resumo_Trocas!$A:$A,$C32,Resumo_Trocas!$F:$F,AJ$18,Resumo_Trocas!$C:$C,"&gt;0")</f>
        <v>0</v>
      </c>
      <c r="AK32" s="141">
        <f>SUMIFS(Resumo_Trocas!$D:$D,Resumo_Trocas!$A:$A,$C32,Resumo_Trocas!$F:$F,AJ$18,Resumo_Trocas!$C:$C,"&gt;0")</f>
        <v>0</v>
      </c>
      <c r="AL32" s="140">
        <f>SUMIFS(Resumo_Trocas!$C:$C,Resumo_Trocas!$A:$A,$C32,Resumo_Trocas!$F:$F,AL$18,Resumo_Trocas!$C:$C,"&gt;0")</f>
        <v>0</v>
      </c>
      <c r="AM32" s="141">
        <f>SUMIFS(Resumo_Trocas!$D:$D,Resumo_Trocas!$A:$A,$C32,Resumo_Trocas!$F:$F,AL$18,Resumo_Trocas!$C:$C,"&gt;0")</f>
        <v>0</v>
      </c>
      <c r="AN32" s="140">
        <f>SUMIFS(Resumo_Trocas!$C:$C,Resumo_Trocas!$A:$A,$C32,Resumo_Trocas!$F:$F,AN$18,Resumo_Trocas!$C:$C,"&gt;0")</f>
        <v>0</v>
      </c>
      <c r="AO32" s="141">
        <f>SUMIFS(Resumo_Trocas!$D:$D,Resumo_Trocas!$A:$A,$C32,Resumo_Trocas!$F:$F,AN$18,Resumo_Trocas!$C:$C,"&gt;0")</f>
        <v>0</v>
      </c>
      <c r="AP32" s="75"/>
      <c r="AQ32" s="75"/>
    </row>
    <row r="33" spans="2:43" ht="15" customHeight="1" outlineLevel="1" thickBot="1" x14ac:dyDescent="0.4">
      <c r="B33" s="76"/>
      <c r="C33" s="150" t="s">
        <v>3418</v>
      </c>
      <c r="D33" s="140">
        <f>SUMIFS(Resumo_Trocas!$C:$C,Resumo_Trocas!$A:$A,$C33,Resumo_Trocas!$F:$F,D$18,Resumo_Trocas!$C:$C,"&gt;0")</f>
        <v>0</v>
      </c>
      <c r="E33" s="141">
        <f>SUMIFS(Resumo_Trocas!$D:$D,Resumo_Trocas!$A:$A,$C33,Resumo_Trocas!$F:$F,D$18,Resumo_Trocas!$C:$C,"&gt;0")</f>
        <v>0</v>
      </c>
      <c r="F33" s="140">
        <f>SUMIFS(Resumo_Trocas!$C:$C,Resumo_Trocas!$A:$A,$C33,Resumo_Trocas!$F:$F,F$18,Resumo_Trocas!$C:$C,"&gt;0")</f>
        <v>0</v>
      </c>
      <c r="G33" s="141">
        <f>SUMIFS(Resumo_Trocas!$D:$D,Resumo_Trocas!$A:$A,$C33,Resumo_Trocas!$F:$F,F$18,Resumo_Trocas!$C:$C,"&gt;0")</f>
        <v>0</v>
      </c>
      <c r="H33" s="140">
        <f>SUMIFS(Resumo_Trocas!$C:$C,Resumo_Trocas!$A:$A,$C33,Resumo_Trocas!$F:$F,H$18,Resumo_Trocas!$C:$C,"&gt;0")</f>
        <v>0</v>
      </c>
      <c r="I33" s="141">
        <f>SUMIFS(Resumo_Trocas!$D:$D,Resumo_Trocas!$A:$A,$C33,Resumo_Trocas!$F:$F,H$18,Resumo_Trocas!$C:$C,"&gt;0")</f>
        <v>0</v>
      </c>
      <c r="J33" s="140">
        <f>SUMIFS(Resumo_Trocas!$C:$C,Resumo_Trocas!$A:$A,$C33,Resumo_Trocas!$F:$F,J$18,Resumo_Trocas!$C:$C,"&gt;0")</f>
        <v>0</v>
      </c>
      <c r="K33" s="141">
        <f>SUMIFS(Resumo_Trocas!$D:$D,Resumo_Trocas!$A:$A,$C33,Resumo_Trocas!$F:$F,J$18,Resumo_Trocas!$C:$C,"&gt;0")</f>
        <v>0</v>
      </c>
      <c r="L33" s="140">
        <f>SUMIFS(Resumo_Trocas!$C:$C,Resumo_Trocas!$A:$A,$C33,Resumo_Trocas!$F:$F,L$18,Resumo_Trocas!$C:$C,"&gt;0")</f>
        <v>0</v>
      </c>
      <c r="M33" s="141">
        <f>SUMIFS(Resumo_Trocas!$D:$D,Resumo_Trocas!$A:$A,$C33,Resumo_Trocas!$F:$F,L$18,Resumo_Trocas!$C:$C,"&gt;0")</f>
        <v>0</v>
      </c>
      <c r="N33" s="140">
        <f>SUMIFS(Resumo_Trocas!$C:$C,Resumo_Trocas!$A:$A,$C33,Resumo_Trocas!$F:$F,N$18,Resumo_Trocas!$C:$C,"&gt;0")</f>
        <v>0</v>
      </c>
      <c r="O33" s="141">
        <f>SUMIFS(Resumo_Trocas!$D:$D,Resumo_Trocas!$A:$A,$C33,Resumo_Trocas!$F:$F,N$18,Resumo_Trocas!$C:$C,"&gt;0")</f>
        <v>0</v>
      </c>
      <c r="P33" s="140">
        <f>SUMIFS(Resumo_Trocas!$C:$C,Resumo_Trocas!$A:$A,$C33,Resumo_Trocas!$F:$F,P$18,Resumo_Trocas!$C:$C,"&gt;0")</f>
        <v>0</v>
      </c>
      <c r="Q33" s="141">
        <f>SUMIFS(Resumo_Trocas!$D:$D,Resumo_Trocas!$A:$A,$C33,Resumo_Trocas!$F:$F,P$18,Resumo_Trocas!$C:$C,"&gt;0")</f>
        <v>0</v>
      </c>
      <c r="R33" s="140">
        <f>SUMIFS(Resumo_Trocas!$C:$C,Resumo_Trocas!$A:$A,$C33,Resumo_Trocas!$F:$F,R$18,Resumo_Trocas!$C:$C,"&gt;0")</f>
        <v>0</v>
      </c>
      <c r="S33" s="141">
        <f>SUMIFS(Resumo_Trocas!$D:$D,Resumo_Trocas!$A:$A,$C33,Resumo_Trocas!$F:$F,R$18,Resumo_Trocas!$C:$C,"&gt;0")</f>
        <v>0</v>
      </c>
      <c r="T33" s="140">
        <f>SUMIFS(Resumo_Trocas!$C:$C,Resumo_Trocas!$A:$A,$C33,Resumo_Trocas!$F:$F,T$18,Resumo_Trocas!$C:$C,"&gt;0")</f>
        <v>0</v>
      </c>
      <c r="U33" s="141">
        <f>SUMIFS(Resumo_Trocas!$D:$D,Resumo_Trocas!$A:$A,$C33,Resumo_Trocas!$F:$F,T$18,Resumo_Trocas!$C:$C,"&gt;0")</f>
        <v>0</v>
      </c>
      <c r="V33" s="140">
        <f>SUMIFS(Resumo_Trocas!$C:$C,Resumo_Trocas!$A:$A,$C33,Resumo_Trocas!$F:$F,V$18,Resumo_Trocas!$C:$C,"&gt;0")</f>
        <v>0</v>
      </c>
      <c r="W33" s="141">
        <f>SUMIFS(Resumo_Trocas!$D:$D,Resumo_Trocas!$A:$A,$C33,Resumo_Trocas!$F:$F,V$18,Resumo_Trocas!$C:$C,"&gt;0")</f>
        <v>0</v>
      </c>
      <c r="X33" s="140">
        <f>SUMIFS(Resumo_Trocas!$C:$C,Resumo_Trocas!$A:$A,$C33,Resumo_Trocas!$F:$F,X$18,Resumo_Trocas!$C:$C,"&gt;0")</f>
        <v>0</v>
      </c>
      <c r="Y33" s="141">
        <f>SUMIFS(Resumo_Trocas!$D:$D,Resumo_Trocas!$A:$A,$C33,Resumo_Trocas!$F:$F,X$18,Resumo_Trocas!$C:$C,"&gt;0")</f>
        <v>0</v>
      </c>
      <c r="Z33" s="140">
        <f>SUMIFS(Resumo_Trocas!$C:$C,Resumo_Trocas!$A:$A,$C33,Resumo_Trocas!$F:$F,Z$18,Resumo_Trocas!$C:$C,"&gt;0")</f>
        <v>0</v>
      </c>
      <c r="AA33" s="141">
        <f>SUMIFS(Resumo_Trocas!$D:$D,Resumo_Trocas!$A:$A,$C33,Resumo_Trocas!$F:$F,Z$18,Resumo_Trocas!$C:$C,"&gt;0")</f>
        <v>0</v>
      </c>
      <c r="AB33" s="140">
        <f>SUMIFS(Resumo_Trocas!$C:$C,Resumo_Trocas!$A:$A,$C33,Resumo_Trocas!$F:$F,AB$18,Resumo_Trocas!$C:$C,"&gt;0")</f>
        <v>0</v>
      </c>
      <c r="AC33" s="141">
        <f>SUMIFS(Resumo_Trocas!$D:$D,Resumo_Trocas!$A:$A,$C33,Resumo_Trocas!$F:$F,AB$18,Resumo_Trocas!$C:$C,"&gt;0")</f>
        <v>0</v>
      </c>
      <c r="AD33" s="140">
        <f>SUMIFS(Resumo_Trocas!$C:$C,Resumo_Trocas!$A:$A,$C33,Resumo_Trocas!$F:$F,AD$18,Resumo_Trocas!$C:$C,"&gt;0")</f>
        <v>0</v>
      </c>
      <c r="AE33" s="141">
        <f>SUMIFS(Resumo_Trocas!$D:$D,Resumo_Trocas!$A:$A,$C33,Resumo_Trocas!$F:$F,AD$18,Resumo_Trocas!$C:$C,"&gt;0")</f>
        <v>0</v>
      </c>
      <c r="AF33" s="140">
        <f>SUMIFS(Resumo_Trocas!$C:$C,Resumo_Trocas!$A:$A,$C33,Resumo_Trocas!$F:$F,AF$18,Resumo_Trocas!$C:$C,"&gt;0")</f>
        <v>0</v>
      </c>
      <c r="AG33" s="141">
        <f>SUMIFS(Resumo_Trocas!$D:$D,Resumo_Trocas!$A:$A,$C33,Resumo_Trocas!$F:$F,AF$18,Resumo_Trocas!$C:$C,"&gt;0")</f>
        <v>0</v>
      </c>
      <c r="AH33" s="140">
        <f>SUMIFS(Resumo_Trocas!$C:$C,Resumo_Trocas!$A:$A,$C33,Resumo_Trocas!$F:$F,AH$18,Resumo_Trocas!$C:$C,"&gt;0")</f>
        <v>0</v>
      </c>
      <c r="AI33" s="141">
        <f>SUMIFS(Resumo_Trocas!$D:$D,Resumo_Trocas!$A:$A,$C33,Resumo_Trocas!$F:$F,AH$18,Resumo_Trocas!$C:$C,"&gt;0")</f>
        <v>0</v>
      </c>
      <c r="AJ33" s="140">
        <f>SUMIFS(Resumo_Trocas!$C:$C,Resumo_Trocas!$A:$A,$C33,Resumo_Trocas!$F:$F,AJ$18,Resumo_Trocas!$C:$C,"&gt;0")</f>
        <v>0</v>
      </c>
      <c r="AK33" s="141">
        <f>SUMIFS(Resumo_Trocas!$D:$D,Resumo_Trocas!$A:$A,$C33,Resumo_Trocas!$F:$F,AJ$18,Resumo_Trocas!$C:$C,"&gt;0")</f>
        <v>0</v>
      </c>
      <c r="AL33" s="140">
        <f>SUMIFS(Resumo_Trocas!$C:$C,Resumo_Trocas!$A:$A,$C33,Resumo_Trocas!$F:$F,AL$18,Resumo_Trocas!$C:$C,"&gt;0")</f>
        <v>0</v>
      </c>
      <c r="AM33" s="141">
        <f>SUMIFS(Resumo_Trocas!$D:$D,Resumo_Trocas!$A:$A,$C33,Resumo_Trocas!$F:$F,AL$18,Resumo_Trocas!$C:$C,"&gt;0")</f>
        <v>0</v>
      </c>
      <c r="AN33" s="140">
        <f>SUMIFS(Resumo_Trocas!$C:$C,Resumo_Trocas!$A:$A,$C33,Resumo_Trocas!$F:$F,AN$18,Resumo_Trocas!$C:$C,"&gt;0")</f>
        <v>0</v>
      </c>
      <c r="AO33" s="141">
        <f>SUMIFS(Resumo_Trocas!$D:$D,Resumo_Trocas!$A:$A,$C33,Resumo_Trocas!$F:$F,AN$18,Resumo_Trocas!$C:$C,"&gt;0")</f>
        <v>0</v>
      </c>
      <c r="AP33" s="75"/>
      <c r="AQ33" s="75"/>
    </row>
    <row r="34" spans="2:43" ht="15" customHeight="1" outlineLevel="1" thickBot="1" x14ac:dyDescent="0.4">
      <c r="B34" s="76"/>
      <c r="C34" s="150" t="s">
        <v>3419</v>
      </c>
      <c r="D34" s="140">
        <f>SUMIFS(Resumo_Trocas!$C:$C,Resumo_Trocas!$A:$A,$C34,Resumo_Trocas!$F:$F,D$18,Resumo_Trocas!$C:$C,"&gt;0")</f>
        <v>0</v>
      </c>
      <c r="E34" s="141">
        <f>SUMIFS(Resumo_Trocas!$D:$D,Resumo_Trocas!$A:$A,$C34,Resumo_Trocas!$F:$F,D$18,Resumo_Trocas!$C:$C,"&gt;0")</f>
        <v>0</v>
      </c>
      <c r="F34" s="140">
        <f>SUMIFS(Resumo_Trocas!$C:$C,Resumo_Trocas!$A:$A,$C34,Resumo_Trocas!$F:$F,F$18,Resumo_Trocas!$C:$C,"&gt;0")</f>
        <v>0</v>
      </c>
      <c r="G34" s="141">
        <f>SUMIFS(Resumo_Trocas!$D:$D,Resumo_Trocas!$A:$A,$C34,Resumo_Trocas!$F:$F,F$18,Resumo_Trocas!$C:$C,"&gt;0")</f>
        <v>0</v>
      </c>
      <c r="H34" s="140">
        <f>SUMIFS(Resumo_Trocas!$C:$C,Resumo_Trocas!$A:$A,$C34,Resumo_Trocas!$F:$F,H$18,Resumo_Trocas!$C:$C,"&gt;0")</f>
        <v>0</v>
      </c>
      <c r="I34" s="141">
        <f>SUMIFS(Resumo_Trocas!$D:$D,Resumo_Trocas!$A:$A,$C34,Resumo_Trocas!$F:$F,H$18,Resumo_Trocas!$C:$C,"&gt;0")</f>
        <v>0</v>
      </c>
      <c r="J34" s="140">
        <f>SUMIFS(Resumo_Trocas!$C:$C,Resumo_Trocas!$A:$A,$C34,Resumo_Trocas!$F:$F,J$18,Resumo_Trocas!$C:$C,"&gt;0")</f>
        <v>0</v>
      </c>
      <c r="K34" s="141">
        <f>SUMIFS(Resumo_Trocas!$D:$D,Resumo_Trocas!$A:$A,$C34,Resumo_Trocas!$F:$F,J$18,Resumo_Trocas!$C:$C,"&gt;0")</f>
        <v>0</v>
      </c>
      <c r="L34" s="140">
        <f>SUMIFS(Resumo_Trocas!$C:$C,Resumo_Trocas!$A:$A,$C34,Resumo_Trocas!$F:$F,L$18,Resumo_Trocas!$C:$C,"&gt;0")</f>
        <v>0</v>
      </c>
      <c r="M34" s="141">
        <f>SUMIFS(Resumo_Trocas!$D:$D,Resumo_Trocas!$A:$A,$C34,Resumo_Trocas!$F:$F,L$18,Resumo_Trocas!$C:$C,"&gt;0")</f>
        <v>0</v>
      </c>
      <c r="N34" s="140">
        <f>SUMIFS(Resumo_Trocas!$C:$C,Resumo_Trocas!$A:$A,$C34,Resumo_Trocas!$F:$F,N$18,Resumo_Trocas!$C:$C,"&gt;0")</f>
        <v>0</v>
      </c>
      <c r="O34" s="141">
        <f>SUMIFS(Resumo_Trocas!$D:$D,Resumo_Trocas!$A:$A,$C34,Resumo_Trocas!$F:$F,N$18,Resumo_Trocas!$C:$C,"&gt;0")</f>
        <v>0</v>
      </c>
      <c r="P34" s="140">
        <f>SUMIFS(Resumo_Trocas!$C:$C,Resumo_Trocas!$A:$A,$C34,Resumo_Trocas!$F:$F,P$18,Resumo_Trocas!$C:$C,"&gt;0")</f>
        <v>0</v>
      </c>
      <c r="Q34" s="141">
        <f>SUMIFS(Resumo_Trocas!$D:$D,Resumo_Trocas!$A:$A,$C34,Resumo_Trocas!$F:$F,P$18,Resumo_Trocas!$C:$C,"&gt;0")</f>
        <v>0</v>
      </c>
      <c r="R34" s="140">
        <f>SUMIFS(Resumo_Trocas!$C:$C,Resumo_Trocas!$A:$A,$C34,Resumo_Trocas!$F:$F,R$18,Resumo_Trocas!$C:$C,"&gt;0")</f>
        <v>0</v>
      </c>
      <c r="S34" s="141">
        <f>SUMIFS(Resumo_Trocas!$D:$D,Resumo_Trocas!$A:$A,$C34,Resumo_Trocas!$F:$F,R$18,Resumo_Trocas!$C:$C,"&gt;0")</f>
        <v>0</v>
      </c>
      <c r="T34" s="140">
        <f>SUMIFS(Resumo_Trocas!$C:$C,Resumo_Trocas!$A:$A,$C34,Resumo_Trocas!$F:$F,T$18,Resumo_Trocas!$C:$C,"&gt;0")</f>
        <v>0</v>
      </c>
      <c r="U34" s="141">
        <f>SUMIFS(Resumo_Trocas!$D:$D,Resumo_Trocas!$A:$A,$C34,Resumo_Trocas!$F:$F,T$18,Resumo_Trocas!$C:$C,"&gt;0")</f>
        <v>0</v>
      </c>
      <c r="V34" s="140">
        <f>SUMIFS(Resumo_Trocas!$C:$C,Resumo_Trocas!$A:$A,$C34,Resumo_Trocas!$F:$F,V$18,Resumo_Trocas!$C:$C,"&gt;0")</f>
        <v>0</v>
      </c>
      <c r="W34" s="141">
        <f>SUMIFS(Resumo_Trocas!$D:$D,Resumo_Trocas!$A:$A,$C34,Resumo_Trocas!$F:$F,V$18,Resumo_Trocas!$C:$C,"&gt;0")</f>
        <v>0</v>
      </c>
      <c r="X34" s="140">
        <f>SUMIFS(Resumo_Trocas!$C:$C,Resumo_Trocas!$A:$A,$C34,Resumo_Trocas!$F:$F,X$18,Resumo_Trocas!$C:$C,"&gt;0")</f>
        <v>0</v>
      </c>
      <c r="Y34" s="141">
        <f>SUMIFS(Resumo_Trocas!$D:$D,Resumo_Trocas!$A:$A,$C34,Resumo_Trocas!$F:$F,X$18,Resumo_Trocas!$C:$C,"&gt;0")</f>
        <v>0</v>
      </c>
      <c r="Z34" s="140">
        <f>SUMIFS(Resumo_Trocas!$C:$C,Resumo_Trocas!$A:$A,$C34,Resumo_Trocas!$F:$F,Z$18,Resumo_Trocas!$C:$C,"&gt;0")</f>
        <v>0</v>
      </c>
      <c r="AA34" s="141">
        <f>SUMIFS(Resumo_Trocas!$D:$D,Resumo_Trocas!$A:$A,$C34,Resumo_Trocas!$F:$F,Z$18,Resumo_Trocas!$C:$C,"&gt;0")</f>
        <v>0</v>
      </c>
      <c r="AB34" s="140">
        <f>SUMIFS(Resumo_Trocas!$C:$C,Resumo_Trocas!$A:$A,$C34,Resumo_Trocas!$F:$F,AB$18,Resumo_Trocas!$C:$C,"&gt;0")</f>
        <v>0</v>
      </c>
      <c r="AC34" s="141">
        <f>SUMIFS(Resumo_Trocas!$D:$D,Resumo_Trocas!$A:$A,$C34,Resumo_Trocas!$F:$F,AB$18,Resumo_Trocas!$C:$C,"&gt;0")</f>
        <v>0</v>
      </c>
      <c r="AD34" s="140">
        <f>SUMIFS(Resumo_Trocas!$C:$C,Resumo_Trocas!$A:$A,$C34,Resumo_Trocas!$F:$F,AD$18,Resumo_Trocas!$C:$C,"&gt;0")</f>
        <v>0</v>
      </c>
      <c r="AE34" s="141">
        <f>SUMIFS(Resumo_Trocas!$D:$D,Resumo_Trocas!$A:$A,$C34,Resumo_Trocas!$F:$F,AD$18,Resumo_Trocas!$C:$C,"&gt;0")</f>
        <v>0</v>
      </c>
      <c r="AF34" s="140">
        <f>SUMIFS(Resumo_Trocas!$C:$C,Resumo_Trocas!$A:$A,$C34,Resumo_Trocas!$F:$F,AF$18,Resumo_Trocas!$C:$C,"&gt;0")</f>
        <v>0</v>
      </c>
      <c r="AG34" s="141">
        <f>SUMIFS(Resumo_Trocas!$D:$D,Resumo_Trocas!$A:$A,$C34,Resumo_Trocas!$F:$F,AF$18,Resumo_Trocas!$C:$C,"&gt;0")</f>
        <v>0</v>
      </c>
      <c r="AH34" s="140">
        <f>SUMIFS(Resumo_Trocas!$C:$C,Resumo_Trocas!$A:$A,$C34,Resumo_Trocas!$F:$F,AH$18,Resumo_Trocas!$C:$C,"&gt;0")</f>
        <v>0</v>
      </c>
      <c r="AI34" s="141">
        <f>SUMIFS(Resumo_Trocas!$D:$D,Resumo_Trocas!$A:$A,$C34,Resumo_Trocas!$F:$F,AH$18,Resumo_Trocas!$C:$C,"&gt;0")</f>
        <v>0</v>
      </c>
      <c r="AJ34" s="140">
        <f>SUMIFS(Resumo_Trocas!$C:$C,Resumo_Trocas!$A:$A,$C34,Resumo_Trocas!$F:$F,AJ$18,Resumo_Trocas!$C:$C,"&gt;0")</f>
        <v>0</v>
      </c>
      <c r="AK34" s="141">
        <f>SUMIFS(Resumo_Trocas!$D:$D,Resumo_Trocas!$A:$A,$C34,Resumo_Trocas!$F:$F,AJ$18,Resumo_Trocas!$C:$C,"&gt;0")</f>
        <v>0</v>
      </c>
      <c r="AL34" s="140">
        <f>SUMIFS(Resumo_Trocas!$C:$C,Resumo_Trocas!$A:$A,$C34,Resumo_Trocas!$F:$F,AL$18,Resumo_Trocas!$C:$C,"&gt;0")</f>
        <v>0</v>
      </c>
      <c r="AM34" s="141">
        <f>SUMIFS(Resumo_Trocas!$D:$D,Resumo_Trocas!$A:$A,$C34,Resumo_Trocas!$F:$F,AL$18,Resumo_Trocas!$C:$C,"&gt;0")</f>
        <v>0</v>
      </c>
      <c r="AN34" s="140">
        <f>SUMIFS(Resumo_Trocas!$C:$C,Resumo_Trocas!$A:$A,$C34,Resumo_Trocas!$F:$F,AN$18,Resumo_Trocas!$C:$C,"&gt;0")</f>
        <v>0</v>
      </c>
      <c r="AO34" s="141">
        <f>SUMIFS(Resumo_Trocas!$D:$D,Resumo_Trocas!$A:$A,$C34,Resumo_Trocas!$F:$F,AN$18,Resumo_Trocas!$C:$C,"&gt;0")</f>
        <v>0</v>
      </c>
      <c r="AP34" s="75"/>
      <c r="AQ34" s="75"/>
    </row>
    <row r="35" spans="2:43" ht="15" customHeight="1" outlineLevel="1" thickBot="1" x14ac:dyDescent="0.4">
      <c r="B35" s="76"/>
      <c r="C35" s="150" t="s">
        <v>3420</v>
      </c>
      <c r="D35" s="140">
        <f>SUMIFS(Resumo_Trocas!$C:$C,Resumo_Trocas!$A:$A,$C35,Resumo_Trocas!$F:$F,D$18,Resumo_Trocas!$C:$C,"&gt;0")</f>
        <v>0</v>
      </c>
      <c r="E35" s="141">
        <f>SUMIFS(Resumo_Trocas!$D:$D,Resumo_Trocas!$A:$A,$C35,Resumo_Trocas!$F:$F,D$18,Resumo_Trocas!$C:$C,"&gt;0")</f>
        <v>0</v>
      </c>
      <c r="F35" s="140">
        <f>SUMIFS(Resumo_Trocas!$C:$C,Resumo_Trocas!$A:$A,$C35,Resumo_Trocas!$F:$F,F$18,Resumo_Trocas!$C:$C,"&gt;0")</f>
        <v>0</v>
      </c>
      <c r="G35" s="141">
        <f>SUMIFS(Resumo_Trocas!$D:$D,Resumo_Trocas!$A:$A,$C35,Resumo_Trocas!$F:$F,F$18,Resumo_Trocas!$C:$C,"&gt;0")</f>
        <v>0</v>
      </c>
      <c r="H35" s="140">
        <f>SUMIFS(Resumo_Trocas!$C:$C,Resumo_Trocas!$A:$A,$C35,Resumo_Trocas!$F:$F,H$18,Resumo_Trocas!$C:$C,"&gt;0")</f>
        <v>0</v>
      </c>
      <c r="I35" s="141">
        <f>SUMIFS(Resumo_Trocas!$D:$D,Resumo_Trocas!$A:$A,$C35,Resumo_Trocas!$F:$F,H$18,Resumo_Trocas!$C:$C,"&gt;0")</f>
        <v>0</v>
      </c>
      <c r="J35" s="140">
        <f>SUMIFS(Resumo_Trocas!$C:$C,Resumo_Trocas!$A:$A,$C35,Resumo_Trocas!$F:$F,J$18,Resumo_Trocas!$C:$C,"&gt;0")</f>
        <v>0</v>
      </c>
      <c r="K35" s="141">
        <f>SUMIFS(Resumo_Trocas!$D:$D,Resumo_Trocas!$A:$A,$C35,Resumo_Trocas!$F:$F,J$18,Resumo_Trocas!$C:$C,"&gt;0")</f>
        <v>0</v>
      </c>
      <c r="L35" s="140">
        <f>SUMIFS(Resumo_Trocas!$C:$C,Resumo_Trocas!$A:$A,$C35,Resumo_Trocas!$F:$F,L$18,Resumo_Trocas!$C:$C,"&gt;0")</f>
        <v>0</v>
      </c>
      <c r="M35" s="141">
        <f>SUMIFS(Resumo_Trocas!$D:$D,Resumo_Trocas!$A:$A,$C35,Resumo_Trocas!$F:$F,L$18,Resumo_Trocas!$C:$C,"&gt;0")</f>
        <v>0</v>
      </c>
      <c r="N35" s="140">
        <f>SUMIFS(Resumo_Trocas!$C:$C,Resumo_Trocas!$A:$A,$C35,Resumo_Trocas!$F:$F,N$18,Resumo_Trocas!$C:$C,"&gt;0")</f>
        <v>0</v>
      </c>
      <c r="O35" s="141">
        <f>SUMIFS(Resumo_Trocas!$D:$D,Resumo_Trocas!$A:$A,$C35,Resumo_Trocas!$F:$F,N$18,Resumo_Trocas!$C:$C,"&gt;0")</f>
        <v>0</v>
      </c>
      <c r="P35" s="140">
        <f>SUMIFS(Resumo_Trocas!$C:$C,Resumo_Trocas!$A:$A,$C35,Resumo_Trocas!$F:$F,P$18,Resumo_Trocas!$C:$C,"&gt;0")</f>
        <v>0</v>
      </c>
      <c r="Q35" s="141">
        <f>SUMIFS(Resumo_Trocas!$D:$D,Resumo_Trocas!$A:$A,$C35,Resumo_Trocas!$F:$F,P$18,Resumo_Trocas!$C:$C,"&gt;0")</f>
        <v>0</v>
      </c>
      <c r="R35" s="140">
        <f>SUMIFS(Resumo_Trocas!$C:$C,Resumo_Trocas!$A:$A,$C35,Resumo_Trocas!$F:$F,R$18,Resumo_Trocas!$C:$C,"&gt;0")</f>
        <v>0</v>
      </c>
      <c r="S35" s="141">
        <f>SUMIFS(Resumo_Trocas!$D:$D,Resumo_Trocas!$A:$A,$C35,Resumo_Trocas!$F:$F,R$18,Resumo_Trocas!$C:$C,"&gt;0")</f>
        <v>0</v>
      </c>
      <c r="T35" s="140">
        <f>SUMIFS(Resumo_Trocas!$C:$C,Resumo_Trocas!$A:$A,$C35,Resumo_Trocas!$F:$F,T$18,Resumo_Trocas!$C:$C,"&gt;0")</f>
        <v>0</v>
      </c>
      <c r="U35" s="141">
        <f>SUMIFS(Resumo_Trocas!$D:$D,Resumo_Trocas!$A:$A,$C35,Resumo_Trocas!$F:$F,T$18,Resumo_Trocas!$C:$C,"&gt;0")</f>
        <v>0</v>
      </c>
      <c r="V35" s="140">
        <f>SUMIFS(Resumo_Trocas!$C:$C,Resumo_Trocas!$A:$A,$C35,Resumo_Trocas!$F:$F,V$18,Resumo_Trocas!$C:$C,"&gt;0")</f>
        <v>0</v>
      </c>
      <c r="W35" s="141">
        <f>SUMIFS(Resumo_Trocas!$D:$D,Resumo_Trocas!$A:$A,$C35,Resumo_Trocas!$F:$F,V$18,Resumo_Trocas!$C:$C,"&gt;0")</f>
        <v>0</v>
      </c>
      <c r="X35" s="140">
        <f>SUMIFS(Resumo_Trocas!$C:$C,Resumo_Trocas!$A:$A,$C35,Resumo_Trocas!$F:$F,X$18,Resumo_Trocas!$C:$C,"&gt;0")</f>
        <v>0</v>
      </c>
      <c r="Y35" s="141">
        <f>SUMIFS(Resumo_Trocas!$D:$D,Resumo_Trocas!$A:$A,$C35,Resumo_Trocas!$F:$F,X$18,Resumo_Trocas!$C:$C,"&gt;0")</f>
        <v>0</v>
      </c>
      <c r="Z35" s="140">
        <f>SUMIFS(Resumo_Trocas!$C:$C,Resumo_Trocas!$A:$A,$C35,Resumo_Trocas!$F:$F,Z$18,Resumo_Trocas!$C:$C,"&gt;0")</f>
        <v>0</v>
      </c>
      <c r="AA35" s="141">
        <f>SUMIFS(Resumo_Trocas!$D:$D,Resumo_Trocas!$A:$A,$C35,Resumo_Trocas!$F:$F,Z$18,Resumo_Trocas!$C:$C,"&gt;0")</f>
        <v>0</v>
      </c>
      <c r="AB35" s="140">
        <f>SUMIFS(Resumo_Trocas!$C:$C,Resumo_Trocas!$A:$A,$C35,Resumo_Trocas!$F:$F,AB$18,Resumo_Trocas!$C:$C,"&gt;0")</f>
        <v>0</v>
      </c>
      <c r="AC35" s="141">
        <f>SUMIFS(Resumo_Trocas!$D:$D,Resumo_Trocas!$A:$A,$C35,Resumo_Trocas!$F:$F,AB$18,Resumo_Trocas!$C:$C,"&gt;0")</f>
        <v>0</v>
      </c>
      <c r="AD35" s="140">
        <f>SUMIFS(Resumo_Trocas!$C:$C,Resumo_Trocas!$A:$A,$C35,Resumo_Trocas!$F:$F,AD$18,Resumo_Trocas!$C:$C,"&gt;0")</f>
        <v>0</v>
      </c>
      <c r="AE35" s="141">
        <f>SUMIFS(Resumo_Trocas!$D:$D,Resumo_Trocas!$A:$A,$C35,Resumo_Trocas!$F:$F,AD$18,Resumo_Trocas!$C:$C,"&gt;0")</f>
        <v>0</v>
      </c>
      <c r="AF35" s="140">
        <f>SUMIFS(Resumo_Trocas!$C:$C,Resumo_Trocas!$A:$A,$C35,Resumo_Trocas!$F:$F,AF$18,Resumo_Trocas!$C:$C,"&gt;0")</f>
        <v>0</v>
      </c>
      <c r="AG35" s="141">
        <f>SUMIFS(Resumo_Trocas!$D:$D,Resumo_Trocas!$A:$A,$C35,Resumo_Trocas!$F:$F,AF$18,Resumo_Trocas!$C:$C,"&gt;0")</f>
        <v>0</v>
      </c>
      <c r="AH35" s="140">
        <f>SUMIFS(Resumo_Trocas!$C:$C,Resumo_Trocas!$A:$A,$C35,Resumo_Trocas!$F:$F,AH$18,Resumo_Trocas!$C:$C,"&gt;0")</f>
        <v>0</v>
      </c>
      <c r="AI35" s="141">
        <f>SUMIFS(Resumo_Trocas!$D:$D,Resumo_Trocas!$A:$A,$C35,Resumo_Trocas!$F:$F,AH$18,Resumo_Trocas!$C:$C,"&gt;0")</f>
        <v>0</v>
      </c>
      <c r="AJ35" s="140">
        <f>SUMIFS(Resumo_Trocas!$C:$C,Resumo_Trocas!$A:$A,$C35,Resumo_Trocas!$F:$F,AJ$18,Resumo_Trocas!$C:$C,"&gt;0")</f>
        <v>0</v>
      </c>
      <c r="AK35" s="141">
        <f>SUMIFS(Resumo_Trocas!$D:$D,Resumo_Trocas!$A:$A,$C35,Resumo_Trocas!$F:$F,AJ$18,Resumo_Trocas!$C:$C,"&gt;0")</f>
        <v>0</v>
      </c>
      <c r="AL35" s="140">
        <f>SUMIFS(Resumo_Trocas!$C:$C,Resumo_Trocas!$A:$A,$C35,Resumo_Trocas!$F:$F,AL$18,Resumo_Trocas!$C:$C,"&gt;0")</f>
        <v>0</v>
      </c>
      <c r="AM35" s="141">
        <f>SUMIFS(Resumo_Trocas!$D:$D,Resumo_Trocas!$A:$A,$C35,Resumo_Trocas!$F:$F,AL$18,Resumo_Trocas!$C:$C,"&gt;0")</f>
        <v>0</v>
      </c>
      <c r="AN35" s="140">
        <f>SUMIFS(Resumo_Trocas!$C:$C,Resumo_Trocas!$A:$A,$C35,Resumo_Trocas!$F:$F,AN$18,Resumo_Trocas!$C:$C,"&gt;0")</f>
        <v>0</v>
      </c>
      <c r="AO35" s="141">
        <f>SUMIFS(Resumo_Trocas!$D:$D,Resumo_Trocas!$A:$A,$C35,Resumo_Trocas!$F:$F,AN$18,Resumo_Trocas!$C:$C,"&gt;0")</f>
        <v>0</v>
      </c>
      <c r="AP35" s="75"/>
      <c r="AQ35" s="75"/>
    </row>
    <row r="36" spans="2:43" ht="15" customHeight="1" outlineLevel="1" thickBot="1" x14ac:dyDescent="0.4">
      <c r="B36" s="76"/>
      <c r="C36" s="150" t="s">
        <v>3421</v>
      </c>
      <c r="D36" s="140">
        <f>SUMIFS(Resumo_Trocas!$C:$C,Resumo_Trocas!$A:$A,$C36,Resumo_Trocas!$F:$F,D$18,Resumo_Trocas!$C:$C,"&gt;0")</f>
        <v>0</v>
      </c>
      <c r="E36" s="141">
        <f>SUMIFS(Resumo_Trocas!$D:$D,Resumo_Trocas!$A:$A,$C36,Resumo_Trocas!$F:$F,D$18,Resumo_Trocas!$C:$C,"&gt;0")</f>
        <v>0</v>
      </c>
      <c r="F36" s="140">
        <f>SUMIFS(Resumo_Trocas!$C:$C,Resumo_Trocas!$A:$A,$C36,Resumo_Trocas!$F:$F,F$18,Resumo_Trocas!$C:$C,"&gt;0")</f>
        <v>0</v>
      </c>
      <c r="G36" s="141">
        <f>SUMIFS(Resumo_Trocas!$D:$D,Resumo_Trocas!$A:$A,$C36,Resumo_Trocas!$F:$F,F$18,Resumo_Trocas!$C:$C,"&gt;0")</f>
        <v>0</v>
      </c>
      <c r="H36" s="140">
        <f>SUMIFS(Resumo_Trocas!$C:$C,Resumo_Trocas!$A:$A,$C36,Resumo_Trocas!$F:$F,H$18,Resumo_Trocas!$C:$C,"&gt;0")</f>
        <v>0</v>
      </c>
      <c r="I36" s="141">
        <f>SUMIFS(Resumo_Trocas!$D:$D,Resumo_Trocas!$A:$A,$C36,Resumo_Trocas!$F:$F,H$18,Resumo_Trocas!$C:$C,"&gt;0")</f>
        <v>0</v>
      </c>
      <c r="J36" s="140">
        <f>SUMIFS(Resumo_Trocas!$C:$C,Resumo_Trocas!$A:$A,$C36,Resumo_Trocas!$F:$F,J$18,Resumo_Trocas!$C:$C,"&gt;0")</f>
        <v>0</v>
      </c>
      <c r="K36" s="141">
        <f>SUMIFS(Resumo_Trocas!$D:$D,Resumo_Trocas!$A:$A,$C36,Resumo_Trocas!$F:$F,J$18,Resumo_Trocas!$C:$C,"&gt;0")</f>
        <v>0</v>
      </c>
      <c r="L36" s="140">
        <f>SUMIFS(Resumo_Trocas!$C:$C,Resumo_Trocas!$A:$A,$C36,Resumo_Trocas!$F:$F,L$18,Resumo_Trocas!$C:$C,"&gt;0")</f>
        <v>0</v>
      </c>
      <c r="M36" s="141">
        <f>SUMIFS(Resumo_Trocas!$D:$D,Resumo_Trocas!$A:$A,$C36,Resumo_Trocas!$F:$F,L$18,Resumo_Trocas!$C:$C,"&gt;0")</f>
        <v>0</v>
      </c>
      <c r="N36" s="140">
        <f>SUMIFS(Resumo_Trocas!$C:$C,Resumo_Trocas!$A:$A,$C36,Resumo_Trocas!$F:$F,N$18,Resumo_Trocas!$C:$C,"&gt;0")</f>
        <v>0</v>
      </c>
      <c r="O36" s="141">
        <f>SUMIFS(Resumo_Trocas!$D:$D,Resumo_Trocas!$A:$A,$C36,Resumo_Trocas!$F:$F,N$18,Resumo_Trocas!$C:$C,"&gt;0")</f>
        <v>0</v>
      </c>
      <c r="P36" s="140">
        <f>SUMIFS(Resumo_Trocas!$C:$C,Resumo_Trocas!$A:$A,$C36,Resumo_Trocas!$F:$F,P$18,Resumo_Trocas!$C:$C,"&gt;0")</f>
        <v>0</v>
      </c>
      <c r="Q36" s="141">
        <f>SUMIFS(Resumo_Trocas!$D:$D,Resumo_Trocas!$A:$A,$C36,Resumo_Trocas!$F:$F,P$18,Resumo_Trocas!$C:$C,"&gt;0")</f>
        <v>0</v>
      </c>
      <c r="R36" s="140">
        <f>SUMIFS(Resumo_Trocas!$C:$C,Resumo_Trocas!$A:$A,$C36,Resumo_Trocas!$F:$F,R$18,Resumo_Trocas!$C:$C,"&gt;0")</f>
        <v>0</v>
      </c>
      <c r="S36" s="141">
        <f>SUMIFS(Resumo_Trocas!$D:$D,Resumo_Trocas!$A:$A,$C36,Resumo_Trocas!$F:$F,R$18,Resumo_Trocas!$C:$C,"&gt;0")</f>
        <v>0</v>
      </c>
      <c r="T36" s="140">
        <f>SUMIFS(Resumo_Trocas!$C:$C,Resumo_Trocas!$A:$A,$C36,Resumo_Trocas!$F:$F,T$18,Resumo_Trocas!$C:$C,"&gt;0")</f>
        <v>0</v>
      </c>
      <c r="U36" s="141">
        <f>SUMIFS(Resumo_Trocas!$D:$D,Resumo_Trocas!$A:$A,$C36,Resumo_Trocas!$F:$F,T$18,Resumo_Trocas!$C:$C,"&gt;0")</f>
        <v>0</v>
      </c>
      <c r="V36" s="140">
        <f>SUMIFS(Resumo_Trocas!$C:$C,Resumo_Trocas!$A:$A,$C36,Resumo_Trocas!$F:$F,V$18,Resumo_Trocas!$C:$C,"&gt;0")</f>
        <v>0</v>
      </c>
      <c r="W36" s="141">
        <f>SUMIFS(Resumo_Trocas!$D:$D,Resumo_Trocas!$A:$A,$C36,Resumo_Trocas!$F:$F,V$18,Resumo_Trocas!$C:$C,"&gt;0")</f>
        <v>0</v>
      </c>
      <c r="X36" s="140">
        <f>SUMIFS(Resumo_Trocas!$C:$C,Resumo_Trocas!$A:$A,$C36,Resumo_Trocas!$F:$F,X$18,Resumo_Trocas!$C:$C,"&gt;0")</f>
        <v>0</v>
      </c>
      <c r="Y36" s="141">
        <f>SUMIFS(Resumo_Trocas!$D:$D,Resumo_Trocas!$A:$A,$C36,Resumo_Trocas!$F:$F,X$18,Resumo_Trocas!$C:$C,"&gt;0")</f>
        <v>0</v>
      </c>
      <c r="Z36" s="140">
        <f>SUMIFS(Resumo_Trocas!$C:$C,Resumo_Trocas!$A:$A,$C36,Resumo_Trocas!$F:$F,Z$18,Resumo_Trocas!$C:$C,"&gt;0")</f>
        <v>0</v>
      </c>
      <c r="AA36" s="141">
        <f>SUMIFS(Resumo_Trocas!$D:$D,Resumo_Trocas!$A:$A,$C36,Resumo_Trocas!$F:$F,Z$18,Resumo_Trocas!$C:$C,"&gt;0")</f>
        <v>0</v>
      </c>
      <c r="AB36" s="140">
        <f>SUMIFS(Resumo_Trocas!$C:$C,Resumo_Trocas!$A:$A,$C36,Resumo_Trocas!$F:$F,AB$18,Resumo_Trocas!$C:$C,"&gt;0")</f>
        <v>0</v>
      </c>
      <c r="AC36" s="141">
        <f>SUMIFS(Resumo_Trocas!$D:$D,Resumo_Trocas!$A:$A,$C36,Resumo_Trocas!$F:$F,AB$18,Resumo_Trocas!$C:$C,"&gt;0")</f>
        <v>0</v>
      </c>
      <c r="AD36" s="140">
        <f>SUMIFS(Resumo_Trocas!$C:$C,Resumo_Trocas!$A:$A,$C36,Resumo_Trocas!$F:$F,AD$18,Resumo_Trocas!$C:$C,"&gt;0")</f>
        <v>0</v>
      </c>
      <c r="AE36" s="141">
        <f>SUMIFS(Resumo_Trocas!$D:$D,Resumo_Trocas!$A:$A,$C36,Resumo_Trocas!$F:$F,AD$18,Resumo_Trocas!$C:$C,"&gt;0")</f>
        <v>0</v>
      </c>
      <c r="AF36" s="140">
        <f>SUMIFS(Resumo_Trocas!$C:$C,Resumo_Trocas!$A:$A,$C36,Resumo_Trocas!$F:$F,AF$18,Resumo_Trocas!$C:$C,"&gt;0")</f>
        <v>0</v>
      </c>
      <c r="AG36" s="141">
        <f>SUMIFS(Resumo_Trocas!$D:$D,Resumo_Trocas!$A:$A,$C36,Resumo_Trocas!$F:$F,AF$18,Resumo_Trocas!$C:$C,"&gt;0")</f>
        <v>0</v>
      </c>
      <c r="AH36" s="140">
        <f>SUMIFS(Resumo_Trocas!$C:$C,Resumo_Trocas!$A:$A,$C36,Resumo_Trocas!$F:$F,AH$18,Resumo_Trocas!$C:$C,"&gt;0")</f>
        <v>0</v>
      </c>
      <c r="AI36" s="141">
        <f>SUMIFS(Resumo_Trocas!$D:$D,Resumo_Trocas!$A:$A,$C36,Resumo_Trocas!$F:$F,AH$18,Resumo_Trocas!$C:$C,"&gt;0")</f>
        <v>0</v>
      </c>
      <c r="AJ36" s="140">
        <f>SUMIFS(Resumo_Trocas!$C:$C,Resumo_Trocas!$A:$A,$C36,Resumo_Trocas!$F:$F,AJ$18,Resumo_Trocas!$C:$C,"&gt;0")</f>
        <v>0</v>
      </c>
      <c r="AK36" s="141">
        <f>SUMIFS(Resumo_Trocas!$D:$D,Resumo_Trocas!$A:$A,$C36,Resumo_Trocas!$F:$F,AJ$18,Resumo_Trocas!$C:$C,"&gt;0")</f>
        <v>0</v>
      </c>
      <c r="AL36" s="140">
        <f>SUMIFS(Resumo_Trocas!$C:$C,Resumo_Trocas!$A:$A,$C36,Resumo_Trocas!$F:$F,AL$18,Resumo_Trocas!$C:$C,"&gt;0")</f>
        <v>0</v>
      </c>
      <c r="AM36" s="141">
        <f>SUMIFS(Resumo_Trocas!$D:$D,Resumo_Trocas!$A:$A,$C36,Resumo_Trocas!$F:$F,AL$18,Resumo_Trocas!$C:$C,"&gt;0")</f>
        <v>0</v>
      </c>
      <c r="AN36" s="140">
        <f>SUMIFS(Resumo_Trocas!$C:$C,Resumo_Trocas!$A:$A,$C36,Resumo_Trocas!$F:$F,AN$18,Resumo_Trocas!$C:$C,"&gt;0")</f>
        <v>0</v>
      </c>
      <c r="AO36" s="141">
        <f>SUMIFS(Resumo_Trocas!$D:$D,Resumo_Trocas!$A:$A,$C36,Resumo_Trocas!$F:$F,AN$18,Resumo_Trocas!$C:$C,"&gt;0")</f>
        <v>0</v>
      </c>
      <c r="AP36" s="75"/>
      <c r="AQ36" s="75"/>
    </row>
    <row r="37" spans="2:43" ht="15" customHeight="1" outlineLevel="1" thickBot="1" x14ac:dyDescent="0.4">
      <c r="B37" s="76"/>
      <c r="C37" s="150" t="s">
        <v>3422</v>
      </c>
      <c r="D37" s="140">
        <f>SUMIFS(Resumo_Trocas!$C:$C,Resumo_Trocas!$A:$A,$C37,Resumo_Trocas!$F:$F,D$18,Resumo_Trocas!$C:$C,"&gt;0")</f>
        <v>0</v>
      </c>
      <c r="E37" s="141">
        <f>SUMIFS(Resumo_Trocas!$D:$D,Resumo_Trocas!$A:$A,$C37,Resumo_Trocas!$F:$F,D$18,Resumo_Trocas!$C:$C,"&gt;0")</f>
        <v>0</v>
      </c>
      <c r="F37" s="140">
        <f>SUMIFS(Resumo_Trocas!$C:$C,Resumo_Trocas!$A:$A,$C37,Resumo_Trocas!$F:$F,F$18,Resumo_Trocas!$C:$C,"&gt;0")</f>
        <v>0</v>
      </c>
      <c r="G37" s="141">
        <f>SUMIFS(Resumo_Trocas!$D:$D,Resumo_Trocas!$A:$A,$C37,Resumo_Trocas!$F:$F,F$18,Resumo_Trocas!$C:$C,"&gt;0")</f>
        <v>0</v>
      </c>
      <c r="H37" s="140">
        <f>SUMIFS(Resumo_Trocas!$C:$C,Resumo_Trocas!$A:$A,$C37,Resumo_Trocas!$F:$F,H$18,Resumo_Trocas!$C:$C,"&gt;0")</f>
        <v>0</v>
      </c>
      <c r="I37" s="141">
        <f>SUMIFS(Resumo_Trocas!$D:$D,Resumo_Trocas!$A:$A,$C37,Resumo_Trocas!$F:$F,H$18,Resumo_Trocas!$C:$C,"&gt;0")</f>
        <v>0</v>
      </c>
      <c r="J37" s="140">
        <f>SUMIFS(Resumo_Trocas!$C:$C,Resumo_Trocas!$A:$A,$C37,Resumo_Trocas!$F:$F,J$18,Resumo_Trocas!$C:$C,"&gt;0")</f>
        <v>0</v>
      </c>
      <c r="K37" s="141">
        <f>SUMIFS(Resumo_Trocas!$D:$D,Resumo_Trocas!$A:$A,$C37,Resumo_Trocas!$F:$F,J$18,Resumo_Trocas!$C:$C,"&gt;0")</f>
        <v>0</v>
      </c>
      <c r="L37" s="140">
        <f>SUMIFS(Resumo_Trocas!$C:$C,Resumo_Trocas!$A:$A,$C37,Resumo_Trocas!$F:$F,L$18,Resumo_Trocas!$C:$C,"&gt;0")</f>
        <v>0</v>
      </c>
      <c r="M37" s="141">
        <f>SUMIFS(Resumo_Trocas!$D:$D,Resumo_Trocas!$A:$A,$C37,Resumo_Trocas!$F:$F,L$18,Resumo_Trocas!$C:$C,"&gt;0")</f>
        <v>0</v>
      </c>
      <c r="N37" s="140">
        <f>SUMIFS(Resumo_Trocas!$C:$C,Resumo_Trocas!$A:$A,$C37,Resumo_Trocas!$F:$F,N$18,Resumo_Trocas!$C:$C,"&gt;0")</f>
        <v>0</v>
      </c>
      <c r="O37" s="141">
        <f>SUMIFS(Resumo_Trocas!$D:$D,Resumo_Trocas!$A:$A,$C37,Resumo_Trocas!$F:$F,N$18,Resumo_Trocas!$C:$C,"&gt;0")</f>
        <v>0</v>
      </c>
      <c r="P37" s="140">
        <f>SUMIFS(Resumo_Trocas!$C:$C,Resumo_Trocas!$A:$A,$C37,Resumo_Trocas!$F:$F,P$18,Resumo_Trocas!$C:$C,"&gt;0")</f>
        <v>0</v>
      </c>
      <c r="Q37" s="141">
        <f>SUMIFS(Resumo_Trocas!$D:$D,Resumo_Trocas!$A:$A,$C37,Resumo_Trocas!$F:$F,P$18,Resumo_Trocas!$C:$C,"&gt;0")</f>
        <v>0</v>
      </c>
      <c r="R37" s="140">
        <f>SUMIFS(Resumo_Trocas!$C:$C,Resumo_Trocas!$A:$A,$C37,Resumo_Trocas!$F:$F,R$18,Resumo_Trocas!$C:$C,"&gt;0")</f>
        <v>0</v>
      </c>
      <c r="S37" s="141">
        <f>SUMIFS(Resumo_Trocas!$D:$D,Resumo_Trocas!$A:$A,$C37,Resumo_Trocas!$F:$F,R$18,Resumo_Trocas!$C:$C,"&gt;0")</f>
        <v>0</v>
      </c>
      <c r="T37" s="140">
        <f>SUMIFS(Resumo_Trocas!$C:$C,Resumo_Trocas!$A:$A,$C37,Resumo_Trocas!$F:$F,T$18,Resumo_Trocas!$C:$C,"&gt;0")</f>
        <v>0</v>
      </c>
      <c r="U37" s="141">
        <f>SUMIFS(Resumo_Trocas!$D:$D,Resumo_Trocas!$A:$A,$C37,Resumo_Trocas!$F:$F,T$18,Resumo_Trocas!$C:$C,"&gt;0")</f>
        <v>0</v>
      </c>
      <c r="V37" s="140">
        <f>SUMIFS(Resumo_Trocas!$C:$C,Resumo_Trocas!$A:$A,$C37,Resumo_Trocas!$F:$F,V$18,Resumo_Trocas!$C:$C,"&gt;0")</f>
        <v>0</v>
      </c>
      <c r="W37" s="141">
        <f>SUMIFS(Resumo_Trocas!$D:$D,Resumo_Trocas!$A:$A,$C37,Resumo_Trocas!$F:$F,V$18,Resumo_Trocas!$C:$C,"&gt;0")</f>
        <v>0</v>
      </c>
      <c r="X37" s="140">
        <f>SUMIFS(Resumo_Trocas!$C:$C,Resumo_Trocas!$A:$A,$C37,Resumo_Trocas!$F:$F,X$18,Resumo_Trocas!$C:$C,"&gt;0")</f>
        <v>0</v>
      </c>
      <c r="Y37" s="141">
        <f>SUMIFS(Resumo_Trocas!$D:$D,Resumo_Trocas!$A:$A,$C37,Resumo_Trocas!$F:$F,X$18,Resumo_Trocas!$C:$C,"&gt;0")</f>
        <v>0</v>
      </c>
      <c r="Z37" s="140">
        <f>SUMIFS(Resumo_Trocas!$C:$C,Resumo_Trocas!$A:$A,$C37,Resumo_Trocas!$F:$F,Z$18,Resumo_Trocas!$C:$C,"&gt;0")</f>
        <v>0</v>
      </c>
      <c r="AA37" s="141">
        <f>SUMIFS(Resumo_Trocas!$D:$D,Resumo_Trocas!$A:$A,$C37,Resumo_Trocas!$F:$F,Z$18,Resumo_Trocas!$C:$C,"&gt;0")</f>
        <v>0</v>
      </c>
      <c r="AB37" s="140">
        <f>SUMIFS(Resumo_Trocas!$C:$C,Resumo_Trocas!$A:$A,$C37,Resumo_Trocas!$F:$F,AB$18,Resumo_Trocas!$C:$C,"&gt;0")</f>
        <v>0</v>
      </c>
      <c r="AC37" s="141">
        <f>SUMIFS(Resumo_Trocas!$D:$D,Resumo_Trocas!$A:$A,$C37,Resumo_Trocas!$F:$F,AB$18,Resumo_Trocas!$C:$C,"&gt;0")</f>
        <v>0</v>
      </c>
      <c r="AD37" s="140">
        <f>SUMIFS(Resumo_Trocas!$C:$C,Resumo_Trocas!$A:$A,$C37,Resumo_Trocas!$F:$F,AD$18,Resumo_Trocas!$C:$C,"&gt;0")</f>
        <v>0</v>
      </c>
      <c r="AE37" s="141">
        <f>SUMIFS(Resumo_Trocas!$D:$D,Resumo_Trocas!$A:$A,$C37,Resumo_Trocas!$F:$F,AD$18,Resumo_Trocas!$C:$C,"&gt;0")</f>
        <v>0</v>
      </c>
      <c r="AF37" s="140">
        <f>SUMIFS(Resumo_Trocas!$C:$C,Resumo_Trocas!$A:$A,$C37,Resumo_Trocas!$F:$F,AF$18,Resumo_Trocas!$C:$C,"&gt;0")</f>
        <v>0</v>
      </c>
      <c r="AG37" s="141">
        <f>SUMIFS(Resumo_Trocas!$D:$D,Resumo_Trocas!$A:$A,$C37,Resumo_Trocas!$F:$F,AF$18,Resumo_Trocas!$C:$C,"&gt;0")</f>
        <v>0</v>
      </c>
      <c r="AH37" s="140">
        <f>SUMIFS(Resumo_Trocas!$C:$C,Resumo_Trocas!$A:$A,$C37,Resumo_Trocas!$F:$F,AH$18,Resumo_Trocas!$C:$C,"&gt;0")</f>
        <v>0</v>
      </c>
      <c r="AI37" s="141">
        <f>SUMIFS(Resumo_Trocas!$D:$D,Resumo_Trocas!$A:$A,$C37,Resumo_Trocas!$F:$F,AH$18,Resumo_Trocas!$C:$C,"&gt;0")</f>
        <v>0</v>
      </c>
      <c r="AJ37" s="140">
        <f>SUMIFS(Resumo_Trocas!$C:$C,Resumo_Trocas!$A:$A,$C37,Resumo_Trocas!$F:$F,AJ$18,Resumo_Trocas!$C:$C,"&gt;0")</f>
        <v>0</v>
      </c>
      <c r="AK37" s="141">
        <f>SUMIFS(Resumo_Trocas!$D:$D,Resumo_Trocas!$A:$A,$C37,Resumo_Trocas!$F:$F,AJ$18,Resumo_Trocas!$C:$C,"&gt;0")</f>
        <v>0</v>
      </c>
      <c r="AL37" s="140">
        <f>SUMIFS(Resumo_Trocas!$C:$C,Resumo_Trocas!$A:$A,$C37,Resumo_Trocas!$F:$F,AL$18,Resumo_Trocas!$C:$C,"&gt;0")</f>
        <v>0</v>
      </c>
      <c r="AM37" s="141">
        <f>SUMIFS(Resumo_Trocas!$D:$D,Resumo_Trocas!$A:$A,$C37,Resumo_Trocas!$F:$F,AL$18,Resumo_Trocas!$C:$C,"&gt;0")</f>
        <v>0</v>
      </c>
      <c r="AN37" s="140">
        <f>SUMIFS(Resumo_Trocas!$C:$C,Resumo_Trocas!$A:$A,$C37,Resumo_Trocas!$F:$F,AN$18,Resumo_Trocas!$C:$C,"&gt;0")</f>
        <v>0</v>
      </c>
      <c r="AO37" s="141">
        <f>SUMIFS(Resumo_Trocas!$D:$D,Resumo_Trocas!$A:$A,$C37,Resumo_Trocas!$F:$F,AN$18,Resumo_Trocas!$C:$C,"&gt;0")</f>
        <v>0</v>
      </c>
      <c r="AP37" s="75"/>
      <c r="AQ37" s="75"/>
    </row>
    <row r="38" spans="2:43" ht="15" customHeight="1" outlineLevel="1" thickBot="1" x14ac:dyDescent="0.4">
      <c r="B38" s="76"/>
      <c r="C38" s="150" t="s">
        <v>3423</v>
      </c>
      <c r="D38" s="140">
        <f>SUMIFS(Resumo_Trocas!$C:$C,Resumo_Trocas!$A:$A,$C38,Resumo_Trocas!$F:$F,D$18,Resumo_Trocas!$C:$C,"&gt;0")</f>
        <v>0</v>
      </c>
      <c r="E38" s="141">
        <f>SUMIFS(Resumo_Trocas!$D:$D,Resumo_Trocas!$A:$A,$C38,Resumo_Trocas!$F:$F,D$18,Resumo_Trocas!$C:$C,"&gt;0")</f>
        <v>0</v>
      </c>
      <c r="F38" s="140">
        <f>SUMIFS(Resumo_Trocas!$C:$C,Resumo_Trocas!$A:$A,$C38,Resumo_Trocas!$F:$F,F$18,Resumo_Trocas!$C:$C,"&gt;0")</f>
        <v>0</v>
      </c>
      <c r="G38" s="141">
        <f>SUMIFS(Resumo_Trocas!$D:$D,Resumo_Trocas!$A:$A,$C38,Resumo_Trocas!$F:$F,F$18,Resumo_Trocas!$C:$C,"&gt;0")</f>
        <v>0</v>
      </c>
      <c r="H38" s="140">
        <f>SUMIFS(Resumo_Trocas!$C:$C,Resumo_Trocas!$A:$A,$C38,Resumo_Trocas!$F:$F,H$18,Resumo_Trocas!$C:$C,"&gt;0")</f>
        <v>0</v>
      </c>
      <c r="I38" s="141">
        <f>SUMIFS(Resumo_Trocas!$D:$D,Resumo_Trocas!$A:$A,$C38,Resumo_Trocas!$F:$F,H$18,Resumo_Trocas!$C:$C,"&gt;0")</f>
        <v>0</v>
      </c>
      <c r="J38" s="140">
        <f>SUMIFS(Resumo_Trocas!$C:$C,Resumo_Trocas!$A:$A,$C38,Resumo_Trocas!$F:$F,J$18,Resumo_Trocas!$C:$C,"&gt;0")</f>
        <v>0</v>
      </c>
      <c r="K38" s="141">
        <f>SUMIFS(Resumo_Trocas!$D:$D,Resumo_Trocas!$A:$A,$C38,Resumo_Trocas!$F:$F,J$18,Resumo_Trocas!$C:$C,"&gt;0")</f>
        <v>0</v>
      </c>
      <c r="L38" s="140">
        <f>SUMIFS(Resumo_Trocas!$C:$C,Resumo_Trocas!$A:$A,$C38,Resumo_Trocas!$F:$F,L$18,Resumo_Trocas!$C:$C,"&gt;0")</f>
        <v>0</v>
      </c>
      <c r="M38" s="141">
        <f>SUMIFS(Resumo_Trocas!$D:$D,Resumo_Trocas!$A:$A,$C38,Resumo_Trocas!$F:$F,L$18,Resumo_Trocas!$C:$C,"&gt;0")</f>
        <v>0</v>
      </c>
      <c r="N38" s="140">
        <f>SUMIFS(Resumo_Trocas!$C:$C,Resumo_Trocas!$A:$A,$C38,Resumo_Trocas!$F:$F,N$18,Resumo_Trocas!$C:$C,"&gt;0")</f>
        <v>0</v>
      </c>
      <c r="O38" s="141">
        <f>SUMIFS(Resumo_Trocas!$D:$D,Resumo_Trocas!$A:$A,$C38,Resumo_Trocas!$F:$F,N$18,Resumo_Trocas!$C:$C,"&gt;0")</f>
        <v>0</v>
      </c>
      <c r="P38" s="140">
        <f>SUMIFS(Resumo_Trocas!$C:$C,Resumo_Trocas!$A:$A,$C38,Resumo_Trocas!$F:$F,P$18,Resumo_Trocas!$C:$C,"&gt;0")</f>
        <v>0</v>
      </c>
      <c r="Q38" s="141">
        <f>SUMIFS(Resumo_Trocas!$D:$D,Resumo_Trocas!$A:$A,$C38,Resumo_Trocas!$F:$F,P$18,Resumo_Trocas!$C:$C,"&gt;0")</f>
        <v>0</v>
      </c>
      <c r="R38" s="140">
        <f>SUMIFS(Resumo_Trocas!$C:$C,Resumo_Trocas!$A:$A,$C38,Resumo_Trocas!$F:$F,R$18,Resumo_Trocas!$C:$C,"&gt;0")</f>
        <v>0</v>
      </c>
      <c r="S38" s="141">
        <f>SUMIFS(Resumo_Trocas!$D:$D,Resumo_Trocas!$A:$A,$C38,Resumo_Trocas!$F:$F,R$18,Resumo_Trocas!$C:$C,"&gt;0")</f>
        <v>0</v>
      </c>
      <c r="T38" s="140">
        <f>SUMIFS(Resumo_Trocas!$C:$C,Resumo_Trocas!$A:$A,$C38,Resumo_Trocas!$F:$F,T$18,Resumo_Trocas!$C:$C,"&gt;0")</f>
        <v>0</v>
      </c>
      <c r="U38" s="141">
        <f>SUMIFS(Resumo_Trocas!$D:$D,Resumo_Trocas!$A:$A,$C38,Resumo_Trocas!$F:$F,T$18,Resumo_Trocas!$C:$C,"&gt;0")</f>
        <v>0</v>
      </c>
      <c r="V38" s="140">
        <f>SUMIFS(Resumo_Trocas!$C:$C,Resumo_Trocas!$A:$A,$C38,Resumo_Trocas!$F:$F,V$18,Resumo_Trocas!$C:$C,"&gt;0")</f>
        <v>0</v>
      </c>
      <c r="W38" s="141">
        <f>SUMIFS(Resumo_Trocas!$D:$D,Resumo_Trocas!$A:$A,$C38,Resumo_Trocas!$F:$F,V$18,Resumo_Trocas!$C:$C,"&gt;0")</f>
        <v>0</v>
      </c>
      <c r="X38" s="140">
        <f>SUMIFS(Resumo_Trocas!$C:$C,Resumo_Trocas!$A:$A,$C38,Resumo_Trocas!$F:$F,X$18,Resumo_Trocas!$C:$C,"&gt;0")</f>
        <v>0</v>
      </c>
      <c r="Y38" s="141">
        <f>SUMIFS(Resumo_Trocas!$D:$D,Resumo_Trocas!$A:$A,$C38,Resumo_Trocas!$F:$F,X$18,Resumo_Trocas!$C:$C,"&gt;0")</f>
        <v>0</v>
      </c>
      <c r="Z38" s="140">
        <f>SUMIFS(Resumo_Trocas!$C:$C,Resumo_Trocas!$A:$A,$C38,Resumo_Trocas!$F:$F,Z$18,Resumo_Trocas!$C:$C,"&gt;0")</f>
        <v>0</v>
      </c>
      <c r="AA38" s="141">
        <f>SUMIFS(Resumo_Trocas!$D:$D,Resumo_Trocas!$A:$A,$C38,Resumo_Trocas!$F:$F,Z$18,Resumo_Trocas!$C:$C,"&gt;0")</f>
        <v>0</v>
      </c>
      <c r="AB38" s="140">
        <f>SUMIFS(Resumo_Trocas!$C:$C,Resumo_Trocas!$A:$A,$C38,Resumo_Trocas!$F:$F,AB$18,Resumo_Trocas!$C:$C,"&gt;0")</f>
        <v>0</v>
      </c>
      <c r="AC38" s="141">
        <f>SUMIFS(Resumo_Trocas!$D:$D,Resumo_Trocas!$A:$A,$C38,Resumo_Trocas!$F:$F,AB$18,Resumo_Trocas!$C:$C,"&gt;0")</f>
        <v>0</v>
      </c>
      <c r="AD38" s="140">
        <f>SUMIFS(Resumo_Trocas!$C:$C,Resumo_Trocas!$A:$A,$C38,Resumo_Trocas!$F:$F,AD$18,Resumo_Trocas!$C:$C,"&gt;0")</f>
        <v>0</v>
      </c>
      <c r="AE38" s="141">
        <f>SUMIFS(Resumo_Trocas!$D:$D,Resumo_Trocas!$A:$A,$C38,Resumo_Trocas!$F:$F,AD$18,Resumo_Trocas!$C:$C,"&gt;0")</f>
        <v>0</v>
      </c>
      <c r="AF38" s="140">
        <f>SUMIFS(Resumo_Trocas!$C:$C,Resumo_Trocas!$A:$A,$C38,Resumo_Trocas!$F:$F,AF$18,Resumo_Trocas!$C:$C,"&gt;0")</f>
        <v>0</v>
      </c>
      <c r="AG38" s="141">
        <f>SUMIFS(Resumo_Trocas!$D:$D,Resumo_Trocas!$A:$A,$C38,Resumo_Trocas!$F:$F,AF$18,Resumo_Trocas!$C:$C,"&gt;0")</f>
        <v>0</v>
      </c>
      <c r="AH38" s="140">
        <f>SUMIFS(Resumo_Trocas!$C:$C,Resumo_Trocas!$A:$A,$C38,Resumo_Trocas!$F:$F,AH$18,Resumo_Trocas!$C:$C,"&gt;0")</f>
        <v>0</v>
      </c>
      <c r="AI38" s="141">
        <f>SUMIFS(Resumo_Trocas!$D:$D,Resumo_Trocas!$A:$A,$C38,Resumo_Trocas!$F:$F,AH$18,Resumo_Trocas!$C:$C,"&gt;0")</f>
        <v>0</v>
      </c>
      <c r="AJ38" s="140">
        <f>SUMIFS(Resumo_Trocas!$C:$C,Resumo_Trocas!$A:$A,$C38,Resumo_Trocas!$F:$F,AJ$18,Resumo_Trocas!$C:$C,"&gt;0")</f>
        <v>0</v>
      </c>
      <c r="AK38" s="141">
        <f>SUMIFS(Resumo_Trocas!$D:$D,Resumo_Trocas!$A:$A,$C38,Resumo_Trocas!$F:$F,AJ$18,Resumo_Trocas!$C:$C,"&gt;0")</f>
        <v>0</v>
      </c>
      <c r="AL38" s="140">
        <f>SUMIFS(Resumo_Trocas!$C:$C,Resumo_Trocas!$A:$A,$C38,Resumo_Trocas!$F:$F,AL$18,Resumo_Trocas!$C:$C,"&gt;0")</f>
        <v>0</v>
      </c>
      <c r="AM38" s="141">
        <f>SUMIFS(Resumo_Trocas!$D:$D,Resumo_Trocas!$A:$A,$C38,Resumo_Trocas!$F:$F,AL$18,Resumo_Trocas!$C:$C,"&gt;0")</f>
        <v>0</v>
      </c>
      <c r="AN38" s="140">
        <f>SUMIFS(Resumo_Trocas!$C:$C,Resumo_Trocas!$A:$A,$C38,Resumo_Trocas!$F:$F,AN$18,Resumo_Trocas!$C:$C,"&gt;0")</f>
        <v>0</v>
      </c>
      <c r="AO38" s="141">
        <f>SUMIFS(Resumo_Trocas!$D:$D,Resumo_Trocas!$A:$A,$C38,Resumo_Trocas!$F:$F,AN$18,Resumo_Trocas!$C:$C,"&gt;0")</f>
        <v>0</v>
      </c>
      <c r="AP38" s="75"/>
      <c r="AQ38" s="75"/>
    </row>
    <row r="39" spans="2:43" ht="15" customHeight="1" outlineLevel="1" thickBot="1" x14ac:dyDescent="0.4">
      <c r="B39" s="76"/>
      <c r="C39" s="150" t="s">
        <v>3424</v>
      </c>
      <c r="D39" s="140">
        <f>SUMIFS(Resumo_Trocas!$C:$C,Resumo_Trocas!$A:$A,$C39,Resumo_Trocas!$F:$F,D$18,Resumo_Trocas!$C:$C,"&gt;0")</f>
        <v>0</v>
      </c>
      <c r="E39" s="141">
        <f>SUMIFS(Resumo_Trocas!$D:$D,Resumo_Trocas!$A:$A,$C39,Resumo_Trocas!$F:$F,D$18,Resumo_Trocas!$C:$C,"&gt;0")</f>
        <v>0</v>
      </c>
      <c r="F39" s="140">
        <f>SUMIFS(Resumo_Trocas!$C:$C,Resumo_Trocas!$A:$A,$C39,Resumo_Trocas!$F:$F,F$18,Resumo_Trocas!$C:$C,"&gt;0")</f>
        <v>0</v>
      </c>
      <c r="G39" s="141">
        <f>SUMIFS(Resumo_Trocas!$D:$D,Resumo_Trocas!$A:$A,$C39,Resumo_Trocas!$F:$F,F$18,Resumo_Trocas!$C:$C,"&gt;0")</f>
        <v>0</v>
      </c>
      <c r="H39" s="140">
        <f>SUMIFS(Resumo_Trocas!$C:$C,Resumo_Trocas!$A:$A,$C39,Resumo_Trocas!$F:$F,H$18,Resumo_Trocas!$C:$C,"&gt;0")</f>
        <v>0</v>
      </c>
      <c r="I39" s="141">
        <f>SUMIFS(Resumo_Trocas!$D:$D,Resumo_Trocas!$A:$A,$C39,Resumo_Trocas!$F:$F,H$18,Resumo_Trocas!$C:$C,"&gt;0")</f>
        <v>0</v>
      </c>
      <c r="J39" s="140">
        <f>SUMIFS(Resumo_Trocas!$C:$C,Resumo_Trocas!$A:$A,$C39,Resumo_Trocas!$F:$F,J$18,Resumo_Trocas!$C:$C,"&gt;0")</f>
        <v>0</v>
      </c>
      <c r="K39" s="141">
        <f>SUMIFS(Resumo_Trocas!$D:$D,Resumo_Trocas!$A:$A,$C39,Resumo_Trocas!$F:$F,J$18,Resumo_Trocas!$C:$C,"&gt;0")</f>
        <v>0</v>
      </c>
      <c r="L39" s="140">
        <f>SUMIFS(Resumo_Trocas!$C:$C,Resumo_Trocas!$A:$A,$C39,Resumo_Trocas!$F:$F,L$18,Resumo_Trocas!$C:$C,"&gt;0")</f>
        <v>0</v>
      </c>
      <c r="M39" s="141">
        <f>SUMIFS(Resumo_Trocas!$D:$D,Resumo_Trocas!$A:$A,$C39,Resumo_Trocas!$F:$F,L$18,Resumo_Trocas!$C:$C,"&gt;0")</f>
        <v>0</v>
      </c>
      <c r="N39" s="140">
        <f>SUMIFS(Resumo_Trocas!$C:$C,Resumo_Trocas!$A:$A,$C39,Resumo_Trocas!$F:$F,N$18,Resumo_Trocas!$C:$C,"&gt;0")</f>
        <v>0</v>
      </c>
      <c r="O39" s="141">
        <f>SUMIFS(Resumo_Trocas!$D:$D,Resumo_Trocas!$A:$A,$C39,Resumo_Trocas!$F:$F,N$18,Resumo_Trocas!$C:$C,"&gt;0")</f>
        <v>0</v>
      </c>
      <c r="P39" s="140">
        <f>SUMIFS(Resumo_Trocas!$C:$C,Resumo_Trocas!$A:$A,$C39,Resumo_Trocas!$F:$F,P$18,Resumo_Trocas!$C:$C,"&gt;0")</f>
        <v>0</v>
      </c>
      <c r="Q39" s="141">
        <f>SUMIFS(Resumo_Trocas!$D:$D,Resumo_Trocas!$A:$A,$C39,Resumo_Trocas!$F:$F,P$18,Resumo_Trocas!$C:$C,"&gt;0")</f>
        <v>0</v>
      </c>
      <c r="R39" s="140">
        <f>SUMIFS(Resumo_Trocas!$C:$C,Resumo_Trocas!$A:$A,$C39,Resumo_Trocas!$F:$F,R$18,Resumo_Trocas!$C:$C,"&gt;0")</f>
        <v>0</v>
      </c>
      <c r="S39" s="141">
        <f>SUMIFS(Resumo_Trocas!$D:$D,Resumo_Trocas!$A:$A,$C39,Resumo_Trocas!$F:$F,R$18,Resumo_Trocas!$C:$C,"&gt;0")</f>
        <v>0</v>
      </c>
      <c r="T39" s="140">
        <f>SUMIFS(Resumo_Trocas!$C:$C,Resumo_Trocas!$A:$A,$C39,Resumo_Trocas!$F:$F,T$18,Resumo_Trocas!$C:$C,"&gt;0")</f>
        <v>0</v>
      </c>
      <c r="U39" s="141">
        <f>SUMIFS(Resumo_Trocas!$D:$D,Resumo_Trocas!$A:$A,$C39,Resumo_Trocas!$F:$F,T$18,Resumo_Trocas!$C:$C,"&gt;0")</f>
        <v>0</v>
      </c>
      <c r="V39" s="140">
        <f>SUMIFS(Resumo_Trocas!$C:$C,Resumo_Trocas!$A:$A,$C39,Resumo_Trocas!$F:$F,V$18,Resumo_Trocas!$C:$C,"&gt;0")</f>
        <v>0</v>
      </c>
      <c r="W39" s="141">
        <f>SUMIFS(Resumo_Trocas!$D:$D,Resumo_Trocas!$A:$A,$C39,Resumo_Trocas!$F:$F,V$18,Resumo_Trocas!$C:$C,"&gt;0")</f>
        <v>0</v>
      </c>
      <c r="X39" s="140">
        <f>SUMIFS(Resumo_Trocas!$C:$C,Resumo_Trocas!$A:$A,$C39,Resumo_Trocas!$F:$F,X$18,Resumo_Trocas!$C:$C,"&gt;0")</f>
        <v>0</v>
      </c>
      <c r="Y39" s="141">
        <f>SUMIFS(Resumo_Trocas!$D:$D,Resumo_Trocas!$A:$A,$C39,Resumo_Trocas!$F:$F,X$18,Resumo_Trocas!$C:$C,"&gt;0")</f>
        <v>0</v>
      </c>
      <c r="Z39" s="140">
        <f>SUMIFS(Resumo_Trocas!$C:$C,Resumo_Trocas!$A:$A,$C39,Resumo_Trocas!$F:$F,Z$18,Resumo_Trocas!$C:$C,"&gt;0")</f>
        <v>0</v>
      </c>
      <c r="AA39" s="141">
        <f>SUMIFS(Resumo_Trocas!$D:$D,Resumo_Trocas!$A:$A,$C39,Resumo_Trocas!$F:$F,Z$18,Resumo_Trocas!$C:$C,"&gt;0")</f>
        <v>0</v>
      </c>
      <c r="AB39" s="140">
        <f>SUMIFS(Resumo_Trocas!$C:$C,Resumo_Trocas!$A:$A,$C39,Resumo_Trocas!$F:$F,AB$18,Resumo_Trocas!$C:$C,"&gt;0")</f>
        <v>0</v>
      </c>
      <c r="AC39" s="141">
        <f>SUMIFS(Resumo_Trocas!$D:$D,Resumo_Trocas!$A:$A,$C39,Resumo_Trocas!$F:$F,AB$18,Resumo_Trocas!$C:$C,"&gt;0")</f>
        <v>0</v>
      </c>
      <c r="AD39" s="140">
        <f>SUMIFS(Resumo_Trocas!$C:$C,Resumo_Trocas!$A:$A,$C39,Resumo_Trocas!$F:$F,AD$18,Resumo_Trocas!$C:$C,"&gt;0")</f>
        <v>0</v>
      </c>
      <c r="AE39" s="141">
        <f>SUMIFS(Resumo_Trocas!$D:$D,Resumo_Trocas!$A:$A,$C39,Resumo_Trocas!$F:$F,AD$18,Resumo_Trocas!$C:$C,"&gt;0")</f>
        <v>0</v>
      </c>
      <c r="AF39" s="140">
        <f>SUMIFS(Resumo_Trocas!$C:$C,Resumo_Trocas!$A:$A,$C39,Resumo_Trocas!$F:$F,AF$18,Resumo_Trocas!$C:$C,"&gt;0")</f>
        <v>0</v>
      </c>
      <c r="AG39" s="141">
        <f>SUMIFS(Resumo_Trocas!$D:$D,Resumo_Trocas!$A:$A,$C39,Resumo_Trocas!$F:$F,AF$18,Resumo_Trocas!$C:$C,"&gt;0")</f>
        <v>0</v>
      </c>
      <c r="AH39" s="140">
        <f>SUMIFS(Resumo_Trocas!$C:$C,Resumo_Trocas!$A:$A,$C39,Resumo_Trocas!$F:$F,AH$18,Resumo_Trocas!$C:$C,"&gt;0")</f>
        <v>0</v>
      </c>
      <c r="AI39" s="141">
        <f>SUMIFS(Resumo_Trocas!$D:$D,Resumo_Trocas!$A:$A,$C39,Resumo_Trocas!$F:$F,AH$18,Resumo_Trocas!$C:$C,"&gt;0")</f>
        <v>0</v>
      </c>
      <c r="AJ39" s="140">
        <f>SUMIFS(Resumo_Trocas!$C:$C,Resumo_Trocas!$A:$A,$C39,Resumo_Trocas!$F:$F,AJ$18,Resumo_Trocas!$C:$C,"&gt;0")</f>
        <v>0</v>
      </c>
      <c r="AK39" s="141">
        <f>SUMIFS(Resumo_Trocas!$D:$D,Resumo_Trocas!$A:$A,$C39,Resumo_Trocas!$F:$F,AJ$18,Resumo_Trocas!$C:$C,"&gt;0")</f>
        <v>0</v>
      </c>
      <c r="AL39" s="140">
        <f>SUMIFS(Resumo_Trocas!$C:$C,Resumo_Trocas!$A:$A,$C39,Resumo_Trocas!$F:$F,AL$18,Resumo_Trocas!$C:$C,"&gt;0")</f>
        <v>0</v>
      </c>
      <c r="AM39" s="141">
        <f>SUMIFS(Resumo_Trocas!$D:$D,Resumo_Trocas!$A:$A,$C39,Resumo_Trocas!$F:$F,AL$18,Resumo_Trocas!$C:$C,"&gt;0")</f>
        <v>0</v>
      </c>
      <c r="AN39" s="140">
        <f>SUMIFS(Resumo_Trocas!$C:$C,Resumo_Trocas!$A:$A,$C39,Resumo_Trocas!$F:$F,AN$18,Resumo_Trocas!$C:$C,"&gt;0")</f>
        <v>0</v>
      </c>
      <c r="AO39" s="141">
        <f>SUMIFS(Resumo_Trocas!$D:$D,Resumo_Trocas!$A:$A,$C39,Resumo_Trocas!$F:$F,AN$18,Resumo_Trocas!$C:$C,"&gt;0")</f>
        <v>0</v>
      </c>
      <c r="AP39" s="75"/>
      <c r="AQ39" s="75"/>
    </row>
    <row r="40" spans="2:43" ht="15" customHeight="1" outlineLevel="1" thickBot="1" x14ac:dyDescent="0.4">
      <c r="B40" s="76"/>
      <c r="C40" s="150" t="s">
        <v>3425</v>
      </c>
      <c r="D40" s="140">
        <f>SUMIFS(Resumo_Trocas!$C:$C,Resumo_Trocas!$A:$A,$C40,Resumo_Trocas!$F:$F,D$18,Resumo_Trocas!$C:$C,"&gt;0")</f>
        <v>0</v>
      </c>
      <c r="E40" s="141">
        <f>SUMIFS(Resumo_Trocas!$D:$D,Resumo_Trocas!$A:$A,$C40,Resumo_Trocas!$F:$F,D$18,Resumo_Trocas!$C:$C,"&gt;0")</f>
        <v>0</v>
      </c>
      <c r="F40" s="140">
        <f>SUMIFS(Resumo_Trocas!$C:$C,Resumo_Trocas!$A:$A,$C40,Resumo_Trocas!$F:$F,F$18,Resumo_Trocas!$C:$C,"&gt;0")</f>
        <v>0</v>
      </c>
      <c r="G40" s="141">
        <f>SUMIFS(Resumo_Trocas!$D:$D,Resumo_Trocas!$A:$A,$C40,Resumo_Trocas!$F:$F,F$18,Resumo_Trocas!$C:$C,"&gt;0")</f>
        <v>0</v>
      </c>
      <c r="H40" s="140">
        <f>SUMIFS(Resumo_Trocas!$C:$C,Resumo_Trocas!$A:$A,$C40,Resumo_Trocas!$F:$F,H$18,Resumo_Trocas!$C:$C,"&gt;0")</f>
        <v>0</v>
      </c>
      <c r="I40" s="141">
        <f>SUMIFS(Resumo_Trocas!$D:$D,Resumo_Trocas!$A:$A,$C40,Resumo_Trocas!$F:$F,H$18,Resumo_Trocas!$C:$C,"&gt;0")</f>
        <v>0</v>
      </c>
      <c r="J40" s="140">
        <f>SUMIFS(Resumo_Trocas!$C:$C,Resumo_Trocas!$A:$A,$C40,Resumo_Trocas!$F:$F,J$18,Resumo_Trocas!$C:$C,"&gt;0")</f>
        <v>0</v>
      </c>
      <c r="K40" s="141">
        <f>SUMIFS(Resumo_Trocas!$D:$D,Resumo_Trocas!$A:$A,$C40,Resumo_Trocas!$F:$F,J$18,Resumo_Trocas!$C:$C,"&gt;0")</f>
        <v>0</v>
      </c>
      <c r="L40" s="140">
        <f>SUMIFS(Resumo_Trocas!$C:$C,Resumo_Trocas!$A:$A,$C40,Resumo_Trocas!$F:$F,L$18,Resumo_Trocas!$C:$C,"&gt;0")</f>
        <v>0</v>
      </c>
      <c r="M40" s="141">
        <f>SUMIFS(Resumo_Trocas!$D:$D,Resumo_Trocas!$A:$A,$C40,Resumo_Trocas!$F:$F,L$18,Resumo_Trocas!$C:$C,"&gt;0")</f>
        <v>0</v>
      </c>
      <c r="N40" s="140">
        <f>SUMIFS(Resumo_Trocas!$C:$C,Resumo_Trocas!$A:$A,$C40,Resumo_Trocas!$F:$F,N$18,Resumo_Trocas!$C:$C,"&gt;0")</f>
        <v>0</v>
      </c>
      <c r="O40" s="141">
        <f>SUMIFS(Resumo_Trocas!$D:$D,Resumo_Trocas!$A:$A,$C40,Resumo_Trocas!$F:$F,N$18,Resumo_Trocas!$C:$C,"&gt;0")</f>
        <v>0</v>
      </c>
      <c r="P40" s="140">
        <f>SUMIFS(Resumo_Trocas!$C:$C,Resumo_Trocas!$A:$A,$C40,Resumo_Trocas!$F:$F,P$18,Resumo_Trocas!$C:$C,"&gt;0")</f>
        <v>0</v>
      </c>
      <c r="Q40" s="141">
        <f>SUMIFS(Resumo_Trocas!$D:$D,Resumo_Trocas!$A:$A,$C40,Resumo_Trocas!$F:$F,P$18,Resumo_Trocas!$C:$C,"&gt;0")</f>
        <v>0</v>
      </c>
      <c r="R40" s="140">
        <f>SUMIFS(Resumo_Trocas!$C:$C,Resumo_Trocas!$A:$A,$C40,Resumo_Trocas!$F:$F,R$18,Resumo_Trocas!$C:$C,"&gt;0")</f>
        <v>0</v>
      </c>
      <c r="S40" s="141">
        <f>SUMIFS(Resumo_Trocas!$D:$D,Resumo_Trocas!$A:$A,$C40,Resumo_Trocas!$F:$F,R$18,Resumo_Trocas!$C:$C,"&gt;0")</f>
        <v>0</v>
      </c>
      <c r="T40" s="140">
        <f>SUMIFS(Resumo_Trocas!$C:$C,Resumo_Trocas!$A:$A,$C40,Resumo_Trocas!$F:$F,T$18,Resumo_Trocas!$C:$C,"&gt;0")</f>
        <v>0</v>
      </c>
      <c r="U40" s="141">
        <f>SUMIFS(Resumo_Trocas!$D:$D,Resumo_Trocas!$A:$A,$C40,Resumo_Trocas!$F:$F,T$18,Resumo_Trocas!$C:$C,"&gt;0")</f>
        <v>0</v>
      </c>
      <c r="V40" s="140">
        <f>SUMIFS(Resumo_Trocas!$C:$C,Resumo_Trocas!$A:$A,$C40,Resumo_Trocas!$F:$F,V$18,Resumo_Trocas!$C:$C,"&gt;0")</f>
        <v>0</v>
      </c>
      <c r="W40" s="141">
        <f>SUMIFS(Resumo_Trocas!$D:$D,Resumo_Trocas!$A:$A,$C40,Resumo_Trocas!$F:$F,V$18,Resumo_Trocas!$C:$C,"&gt;0")</f>
        <v>0</v>
      </c>
      <c r="X40" s="140">
        <f>SUMIFS(Resumo_Trocas!$C:$C,Resumo_Trocas!$A:$A,$C40,Resumo_Trocas!$F:$F,X$18,Resumo_Trocas!$C:$C,"&gt;0")</f>
        <v>0</v>
      </c>
      <c r="Y40" s="141">
        <f>SUMIFS(Resumo_Trocas!$D:$D,Resumo_Trocas!$A:$A,$C40,Resumo_Trocas!$F:$F,X$18,Resumo_Trocas!$C:$C,"&gt;0")</f>
        <v>0</v>
      </c>
      <c r="Z40" s="140">
        <f>SUMIFS(Resumo_Trocas!$C:$C,Resumo_Trocas!$A:$A,$C40,Resumo_Trocas!$F:$F,Z$18,Resumo_Trocas!$C:$C,"&gt;0")</f>
        <v>0</v>
      </c>
      <c r="AA40" s="141">
        <f>SUMIFS(Resumo_Trocas!$D:$D,Resumo_Trocas!$A:$A,$C40,Resumo_Trocas!$F:$F,Z$18,Resumo_Trocas!$C:$C,"&gt;0")</f>
        <v>0</v>
      </c>
      <c r="AB40" s="140">
        <f>SUMIFS(Resumo_Trocas!$C:$C,Resumo_Trocas!$A:$A,$C40,Resumo_Trocas!$F:$F,AB$18,Resumo_Trocas!$C:$C,"&gt;0")</f>
        <v>0</v>
      </c>
      <c r="AC40" s="141">
        <f>SUMIFS(Resumo_Trocas!$D:$D,Resumo_Trocas!$A:$A,$C40,Resumo_Trocas!$F:$F,AB$18,Resumo_Trocas!$C:$C,"&gt;0")</f>
        <v>0</v>
      </c>
      <c r="AD40" s="140">
        <f>SUMIFS(Resumo_Trocas!$C:$C,Resumo_Trocas!$A:$A,$C40,Resumo_Trocas!$F:$F,AD$18,Resumo_Trocas!$C:$C,"&gt;0")</f>
        <v>0</v>
      </c>
      <c r="AE40" s="141">
        <f>SUMIFS(Resumo_Trocas!$D:$D,Resumo_Trocas!$A:$A,$C40,Resumo_Trocas!$F:$F,AD$18,Resumo_Trocas!$C:$C,"&gt;0")</f>
        <v>0</v>
      </c>
      <c r="AF40" s="140">
        <f>SUMIFS(Resumo_Trocas!$C:$C,Resumo_Trocas!$A:$A,$C40,Resumo_Trocas!$F:$F,AF$18,Resumo_Trocas!$C:$C,"&gt;0")</f>
        <v>0</v>
      </c>
      <c r="AG40" s="141">
        <f>SUMIFS(Resumo_Trocas!$D:$D,Resumo_Trocas!$A:$A,$C40,Resumo_Trocas!$F:$F,AF$18,Resumo_Trocas!$C:$C,"&gt;0")</f>
        <v>0</v>
      </c>
      <c r="AH40" s="140">
        <f>SUMIFS(Resumo_Trocas!$C:$C,Resumo_Trocas!$A:$A,$C40,Resumo_Trocas!$F:$F,AH$18,Resumo_Trocas!$C:$C,"&gt;0")</f>
        <v>0</v>
      </c>
      <c r="AI40" s="141">
        <f>SUMIFS(Resumo_Trocas!$D:$D,Resumo_Trocas!$A:$A,$C40,Resumo_Trocas!$F:$F,AH$18,Resumo_Trocas!$C:$C,"&gt;0")</f>
        <v>0</v>
      </c>
      <c r="AJ40" s="140">
        <f>SUMIFS(Resumo_Trocas!$C:$C,Resumo_Trocas!$A:$A,$C40,Resumo_Trocas!$F:$F,AJ$18,Resumo_Trocas!$C:$C,"&gt;0")</f>
        <v>0</v>
      </c>
      <c r="AK40" s="141">
        <f>SUMIFS(Resumo_Trocas!$D:$D,Resumo_Trocas!$A:$A,$C40,Resumo_Trocas!$F:$F,AJ$18,Resumo_Trocas!$C:$C,"&gt;0")</f>
        <v>0</v>
      </c>
      <c r="AL40" s="140">
        <f>SUMIFS(Resumo_Trocas!$C:$C,Resumo_Trocas!$A:$A,$C40,Resumo_Trocas!$F:$F,AL$18,Resumo_Trocas!$C:$C,"&gt;0")</f>
        <v>0</v>
      </c>
      <c r="AM40" s="141">
        <f>SUMIFS(Resumo_Trocas!$D:$D,Resumo_Trocas!$A:$A,$C40,Resumo_Trocas!$F:$F,AL$18,Resumo_Trocas!$C:$C,"&gt;0")</f>
        <v>0</v>
      </c>
      <c r="AN40" s="140">
        <f>SUMIFS(Resumo_Trocas!$C:$C,Resumo_Trocas!$A:$A,$C40,Resumo_Trocas!$F:$F,AN$18,Resumo_Trocas!$C:$C,"&gt;0")</f>
        <v>0</v>
      </c>
      <c r="AO40" s="141">
        <f>SUMIFS(Resumo_Trocas!$D:$D,Resumo_Trocas!$A:$A,$C40,Resumo_Trocas!$F:$F,AN$18,Resumo_Trocas!$C:$C,"&gt;0")</f>
        <v>0</v>
      </c>
      <c r="AP40" s="75"/>
      <c r="AQ40" s="75"/>
    </row>
    <row r="41" spans="2:43" ht="15" customHeight="1" outlineLevel="1" thickBot="1" x14ac:dyDescent="0.4">
      <c r="B41" s="76"/>
      <c r="C41" s="150" t="s">
        <v>3426</v>
      </c>
      <c r="D41" s="140">
        <f>SUMIFS(Resumo_Trocas!$C:$C,Resumo_Trocas!$A:$A,$C41,Resumo_Trocas!$F:$F,D$18,Resumo_Trocas!$C:$C,"&gt;0")</f>
        <v>0</v>
      </c>
      <c r="E41" s="141">
        <f>SUMIFS(Resumo_Trocas!$D:$D,Resumo_Trocas!$A:$A,$C41,Resumo_Trocas!$F:$F,D$18,Resumo_Trocas!$C:$C,"&gt;0")</f>
        <v>0</v>
      </c>
      <c r="F41" s="140">
        <f>SUMIFS(Resumo_Trocas!$C:$C,Resumo_Trocas!$A:$A,$C41,Resumo_Trocas!$F:$F,F$18,Resumo_Trocas!$C:$C,"&gt;0")</f>
        <v>0</v>
      </c>
      <c r="G41" s="141">
        <f>SUMIFS(Resumo_Trocas!$D:$D,Resumo_Trocas!$A:$A,$C41,Resumo_Trocas!$F:$F,F$18,Resumo_Trocas!$C:$C,"&gt;0")</f>
        <v>0</v>
      </c>
      <c r="H41" s="140">
        <f>SUMIFS(Resumo_Trocas!$C:$C,Resumo_Trocas!$A:$A,$C41,Resumo_Trocas!$F:$F,H$18,Resumo_Trocas!$C:$C,"&gt;0")</f>
        <v>0</v>
      </c>
      <c r="I41" s="141">
        <f>SUMIFS(Resumo_Trocas!$D:$D,Resumo_Trocas!$A:$A,$C41,Resumo_Trocas!$F:$F,H$18,Resumo_Trocas!$C:$C,"&gt;0")</f>
        <v>0</v>
      </c>
      <c r="J41" s="140">
        <f>SUMIFS(Resumo_Trocas!$C:$C,Resumo_Trocas!$A:$A,$C41,Resumo_Trocas!$F:$F,J$18,Resumo_Trocas!$C:$C,"&gt;0")</f>
        <v>0</v>
      </c>
      <c r="K41" s="141">
        <f>SUMIFS(Resumo_Trocas!$D:$D,Resumo_Trocas!$A:$A,$C41,Resumo_Trocas!$F:$F,J$18,Resumo_Trocas!$C:$C,"&gt;0")</f>
        <v>0</v>
      </c>
      <c r="L41" s="140">
        <f>SUMIFS(Resumo_Trocas!$C:$C,Resumo_Trocas!$A:$A,$C41,Resumo_Trocas!$F:$F,L$18,Resumo_Trocas!$C:$C,"&gt;0")</f>
        <v>0</v>
      </c>
      <c r="M41" s="141">
        <f>SUMIFS(Resumo_Trocas!$D:$D,Resumo_Trocas!$A:$A,$C41,Resumo_Trocas!$F:$F,L$18,Resumo_Trocas!$C:$C,"&gt;0")</f>
        <v>0</v>
      </c>
      <c r="N41" s="140">
        <f>SUMIFS(Resumo_Trocas!$C:$C,Resumo_Trocas!$A:$A,$C41,Resumo_Trocas!$F:$F,N$18,Resumo_Trocas!$C:$C,"&gt;0")</f>
        <v>0</v>
      </c>
      <c r="O41" s="141">
        <f>SUMIFS(Resumo_Trocas!$D:$D,Resumo_Trocas!$A:$A,$C41,Resumo_Trocas!$F:$F,N$18,Resumo_Trocas!$C:$C,"&gt;0")</f>
        <v>0</v>
      </c>
      <c r="P41" s="140">
        <f>SUMIFS(Resumo_Trocas!$C:$C,Resumo_Trocas!$A:$A,$C41,Resumo_Trocas!$F:$F,P$18,Resumo_Trocas!$C:$C,"&gt;0")</f>
        <v>0</v>
      </c>
      <c r="Q41" s="141">
        <f>SUMIFS(Resumo_Trocas!$D:$D,Resumo_Trocas!$A:$A,$C41,Resumo_Trocas!$F:$F,P$18,Resumo_Trocas!$C:$C,"&gt;0")</f>
        <v>0</v>
      </c>
      <c r="R41" s="140">
        <f>SUMIFS(Resumo_Trocas!$C:$C,Resumo_Trocas!$A:$A,$C41,Resumo_Trocas!$F:$F,R$18,Resumo_Trocas!$C:$C,"&gt;0")</f>
        <v>0</v>
      </c>
      <c r="S41" s="141">
        <f>SUMIFS(Resumo_Trocas!$D:$D,Resumo_Trocas!$A:$A,$C41,Resumo_Trocas!$F:$F,R$18,Resumo_Trocas!$C:$C,"&gt;0")</f>
        <v>0</v>
      </c>
      <c r="T41" s="140">
        <f>SUMIFS(Resumo_Trocas!$C:$C,Resumo_Trocas!$A:$A,$C41,Resumo_Trocas!$F:$F,T$18,Resumo_Trocas!$C:$C,"&gt;0")</f>
        <v>0</v>
      </c>
      <c r="U41" s="141">
        <f>SUMIFS(Resumo_Trocas!$D:$D,Resumo_Trocas!$A:$A,$C41,Resumo_Trocas!$F:$F,T$18,Resumo_Trocas!$C:$C,"&gt;0")</f>
        <v>0</v>
      </c>
      <c r="V41" s="140">
        <f>SUMIFS(Resumo_Trocas!$C:$C,Resumo_Trocas!$A:$A,$C41,Resumo_Trocas!$F:$F,V$18,Resumo_Trocas!$C:$C,"&gt;0")</f>
        <v>0</v>
      </c>
      <c r="W41" s="141">
        <f>SUMIFS(Resumo_Trocas!$D:$D,Resumo_Trocas!$A:$A,$C41,Resumo_Trocas!$F:$F,V$18,Resumo_Trocas!$C:$C,"&gt;0")</f>
        <v>0</v>
      </c>
      <c r="X41" s="140">
        <f>SUMIFS(Resumo_Trocas!$C:$C,Resumo_Trocas!$A:$A,$C41,Resumo_Trocas!$F:$F,X$18,Resumo_Trocas!$C:$C,"&gt;0")</f>
        <v>0</v>
      </c>
      <c r="Y41" s="141">
        <f>SUMIFS(Resumo_Trocas!$D:$D,Resumo_Trocas!$A:$A,$C41,Resumo_Trocas!$F:$F,X$18,Resumo_Trocas!$C:$C,"&gt;0")</f>
        <v>0</v>
      </c>
      <c r="Z41" s="140">
        <f>SUMIFS(Resumo_Trocas!$C:$C,Resumo_Trocas!$A:$A,$C41,Resumo_Trocas!$F:$F,Z$18,Resumo_Trocas!$C:$C,"&gt;0")</f>
        <v>0</v>
      </c>
      <c r="AA41" s="141">
        <f>SUMIFS(Resumo_Trocas!$D:$D,Resumo_Trocas!$A:$A,$C41,Resumo_Trocas!$F:$F,Z$18,Resumo_Trocas!$C:$C,"&gt;0")</f>
        <v>0</v>
      </c>
      <c r="AB41" s="140">
        <f>SUMIFS(Resumo_Trocas!$C:$C,Resumo_Trocas!$A:$A,$C41,Resumo_Trocas!$F:$F,AB$18,Resumo_Trocas!$C:$C,"&gt;0")</f>
        <v>0</v>
      </c>
      <c r="AC41" s="141">
        <f>SUMIFS(Resumo_Trocas!$D:$D,Resumo_Trocas!$A:$A,$C41,Resumo_Trocas!$F:$F,AB$18,Resumo_Trocas!$C:$C,"&gt;0")</f>
        <v>0</v>
      </c>
      <c r="AD41" s="140">
        <f>SUMIFS(Resumo_Trocas!$C:$C,Resumo_Trocas!$A:$A,$C41,Resumo_Trocas!$F:$F,AD$18,Resumo_Trocas!$C:$C,"&gt;0")</f>
        <v>0</v>
      </c>
      <c r="AE41" s="141">
        <f>SUMIFS(Resumo_Trocas!$D:$D,Resumo_Trocas!$A:$A,$C41,Resumo_Trocas!$F:$F,AD$18,Resumo_Trocas!$C:$C,"&gt;0")</f>
        <v>0</v>
      </c>
      <c r="AF41" s="140">
        <f>SUMIFS(Resumo_Trocas!$C:$C,Resumo_Trocas!$A:$A,$C41,Resumo_Trocas!$F:$F,AF$18,Resumo_Trocas!$C:$C,"&gt;0")</f>
        <v>0</v>
      </c>
      <c r="AG41" s="141">
        <f>SUMIFS(Resumo_Trocas!$D:$D,Resumo_Trocas!$A:$A,$C41,Resumo_Trocas!$F:$F,AF$18,Resumo_Trocas!$C:$C,"&gt;0")</f>
        <v>0</v>
      </c>
      <c r="AH41" s="140">
        <f>SUMIFS(Resumo_Trocas!$C:$C,Resumo_Trocas!$A:$A,$C41,Resumo_Trocas!$F:$F,AH$18,Resumo_Trocas!$C:$C,"&gt;0")</f>
        <v>0</v>
      </c>
      <c r="AI41" s="141">
        <f>SUMIFS(Resumo_Trocas!$D:$D,Resumo_Trocas!$A:$A,$C41,Resumo_Trocas!$F:$F,AH$18,Resumo_Trocas!$C:$C,"&gt;0")</f>
        <v>0</v>
      </c>
      <c r="AJ41" s="140">
        <f>SUMIFS(Resumo_Trocas!$C:$C,Resumo_Trocas!$A:$A,$C41,Resumo_Trocas!$F:$F,AJ$18,Resumo_Trocas!$C:$C,"&gt;0")</f>
        <v>0</v>
      </c>
      <c r="AK41" s="141">
        <f>SUMIFS(Resumo_Trocas!$D:$D,Resumo_Trocas!$A:$A,$C41,Resumo_Trocas!$F:$F,AJ$18,Resumo_Trocas!$C:$C,"&gt;0")</f>
        <v>0</v>
      </c>
      <c r="AL41" s="140">
        <f>SUMIFS(Resumo_Trocas!$C:$C,Resumo_Trocas!$A:$A,$C41,Resumo_Trocas!$F:$F,AL$18,Resumo_Trocas!$C:$C,"&gt;0")</f>
        <v>0</v>
      </c>
      <c r="AM41" s="141">
        <f>SUMIFS(Resumo_Trocas!$D:$D,Resumo_Trocas!$A:$A,$C41,Resumo_Trocas!$F:$F,AL$18,Resumo_Trocas!$C:$C,"&gt;0")</f>
        <v>0</v>
      </c>
      <c r="AN41" s="140">
        <f>SUMIFS(Resumo_Trocas!$C:$C,Resumo_Trocas!$A:$A,$C41,Resumo_Trocas!$F:$F,AN$18,Resumo_Trocas!$C:$C,"&gt;0")</f>
        <v>0</v>
      </c>
      <c r="AO41" s="141">
        <f>SUMIFS(Resumo_Trocas!$D:$D,Resumo_Trocas!$A:$A,$C41,Resumo_Trocas!$F:$F,AN$18,Resumo_Trocas!$C:$C,"&gt;0")</f>
        <v>0</v>
      </c>
      <c r="AP41" s="75"/>
      <c r="AQ41" s="75"/>
    </row>
    <row r="42" spans="2:43" ht="18" customHeight="1" outlineLevel="1" thickBot="1" x14ac:dyDescent="0.4">
      <c r="B42" s="76"/>
      <c r="C42" s="113" t="s">
        <v>3427</v>
      </c>
      <c r="D42" s="142">
        <f>SUMIFS(Resumo_Trocas!$C:$C,Resumo_Trocas!$A:$A,$C42,Resumo_Trocas!$F:$F,D$18,Resumo_Trocas!$C:$C,"&gt;0")</f>
        <v>0</v>
      </c>
      <c r="E42" s="143">
        <f>SUMIFS(Resumo_Trocas!$D:$D,Resumo_Trocas!$A:$A,$C42,Resumo_Trocas!$F:$F,D$18,Resumo_Trocas!$C:$C,"&gt;0")</f>
        <v>0</v>
      </c>
      <c r="F42" s="142">
        <f>SUMIFS(Resumo_Trocas!$C:$C,Resumo_Trocas!$A:$A,$C42,Resumo_Trocas!$F:$F,F$18,Resumo_Trocas!$C:$C,"&gt;0")</f>
        <v>0</v>
      </c>
      <c r="G42" s="143">
        <f>SUMIFS(Resumo_Trocas!$D:$D,Resumo_Trocas!$A:$A,$C42,Resumo_Trocas!$F:$F,F$18,Resumo_Trocas!$C:$C,"&gt;0")</f>
        <v>0</v>
      </c>
      <c r="H42" s="142">
        <f>SUMIFS(Resumo_Trocas!$C:$C,Resumo_Trocas!$A:$A,$C42,Resumo_Trocas!$F:$F,H$18,Resumo_Trocas!$C:$C,"&gt;0")</f>
        <v>0</v>
      </c>
      <c r="I42" s="143">
        <f>SUMIFS(Resumo_Trocas!$D:$D,Resumo_Trocas!$A:$A,$C42,Resumo_Trocas!$F:$F,H$18,Resumo_Trocas!$C:$C,"&gt;0")</f>
        <v>0</v>
      </c>
      <c r="J42" s="142">
        <f>SUMIFS(Resumo_Trocas!$C:$C,Resumo_Trocas!$A:$A,$C42,Resumo_Trocas!$F:$F,J$18,Resumo_Trocas!$C:$C,"&gt;0")</f>
        <v>0</v>
      </c>
      <c r="K42" s="143">
        <f>SUMIFS(Resumo_Trocas!$D:$D,Resumo_Trocas!$A:$A,$C42,Resumo_Trocas!$F:$F,J$18,Resumo_Trocas!$C:$C,"&gt;0")</f>
        <v>0</v>
      </c>
      <c r="L42" s="142">
        <f>SUMIFS(Resumo_Trocas!$C:$C,Resumo_Trocas!$A:$A,$C42,Resumo_Trocas!$F:$F,L$18,Resumo_Trocas!$C:$C,"&gt;0")</f>
        <v>0</v>
      </c>
      <c r="M42" s="143">
        <f>SUMIFS(Resumo_Trocas!$D:$D,Resumo_Trocas!$A:$A,$C42,Resumo_Trocas!$F:$F,L$18,Resumo_Trocas!$C:$C,"&gt;0")</f>
        <v>0</v>
      </c>
      <c r="N42" s="142">
        <f>SUMIFS(Resumo_Trocas!$C:$C,Resumo_Trocas!$A:$A,$C42,Resumo_Trocas!$F:$F,N$18,Resumo_Trocas!$C:$C,"&gt;0")</f>
        <v>0</v>
      </c>
      <c r="O42" s="143">
        <f>SUMIFS(Resumo_Trocas!$D:$D,Resumo_Trocas!$A:$A,$C42,Resumo_Trocas!$F:$F,N$18,Resumo_Trocas!$C:$C,"&gt;0")</f>
        <v>0</v>
      </c>
      <c r="P42" s="142">
        <f>SUMIFS(Resumo_Trocas!$C:$C,Resumo_Trocas!$A:$A,$C42,Resumo_Trocas!$F:$F,P$18,Resumo_Trocas!$C:$C,"&gt;0")</f>
        <v>0</v>
      </c>
      <c r="Q42" s="143">
        <f>SUMIFS(Resumo_Trocas!$D:$D,Resumo_Trocas!$A:$A,$C42,Resumo_Trocas!$F:$F,P$18,Resumo_Trocas!$C:$C,"&gt;0")</f>
        <v>0</v>
      </c>
      <c r="R42" s="142">
        <f>SUMIFS(Resumo_Trocas!$C:$C,Resumo_Trocas!$A:$A,$C42,Resumo_Trocas!$F:$F,R$18,Resumo_Trocas!$C:$C,"&gt;0")</f>
        <v>0</v>
      </c>
      <c r="S42" s="143">
        <f>SUMIFS(Resumo_Trocas!$D:$D,Resumo_Trocas!$A:$A,$C42,Resumo_Trocas!$F:$F,R$18,Resumo_Trocas!$C:$C,"&gt;0")</f>
        <v>0</v>
      </c>
      <c r="T42" s="142">
        <f>SUMIFS(Resumo_Trocas!$C:$C,Resumo_Trocas!$A:$A,$C42,Resumo_Trocas!$F:$F,T$18,Resumo_Trocas!$C:$C,"&gt;0")</f>
        <v>0</v>
      </c>
      <c r="U42" s="143">
        <f>SUMIFS(Resumo_Trocas!$D:$D,Resumo_Trocas!$A:$A,$C42,Resumo_Trocas!$F:$F,T$18,Resumo_Trocas!$C:$C,"&gt;0")</f>
        <v>0</v>
      </c>
      <c r="V42" s="142">
        <f>SUMIFS(Resumo_Trocas!$C:$C,Resumo_Trocas!$A:$A,$C42,Resumo_Trocas!$F:$F,V$18,Resumo_Trocas!$C:$C,"&gt;0")</f>
        <v>0</v>
      </c>
      <c r="W42" s="143">
        <f>SUMIFS(Resumo_Trocas!$D:$D,Resumo_Trocas!$A:$A,$C42,Resumo_Trocas!$F:$F,V$18,Resumo_Trocas!$C:$C,"&gt;0")</f>
        <v>0</v>
      </c>
      <c r="X42" s="142">
        <f>SUMIFS(Resumo_Trocas!$C:$C,Resumo_Trocas!$A:$A,$C42,Resumo_Trocas!$F:$F,X$18,Resumo_Trocas!$C:$C,"&gt;0")</f>
        <v>0</v>
      </c>
      <c r="Y42" s="143">
        <f>SUMIFS(Resumo_Trocas!$D:$D,Resumo_Trocas!$A:$A,$C42,Resumo_Trocas!$F:$F,X$18,Resumo_Trocas!$C:$C,"&gt;0")</f>
        <v>0</v>
      </c>
      <c r="Z42" s="142">
        <f>SUMIFS(Resumo_Trocas!$C:$C,Resumo_Trocas!$A:$A,$C42,Resumo_Trocas!$F:$F,Z$18,Resumo_Trocas!$C:$C,"&gt;0")</f>
        <v>0</v>
      </c>
      <c r="AA42" s="143">
        <f>SUMIFS(Resumo_Trocas!$D:$D,Resumo_Trocas!$A:$A,$C42,Resumo_Trocas!$F:$F,Z$18,Resumo_Trocas!$C:$C,"&gt;0")</f>
        <v>0</v>
      </c>
      <c r="AB42" s="142">
        <f>SUMIFS(Resumo_Trocas!$C:$C,Resumo_Trocas!$A:$A,$C42,Resumo_Trocas!$F:$F,AB$18,Resumo_Trocas!$C:$C,"&gt;0")</f>
        <v>0</v>
      </c>
      <c r="AC42" s="143">
        <f>SUMIFS(Resumo_Trocas!$D:$D,Resumo_Trocas!$A:$A,$C42,Resumo_Trocas!$F:$F,AB$18,Resumo_Trocas!$C:$C,"&gt;0")</f>
        <v>0</v>
      </c>
      <c r="AD42" s="142">
        <f>SUMIFS(Resumo_Trocas!$C:$C,Resumo_Trocas!$A:$A,$C42,Resumo_Trocas!$F:$F,AD$18,Resumo_Trocas!$C:$C,"&gt;0")</f>
        <v>0</v>
      </c>
      <c r="AE42" s="143">
        <f>SUMIFS(Resumo_Trocas!$D:$D,Resumo_Trocas!$A:$A,$C42,Resumo_Trocas!$F:$F,AD$18,Resumo_Trocas!$C:$C,"&gt;0")</f>
        <v>0</v>
      </c>
      <c r="AF42" s="142">
        <f>SUMIFS(Resumo_Trocas!$C:$C,Resumo_Trocas!$A:$A,$C42,Resumo_Trocas!$F:$F,AF$18,Resumo_Trocas!$C:$C,"&gt;0")</f>
        <v>0</v>
      </c>
      <c r="AG42" s="143">
        <f>SUMIFS(Resumo_Trocas!$D:$D,Resumo_Trocas!$A:$A,$C42,Resumo_Trocas!$F:$F,AF$18,Resumo_Trocas!$C:$C,"&gt;0")</f>
        <v>0</v>
      </c>
      <c r="AH42" s="142">
        <f>SUMIFS(Resumo_Trocas!$C:$C,Resumo_Trocas!$A:$A,$C42,Resumo_Trocas!$F:$F,AH$18,Resumo_Trocas!$C:$C,"&gt;0")</f>
        <v>0</v>
      </c>
      <c r="AI42" s="143">
        <f>SUMIFS(Resumo_Trocas!$D:$D,Resumo_Trocas!$A:$A,$C42,Resumo_Trocas!$F:$F,AH$18,Resumo_Trocas!$C:$C,"&gt;0")</f>
        <v>0</v>
      </c>
      <c r="AJ42" s="142">
        <f>SUMIFS(Resumo_Trocas!$C:$C,Resumo_Trocas!$A:$A,$C42,Resumo_Trocas!$F:$F,AJ$18,Resumo_Trocas!$C:$C,"&gt;0")</f>
        <v>0</v>
      </c>
      <c r="AK42" s="143">
        <f>SUMIFS(Resumo_Trocas!$D:$D,Resumo_Trocas!$A:$A,$C42,Resumo_Trocas!$F:$F,AJ$18,Resumo_Trocas!$C:$C,"&gt;0")</f>
        <v>0</v>
      </c>
      <c r="AL42" s="142">
        <f>SUMIFS(Resumo_Trocas!$C:$C,Resumo_Trocas!$A:$A,$C42,Resumo_Trocas!$F:$F,AL$18,Resumo_Trocas!$C:$C,"&gt;0")</f>
        <v>0</v>
      </c>
      <c r="AM42" s="143">
        <f>SUMIFS(Resumo_Trocas!$D:$D,Resumo_Trocas!$A:$A,$C42,Resumo_Trocas!$F:$F,AL$18,Resumo_Trocas!$C:$C,"&gt;0")</f>
        <v>0</v>
      </c>
      <c r="AN42" s="142">
        <f>SUMIFS(Resumo_Trocas!$C:$C,Resumo_Trocas!$A:$A,$C42,Resumo_Trocas!$F:$F,AN$18,Resumo_Trocas!$C:$C,"&gt;0")</f>
        <v>0</v>
      </c>
      <c r="AO42" s="143">
        <f>SUMIFS(Resumo_Trocas!$D:$D,Resumo_Trocas!$A:$A,$C42,Resumo_Trocas!$F:$F,AN$18,Resumo_Trocas!$C:$C,"&gt;0")</f>
        <v>0</v>
      </c>
      <c r="AP42" s="75"/>
      <c r="AQ42" s="75"/>
    </row>
    <row r="43" spans="2:43" ht="15.75" outlineLevel="1" thickBot="1" x14ac:dyDescent="0.3">
      <c r="B43" s="76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2:43" ht="21" customHeight="1" thickBot="1" x14ac:dyDescent="0.3">
      <c r="B44" s="72" t="s">
        <v>3395</v>
      </c>
      <c r="C44" s="215" t="s">
        <v>3397</v>
      </c>
      <c r="D44" s="211" t="s">
        <v>3372</v>
      </c>
      <c r="E44" s="212"/>
      <c r="F44" s="211" t="s">
        <v>3373</v>
      </c>
      <c r="G44" s="212"/>
      <c r="H44" s="213" t="s">
        <v>3374</v>
      </c>
      <c r="I44" s="214"/>
      <c r="J44" s="211" t="s">
        <v>3370</v>
      </c>
      <c r="K44" s="212"/>
      <c r="L44" s="211" t="s">
        <v>3371</v>
      </c>
      <c r="M44" s="212"/>
      <c r="N44" s="211" t="s">
        <v>3375</v>
      </c>
      <c r="O44" s="212"/>
      <c r="P44" s="211" t="s">
        <v>3367</v>
      </c>
      <c r="Q44" s="212"/>
      <c r="R44" s="211" t="s">
        <v>3368</v>
      </c>
      <c r="S44" s="212"/>
      <c r="T44" s="211" t="s">
        <v>3369</v>
      </c>
      <c r="U44" s="212"/>
      <c r="V44" s="213" t="s">
        <v>3358</v>
      </c>
      <c r="W44" s="214"/>
      <c r="X44" s="211" t="s">
        <v>3363</v>
      </c>
      <c r="Y44" s="212"/>
      <c r="Z44" s="211" t="s">
        <v>3361</v>
      </c>
      <c r="AA44" s="212"/>
      <c r="AB44" s="211" t="s">
        <v>3359</v>
      </c>
      <c r="AC44" s="212"/>
      <c r="AD44" s="211" t="s">
        <v>3366</v>
      </c>
      <c r="AE44" s="212"/>
      <c r="AF44" s="213" t="s">
        <v>3364</v>
      </c>
      <c r="AG44" s="214"/>
      <c r="AH44" s="211" t="s">
        <v>3360</v>
      </c>
      <c r="AI44" s="212"/>
      <c r="AJ44" s="211" t="s">
        <v>3362</v>
      </c>
      <c r="AK44" s="212"/>
      <c r="AL44" s="211" t="s">
        <v>3365</v>
      </c>
      <c r="AM44" s="212"/>
      <c r="AN44" s="201" t="s">
        <v>3486</v>
      </c>
      <c r="AO44" s="202"/>
    </row>
    <row r="45" spans="2:43" s="75" customFormat="1" ht="21" customHeight="1" thickBot="1" x14ac:dyDescent="0.4">
      <c r="B45" s="98" t="s">
        <v>3395</v>
      </c>
      <c r="C45" s="216"/>
      <c r="D45" s="103" t="s">
        <v>3487</v>
      </c>
      <c r="E45" s="104" t="s">
        <v>3353</v>
      </c>
      <c r="F45" s="105" t="s">
        <v>3487</v>
      </c>
      <c r="G45" s="104" t="s">
        <v>3353</v>
      </c>
      <c r="H45" s="105" t="s">
        <v>3487</v>
      </c>
      <c r="I45" s="104" t="s">
        <v>3353</v>
      </c>
      <c r="J45" s="105" t="s">
        <v>3487</v>
      </c>
      <c r="K45" s="104" t="s">
        <v>3353</v>
      </c>
      <c r="L45" s="105" t="s">
        <v>3487</v>
      </c>
      <c r="M45" s="104" t="s">
        <v>3353</v>
      </c>
      <c r="N45" s="105" t="s">
        <v>3487</v>
      </c>
      <c r="O45" s="104" t="s">
        <v>3353</v>
      </c>
      <c r="P45" s="105" t="s">
        <v>3487</v>
      </c>
      <c r="Q45" s="104" t="s">
        <v>3353</v>
      </c>
      <c r="R45" s="105" t="s">
        <v>3487</v>
      </c>
      <c r="S45" s="104" t="s">
        <v>3353</v>
      </c>
      <c r="T45" s="105" t="s">
        <v>3487</v>
      </c>
      <c r="U45" s="104" t="s">
        <v>3353</v>
      </c>
      <c r="V45" s="105" t="s">
        <v>3487</v>
      </c>
      <c r="W45" s="104" t="s">
        <v>3353</v>
      </c>
      <c r="X45" s="105" t="s">
        <v>3487</v>
      </c>
      <c r="Y45" s="104" t="s">
        <v>3353</v>
      </c>
      <c r="Z45" s="105" t="s">
        <v>3487</v>
      </c>
      <c r="AA45" s="104" t="s">
        <v>3353</v>
      </c>
      <c r="AB45" s="105" t="s">
        <v>3487</v>
      </c>
      <c r="AC45" s="104" t="s">
        <v>3353</v>
      </c>
      <c r="AD45" s="105" t="s">
        <v>3487</v>
      </c>
      <c r="AE45" s="104" t="s">
        <v>3353</v>
      </c>
      <c r="AF45" s="105" t="s">
        <v>3487</v>
      </c>
      <c r="AG45" s="104" t="s">
        <v>3353</v>
      </c>
      <c r="AH45" s="105" t="s">
        <v>3487</v>
      </c>
      <c r="AI45" s="104" t="s">
        <v>3353</v>
      </c>
      <c r="AJ45" s="105" t="s">
        <v>3487</v>
      </c>
      <c r="AK45" s="104" t="s">
        <v>3353</v>
      </c>
      <c r="AL45" s="105" t="s">
        <v>3487</v>
      </c>
      <c r="AM45" s="104" t="s">
        <v>3353</v>
      </c>
      <c r="AN45" s="105" t="s">
        <v>3487</v>
      </c>
      <c r="AO45" s="106" t="s">
        <v>3353</v>
      </c>
    </row>
    <row r="46" spans="2:43" ht="21.75" customHeight="1" outlineLevel="1" thickBot="1" x14ac:dyDescent="0.3">
      <c r="B46" s="76"/>
      <c r="C46" s="114" t="s">
        <v>3428</v>
      </c>
      <c r="D46" s="144">
        <f t="shared" ref="D46:U46" si="4">IFERROR(SUM(D47:D65)," ")</f>
        <v>28</v>
      </c>
      <c r="E46" s="145">
        <f t="shared" si="4"/>
        <v>22</v>
      </c>
      <c r="F46" s="99">
        <f t="shared" si="4"/>
        <v>17</v>
      </c>
      <c r="G46" s="100">
        <f t="shared" si="4"/>
        <v>18</v>
      </c>
      <c r="H46" s="99">
        <f t="shared" si="4"/>
        <v>8</v>
      </c>
      <c r="I46" s="100">
        <f t="shared" si="4"/>
        <v>11</v>
      </c>
      <c r="J46" s="99">
        <f t="shared" si="4"/>
        <v>12</v>
      </c>
      <c r="K46" s="100">
        <f t="shared" si="4"/>
        <v>15</v>
      </c>
      <c r="L46" s="99">
        <f t="shared" si="4"/>
        <v>5</v>
      </c>
      <c r="M46" s="100">
        <f t="shared" si="4"/>
        <v>9</v>
      </c>
      <c r="N46" s="99">
        <f t="shared" si="4"/>
        <v>1</v>
      </c>
      <c r="O46" s="100">
        <f t="shared" si="4"/>
        <v>3</v>
      </c>
      <c r="P46" s="99">
        <f t="shared" si="4"/>
        <v>10</v>
      </c>
      <c r="Q46" s="100">
        <f t="shared" si="4"/>
        <v>21</v>
      </c>
      <c r="R46" s="99">
        <f t="shared" si="4"/>
        <v>5</v>
      </c>
      <c r="S46" s="100">
        <f t="shared" si="4"/>
        <v>5</v>
      </c>
      <c r="T46" s="99">
        <f t="shared" si="4"/>
        <v>9</v>
      </c>
      <c r="U46" s="100">
        <f t="shared" si="4"/>
        <v>14</v>
      </c>
      <c r="V46" s="99">
        <f t="shared" ref="V46:AO46" si="5">IFERROR(SUM(V47:V66)," ")</f>
        <v>6</v>
      </c>
      <c r="W46" s="100">
        <f t="shared" si="5"/>
        <v>10</v>
      </c>
      <c r="X46" s="99">
        <f t="shared" si="5"/>
        <v>6</v>
      </c>
      <c r="Y46" s="100">
        <f t="shared" si="5"/>
        <v>11</v>
      </c>
      <c r="Z46" s="99">
        <f t="shared" si="5"/>
        <v>6</v>
      </c>
      <c r="AA46" s="100">
        <f t="shared" si="5"/>
        <v>4</v>
      </c>
      <c r="AB46" s="99">
        <f t="shared" si="5"/>
        <v>8</v>
      </c>
      <c r="AC46" s="100">
        <f t="shared" si="5"/>
        <v>15</v>
      </c>
      <c r="AD46" s="99">
        <f t="shared" si="5"/>
        <v>4</v>
      </c>
      <c r="AE46" s="100">
        <f t="shared" si="5"/>
        <v>7</v>
      </c>
      <c r="AF46" s="99">
        <f t="shared" si="5"/>
        <v>9</v>
      </c>
      <c r="AG46" s="100">
        <f t="shared" si="5"/>
        <v>15</v>
      </c>
      <c r="AH46" s="99">
        <f t="shared" si="5"/>
        <v>9</v>
      </c>
      <c r="AI46" s="100">
        <f t="shared" si="5"/>
        <v>18</v>
      </c>
      <c r="AJ46" s="99">
        <f t="shared" si="5"/>
        <v>9</v>
      </c>
      <c r="AK46" s="100">
        <f t="shared" si="5"/>
        <v>6</v>
      </c>
      <c r="AL46" s="99">
        <f t="shared" si="5"/>
        <v>7</v>
      </c>
      <c r="AM46" s="100">
        <f t="shared" si="5"/>
        <v>6</v>
      </c>
      <c r="AN46" s="99">
        <f t="shared" si="5"/>
        <v>0</v>
      </c>
      <c r="AO46" s="100">
        <f t="shared" si="5"/>
        <v>0</v>
      </c>
    </row>
    <row r="47" spans="2:43" ht="15" customHeight="1" outlineLevel="1" thickBot="1" x14ac:dyDescent="0.3">
      <c r="B47" s="76"/>
      <c r="C47" s="148" t="s">
        <v>278</v>
      </c>
      <c r="D47" s="138">
        <f>SUMIFS(Resumo_Trocas!$C:$C,Resumo_Trocas!$A:$A,$C47,Resumo_Trocas!$F:$F,D$44,Resumo_Trocas!$C:$C,"&gt;0")</f>
        <v>3</v>
      </c>
      <c r="E47" s="139">
        <f>SUMIFS(Resumo_Trocas!$D:$D,Resumo_Trocas!$A:$A,$C47,Resumo_Trocas!$F:$F,D$44,Resumo_Trocas!$C:$C,"&gt;0")</f>
        <v>1</v>
      </c>
      <c r="F47" s="138">
        <f>SUMIFS(Resumo_Trocas!$C:$C,Resumo_Trocas!$A:$A,$C47,Resumo_Trocas!$F:$F,F$44,Resumo_Trocas!$C:$C,"&gt;0")</f>
        <v>1</v>
      </c>
      <c r="G47" s="139">
        <f>SUMIFS(Resumo_Trocas!$D:$D,Resumo_Trocas!$A:$A,$C47,Resumo_Trocas!$F:$F,F$44,Resumo_Trocas!$C:$C,"&gt;0")</f>
        <v>1</v>
      </c>
      <c r="H47" s="138">
        <f>SUMIFS(Resumo_Trocas!$C:$C,Resumo_Trocas!$A:$A,$C47,Resumo_Trocas!$F:$F,H$44,Resumo_Trocas!$C:$C,"&gt;0")</f>
        <v>1</v>
      </c>
      <c r="I47" s="139">
        <f>SUMIFS(Resumo_Trocas!$D:$D,Resumo_Trocas!$A:$A,$C47,Resumo_Trocas!$F:$F,H$44,Resumo_Trocas!$C:$C,"&gt;0")</f>
        <v>1</v>
      </c>
      <c r="J47" s="138">
        <f>SUMIFS(Resumo_Trocas!$C:$C,Resumo_Trocas!$A:$A,$C47,Resumo_Trocas!$F:$F,J$44,Resumo_Trocas!$C:$C,"&gt;0")</f>
        <v>1</v>
      </c>
      <c r="K47" s="139">
        <f>SUMIFS(Resumo_Trocas!$D:$D,Resumo_Trocas!$A:$A,$C47,Resumo_Trocas!$F:$F,J$44,Resumo_Trocas!$C:$C,"&gt;0")</f>
        <v>1</v>
      </c>
      <c r="L47" s="138">
        <f>SUMIFS(Resumo_Trocas!$C:$C,Resumo_Trocas!$A:$A,$C47,Resumo_Trocas!$F:$F,L$44,Resumo_Trocas!$C:$C,"&gt;0")</f>
        <v>0</v>
      </c>
      <c r="M47" s="139">
        <f>SUMIFS(Resumo_Trocas!$D:$D,Resumo_Trocas!$A:$A,$C47,Resumo_Trocas!$F:$F,L$44,Resumo_Trocas!$C:$C,"&gt;0")</f>
        <v>0</v>
      </c>
      <c r="N47" s="138">
        <f>SUMIFS(Resumo_Trocas!$C:$C,Resumo_Trocas!$A:$A,$C47,Resumo_Trocas!$F:$F,N$44,Resumo_Trocas!$C:$C,"&gt;0")</f>
        <v>0</v>
      </c>
      <c r="O47" s="139">
        <f>SUMIFS(Resumo_Trocas!$D:$D,Resumo_Trocas!$A:$A,$C47,Resumo_Trocas!$F:$F,N$44,Resumo_Trocas!$C:$C,"&gt;0")</f>
        <v>0</v>
      </c>
      <c r="P47" s="138">
        <f>SUMIFS(Resumo_Trocas!$C:$C,Resumo_Trocas!$A:$A,$C47,Resumo_Trocas!$F:$F,P$44,Resumo_Trocas!$C:$C,"&gt;0")</f>
        <v>3</v>
      </c>
      <c r="Q47" s="139">
        <f>SUMIFS(Resumo_Trocas!$D:$D,Resumo_Trocas!$A:$A,$C47,Resumo_Trocas!$F:$F,P$44,Resumo_Trocas!$C:$C,"&gt;0")</f>
        <v>3</v>
      </c>
      <c r="R47" s="138">
        <f>SUMIFS(Resumo_Trocas!$C:$C,Resumo_Trocas!$A:$A,$C47,Resumo_Trocas!$F:$F,R$44,Resumo_Trocas!$C:$C,"&gt;0")</f>
        <v>0</v>
      </c>
      <c r="S47" s="139">
        <f>SUMIFS(Resumo_Trocas!$D:$D,Resumo_Trocas!$A:$A,$C47,Resumo_Trocas!$F:$F,R$44,Resumo_Trocas!$C:$C,"&gt;0")</f>
        <v>0</v>
      </c>
      <c r="T47" s="138">
        <f>SUMIFS(Resumo_Trocas!$C:$C,Resumo_Trocas!$A:$A,$C47,Resumo_Trocas!$F:$F,T$44,Resumo_Trocas!$C:$C,"&gt;0")</f>
        <v>1</v>
      </c>
      <c r="U47" s="139">
        <f>SUMIFS(Resumo_Trocas!$D:$D,Resumo_Trocas!$A:$A,$C47,Resumo_Trocas!$F:$F,T$44,Resumo_Trocas!$C:$C,"&gt;0")</f>
        <v>1</v>
      </c>
      <c r="V47" s="138">
        <f>SUMIFS(Resumo_Trocas!$C:$C,Resumo_Trocas!$A:$A,$C47,Resumo_Trocas!$F:$F,V$44,Resumo_Trocas!$C:$C,"&gt;0")</f>
        <v>0</v>
      </c>
      <c r="W47" s="139">
        <f>SUMIFS(Resumo_Trocas!$D:$D,Resumo_Trocas!$A:$A,$C47,Resumo_Trocas!$F:$F,V$44,Resumo_Trocas!$C:$C,"&gt;0")</f>
        <v>0</v>
      </c>
      <c r="X47" s="138">
        <f>SUMIFS(Resumo_Trocas!$C:$C,Resumo_Trocas!$A:$A,$C47,Resumo_Trocas!$F:$F,X$44,Resumo_Trocas!$C:$C,"&gt;0")</f>
        <v>0</v>
      </c>
      <c r="Y47" s="139">
        <f>SUMIFS(Resumo_Trocas!$D:$D,Resumo_Trocas!$A:$A,$C47,Resumo_Trocas!$F:$F,X$44,Resumo_Trocas!$C:$C,"&gt;0")</f>
        <v>0</v>
      </c>
      <c r="Z47" s="138">
        <f>SUMIFS(Resumo_Trocas!$C:$C,Resumo_Trocas!$A:$A,$C47,Resumo_Trocas!$F:$F,Z$44,Resumo_Trocas!$C:$C,"&gt;0")</f>
        <v>4</v>
      </c>
      <c r="AA47" s="139">
        <f>SUMIFS(Resumo_Trocas!$D:$D,Resumo_Trocas!$A:$A,$C47,Resumo_Trocas!$F:$F,Z$44,Resumo_Trocas!$C:$C,"&gt;0")</f>
        <v>1</v>
      </c>
      <c r="AB47" s="138">
        <f>SUMIFS(Resumo_Trocas!$C:$C,Resumo_Trocas!$A:$A,$C47,Resumo_Trocas!$F:$F,AB$44,Resumo_Trocas!$C:$C,"&gt;0")</f>
        <v>3</v>
      </c>
      <c r="AC47" s="139">
        <f>SUMIFS(Resumo_Trocas!$D:$D,Resumo_Trocas!$A:$A,$C47,Resumo_Trocas!$F:$F,AB$44,Resumo_Trocas!$C:$C,"&gt;0")</f>
        <v>0</v>
      </c>
      <c r="AD47" s="138">
        <f>SUMIFS(Resumo_Trocas!$C:$C,Resumo_Trocas!$A:$A,$C47,Resumo_Trocas!$F:$F,AD$44,Resumo_Trocas!$C:$C,"&gt;0")</f>
        <v>1</v>
      </c>
      <c r="AE47" s="139">
        <f>SUMIFS(Resumo_Trocas!$D:$D,Resumo_Trocas!$A:$A,$C47,Resumo_Trocas!$F:$F,AD$44,Resumo_Trocas!$C:$C,"&gt;0")</f>
        <v>0</v>
      </c>
      <c r="AF47" s="138">
        <f>SUMIFS(Resumo_Trocas!$C:$C,Resumo_Trocas!$A:$A,$C47,Resumo_Trocas!$F:$F,AF$44,Resumo_Trocas!$C:$C,"&gt;0")</f>
        <v>2</v>
      </c>
      <c r="AG47" s="139">
        <f>SUMIFS(Resumo_Trocas!$D:$D,Resumo_Trocas!$A:$A,$C47,Resumo_Trocas!$F:$F,AF$44,Resumo_Trocas!$C:$C,"&gt;0")</f>
        <v>0</v>
      </c>
      <c r="AH47" s="138">
        <f>SUMIFS(Resumo_Trocas!$C:$C,Resumo_Trocas!$A:$A,$C47,Resumo_Trocas!$F:$F,AH$44,Resumo_Trocas!$C:$C,"&gt;0")</f>
        <v>2</v>
      </c>
      <c r="AI47" s="139">
        <f>SUMIFS(Resumo_Trocas!$D:$D,Resumo_Trocas!$A:$A,$C47,Resumo_Trocas!$F:$F,AH$44,Resumo_Trocas!$C:$C,"&gt;0")</f>
        <v>0</v>
      </c>
      <c r="AJ47" s="138">
        <f>SUMIFS(Resumo_Trocas!$C:$C,Resumo_Trocas!$A:$A,$C47,Resumo_Trocas!$F:$F,AJ$44,Resumo_Trocas!$C:$C,"&gt;0")</f>
        <v>4</v>
      </c>
      <c r="AK47" s="139">
        <f>SUMIFS(Resumo_Trocas!$D:$D,Resumo_Trocas!$A:$A,$C47,Resumo_Trocas!$F:$F,AJ$44,Resumo_Trocas!$C:$C,"&gt;0")</f>
        <v>0</v>
      </c>
      <c r="AL47" s="138">
        <f>SUMIFS(Resumo_Trocas!$C:$C,Resumo_Trocas!$A:$A,$C47,Resumo_Trocas!$F:$F,AL$44,Resumo_Trocas!$C:$C,"&gt;0")</f>
        <v>4</v>
      </c>
      <c r="AM47" s="139">
        <f>SUMIFS(Resumo_Trocas!$D:$D,Resumo_Trocas!$A:$A,$C47,Resumo_Trocas!$F:$F,AL$44,Resumo_Trocas!$C:$C,"&gt;0")</f>
        <v>0</v>
      </c>
      <c r="AN47" s="138">
        <f>SUMIFS(Resumo_Trocas!$C:$C,Resumo_Trocas!$A:$A,$C47,Resumo_Trocas!$F:$F,AN$44,Resumo_Trocas!$C:$C,"&gt;0")</f>
        <v>0</v>
      </c>
      <c r="AO47" s="139">
        <f>SUMIFS(Resumo_Trocas!$D:$D,Resumo_Trocas!$A:$A,$C47,Resumo_Trocas!$F:$F,AN$44,Resumo_Trocas!$C:$C,"&gt;0")</f>
        <v>0</v>
      </c>
    </row>
    <row r="48" spans="2:43" ht="15" customHeight="1" outlineLevel="1" thickBot="1" x14ac:dyDescent="0.3">
      <c r="B48" s="76"/>
      <c r="C48" s="112" t="s">
        <v>282</v>
      </c>
      <c r="D48" s="140">
        <f>SUMIFS(Resumo_Trocas!$C:$C,Resumo_Trocas!$A:$A,$C48,Resumo_Trocas!$F:$F,D$44,Resumo_Trocas!$C:$C,"&gt;0")</f>
        <v>2</v>
      </c>
      <c r="E48" s="141">
        <f>SUMIFS(Resumo_Trocas!$D:$D,Resumo_Trocas!$A:$A,$C48,Resumo_Trocas!$F:$F,D$44,Resumo_Trocas!$C:$C,"&gt;0")</f>
        <v>0</v>
      </c>
      <c r="F48" s="140">
        <f>SUMIFS(Resumo_Trocas!$C:$C,Resumo_Trocas!$A:$A,$C48,Resumo_Trocas!$F:$F,F$44,Resumo_Trocas!$C:$C,"&gt;0")</f>
        <v>0</v>
      </c>
      <c r="G48" s="141">
        <f>SUMIFS(Resumo_Trocas!$D:$D,Resumo_Trocas!$A:$A,$C48,Resumo_Trocas!$F:$F,F$44,Resumo_Trocas!$C:$C,"&gt;0")</f>
        <v>0</v>
      </c>
      <c r="H48" s="140">
        <f>SUMIFS(Resumo_Trocas!$C:$C,Resumo_Trocas!$A:$A,$C48,Resumo_Trocas!$F:$F,H$44,Resumo_Trocas!$C:$C,"&gt;0")</f>
        <v>0</v>
      </c>
      <c r="I48" s="141">
        <f>SUMIFS(Resumo_Trocas!$D:$D,Resumo_Trocas!$A:$A,$C48,Resumo_Trocas!$F:$F,H$44,Resumo_Trocas!$C:$C,"&gt;0")</f>
        <v>0</v>
      </c>
      <c r="J48" s="140">
        <f>SUMIFS(Resumo_Trocas!$C:$C,Resumo_Trocas!$A:$A,$C48,Resumo_Trocas!$F:$F,J$44,Resumo_Trocas!$C:$C,"&gt;0")</f>
        <v>0</v>
      </c>
      <c r="K48" s="141">
        <f>SUMIFS(Resumo_Trocas!$D:$D,Resumo_Trocas!$A:$A,$C48,Resumo_Trocas!$F:$F,J$44,Resumo_Trocas!$C:$C,"&gt;0")</f>
        <v>0</v>
      </c>
      <c r="L48" s="140">
        <f>SUMIFS(Resumo_Trocas!$C:$C,Resumo_Trocas!$A:$A,$C48,Resumo_Trocas!$F:$F,L$44,Resumo_Trocas!$C:$C,"&gt;0")</f>
        <v>0</v>
      </c>
      <c r="M48" s="141">
        <f>SUMIFS(Resumo_Trocas!$D:$D,Resumo_Trocas!$A:$A,$C48,Resumo_Trocas!$F:$F,L$44,Resumo_Trocas!$C:$C,"&gt;0")</f>
        <v>0</v>
      </c>
      <c r="N48" s="140">
        <f>SUMIFS(Resumo_Trocas!$C:$C,Resumo_Trocas!$A:$A,$C48,Resumo_Trocas!$F:$F,N$44,Resumo_Trocas!$C:$C,"&gt;0")</f>
        <v>0</v>
      </c>
      <c r="O48" s="141">
        <f>SUMIFS(Resumo_Trocas!$D:$D,Resumo_Trocas!$A:$A,$C48,Resumo_Trocas!$F:$F,N$44,Resumo_Trocas!$C:$C,"&gt;0")</f>
        <v>0</v>
      </c>
      <c r="P48" s="140">
        <f>SUMIFS(Resumo_Trocas!$C:$C,Resumo_Trocas!$A:$A,$C48,Resumo_Trocas!$F:$F,P$44,Resumo_Trocas!$C:$C,"&gt;0")</f>
        <v>0</v>
      </c>
      <c r="Q48" s="141">
        <f>SUMIFS(Resumo_Trocas!$D:$D,Resumo_Trocas!$A:$A,$C48,Resumo_Trocas!$F:$F,P$44,Resumo_Trocas!$C:$C,"&gt;0")</f>
        <v>0</v>
      </c>
      <c r="R48" s="140">
        <f>SUMIFS(Resumo_Trocas!$C:$C,Resumo_Trocas!$A:$A,$C48,Resumo_Trocas!$F:$F,R$44,Resumo_Trocas!$C:$C,"&gt;0")</f>
        <v>0</v>
      </c>
      <c r="S48" s="141">
        <f>SUMIFS(Resumo_Trocas!$D:$D,Resumo_Trocas!$A:$A,$C48,Resumo_Trocas!$F:$F,R$44,Resumo_Trocas!$C:$C,"&gt;0")</f>
        <v>0</v>
      </c>
      <c r="T48" s="140">
        <f>SUMIFS(Resumo_Trocas!$C:$C,Resumo_Trocas!$A:$A,$C48,Resumo_Trocas!$F:$F,T$44,Resumo_Trocas!$C:$C,"&gt;0")</f>
        <v>0</v>
      </c>
      <c r="U48" s="141">
        <f>SUMIFS(Resumo_Trocas!$D:$D,Resumo_Trocas!$A:$A,$C48,Resumo_Trocas!$F:$F,T$44,Resumo_Trocas!$C:$C,"&gt;0")</f>
        <v>0</v>
      </c>
      <c r="V48" s="140">
        <f>SUMIFS(Resumo_Trocas!$C:$C,Resumo_Trocas!$A:$A,$C48,Resumo_Trocas!$F:$F,V$44,Resumo_Trocas!$C:$C,"&gt;0")</f>
        <v>0</v>
      </c>
      <c r="W48" s="141">
        <f>SUMIFS(Resumo_Trocas!$D:$D,Resumo_Trocas!$A:$A,$C48,Resumo_Trocas!$F:$F,V$44,Resumo_Trocas!$C:$C,"&gt;0")</f>
        <v>0</v>
      </c>
      <c r="X48" s="140">
        <f>SUMIFS(Resumo_Trocas!$C:$C,Resumo_Trocas!$A:$A,$C48,Resumo_Trocas!$F:$F,X$44,Resumo_Trocas!$C:$C,"&gt;0")</f>
        <v>0</v>
      </c>
      <c r="Y48" s="141">
        <f>SUMIFS(Resumo_Trocas!$D:$D,Resumo_Trocas!$A:$A,$C48,Resumo_Trocas!$F:$F,X$44,Resumo_Trocas!$C:$C,"&gt;0")</f>
        <v>0</v>
      </c>
      <c r="Z48" s="140">
        <f>SUMIFS(Resumo_Trocas!$C:$C,Resumo_Trocas!$A:$A,$C48,Resumo_Trocas!$F:$F,Z$44,Resumo_Trocas!$C:$C,"&gt;0")</f>
        <v>0</v>
      </c>
      <c r="AA48" s="141">
        <f>SUMIFS(Resumo_Trocas!$D:$D,Resumo_Trocas!$A:$A,$C48,Resumo_Trocas!$F:$F,Z$44,Resumo_Trocas!$C:$C,"&gt;0")</f>
        <v>0</v>
      </c>
      <c r="AB48" s="140">
        <f>SUMIFS(Resumo_Trocas!$C:$C,Resumo_Trocas!$A:$A,$C48,Resumo_Trocas!$F:$F,AB$44,Resumo_Trocas!$C:$C,"&gt;0")</f>
        <v>0</v>
      </c>
      <c r="AC48" s="141">
        <f>SUMIFS(Resumo_Trocas!$D:$D,Resumo_Trocas!$A:$A,$C48,Resumo_Trocas!$F:$F,AB$44,Resumo_Trocas!$C:$C,"&gt;0")</f>
        <v>0</v>
      </c>
      <c r="AD48" s="140">
        <f>SUMIFS(Resumo_Trocas!$C:$C,Resumo_Trocas!$A:$A,$C48,Resumo_Trocas!$F:$F,AD$44,Resumo_Trocas!$C:$C,"&gt;0")</f>
        <v>1</v>
      </c>
      <c r="AE48" s="141">
        <f>SUMIFS(Resumo_Trocas!$D:$D,Resumo_Trocas!$A:$A,$C48,Resumo_Trocas!$F:$F,AD$44,Resumo_Trocas!$C:$C,"&gt;0")</f>
        <v>1</v>
      </c>
      <c r="AF48" s="140">
        <f>SUMIFS(Resumo_Trocas!$C:$C,Resumo_Trocas!$A:$A,$C48,Resumo_Trocas!$F:$F,AF$44,Resumo_Trocas!$C:$C,"&gt;0")</f>
        <v>0</v>
      </c>
      <c r="AG48" s="141">
        <f>SUMIFS(Resumo_Trocas!$D:$D,Resumo_Trocas!$A:$A,$C48,Resumo_Trocas!$F:$F,AF$44,Resumo_Trocas!$C:$C,"&gt;0")</f>
        <v>0</v>
      </c>
      <c r="AH48" s="140">
        <f>SUMIFS(Resumo_Trocas!$C:$C,Resumo_Trocas!$A:$A,$C48,Resumo_Trocas!$F:$F,AH$44,Resumo_Trocas!$C:$C,"&gt;0")</f>
        <v>0</v>
      </c>
      <c r="AI48" s="141">
        <f>SUMIFS(Resumo_Trocas!$D:$D,Resumo_Trocas!$A:$A,$C48,Resumo_Trocas!$F:$F,AH$44,Resumo_Trocas!$C:$C,"&gt;0")</f>
        <v>0</v>
      </c>
      <c r="AJ48" s="140">
        <f>SUMIFS(Resumo_Trocas!$C:$C,Resumo_Trocas!$A:$A,$C48,Resumo_Trocas!$F:$F,AJ$44,Resumo_Trocas!$C:$C,"&gt;0")</f>
        <v>0</v>
      </c>
      <c r="AK48" s="141">
        <f>SUMIFS(Resumo_Trocas!$D:$D,Resumo_Trocas!$A:$A,$C48,Resumo_Trocas!$F:$F,AJ$44,Resumo_Trocas!$C:$C,"&gt;0")</f>
        <v>0</v>
      </c>
      <c r="AL48" s="140">
        <f>SUMIFS(Resumo_Trocas!$C:$C,Resumo_Trocas!$A:$A,$C48,Resumo_Trocas!$F:$F,AL$44,Resumo_Trocas!$C:$C,"&gt;0")</f>
        <v>0</v>
      </c>
      <c r="AM48" s="141">
        <f>SUMIFS(Resumo_Trocas!$D:$D,Resumo_Trocas!$A:$A,$C48,Resumo_Trocas!$F:$F,AL$44,Resumo_Trocas!$C:$C,"&gt;0")</f>
        <v>0</v>
      </c>
      <c r="AN48" s="140">
        <f>SUMIFS(Resumo_Trocas!$C:$C,Resumo_Trocas!$A:$A,$C48,Resumo_Trocas!$F:$F,AN$44,Resumo_Trocas!$C:$C,"&gt;0")</f>
        <v>0</v>
      </c>
      <c r="AO48" s="141">
        <f>SUMIFS(Resumo_Trocas!$D:$D,Resumo_Trocas!$A:$A,$C48,Resumo_Trocas!$F:$F,AN$44,Resumo_Trocas!$C:$C,"&gt;0")</f>
        <v>0</v>
      </c>
    </row>
    <row r="49" spans="2:41" ht="15" customHeight="1" outlineLevel="1" thickBot="1" x14ac:dyDescent="0.3">
      <c r="B49" s="76"/>
      <c r="C49" s="112" t="s">
        <v>283</v>
      </c>
      <c r="D49" s="140">
        <f>SUMIFS(Resumo_Trocas!$C:$C,Resumo_Trocas!$A:$A,$C49,Resumo_Trocas!$F:$F,D$44,Resumo_Trocas!$C:$C,"&gt;0")</f>
        <v>1</v>
      </c>
      <c r="E49" s="141">
        <f>SUMIFS(Resumo_Trocas!$D:$D,Resumo_Trocas!$A:$A,$C49,Resumo_Trocas!$F:$F,D$44,Resumo_Trocas!$C:$C,"&gt;0")</f>
        <v>0</v>
      </c>
      <c r="F49" s="140">
        <f>SUMIFS(Resumo_Trocas!$C:$C,Resumo_Trocas!$A:$A,$C49,Resumo_Trocas!$F:$F,F$44,Resumo_Trocas!$C:$C,"&gt;0")</f>
        <v>0</v>
      </c>
      <c r="G49" s="141">
        <f>SUMIFS(Resumo_Trocas!$D:$D,Resumo_Trocas!$A:$A,$C49,Resumo_Trocas!$F:$F,F$44,Resumo_Trocas!$C:$C,"&gt;0")</f>
        <v>0</v>
      </c>
      <c r="H49" s="140">
        <f>SUMIFS(Resumo_Trocas!$C:$C,Resumo_Trocas!$A:$A,$C49,Resumo_Trocas!$F:$F,H$44,Resumo_Trocas!$C:$C,"&gt;0")</f>
        <v>0</v>
      </c>
      <c r="I49" s="141">
        <f>SUMIFS(Resumo_Trocas!$D:$D,Resumo_Trocas!$A:$A,$C49,Resumo_Trocas!$F:$F,H$44,Resumo_Trocas!$C:$C,"&gt;0")</f>
        <v>0</v>
      </c>
      <c r="J49" s="140">
        <f>SUMIFS(Resumo_Trocas!$C:$C,Resumo_Trocas!$A:$A,$C49,Resumo_Trocas!$F:$F,J$44,Resumo_Trocas!$C:$C,"&gt;0")</f>
        <v>0</v>
      </c>
      <c r="K49" s="141">
        <f>SUMIFS(Resumo_Trocas!$D:$D,Resumo_Trocas!$A:$A,$C49,Resumo_Trocas!$F:$F,J$44,Resumo_Trocas!$C:$C,"&gt;0")</f>
        <v>0</v>
      </c>
      <c r="L49" s="140">
        <f>SUMIFS(Resumo_Trocas!$C:$C,Resumo_Trocas!$A:$A,$C49,Resumo_Trocas!$F:$F,L$44,Resumo_Trocas!$C:$C,"&gt;0")</f>
        <v>0</v>
      </c>
      <c r="M49" s="141">
        <f>SUMIFS(Resumo_Trocas!$D:$D,Resumo_Trocas!$A:$A,$C49,Resumo_Trocas!$F:$F,L$44,Resumo_Trocas!$C:$C,"&gt;0")</f>
        <v>0</v>
      </c>
      <c r="N49" s="140">
        <f>SUMIFS(Resumo_Trocas!$C:$C,Resumo_Trocas!$A:$A,$C49,Resumo_Trocas!$F:$F,N$44,Resumo_Trocas!$C:$C,"&gt;0")</f>
        <v>0</v>
      </c>
      <c r="O49" s="141">
        <f>SUMIFS(Resumo_Trocas!$D:$D,Resumo_Trocas!$A:$A,$C49,Resumo_Trocas!$F:$F,N$44,Resumo_Trocas!$C:$C,"&gt;0")</f>
        <v>0</v>
      </c>
      <c r="P49" s="140">
        <f>SUMIFS(Resumo_Trocas!$C:$C,Resumo_Trocas!$A:$A,$C49,Resumo_Trocas!$F:$F,P$44,Resumo_Trocas!$C:$C,"&gt;0")</f>
        <v>0</v>
      </c>
      <c r="Q49" s="141">
        <f>SUMIFS(Resumo_Trocas!$D:$D,Resumo_Trocas!$A:$A,$C49,Resumo_Trocas!$F:$F,P$44,Resumo_Trocas!$C:$C,"&gt;0")</f>
        <v>0</v>
      </c>
      <c r="R49" s="140">
        <f>SUMIFS(Resumo_Trocas!$C:$C,Resumo_Trocas!$A:$A,$C49,Resumo_Trocas!$F:$F,R$44,Resumo_Trocas!$C:$C,"&gt;0")</f>
        <v>0</v>
      </c>
      <c r="S49" s="141">
        <f>SUMIFS(Resumo_Trocas!$D:$D,Resumo_Trocas!$A:$A,$C49,Resumo_Trocas!$F:$F,R$44,Resumo_Trocas!$C:$C,"&gt;0")</f>
        <v>0</v>
      </c>
      <c r="T49" s="140">
        <f>SUMIFS(Resumo_Trocas!$C:$C,Resumo_Trocas!$A:$A,$C49,Resumo_Trocas!$F:$F,T$44,Resumo_Trocas!$C:$C,"&gt;0")</f>
        <v>0</v>
      </c>
      <c r="U49" s="141">
        <f>SUMIFS(Resumo_Trocas!$D:$D,Resumo_Trocas!$A:$A,$C49,Resumo_Trocas!$F:$F,T$44,Resumo_Trocas!$C:$C,"&gt;0")</f>
        <v>0</v>
      </c>
      <c r="V49" s="140">
        <f>SUMIFS(Resumo_Trocas!$C:$C,Resumo_Trocas!$A:$A,$C49,Resumo_Trocas!$F:$F,V$44,Resumo_Trocas!$C:$C,"&gt;0")</f>
        <v>0</v>
      </c>
      <c r="W49" s="141">
        <f>SUMIFS(Resumo_Trocas!$D:$D,Resumo_Trocas!$A:$A,$C49,Resumo_Trocas!$F:$F,V$44,Resumo_Trocas!$C:$C,"&gt;0")</f>
        <v>0</v>
      </c>
      <c r="X49" s="140">
        <f>SUMIFS(Resumo_Trocas!$C:$C,Resumo_Trocas!$A:$A,$C49,Resumo_Trocas!$F:$F,X$44,Resumo_Trocas!$C:$C,"&gt;0")</f>
        <v>0</v>
      </c>
      <c r="Y49" s="141">
        <f>SUMIFS(Resumo_Trocas!$D:$D,Resumo_Trocas!$A:$A,$C49,Resumo_Trocas!$F:$F,X$44,Resumo_Trocas!$C:$C,"&gt;0")</f>
        <v>0</v>
      </c>
      <c r="Z49" s="140">
        <f>SUMIFS(Resumo_Trocas!$C:$C,Resumo_Trocas!$A:$A,$C49,Resumo_Trocas!$F:$F,Z$44,Resumo_Trocas!$C:$C,"&gt;0")</f>
        <v>0</v>
      </c>
      <c r="AA49" s="141">
        <f>SUMIFS(Resumo_Trocas!$D:$D,Resumo_Trocas!$A:$A,$C49,Resumo_Trocas!$F:$F,Z$44,Resumo_Trocas!$C:$C,"&gt;0")</f>
        <v>0</v>
      </c>
      <c r="AB49" s="140">
        <f>SUMIFS(Resumo_Trocas!$C:$C,Resumo_Trocas!$A:$A,$C49,Resumo_Trocas!$F:$F,AB$44,Resumo_Trocas!$C:$C,"&gt;0")</f>
        <v>0</v>
      </c>
      <c r="AC49" s="141">
        <f>SUMIFS(Resumo_Trocas!$D:$D,Resumo_Trocas!$A:$A,$C49,Resumo_Trocas!$F:$F,AB$44,Resumo_Trocas!$C:$C,"&gt;0")</f>
        <v>0</v>
      </c>
      <c r="AD49" s="140">
        <f>SUMIFS(Resumo_Trocas!$C:$C,Resumo_Trocas!$A:$A,$C49,Resumo_Trocas!$F:$F,AD$44,Resumo_Trocas!$C:$C,"&gt;0")</f>
        <v>0</v>
      </c>
      <c r="AE49" s="141">
        <f>SUMIFS(Resumo_Trocas!$D:$D,Resumo_Trocas!$A:$A,$C49,Resumo_Trocas!$F:$F,AD$44,Resumo_Trocas!$C:$C,"&gt;0")</f>
        <v>0</v>
      </c>
      <c r="AF49" s="140">
        <f>SUMIFS(Resumo_Trocas!$C:$C,Resumo_Trocas!$A:$A,$C49,Resumo_Trocas!$F:$F,AF$44,Resumo_Trocas!$C:$C,"&gt;0")</f>
        <v>1</v>
      </c>
      <c r="AG49" s="141">
        <f>SUMIFS(Resumo_Trocas!$D:$D,Resumo_Trocas!$A:$A,$C49,Resumo_Trocas!$F:$F,AF$44,Resumo_Trocas!$C:$C,"&gt;0")</f>
        <v>0</v>
      </c>
      <c r="AH49" s="140">
        <f>SUMIFS(Resumo_Trocas!$C:$C,Resumo_Trocas!$A:$A,$C49,Resumo_Trocas!$F:$F,AH$44,Resumo_Trocas!$C:$C,"&gt;0")</f>
        <v>0</v>
      </c>
      <c r="AI49" s="141">
        <f>SUMIFS(Resumo_Trocas!$D:$D,Resumo_Trocas!$A:$A,$C49,Resumo_Trocas!$F:$F,AH$44,Resumo_Trocas!$C:$C,"&gt;0")</f>
        <v>0</v>
      </c>
      <c r="AJ49" s="140">
        <f>SUMIFS(Resumo_Trocas!$C:$C,Resumo_Trocas!$A:$A,$C49,Resumo_Trocas!$F:$F,AJ$44,Resumo_Trocas!$C:$C,"&gt;0")</f>
        <v>1</v>
      </c>
      <c r="AK49" s="141">
        <f>SUMIFS(Resumo_Trocas!$D:$D,Resumo_Trocas!$A:$A,$C49,Resumo_Trocas!$F:$F,AJ$44,Resumo_Trocas!$C:$C,"&gt;0")</f>
        <v>0</v>
      </c>
      <c r="AL49" s="140">
        <f>SUMIFS(Resumo_Trocas!$C:$C,Resumo_Trocas!$A:$A,$C49,Resumo_Trocas!$F:$F,AL$44,Resumo_Trocas!$C:$C,"&gt;0")</f>
        <v>0</v>
      </c>
      <c r="AM49" s="141">
        <f>SUMIFS(Resumo_Trocas!$D:$D,Resumo_Trocas!$A:$A,$C49,Resumo_Trocas!$F:$F,AL$44,Resumo_Trocas!$C:$C,"&gt;0")</f>
        <v>0</v>
      </c>
      <c r="AN49" s="140">
        <f>SUMIFS(Resumo_Trocas!$C:$C,Resumo_Trocas!$A:$A,$C49,Resumo_Trocas!$F:$F,AN$44,Resumo_Trocas!$C:$C,"&gt;0")</f>
        <v>0</v>
      </c>
      <c r="AO49" s="141">
        <f>SUMIFS(Resumo_Trocas!$D:$D,Resumo_Trocas!$A:$A,$C49,Resumo_Trocas!$F:$F,AN$44,Resumo_Trocas!$C:$C,"&gt;0")</f>
        <v>0</v>
      </c>
    </row>
    <row r="50" spans="2:41" ht="15" customHeight="1" outlineLevel="1" thickBot="1" x14ac:dyDescent="0.3">
      <c r="B50" s="76"/>
      <c r="C50" s="112" t="s">
        <v>287</v>
      </c>
      <c r="D50" s="140">
        <f>SUMIFS(Resumo_Trocas!$C:$C,Resumo_Trocas!$A:$A,$C50,Resumo_Trocas!$F:$F,D$44,Resumo_Trocas!$C:$C,"&gt;0")</f>
        <v>0</v>
      </c>
      <c r="E50" s="141">
        <f>SUMIFS(Resumo_Trocas!$D:$D,Resumo_Trocas!$A:$A,$C50,Resumo_Trocas!$F:$F,D$44,Resumo_Trocas!$C:$C,"&gt;0")</f>
        <v>0</v>
      </c>
      <c r="F50" s="140">
        <f>SUMIFS(Resumo_Trocas!$C:$C,Resumo_Trocas!$A:$A,$C50,Resumo_Trocas!$F:$F,F$44,Resumo_Trocas!$C:$C,"&gt;0")</f>
        <v>0</v>
      </c>
      <c r="G50" s="141">
        <f>SUMIFS(Resumo_Trocas!$D:$D,Resumo_Trocas!$A:$A,$C50,Resumo_Trocas!$F:$F,F$44,Resumo_Trocas!$C:$C,"&gt;0")</f>
        <v>0</v>
      </c>
      <c r="H50" s="140">
        <f>SUMIFS(Resumo_Trocas!$C:$C,Resumo_Trocas!$A:$A,$C50,Resumo_Trocas!$F:$F,H$44,Resumo_Trocas!$C:$C,"&gt;0")</f>
        <v>1</v>
      </c>
      <c r="I50" s="141">
        <f>SUMIFS(Resumo_Trocas!$D:$D,Resumo_Trocas!$A:$A,$C50,Resumo_Trocas!$F:$F,H$44,Resumo_Trocas!$C:$C,"&gt;0")</f>
        <v>1</v>
      </c>
      <c r="J50" s="140">
        <f>SUMIFS(Resumo_Trocas!$C:$C,Resumo_Trocas!$A:$A,$C50,Resumo_Trocas!$F:$F,J$44,Resumo_Trocas!$C:$C,"&gt;0")</f>
        <v>0</v>
      </c>
      <c r="K50" s="141">
        <f>SUMIFS(Resumo_Trocas!$D:$D,Resumo_Trocas!$A:$A,$C50,Resumo_Trocas!$F:$F,J$44,Resumo_Trocas!$C:$C,"&gt;0")</f>
        <v>0</v>
      </c>
      <c r="L50" s="140">
        <f>SUMIFS(Resumo_Trocas!$C:$C,Resumo_Trocas!$A:$A,$C50,Resumo_Trocas!$F:$F,L$44,Resumo_Trocas!$C:$C,"&gt;0")</f>
        <v>0</v>
      </c>
      <c r="M50" s="141">
        <f>SUMIFS(Resumo_Trocas!$D:$D,Resumo_Trocas!$A:$A,$C50,Resumo_Trocas!$F:$F,L$44,Resumo_Trocas!$C:$C,"&gt;0")</f>
        <v>0</v>
      </c>
      <c r="N50" s="140">
        <f>SUMIFS(Resumo_Trocas!$C:$C,Resumo_Trocas!$A:$A,$C50,Resumo_Trocas!$F:$F,N$44,Resumo_Trocas!$C:$C,"&gt;0")</f>
        <v>0</v>
      </c>
      <c r="O50" s="141">
        <f>SUMIFS(Resumo_Trocas!$D:$D,Resumo_Trocas!$A:$A,$C50,Resumo_Trocas!$F:$F,N$44,Resumo_Trocas!$C:$C,"&gt;0")</f>
        <v>0</v>
      </c>
      <c r="P50" s="140">
        <f>SUMIFS(Resumo_Trocas!$C:$C,Resumo_Trocas!$A:$A,$C50,Resumo_Trocas!$F:$F,P$44,Resumo_Trocas!$C:$C,"&gt;0")</f>
        <v>0</v>
      </c>
      <c r="Q50" s="141">
        <f>SUMIFS(Resumo_Trocas!$D:$D,Resumo_Trocas!$A:$A,$C50,Resumo_Trocas!$F:$F,P$44,Resumo_Trocas!$C:$C,"&gt;0")</f>
        <v>0</v>
      </c>
      <c r="R50" s="140">
        <f>SUMIFS(Resumo_Trocas!$C:$C,Resumo_Trocas!$A:$A,$C50,Resumo_Trocas!$F:$F,R$44,Resumo_Trocas!$C:$C,"&gt;0")</f>
        <v>0</v>
      </c>
      <c r="S50" s="141">
        <f>SUMIFS(Resumo_Trocas!$D:$D,Resumo_Trocas!$A:$A,$C50,Resumo_Trocas!$F:$F,R$44,Resumo_Trocas!$C:$C,"&gt;0")</f>
        <v>0</v>
      </c>
      <c r="T50" s="140">
        <f>SUMIFS(Resumo_Trocas!$C:$C,Resumo_Trocas!$A:$A,$C50,Resumo_Trocas!$F:$F,T$44,Resumo_Trocas!$C:$C,"&gt;0")</f>
        <v>0</v>
      </c>
      <c r="U50" s="141">
        <f>SUMIFS(Resumo_Trocas!$D:$D,Resumo_Trocas!$A:$A,$C50,Resumo_Trocas!$F:$F,T$44,Resumo_Trocas!$C:$C,"&gt;0")</f>
        <v>0</v>
      </c>
      <c r="V50" s="140">
        <f>SUMIFS(Resumo_Trocas!$C:$C,Resumo_Trocas!$A:$A,$C50,Resumo_Trocas!$F:$F,V$44,Resumo_Trocas!$C:$C,"&gt;0")</f>
        <v>0</v>
      </c>
      <c r="W50" s="141">
        <f>SUMIFS(Resumo_Trocas!$D:$D,Resumo_Trocas!$A:$A,$C50,Resumo_Trocas!$F:$F,V$44,Resumo_Trocas!$C:$C,"&gt;0")</f>
        <v>0</v>
      </c>
      <c r="X50" s="140">
        <f>SUMIFS(Resumo_Trocas!$C:$C,Resumo_Trocas!$A:$A,$C50,Resumo_Trocas!$F:$F,X$44,Resumo_Trocas!$C:$C,"&gt;0")</f>
        <v>0</v>
      </c>
      <c r="Y50" s="141">
        <f>SUMIFS(Resumo_Trocas!$D:$D,Resumo_Trocas!$A:$A,$C50,Resumo_Trocas!$F:$F,X$44,Resumo_Trocas!$C:$C,"&gt;0")</f>
        <v>0</v>
      </c>
      <c r="Z50" s="140">
        <f>SUMIFS(Resumo_Trocas!$C:$C,Resumo_Trocas!$A:$A,$C50,Resumo_Trocas!$F:$F,Z$44,Resumo_Trocas!$C:$C,"&gt;0")</f>
        <v>0</v>
      </c>
      <c r="AA50" s="141">
        <f>SUMIFS(Resumo_Trocas!$D:$D,Resumo_Trocas!$A:$A,$C50,Resumo_Trocas!$F:$F,Z$44,Resumo_Trocas!$C:$C,"&gt;0")</f>
        <v>0</v>
      </c>
      <c r="AB50" s="140">
        <f>SUMIFS(Resumo_Trocas!$C:$C,Resumo_Trocas!$A:$A,$C50,Resumo_Trocas!$F:$F,AB$44,Resumo_Trocas!$C:$C,"&gt;0")</f>
        <v>0</v>
      </c>
      <c r="AC50" s="141">
        <f>SUMIFS(Resumo_Trocas!$D:$D,Resumo_Trocas!$A:$A,$C50,Resumo_Trocas!$F:$F,AB$44,Resumo_Trocas!$C:$C,"&gt;0")</f>
        <v>0</v>
      </c>
      <c r="AD50" s="140">
        <f>SUMIFS(Resumo_Trocas!$C:$C,Resumo_Trocas!$A:$A,$C50,Resumo_Trocas!$F:$F,AD$44,Resumo_Trocas!$C:$C,"&gt;0")</f>
        <v>0</v>
      </c>
      <c r="AE50" s="141">
        <f>SUMIFS(Resumo_Trocas!$D:$D,Resumo_Trocas!$A:$A,$C50,Resumo_Trocas!$F:$F,AD$44,Resumo_Trocas!$C:$C,"&gt;0")</f>
        <v>0</v>
      </c>
      <c r="AF50" s="140">
        <f>SUMIFS(Resumo_Trocas!$C:$C,Resumo_Trocas!$A:$A,$C50,Resumo_Trocas!$F:$F,AF$44,Resumo_Trocas!$C:$C,"&gt;0")</f>
        <v>1</v>
      </c>
      <c r="AG50" s="141">
        <f>SUMIFS(Resumo_Trocas!$D:$D,Resumo_Trocas!$A:$A,$C50,Resumo_Trocas!$F:$F,AF$44,Resumo_Trocas!$C:$C,"&gt;0")</f>
        <v>0</v>
      </c>
      <c r="AH50" s="140">
        <f>SUMIFS(Resumo_Trocas!$C:$C,Resumo_Trocas!$A:$A,$C50,Resumo_Trocas!$F:$F,AH$44,Resumo_Trocas!$C:$C,"&gt;0")</f>
        <v>0</v>
      </c>
      <c r="AI50" s="141">
        <f>SUMIFS(Resumo_Trocas!$D:$D,Resumo_Trocas!$A:$A,$C50,Resumo_Trocas!$F:$F,AH$44,Resumo_Trocas!$C:$C,"&gt;0")</f>
        <v>0</v>
      </c>
      <c r="AJ50" s="140">
        <f>SUMIFS(Resumo_Trocas!$C:$C,Resumo_Trocas!$A:$A,$C50,Resumo_Trocas!$F:$F,AJ$44,Resumo_Trocas!$C:$C,"&gt;0")</f>
        <v>0</v>
      </c>
      <c r="AK50" s="141">
        <f>SUMIFS(Resumo_Trocas!$D:$D,Resumo_Trocas!$A:$A,$C50,Resumo_Trocas!$F:$F,AJ$44,Resumo_Trocas!$C:$C,"&gt;0")</f>
        <v>0</v>
      </c>
      <c r="AL50" s="140">
        <f>SUMIFS(Resumo_Trocas!$C:$C,Resumo_Trocas!$A:$A,$C50,Resumo_Trocas!$F:$F,AL$44,Resumo_Trocas!$C:$C,"&gt;0")</f>
        <v>1</v>
      </c>
      <c r="AM50" s="141">
        <f>SUMIFS(Resumo_Trocas!$D:$D,Resumo_Trocas!$A:$A,$C50,Resumo_Trocas!$F:$F,AL$44,Resumo_Trocas!$C:$C,"&gt;0")</f>
        <v>0</v>
      </c>
      <c r="AN50" s="140">
        <f>SUMIFS(Resumo_Trocas!$C:$C,Resumo_Trocas!$A:$A,$C50,Resumo_Trocas!$F:$F,AN$44,Resumo_Trocas!$C:$C,"&gt;0")</f>
        <v>0</v>
      </c>
      <c r="AO50" s="141">
        <f>SUMIFS(Resumo_Trocas!$D:$D,Resumo_Trocas!$A:$A,$C50,Resumo_Trocas!$F:$F,AN$44,Resumo_Trocas!$C:$C,"&gt;0")</f>
        <v>0</v>
      </c>
    </row>
    <row r="51" spans="2:41" ht="15" customHeight="1" outlineLevel="1" thickBot="1" x14ac:dyDescent="0.3">
      <c r="B51" s="76"/>
      <c r="C51" s="112" t="s">
        <v>288</v>
      </c>
      <c r="D51" s="140">
        <f>SUMIFS(Resumo_Trocas!$C:$C,Resumo_Trocas!$A:$A,$C51,Resumo_Trocas!$F:$F,D$44,Resumo_Trocas!$C:$C,"&gt;0")</f>
        <v>1</v>
      </c>
      <c r="E51" s="141">
        <f>SUMIFS(Resumo_Trocas!$D:$D,Resumo_Trocas!$A:$A,$C51,Resumo_Trocas!$F:$F,D$44,Resumo_Trocas!$C:$C,"&gt;0")</f>
        <v>1</v>
      </c>
      <c r="F51" s="140">
        <f>SUMIFS(Resumo_Trocas!$C:$C,Resumo_Trocas!$A:$A,$C51,Resumo_Trocas!$F:$F,F$44,Resumo_Trocas!$C:$C,"&gt;0")</f>
        <v>0</v>
      </c>
      <c r="G51" s="141">
        <f>SUMIFS(Resumo_Trocas!$D:$D,Resumo_Trocas!$A:$A,$C51,Resumo_Trocas!$F:$F,F$44,Resumo_Trocas!$C:$C,"&gt;0")</f>
        <v>0</v>
      </c>
      <c r="H51" s="140">
        <f>SUMIFS(Resumo_Trocas!$C:$C,Resumo_Trocas!$A:$A,$C51,Resumo_Trocas!$F:$F,H$44,Resumo_Trocas!$C:$C,"&gt;0")</f>
        <v>0</v>
      </c>
      <c r="I51" s="141">
        <f>SUMIFS(Resumo_Trocas!$D:$D,Resumo_Trocas!$A:$A,$C51,Resumo_Trocas!$F:$F,H$44,Resumo_Trocas!$C:$C,"&gt;0")</f>
        <v>0</v>
      </c>
      <c r="J51" s="140">
        <f>SUMIFS(Resumo_Trocas!$C:$C,Resumo_Trocas!$A:$A,$C51,Resumo_Trocas!$F:$F,J$44,Resumo_Trocas!$C:$C,"&gt;0")</f>
        <v>0</v>
      </c>
      <c r="K51" s="141">
        <f>SUMIFS(Resumo_Trocas!$D:$D,Resumo_Trocas!$A:$A,$C51,Resumo_Trocas!$F:$F,J$44,Resumo_Trocas!$C:$C,"&gt;0")</f>
        <v>0</v>
      </c>
      <c r="L51" s="140">
        <f>SUMIFS(Resumo_Trocas!$C:$C,Resumo_Trocas!$A:$A,$C51,Resumo_Trocas!$F:$F,L$44,Resumo_Trocas!$C:$C,"&gt;0")</f>
        <v>0</v>
      </c>
      <c r="M51" s="141">
        <f>SUMIFS(Resumo_Trocas!$D:$D,Resumo_Trocas!$A:$A,$C51,Resumo_Trocas!$F:$F,L$44,Resumo_Trocas!$C:$C,"&gt;0")</f>
        <v>0</v>
      </c>
      <c r="N51" s="140">
        <f>SUMIFS(Resumo_Trocas!$C:$C,Resumo_Trocas!$A:$A,$C51,Resumo_Trocas!$F:$F,N$44,Resumo_Trocas!$C:$C,"&gt;0")</f>
        <v>0</v>
      </c>
      <c r="O51" s="141">
        <f>SUMIFS(Resumo_Trocas!$D:$D,Resumo_Trocas!$A:$A,$C51,Resumo_Trocas!$F:$F,N$44,Resumo_Trocas!$C:$C,"&gt;0")</f>
        <v>0</v>
      </c>
      <c r="P51" s="140">
        <f>SUMIFS(Resumo_Trocas!$C:$C,Resumo_Trocas!$A:$A,$C51,Resumo_Trocas!$F:$F,P$44,Resumo_Trocas!$C:$C,"&gt;0")</f>
        <v>0</v>
      </c>
      <c r="Q51" s="141">
        <f>SUMIFS(Resumo_Trocas!$D:$D,Resumo_Trocas!$A:$A,$C51,Resumo_Trocas!$F:$F,P$44,Resumo_Trocas!$C:$C,"&gt;0")</f>
        <v>0</v>
      </c>
      <c r="R51" s="140">
        <f>SUMIFS(Resumo_Trocas!$C:$C,Resumo_Trocas!$A:$A,$C51,Resumo_Trocas!$F:$F,R$44,Resumo_Trocas!$C:$C,"&gt;0")</f>
        <v>0</v>
      </c>
      <c r="S51" s="141">
        <f>SUMIFS(Resumo_Trocas!$D:$D,Resumo_Trocas!$A:$A,$C51,Resumo_Trocas!$F:$F,R$44,Resumo_Trocas!$C:$C,"&gt;0")</f>
        <v>0</v>
      </c>
      <c r="T51" s="140">
        <f>SUMIFS(Resumo_Trocas!$C:$C,Resumo_Trocas!$A:$A,$C51,Resumo_Trocas!$F:$F,T$44,Resumo_Trocas!$C:$C,"&gt;0")</f>
        <v>0</v>
      </c>
      <c r="U51" s="141">
        <f>SUMIFS(Resumo_Trocas!$D:$D,Resumo_Trocas!$A:$A,$C51,Resumo_Trocas!$F:$F,T$44,Resumo_Trocas!$C:$C,"&gt;0")</f>
        <v>0</v>
      </c>
      <c r="V51" s="140">
        <f>SUMIFS(Resumo_Trocas!$C:$C,Resumo_Trocas!$A:$A,$C51,Resumo_Trocas!$F:$F,V$44,Resumo_Trocas!$C:$C,"&gt;0")</f>
        <v>0</v>
      </c>
      <c r="W51" s="141">
        <f>SUMIFS(Resumo_Trocas!$D:$D,Resumo_Trocas!$A:$A,$C51,Resumo_Trocas!$F:$F,V$44,Resumo_Trocas!$C:$C,"&gt;0")</f>
        <v>0</v>
      </c>
      <c r="X51" s="140">
        <f>SUMIFS(Resumo_Trocas!$C:$C,Resumo_Trocas!$A:$A,$C51,Resumo_Trocas!$F:$F,X$44,Resumo_Trocas!$C:$C,"&gt;0")</f>
        <v>0</v>
      </c>
      <c r="Y51" s="141">
        <f>SUMIFS(Resumo_Trocas!$D:$D,Resumo_Trocas!$A:$A,$C51,Resumo_Trocas!$F:$F,X$44,Resumo_Trocas!$C:$C,"&gt;0")</f>
        <v>0</v>
      </c>
      <c r="Z51" s="140">
        <f>SUMIFS(Resumo_Trocas!$C:$C,Resumo_Trocas!$A:$A,$C51,Resumo_Trocas!$F:$F,Z$44,Resumo_Trocas!$C:$C,"&gt;0")</f>
        <v>0</v>
      </c>
      <c r="AA51" s="141">
        <f>SUMIFS(Resumo_Trocas!$D:$D,Resumo_Trocas!$A:$A,$C51,Resumo_Trocas!$F:$F,Z$44,Resumo_Trocas!$C:$C,"&gt;0")</f>
        <v>0</v>
      </c>
      <c r="AB51" s="140">
        <f>SUMIFS(Resumo_Trocas!$C:$C,Resumo_Trocas!$A:$A,$C51,Resumo_Trocas!$F:$F,AB$44,Resumo_Trocas!$C:$C,"&gt;0")</f>
        <v>0</v>
      </c>
      <c r="AC51" s="141">
        <f>SUMIFS(Resumo_Trocas!$D:$D,Resumo_Trocas!$A:$A,$C51,Resumo_Trocas!$F:$F,AB$44,Resumo_Trocas!$C:$C,"&gt;0")</f>
        <v>0</v>
      </c>
      <c r="AD51" s="140">
        <f>SUMIFS(Resumo_Trocas!$C:$C,Resumo_Trocas!$A:$A,$C51,Resumo_Trocas!$F:$F,AD$44,Resumo_Trocas!$C:$C,"&gt;0")</f>
        <v>0</v>
      </c>
      <c r="AE51" s="141">
        <f>SUMIFS(Resumo_Trocas!$D:$D,Resumo_Trocas!$A:$A,$C51,Resumo_Trocas!$F:$F,AD$44,Resumo_Trocas!$C:$C,"&gt;0")</f>
        <v>0</v>
      </c>
      <c r="AF51" s="140">
        <f>SUMIFS(Resumo_Trocas!$C:$C,Resumo_Trocas!$A:$A,$C51,Resumo_Trocas!$F:$F,AF$44,Resumo_Trocas!$C:$C,"&gt;0")</f>
        <v>0</v>
      </c>
      <c r="AG51" s="141">
        <f>SUMIFS(Resumo_Trocas!$D:$D,Resumo_Trocas!$A:$A,$C51,Resumo_Trocas!$F:$F,AF$44,Resumo_Trocas!$C:$C,"&gt;0")</f>
        <v>0</v>
      </c>
      <c r="AH51" s="140">
        <f>SUMIFS(Resumo_Trocas!$C:$C,Resumo_Trocas!$A:$A,$C51,Resumo_Trocas!$F:$F,AH$44,Resumo_Trocas!$C:$C,"&gt;0")</f>
        <v>0</v>
      </c>
      <c r="AI51" s="141">
        <f>SUMIFS(Resumo_Trocas!$D:$D,Resumo_Trocas!$A:$A,$C51,Resumo_Trocas!$F:$F,AH$44,Resumo_Trocas!$C:$C,"&gt;0")</f>
        <v>0</v>
      </c>
      <c r="AJ51" s="140">
        <f>SUMIFS(Resumo_Trocas!$C:$C,Resumo_Trocas!$A:$A,$C51,Resumo_Trocas!$F:$F,AJ$44,Resumo_Trocas!$C:$C,"&gt;0")</f>
        <v>0</v>
      </c>
      <c r="AK51" s="141">
        <f>SUMIFS(Resumo_Trocas!$D:$D,Resumo_Trocas!$A:$A,$C51,Resumo_Trocas!$F:$F,AJ$44,Resumo_Trocas!$C:$C,"&gt;0")</f>
        <v>0</v>
      </c>
      <c r="AL51" s="140">
        <f>SUMIFS(Resumo_Trocas!$C:$C,Resumo_Trocas!$A:$A,$C51,Resumo_Trocas!$F:$F,AL$44,Resumo_Trocas!$C:$C,"&gt;0")</f>
        <v>0</v>
      </c>
      <c r="AM51" s="141">
        <f>SUMIFS(Resumo_Trocas!$D:$D,Resumo_Trocas!$A:$A,$C51,Resumo_Trocas!$F:$F,AL$44,Resumo_Trocas!$C:$C,"&gt;0")</f>
        <v>0</v>
      </c>
      <c r="AN51" s="140">
        <f>SUMIFS(Resumo_Trocas!$C:$C,Resumo_Trocas!$A:$A,$C51,Resumo_Trocas!$F:$F,AN$44,Resumo_Trocas!$C:$C,"&gt;0")</f>
        <v>0</v>
      </c>
      <c r="AO51" s="141">
        <f>SUMIFS(Resumo_Trocas!$D:$D,Resumo_Trocas!$A:$A,$C51,Resumo_Trocas!$F:$F,AN$44,Resumo_Trocas!$C:$C,"&gt;0")</f>
        <v>0</v>
      </c>
    </row>
    <row r="52" spans="2:41" ht="15" customHeight="1" outlineLevel="1" thickBot="1" x14ac:dyDescent="0.3">
      <c r="B52" s="76"/>
      <c r="C52" s="112" t="s">
        <v>291</v>
      </c>
      <c r="D52" s="140">
        <f>SUMIFS(Resumo_Trocas!$C:$C,Resumo_Trocas!$A:$A,$C52,Resumo_Trocas!$F:$F,D$44,Resumo_Trocas!$C:$C,"&gt;0")</f>
        <v>1</v>
      </c>
      <c r="E52" s="141">
        <f>SUMIFS(Resumo_Trocas!$D:$D,Resumo_Trocas!$A:$A,$C52,Resumo_Trocas!$F:$F,D$44,Resumo_Trocas!$C:$C,"&gt;0")</f>
        <v>0</v>
      </c>
      <c r="F52" s="140">
        <f>SUMIFS(Resumo_Trocas!$C:$C,Resumo_Trocas!$A:$A,$C52,Resumo_Trocas!$F:$F,F$44,Resumo_Trocas!$C:$C,"&gt;0")</f>
        <v>0</v>
      </c>
      <c r="G52" s="141">
        <f>SUMIFS(Resumo_Trocas!$D:$D,Resumo_Trocas!$A:$A,$C52,Resumo_Trocas!$F:$F,F$44,Resumo_Trocas!$C:$C,"&gt;0")</f>
        <v>0</v>
      </c>
      <c r="H52" s="140">
        <f>SUMIFS(Resumo_Trocas!$C:$C,Resumo_Trocas!$A:$A,$C52,Resumo_Trocas!$F:$F,H$44,Resumo_Trocas!$C:$C,"&gt;0")</f>
        <v>1</v>
      </c>
      <c r="I52" s="141">
        <f>SUMIFS(Resumo_Trocas!$D:$D,Resumo_Trocas!$A:$A,$C52,Resumo_Trocas!$F:$F,H$44,Resumo_Trocas!$C:$C,"&gt;0")</f>
        <v>0</v>
      </c>
      <c r="J52" s="140">
        <f>SUMIFS(Resumo_Trocas!$C:$C,Resumo_Trocas!$A:$A,$C52,Resumo_Trocas!$F:$F,J$44,Resumo_Trocas!$C:$C,"&gt;0")</f>
        <v>0</v>
      </c>
      <c r="K52" s="141">
        <f>SUMIFS(Resumo_Trocas!$D:$D,Resumo_Trocas!$A:$A,$C52,Resumo_Trocas!$F:$F,J$44,Resumo_Trocas!$C:$C,"&gt;0")</f>
        <v>0</v>
      </c>
      <c r="L52" s="140">
        <f>SUMIFS(Resumo_Trocas!$C:$C,Resumo_Trocas!$A:$A,$C52,Resumo_Trocas!$F:$F,L$44,Resumo_Trocas!$C:$C,"&gt;0")</f>
        <v>1</v>
      </c>
      <c r="M52" s="141">
        <f>SUMIFS(Resumo_Trocas!$D:$D,Resumo_Trocas!$A:$A,$C52,Resumo_Trocas!$F:$F,L$44,Resumo_Trocas!$C:$C,"&gt;0")</f>
        <v>0</v>
      </c>
      <c r="N52" s="140">
        <f>SUMIFS(Resumo_Trocas!$C:$C,Resumo_Trocas!$A:$A,$C52,Resumo_Trocas!$F:$F,N$44,Resumo_Trocas!$C:$C,"&gt;0")</f>
        <v>0</v>
      </c>
      <c r="O52" s="141">
        <f>SUMIFS(Resumo_Trocas!$D:$D,Resumo_Trocas!$A:$A,$C52,Resumo_Trocas!$F:$F,N$44,Resumo_Trocas!$C:$C,"&gt;0")</f>
        <v>0</v>
      </c>
      <c r="P52" s="140">
        <f>SUMIFS(Resumo_Trocas!$C:$C,Resumo_Trocas!$A:$A,$C52,Resumo_Trocas!$F:$F,P$44,Resumo_Trocas!$C:$C,"&gt;0")</f>
        <v>0</v>
      </c>
      <c r="Q52" s="141">
        <f>SUMIFS(Resumo_Trocas!$D:$D,Resumo_Trocas!$A:$A,$C52,Resumo_Trocas!$F:$F,P$44,Resumo_Trocas!$C:$C,"&gt;0")</f>
        <v>0</v>
      </c>
      <c r="R52" s="140">
        <f>SUMIFS(Resumo_Trocas!$C:$C,Resumo_Trocas!$A:$A,$C52,Resumo_Trocas!$F:$F,R$44,Resumo_Trocas!$C:$C,"&gt;0")</f>
        <v>0</v>
      </c>
      <c r="S52" s="141">
        <f>SUMIFS(Resumo_Trocas!$D:$D,Resumo_Trocas!$A:$A,$C52,Resumo_Trocas!$F:$F,R$44,Resumo_Trocas!$C:$C,"&gt;0")</f>
        <v>0</v>
      </c>
      <c r="T52" s="140">
        <f>SUMIFS(Resumo_Trocas!$C:$C,Resumo_Trocas!$A:$A,$C52,Resumo_Trocas!$F:$F,T$44,Resumo_Trocas!$C:$C,"&gt;0")</f>
        <v>0</v>
      </c>
      <c r="U52" s="141">
        <f>SUMIFS(Resumo_Trocas!$D:$D,Resumo_Trocas!$A:$A,$C52,Resumo_Trocas!$F:$F,T$44,Resumo_Trocas!$C:$C,"&gt;0")</f>
        <v>0</v>
      </c>
      <c r="V52" s="140">
        <f>SUMIFS(Resumo_Trocas!$C:$C,Resumo_Trocas!$A:$A,$C52,Resumo_Trocas!$F:$F,V$44,Resumo_Trocas!$C:$C,"&gt;0")</f>
        <v>0</v>
      </c>
      <c r="W52" s="141">
        <f>SUMIFS(Resumo_Trocas!$D:$D,Resumo_Trocas!$A:$A,$C52,Resumo_Trocas!$F:$F,V$44,Resumo_Trocas!$C:$C,"&gt;0")</f>
        <v>0</v>
      </c>
      <c r="X52" s="140">
        <f>SUMIFS(Resumo_Trocas!$C:$C,Resumo_Trocas!$A:$A,$C52,Resumo_Trocas!$F:$F,X$44,Resumo_Trocas!$C:$C,"&gt;0")</f>
        <v>0</v>
      </c>
      <c r="Y52" s="141">
        <f>SUMIFS(Resumo_Trocas!$D:$D,Resumo_Trocas!$A:$A,$C52,Resumo_Trocas!$F:$F,X$44,Resumo_Trocas!$C:$C,"&gt;0")</f>
        <v>0</v>
      </c>
      <c r="Z52" s="140">
        <f>SUMIFS(Resumo_Trocas!$C:$C,Resumo_Trocas!$A:$A,$C52,Resumo_Trocas!$F:$F,Z$44,Resumo_Trocas!$C:$C,"&gt;0")</f>
        <v>0</v>
      </c>
      <c r="AA52" s="141">
        <f>SUMIFS(Resumo_Trocas!$D:$D,Resumo_Trocas!$A:$A,$C52,Resumo_Trocas!$F:$F,Z$44,Resumo_Trocas!$C:$C,"&gt;0")</f>
        <v>0</v>
      </c>
      <c r="AB52" s="140">
        <f>SUMIFS(Resumo_Trocas!$C:$C,Resumo_Trocas!$A:$A,$C52,Resumo_Trocas!$F:$F,AB$44,Resumo_Trocas!$C:$C,"&gt;0")</f>
        <v>0</v>
      </c>
      <c r="AC52" s="141">
        <f>SUMIFS(Resumo_Trocas!$D:$D,Resumo_Trocas!$A:$A,$C52,Resumo_Trocas!$F:$F,AB$44,Resumo_Trocas!$C:$C,"&gt;0")</f>
        <v>0</v>
      </c>
      <c r="AD52" s="140">
        <f>SUMIFS(Resumo_Trocas!$C:$C,Resumo_Trocas!$A:$A,$C52,Resumo_Trocas!$F:$F,AD$44,Resumo_Trocas!$C:$C,"&gt;0")</f>
        <v>0</v>
      </c>
      <c r="AE52" s="141">
        <f>SUMIFS(Resumo_Trocas!$D:$D,Resumo_Trocas!$A:$A,$C52,Resumo_Trocas!$F:$F,AD$44,Resumo_Trocas!$C:$C,"&gt;0")</f>
        <v>0</v>
      </c>
      <c r="AF52" s="140">
        <f>SUMIFS(Resumo_Trocas!$C:$C,Resumo_Trocas!$A:$A,$C52,Resumo_Trocas!$F:$F,AF$44,Resumo_Trocas!$C:$C,"&gt;0")</f>
        <v>0</v>
      </c>
      <c r="AG52" s="141">
        <f>SUMIFS(Resumo_Trocas!$D:$D,Resumo_Trocas!$A:$A,$C52,Resumo_Trocas!$F:$F,AF$44,Resumo_Trocas!$C:$C,"&gt;0")</f>
        <v>0</v>
      </c>
      <c r="AH52" s="140">
        <f>SUMIFS(Resumo_Trocas!$C:$C,Resumo_Trocas!$A:$A,$C52,Resumo_Trocas!$F:$F,AH$44,Resumo_Trocas!$C:$C,"&gt;0")</f>
        <v>0</v>
      </c>
      <c r="AI52" s="141">
        <f>SUMIFS(Resumo_Trocas!$D:$D,Resumo_Trocas!$A:$A,$C52,Resumo_Trocas!$F:$F,AH$44,Resumo_Trocas!$C:$C,"&gt;0")</f>
        <v>0</v>
      </c>
      <c r="AJ52" s="140">
        <f>SUMIFS(Resumo_Trocas!$C:$C,Resumo_Trocas!$A:$A,$C52,Resumo_Trocas!$F:$F,AJ$44,Resumo_Trocas!$C:$C,"&gt;0")</f>
        <v>0</v>
      </c>
      <c r="AK52" s="141">
        <f>SUMIFS(Resumo_Trocas!$D:$D,Resumo_Trocas!$A:$A,$C52,Resumo_Trocas!$F:$F,AJ$44,Resumo_Trocas!$C:$C,"&gt;0")</f>
        <v>0</v>
      </c>
      <c r="AL52" s="140">
        <f>SUMIFS(Resumo_Trocas!$C:$C,Resumo_Trocas!$A:$A,$C52,Resumo_Trocas!$F:$F,AL$44,Resumo_Trocas!$C:$C,"&gt;0")</f>
        <v>0</v>
      </c>
      <c r="AM52" s="141">
        <f>SUMIFS(Resumo_Trocas!$D:$D,Resumo_Trocas!$A:$A,$C52,Resumo_Trocas!$F:$F,AL$44,Resumo_Trocas!$C:$C,"&gt;0")</f>
        <v>0</v>
      </c>
      <c r="AN52" s="140">
        <f>SUMIFS(Resumo_Trocas!$C:$C,Resumo_Trocas!$A:$A,$C52,Resumo_Trocas!$F:$F,AN$44,Resumo_Trocas!$C:$C,"&gt;0")</f>
        <v>0</v>
      </c>
      <c r="AO52" s="141">
        <f>SUMIFS(Resumo_Trocas!$D:$D,Resumo_Trocas!$A:$A,$C52,Resumo_Trocas!$F:$F,AN$44,Resumo_Trocas!$C:$C,"&gt;0")</f>
        <v>0</v>
      </c>
    </row>
    <row r="53" spans="2:41" ht="15" customHeight="1" outlineLevel="1" thickBot="1" x14ac:dyDescent="0.3">
      <c r="B53" s="76"/>
      <c r="C53" s="112" t="s">
        <v>296</v>
      </c>
      <c r="D53" s="140">
        <f>SUMIFS(Resumo_Trocas!$C:$C,Resumo_Trocas!$A:$A,$C53,Resumo_Trocas!$F:$F,D$44,Resumo_Trocas!$C:$C,"&gt;0")</f>
        <v>1</v>
      </c>
      <c r="E53" s="141">
        <f>SUMIFS(Resumo_Trocas!$D:$D,Resumo_Trocas!$A:$A,$C53,Resumo_Trocas!$F:$F,D$44,Resumo_Trocas!$C:$C,"&gt;0")</f>
        <v>0</v>
      </c>
      <c r="F53" s="140">
        <f>SUMIFS(Resumo_Trocas!$C:$C,Resumo_Trocas!$A:$A,$C53,Resumo_Trocas!$F:$F,F$44,Resumo_Trocas!$C:$C,"&gt;0")</f>
        <v>1</v>
      </c>
      <c r="G53" s="141">
        <f>SUMIFS(Resumo_Trocas!$D:$D,Resumo_Trocas!$A:$A,$C53,Resumo_Trocas!$F:$F,F$44,Resumo_Trocas!$C:$C,"&gt;0")</f>
        <v>0</v>
      </c>
      <c r="H53" s="140">
        <f>SUMIFS(Resumo_Trocas!$C:$C,Resumo_Trocas!$A:$A,$C53,Resumo_Trocas!$F:$F,H$44,Resumo_Trocas!$C:$C,"&gt;0")</f>
        <v>0</v>
      </c>
      <c r="I53" s="141">
        <f>SUMIFS(Resumo_Trocas!$D:$D,Resumo_Trocas!$A:$A,$C53,Resumo_Trocas!$F:$F,H$44,Resumo_Trocas!$C:$C,"&gt;0")</f>
        <v>0</v>
      </c>
      <c r="J53" s="140">
        <f>SUMIFS(Resumo_Trocas!$C:$C,Resumo_Trocas!$A:$A,$C53,Resumo_Trocas!$F:$F,J$44,Resumo_Trocas!$C:$C,"&gt;0")</f>
        <v>2</v>
      </c>
      <c r="K53" s="141">
        <f>SUMIFS(Resumo_Trocas!$D:$D,Resumo_Trocas!$A:$A,$C53,Resumo_Trocas!$F:$F,J$44,Resumo_Trocas!$C:$C,"&gt;0")</f>
        <v>0</v>
      </c>
      <c r="L53" s="140">
        <f>SUMIFS(Resumo_Trocas!$C:$C,Resumo_Trocas!$A:$A,$C53,Resumo_Trocas!$F:$F,L$44,Resumo_Trocas!$C:$C,"&gt;0")</f>
        <v>0</v>
      </c>
      <c r="M53" s="141">
        <f>SUMIFS(Resumo_Trocas!$D:$D,Resumo_Trocas!$A:$A,$C53,Resumo_Trocas!$F:$F,L$44,Resumo_Trocas!$C:$C,"&gt;0")</f>
        <v>0</v>
      </c>
      <c r="N53" s="140">
        <f>SUMIFS(Resumo_Trocas!$C:$C,Resumo_Trocas!$A:$A,$C53,Resumo_Trocas!$F:$F,N$44,Resumo_Trocas!$C:$C,"&gt;0")</f>
        <v>0</v>
      </c>
      <c r="O53" s="141">
        <f>SUMIFS(Resumo_Trocas!$D:$D,Resumo_Trocas!$A:$A,$C53,Resumo_Trocas!$F:$F,N$44,Resumo_Trocas!$C:$C,"&gt;0")</f>
        <v>0</v>
      </c>
      <c r="P53" s="140">
        <f>SUMIFS(Resumo_Trocas!$C:$C,Resumo_Trocas!$A:$A,$C53,Resumo_Trocas!$F:$F,P$44,Resumo_Trocas!$C:$C,"&gt;0")</f>
        <v>0</v>
      </c>
      <c r="Q53" s="141">
        <f>SUMIFS(Resumo_Trocas!$D:$D,Resumo_Trocas!$A:$A,$C53,Resumo_Trocas!$F:$F,P$44,Resumo_Trocas!$C:$C,"&gt;0")</f>
        <v>0</v>
      </c>
      <c r="R53" s="140">
        <f>SUMIFS(Resumo_Trocas!$C:$C,Resumo_Trocas!$A:$A,$C53,Resumo_Trocas!$F:$F,R$44,Resumo_Trocas!$C:$C,"&gt;0")</f>
        <v>1</v>
      </c>
      <c r="S53" s="141">
        <f>SUMIFS(Resumo_Trocas!$D:$D,Resumo_Trocas!$A:$A,$C53,Resumo_Trocas!$F:$F,R$44,Resumo_Trocas!$C:$C,"&gt;0")</f>
        <v>0</v>
      </c>
      <c r="T53" s="140">
        <f>SUMIFS(Resumo_Trocas!$C:$C,Resumo_Trocas!$A:$A,$C53,Resumo_Trocas!$F:$F,T$44,Resumo_Trocas!$C:$C,"&gt;0")</f>
        <v>0</v>
      </c>
      <c r="U53" s="141">
        <f>SUMIFS(Resumo_Trocas!$D:$D,Resumo_Trocas!$A:$A,$C53,Resumo_Trocas!$F:$F,T$44,Resumo_Trocas!$C:$C,"&gt;0")</f>
        <v>0</v>
      </c>
      <c r="V53" s="140">
        <f>SUMIFS(Resumo_Trocas!$C:$C,Resumo_Trocas!$A:$A,$C53,Resumo_Trocas!$F:$F,V$44,Resumo_Trocas!$C:$C,"&gt;0")</f>
        <v>0</v>
      </c>
      <c r="W53" s="141">
        <f>SUMIFS(Resumo_Trocas!$D:$D,Resumo_Trocas!$A:$A,$C53,Resumo_Trocas!$F:$F,V$44,Resumo_Trocas!$C:$C,"&gt;0")</f>
        <v>0</v>
      </c>
      <c r="X53" s="140">
        <f>SUMIFS(Resumo_Trocas!$C:$C,Resumo_Trocas!$A:$A,$C53,Resumo_Trocas!$F:$F,X$44,Resumo_Trocas!$C:$C,"&gt;0")</f>
        <v>0</v>
      </c>
      <c r="Y53" s="141">
        <f>SUMIFS(Resumo_Trocas!$D:$D,Resumo_Trocas!$A:$A,$C53,Resumo_Trocas!$F:$F,X$44,Resumo_Trocas!$C:$C,"&gt;0")</f>
        <v>0</v>
      </c>
      <c r="Z53" s="140">
        <f>SUMIFS(Resumo_Trocas!$C:$C,Resumo_Trocas!$A:$A,$C53,Resumo_Trocas!$F:$F,Z$44,Resumo_Trocas!$C:$C,"&gt;0")</f>
        <v>0</v>
      </c>
      <c r="AA53" s="141">
        <f>SUMIFS(Resumo_Trocas!$D:$D,Resumo_Trocas!$A:$A,$C53,Resumo_Trocas!$F:$F,Z$44,Resumo_Trocas!$C:$C,"&gt;0")</f>
        <v>0</v>
      </c>
      <c r="AB53" s="140">
        <f>SUMIFS(Resumo_Trocas!$C:$C,Resumo_Trocas!$A:$A,$C53,Resumo_Trocas!$F:$F,AB$44,Resumo_Trocas!$C:$C,"&gt;0")</f>
        <v>0</v>
      </c>
      <c r="AC53" s="141">
        <f>SUMIFS(Resumo_Trocas!$D:$D,Resumo_Trocas!$A:$A,$C53,Resumo_Trocas!$F:$F,AB$44,Resumo_Trocas!$C:$C,"&gt;0")</f>
        <v>0</v>
      </c>
      <c r="AD53" s="140">
        <f>SUMIFS(Resumo_Trocas!$C:$C,Resumo_Trocas!$A:$A,$C53,Resumo_Trocas!$F:$F,AD$44,Resumo_Trocas!$C:$C,"&gt;0")</f>
        <v>0</v>
      </c>
      <c r="AE53" s="141">
        <f>SUMIFS(Resumo_Trocas!$D:$D,Resumo_Trocas!$A:$A,$C53,Resumo_Trocas!$F:$F,AD$44,Resumo_Trocas!$C:$C,"&gt;0")</f>
        <v>0</v>
      </c>
      <c r="AF53" s="140">
        <f>SUMIFS(Resumo_Trocas!$C:$C,Resumo_Trocas!$A:$A,$C53,Resumo_Trocas!$F:$F,AF$44,Resumo_Trocas!$C:$C,"&gt;0")</f>
        <v>0</v>
      </c>
      <c r="AG53" s="141">
        <f>SUMIFS(Resumo_Trocas!$D:$D,Resumo_Trocas!$A:$A,$C53,Resumo_Trocas!$F:$F,AF$44,Resumo_Trocas!$C:$C,"&gt;0")</f>
        <v>0</v>
      </c>
      <c r="AH53" s="140">
        <f>SUMIFS(Resumo_Trocas!$C:$C,Resumo_Trocas!$A:$A,$C53,Resumo_Trocas!$F:$F,AH$44,Resumo_Trocas!$C:$C,"&gt;0")</f>
        <v>0</v>
      </c>
      <c r="AI53" s="141">
        <f>SUMIFS(Resumo_Trocas!$D:$D,Resumo_Trocas!$A:$A,$C53,Resumo_Trocas!$F:$F,AH$44,Resumo_Trocas!$C:$C,"&gt;0")</f>
        <v>0</v>
      </c>
      <c r="AJ53" s="140">
        <f>SUMIFS(Resumo_Trocas!$C:$C,Resumo_Trocas!$A:$A,$C53,Resumo_Trocas!$F:$F,AJ$44,Resumo_Trocas!$C:$C,"&gt;0")</f>
        <v>0</v>
      </c>
      <c r="AK53" s="141">
        <f>SUMIFS(Resumo_Trocas!$D:$D,Resumo_Trocas!$A:$A,$C53,Resumo_Trocas!$F:$F,AJ$44,Resumo_Trocas!$C:$C,"&gt;0")</f>
        <v>0</v>
      </c>
      <c r="AL53" s="140">
        <f>SUMIFS(Resumo_Trocas!$C:$C,Resumo_Trocas!$A:$A,$C53,Resumo_Trocas!$F:$F,AL$44,Resumo_Trocas!$C:$C,"&gt;0")</f>
        <v>0</v>
      </c>
      <c r="AM53" s="141">
        <f>SUMIFS(Resumo_Trocas!$D:$D,Resumo_Trocas!$A:$A,$C53,Resumo_Trocas!$F:$F,AL$44,Resumo_Trocas!$C:$C,"&gt;0")</f>
        <v>0</v>
      </c>
      <c r="AN53" s="140">
        <f>SUMIFS(Resumo_Trocas!$C:$C,Resumo_Trocas!$A:$A,$C53,Resumo_Trocas!$F:$F,AN$44,Resumo_Trocas!$C:$C,"&gt;0")</f>
        <v>0</v>
      </c>
      <c r="AO53" s="141">
        <f>SUMIFS(Resumo_Trocas!$D:$D,Resumo_Trocas!$A:$A,$C53,Resumo_Trocas!$F:$F,AN$44,Resumo_Trocas!$C:$C,"&gt;0")</f>
        <v>0</v>
      </c>
    </row>
    <row r="54" spans="2:41" ht="15" customHeight="1" outlineLevel="1" thickBot="1" x14ac:dyDescent="0.3">
      <c r="B54" s="76"/>
      <c r="C54" s="112" t="s">
        <v>299</v>
      </c>
      <c r="D54" s="140">
        <f>SUMIFS(Resumo_Trocas!$C:$C,Resumo_Trocas!$A:$A,$C54,Resumo_Trocas!$F:$F,D$44,Resumo_Trocas!$C:$C,"&gt;0")</f>
        <v>1</v>
      </c>
      <c r="E54" s="141">
        <f>SUMIFS(Resumo_Trocas!$D:$D,Resumo_Trocas!$A:$A,$C54,Resumo_Trocas!$F:$F,D$44,Resumo_Trocas!$C:$C,"&gt;0")</f>
        <v>0</v>
      </c>
      <c r="F54" s="140">
        <f>SUMIFS(Resumo_Trocas!$C:$C,Resumo_Trocas!$A:$A,$C54,Resumo_Trocas!$F:$F,F$44,Resumo_Trocas!$C:$C,"&gt;0")</f>
        <v>1</v>
      </c>
      <c r="G54" s="141">
        <f>SUMIFS(Resumo_Trocas!$D:$D,Resumo_Trocas!$A:$A,$C54,Resumo_Trocas!$F:$F,F$44,Resumo_Trocas!$C:$C,"&gt;0")</f>
        <v>1</v>
      </c>
      <c r="H54" s="140">
        <f>SUMIFS(Resumo_Trocas!$C:$C,Resumo_Trocas!$A:$A,$C54,Resumo_Trocas!$F:$F,H$44,Resumo_Trocas!$C:$C,"&gt;0")</f>
        <v>0</v>
      </c>
      <c r="I54" s="141">
        <f>SUMIFS(Resumo_Trocas!$D:$D,Resumo_Trocas!$A:$A,$C54,Resumo_Trocas!$F:$F,H$44,Resumo_Trocas!$C:$C,"&gt;0")</f>
        <v>0</v>
      </c>
      <c r="J54" s="140">
        <f>SUMIFS(Resumo_Trocas!$C:$C,Resumo_Trocas!$A:$A,$C54,Resumo_Trocas!$F:$F,J$44,Resumo_Trocas!$C:$C,"&gt;0")</f>
        <v>0</v>
      </c>
      <c r="K54" s="141">
        <f>SUMIFS(Resumo_Trocas!$D:$D,Resumo_Trocas!$A:$A,$C54,Resumo_Trocas!$F:$F,J$44,Resumo_Trocas!$C:$C,"&gt;0")</f>
        <v>0</v>
      </c>
      <c r="L54" s="140">
        <f>SUMIFS(Resumo_Trocas!$C:$C,Resumo_Trocas!$A:$A,$C54,Resumo_Trocas!$F:$F,L$44,Resumo_Trocas!$C:$C,"&gt;0")</f>
        <v>0</v>
      </c>
      <c r="M54" s="141">
        <f>SUMIFS(Resumo_Trocas!$D:$D,Resumo_Trocas!$A:$A,$C54,Resumo_Trocas!$F:$F,L$44,Resumo_Trocas!$C:$C,"&gt;0")</f>
        <v>0</v>
      </c>
      <c r="N54" s="140">
        <f>SUMIFS(Resumo_Trocas!$C:$C,Resumo_Trocas!$A:$A,$C54,Resumo_Trocas!$F:$F,N$44,Resumo_Trocas!$C:$C,"&gt;0")</f>
        <v>0</v>
      </c>
      <c r="O54" s="141">
        <f>SUMIFS(Resumo_Trocas!$D:$D,Resumo_Trocas!$A:$A,$C54,Resumo_Trocas!$F:$F,N$44,Resumo_Trocas!$C:$C,"&gt;0")</f>
        <v>0</v>
      </c>
      <c r="P54" s="140">
        <f>SUMIFS(Resumo_Trocas!$C:$C,Resumo_Trocas!$A:$A,$C54,Resumo_Trocas!$F:$F,P$44,Resumo_Trocas!$C:$C,"&gt;0")</f>
        <v>0</v>
      </c>
      <c r="Q54" s="141">
        <f>SUMIFS(Resumo_Trocas!$D:$D,Resumo_Trocas!$A:$A,$C54,Resumo_Trocas!$F:$F,P$44,Resumo_Trocas!$C:$C,"&gt;0")</f>
        <v>0</v>
      </c>
      <c r="R54" s="140">
        <f>SUMIFS(Resumo_Trocas!$C:$C,Resumo_Trocas!$A:$A,$C54,Resumo_Trocas!$F:$F,R$44,Resumo_Trocas!$C:$C,"&gt;0")</f>
        <v>0</v>
      </c>
      <c r="S54" s="141">
        <f>SUMIFS(Resumo_Trocas!$D:$D,Resumo_Trocas!$A:$A,$C54,Resumo_Trocas!$F:$F,R$44,Resumo_Trocas!$C:$C,"&gt;0")</f>
        <v>0</v>
      </c>
      <c r="T54" s="140">
        <f>SUMIFS(Resumo_Trocas!$C:$C,Resumo_Trocas!$A:$A,$C54,Resumo_Trocas!$F:$F,T$44,Resumo_Trocas!$C:$C,"&gt;0")</f>
        <v>0</v>
      </c>
      <c r="U54" s="141">
        <f>SUMIFS(Resumo_Trocas!$D:$D,Resumo_Trocas!$A:$A,$C54,Resumo_Trocas!$F:$F,T$44,Resumo_Trocas!$C:$C,"&gt;0")</f>
        <v>0</v>
      </c>
      <c r="V54" s="140">
        <f>SUMIFS(Resumo_Trocas!$C:$C,Resumo_Trocas!$A:$A,$C54,Resumo_Trocas!$F:$F,V$44,Resumo_Trocas!$C:$C,"&gt;0")</f>
        <v>1</v>
      </c>
      <c r="W54" s="141">
        <f>SUMIFS(Resumo_Trocas!$D:$D,Resumo_Trocas!$A:$A,$C54,Resumo_Trocas!$F:$F,V$44,Resumo_Trocas!$C:$C,"&gt;0")</f>
        <v>1</v>
      </c>
      <c r="X54" s="140">
        <f>SUMIFS(Resumo_Trocas!$C:$C,Resumo_Trocas!$A:$A,$C54,Resumo_Trocas!$F:$F,X$44,Resumo_Trocas!$C:$C,"&gt;0")</f>
        <v>0</v>
      </c>
      <c r="Y54" s="141">
        <f>SUMIFS(Resumo_Trocas!$D:$D,Resumo_Trocas!$A:$A,$C54,Resumo_Trocas!$F:$F,X$44,Resumo_Trocas!$C:$C,"&gt;0")</f>
        <v>0</v>
      </c>
      <c r="Z54" s="140">
        <f>SUMIFS(Resumo_Trocas!$C:$C,Resumo_Trocas!$A:$A,$C54,Resumo_Trocas!$F:$F,Z$44,Resumo_Trocas!$C:$C,"&gt;0")</f>
        <v>0</v>
      </c>
      <c r="AA54" s="141">
        <f>SUMIFS(Resumo_Trocas!$D:$D,Resumo_Trocas!$A:$A,$C54,Resumo_Trocas!$F:$F,Z$44,Resumo_Trocas!$C:$C,"&gt;0")</f>
        <v>0</v>
      </c>
      <c r="AB54" s="140">
        <f>SUMIFS(Resumo_Trocas!$C:$C,Resumo_Trocas!$A:$A,$C54,Resumo_Trocas!$F:$F,AB$44,Resumo_Trocas!$C:$C,"&gt;0")</f>
        <v>0</v>
      </c>
      <c r="AC54" s="141">
        <f>SUMIFS(Resumo_Trocas!$D:$D,Resumo_Trocas!$A:$A,$C54,Resumo_Trocas!$F:$F,AB$44,Resumo_Trocas!$C:$C,"&gt;0")</f>
        <v>0</v>
      </c>
      <c r="AD54" s="140">
        <f>SUMIFS(Resumo_Trocas!$C:$C,Resumo_Trocas!$A:$A,$C54,Resumo_Trocas!$F:$F,AD$44,Resumo_Trocas!$C:$C,"&gt;0")</f>
        <v>0</v>
      </c>
      <c r="AE54" s="141">
        <f>SUMIFS(Resumo_Trocas!$D:$D,Resumo_Trocas!$A:$A,$C54,Resumo_Trocas!$F:$F,AD$44,Resumo_Trocas!$C:$C,"&gt;0")</f>
        <v>0</v>
      </c>
      <c r="AF54" s="140">
        <f>SUMIFS(Resumo_Trocas!$C:$C,Resumo_Trocas!$A:$A,$C54,Resumo_Trocas!$F:$F,AF$44,Resumo_Trocas!$C:$C,"&gt;0")</f>
        <v>0</v>
      </c>
      <c r="AG54" s="141">
        <f>SUMIFS(Resumo_Trocas!$D:$D,Resumo_Trocas!$A:$A,$C54,Resumo_Trocas!$F:$F,AF$44,Resumo_Trocas!$C:$C,"&gt;0")</f>
        <v>0</v>
      </c>
      <c r="AH54" s="140">
        <f>SUMIFS(Resumo_Trocas!$C:$C,Resumo_Trocas!$A:$A,$C54,Resumo_Trocas!$F:$F,AH$44,Resumo_Trocas!$C:$C,"&gt;0")</f>
        <v>0</v>
      </c>
      <c r="AI54" s="141">
        <f>SUMIFS(Resumo_Trocas!$D:$D,Resumo_Trocas!$A:$A,$C54,Resumo_Trocas!$F:$F,AH$44,Resumo_Trocas!$C:$C,"&gt;0")</f>
        <v>0</v>
      </c>
      <c r="AJ54" s="140">
        <f>SUMIFS(Resumo_Trocas!$C:$C,Resumo_Trocas!$A:$A,$C54,Resumo_Trocas!$F:$F,AJ$44,Resumo_Trocas!$C:$C,"&gt;0")</f>
        <v>0</v>
      </c>
      <c r="AK54" s="141">
        <f>SUMIFS(Resumo_Trocas!$D:$D,Resumo_Trocas!$A:$A,$C54,Resumo_Trocas!$F:$F,AJ$44,Resumo_Trocas!$C:$C,"&gt;0")</f>
        <v>0</v>
      </c>
      <c r="AL54" s="140">
        <f>SUMIFS(Resumo_Trocas!$C:$C,Resumo_Trocas!$A:$A,$C54,Resumo_Trocas!$F:$F,AL$44,Resumo_Trocas!$C:$C,"&gt;0")</f>
        <v>0</v>
      </c>
      <c r="AM54" s="141">
        <f>SUMIFS(Resumo_Trocas!$D:$D,Resumo_Trocas!$A:$A,$C54,Resumo_Trocas!$F:$F,AL$44,Resumo_Trocas!$C:$C,"&gt;0")</f>
        <v>0</v>
      </c>
      <c r="AN54" s="140">
        <f>SUMIFS(Resumo_Trocas!$C:$C,Resumo_Trocas!$A:$A,$C54,Resumo_Trocas!$F:$F,AN$44,Resumo_Trocas!$C:$C,"&gt;0")</f>
        <v>0</v>
      </c>
      <c r="AO54" s="141">
        <f>SUMIFS(Resumo_Trocas!$D:$D,Resumo_Trocas!$A:$A,$C54,Resumo_Trocas!$F:$F,AN$44,Resumo_Trocas!$C:$C,"&gt;0")</f>
        <v>0</v>
      </c>
    </row>
    <row r="55" spans="2:41" ht="15" customHeight="1" outlineLevel="1" thickBot="1" x14ac:dyDescent="0.3">
      <c r="B55" s="76"/>
      <c r="C55" s="112" t="s">
        <v>301</v>
      </c>
      <c r="D55" s="140">
        <f>SUMIFS(Resumo_Trocas!$C:$C,Resumo_Trocas!$A:$A,$C55,Resumo_Trocas!$F:$F,D$44,Resumo_Trocas!$C:$C,"&gt;0")</f>
        <v>1</v>
      </c>
      <c r="E55" s="141">
        <f>SUMIFS(Resumo_Trocas!$D:$D,Resumo_Trocas!$A:$A,$C55,Resumo_Trocas!$F:$F,D$44,Resumo_Trocas!$C:$C,"&gt;0")</f>
        <v>0</v>
      </c>
      <c r="F55" s="140">
        <f>SUMIFS(Resumo_Trocas!$C:$C,Resumo_Trocas!$A:$A,$C55,Resumo_Trocas!$F:$F,F$44,Resumo_Trocas!$C:$C,"&gt;0")</f>
        <v>0</v>
      </c>
      <c r="G55" s="141">
        <f>SUMIFS(Resumo_Trocas!$D:$D,Resumo_Trocas!$A:$A,$C55,Resumo_Trocas!$F:$F,F$44,Resumo_Trocas!$C:$C,"&gt;0")</f>
        <v>0</v>
      </c>
      <c r="H55" s="140">
        <f>SUMIFS(Resumo_Trocas!$C:$C,Resumo_Trocas!$A:$A,$C55,Resumo_Trocas!$F:$F,H$44,Resumo_Trocas!$C:$C,"&gt;0")</f>
        <v>0</v>
      </c>
      <c r="I55" s="141">
        <f>SUMIFS(Resumo_Trocas!$D:$D,Resumo_Trocas!$A:$A,$C55,Resumo_Trocas!$F:$F,H$44,Resumo_Trocas!$C:$C,"&gt;0")</f>
        <v>0</v>
      </c>
      <c r="J55" s="140">
        <f>SUMIFS(Resumo_Trocas!$C:$C,Resumo_Trocas!$A:$A,$C55,Resumo_Trocas!$F:$F,J$44,Resumo_Trocas!$C:$C,"&gt;0")</f>
        <v>0</v>
      </c>
      <c r="K55" s="141">
        <f>SUMIFS(Resumo_Trocas!$D:$D,Resumo_Trocas!$A:$A,$C55,Resumo_Trocas!$F:$F,J$44,Resumo_Trocas!$C:$C,"&gt;0")</f>
        <v>0</v>
      </c>
      <c r="L55" s="140">
        <f>SUMIFS(Resumo_Trocas!$C:$C,Resumo_Trocas!$A:$A,$C55,Resumo_Trocas!$F:$F,L$44,Resumo_Trocas!$C:$C,"&gt;0")</f>
        <v>0</v>
      </c>
      <c r="M55" s="141">
        <f>SUMIFS(Resumo_Trocas!$D:$D,Resumo_Trocas!$A:$A,$C55,Resumo_Trocas!$F:$F,L$44,Resumo_Trocas!$C:$C,"&gt;0")</f>
        <v>0</v>
      </c>
      <c r="N55" s="140">
        <f>SUMIFS(Resumo_Trocas!$C:$C,Resumo_Trocas!$A:$A,$C55,Resumo_Trocas!$F:$F,N$44,Resumo_Trocas!$C:$C,"&gt;0")</f>
        <v>0</v>
      </c>
      <c r="O55" s="141">
        <f>SUMIFS(Resumo_Trocas!$D:$D,Resumo_Trocas!$A:$A,$C55,Resumo_Trocas!$F:$F,N$44,Resumo_Trocas!$C:$C,"&gt;0")</f>
        <v>0</v>
      </c>
      <c r="P55" s="140">
        <f>SUMIFS(Resumo_Trocas!$C:$C,Resumo_Trocas!$A:$A,$C55,Resumo_Trocas!$F:$F,P$44,Resumo_Trocas!$C:$C,"&gt;0")</f>
        <v>0</v>
      </c>
      <c r="Q55" s="141">
        <f>SUMIFS(Resumo_Trocas!$D:$D,Resumo_Trocas!$A:$A,$C55,Resumo_Trocas!$F:$F,P$44,Resumo_Trocas!$C:$C,"&gt;0")</f>
        <v>0</v>
      </c>
      <c r="R55" s="140">
        <f>SUMIFS(Resumo_Trocas!$C:$C,Resumo_Trocas!$A:$A,$C55,Resumo_Trocas!$F:$F,R$44,Resumo_Trocas!$C:$C,"&gt;0")</f>
        <v>0</v>
      </c>
      <c r="S55" s="141">
        <f>SUMIFS(Resumo_Trocas!$D:$D,Resumo_Trocas!$A:$A,$C55,Resumo_Trocas!$F:$F,R$44,Resumo_Trocas!$C:$C,"&gt;0")</f>
        <v>0</v>
      </c>
      <c r="T55" s="140">
        <f>SUMIFS(Resumo_Trocas!$C:$C,Resumo_Trocas!$A:$A,$C55,Resumo_Trocas!$F:$F,T$44,Resumo_Trocas!$C:$C,"&gt;0")</f>
        <v>0</v>
      </c>
      <c r="U55" s="141">
        <f>SUMIFS(Resumo_Trocas!$D:$D,Resumo_Trocas!$A:$A,$C55,Resumo_Trocas!$F:$F,T$44,Resumo_Trocas!$C:$C,"&gt;0")</f>
        <v>0</v>
      </c>
      <c r="V55" s="140">
        <f>SUMIFS(Resumo_Trocas!$C:$C,Resumo_Trocas!$A:$A,$C55,Resumo_Trocas!$F:$F,V$44,Resumo_Trocas!$C:$C,"&gt;0")</f>
        <v>0</v>
      </c>
      <c r="W55" s="141">
        <f>SUMIFS(Resumo_Trocas!$D:$D,Resumo_Trocas!$A:$A,$C55,Resumo_Trocas!$F:$F,V$44,Resumo_Trocas!$C:$C,"&gt;0")</f>
        <v>0</v>
      </c>
      <c r="X55" s="140">
        <f>SUMIFS(Resumo_Trocas!$C:$C,Resumo_Trocas!$A:$A,$C55,Resumo_Trocas!$F:$F,X$44,Resumo_Trocas!$C:$C,"&gt;0")</f>
        <v>0</v>
      </c>
      <c r="Y55" s="141">
        <f>SUMIFS(Resumo_Trocas!$D:$D,Resumo_Trocas!$A:$A,$C55,Resumo_Trocas!$F:$F,X$44,Resumo_Trocas!$C:$C,"&gt;0")</f>
        <v>0</v>
      </c>
      <c r="Z55" s="140">
        <f>SUMIFS(Resumo_Trocas!$C:$C,Resumo_Trocas!$A:$A,$C55,Resumo_Trocas!$F:$F,Z$44,Resumo_Trocas!$C:$C,"&gt;0")</f>
        <v>0</v>
      </c>
      <c r="AA55" s="141">
        <f>SUMIFS(Resumo_Trocas!$D:$D,Resumo_Trocas!$A:$A,$C55,Resumo_Trocas!$F:$F,Z$44,Resumo_Trocas!$C:$C,"&gt;0")</f>
        <v>0</v>
      </c>
      <c r="AB55" s="140">
        <f>SUMIFS(Resumo_Trocas!$C:$C,Resumo_Trocas!$A:$A,$C55,Resumo_Trocas!$F:$F,AB$44,Resumo_Trocas!$C:$C,"&gt;0")</f>
        <v>0</v>
      </c>
      <c r="AC55" s="141">
        <f>SUMIFS(Resumo_Trocas!$D:$D,Resumo_Trocas!$A:$A,$C55,Resumo_Trocas!$F:$F,AB$44,Resumo_Trocas!$C:$C,"&gt;0")</f>
        <v>0</v>
      </c>
      <c r="AD55" s="140">
        <f>SUMIFS(Resumo_Trocas!$C:$C,Resumo_Trocas!$A:$A,$C55,Resumo_Trocas!$F:$F,AD$44,Resumo_Trocas!$C:$C,"&gt;0")</f>
        <v>0</v>
      </c>
      <c r="AE55" s="141">
        <f>SUMIFS(Resumo_Trocas!$D:$D,Resumo_Trocas!$A:$A,$C55,Resumo_Trocas!$F:$F,AD$44,Resumo_Trocas!$C:$C,"&gt;0")</f>
        <v>0</v>
      </c>
      <c r="AF55" s="140">
        <f>SUMIFS(Resumo_Trocas!$C:$C,Resumo_Trocas!$A:$A,$C55,Resumo_Trocas!$F:$F,AF$44,Resumo_Trocas!$C:$C,"&gt;0")</f>
        <v>0</v>
      </c>
      <c r="AG55" s="141">
        <f>SUMIFS(Resumo_Trocas!$D:$D,Resumo_Trocas!$A:$A,$C55,Resumo_Trocas!$F:$F,AF$44,Resumo_Trocas!$C:$C,"&gt;0")</f>
        <v>0</v>
      </c>
      <c r="AH55" s="140">
        <f>SUMIFS(Resumo_Trocas!$C:$C,Resumo_Trocas!$A:$A,$C55,Resumo_Trocas!$F:$F,AH$44,Resumo_Trocas!$C:$C,"&gt;0")</f>
        <v>0</v>
      </c>
      <c r="AI55" s="141">
        <f>SUMIFS(Resumo_Trocas!$D:$D,Resumo_Trocas!$A:$A,$C55,Resumo_Trocas!$F:$F,AH$44,Resumo_Trocas!$C:$C,"&gt;0")</f>
        <v>0</v>
      </c>
      <c r="AJ55" s="140">
        <f>SUMIFS(Resumo_Trocas!$C:$C,Resumo_Trocas!$A:$A,$C55,Resumo_Trocas!$F:$F,AJ$44,Resumo_Trocas!$C:$C,"&gt;0")</f>
        <v>0</v>
      </c>
      <c r="AK55" s="141">
        <f>SUMIFS(Resumo_Trocas!$D:$D,Resumo_Trocas!$A:$A,$C55,Resumo_Trocas!$F:$F,AJ$44,Resumo_Trocas!$C:$C,"&gt;0")</f>
        <v>0</v>
      </c>
      <c r="AL55" s="140">
        <f>SUMIFS(Resumo_Trocas!$C:$C,Resumo_Trocas!$A:$A,$C55,Resumo_Trocas!$F:$F,AL$44,Resumo_Trocas!$C:$C,"&gt;0")</f>
        <v>0</v>
      </c>
      <c r="AM55" s="141">
        <f>SUMIFS(Resumo_Trocas!$D:$D,Resumo_Trocas!$A:$A,$C55,Resumo_Trocas!$F:$F,AL$44,Resumo_Trocas!$C:$C,"&gt;0")</f>
        <v>0</v>
      </c>
      <c r="AN55" s="140">
        <f>SUMIFS(Resumo_Trocas!$C:$C,Resumo_Trocas!$A:$A,$C55,Resumo_Trocas!$F:$F,AN$44,Resumo_Trocas!$C:$C,"&gt;0")</f>
        <v>0</v>
      </c>
      <c r="AO55" s="141">
        <f>SUMIFS(Resumo_Trocas!$D:$D,Resumo_Trocas!$A:$A,$C55,Resumo_Trocas!$F:$F,AN$44,Resumo_Trocas!$C:$C,"&gt;0")</f>
        <v>0</v>
      </c>
    </row>
    <row r="56" spans="2:41" ht="15" customHeight="1" outlineLevel="1" thickBot="1" x14ac:dyDescent="0.3">
      <c r="B56" s="76"/>
      <c r="C56" s="112" t="s">
        <v>302</v>
      </c>
      <c r="D56" s="140">
        <f>SUMIFS(Resumo_Trocas!$C:$C,Resumo_Trocas!$A:$A,$C56,Resumo_Trocas!$F:$F,D$44,Resumo_Trocas!$C:$C,"&gt;0")</f>
        <v>5</v>
      </c>
      <c r="E56" s="141">
        <f>SUMIFS(Resumo_Trocas!$D:$D,Resumo_Trocas!$A:$A,$C56,Resumo_Trocas!$F:$F,D$44,Resumo_Trocas!$C:$C,"&gt;0")</f>
        <v>4</v>
      </c>
      <c r="F56" s="140">
        <f>SUMIFS(Resumo_Trocas!$C:$C,Resumo_Trocas!$A:$A,$C56,Resumo_Trocas!$F:$F,F$44,Resumo_Trocas!$C:$C,"&gt;0")</f>
        <v>3</v>
      </c>
      <c r="G56" s="141">
        <f>SUMIFS(Resumo_Trocas!$D:$D,Resumo_Trocas!$A:$A,$C56,Resumo_Trocas!$F:$F,F$44,Resumo_Trocas!$C:$C,"&gt;0")</f>
        <v>6</v>
      </c>
      <c r="H56" s="140">
        <f>SUMIFS(Resumo_Trocas!$C:$C,Resumo_Trocas!$A:$A,$C56,Resumo_Trocas!$F:$F,H$44,Resumo_Trocas!$C:$C,"&gt;0")</f>
        <v>0</v>
      </c>
      <c r="I56" s="141">
        <f>SUMIFS(Resumo_Trocas!$D:$D,Resumo_Trocas!$A:$A,$C56,Resumo_Trocas!$F:$F,H$44,Resumo_Trocas!$C:$C,"&gt;0")</f>
        <v>0</v>
      </c>
      <c r="J56" s="140">
        <f>SUMIFS(Resumo_Trocas!$C:$C,Resumo_Trocas!$A:$A,$C56,Resumo_Trocas!$F:$F,J$44,Resumo_Trocas!$C:$C,"&gt;0")</f>
        <v>2</v>
      </c>
      <c r="K56" s="141">
        <f>SUMIFS(Resumo_Trocas!$D:$D,Resumo_Trocas!$A:$A,$C56,Resumo_Trocas!$F:$F,J$44,Resumo_Trocas!$C:$C,"&gt;0")</f>
        <v>2</v>
      </c>
      <c r="L56" s="140">
        <f>SUMIFS(Resumo_Trocas!$C:$C,Resumo_Trocas!$A:$A,$C56,Resumo_Trocas!$F:$F,L$44,Resumo_Trocas!$C:$C,"&gt;0")</f>
        <v>1</v>
      </c>
      <c r="M56" s="141">
        <f>SUMIFS(Resumo_Trocas!$D:$D,Resumo_Trocas!$A:$A,$C56,Resumo_Trocas!$F:$F,L$44,Resumo_Trocas!$C:$C,"&gt;0")</f>
        <v>1</v>
      </c>
      <c r="N56" s="140">
        <f>SUMIFS(Resumo_Trocas!$C:$C,Resumo_Trocas!$A:$A,$C56,Resumo_Trocas!$F:$F,N$44,Resumo_Trocas!$C:$C,"&gt;0")</f>
        <v>0</v>
      </c>
      <c r="O56" s="141">
        <f>SUMIFS(Resumo_Trocas!$D:$D,Resumo_Trocas!$A:$A,$C56,Resumo_Trocas!$F:$F,N$44,Resumo_Trocas!$C:$C,"&gt;0")</f>
        <v>0</v>
      </c>
      <c r="P56" s="140">
        <f>SUMIFS(Resumo_Trocas!$C:$C,Resumo_Trocas!$A:$A,$C56,Resumo_Trocas!$F:$F,P$44,Resumo_Trocas!$C:$C,"&gt;0")</f>
        <v>1</v>
      </c>
      <c r="Q56" s="141">
        <f>SUMIFS(Resumo_Trocas!$D:$D,Resumo_Trocas!$A:$A,$C56,Resumo_Trocas!$F:$F,P$44,Resumo_Trocas!$C:$C,"&gt;0")</f>
        <v>1</v>
      </c>
      <c r="R56" s="140">
        <f>SUMIFS(Resumo_Trocas!$C:$C,Resumo_Trocas!$A:$A,$C56,Resumo_Trocas!$F:$F,R$44,Resumo_Trocas!$C:$C,"&gt;0")</f>
        <v>2</v>
      </c>
      <c r="S56" s="141">
        <f>SUMIFS(Resumo_Trocas!$D:$D,Resumo_Trocas!$A:$A,$C56,Resumo_Trocas!$F:$F,R$44,Resumo_Trocas!$C:$C,"&gt;0")</f>
        <v>2</v>
      </c>
      <c r="T56" s="140">
        <f>SUMIFS(Resumo_Trocas!$C:$C,Resumo_Trocas!$A:$A,$C56,Resumo_Trocas!$F:$F,T$44,Resumo_Trocas!$C:$C,"&gt;0")</f>
        <v>4</v>
      </c>
      <c r="U56" s="141">
        <f>SUMIFS(Resumo_Trocas!$D:$D,Resumo_Trocas!$A:$A,$C56,Resumo_Trocas!$F:$F,T$44,Resumo_Trocas!$C:$C,"&gt;0")</f>
        <v>6</v>
      </c>
      <c r="V56" s="140">
        <f>SUMIFS(Resumo_Trocas!$C:$C,Resumo_Trocas!$A:$A,$C56,Resumo_Trocas!$F:$F,V$44,Resumo_Trocas!$C:$C,"&gt;0")</f>
        <v>3</v>
      </c>
      <c r="W56" s="141">
        <f>SUMIFS(Resumo_Trocas!$D:$D,Resumo_Trocas!$A:$A,$C56,Resumo_Trocas!$F:$F,V$44,Resumo_Trocas!$C:$C,"&gt;0")</f>
        <v>6</v>
      </c>
      <c r="X56" s="140">
        <f>SUMIFS(Resumo_Trocas!$C:$C,Resumo_Trocas!$A:$A,$C56,Resumo_Trocas!$F:$F,X$44,Resumo_Trocas!$C:$C,"&gt;0")</f>
        <v>1</v>
      </c>
      <c r="Y56" s="141">
        <f>SUMIFS(Resumo_Trocas!$D:$D,Resumo_Trocas!$A:$A,$C56,Resumo_Trocas!$F:$F,X$44,Resumo_Trocas!$C:$C,"&gt;0")</f>
        <v>3</v>
      </c>
      <c r="Z56" s="140">
        <f>SUMIFS(Resumo_Trocas!$C:$C,Resumo_Trocas!$A:$A,$C56,Resumo_Trocas!$F:$F,Z$44,Resumo_Trocas!$C:$C,"&gt;0")</f>
        <v>1</v>
      </c>
      <c r="AA56" s="141">
        <f>SUMIFS(Resumo_Trocas!$D:$D,Resumo_Trocas!$A:$A,$C56,Resumo_Trocas!$F:$F,Z$44,Resumo_Trocas!$C:$C,"&gt;0")</f>
        <v>3</v>
      </c>
      <c r="AB56" s="140">
        <f>SUMIFS(Resumo_Trocas!$C:$C,Resumo_Trocas!$A:$A,$C56,Resumo_Trocas!$F:$F,AB$44,Resumo_Trocas!$C:$C,"&gt;0")</f>
        <v>1</v>
      </c>
      <c r="AC56" s="141">
        <f>SUMIFS(Resumo_Trocas!$D:$D,Resumo_Trocas!$A:$A,$C56,Resumo_Trocas!$F:$F,AB$44,Resumo_Trocas!$C:$C,"&gt;0")</f>
        <v>3</v>
      </c>
      <c r="AD56" s="140">
        <f>SUMIFS(Resumo_Trocas!$C:$C,Resumo_Trocas!$A:$A,$C56,Resumo_Trocas!$F:$F,AD$44,Resumo_Trocas!$C:$C,"&gt;0")</f>
        <v>0</v>
      </c>
      <c r="AE56" s="141">
        <f>SUMIFS(Resumo_Trocas!$D:$D,Resumo_Trocas!$A:$A,$C56,Resumo_Trocas!$F:$F,AD$44,Resumo_Trocas!$C:$C,"&gt;0")</f>
        <v>0</v>
      </c>
      <c r="AF56" s="140">
        <f>SUMIFS(Resumo_Trocas!$C:$C,Resumo_Trocas!$A:$A,$C56,Resumo_Trocas!$F:$F,AF$44,Resumo_Trocas!$C:$C,"&gt;0")</f>
        <v>2</v>
      </c>
      <c r="AG56" s="141">
        <f>SUMIFS(Resumo_Trocas!$D:$D,Resumo_Trocas!$A:$A,$C56,Resumo_Trocas!$F:$F,AF$44,Resumo_Trocas!$C:$C,"&gt;0")</f>
        <v>6</v>
      </c>
      <c r="AH56" s="140">
        <f>SUMIFS(Resumo_Trocas!$C:$C,Resumo_Trocas!$A:$A,$C56,Resumo_Trocas!$F:$F,AH$44,Resumo_Trocas!$C:$C,"&gt;0")</f>
        <v>3</v>
      </c>
      <c r="AI56" s="141">
        <f>SUMIFS(Resumo_Trocas!$D:$D,Resumo_Trocas!$A:$A,$C56,Resumo_Trocas!$F:$F,AH$44,Resumo_Trocas!$C:$C,"&gt;0")</f>
        <v>9</v>
      </c>
      <c r="AJ56" s="140">
        <f>SUMIFS(Resumo_Trocas!$C:$C,Resumo_Trocas!$A:$A,$C56,Resumo_Trocas!$F:$F,AJ$44,Resumo_Trocas!$C:$C,"&gt;0")</f>
        <v>1</v>
      </c>
      <c r="AK56" s="141">
        <f>SUMIFS(Resumo_Trocas!$D:$D,Resumo_Trocas!$A:$A,$C56,Resumo_Trocas!$F:$F,AJ$44,Resumo_Trocas!$C:$C,"&gt;0")</f>
        <v>3</v>
      </c>
      <c r="AL56" s="140">
        <f>SUMIFS(Resumo_Trocas!$C:$C,Resumo_Trocas!$A:$A,$C56,Resumo_Trocas!$F:$F,AL$44,Resumo_Trocas!$C:$C,"&gt;0")</f>
        <v>0</v>
      </c>
      <c r="AM56" s="141">
        <f>SUMIFS(Resumo_Trocas!$D:$D,Resumo_Trocas!$A:$A,$C56,Resumo_Trocas!$F:$F,AL$44,Resumo_Trocas!$C:$C,"&gt;0")</f>
        <v>0</v>
      </c>
      <c r="AN56" s="140">
        <f>SUMIFS(Resumo_Trocas!$C:$C,Resumo_Trocas!$A:$A,$C56,Resumo_Trocas!$F:$F,AN$44,Resumo_Trocas!$C:$C,"&gt;0")</f>
        <v>0</v>
      </c>
      <c r="AO56" s="141">
        <f>SUMIFS(Resumo_Trocas!$D:$D,Resumo_Trocas!$A:$A,$C56,Resumo_Trocas!$F:$F,AN$44,Resumo_Trocas!$C:$C,"&gt;0")</f>
        <v>0</v>
      </c>
    </row>
    <row r="57" spans="2:41" ht="15" customHeight="1" outlineLevel="1" thickBot="1" x14ac:dyDescent="0.3">
      <c r="B57" s="76"/>
      <c r="C57" s="112" t="s">
        <v>307</v>
      </c>
      <c r="D57" s="140">
        <f>SUMIFS(Resumo_Trocas!$C:$C,Resumo_Trocas!$A:$A,$C57,Resumo_Trocas!$F:$F,D$44,Resumo_Trocas!$C:$C,"&gt;0")</f>
        <v>1</v>
      </c>
      <c r="E57" s="141">
        <f>SUMIFS(Resumo_Trocas!$D:$D,Resumo_Trocas!$A:$A,$C57,Resumo_Trocas!$F:$F,D$44,Resumo_Trocas!$C:$C,"&gt;0")</f>
        <v>3</v>
      </c>
      <c r="F57" s="140">
        <f>SUMIFS(Resumo_Trocas!$C:$C,Resumo_Trocas!$A:$A,$C57,Resumo_Trocas!$F:$F,F$44,Resumo_Trocas!$C:$C,"&gt;0")</f>
        <v>1</v>
      </c>
      <c r="G57" s="141">
        <f>SUMIFS(Resumo_Trocas!$D:$D,Resumo_Trocas!$A:$A,$C57,Resumo_Trocas!$F:$F,F$44,Resumo_Trocas!$C:$C,"&gt;0")</f>
        <v>3</v>
      </c>
      <c r="H57" s="140">
        <f>SUMIFS(Resumo_Trocas!$C:$C,Resumo_Trocas!$A:$A,$C57,Resumo_Trocas!$F:$F,H$44,Resumo_Trocas!$C:$C,"&gt;0")</f>
        <v>3</v>
      </c>
      <c r="I57" s="141">
        <f>SUMIFS(Resumo_Trocas!$D:$D,Resumo_Trocas!$A:$A,$C57,Resumo_Trocas!$F:$F,H$44,Resumo_Trocas!$C:$C,"&gt;0")</f>
        <v>9</v>
      </c>
      <c r="J57" s="140">
        <f>SUMIFS(Resumo_Trocas!$C:$C,Resumo_Trocas!$A:$A,$C57,Resumo_Trocas!$F:$F,J$44,Resumo_Trocas!$C:$C,"&gt;0")</f>
        <v>3</v>
      </c>
      <c r="K57" s="141">
        <f>SUMIFS(Resumo_Trocas!$D:$D,Resumo_Trocas!$A:$A,$C57,Resumo_Trocas!$F:$F,J$44,Resumo_Trocas!$C:$C,"&gt;0")</f>
        <v>9</v>
      </c>
      <c r="L57" s="140">
        <f>SUMIFS(Resumo_Trocas!$C:$C,Resumo_Trocas!$A:$A,$C57,Resumo_Trocas!$F:$F,L$44,Resumo_Trocas!$C:$C,"&gt;0")</f>
        <v>1</v>
      </c>
      <c r="M57" s="141">
        <f>SUMIFS(Resumo_Trocas!$D:$D,Resumo_Trocas!$A:$A,$C57,Resumo_Trocas!$F:$F,L$44,Resumo_Trocas!$C:$C,"&gt;0")</f>
        <v>3</v>
      </c>
      <c r="N57" s="140">
        <f>SUMIFS(Resumo_Trocas!$C:$C,Resumo_Trocas!$A:$A,$C57,Resumo_Trocas!$F:$F,N$44,Resumo_Trocas!$C:$C,"&gt;0")</f>
        <v>1</v>
      </c>
      <c r="O57" s="141">
        <f>SUMIFS(Resumo_Trocas!$D:$D,Resumo_Trocas!$A:$A,$C57,Resumo_Trocas!$F:$F,N$44,Resumo_Trocas!$C:$C,"&gt;0")</f>
        <v>3</v>
      </c>
      <c r="P57" s="140">
        <f>SUMIFS(Resumo_Trocas!$C:$C,Resumo_Trocas!$A:$A,$C57,Resumo_Trocas!$F:$F,P$44,Resumo_Trocas!$C:$C,"&gt;0")</f>
        <v>3</v>
      </c>
      <c r="Q57" s="141">
        <f>SUMIFS(Resumo_Trocas!$D:$D,Resumo_Trocas!$A:$A,$C57,Resumo_Trocas!$F:$F,P$44,Resumo_Trocas!$C:$C,"&gt;0")</f>
        <v>9</v>
      </c>
      <c r="R57" s="140">
        <f>SUMIFS(Resumo_Trocas!$C:$C,Resumo_Trocas!$A:$A,$C57,Resumo_Trocas!$F:$F,R$44,Resumo_Trocas!$C:$C,"&gt;0")</f>
        <v>0</v>
      </c>
      <c r="S57" s="141">
        <f>SUMIFS(Resumo_Trocas!$D:$D,Resumo_Trocas!$A:$A,$C57,Resumo_Trocas!$F:$F,R$44,Resumo_Trocas!$C:$C,"&gt;0")</f>
        <v>0</v>
      </c>
      <c r="T57" s="140">
        <f>SUMIFS(Resumo_Trocas!$C:$C,Resumo_Trocas!$A:$A,$C57,Resumo_Trocas!$F:$F,T$44,Resumo_Trocas!$C:$C,"&gt;0")</f>
        <v>0</v>
      </c>
      <c r="U57" s="141">
        <f>SUMIFS(Resumo_Trocas!$D:$D,Resumo_Trocas!$A:$A,$C57,Resumo_Trocas!$F:$F,T$44,Resumo_Trocas!$C:$C,"&gt;0")</f>
        <v>0</v>
      </c>
      <c r="V57" s="140">
        <f>SUMIFS(Resumo_Trocas!$C:$C,Resumo_Trocas!$A:$A,$C57,Resumo_Trocas!$F:$F,V$44,Resumo_Trocas!$C:$C,"&gt;0")</f>
        <v>0</v>
      </c>
      <c r="W57" s="141">
        <f>SUMIFS(Resumo_Trocas!$D:$D,Resumo_Trocas!$A:$A,$C57,Resumo_Trocas!$F:$F,V$44,Resumo_Trocas!$C:$C,"&gt;0")</f>
        <v>0</v>
      </c>
      <c r="X57" s="140">
        <f>SUMIFS(Resumo_Trocas!$C:$C,Resumo_Trocas!$A:$A,$C57,Resumo_Trocas!$F:$F,X$44,Resumo_Trocas!$C:$C,"&gt;0")</f>
        <v>0</v>
      </c>
      <c r="Y57" s="141">
        <f>SUMIFS(Resumo_Trocas!$D:$D,Resumo_Trocas!$A:$A,$C57,Resumo_Trocas!$F:$F,X$44,Resumo_Trocas!$C:$C,"&gt;0")</f>
        <v>0</v>
      </c>
      <c r="Z57" s="140">
        <f>SUMIFS(Resumo_Trocas!$C:$C,Resumo_Trocas!$A:$A,$C57,Resumo_Trocas!$F:$F,Z$44,Resumo_Trocas!$C:$C,"&gt;0")</f>
        <v>0</v>
      </c>
      <c r="AA57" s="141">
        <f>SUMIFS(Resumo_Trocas!$D:$D,Resumo_Trocas!$A:$A,$C57,Resumo_Trocas!$F:$F,Z$44,Resumo_Trocas!$C:$C,"&gt;0")</f>
        <v>0</v>
      </c>
      <c r="AB57" s="140">
        <f>SUMIFS(Resumo_Trocas!$C:$C,Resumo_Trocas!$A:$A,$C57,Resumo_Trocas!$F:$F,AB$44,Resumo_Trocas!$C:$C,"&gt;0")</f>
        <v>0</v>
      </c>
      <c r="AC57" s="141">
        <f>SUMIFS(Resumo_Trocas!$D:$D,Resumo_Trocas!$A:$A,$C57,Resumo_Trocas!$F:$F,AB$44,Resumo_Trocas!$C:$C,"&gt;0")</f>
        <v>0</v>
      </c>
      <c r="AD57" s="140">
        <f>SUMIFS(Resumo_Trocas!$C:$C,Resumo_Trocas!$A:$A,$C57,Resumo_Trocas!$F:$F,AD$44,Resumo_Trocas!$C:$C,"&gt;0")</f>
        <v>0</v>
      </c>
      <c r="AE57" s="141">
        <f>SUMIFS(Resumo_Trocas!$D:$D,Resumo_Trocas!$A:$A,$C57,Resumo_Trocas!$F:$F,AD$44,Resumo_Trocas!$C:$C,"&gt;0")</f>
        <v>0</v>
      </c>
      <c r="AF57" s="140">
        <f>SUMIFS(Resumo_Trocas!$C:$C,Resumo_Trocas!$A:$A,$C57,Resumo_Trocas!$F:$F,AF$44,Resumo_Trocas!$C:$C,"&gt;0")</f>
        <v>0</v>
      </c>
      <c r="AG57" s="141">
        <f>SUMIFS(Resumo_Trocas!$D:$D,Resumo_Trocas!$A:$A,$C57,Resumo_Trocas!$F:$F,AF$44,Resumo_Trocas!$C:$C,"&gt;0")</f>
        <v>0</v>
      </c>
      <c r="AH57" s="140">
        <f>SUMIFS(Resumo_Trocas!$C:$C,Resumo_Trocas!$A:$A,$C57,Resumo_Trocas!$F:$F,AH$44,Resumo_Trocas!$C:$C,"&gt;0")</f>
        <v>0</v>
      </c>
      <c r="AI57" s="141">
        <f>SUMIFS(Resumo_Trocas!$D:$D,Resumo_Trocas!$A:$A,$C57,Resumo_Trocas!$F:$F,AH$44,Resumo_Trocas!$C:$C,"&gt;0")</f>
        <v>0</v>
      </c>
      <c r="AJ57" s="140">
        <f>SUMIFS(Resumo_Trocas!$C:$C,Resumo_Trocas!$A:$A,$C57,Resumo_Trocas!$F:$F,AJ$44,Resumo_Trocas!$C:$C,"&gt;0")</f>
        <v>0</v>
      </c>
      <c r="AK57" s="141">
        <f>SUMIFS(Resumo_Trocas!$D:$D,Resumo_Trocas!$A:$A,$C57,Resumo_Trocas!$F:$F,AJ$44,Resumo_Trocas!$C:$C,"&gt;0")</f>
        <v>0</v>
      </c>
      <c r="AL57" s="140">
        <f>SUMIFS(Resumo_Trocas!$C:$C,Resumo_Trocas!$A:$A,$C57,Resumo_Trocas!$F:$F,AL$44,Resumo_Trocas!$C:$C,"&gt;0")</f>
        <v>0</v>
      </c>
      <c r="AM57" s="141">
        <f>SUMIFS(Resumo_Trocas!$D:$D,Resumo_Trocas!$A:$A,$C57,Resumo_Trocas!$F:$F,AL$44,Resumo_Trocas!$C:$C,"&gt;0")</f>
        <v>0</v>
      </c>
      <c r="AN57" s="140">
        <f>SUMIFS(Resumo_Trocas!$C:$C,Resumo_Trocas!$A:$A,$C57,Resumo_Trocas!$F:$F,AN$44,Resumo_Trocas!$C:$C,"&gt;0")</f>
        <v>0</v>
      </c>
      <c r="AO57" s="141">
        <f>SUMIFS(Resumo_Trocas!$D:$D,Resumo_Trocas!$A:$A,$C57,Resumo_Trocas!$F:$F,AN$44,Resumo_Trocas!$C:$C,"&gt;0")</f>
        <v>0</v>
      </c>
    </row>
    <row r="58" spans="2:41" ht="15" customHeight="1" outlineLevel="1" thickBot="1" x14ac:dyDescent="0.3">
      <c r="B58" s="76"/>
      <c r="C58" s="112" t="s">
        <v>315</v>
      </c>
      <c r="D58" s="140">
        <f>SUMIFS(Resumo_Trocas!$C:$C,Resumo_Trocas!$A:$A,$C58,Resumo_Trocas!$F:$F,D$44,Resumo_Trocas!$C:$C,"&gt;0")</f>
        <v>3</v>
      </c>
      <c r="E58" s="141">
        <f>SUMIFS(Resumo_Trocas!$D:$D,Resumo_Trocas!$A:$A,$C58,Resumo_Trocas!$F:$F,D$44,Resumo_Trocas!$C:$C,"&gt;0")</f>
        <v>3</v>
      </c>
      <c r="F58" s="140">
        <f>SUMIFS(Resumo_Trocas!$C:$C,Resumo_Trocas!$A:$A,$C58,Resumo_Trocas!$F:$F,F$44,Resumo_Trocas!$C:$C,"&gt;0")</f>
        <v>0</v>
      </c>
      <c r="G58" s="141">
        <f>SUMIFS(Resumo_Trocas!$D:$D,Resumo_Trocas!$A:$A,$C58,Resumo_Trocas!$F:$F,F$44,Resumo_Trocas!$C:$C,"&gt;0")</f>
        <v>0</v>
      </c>
      <c r="H58" s="140">
        <f>SUMIFS(Resumo_Trocas!$C:$C,Resumo_Trocas!$A:$A,$C58,Resumo_Trocas!$F:$F,H$44,Resumo_Trocas!$C:$C,"&gt;0")</f>
        <v>0</v>
      </c>
      <c r="I58" s="141">
        <f>SUMIFS(Resumo_Trocas!$D:$D,Resumo_Trocas!$A:$A,$C58,Resumo_Trocas!$F:$F,H$44,Resumo_Trocas!$C:$C,"&gt;0")</f>
        <v>0</v>
      </c>
      <c r="J58" s="140">
        <f>SUMIFS(Resumo_Trocas!$C:$C,Resumo_Trocas!$A:$A,$C58,Resumo_Trocas!$F:$F,J$44,Resumo_Trocas!$C:$C,"&gt;0")</f>
        <v>1</v>
      </c>
      <c r="K58" s="141">
        <f>SUMIFS(Resumo_Trocas!$D:$D,Resumo_Trocas!$A:$A,$C58,Resumo_Trocas!$F:$F,J$44,Resumo_Trocas!$C:$C,"&gt;0")</f>
        <v>3</v>
      </c>
      <c r="L58" s="140">
        <f>SUMIFS(Resumo_Trocas!$C:$C,Resumo_Trocas!$A:$A,$C58,Resumo_Trocas!$F:$F,L$44,Resumo_Trocas!$C:$C,"&gt;0")</f>
        <v>0</v>
      </c>
      <c r="M58" s="141">
        <f>SUMIFS(Resumo_Trocas!$D:$D,Resumo_Trocas!$A:$A,$C58,Resumo_Trocas!$F:$F,L$44,Resumo_Trocas!$C:$C,"&gt;0")</f>
        <v>0</v>
      </c>
      <c r="N58" s="140">
        <f>SUMIFS(Resumo_Trocas!$C:$C,Resumo_Trocas!$A:$A,$C58,Resumo_Trocas!$F:$F,N$44,Resumo_Trocas!$C:$C,"&gt;0")</f>
        <v>0</v>
      </c>
      <c r="O58" s="141">
        <f>SUMIFS(Resumo_Trocas!$D:$D,Resumo_Trocas!$A:$A,$C58,Resumo_Trocas!$F:$F,N$44,Resumo_Trocas!$C:$C,"&gt;0")</f>
        <v>0</v>
      </c>
      <c r="P58" s="140">
        <f>SUMIFS(Resumo_Trocas!$C:$C,Resumo_Trocas!$A:$A,$C58,Resumo_Trocas!$F:$F,P$44,Resumo_Trocas!$C:$C,"&gt;0")</f>
        <v>0</v>
      </c>
      <c r="Q58" s="141">
        <f>SUMIFS(Resumo_Trocas!$D:$D,Resumo_Trocas!$A:$A,$C58,Resumo_Trocas!$F:$F,P$44,Resumo_Trocas!$C:$C,"&gt;0")</f>
        <v>0</v>
      </c>
      <c r="R58" s="140">
        <f>SUMIFS(Resumo_Trocas!$C:$C,Resumo_Trocas!$A:$A,$C58,Resumo_Trocas!$F:$F,R$44,Resumo_Trocas!$C:$C,"&gt;0")</f>
        <v>1</v>
      </c>
      <c r="S58" s="141">
        <f>SUMIFS(Resumo_Trocas!$D:$D,Resumo_Trocas!$A:$A,$C58,Resumo_Trocas!$F:$F,R$44,Resumo_Trocas!$C:$C,"&gt;0")</f>
        <v>3</v>
      </c>
      <c r="T58" s="140">
        <f>SUMIFS(Resumo_Trocas!$C:$C,Resumo_Trocas!$A:$A,$C58,Resumo_Trocas!$F:$F,T$44,Resumo_Trocas!$C:$C,"&gt;0")</f>
        <v>0</v>
      </c>
      <c r="U58" s="141">
        <f>SUMIFS(Resumo_Trocas!$D:$D,Resumo_Trocas!$A:$A,$C58,Resumo_Trocas!$F:$F,T$44,Resumo_Trocas!$C:$C,"&gt;0")</f>
        <v>0</v>
      </c>
      <c r="V58" s="140">
        <f>SUMIFS(Resumo_Trocas!$C:$C,Resumo_Trocas!$A:$A,$C58,Resumo_Trocas!$F:$F,V$44,Resumo_Trocas!$C:$C,"&gt;0")</f>
        <v>0</v>
      </c>
      <c r="W58" s="141">
        <f>SUMIFS(Resumo_Trocas!$D:$D,Resumo_Trocas!$A:$A,$C58,Resumo_Trocas!$F:$F,V$44,Resumo_Trocas!$C:$C,"&gt;0")</f>
        <v>0</v>
      </c>
      <c r="X58" s="140">
        <f>SUMIFS(Resumo_Trocas!$C:$C,Resumo_Trocas!$A:$A,$C58,Resumo_Trocas!$F:$F,X$44,Resumo_Trocas!$C:$C,"&gt;0")</f>
        <v>1</v>
      </c>
      <c r="Y58" s="141">
        <f>SUMIFS(Resumo_Trocas!$D:$D,Resumo_Trocas!$A:$A,$C58,Resumo_Trocas!$F:$F,X$44,Resumo_Trocas!$C:$C,"&gt;0")</f>
        <v>3</v>
      </c>
      <c r="Z58" s="140">
        <f>SUMIFS(Resumo_Trocas!$C:$C,Resumo_Trocas!$A:$A,$C58,Resumo_Trocas!$F:$F,Z$44,Resumo_Trocas!$C:$C,"&gt;0")</f>
        <v>0</v>
      </c>
      <c r="AA58" s="141">
        <f>SUMIFS(Resumo_Trocas!$D:$D,Resumo_Trocas!$A:$A,$C58,Resumo_Trocas!$F:$F,Z$44,Resumo_Trocas!$C:$C,"&gt;0")</f>
        <v>0</v>
      </c>
      <c r="AB58" s="140">
        <f>SUMIFS(Resumo_Trocas!$C:$C,Resumo_Trocas!$A:$A,$C58,Resumo_Trocas!$F:$F,AB$44,Resumo_Trocas!$C:$C,"&gt;0")</f>
        <v>2</v>
      </c>
      <c r="AC58" s="141">
        <f>SUMIFS(Resumo_Trocas!$D:$D,Resumo_Trocas!$A:$A,$C58,Resumo_Trocas!$F:$F,AB$44,Resumo_Trocas!$C:$C,"&gt;0")</f>
        <v>6</v>
      </c>
      <c r="AD58" s="140">
        <f>SUMIFS(Resumo_Trocas!$C:$C,Resumo_Trocas!$A:$A,$C58,Resumo_Trocas!$F:$F,AD$44,Resumo_Trocas!$C:$C,"&gt;0")</f>
        <v>1</v>
      </c>
      <c r="AE58" s="141">
        <f>SUMIFS(Resumo_Trocas!$D:$D,Resumo_Trocas!$A:$A,$C58,Resumo_Trocas!$F:$F,AD$44,Resumo_Trocas!$C:$C,"&gt;0")</f>
        <v>3</v>
      </c>
      <c r="AF58" s="140">
        <f>SUMIFS(Resumo_Trocas!$C:$C,Resumo_Trocas!$A:$A,$C58,Resumo_Trocas!$F:$F,AF$44,Resumo_Trocas!$C:$C,"&gt;0")</f>
        <v>3</v>
      </c>
      <c r="AG58" s="141">
        <f>SUMIFS(Resumo_Trocas!$D:$D,Resumo_Trocas!$A:$A,$C58,Resumo_Trocas!$F:$F,AF$44,Resumo_Trocas!$C:$C,"&gt;0")</f>
        <v>9</v>
      </c>
      <c r="AH58" s="140">
        <f>SUMIFS(Resumo_Trocas!$C:$C,Resumo_Trocas!$A:$A,$C58,Resumo_Trocas!$F:$F,AH$44,Resumo_Trocas!$C:$C,"&gt;0")</f>
        <v>1</v>
      </c>
      <c r="AI58" s="141">
        <f>SUMIFS(Resumo_Trocas!$D:$D,Resumo_Trocas!$A:$A,$C58,Resumo_Trocas!$F:$F,AH$44,Resumo_Trocas!$C:$C,"&gt;0")</f>
        <v>3</v>
      </c>
      <c r="AJ58" s="140">
        <f>SUMIFS(Resumo_Trocas!$C:$C,Resumo_Trocas!$A:$A,$C58,Resumo_Trocas!$F:$F,AJ$44,Resumo_Trocas!$C:$C,"&gt;0")</f>
        <v>1</v>
      </c>
      <c r="AK58" s="141">
        <f>SUMIFS(Resumo_Trocas!$D:$D,Resumo_Trocas!$A:$A,$C58,Resumo_Trocas!$F:$F,AJ$44,Resumo_Trocas!$C:$C,"&gt;0")</f>
        <v>3</v>
      </c>
      <c r="AL58" s="140">
        <f>SUMIFS(Resumo_Trocas!$C:$C,Resumo_Trocas!$A:$A,$C58,Resumo_Trocas!$F:$F,AL$44,Resumo_Trocas!$C:$C,"&gt;0")</f>
        <v>1</v>
      </c>
      <c r="AM58" s="141">
        <f>SUMIFS(Resumo_Trocas!$D:$D,Resumo_Trocas!$A:$A,$C58,Resumo_Trocas!$F:$F,AL$44,Resumo_Trocas!$C:$C,"&gt;0")</f>
        <v>3</v>
      </c>
      <c r="AN58" s="140">
        <f>SUMIFS(Resumo_Trocas!$C:$C,Resumo_Trocas!$A:$A,$C58,Resumo_Trocas!$F:$F,AN$44,Resumo_Trocas!$C:$C,"&gt;0")</f>
        <v>0</v>
      </c>
      <c r="AO58" s="141">
        <f>SUMIFS(Resumo_Trocas!$D:$D,Resumo_Trocas!$A:$A,$C58,Resumo_Trocas!$F:$F,AN$44,Resumo_Trocas!$C:$C,"&gt;0")</f>
        <v>0</v>
      </c>
    </row>
    <row r="59" spans="2:41" ht="15" customHeight="1" outlineLevel="1" thickBot="1" x14ac:dyDescent="0.3">
      <c r="B59" s="76"/>
      <c r="C59" s="112" t="s">
        <v>319</v>
      </c>
      <c r="D59" s="140">
        <f>SUMIFS(Resumo_Trocas!$C:$C,Resumo_Trocas!$A:$A,$C59,Resumo_Trocas!$F:$F,D$44,Resumo_Trocas!$C:$C,"&gt;0")</f>
        <v>1</v>
      </c>
      <c r="E59" s="141">
        <f>SUMIFS(Resumo_Trocas!$D:$D,Resumo_Trocas!$A:$A,$C59,Resumo_Trocas!$F:$F,D$44,Resumo_Trocas!$C:$C,"&gt;0")</f>
        <v>3</v>
      </c>
      <c r="F59" s="140">
        <f>SUMIFS(Resumo_Trocas!$C:$C,Resumo_Trocas!$A:$A,$C59,Resumo_Trocas!$F:$F,F$44,Resumo_Trocas!$C:$C,"&gt;0")</f>
        <v>3</v>
      </c>
      <c r="G59" s="141">
        <f>SUMIFS(Resumo_Trocas!$D:$D,Resumo_Trocas!$A:$A,$C59,Resumo_Trocas!$F:$F,F$44,Resumo_Trocas!$C:$C,"&gt;0")</f>
        <v>6</v>
      </c>
      <c r="H59" s="140">
        <f>SUMIFS(Resumo_Trocas!$C:$C,Resumo_Trocas!$A:$A,$C59,Resumo_Trocas!$F:$F,H$44,Resumo_Trocas!$C:$C,"&gt;0")</f>
        <v>0</v>
      </c>
      <c r="I59" s="141">
        <f>SUMIFS(Resumo_Trocas!$D:$D,Resumo_Trocas!$A:$A,$C59,Resumo_Trocas!$F:$F,H$44,Resumo_Trocas!$C:$C,"&gt;0")</f>
        <v>0</v>
      </c>
      <c r="J59" s="140">
        <f>SUMIFS(Resumo_Trocas!$C:$C,Resumo_Trocas!$A:$A,$C59,Resumo_Trocas!$F:$F,J$44,Resumo_Trocas!$C:$C,"&gt;0")</f>
        <v>0</v>
      </c>
      <c r="K59" s="141">
        <f>SUMIFS(Resumo_Trocas!$D:$D,Resumo_Trocas!$A:$A,$C59,Resumo_Trocas!$F:$F,J$44,Resumo_Trocas!$C:$C,"&gt;0")</f>
        <v>0</v>
      </c>
      <c r="L59" s="140">
        <f>SUMIFS(Resumo_Trocas!$C:$C,Resumo_Trocas!$A:$A,$C59,Resumo_Trocas!$F:$F,L$44,Resumo_Trocas!$C:$C,"&gt;0")</f>
        <v>1</v>
      </c>
      <c r="M59" s="141">
        <f>SUMIFS(Resumo_Trocas!$D:$D,Resumo_Trocas!$A:$A,$C59,Resumo_Trocas!$F:$F,L$44,Resumo_Trocas!$C:$C,"&gt;0")</f>
        <v>2</v>
      </c>
      <c r="N59" s="140">
        <f>SUMIFS(Resumo_Trocas!$C:$C,Resumo_Trocas!$A:$A,$C59,Resumo_Trocas!$F:$F,N$44,Resumo_Trocas!$C:$C,"&gt;0")</f>
        <v>0</v>
      </c>
      <c r="O59" s="141">
        <f>SUMIFS(Resumo_Trocas!$D:$D,Resumo_Trocas!$A:$A,$C59,Resumo_Trocas!$F:$F,N$44,Resumo_Trocas!$C:$C,"&gt;0")</f>
        <v>0</v>
      </c>
      <c r="P59" s="140">
        <f>SUMIFS(Resumo_Trocas!$C:$C,Resumo_Trocas!$A:$A,$C59,Resumo_Trocas!$F:$F,P$44,Resumo_Trocas!$C:$C,"&gt;0")</f>
        <v>1</v>
      </c>
      <c r="Q59" s="141">
        <f>SUMIFS(Resumo_Trocas!$D:$D,Resumo_Trocas!$A:$A,$C59,Resumo_Trocas!$F:$F,P$44,Resumo_Trocas!$C:$C,"&gt;0")</f>
        <v>2</v>
      </c>
      <c r="R59" s="140">
        <f>SUMIFS(Resumo_Trocas!$C:$C,Resumo_Trocas!$A:$A,$C59,Resumo_Trocas!$F:$F,R$44,Resumo_Trocas!$C:$C,"&gt;0")</f>
        <v>0</v>
      </c>
      <c r="S59" s="141">
        <f>SUMIFS(Resumo_Trocas!$D:$D,Resumo_Trocas!$A:$A,$C59,Resumo_Trocas!$F:$F,R$44,Resumo_Trocas!$C:$C,"&gt;0")</f>
        <v>0</v>
      </c>
      <c r="T59" s="140">
        <f>SUMIFS(Resumo_Trocas!$C:$C,Resumo_Trocas!$A:$A,$C59,Resumo_Trocas!$F:$F,T$44,Resumo_Trocas!$C:$C,"&gt;0")</f>
        <v>2</v>
      </c>
      <c r="U59" s="141">
        <f>SUMIFS(Resumo_Trocas!$D:$D,Resumo_Trocas!$A:$A,$C59,Resumo_Trocas!$F:$F,T$44,Resumo_Trocas!$C:$C,"&gt;0")</f>
        <v>4</v>
      </c>
      <c r="V59" s="140">
        <f>SUMIFS(Resumo_Trocas!$C:$C,Resumo_Trocas!$A:$A,$C59,Resumo_Trocas!$F:$F,V$44,Resumo_Trocas!$C:$C,"&gt;0")</f>
        <v>0</v>
      </c>
      <c r="W59" s="141">
        <f>SUMIFS(Resumo_Trocas!$D:$D,Resumo_Trocas!$A:$A,$C59,Resumo_Trocas!$F:$F,V$44,Resumo_Trocas!$C:$C,"&gt;0")</f>
        <v>0</v>
      </c>
      <c r="X59" s="140">
        <f>SUMIFS(Resumo_Trocas!$C:$C,Resumo_Trocas!$A:$A,$C59,Resumo_Trocas!$F:$F,X$44,Resumo_Trocas!$C:$C,"&gt;0")</f>
        <v>1</v>
      </c>
      <c r="Y59" s="141">
        <f>SUMIFS(Resumo_Trocas!$D:$D,Resumo_Trocas!$A:$A,$C59,Resumo_Trocas!$F:$F,X$44,Resumo_Trocas!$C:$C,"&gt;0")</f>
        <v>2</v>
      </c>
      <c r="Z59" s="140">
        <f>SUMIFS(Resumo_Trocas!$C:$C,Resumo_Trocas!$A:$A,$C59,Resumo_Trocas!$F:$F,Z$44,Resumo_Trocas!$C:$C,"&gt;0")</f>
        <v>0</v>
      </c>
      <c r="AA59" s="141">
        <f>SUMIFS(Resumo_Trocas!$D:$D,Resumo_Trocas!$A:$A,$C59,Resumo_Trocas!$F:$F,Z$44,Resumo_Trocas!$C:$C,"&gt;0")</f>
        <v>0</v>
      </c>
      <c r="AB59" s="140">
        <f>SUMIFS(Resumo_Trocas!$C:$C,Resumo_Trocas!$A:$A,$C59,Resumo_Trocas!$F:$F,AB$44,Resumo_Trocas!$C:$C,"&gt;0")</f>
        <v>0</v>
      </c>
      <c r="AC59" s="141">
        <f>SUMIFS(Resumo_Trocas!$D:$D,Resumo_Trocas!$A:$A,$C59,Resumo_Trocas!$F:$F,AB$44,Resumo_Trocas!$C:$C,"&gt;0")</f>
        <v>0</v>
      </c>
      <c r="AD59" s="140">
        <f>SUMIFS(Resumo_Trocas!$C:$C,Resumo_Trocas!$A:$A,$C59,Resumo_Trocas!$F:$F,AD$44,Resumo_Trocas!$C:$C,"&gt;0")</f>
        <v>0</v>
      </c>
      <c r="AE59" s="141">
        <f>SUMIFS(Resumo_Trocas!$D:$D,Resumo_Trocas!$A:$A,$C59,Resumo_Trocas!$F:$F,AD$44,Resumo_Trocas!$C:$C,"&gt;0")</f>
        <v>0</v>
      </c>
      <c r="AF59" s="140">
        <f>SUMIFS(Resumo_Trocas!$C:$C,Resumo_Trocas!$A:$A,$C59,Resumo_Trocas!$F:$F,AF$44,Resumo_Trocas!$C:$C,"&gt;0")</f>
        <v>0</v>
      </c>
      <c r="AG59" s="141">
        <f>SUMIFS(Resumo_Trocas!$D:$D,Resumo_Trocas!$A:$A,$C59,Resumo_Trocas!$F:$F,AF$44,Resumo_Trocas!$C:$C,"&gt;0")</f>
        <v>0</v>
      </c>
      <c r="AH59" s="140">
        <f>SUMIFS(Resumo_Trocas!$C:$C,Resumo_Trocas!$A:$A,$C59,Resumo_Trocas!$F:$F,AH$44,Resumo_Trocas!$C:$C,"&gt;0")</f>
        <v>0</v>
      </c>
      <c r="AI59" s="141">
        <f>SUMIFS(Resumo_Trocas!$D:$D,Resumo_Trocas!$A:$A,$C59,Resumo_Trocas!$F:$F,AH$44,Resumo_Trocas!$C:$C,"&gt;0")</f>
        <v>0</v>
      </c>
      <c r="AJ59" s="140">
        <f>SUMIFS(Resumo_Trocas!$C:$C,Resumo_Trocas!$A:$A,$C59,Resumo_Trocas!$F:$F,AJ$44,Resumo_Trocas!$C:$C,"&gt;0")</f>
        <v>0</v>
      </c>
      <c r="AK59" s="141">
        <f>SUMIFS(Resumo_Trocas!$D:$D,Resumo_Trocas!$A:$A,$C59,Resumo_Trocas!$F:$F,AJ$44,Resumo_Trocas!$C:$C,"&gt;0")</f>
        <v>0</v>
      </c>
      <c r="AL59" s="140">
        <f>SUMIFS(Resumo_Trocas!$C:$C,Resumo_Trocas!$A:$A,$C59,Resumo_Trocas!$F:$F,AL$44,Resumo_Trocas!$C:$C,"&gt;0")</f>
        <v>0</v>
      </c>
      <c r="AM59" s="141">
        <f>SUMIFS(Resumo_Trocas!$D:$D,Resumo_Trocas!$A:$A,$C59,Resumo_Trocas!$F:$F,AL$44,Resumo_Trocas!$C:$C,"&gt;0")</f>
        <v>0</v>
      </c>
      <c r="AN59" s="140">
        <f>SUMIFS(Resumo_Trocas!$C:$C,Resumo_Trocas!$A:$A,$C59,Resumo_Trocas!$F:$F,AN$44,Resumo_Trocas!$C:$C,"&gt;0")</f>
        <v>0</v>
      </c>
      <c r="AO59" s="141">
        <f>SUMIFS(Resumo_Trocas!$D:$D,Resumo_Trocas!$A:$A,$C59,Resumo_Trocas!$F:$F,AN$44,Resumo_Trocas!$C:$C,"&gt;0")</f>
        <v>0</v>
      </c>
    </row>
    <row r="60" spans="2:41" ht="15" customHeight="1" outlineLevel="1" thickBot="1" x14ac:dyDescent="0.3">
      <c r="B60" s="76"/>
      <c r="C60" s="112" t="s">
        <v>322</v>
      </c>
      <c r="D60" s="140">
        <f>SUMIFS(Resumo_Trocas!$C:$C,Resumo_Trocas!$A:$A,$C60,Resumo_Trocas!$F:$F,D$44,Resumo_Trocas!$C:$C,"&gt;0")</f>
        <v>1</v>
      </c>
      <c r="E60" s="141">
        <f>SUMIFS(Resumo_Trocas!$D:$D,Resumo_Trocas!$A:$A,$C60,Resumo_Trocas!$F:$F,D$44,Resumo_Trocas!$C:$C,"&gt;0")</f>
        <v>0</v>
      </c>
      <c r="F60" s="140">
        <f>SUMIFS(Resumo_Trocas!$C:$C,Resumo_Trocas!$A:$A,$C60,Resumo_Trocas!$F:$F,F$44,Resumo_Trocas!$C:$C,"&gt;0")</f>
        <v>0</v>
      </c>
      <c r="G60" s="141">
        <f>SUMIFS(Resumo_Trocas!$D:$D,Resumo_Trocas!$A:$A,$C60,Resumo_Trocas!$F:$F,F$44,Resumo_Trocas!$C:$C,"&gt;0")</f>
        <v>0</v>
      </c>
      <c r="H60" s="140">
        <f>SUMIFS(Resumo_Trocas!$C:$C,Resumo_Trocas!$A:$A,$C60,Resumo_Trocas!$F:$F,H$44,Resumo_Trocas!$C:$C,"&gt;0")</f>
        <v>1</v>
      </c>
      <c r="I60" s="141">
        <f>SUMIFS(Resumo_Trocas!$D:$D,Resumo_Trocas!$A:$A,$C60,Resumo_Trocas!$F:$F,H$44,Resumo_Trocas!$C:$C,"&gt;0")</f>
        <v>0</v>
      </c>
      <c r="J60" s="140">
        <f>SUMIFS(Resumo_Trocas!$C:$C,Resumo_Trocas!$A:$A,$C60,Resumo_Trocas!$F:$F,J$44,Resumo_Trocas!$C:$C,"&gt;0")</f>
        <v>1</v>
      </c>
      <c r="K60" s="141">
        <f>SUMIFS(Resumo_Trocas!$D:$D,Resumo_Trocas!$A:$A,$C60,Resumo_Trocas!$F:$F,J$44,Resumo_Trocas!$C:$C,"&gt;0")</f>
        <v>0</v>
      </c>
      <c r="L60" s="140">
        <f>SUMIFS(Resumo_Trocas!$C:$C,Resumo_Trocas!$A:$A,$C60,Resumo_Trocas!$F:$F,L$44,Resumo_Trocas!$C:$C,"&gt;0")</f>
        <v>1</v>
      </c>
      <c r="M60" s="141">
        <f>SUMIFS(Resumo_Trocas!$D:$D,Resumo_Trocas!$A:$A,$C60,Resumo_Trocas!$F:$F,L$44,Resumo_Trocas!$C:$C,"&gt;0")</f>
        <v>3</v>
      </c>
      <c r="N60" s="140">
        <f>SUMIFS(Resumo_Trocas!$C:$C,Resumo_Trocas!$A:$A,$C60,Resumo_Trocas!$F:$F,N$44,Resumo_Trocas!$C:$C,"&gt;0")</f>
        <v>0</v>
      </c>
      <c r="O60" s="141">
        <f>SUMIFS(Resumo_Trocas!$D:$D,Resumo_Trocas!$A:$A,$C60,Resumo_Trocas!$F:$F,N$44,Resumo_Trocas!$C:$C,"&gt;0")</f>
        <v>0</v>
      </c>
      <c r="P60" s="140">
        <f>SUMIFS(Resumo_Trocas!$C:$C,Resumo_Trocas!$A:$A,$C60,Resumo_Trocas!$F:$F,P$44,Resumo_Trocas!$C:$C,"&gt;0")</f>
        <v>2</v>
      </c>
      <c r="Q60" s="141">
        <f>SUMIFS(Resumo_Trocas!$D:$D,Resumo_Trocas!$A:$A,$C60,Resumo_Trocas!$F:$F,P$44,Resumo_Trocas!$C:$C,"&gt;0")</f>
        <v>6</v>
      </c>
      <c r="R60" s="140">
        <f>SUMIFS(Resumo_Trocas!$C:$C,Resumo_Trocas!$A:$A,$C60,Resumo_Trocas!$F:$F,R$44,Resumo_Trocas!$C:$C,"&gt;0")</f>
        <v>0</v>
      </c>
      <c r="S60" s="141">
        <f>SUMIFS(Resumo_Trocas!$D:$D,Resumo_Trocas!$A:$A,$C60,Resumo_Trocas!$F:$F,R$44,Resumo_Trocas!$C:$C,"&gt;0")</f>
        <v>0</v>
      </c>
      <c r="T60" s="140">
        <f>SUMIFS(Resumo_Trocas!$C:$C,Resumo_Trocas!$A:$A,$C60,Resumo_Trocas!$F:$F,T$44,Resumo_Trocas!$C:$C,"&gt;0")</f>
        <v>1</v>
      </c>
      <c r="U60" s="141">
        <f>SUMIFS(Resumo_Trocas!$D:$D,Resumo_Trocas!$A:$A,$C60,Resumo_Trocas!$F:$F,T$44,Resumo_Trocas!$C:$C,"&gt;0")</f>
        <v>3</v>
      </c>
      <c r="V60" s="140">
        <f>SUMIFS(Resumo_Trocas!$C:$C,Resumo_Trocas!$A:$A,$C60,Resumo_Trocas!$F:$F,V$44,Resumo_Trocas!$C:$C,"&gt;0")</f>
        <v>1</v>
      </c>
      <c r="W60" s="141">
        <f>SUMIFS(Resumo_Trocas!$D:$D,Resumo_Trocas!$A:$A,$C60,Resumo_Trocas!$F:$F,V$44,Resumo_Trocas!$C:$C,"&gt;0")</f>
        <v>3</v>
      </c>
      <c r="X60" s="140">
        <f>SUMIFS(Resumo_Trocas!$C:$C,Resumo_Trocas!$A:$A,$C60,Resumo_Trocas!$F:$F,X$44,Resumo_Trocas!$C:$C,"&gt;0")</f>
        <v>1</v>
      </c>
      <c r="Y60" s="141">
        <f>SUMIFS(Resumo_Trocas!$D:$D,Resumo_Trocas!$A:$A,$C60,Resumo_Trocas!$F:$F,X$44,Resumo_Trocas!$C:$C,"&gt;0")</f>
        <v>3</v>
      </c>
      <c r="Z60" s="140">
        <f>SUMIFS(Resumo_Trocas!$C:$C,Resumo_Trocas!$A:$A,$C60,Resumo_Trocas!$F:$F,Z$44,Resumo_Trocas!$C:$C,"&gt;0")</f>
        <v>0</v>
      </c>
      <c r="AA60" s="141">
        <f>SUMIFS(Resumo_Trocas!$D:$D,Resumo_Trocas!$A:$A,$C60,Resumo_Trocas!$F:$F,Z$44,Resumo_Trocas!$C:$C,"&gt;0")</f>
        <v>0</v>
      </c>
      <c r="AB60" s="140">
        <f>SUMIFS(Resumo_Trocas!$C:$C,Resumo_Trocas!$A:$A,$C60,Resumo_Trocas!$F:$F,AB$44,Resumo_Trocas!$C:$C,"&gt;0")</f>
        <v>2</v>
      </c>
      <c r="AC60" s="141">
        <f>SUMIFS(Resumo_Trocas!$D:$D,Resumo_Trocas!$A:$A,$C60,Resumo_Trocas!$F:$F,AB$44,Resumo_Trocas!$C:$C,"&gt;0")</f>
        <v>6</v>
      </c>
      <c r="AD60" s="140">
        <f>SUMIFS(Resumo_Trocas!$C:$C,Resumo_Trocas!$A:$A,$C60,Resumo_Trocas!$F:$F,AD$44,Resumo_Trocas!$C:$C,"&gt;0")</f>
        <v>1</v>
      </c>
      <c r="AE60" s="141">
        <f>SUMIFS(Resumo_Trocas!$D:$D,Resumo_Trocas!$A:$A,$C60,Resumo_Trocas!$F:$F,AD$44,Resumo_Trocas!$C:$C,"&gt;0")</f>
        <v>3</v>
      </c>
      <c r="AF60" s="140">
        <f>SUMIFS(Resumo_Trocas!$C:$C,Resumo_Trocas!$A:$A,$C60,Resumo_Trocas!$F:$F,AF$44,Resumo_Trocas!$C:$C,"&gt;0")</f>
        <v>0</v>
      </c>
      <c r="AG60" s="141">
        <f>SUMIFS(Resumo_Trocas!$D:$D,Resumo_Trocas!$A:$A,$C60,Resumo_Trocas!$F:$F,AF$44,Resumo_Trocas!$C:$C,"&gt;0")</f>
        <v>0</v>
      </c>
      <c r="AH60" s="140">
        <f>SUMIFS(Resumo_Trocas!$C:$C,Resumo_Trocas!$A:$A,$C60,Resumo_Trocas!$F:$F,AH$44,Resumo_Trocas!$C:$C,"&gt;0")</f>
        <v>2</v>
      </c>
      <c r="AI60" s="141">
        <f>SUMIFS(Resumo_Trocas!$D:$D,Resumo_Trocas!$A:$A,$C60,Resumo_Trocas!$F:$F,AH$44,Resumo_Trocas!$C:$C,"&gt;0")</f>
        <v>6</v>
      </c>
      <c r="AJ60" s="140">
        <f>SUMIFS(Resumo_Trocas!$C:$C,Resumo_Trocas!$A:$A,$C60,Resumo_Trocas!$F:$F,AJ$44,Resumo_Trocas!$C:$C,"&gt;0")</f>
        <v>0</v>
      </c>
      <c r="AK60" s="141">
        <f>SUMIFS(Resumo_Trocas!$D:$D,Resumo_Trocas!$A:$A,$C60,Resumo_Trocas!$F:$F,AJ$44,Resumo_Trocas!$C:$C,"&gt;0")</f>
        <v>0</v>
      </c>
      <c r="AL60" s="140">
        <f>SUMIFS(Resumo_Trocas!$C:$C,Resumo_Trocas!$A:$A,$C60,Resumo_Trocas!$F:$F,AL$44,Resumo_Trocas!$C:$C,"&gt;0")</f>
        <v>1</v>
      </c>
      <c r="AM60" s="141">
        <f>SUMIFS(Resumo_Trocas!$D:$D,Resumo_Trocas!$A:$A,$C60,Resumo_Trocas!$F:$F,AL$44,Resumo_Trocas!$C:$C,"&gt;0")</f>
        <v>3</v>
      </c>
      <c r="AN60" s="140">
        <f>SUMIFS(Resumo_Trocas!$C:$C,Resumo_Trocas!$A:$A,$C60,Resumo_Trocas!$F:$F,AN$44,Resumo_Trocas!$C:$C,"&gt;0")</f>
        <v>0</v>
      </c>
      <c r="AO60" s="141">
        <f>SUMIFS(Resumo_Trocas!$D:$D,Resumo_Trocas!$A:$A,$C60,Resumo_Trocas!$F:$F,AN$44,Resumo_Trocas!$C:$C,"&gt;0")</f>
        <v>0</v>
      </c>
    </row>
    <row r="61" spans="2:41" ht="15" customHeight="1" outlineLevel="1" thickBot="1" x14ac:dyDescent="0.3">
      <c r="B61" s="76"/>
      <c r="C61" s="112" t="s">
        <v>323</v>
      </c>
      <c r="D61" s="140">
        <f>SUMIFS(Resumo_Trocas!$C:$C,Resumo_Trocas!$A:$A,$C61,Resumo_Trocas!$F:$F,D$44,Resumo_Trocas!$C:$C,"&gt;0")</f>
        <v>0</v>
      </c>
      <c r="E61" s="141">
        <f>SUMIFS(Resumo_Trocas!$D:$D,Resumo_Trocas!$A:$A,$C61,Resumo_Trocas!$F:$F,D$44,Resumo_Trocas!$C:$C,"&gt;0")</f>
        <v>0</v>
      </c>
      <c r="F61" s="140">
        <f>SUMIFS(Resumo_Trocas!$C:$C,Resumo_Trocas!$A:$A,$C61,Resumo_Trocas!$F:$F,F$44,Resumo_Trocas!$C:$C,"&gt;0")</f>
        <v>1</v>
      </c>
      <c r="G61" s="141">
        <f>SUMIFS(Resumo_Trocas!$D:$D,Resumo_Trocas!$A:$A,$C61,Resumo_Trocas!$F:$F,F$44,Resumo_Trocas!$C:$C,"&gt;0")</f>
        <v>0</v>
      </c>
      <c r="H61" s="140">
        <f>SUMIFS(Resumo_Trocas!$C:$C,Resumo_Trocas!$A:$A,$C61,Resumo_Trocas!$F:$F,H$44,Resumo_Trocas!$C:$C,"&gt;0")</f>
        <v>0</v>
      </c>
      <c r="I61" s="141">
        <f>SUMIFS(Resumo_Trocas!$D:$D,Resumo_Trocas!$A:$A,$C61,Resumo_Trocas!$F:$F,H$44,Resumo_Trocas!$C:$C,"&gt;0")</f>
        <v>0</v>
      </c>
      <c r="J61" s="140">
        <f>SUMIFS(Resumo_Trocas!$C:$C,Resumo_Trocas!$A:$A,$C61,Resumo_Trocas!$F:$F,J$44,Resumo_Trocas!$C:$C,"&gt;0")</f>
        <v>1</v>
      </c>
      <c r="K61" s="141">
        <f>SUMIFS(Resumo_Trocas!$D:$D,Resumo_Trocas!$A:$A,$C61,Resumo_Trocas!$F:$F,J$44,Resumo_Trocas!$C:$C,"&gt;0")</f>
        <v>0</v>
      </c>
      <c r="L61" s="140">
        <f>SUMIFS(Resumo_Trocas!$C:$C,Resumo_Trocas!$A:$A,$C61,Resumo_Trocas!$F:$F,L$44,Resumo_Trocas!$C:$C,"&gt;0")</f>
        <v>0</v>
      </c>
      <c r="M61" s="141">
        <f>SUMIFS(Resumo_Trocas!$D:$D,Resumo_Trocas!$A:$A,$C61,Resumo_Trocas!$F:$F,L$44,Resumo_Trocas!$C:$C,"&gt;0")</f>
        <v>0</v>
      </c>
      <c r="N61" s="140">
        <f>SUMIFS(Resumo_Trocas!$C:$C,Resumo_Trocas!$A:$A,$C61,Resumo_Trocas!$F:$F,N$44,Resumo_Trocas!$C:$C,"&gt;0")</f>
        <v>0</v>
      </c>
      <c r="O61" s="141">
        <f>SUMIFS(Resumo_Trocas!$D:$D,Resumo_Trocas!$A:$A,$C61,Resumo_Trocas!$F:$F,N$44,Resumo_Trocas!$C:$C,"&gt;0")</f>
        <v>0</v>
      </c>
      <c r="P61" s="140">
        <f>SUMIFS(Resumo_Trocas!$C:$C,Resumo_Trocas!$A:$A,$C61,Resumo_Trocas!$F:$F,P$44,Resumo_Trocas!$C:$C,"&gt;0")</f>
        <v>0</v>
      </c>
      <c r="Q61" s="141">
        <f>SUMIFS(Resumo_Trocas!$D:$D,Resumo_Trocas!$A:$A,$C61,Resumo_Trocas!$F:$F,P$44,Resumo_Trocas!$C:$C,"&gt;0")</f>
        <v>0</v>
      </c>
      <c r="R61" s="140">
        <f>SUMIFS(Resumo_Trocas!$C:$C,Resumo_Trocas!$A:$A,$C61,Resumo_Trocas!$F:$F,R$44,Resumo_Trocas!$C:$C,"&gt;0")</f>
        <v>0</v>
      </c>
      <c r="S61" s="141">
        <f>SUMIFS(Resumo_Trocas!$D:$D,Resumo_Trocas!$A:$A,$C61,Resumo_Trocas!$F:$F,R$44,Resumo_Trocas!$C:$C,"&gt;0")</f>
        <v>0</v>
      </c>
      <c r="T61" s="140">
        <f>SUMIFS(Resumo_Trocas!$C:$C,Resumo_Trocas!$A:$A,$C61,Resumo_Trocas!$F:$F,T$44,Resumo_Trocas!$C:$C,"&gt;0")</f>
        <v>1</v>
      </c>
      <c r="U61" s="141">
        <f>SUMIFS(Resumo_Trocas!$D:$D,Resumo_Trocas!$A:$A,$C61,Resumo_Trocas!$F:$F,T$44,Resumo_Trocas!$C:$C,"&gt;0")</f>
        <v>0</v>
      </c>
      <c r="V61" s="140">
        <f>SUMIFS(Resumo_Trocas!$C:$C,Resumo_Trocas!$A:$A,$C61,Resumo_Trocas!$F:$F,V$44,Resumo_Trocas!$C:$C,"&gt;0")</f>
        <v>1</v>
      </c>
      <c r="W61" s="141">
        <f>SUMIFS(Resumo_Trocas!$D:$D,Resumo_Trocas!$A:$A,$C61,Resumo_Trocas!$F:$F,V$44,Resumo_Trocas!$C:$C,"&gt;0")</f>
        <v>0</v>
      </c>
      <c r="X61" s="140">
        <f>SUMIFS(Resumo_Trocas!$C:$C,Resumo_Trocas!$A:$A,$C61,Resumo_Trocas!$F:$F,X$44,Resumo_Trocas!$C:$C,"&gt;0")</f>
        <v>0</v>
      </c>
      <c r="Y61" s="141">
        <f>SUMIFS(Resumo_Trocas!$D:$D,Resumo_Trocas!$A:$A,$C61,Resumo_Trocas!$F:$F,X$44,Resumo_Trocas!$C:$C,"&gt;0")</f>
        <v>0</v>
      </c>
      <c r="Z61" s="140">
        <f>SUMIFS(Resumo_Trocas!$C:$C,Resumo_Trocas!$A:$A,$C61,Resumo_Trocas!$F:$F,Z$44,Resumo_Trocas!$C:$C,"&gt;0")</f>
        <v>0</v>
      </c>
      <c r="AA61" s="141">
        <f>SUMIFS(Resumo_Trocas!$D:$D,Resumo_Trocas!$A:$A,$C61,Resumo_Trocas!$F:$F,Z$44,Resumo_Trocas!$C:$C,"&gt;0")</f>
        <v>0</v>
      </c>
      <c r="AB61" s="140">
        <f>SUMIFS(Resumo_Trocas!$C:$C,Resumo_Trocas!$A:$A,$C61,Resumo_Trocas!$F:$F,AB$44,Resumo_Trocas!$C:$C,"&gt;0")</f>
        <v>0</v>
      </c>
      <c r="AC61" s="141">
        <f>SUMIFS(Resumo_Trocas!$D:$D,Resumo_Trocas!$A:$A,$C61,Resumo_Trocas!$F:$F,AB$44,Resumo_Trocas!$C:$C,"&gt;0")</f>
        <v>0</v>
      </c>
      <c r="AD61" s="140">
        <f>SUMIFS(Resumo_Trocas!$C:$C,Resumo_Trocas!$A:$A,$C61,Resumo_Trocas!$F:$F,AD$44,Resumo_Trocas!$C:$C,"&gt;0")</f>
        <v>0</v>
      </c>
      <c r="AE61" s="141">
        <f>SUMIFS(Resumo_Trocas!$D:$D,Resumo_Trocas!$A:$A,$C61,Resumo_Trocas!$F:$F,AD$44,Resumo_Trocas!$C:$C,"&gt;0")</f>
        <v>0</v>
      </c>
      <c r="AF61" s="140">
        <f>SUMIFS(Resumo_Trocas!$C:$C,Resumo_Trocas!$A:$A,$C61,Resumo_Trocas!$F:$F,AF$44,Resumo_Trocas!$C:$C,"&gt;0")</f>
        <v>0</v>
      </c>
      <c r="AG61" s="141">
        <f>SUMIFS(Resumo_Trocas!$D:$D,Resumo_Trocas!$A:$A,$C61,Resumo_Trocas!$F:$F,AF$44,Resumo_Trocas!$C:$C,"&gt;0")</f>
        <v>0</v>
      </c>
      <c r="AH61" s="140">
        <f>SUMIFS(Resumo_Trocas!$C:$C,Resumo_Trocas!$A:$A,$C61,Resumo_Trocas!$F:$F,AH$44,Resumo_Trocas!$C:$C,"&gt;0")</f>
        <v>1</v>
      </c>
      <c r="AI61" s="141">
        <f>SUMIFS(Resumo_Trocas!$D:$D,Resumo_Trocas!$A:$A,$C61,Resumo_Trocas!$F:$F,AH$44,Resumo_Trocas!$C:$C,"&gt;0")</f>
        <v>0</v>
      </c>
      <c r="AJ61" s="140">
        <f>SUMIFS(Resumo_Trocas!$C:$C,Resumo_Trocas!$A:$A,$C61,Resumo_Trocas!$F:$F,AJ$44,Resumo_Trocas!$C:$C,"&gt;0")</f>
        <v>0</v>
      </c>
      <c r="AK61" s="141">
        <f>SUMIFS(Resumo_Trocas!$D:$D,Resumo_Trocas!$A:$A,$C61,Resumo_Trocas!$F:$F,AJ$44,Resumo_Trocas!$C:$C,"&gt;0")</f>
        <v>0</v>
      </c>
      <c r="AL61" s="140">
        <f>SUMIFS(Resumo_Trocas!$C:$C,Resumo_Trocas!$A:$A,$C61,Resumo_Trocas!$F:$F,AL$44,Resumo_Trocas!$C:$C,"&gt;0")</f>
        <v>0</v>
      </c>
      <c r="AM61" s="141">
        <f>SUMIFS(Resumo_Trocas!$D:$D,Resumo_Trocas!$A:$A,$C61,Resumo_Trocas!$F:$F,AL$44,Resumo_Trocas!$C:$C,"&gt;0")</f>
        <v>0</v>
      </c>
      <c r="AN61" s="140">
        <f>SUMIFS(Resumo_Trocas!$C:$C,Resumo_Trocas!$A:$A,$C61,Resumo_Trocas!$F:$F,AN$44,Resumo_Trocas!$C:$C,"&gt;0")</f>
        <v>0</v>
      </c>
      <c r="AO61" s="141">
        <f>SUMIFS(Resumo_Trocas!$D:$D,Resumo_Trocas!$A:$A,$C61,Resumo_Trocas!$F:$F,AN$44,Resumo_Trocas!$C:$C,"&gt;0")</f>
        <v>0</v>
      </c>
    </row>
    <row r="62" spans="2:41" ht="15" customHeight="1" outlineLevel="1" thickBot="1" x14ac:dyDescent="0.3">
      <c r="B62" s="76"/>
      <c r="C62" s="112" t="s">
        <v>328</v>
      </c>
      <c r="D62" s="140">
        <f>SUMIFS(Resumo_Trocas!$C:$C,Resumo_Trocas!$A:$A,$C62,Resumo_Trocas!$F:$F,D$44,Resumo_Trocas!$C:$C,"&gt;0")</f>
        <v>4</v>
      </c>
      <c r="E62" s="141">
        <f>SUMIFS(Resumo_Trocas!$D:$D,Resumo_Trocas!$A:$A,$C62,Resumo_Trocas!$F:$F,D$44,Resumo_Trocas!$C:$C,"&gt;0")</f>
        <v>5</v>
      </c>
      <c r="F62" s="140">
        <f>SUMIFS(Resumo_Trocas!$C:$C,Resumo_Trocas!$A:$A,$C62,Resumo_Trocas!$F:$F,F$44,Resumo_Trocas!$C:$C,"&gt;0")</f>
        <v>3</v>
      </c>
      <c r="G62" s="141">
        <f>SUMIFS(Resumo_Trocas!$D:$D,Resumo_Trocas!$A:$A,$C62,Resumo_Trocas!$F:$F,F$44,Resumo_Trocas!$C:$C,"&gt;0")</f>
        <v>1</v>
      </c>
      <c r="H62" s="140">
        <f>SUMIFS(Resumo_Trocas!$C:$C,Resumo_Trocas!$A:$A,$C62,Resumo_Trocas!$F:$F,H$44,Resumo_Trocas!$C:$C,"&gt;0")</f>
        <v>1</v>
      </c>
      <c r="I62" s="141">
        <f>SUMIFS(Resumo_Trocas!$D:$D,Resumo_Trocas!$A:$A,$C62,Resumo_Trocas!$F:$F,H$44,Resumo_Trocas!$C:$C,"&gt;0")</f>
        <v>0</v>
      </c>
      <c r="J62" s="140">
        <f>SUMIFS(Resumo_Trocas!$C:$C,Resumo_Trocas!$A:$A,$C62,Resumo_Trocas!$F:$F,J$44,Resumo_Trocas!$C:$C,"&gt;0")</f>
        <v>0</v>
      </c>
      <c r="K62" s="141">
        <f>SUMIFS(Resumo_Trocas!$D:$D,Resumo_Trocas!$A:$A,$C62,Resumo_Trocas!$F:$F,J$44,Resumo_Trocas!$C:$C,"&gt;0")</f>
        <v>0</v>
      </c>
      <c r="L62" s="140">
        <f>SUMIFS(Resumo_Trocas!$C:$C,Resumo_Trocas!$A:$A,$C62,Resumo_Trocas!$F:$F,L$44,Resumo_Trocas!$C:$C,"&gt;0")</f>
        <v>0</v>
      </c>
      <c r="M62" s="141">
        <f>SUMIFS(Resumo_Trocas!$D:$D,Resumo_Trocas!$A:$A,$C62,Resumo_Trocas!$F:$F,L$44,Resumo_Trocas!$C:$C,"&gt;0")</f>
        <v>0</v>
      </c>
      <c r="N62" s="140">
        <f>SUMIFS(Resumo_Trocas!$C:$C,Resumo_Trocas!$A:$A,$C62,Resumo_Trocas!$F:$F,N$44,Resumo_Trocas!$C:$C,"&gt;0")</f>
        <v>0</v>
      </c>
      <c r="O62" s="141">
        <f>SUMIFS(Resumo_Trocas!$D:$D,Resumo_Trocas!$A:$A,$C62,Resumo_Trocas!$F:$F,N$44,Resumo_Trocas!$C:$C,"&gt;0")</f>
        <v>0</v>
      </c>
      <c r="P62" s="140">
        <f>SUMIFS(Resumo_Trocas!$C:$C,Resumo_Trocas!$A:$A,$C62,Resumo_Trocas!$F:$F,P$44,Resumo_Trocas!$C:$C,"&gt;0")</f>
        <v>0</v>
      </c>
      <c r="Q62" s="141">
        <f>SUMIFS(Resumo_Trocas!$D:$D,Resumo_Trocas!$A:$A,$C62,Resumo_Trocas!$F:$F,P$44,Resumo_Trocas!$C:$C,"&gt;0")</f>
        <v>0</v>
      </c>
      <c r="R62" s="140">
        <f>SUMIFS(Resumo_Trocas!$C:$C,Resumo_Trocas!$A:$A,$C62,Resumo_Trocas!$F:$F,R$44,Resumo_Trocas!$C:$C,"&gt;0")</f>
        <v>0</v>
      </c>
      <c r="S62" s="141">
        <f>SUMIFS(Resumo_Trocas!$D:$D,Resumo_Trocas!$A:$A,$C62,Resumo_Trocas!$F:$F,R$44,Resumo_Trocas!$C:$C,"&gt;0")</f>
        <v>0</v>
      </c>
      <c r="T62" s="140">
        <f>SUMIFS(Resumo_Trocas!$C:$C,Resumo_Trocas!$A:$A,$C62,Resumo_Trocas!$F:$F,T$44,Resumo_Trocas!$C:$C,"&gt;0")</f>
        <v>0</v>
      </c>
      <c r="U62" s="141">
        <f>SUMIFS(Resumo_Trocas!$D:$D,Resumo_Trocas!$A:$A,$C62,Resumo_Trocas!$F:$F,T$44,Resumo_Trocas!$C:$C,"&gt;0")</f>
        <v>0</v>
      </c>
      <c r="V62" s="140">
        <f>SUMIFS(Resumo_Trocas!$C:$C,Resumo_Trocas!$A:$A,$C62,Resumo_Trocas!$F:$F,V$44,Resumo_Trocas!$C:$C,"&gt;0")</f>
        <v>0</v>
      </c>
      <c r="W62" s="141">
        <f>SUMIFS(Resumo_Trocas!$D:$D,Resumo_Trocas!$A:$A,$C62,Resumo_Trocas!$F:$F,V$44,Resumo_Trocas!$C:$C,"&gt;0")</f>
        <v>0</v>
      </c>
      <c r="X62" s="140">
        <f>SUMIFS(Resumo_Trocas!$C:$C,Resumo_Trocas!$A:$A,$C62,Resumo_Trocas!$F:$F,X$44,Resumo_Trocas!$C:$C,"&gt;0")</f>
        <v>1</v>
      </c>
      <c r="Y62" s="141">
        <f>SUMIFS(Resumo_Trocas!$D:$D,Resumo_Trocas!$A:$A,$C62,Resumo_Trocas!$F:$F,X$44,Resumo_Trocas!$C:$C,"&gt;0")</f>
        <v>0</v>
      </c>
      <c r="Z62" s="140">
        <f>SUMIFS(Resumo_Trocas!$C:$C,Resumo_Trocas!$A:$A,$C62,Resumo_Trocas!$F:$F,Z$44,Resumo_Trocas!$C:$C,"&gt;0")</f>
        <v>0</v>
      </c>
      <c r="AA62" s="141">
        <f>SUMIFS(Resumo_Trocas!$D:$D,Resumo_Trocas!$A:$A,$C62,Resumo_Trocas!$F:$F,Z$44,Resumo_Trocas!$C:$C,"&gt;0")</f>
        <v>0</v>
      </c>
      <c r="AB62" s="140">
        <f>SUMIFS(Resumo_Trocas!$C:$C,Resumo_Trocas!$A:$A,$C62,Resumo_Trocas!$F:$F,AB$44,Resumo_Trocas!$C:$C,"&gt;0")</f>
        <v>0</v>
      </c>
      <c r="AC62" s="141">
        <f>SUMIFS(Resumo_Trocas!$D:$D,Resumo_Trocas!$A:$A,$C62,Resumo_Trocas!$F:$F,AB$44,Resumo_Trocas!$C:$C,"&gt;0")</f>
        <v>0</v>
      </c>
      <c r="AD62" s="140">
        <f>SUMIFS(Resumo_Trocas!$C:$C,Resumo_Trocas!$A:$A,$C62,Resumo_Trocas!$F:$F,AD$44,Resumo_Trocas!$C:$C,"&gt;0")</f>
        <v>0</v>
      </c>
      <c r="AE62" s="141">
        <f>SUMIFS(Resumo_Trocas!$D:$D,Resumo_Trocas!$A:$A,$C62,Resumo_Trocas!$F:$F,AD$44,Resumo_Trocas!$C:$C,"&gt;0")</f>
        <v>0</v>
      </c>
      <c r="AF62" s="140">
        <f>SUMIFS(Resumo_Trocas!$C:$C,Resumo_Trocas!$A:$A,$C62,Resumo_Trocas!$F:$F,AF$44,Resumo_Trocas!$C:$C,"&gt;0")</f>
        <v>0</v>
      </c>
      <c r="AG62" s="141">
        <f>SUMIFS(Resumo_Trocas!$D:$D,Resumo_Trocas!$A:$A,$C62,Resumo_Trocas!$F:$F,AF$44,Resumo_Trocas!$C:$C,"&gt;0")</f>
        <v>0</v>
      </c>
      <c r="AH62" s="140">
        <f>SUMIFS(Resumo_Trocas!$C:$C,Resumo_Trocas!$A:$A,$C62,Resumo_Trocas!$F:$F,AH$44,Resumo_Trocas!$C:$C,"&gt;0")</f>
        <v>0</v>
      </c>
      <c r="AI62" s="141">
        <f>SUMIFS(Resumo_Trocas!$D:$D,Resumo_Trocas!$A:$A,$C62,Resumo_Trocas!$F:$F,AH$44,Resumo_Trocas!$C:$C,"&gt;0")</f>
        <v>0</v>
      </c>
      <c r="AJ62" s="140">
        <f>SUMIFS(Resumo_Trocas!$C:$C,Resumo_Trocas!$A:$A,$C62,Resumo_Trocas!$F:$F,AJ$44,Resumo_Trocas!$C:$C,"&gt;0")</f>
        <v>2</v>
      </c>
      <c r="AK62" s="141">
        <f>SUMIFS(Resumo_Trocas!$D:$D,Resumo_Trocas!$A:$A,$C62,Resumo_Trocas!$F:$F,AJ$44,Resumo_Trocas!$C:$C,"&gt;0")</f>
        <v>0</v>
      </c>
      <c r="AL62" s="140">
        <f>SUMIFS(Resumo_Trocas!$C:$C,Resumo_Trocas!$A:$A,$C62,Resumo_Trocas!$F:$F,AL$44,Resumo_Trocas!$C:$C,"&gt;0")</f>
        <v>0</v>
      </c>
      <c r="AM62" s="141">
        <f>SUMIFS(Resumo_Trocas!$D:$D,Resumo_Trocas!$A:$A,$C62,Resumo_Trocas!$F:$F,AL$44,Resumo_Trocas!$C:$C,"&gt;0")</f>
        <v>0</v>
      </c>
      <c r="AN62" s="140">
        <f>SUMIFS(Resumo_Trocas!$C:$C,Resumo_Trocas!$A:$A,$C62,Resumo_Trocas!$F:$F,AN$44,Resumo_Trocas!$C:$C,"&gt;0")</f>
        <v>0</v>
      </c>
      <c r="AO62" s="141">
        <f>SUMIFS(Resumo_Trocas!$D:$D,Resumo_Trocas!$A:$A,$C62,Resumo_Trocas!$F:$F,AN$44,Resumo_Trocas!$C:$C,"&gt;0")</f>
        <v>0</v>
      </c>
    </row>
    <row r="63" spans="2:41" ht="15" customHeight="1" outlineLevel="1" thickBot="1" x14ac:dyDescent="0.3">
      <c r="B63" s="76"/>
      <c r="C63" s="112" t="s">
        <v>331</v>
      </c>
      <c r="D63" s="140">
        <f>SUMIFS(Resumo_Trocas!$C:$C,Resumo_Trocas!$A:$A,$C63,Resumo_Trocas!$F:$F,D$44,Resumo_Trocas!$C:$C,"&gt;0")</f>
        <v>1</v>
      </c>
      <c r="E63" s="141">
        <f>SUMIFS(Resumo_Trocas!$D:$D,Resumo_Trocas!$A:$A,$C63,Resumo_Trocas!$F:$F,D$44,Resumo_Trocas!$C:$C,"&gt;0")</f>
        <v>0</v>
      </c>
      <c r="F63" s="140">
        <f>SUMIFS(Resumo_Trocas!$C:$C,Resumo_Trocas!$A:$A,$C63,Resumo_Trocas!$F:$F,F$44,Resumo_Trocas!$C:$C,"&gt;0")</f>
        <v>1</v>
      </c>
      <c r="G63" s="141">
        <f>SUMIFS(Resumo_Trocas!$D:$D,Resumo_Trocas!$A:$A,$C63,Resumo_Trocas!$F:$F,F$44,Resumo_Trocas!$C:$C,"&gt;0")</f>
        <v>0</v>
      </c>
      <c r="H63" s="140">
        <f>SUMIFS(Resumo_Trocas!$C:$C,Resumo_Trocas!$A:$A,$C63,Resumo_Trocas!$F:$F,H$44,Resumo_Trocas!$C:$C,"&gt;0")</f>
        <v>0</v>
      </c>
      <c r="I63" s="141">
        <f>SUMIFS(Resumo_Trocas!$D:$D,Resumo_Trocas!$A:$A,$C63,Resumo_Trocas!$F:$F,H$44,Resumo_Trocas!$C:$C,"&gt;0")</f>
        <v>0</v>
      </c>
      <c r="J63" s="140">
        <f>SUMIFS(Resumo_Trocas!$C:$C,Resumo_Trocas!$A:$A,$C63,Resumo_Trocas!$F:$F,J$44,Resumo_Trocas!$C:$C,"&gt;0")</f>
        <v>0</v>
      </c>
      <c r="K63" s="141">
        <f>SUMIFS(Resumo_Trocas!$D:$D,Resumo_Trocas!$A:$A,$C63,Resumo_Trocas!$F:$F,J$44,Resumo_Trocas!$C:$C,"&gt;0")</f>
        <v>0</v>
      </c>
      <c r="L63" s="140">
        <f>SUMIFS(Resumo_Trocas!$C:$C,Resumo_Trocas!$A:$A,$C63,Resumo_Trocas!$F:$F,L$44,Resumo_Trocas!$C:$C,"&gt;0")</f>
        <v>0</v>
      </c>
      <c r="M63" s="141">
        <f>SUMIFS(Resumo_Trocas!$D:$D,Resumo_Trocas!$A:$A,$C63,Resumo_Trocas!$F:$F,L$44,Resumo_Trocas!$C:$C,"&gt;0")</f>
        <v>0</v>
      </c>
      <c r="N63" s="140">
        <f>SUMIFS(Resumo_Trocas!$C:$C,Resumo_Trocas!$A:$A,$C63,Resumo_Trocas!$F:$F,N$44,Resumo_Trocas!$C:$C,"&gt;0")</f>
        <v>0</v>
      </c>
      <c r="O63" s="141">
        <f>SUMIFS(Resumo_Trocas!$D:$D,Resumo_Trocas!$A:$A,$C63,Resumo_Trocas!$F:$F,N$44,Resumo_Trocas!$C:$C,"&gt;0")</f>
        <v>0</v>
      </c>
      <c r="P63" s="140">
        <f>SUMIFS(Resumo_Trocas!$C:$C,Resumo_Trocas!$A:$A,$C63,Resumo_Trocas!$F:$F,P$44,Resumo_Trocas!$C:$C,"&gt;0")</f>
        <v>0</v>
      </c>
      <c r="Q63" s="141">
        <f>SUMIFS(Resumo_Trocas!$D:$D,Resumo_Trocas!$A:$A,$C63,Resumo_Trocas!$F:$F,P$44,Resumo_Trocas!$C:$C,"&gt;0")</f>
        <v>0</v>
      </c>
      <c r="R63" s="140">
        <f>SUMIFS(Resumo_Trocas!$C:$C,Resumo_Trocas!$A:$A,$C63,Resumo_Trocas!$F:$F,R$44,Resumo_Trocas!$C:$C,"&gt;0")</f>
        <v>0</v>
      </c>
      <c r="S63" s="141">
        <f>SUMIFS(Resumo_Trocas!$D:$D,Resumo_Trocas!$A:$A,$C63,Resumo_Trocas!$F:$F,R$44,Resumo_Trocas!$C:$C,"&gt;0")</f>
        <v>0</v>
      </c>
      <c r="T63" s="140">
        <f>SUMIFS(Resumo_Trocas!$C:$C,Resumo_Trocas!$A:$A,$C63,Resumo_Trocas!$F:$F,T$44,Resumo_Trocas!$C:$C,"&gt;0")</f>
        <v>0</v>
      </c>
      <c r="U63" s="141">
        <f>SUMIFS(Resumo_Trocas!$D:$D,Resumo_Trocas!$A:$A,$C63,Resumo_Trocas!$F:$F,T$44,Resumo_Trocas!$C:$C,"&gt;0")</f>
        <v>0</v>
      </c>
      <c r="V63" s="140">
        <f>SUMIFS(Resumo_Trocas!$C:$C,Resumo_Trocas!$A:$A,$C63,Resumo_Trocas!$F:$F,V$44,Resumo_Trocas!$C:$C,"&gt;0")</f>
        <v>0</v>
      </c>
      <c r="W63" s="141">
        <f>SUMIFS(Resumo_Trocas!$D:$D,Resumo_Trocas!$A:$A,$C63,Resumo_Trocas!$F:$F,V$44,Resumo_Trocas!$C:$C,"&gt;0")</f>
        <v>0</v>
      </c>
      <c r="X63" s="140">
        <f>SUMIFS(Resumo_Trocas!$C:$C,Resumo_Trocas!$A:$A,$C63,Resumo_Trocas!$F:$F,X$44,Resumo_Trocas!$C:$C,"&gt;0")</f>
        <v>0</v>
      </c>
      <c r="Y63" s="141">
        <f>SUMIFS(Resumo_Trocas!$D:$D,Resumo_Trocas!$A:$A,$C63,Resumo_Trocas!$F:$F,X$44,Resumo_Trocas!$C:$C,"&gt;0")</f>
        <v>0</v>
      </c>
      <c r="Z63" s="140">
        <f>SUMIFS(Resumo_Trocas!$C:$C,Resumo_Trocas!$A:$A,$C63,Resumo_Trocas!$F:$F,Z$44,Resumo_Trocas!$C:$C,"&gt;0")</f>
        <v>0</v>
      </c>
      <c r="AA63" s="141">
        <f>SUMIFS(Resumo_Trocas!$D:$D,Resumo_Trocas!$A:$A,$C63,Resumo_Trocas!$F:$F,Z$44,Resumo_Trocas!$C:$C,"&gt;0")</f>
        <v>0</v>
      </c>
      <c r="AB63" s="140">
        <f>SUMIFS(Resumo_Trocas!$C:$C,Resumo_Trocas!$A:$A,$C63,Resumo_Trocas!$F:$F,AB$44,Resumo_Trocas!$C:$C,"&gt;0")</f>
        <v>0</v>
      </c>
      <c r="AC63" s="141">
        <f>SUMIFS(Resumo_Trocas!$D:$D,Resumo_Trocas!$A:$A,$C63,Resumo_Trocas!$F:$F,AB$44,Resumo_Trocas!$C:$C,"&gt;0")</f>
        <v>0</v>
      </c>
      <c r="AD63" s="140">
        <f>SUMIFS(Resumo_Trocas!$C:$C,Resumo_Trocas!$A:$A,$C63,Resumo_Trocas!$F:$F,AD$44,Resumo_Trocas!$C:$C,"&gt;0")</f>
        <v>0</v>
      </c>
      <c r="AE63" s="141">
        <f>SUMIFS(Resumo_Trocas!$D:$D,Resumo_Trocas!$A:$A,$C63,Resumo_Trocas!$F:$F,AD$44,Resumo_Trocas!$C:$C,"&gt;0")</f>
        <v>0</v>
      </c>
      <c r="AF63" s="140">
        <f>SUMIFS(Resumo_Trocas!$C:$C,Resumo_Trocas!$A:$A,$C63,Resumo_Trocas!$F:$F,AF$44,Resumo_Trocas!$C:$C,"&gt;0")</f>
        <v>0</v>
      </c>
      <c r="AG63" s="141">
        <f>SUMIFS(Resumo_Trocas!$D:$D,Resumo_Trocas!$A:$A,$C63,Resumo_Trocas!$F:$F,AF$44,Resumo_Trocas!$C:$C,"&gt;0")</f>
        <v>0</v>
      </c>
      <c r="AH63" s="140">
        <f>SUMIFS(Resumo_Trocas!$C:$C,Resumo_Trocas!$A:$A,$C63,Resumo_Trocas!$F:$F,AH$44,Resumo_Trocas!$C:$C,"&gt;0")</f>
        <v>0</v>
      </c>
      <c r="AI63" s="141">
        <f>SUMIFS(Resumo_Trocas!$D:$D,Resumo_Trocas!$A:$A,$C63,Resumo_Trocas!$F:$F,AH$44,Resumo_Trocas!$C:$C,"&gt;0")</f>
        <v>0</v>
      </c>
      <c r="AJ63" s="140">
        <f>SUMIFS(Resumo_Trocas!$C:$C,Resumo_Trocas!$A:$A,$C63,Resumo_Trocas!$F:$F,AJ$44,Resumo_Trocas!$C:$C,"&gt;0")</f>
        <v>0</v>
      </c>
      <c r="AK63" s="141">
        <f>SUMIFS(Resumo_Trocas!$D:$D,Resumo_Trocas!$A:$A,$C63,Resumo_Trocas!$F:$F,AJ$44,Resumo_Trocas!$C:$C,"&gt;0")</f>
        <v>0</v>
      </c>
      <c r="AL63" s="140">
        <f>SUMIFS(Resumo_Trocas!$C:$C,Resumo_Trocas!$A:$A,$C63,Resumo_Trocas!$F:$F,AL$44,Resumo_Trocas!$C:$C,"&gt;0")</f>
        <v>0</v>
      </c>
      <c r="AM63" s="141">
        <f>SUMIFS(Resumo_Trocas!$D:$D,Resumo_Trocas!$A:$A,$C63,Resumo_Trocas!$F:$F,AL$44,Resumo_Trocas!$C:$C,"&gt;0")</f>
        <v>0</v>
      </c>
      <c r="AN63" s="140">
        <f>SUMIFS(Resumo_Trocas!$C:$C,Resumo_Trocas!$A:$A,$C63,Resumo_Trocas!$F:$F,AN$44,Resumo_Trocas!$C:$C,"&gt;0")</f>
        <v>0</v>
      </c>
      <c r="AO63" s="141">
        <f>SUMIFS(Resumo_Trocas!$D:$D,Resumo_Trocas!$A:$A,$C63,Resumo_Trocas!$F:$F,AN$44,Resumo_Trocas!$C:$C,"&gt;0")</f>
        <v>0</v>
      </c>
    </row>
    <row r="64" spans="2:41" ht="15" customHeight="1" outlineLevel="1" thickBot="1" x14ac:dyDescent="0.3">
      <c r="B64" s="76"/>
      <c r="C64" s="112" t="s">
        <v>332</v>
      </c>
      <c r="D64" s="140">
        <f>SUMIFS(Resumo_Trocas!$C:$C,Resumo_Trocas!$A:$A,$C64,Resumo_Trocas!$F:$F,D$44,Resumo_Trocas!$C:$C,"&gt;0")</f>
        <v>0</v>
      </c>
      <c r="E64" s="141">
        <f>SUMIFS(Resumo_Trocas!$D:$D,Resumo_Trocas!$A:$A,$C64,Resumo_Trocas!$F:$F,D$44,Resumo_Trocas!$C:$C,"&gt;0")</f>
        <v>0</v>
      </c>
      <c r="F64" s="140">
        <f>SUMIFS(Resumo_Trocas!$C:$C,Resumo_Trocas!$A:$A,$C64,Resumo_Trocas!$F:$F,F$44,Resumo_Trocas!$C:$C,"&gt;0")</f>
        <v>0</v>
      </c>
      <c r="G64" s="141">
        <f>SUMIFS(Resumo_Trocas!$D:$D,Resumo_Trocas!$A:$A,$C64,Resumo_Trocas!$F:$F,F$44,Resumo_Trocas!$C:$C,"&gt;0")</f>
        <v>0</v>
      </c>
      <c r="H64" s="140">
        <f>SUMIFS(Resumo_Trocas!$C:$C,Resumo_Trocas!$A:$A,$C64,Resumo_Trocas!$F:$F,H$44,Resumo_Trocas!$C:$C,"&gt;0")</f>
        <v>0</v>
      </c>
      <c r="I64" s="141">
        <f>SUMIFS(Resumo_Trocas!$D:$D,Resumo_Trocas!$A:$A,$C64,Resumo_Trocas!$F:$F,H$44,Resumo_Trocas!$C:$C,"&gt;0")</f>
        <v>0</v>
      </c>
      <c r="J64" s="140">
        <f>SUMIFS(Resumo_Trocas!$C:$C,Resumo_Trocas!$A:$A,$C64,Resumo_Trocas!$F:$F,J$44,Resumo_Trocas!$C:$C,"&gt;0")</f>
        <v>0</v>
      </c>
      <c r="K64" s="141">
        <f>SUMIFS(Resumo_Trocas!$D:$D,Resumo_Trocas!$A:$A,$C64,Resumo_Trocas!$F:$F,J$44,Resumo_Trocas!$C:$C,"&gt;0")</f>
        <v>0</v>
      </c>
      <c r="L64" s="140">
        <f>SUMIFS(Resumo_Trocas!$C:$C,Resumo_Trocas!$A:$A,$C64,Resumo_Trocas!$F:$F,L$44,Resumo_Trocas!$C:$C,"&gt;0")</f>
        <v>0</v>
      </c>
      <c r="M64" s="141">
        <f>SUMIFS(Resumo_Trocas!$D:$D,Resumo_Trocas!$A:$A,$C64,Resumo_Trocas!$F:$F,L$44,Resumo_Trocas!$C:$C,"&gt;0")</f>
        <v>0</v>
      </c>
      <c r="N64" s="140">
        <f>SUMIFS(Resumo_Trocas!$C:$C,Resumo_Trocas!$A:$A,$C64,Resumo_Trocas!$F:$F,N$44,Resumo_Trocas!$C:$C,"&gt;0")</f>
        <v>0</v>
      </c>
      <c r="O64" s="141">
        <f>SUMIFS(Resumo_Trocas!$D:$D,Resumo_Trocas!$A:$A,$C64,Resumo_Trocas!$F:$F,N$44,Resumo_Trocas!$C:$C,"&gt;0")</f>
        <v>0</v>
      </c>
      <c r="P64" s="140">
        <f>SUMIFS(Resumo_Trocas!$C:$C,Resumo_Trocas!$A:$A,$C64,Resumo_Trocas!$F:$F,P$44,Resumo_Trocas!$C:$C,"&gt;0")</f>
        <v>0</v>
      </c>
      <c r="Q64" s="141">
        <f>SUMIFS(Resumo_Trocas!$D:$D,Resumo_Trocas!$A:$A,$C64,Resumo_Trocas!$F:$F,P$44,Resumo_Trocas!$C:$C,"&gt;0")</f>
        <v>0</v>
      </c>
      <c r="R64" s="140">
        <f>SUMIFS(Resumo_Trocas!$C:$C,Resumo_Trocas!$A:$A,$C64,Resumo_Trocas!$F:$F,R$44,Resumo_Trocas!$C:$C,"&gt;0")</f>
        <v>0</v>
      </c>
      <c r="S64" s="141">
        <f>SUMIFS(Resumo_Trocas!$D:$D,Resumo_Trocas!$A:$A,$C64,Resumo_Trocas!$F:$F,R$44,Resumo_Trocas!$C:$C,"&gt;0")</f>
        <v>0</v>
      </c>
      <c r="T64" s="140">
        <f>SUMIFS(Resumo_Trocas!$C:$C,Resumo_Trocas!$A:$A,$C64,Resumo_Trocas!$F:$F,T$44,Resumo_Trocas!$C:$C,"&gt;0")</f>
        <v>0</v>
      </c>
      <c r="U64" s="141">
        <f>SUMIFS(Resumo_Trocas!$D:$D,Resumo_Trocas!$A:$A,$C64,Resumo_Trocas!$F:$F,T$44,Resumo_Trocas!$C:$C,"&gt;0")</f>
        <v>0</v>
      </c>
      <c r="V64" s="140">
        <f>SUMIFS(Resumo_Trocas!$C:$C,Resumo_Trocas!$A:$A,$C64,Resumo_Trocas!$F:$F,V$44,Resumo_Trocas!$C:$C,"&gt;0")</f>
        <v>0</v>
      </c>
      <c r="W64" s="141">
        <f>SUMIFS(Resumo_Trocas!$D:$D,Resumo_Trocas!$A:$A,$C64,Resumo_Trocas!$F:$F,V$44,Resumo_Trocas!$C:$C,"&gt;0")</f>
        <v>0</v>
      </c>
      <c r="X64" s="140">
        <f>SUMIFS(Resumo_Trocas!$C:$C,Resumo_Trocas!$A:$A,$C64,Resumo_Trocas!$F:$F,X$44,Resumo_Trocas!$C:$C,"&gt;0")</f>
        <v>0</v>
      </c>
      <c r="Y64" s="141">
        <f>SUMIFS(Resumo_Trocas!$D:$D,Resumo_Trocas!$A:$A,$C64,Resumo_Trocas!$F:$F,X$44,Resumo_Trocas!$C:$C,"&gt;0")</f>
        <v>0</v>
      </c>
      <c r="Z64" s="140">
        <f>SUMIFS(Resumo_Trocas!$C:$C,Resumo_Trocas!$A:$A,$C64,Resumo_Trocas!$F:$F,Z$44,Resumo_Trocas!$C:$C,"&gt;0")</f>
        <v>0</v>
      </c>
      <c r="AA64" s="141">
        <f>SUMIFS(Resumo_Trocas!$D:$D,Resumo_Trocas!$A:$A,$C64,Resumo_Trocas!$F:$F,Z$44,Resumo_Trocas!$C:$C,"&gt;0")</f>
        <v>0</v>
      </c>
      <c r="AB64" s="140">
        <f>SUMIFS(Resumo_Trocas!$C:$C,Resumo_Trocas!$A:$A,$C64,Resumo_Trocas!$F:$F,AB$44,Resumo_Trocas!$C:$C,"&gt;0")</f>
        <v>0</v>
      </c>
      <c r="AC64" s="141">
        <f>SUMIFS(Resumo_Trocas!$D:$D,Resumo_Trocas!$A:$A,$C64,Resumo_Trocas!$F:$F,AB$44,Resumo_Trocas!$C:$C,"&gt;0")</f>
        <v>0</v>
      </c>
      <c r="AD64" s="140">
        <f>SUMIFS(Resumo_Trocas!$C:$C,Resumo_Trocas!$A:$A,$C64,Resumo_Trocas!$F:$F,AD$44,Resumo_Trocas!$C:$C,"&gt;0")</f>
        <v>0</v>
      </c>
      <c r="AE64" s="141">
        <f>SUMIFS(Resumo_Trocas!$D:$D,Resumo_Trocas!$A:$A,$C64,Resumo_Trocas!$F:$F,AD$44,Resumo_Trocas!$C:$C,"&gt;0")</f>
        <v>0</v>
      </c>
      <c r="AF64" s="140">
        <f>SUMIFS(Resumo_Trocas!$C:$C,Resumo_Trocas!$A:$A,$C64,Resumo_Trocas!$F:$F,AF$44,Resumo_Trocas!$C:$C,"&gt;0")</f>
        <v>0</v>
      </c>
      <c r="AG64" s="141">
        <f>SUMIFS(Resumo_Trocas!$D:$D,Resumo_Trocas!$A:$A,$C64,Resumo_Trocas!$F:$F,AF$44,Resumo_Trocas!$C:$C,"&gt;0")</f>
        <v>0</v>
      </c>
      <c r="AH64" s="140">
        <f>SUMIFS(Resumo_Trocas!$C:$C,Resumo_Trocas!$A:$A,$C64,Resumo_Trocas!$F:$F,AH$44,Resumo_Trocas!$C:$C,"&gt;0")</f>
        <v>0</v>
      </c>
      <c r="AI64" s="141">
        <f>SUMIFS(Resumo_Trocas!$D:$D,Resumo_Trocas!$A:$A,$C64,Resumo_Trocas!$F:$F,AH$44,Resumo_Trocas!$C:$C,"&gt;0")</f>
        <v>0</v>
      </c>
      <c r="AJ64" s="140">
        <f>SUMIFS(Resumo_Trocas!$C:$C,Resumo_Trocas!$A:$A,$C64,Resumo_Trocas!$F:$F,AJ$44,Resumo_Trocas!$C:$C,"&gt;0")</f>
        <v>0</v>
      </c>
      <c r="AK64" s="141">
        <f>SUMIFS(Resumo_Trocas!$D:$D,Resumo_Trocas!$A:$A,$C64,Resumo_Trocas!$F:$F,AJ$44,Resumo_Trocas!$C:$C,"&gt;0")</f>
        <v>0</v>
      </c>
      <c r="AL64" s="140">
        <f>SUMIFS(Resumo_Trocas!$C:$C,Resumo_Trocas!$A:$A,$C64,Resumo_Trocas!$F:$F,AL$44,Resumo_Trocas!$C:$C,"&gt;0")</f>
        <v>0</v>
      </c>
      <c r="AM64" s="141">
        <f>SUMIFS(Resumo_Trocas!$D:$D,Resumo_Trocas!$A:$A,$C64,Resumo_Trocas!$F:$F,AL$44,Resumo_Trocas!$C:$C,"&gt;0")</f>
        <v>0</v>
      </c>
      <c r="AN64" s="140">
        <f>SUMIFS(Resumo_Trocas!$C:$C,Resumo_Trocas!$A:$A,$C64,Resumo_Trocas!$F:$F,AN$44,Resumo_Trocas!$C:$C,"&gt;0")</f>
        <v>0</v>
      </c>
      <c r="AO64" s="141">
        <f>SUMIFS(Resumo_Trocas!$D:$D,Resumo_Trocas!$A:$A,$C64,Resumo_Trocas!$F:$F,AN$44,Resumo_Trocas!$C:$C,"&gt;0")</f>
        <v>0</v>
      </c>
    </row>
    <row r="65" spans="2:41" ht="15" customHeight="1" outlineLevel="1" thickBot="1" x14ac:dyDescent="0.3">
      <c r="B65" s="76"/>
      <c r="C65" s="112" t="s">
        <v>333</v>
      </c>
      <c r="D65" s="140">
        <f>SUMIFS(Resumo_Trocas!$C:$C,Resumo_Trocas!$A:$A,$C65,Resumo_Trocas!$F:$F,D$44,Resumo_Trocas!$C:$C,"&gt;0")</f>
        <v>1</v>
      </c>
      <c r="E65" s="141">
        <f>SUMIFS(Resumo_Trocas!$D:$D,Resumo_Trocas!$A:$A,$C65,Resumo_Trocas!$F:$F,D$44,Resumo_Trocas!$C:$C,"&gt;0")</f>
        <v>2</v>
      </c>
      <c r="F65" s="140">
        <f>SUMIFS(Resumo_Trocas!$C:$C,Resumo_Trocas!$A:$A,$C65,Resumo_Trocas!$F:$F,F$44,Resumo_Trocas!$C:$C,"&gt;0")</f>
        <v>2</v>
      </c>
      <c r="G65" s="141">
        <f>SUMIFS(Resumo_Trocas!$D:$D,Resumo_Trocas!$A:$A,$C65,Resumo_Trocas!$F:$F,F$44,Resumo_Trocas!$C:$C,"&gt;0")</f>
        <v>0</v>
      </c>
      <c r="H65" s="140">
        <f>SUMIFS(Resumo_Trocas!$C:$C,Resumo_Trocas!$A:$A,$C65,Resumo_Trocas!$F:$F,H$44,Resumo_Trocas!$C:$C,"&gt;0")</f>
        <v>0</v>
      </c>
      <c r="I65" s="141">
        <f>SUMIFS(Resumo_Trocas!$D:$D,Resumo_Trocas!$A:$A,$C65,Resumo_Trocas!$F:$F,H$44,Resumo_Trocas!$C:$C,"&gt;0")</f>
        <v>0</v>
      </c>
      <c r="J65" s="140">
        <f>SUMIFS(Resumo_Trocas!$C:$C,Resumo_Trocas!$A:$A,$C65,Resumo_Trocas!$F:$F,J$44,Resumo_Trocas!$C:$C,"&gt;0")</f>
        <v>1</v>
      </c>
      <c r="K65" s="141">
        <f>SUMIFS(Resumo_Trocas!$D:$D,Resumo_Trocas!$A:$A,$C65,Resumo_Trocas!$F:$F,J$44,Resumo_Trocas!$C:$C,"&gt;0")</f>
        <v>0</v>
      </c>
      <c r="L65" s="140">
        <f>SUMIFS(Resumo_Trocas!$C:$C,Resumo_Trocas!$A:$A,$C65,Resumo_Trocas!$F:$F,L$44,Resumo_Trocas!$C:$C,"&gt;0")</f>
        <v>0</v>
      </c>
      <c r="M65" s="141">
        <f>SUMIFS(Resumo_Trocas!$D:$D,Resumo_Trocas!$A:$A,$C65,Resumo_Trocas!$F:$F,L$44,Resumo_Trocas!$C:$C,"&gt;0")</f>
        <v>0</v>
      </c>
      <c r="N65" s="140">
        <f>SUMIFS(Resumo_Trocas!$C:$C,Resumo_Trocas!$A:$A,$C65,Resumo_Trocas!$F:$F,N$44,Resumo_Trocas!$C:$C,"&gt;0")</f>
        <v>0</v>
      </c>
      <c r="O65" s="141">
        <f>SUMIFS(Resumo_Trocas!$D:$D,Resumo_Trocas!$A:$A,$C65,Resumo_Trocas!$F:$F,N$44,Resumo_Trocas!$C:$C,"&gt;0")</f>
        <v>0</v>
      </c>
      <c r="P65" s="140">
        <f>SUMIFS(Resumo_Trocas!$C:$C,Resumo_Trocas!$A:$A,$C65,Resumo_Trocas!$F:$F,P$44,Resumo_Trocas!$C:$C,"&gt;0")</f>
        <v>0</v>
      </c>
      <c r="Q65" s="141">
        <f>SUMIFS(Resumo_Trocas!$D:$D,Resumo_Trocas!$A:$A,$C65,Resumo_Trocas!$F:$F,P$44,Resumo_Trocas!$C:$C,"&gt;0")</f>
        <v>0</v>
      </c>
      <c r="R65" s="140">
        <f>SUMIFS(Resumo_Trocas!$C:$C,Resumo_Trocas!$A:$A,$C65,Resumo_Trocas!$F:$F,R$44,Resumo_Trocas!$C:$C,"&gt;0")</f>
        <v>1</v>
      </c>
      <c r="S65" s="141">
        <f>SUMIFS(Resumo_Trocas!$D:$D,Resumo_Trocas!$A:$A,$C65,Resumo_Trocas!$F:$F,R$44,Resumo_Trocas!$C:$C,"&gt;0")</f>
        <v>0</v>
      </c>
      <c r="T65" s="140">
        <f>SUMIFS(Resumo_Trocas!$C:$C,Resumo_Trocas!$A:$A,$C65,Resumo_Trocas!$F:$F,T$44,Resumo_Trocas!$C:$C,"&gt;0")</f>
        <v>0</v>
      </c>
      <c r="U65" s="141">
        <f>SUMIFS(Resumo_Trocas!$D:$D,Resumo_Trocas!$A:$A,$C65,Resumo_Trocas!$F:$F,T$44,Resumo_Trocas!$C:$C,"&gt;0")</f>
        <v>0</v>
      </c>
      <c r="V65" s="140">
        <f>SUMIFS(Resumo_Trocas!$C:$C,Resumo_Trocas!$A:$A,$C65,Resumo_Trocas!$F:$F,V$44,Resumo_Trocas!$C:$C,"&gt;0")</f>
        <v>0</v>
      </c>
      <c r="W65" s="141">
        <f>SUMIFS(Resumo_Trocas!$D:$D,Resumo_Trocas!$A:$A,$C65,Resumo_Trocas!$F:$F,V$44,Resumo_Trocas!$C:$C,"&gt;0")</f>
        <v>0</v>
      </c>
      <c r="X65" s="140">
        <f>SUMIFS(Resumo_Trocas!$C:$C,Resumo_Trocas!$A:$A,$C65,Resumo_Trocas!$F:$F,X$44,Resumo_Trocas!$C:$C,"&gt;0")</f>
        <v>1</v>
      </c>
      <c r="Y65" s="141">
        <f>SUMIFS(Resumo_Trocas!$D:$D,Resumo_Trocas!$A:$A,$C65,Resumo_Trocas!$F:$F,X$44,Resumo_Trocas!$C:$C,"&gt;0")</f>
        <v>0</v>
      </c>
      <c r="Z65" s="140">
        <f>SUMIFS(Resumo_Trocas!$C:$C,Resumo_Trocas!$A:$A,$C65,Resumo_Trocas!$F:$F,Z$44,Resumo_Trocas!$C:$C,"&gt;0")</f>
        <v>1</v>
      </c>
      <c r="AA65" s="141">
        <f>SUMIFS(Resumo_Trocas!$D:$D,Resumo_Trocas!$A:$A,$C65,Resumo_Trocas!$F:$F,Z$44,Resumo_Trocas!$C:$C,"&gt;0")</f>
        <v>0</v>
      </c>
      <c r="AB65" s="140">
        <f>SUMIFS(Resumo_Trocas!$C:$C,Resumo_Trocas!$A:$A,$C65,Resumo_Trocas!$F:$F,AB$44,Resumo_Trocas!$C:$C,"&gt;0")</f>
        <v>0</v>
      </c>
      <c r="AC65" s="141">
        <f>SUMIFS(Resumo_Trocas!$D:$D,Resumo_Trocas!$A:$A,$C65,Resumo_Trocas!$F:$F,AB$44,Resumo_Trocas!$C:$C,"&gt;0")</f>
        <v>0</v>
      </c>
      <c r="AD65" s="140">
        <f>SUMIFS(Resumo_Trocas!$C:$C,Resumo_Trocas!$A:$A,$C65,Resumo_Trocas!$F:$F,AD$44,Resumo_Trocas!$C:$C,"&gt;0")</f>
        <v>0</v>
      </c>
      <c r="AE65" s="141">
        <f>SUMIFS(Resumo_Trocas!$D:$D,Resumo_Trocas!$A:$A,$C65,Resumo_Trocas!$F:$F,AD$44,Resumo_Trocas!$C:$C,"&gt;0")</f>
        <v>0</v>
      </c>
      <c r="AF65" s="140">
        <f>SUMIFS(Resumo_Trocas!$C:$C,Resumo_Trocas!$A:$A,$C65,Resumo_Trocas!$F:$F,AF$44,Resumo_Trocas!$C:$C,"&gt;0")</f>
        <v>0</v>
      </c>
      <c r="AG65" s="141">
        <f>SUMIFS(Resumo_Trocas!$D:$D,Resumo_Trocas!$A:$A,$C65,Resumo_Trocas!$F:$F,AF$44,Resumo_Trocas!$C:$C,"&gt;0")</f>
        <v>0</v>
      </c>
      <c r="AH65" s="140">
        <f>SUMIFS(Resumo_Trocas!$C:$C,Resumo_Trocas!$A:$A,$C65,Resumo_Trocas!$F:$F,AH$44,Resumo_Trocas!$C:$C,"&gt;0")</f>
        <v>0</v>
      </c>
      <c r="AI65" s="141">
        <f>SUMIFS(Resumo_Trocas!$D:$D,Resumo_Trocas!$A:$A,$C65,Resumo_Trocas!$F:$F,AH$44,Resumo_Trocas!$C:$C,"&gt;0")</f>
        <v>0</v>
      </c>
      <c r="AJ65" s="140">
        <f>SUMIFS(Resumo_Trocas!$C:$C,Resumo_Trocas!$A:$A,$C65,Resumo_Trocas!$F:$F,AJ$44,Resumo_Trocas!$C:$C,"&gt;0")</f>
        <v>0</v>
      </c>
      <c r="AK65" s="141">
        <f>SUMIFS(Resumo_Trocas!$D:$D,Resumo_Trocas!$A:$A,$C65,Resumo_Trocas!$F:$F,AJ$44,Resumo_Trocas!$C:$C,"&gt;0")</f>
        <v>0</v>
      </c>
      <c r="AL65" s="140">
        <f>SUMIFS(Resumo_Trocas!$C:$C,Resumo_Trocas!$A:$A,$C65,Resumo_Trocas!$F:$F,AL$44,Resumo_Trocas!$C:$C,"&gt;0")</f>
        <v>0</v>
      </c>
      <c r="AM65" s="141">
        <f>SUMIFS(Resumo_Trocas!$D:$D,Resumo_Trocas!$A:$A,$C65,Resumo_Trocas!$F:$F,AL$44,Resumo_Trocas!$C:$C,"&gt;0")</f>
        <v>0</v>
      </c>
      <c r="AN65" s="140">
        <f>SUMIFS(Resumo_Trocas!$C:$C,Resumo_Trocas!$A:$A,$C65,Resumo_Trocas!$F:$F,AN$44,Resumo_Trocas!$C:$C,"&gt;0")</f>
        <v>0</v>
      </c>
      <c r="AO65" s="141">
        <f>SUMIFS(Resumo_Trocas!$D:$D,Resumo_Trocas!$A:$A,$C65,Resumo_Trocas!$F:$F,AN$44,Resumo_Trocas!$C:$C,"&gt;0")</f>
        <v>0</v>
      </c>
    </row>
    <row r="66" spans="2:41" ht="15.75" outlineLevel="1" thickBot="1" x14ac:dyDescent="0.3">
      <c r="C66" s="113" t="s">
        <v>334</v>
      </c>
      <c r="D66" s="142">
        <f>SUMIFS(Resumo_Trocas!$C:$C,Resumo_Trocas!$A:$A,$C66,Resumo_Trocas!$F:$F,D$44,Resumo_Trocas!$C:$C,"&gt;0")</f>
        <v>0</v>
      </c>
      <c r="E66" s="143">
        <f>SUMIFS(Resumo_Trocas!$D:$D,Resumo_Trocas!$A:$A,$C66,Resumo_Trocas!$F:$F,D$44,Resumo_Trocas!$C:$C,"&gt;0")</f>
        <v>0</v>
      </c>
      <c r="F66" s="142">
        <f>SUMIFS(Resumo_Trocas!$C:$C,Resumo_Trocas!$A:$A,$C66,Resumo_Trocas!$F:$F,F$44,Resumo_Trocas!$C:$C,"&gt;0")</f>
        <v>0</v>
      </c>
      <c r="G66" s="143">
        <f>SUMIFS(Resumo_Trocas!$D:$D,Resumo_Trocas!$A:$A,$C66,Resumo_Trocas!$F:$F,F$44,Resumo_Trocas!$C:$C,"&gt;0")</f>
        <v>0</v>
      </c>
      <c r="H66" s="142">
        <f>SUMIFS(Resumo_Trocas!$C:$C,Resumo_Trocas!$A:$A,$C66,Resumo_Trocas!$F:$F,H$44,Resumo_Trocas!$C:$C,"&gt;0")</f>
        <v>0</v>
      </c>
      <c r="I66" s="143">
        <f>SUMIFS(Resumo_Trocas!$D:$D,Resumo_Trocas!$A:$A,$C66,Resumo_Trocas!$F:$F,H$44,Resumo_Trocas!$C:$C,"&gt;0")</f>
        <v>0</v>
      </c>
      <c r="J66" s="142">
        <f>SUMIFS(Resumo_Trocas!$C:$C,Resumo_Trocas!$A:$A,$C66,Resumo_Trocas!$F:$F,J$44,Resumo_Trocas!$C:$C,"&gt;0")</f>
        <v>0</v>
      </c>
      <c r="K66" s="143">
        <f>SUMIFS(Resumo_Trocas!$D:$D,Resumo_Trocas!$A:$A,$C66,Resumo_Trocas!$F:$F,J$44,Resumo_Trocas!$C:$C,"&gt;0")</f>
        <v>0</v>
      </c>
      <c r="L66" s="142">
        <f>SUMIFS(Resumo_Trocas!$C:$C,Resumo_Trocas!$A:$A,$C66,Resumo_Trocas!$F:$F,L$44,Resumo_Trocas!$C:$C,"&gt;0")</f>
        <v>0</v>
      </c>
      <c r="M66" s="143">
        <f>SUMIFS(Resumo_Trocas!$D:$D,Resumo_Trocas!$A:$A,$C66,Resumo_Trocas!$F:$F,L$44,Resumo_Trocas!$C:$C,"&gt;0")</f>
        <v>0</v>
      </c>
      <c r="N66" s="142">
        <f>SUMIFS(Resumo_Trocas!$C:$C,Resumo_Trocas!$A:$A,$C66,Resumo_Trocas!$F:$F,N$44,Resumo_Trocas!$C:$C,"&gt;0")</f>
        <v>0</v>
      </c>
      <c r="O66" s="143">
        <f>SUMIFS(Resumo_Trocas!$D:$D,Resumo_Trocas!$A:$A,$C66,Resumo_Trocas!$F:$F,N$44,Resumo_Trocas!$C:$C,"&gt;0")</f>
        <v>0</v>
      </c>
      <c r="P66" s="142">
        <f>SUMIFS(Resumo_Trocas!$C:$C,Resumo_Trocas!$A:$A,$C66,Resumo_Trocas!$F:$F,P$44,Resumo_Trocas!$C:$C,"&gt;0")</f>
        <v>0</v>
      </c>
      <c r="Q66" s="143">
        <f>SUMIFS(Resumo_Trocas!$D:$D,Resumo_Trocas!$A:$A,$C66,Resumo_Trocas!$F:$F,P$44,Resumo_Trocas!$C:$C,"&gt;0")</f>
        <v>0</v>
      </c>
      <c r="R66" s="142">
        <f>SUMIFS(Resumo_Trocas!$C:$C,Resumo_Trocas!$A:$A,$C66,Resumo_Trocas!$F:$F,R$44,Resumo_Trocas!$C:$C,"&gt;0")</f>
        <v>0</v>
      </c>
      <c r="S66" s="143">
        <f>SUMIFS(Resumo_Trocas!$D:$D,Resumo_Trocas!$A:$A,$C66,Resumo_Trocas!$F:$F,R$44,Resumo_Trocas!$C:$C,"&gt;0")</f>
        <v>0</v>
      </c>
      <c r="T66" s="142">
        <f>SUMIFS(Resumo_Trocas!$C:$C,Resumo_Trocas!$A:$A,$C66,Resumo_Trocas!$F:$F,T$44,Resumo_Trocas!$C:$C,"&gt;0")</f>
        <v>0</v>
      </c>
      <c r="U66" s="143">
        <f>SUMIFS(Resumo_Trocas!$D:$D,Resumo_Trocas!$A:$A,$C66,Resumo_Trocas!$F:$F,T$44,Resumo_Trocas!$C:$C,"&gt;0")</f>
        <v>0</v>
      </c>
      <c r="V66" s="142">
        <f>SUMIFS(Resumo_Trocas!$C:$C,Resumo_Trocas!$A:$A,$C66,Resumo_Trocas!$F:$F,V$44,Resumo_Trocas!$C:$C,"&gt;0")</f>
        <v>0</v>
      </c>
      <c r="W66" s="143">
        <f>SUMIFS(Resumo_Trocas!$D:$D,Resumo_Trocas!$A:$A,$C66,Resumo_Trocas!$F:$F,V$44,Resumo_Trocas!$C:$C,"&gt;0")</f>
        <v>0</v>
      </c>
      <c r="X66" s="142">
        <f>SUMIFS(Resumo_Trocas!$C:$C,Resumo_Trocas!$A:$A,$C66,Resumo_Trocas!$F:$F,X$44,Resumo_Trocas!$C:$C,"&gt;0")</f>
        <v>0</v>
      </c>
      <c r="Y66" s="143">
        <f>SUMIFS(Resumo_Trocas!$D:$D,Resumo_Trocas!$A:$A,$C66,Resumo_Trocas!$F:$F,X$44,Resumo_Trocas!$C:$C,"&gt;0")</f>
        <v>0</v>
      </c>
      <c r="Z66" s="142">
        <f>SUMIFS(Resumo_Trocas!$C:$C,Resumo_Trocas!$A:$A,$C66,Resumo_Trocas!$F:$F,Z$44,Resumo_Trocas!$C:$C,"&gt;0")</f>
        <v>0</v>
      </c>
      <c r="AA66" s="143">
        <f>SUMIFS(Resumo_Trocas!$D:$D,Resumo_Trocas!$A:$A,$C66,Resumo_Trocas!$F:$F,Z$44,Resumo_Trocas!$C:$C,"&gt;0")</f>
        <v>0</v>
      </c>
      <c r="AB66" s="142">
        <f>SUMIFS(Resumo_Trocas!$C:$C,Resumo_Trocas!$A:$A,$C66,Resumo_Trocas!$F:$F,AB$44,Resumo_Trocas!$C:$C,"&gt;0")</f>
        <v>0</v>
      </c>
      <c r="AC66" s="143">
        <f>SUMIFS(Resumo_Trocas!$D:$D,Resumo_Trocas!$A:$A,$C66,Resumo_Trocas!$F:$F,AB$44,Resumo_Trocas!$C:$C,"&gt;0")</f>
        <v>0</v>
      </c>
      <c r="AD66" s="142">
        <f>SUMIFS(Resumo_Trocas!$C:$C,Resumo_Trocas!$A:$A,$C66,Resumo_Trocas!$F:$F,AD$44,Resumo_Trocas!$C:$C,"&gt;0")</f>
        <v>0</v>
      </c>
      <c r="AE66" s="143">
        <f>SUMIFS(Resumo_Trocas!$D:$D,Resumo_Trocas!$A:$A,$C66,Resumo_Trocas!$F:$F,AD$44,Resumo_Trocas!$C:$C,"&gt;0")</f>
        <v>0</v>
      </c>
      <c r="AF66" s="142">
        <f>SUMIFS(Resumo_Trocas!$C:$C,Resumo_Trocas!$A:$A,$C66,Resumo_Trocas!$F:$F,AF$44,Resumo_Trocas!$C:$C,"&gt;0")</f>
        <v>0</v>
      </c>
      <c r="AG66" s="143">
        <f>SUMIFS(Resumo_Trocas!$D:$D,Resumo_Trocas!$A:$A,$C66,Resumo_Trocas!$F:$F,AF$44,Resumo_Trocas!$C:$C,"&gt;0")</f>
        <v>0</v>
      </c>
      <c r="AH66" s="142">
        <f>SUMIFS(Resumo_Trocas!$C:$C,Resumo_Trocas!$A:$A,$C66,Resumo_Trocas!$F:$F,AH$44,Resumo_Trocas!$C:$C,"&gt;0")</f>
        <v>0</v>
      </c>
      <c r="AI66" s="143">
        <f>SUMIFS(Resumo_Trocas!$D:$D,Resumo_Trocas!$A:$A,$C66,Resumo_Trocas!$F:$F,AH$44,Resumo_Trocas!$C:$C,"&gt;0")</f>
        <v>0</v>
      </c>
      <c r="AJ66" s="142">
        <f>SUMIFS(Resumo_Trocas!$C:$C,Resumo_Trocas!$A:$A,$C66,Resumo_Trocas!$F:$F,AJ$44,Resumo_Trocas!$C:$C,"&gt;0")</f>
        <v>0</v>
      </c>
      <c r="AK66" s="143">
        <f>SUMIFS(Resumo_Trocas!$D:$D,Resumo_Trocas!$A:$A,$C66,Resumo_Trocas!$F:$F,AJ$44,Resumo_Trocas!$C:$C,"&gt;0")</f>
        <v>0</v>
      </c>
      <c r="AL66" s="142">
        <f>SUMIFS(Resumo_Trocas!$C:$C,Resumo_Trocas!$A:$A,$C66,Resumo_Trocas!$F:$F,AL$44,Resumo_Trocas!$C:$C,"&gt;0")</f>
        <v>0</v>
      </c>
      <c r="AM66" s="143">
        <f>SUMIFS(Resumo_Trocas!$D:$D,Resumo_Trocas!$A:$A,$C66,Resumo_Trocas!$F:$F,AL$44,Resumo_Trocas!$C:$C,"&gt;0")</f>
        <v>0</v>
      </c>
      <c r="AN66" s="142">
        <f>SUMIFS(Resumo_Trocas!$C:$C,Resumo_Trocas!$A:$A,$C66,Resumo_Trocas!$F:$F,AN$44,Resumo_Trocas!$C:$C,"&gt;0")</f>
        <v>0</v>
      </c>
      <c r="AO66" s="143">
        <f>SUMIFS(Resumo_Trocas!$D:$D,Resumo_Trocas!$A:$A,$C66,Resumo_Trocas!$F:$F,AN$44,Resumo_Trocas!$C:$C,"&gt;0")</f>
        <v>0</v>
      </c>
    </row>
  </sheetData>
  <mergeCells count="136">
    <mergeCell ref="AH18:AI18"/>
    <mergeCell ref="AJ18:AK18"/>
    <mergeCell ref="AJ44:AK44"/>
    <mergeCell ref="AD44:AE44"/>
    <mergeCell ref="AF44:AG44"/>
    <mergeCell ref="AH44:AI44"/>
    <mergeCell ref="AL44:AM44"/>
    <mergeCell ref="AN44:AO44"/>
    <mergeCell ref="R44:S44"/>
    <mergeCell ref="T44:U44"/>
    <mergeCell ref="V44:W44"/>
    <mergeCell ref="X44:Y44"/>
    <mergeCell ref="Z44:AA44"/>
    <mergeCell ref="AB44:AC44"/>
    <mergeCell ref="C44:C45"/>
    <mergeCell ref="D44:E44"/>
    <mergeCell ref="F44:G44"/>
    <mergeCell ref="H44:I44"/>
    <mergeCell ref="J44:K44"/>
    <mergeCell ref="L44:M44"/>
    <mergeCell ref="N44:O44"/>
    <mergeCell ref="P44:Q44"/>
    <mergeCell ref="Z18:AA18"/>
    <mergeCell ref="N18:O18"/>
    <mergeCell ref="P18:Q18"/>
    <mergeCell ref="R18:S18"/>
    <mergeCell ref="T18:U18"/>
    <mergeCell ref="V18:W18"/>
    <mergeCell ref="X18:Y18"/>
    <mergeCell ref="V6:W6"/>
    <mergeCell ref="X6:Y6"/>
    <mergeCell ref="Z6:AA6"/>
    <mergeCell ref="AH9:AI9"/>
    <mergeCell ref="AJ9:AK9"/>
    <mergeCell ref="AL9:AM9"/>
    <mergeCell ref="AN9:AO9"/>
    <mergeCell ref="C18:C19"/>
    <mergeCell ref="D18:E18"/>
    <mergeCell ref="F18:G18"/>
    <mergeCell ref="H18:I18"/>
    <mergeCell ref="J18:K18"/>
    <mergeCell ref="L18:M18"/>
    <mergeCell ref="V9:W9"/>
    <mergeCell ref="X9:Y9"/>
    <mergeCell ref="Z9:AA9"/>
    <mergeCell ref="AB9:AC9"/>
    <mergeCell ref="AD9:AE9"/>
    <mergeCell ref="AF9:AG9"/>
    <mergeCell ref="AL18:AM18"/>
    <mergeCell ref="AN18:AO18"/>
    <mergeCell ref="AB18:AC18"/>
    <mergeCell ref="AD18:AE18"/>
    <mergeCell ref="AF18:AG18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AL5:AM5"/>
    <mergeCell ref="AN5:AO5"/>
    <mergeCell ref="D6:E6"/>
    <mergeCell ref="F6:G6"/>
    <mergeCell ref="H6:I6"/>
    <mergeCell ref="J6:K6"/>
    <mergeCell ref="L6:M6"/>
    <mergeCell ref="N6:O6"/>
    <mergeCell ref="V5:W5"/>
    <mergeCell ref="X5:Y5"/>
    <mergeCell ref="Z5:AA5"/>
    <mergeCell ref="AB5:AC5"/>
    <mergeCell ref="AD5:AE5"/>
    <mergeCell ref="AF5:AG5"/>
    <mergeCell ref="AN6:AO6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AN4:AO4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H5:AI5"/>
    <mergeCell ref="AJ5:AK5"/>
    <mergeCell ref="D4:E4"/>
    <mergeCell ref="F4:G4"/>
    <mergeCell ref="H4:I4"/>
    <mergeCell ref="J4:K4"/>
    <mergeCell ref="L4:M4"/>
    <mergeCell ref="N4:O4"/>
    <mergeCell ref="V3:W3"/>
    <mergeCell ref="X3:Y3"/>
    <mergeCell ref="Z3:AA3"/>
    <mergeCell ref="D2:AO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B3:AC3"/>
    <mergeCell ref="AD3:AE3"/>
    <mergeCell ref="AF3:AG3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4B9B-AF22-4DFD-9A84-61D31CF0E944}">
  <sheetPr codeName="Planilha2">
    <tabColor theme="7"/>
  </sheetPr>
  <dimension ref="A2:AO42"/>
  <sheetViews>
    <sheetView showGridLines="0" zoomScaleNormal="100" workbookViewId="0">
      <selection activeCell="T8" sqref="T8:U8"/>
    </sheetView>
  </sheetViews>
  <sheetFormatPr defaultRowHeight="15" outlineLevelRow="2" outlineLevelCol="1" x14ac:dyDescent="0.25"/>
  <cols>
    <col min="1" max="1" width="22.42578125" customWidth="1"/>
    <col min="2" max="19" width="9.140625" hidden="1" customWidth="1" outlineLevel="1"/>
    <col min="20" max="20" width="9.140625" customWidth="1" collapsed="1"/>
    <col min="21" max="39" width="9.140625" customWidth="1" outlineLevel="1"/>
    <col min="40" max="41" width="9.140625" customWidth="1"/>
  </cols>
  <sheetData>
    <row r="2" spans="1:41" s="62" customFormat="1" ht="30" customHeight="1" thickBot="1" x14ac:dyDescent="0.4">
      <c r="A2" s="65" t="s">
        <v>3490</v>
      </c>
    </row>
    <row r="3" spans="1:41" s="154" customFormat="1" ht="24" customHeight="1" thickBot="1" x14ac:dyDescent="0.35">
      <c r="A3" s="159" t="s">
        <v>3381</v>
      </c>
      <c r="B3" s="236" t="s">
        <v>3372</v>
      </c>
      <c r="C3" s="237"/>
      <c r="D3" s="236" t="s">
        <v>3373</v>
      </c>
      <c r="E3" s="237"/>
      <c r="F3" s="238" t="s">
        <v>3374</v>
      </c>
      <c r="G3" s="239"/>
      <c r="H3" s="236" t="s">
        <v>3370</v>
      </c>
      <c r="I3" s="237"/>
      <c r="J3" s="236" t="s">
        <v>3371</v>
      </c>
      <c r="K3" s="237"/>
      <c r="L3" s="236" t="s">
        <v>3375</v>
      </c>
      <c r="M3" s="237"/>
      <c r="N3" s="236" t="s">
        <v>3367</v>
      </c>
      <c r="O3" s="237"/>
      <c r="P3" s="236" t="s">
        <v>3368</v>
      </c>
      <c r="Q3" s="237"/>
      <c r="R3" s="236" t="s">
        <v>3369</v>
      </c>
      <c r="S3" s="237"/>
      <c r="T3" s="238" t="s">
        <v>3358</v>
      </c>
      <c r="U3" s="239"/>
      <c r="V3" s="236" t="s">
        <v>3363</v>
      </c>
      <c r="W3" s="237"/>
      <c r="X3" s="236" t="s">
        <v>3361</v>
      </c>
      <c r="Y3" s="237"/>
      <c r="Z3" s="236" t="s">
        <v>3359</v>
      </c>
      <c r="AA3" s="237"/>
      <c r="AB3" s="236" t="s">
        <v>3366</v>
      </c>
      <c r="AC3" s="237"/>
      <c r="AD3" s="238" t="s">
        <v>3364</v>
      </c>
      <c r="AE3" s="239"/>
      <c r="AF3" s="236" t="s">
        <v>3360</v>
      </c>
      <c r="AG3" s="237"/>
      <c r="AH3" s="236" t="s">
        <v>3362</v>
      </c>
      <c r="AI3" s="237"/>
      <c r="AJ3" s="236" t="s">
        <v>3365</v>
      </c>
      <c r="AK3" s="237"/>
      <c r="AL3" s="238" t="s">
        <v>3491</v>
      </c>
      <c r="AM3" s="239"/>
      <c r="AN3" s="160" t="s">
        <v>3383</v>
      </c>
      <c r="AO3" s="160" t="s">
        <v>3384</v>
      </c>
    </row>
    <row r="4" spans="1:41" s="156" customFormat="1" ht="32.25" customHeight="1" thickBot="1" x14ac:dyDescent="0.3">
      <c r="A4" s="157">
        <v>240</v>
      </c>
      <c r="B4" s="235">
        <f>ROUNDUP(SUM(B8,B14,B20),0)</f>
        <v>6</v>
      </c>
      <c r="C4" s="235"/>
      <c r="D4" s="235">
        <f t="shared" ref="D4" si="0">ROUNDUP(SUM(D8,D14,D20),0)</f>
        <v>7</v>
      </c>
      <c r="E4" s="235"/>
      <c r="F4" s="235">
        <f t="shared" ref="F4" si="1">ROUNDUP(SUM(F8,F14,F20),0)</f>
        <v>3</v>
      </c>
      <c r="G4" s="235"/>
      <c r="H4" s="235">
        <f t="shared" ref="H4" si="2">ROUNDUP(SUM(H8,H14,H20),0)</f>
        <v>4</v>
      </c>
      <c r="I4" s="235"/>
      <c r="J4" s="235">
        <f t="shared" ref="J4" si="3">ROUNDUP(SUM(J8,J14,J20),0)</f>
        <v>4</v>
      </c>
      <c r="K4" s="235"/>
      <c r="L4" s="235">
        <f t="shared" ref="L4" si="4">ROUNDUP(SUM(L8,L14,L20),0)</f>
        <v>1</v>
      </c>
      <c r="M4" s="235"/>
      <c r="N4" s="235">
        <f t="shared" ref="N4" si="5">ROUNDUP(SUM(N8,N14,N20),0)</f>
        <v>4</v>
      </c>
      <c r="O4" s="235"/>
      <c r="P4" s="235">
        <f t="shared" ref="P4" si="6">ROUNDUP(SUM(P8,P14,P20),0)</f>
        <v>2</v>
      </c>
      <c r="Q4" s="235"/>
      <c r="R4" s="235">
        <f t="shared" ref="R4" si="7">ROUNDUP(SUM(R8,R14,R20),0)</f>
        <v>3</v>
      </c>
      <c r="S4" s="235"/>
      <c r="T4" s="235">
        <f t="shared" ref="T4" si="8">ROUNDUP(SUM(T8,T14,T20),0)</f>
        <v>5</v>
      </c>
      <c r="U4" s="235"/>
      <c r="V4" s="235">
        <f t="shared" ref="V4" si="9">ROUNDUP(SUM(V8,V14,V20),0)</f>
        <v>5</v>
      </c>
      <c r="W4" s="235"/>
      <c r="X4" s="235">
        <f t="shared" ref="X4" si="10">ROUNDUP(SUM(X8,X14,X20),0)</f>
        <v>4</v>
      </c>
      <c r="Y4" s="235"/>
      <c r="Z4" s="235">
        <f t="shared" ref="Z4" si="11">ROUNDUP(SUM(Z8,Z14,Z20),0)</f>
        <v>3</v>
      </c>
      <c r="AA4" s="235"/>
      <c r="AB4" s="235">
        <f t="shared" ref="AB4" si="12">ROUNDUP(SUM(AB8,AB14,AB20),0)</f>
        <v>3</v>
      </c>
      <c r="AC4" s="235"/>
      <c r="AD4" s="235">
        <f t="shared" ref="AD4" si="13">ROUNDUP(SUM(AD8,AD14,AD20),0)</f>
        <v>3</v>
      </c>
      <c r="AE4" s="235"/>
      <c r="AF4" s="235">
        <f t="shared" ref="AF4" si="14">ROUNDUP(SUM(AF8,AF14,AF20),0)</f>
        <v>4</v>
      </c>
      <c r="AG4" s="235"/>
      <c r="AH4" s="235">
        <f t="shared" ref="AH4" si="15">ROUNDUP(SUM(AH8,AH14,AH20),0)</f>
        <v>4</v>
      </c>
      <c r="AI4" s="235"/>
      <c r="AJ4" s="235">
        <f t="shared" ref="AJ4" si="16">ROUNDUP(SUM(AJ8,AJ14,AJ20),0)</f>
        <v>2</v>
      </c>
      <c r="AK4" s="235"/>
      <c r="AL4" s="235">
        <f t="shared" ref="AL4" si="17">ROUNDUP(SUM(AL8,AL14,AL20),0)</f>
        <v>0</v>
      </c>
      <c r="AM4" s="240"/>
      <c r="AN4" s="155">
        <f>AVERAGE(B4:AL4)</f>
        <v>3.5263157894736841</v>
      </c>
      <c r="AO4" s="155">
        <f>ROUNDUP(AN4,0)</f>
        <v>4</v>
      </c>
    </row>
    <row r="5" spans="1:41" s="62" customFormat="1" ht="15.75" customHeight="1" x14ac:dyDescent="0.35">
      <c r="A5" s="65"/>
    </row>
    <row r="6" spans="1:41" s="62" customFormat="1" ht="21.75" thickBot="1" x14ac:dyDescent="0.4">
      <c r="A6" s="71" t="s">
        <v>3429</v>
      </c>
      <c r="B6" s="224" t="s">
        <v>3492</v>
      </c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</row>
    <row r="7" spans="1:41" s="90" customFormat="1" ht="15" customHeight="1" thickBot="1" x14ac:dyDescent="0.3">
      <c r="A7" s="118" t="s">
        <v>3381</v>
      </c>
      <c r="B7" s="222" t="s">
        <v>3372</v>
      </c>
      <c r="C7" s="223"/>
      <c r="D7" s="222" t="s">
        <v>3373</v>
      </c>
      <c r="E7" s="223"/>
      <c r="F7" s="201" t="s">
        <v>3374</v>
      </c>
      <c r="G7" s="202"/>
      <c r="H7" s="222" t="s">
        <v>3370</v>
      </c>
      <c r="I7" s="223"/>
      <c r="J7" s="222" t="s">
        <v>3371</v>
      </c>
      <c r="K7" s="223"/>
      <c r="L7" s="222" t="s">
        <v>3375</v>
      </c>
      <c r="M7" s="223"/>
      <c r="N7" s="222" t="s">
        <v>3367</v>
      </c>
      <c r="O7" s="223"/>
      <c r="P7" s="222" t="s">
        <v>3368</v>
      </c>
      <c r="Q7" s="223"/>
      <c r="R7" s="222" t="s">
        <v>3369</v>
      </c>
      <c r="S7" s="223"/>
      <c r="T7" s="201" t="s">
        <v>3358</v>
      </c>
      <c r="U7" s="202"/>
      <c r="V7" s="222" t="s">
        <v>3363</v>
      </c>
      <c r="W7" s="223"/>
      <c r="X7" s="222" t="s">
        <v>3361</v>
      </c>
      <c r="Y7" s="223"/>
      <c r="Z7" s="222" t="s">
        <v>3359</v>
      </c>
      <c r="AA7" s="223"/>
      <c r="AB7" s="222" t="s">
        <v>3366</v>
      </c>
      <c r="AC7" s="223"/>
      <c r="AD7" s="201" t="s">
        <v>3364</v>
      </c>
      <c r="AE7" s="202"/>
      <c r="AF7" s="222" t="s">
        <v>3360</v>
      </c>
      <c r="AG7" s="223"/>
      <c r="AH7" s="222" t="s">
        <v>3362</v>
      </c>
      <c r="AI7" s="223"/>
      <c r="AJ7" s="222" t="s">
        <v>3365</v>
      </c>
      <c r="AK7" s="223"/>
      <c r="AL7" s="201" t="s">
        <v>3491</v>
      </c>
      <c r="AM7" s="202"/>
      <c r="AN7" s="97" t="s">
        <v>3383</v>
      </c>
      <c r="AO7" s="97" t="s">
        <v>3384</v>
      </c>
    </row>
    <row r="8" spans="1:41" s="154" customFormat="1" ht="22.5" customHeight="1" thickBot="1" x14ac:dyDescent="0.35">
      <c r="A8" s="152">
        <v>240</v>
      </c>
      <c r="B8" s="226">
        <f>SUM(B9:C10)</f>
        <v>2.2000000000000002</v>
      </c>
      <c r="C8" s="226"/>
      <c r="D8" s="226">
        <f>SUM(D9:E10)</f>
        <v>2.6</v>
      </c>
      <c r="E8" s="226"/>
      <c r="F8" s="226">
        <f>SUM(F9:G10)</f>
        <v>1.1333333333333333</v>
      </c>
      <c r="G8" s="226"/>
      <c r="H8" s="226">
        <f>SUM(H9:I10)</f>
        <v>1.4666666666666666</v>
      </c>
      <c r="I8" s="226"/>
      <c r="J8" s="226">
        <f>SUM(J9:K10)</f>
        <v>1.5333333333333332</v>
      </c>
      <c r="K8" s="226"/>
      <c r="L8" s="226">
        <f>SUM(L9:M10)</f>
        <v>0</v>
      </c>
      <c r="M8" s="226"/>
      <c r="N8" s="226">
        <f>SUM(N9:O10)</f>
        <v>1.2666666666666666</v>
      </c>
      <c r="O8" s="226"/>
      <c r="P8" s="226">
        <f>SUM(P9:Q10)</f>
        <v>1</v>
      </c>
      <c r="Q8" s="226"/>
      <c r="R8" s="226">
        <f>SUM(R9:S10)</f>
        <v>1</v>
      </c>
      <c r="S8" s="226"/>
      <c r="T8" s="226">
        <f>SUM(T9:U10)</f>
        <v>1.8</v>
      </c>
      <c r="U8" s="226"/>
      <c r="V8" s="226">
        <f>SUM(V9:W10)</f>
        <v>1.9333333333333333</v>
      </c>
      <c r="W8" s="226"/>
      <c r="X8" s="226">
        <f>SUM(X9:Y10)</f>
        <v>1.3333333333333333</v>
      </c>
      <c r="Y8" s="226"/>
      <c r="Z8" s="226">
        <f>SUM(Z9:AA10)</f>
        <v>0.79999999999999993</v>
      </c>
      <c r="AA8" s="226"/>
      <c r="AB8" s="226">
        <f>SUM(AB9:AC10)</f>
        <v>0.8666666666666667</v>
      </c>
      <c r="AC8" s="226"/>
      <c r="AD8" s="226">
        <f>SUM(AD9:AE10)</f>
        <v>0.33333333333333331</v>
      </c>
      <c r="AE8" s="226"/>
      <c r="AF8" s="226">
        <f>SUM(AF9:AG10)</f>
        <v>0.73333333333333339</v>
      </c>
      <c r="AG8" s="226"/>
      <c r="AH8" s="226">
        <f>SUM(AH9:AI10)</f>
        <v>0.93333333333333335</v>
      </c>
      <c r="AI8" s="226"/>
      <c r="AJ8" s="226">
        <f>SUM(AJ9:AK10)</f>
        <v>0.4</v>
      </c>
      <c r="AK8" s="226"/>
      <c r="AL8" s="226"/>
      <c r="AM8" s="227"/>
      <c r="AN8" s="153">
        <f>AVERAGE(B8:AL8)</f>
        <v>1.1851851851851851</v>
      </c>
      <c r="AO8" s="153">
        <f>ROUNDUP(AN8,0)</f>
        <v>2</v>
      </c>
    </row>
    <row r="9" spans="1:41" s="90" customFormat="1" x14ac:dyDescent="0.25">
      <c r="A9" s="122" t="s">
        <v>3389</v>
      </c>
      <c r="B9" s="205">
        <f>IFERROR(SUM(((C28)*$A$8)/3600)," ")</f>
        <v>0.53333333333333333</v>
      </c>
      <c r="C9" s="205"/>
      <c r="D9" s="205">
        <f>IFERROR(SUM(((E28)*$A$8)/3600)," ")</f>
        <v>0.33333333333333331</v>
      </c>
      <c r="E9" s="205"/>
      <c r="F9" s="205">
        <f>IFERROR(SUM(((G28)*$A$8)/3600)," ")</f>
        <v>0.26666666666666666</v>
      </c>
      <c r="G9" s="205"/>
      <c r="H9" s="205">
        <f>IFERROR(SUM(((I28)*$A$8)/3600)," ")</f>
        <v>0.2</v>
      </c>
      <c r="I9" s="205"/>
      <c r="J9" s="205">
        <f>IFERROR(SUM(((K28)*$A$8)/3600)," ")</f>
        <v>0.2</v>
      </c>
      <c r="K9" s="205"/>
      <c r="L9" s="205">
        <f>IFERROR(SUM(((M28)*$A$8)/3600)," ")</f>
        <v>0</v>
      </c>
      <c r="M9" s="205"/>
      <c r="N9" s="205">
        <f>IFERROR(SUM(((O28)*$A$8)/3600)," ")</f>
        <v>0.4</v>
      </c>
      <c r="O9" s="205"/>
      <c r="P9" s="205">
        <f>IFERROR(SUM(((Q28)*$A$8)/3600)," ")</f>
        <v>0.2</v>
      </c>
      <c r="Q9" s="205"/>
      <c r="R9" s="205">
        <f>IFERROR(SUM(((S28)*$A$8)/3600)," ")</f>
        <v>0.2</v>
      </c>
      <c r="S9" s="205"/>
      <c r="T9" s="205">
        <f>IFERROR(SUM(((U28)*$A$8)/3600)," ")</f>
        <v>0.13333333333333333</v>
      </c>
      <c r="U9" s="205"/>
      <c r="V9" s="205">
        <f>IFERROR(SUM(((W28)*$A$8)/3600)," ")</f>
        <v>0.26666666666666666</v>
      </c>
      <c r="W9" s="205"/>
      <c r="X9" s="205">
        <f>IFERROR(SUM(((Y28)*$A$8)/3600)," ")</f>
        <v>0.13333333333333333</v>
      </c>
      <c r="Y9" s="205"/>
      <c r="Z9" s="205">
        <f>IFERROR(SUM(((AA28)*$A$8)/3600)," ")</f>
        <v>0.13333333333333333</v>
      </c>
      <c r="AA9" s="205"/>
      <c r="AB9" s="205">
        <f>IFERROR(SUM(((AC28)*$A$8)/3600)," ")</f>
        <v>6.6666666666666666E-2</v>
      </c>
      <c r="AC9" s="205"/>
      <c r="AD9" s="205">
        <f>IFERROR(SUM(((AE28)*$A$8)/3600)," ")</f>
        <v>0</v>
      </c>
      <c r="AE9" s="205"/>
      <c r="AF9" s="205">
        <f>IFERROR(SUM(((AG28)*$A$8)/3600)," ")</f>
        <v>0.4</v>
      </c>
      <c r="AG9" s="205"/>
      <c r="AH9" s="205">
        <f>IFERROR(SUM(((AI28)*$A$8)/3600)," ")</f>
        <v>0.33333333333333331</v>
      </c>
      <c r="AI9" s="205"/>
      <c r="AJ9" s="205">
        <f>IFERROR(SUM(((AK28)*$A$8)/3600)," ")</f>
        <v>0</v>
      </c>
      <c r="AK9" s="205"/>
      <c r="AL9" s="205">
        <f>IFERROR(SUM(((AM28)*$A$8)/3600)," ")</f>
        <v>0</v>
      </c>
      <c r="AM9" s="206"/>
      <c r="AN9" s="96">
        <f>AVERAGE(B9:AL9)</f>
        <v>0.2</v>
      </c>
      <c r="AO9" s="96">
        <f>ROUNDUP(AN9,0)</f>
        <v>1</v>
      </c>
    </row>
    <row r="10" spans="1:41" s="90" customFormat="1" ht="15.75" thickBot="1" x14ac:dyDescent="0.3">
      <c r="A10" s="119" t="s">
        <v>3390</v>
      </c>
      <c r="B10" s="207">
        <f>IFERROR(SUM(((C29)*$A$8)/3600)," ")</f>
        <v>1.6666666666666667</v>
      </c>
      <c r="C10" s="207"/>
      <c r="D10" s="207">
        <f>IFERROR(SUM(((E29)*$A$8)/3600)," ")</f>
        <v>2.2666666666666666</v>
      </c>
      <c r="E10" s="207"/>
      <c r="F10" s="207">
        <f>IFERROR(SUM(((G29)*$A$8)/3600)," ")</f>
        <v>0.8666666666666667</v>
      </c>
      <c r="G10" s="207"/>
      <c r="H10" s="207">
        <f>IFERROR(SUM(((I29)*$A$8)/3600)," ")</f>
        <v>1.2666666666666666</v>
      </c>
      <c r="I10" s="207"/>
      <c r="J10" s="207">
        <f>IFERROR(SUM(((K29)*$A$8)/3600)," ")</f>
        <v>1.3333333333333333</v>
      </c>
      <c r="K10" s="207"/>
      <c r="L10" s="207">
        <f>IFERROR(SUM(((M29)*$A$8)/3600)," ")</f>
        <v>0</v>
      </c>
      <c r="M10" s="207"/>
      <c r="N10" s="207">
        <f>IFERROR(SUM(((O29)*$A$8)/3600)," ")</f>
        <v>0.8666666666666667</v>
      </c>
      <c r="O10" s="207"/>
      <c r="P10" s="207">
        <f>IFERROR(SUM(((Q29)*$A$8)/3600)," ")</f>
        <v>0.8</v>
      </c>
      <c r="Q10" s="207"/>
      <c r="R10" s="207">
        <f>IFERROR(SUM(((S29)*$A$8)/3600)," ")</f>
        <v>0.8</v>
      </c>
      <c r="S10" s="207"/>
      <c r="T10" s="207">
        <f>IFERROR(SUM(((U29)*$A$8)/3600)," ")</f>
        <v>1.6666666666666667</v>
      </c>
      <c r="U10" s="207"/>
      <c r="V10" s="207">
        <f>IFERROR(SUM(((W29)*$A$8)/3600)," ")</f>
        <v>1.6666666666666667</v>
      </c>
      <c r="W10" s="207"/>
      <c r="X10" s="207">
        <f>IFERROR(SUM(((Y29)*$A$8)/3600)," ")</f>
        <v>1.2</v>
      </c>
      <c r="Y10" s="207"/>
      <c r="Z10" s="207">
        <f>IFERROR(SUM(((AA29)*$A$8)/3600)," ")</f>
        <v>0.66666666666666663</v>
      </c>
      <c r="AA10" s="207"/>
      <c r="AB10" s="207">
        <f>IFERROR(SUM(((AC29)*$A$8)/3600)," ")</f>
        <v>0.8</v>
      </c>
      <c r="AC10" s="207"/>
      <c r="AD10" s="207">
        <f>IFERROR(SUM(((AE29)*$A$8)/3600)," ")</f>
        <v>0.33333333333333331</v>
      </c>
      <c r="AE10" s="207"/>
      <c r="AF10" s="207">
        <f>IFERROR(SUM(((AG29)*$A$8)/3600)," ")</f>
        <v>0.33333333333333331</v>
      </c>
      <c r="AG10" s="207"/>
      <c r="AH10" s="207">
        <f>IFERROR(SUM(((AI29)*$A$8)/3600)," ")</f>
        <v>0.6</v>
      </c>
      <c r="AI10" s="207"/>
      <c r="AJ10" s="207">
        <f>IFERROR(SUM(((AK29)*$A$8)/3600)," ")</f>
        <v>0.4</v>
      </c>
      <c r="AK10" s="207"/>
      <c r="AL10" s="207"/>
      <c r="AM10" s="208"/>
      <c r="AN10" s="96">
        <f>AVERAGE(B10:AL10)</f>
        <v>0.97407407407407398</v>
      </c>
      <c r="AO10" s="96">
        <f>ROUNDUP(AN10,0)</f>
        <v>1</v>
      </c>
    </row>
    <row r="11" spans="1:41" s="90" customFormat="1" ht="12" x14ac:dyDescent="0.2">
      <c r="A11" s="95"/>
    </row>
    <row r="12" spans="1:41" s="62" customFormat="1" ht="21.75" thickBot="1" x14ac:dyDescent="0.4">
      <c r="A12" s="71" t="s">
        <v>3396</v>
      </c>
      <c r="B12" s="224" t="s">
        <v>3492</v>
      </c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</row>
    <row r="13" spans="1:41" s="90" customFormat="1" ht="15" customHeight="1" thickBot="1" x14ac:dyDescent="0.3">
      <c r="A13" s="118" t="s">
        <v>3381</v>
      </c>
      <c r="B13" s="222" t="s">
        <v>3372</v>
      </c>
      <c r="C13" s="223"/>
      <c r="D13" s="222" t="s">
        <v>3373</v>
      </c>
      <c r="E13" s="223"/>
      <c r="F13" s="201" t="s">
        <v>3374</v>
      </c>
      <c r="G13" s="202"/>
      <c r="H13" s="222" t="s">
        <v>3370</v>
      </c>
      <c r="I13" s="223"/>
      <c r="J13" s="222" t="s">
        <v>3371</v>
      </c>
      <c r="K13" s="223"/>
      <c r="L13" s="222" t="s">
        <v>3375</v>
      </c>
      <c r="M13" s="223"/>
      <c r="N13" s="222" t="s">
        <v>3367</v>
      </c>
      <c r="O13" s="223"/>
      <c r="P13" s="222" t="s">
        <v>3368</v>
      </c>
      <c r="Q13" s="223"/>
      <c r="R13" s="222" t="s">
        <v>3369</v>
      </c>
      <c r="S13" s="223"/>
      <c r="T13" s="201" t="s">
        <v>3358</v>
      </c>
      <c r="U13" s="202"/>
      <c r="V13" s="222" t="s">
        <v>3363</v>
      </c>
      <c r="W13" s="223"/>
      <c r="X13" s="222" t="s">
        <v>3361</v>
      </c>
      <c r="Y13" s="223"/>
      <c r="Z13" s="222" t="s">
        <v>3359</v>
      </c>
      <c r="AA13" s="223"/>
      <c r="AB13" s="222" t="s">
        <v>3366</v>
      </c>
      <c r="AC13" s="223"/>
      <c r="AD13" s="201" t="s">
        <v>3364</v>
      </c>
      <c r="AE13" s="202"/>
      <c r="AF13" s="222" t="s">
        <v>3360</v>
      </c>
      <c r="AG13" s="223"/>
      <c r="AH13" s="222" t="s">
        <v>3362</v>
      </c>
      <c r="AI13" s="223"/>
      <c r="AJ13" s="222" t="s">
        <v>3365</v>
      </c>
      <c r="AK13" s="223"/>
      <c r="AL13" s="201" t="s">
        <v>3491</v>
      </c>
      <c r="AM13" s="202"/>
      <c r="AN13" s="97" t="s">
        <v>3383</v>
      </c>
      <c r="AO13" s="97" t="s">
        <v>3384</v>
      </c>
    </row>
    <row r="14" spans="1:41" s="154" customFormat="1" ht="22.5" customHeight="1" thickBot="1" x14ac:dyDescent="0.35">
      <c r="A14" s="152">
        <v>240</v>
      </c>
      <c r="B14" s="226">
        <f>SUM(B15:C16)</f>
        <v>1.8</v>
      </c>
      <c r="C14" s="226"/>
      <c r="D14" s="226">
        <f>SUM(D15:E16)</f>
        <v>3.0666666666666664</v>
      </c>
      <c r="E14" s="226"/>
      <c r="F14" s="226">
        <f>SUM(F15:G16)</f>
        <v>1.0666666666666667</v>
      </c>
      <c r="G14" s="226"/>
      <c r="H14" s="226">
        <f>SUM(H15:I16)</f>
        <v>1.4</v>
      </c>
      <c r="I14" s="226"/>
      <c r="J14" s="226">
        <f>SUM(J15:K16)</f>
        <v>1.0666666666666667</v>
      </c>
      <c r="K14" s="226"/>
      <c r="L14" s="226">
        <f>SUM(L15:M16)</f>
        <v>0</v>
      </c>
      <c r="M14" s="226"/>
      <c r="N14" s="226">
        <f>SUM(N15:O16)</f>
        <v>0.73333333333333339</v>
      </c>
      <c r="O14" s="226"/>
      <c r="P14" s="226">
        <f>SUM(P15:Q16)</f>
        <v>0.53333333333333333</v>
      </c>
      <c r="Q14" s="226"/>
      <c r="R14" s="226">
        <f>SUM(R15:S16)</f>
        <v>1.0666666666666667</v>
      </c>
      <c r="S14" s="226"/>
      <c r="T14" s="226">
        <f>SUM(T15:U16)</f>
        <v>1.6</v>
      </c>
      <c r="U14" s="226"/>
      <c r="V14" s="226">
        <f>SUM(V15:W16)</f>
        <v>1.7333333333333334</v>
      </c>
      <c r="W14" s="226"/>
      <c r="X14" s="226">
        <f>SUM(X15:Y16)</f>
        <v>1.9333333333333333</v>
      </c>
      <c r="Y14" s="226"/>
      <c r="Z14" s="226">
        <f>SUM(Z15:AA16)</f>
        <v>0.93333333333333335</v>
      </c>
      <c r="AA14" s="226"/>
      <c r="AB14" s="226">
        <f>SUM(AB15:AC16)</f>
        <v>0.73333333333333339</v>
      </c>
      <c r="AC14" s="226"/>
      <c r="AD14" s="226">
        <f>SUM(AD15:AE16)</f>
        <v>1.2000000000000002</v>
      </c>
      <c r="AE14" s="226"/>
      <c r="AF14" s="226">
        <f>SUM(AF15:AG16)</f>
        <v>1.3333333333333333</v>
      </c>
      <c r="AG14" s="226"/>
      <c r="AH14" s="226">
        <f>SUM(AH15:AI16)</f>
        <v>2.0666666666666664</v>
      </c>
      <c r="AI14" s="226"/>
      <c r="AJ14" s="226">
        <f>SUM(AJ15:AK16)</f>
        <v>1.0666666666666667</v>
      </c>
      <c r="AK14" s="226"/>
      <c r="AL14" s="226"/>
      <c r="AM14" s="227"/>
      <c r="AN14" s="153">
        <f>AVERAGE(B14:AL14)</f>
        <v>1.2962962962962963</v>
      </c>
      <c r="AO14" s="153">
        <f>ROUNDUP(AN14,0)</f>
        <v>2</v>
      </c>
    </row>
    <row r="15" spans="1:41" s="90" customFormat="1" ht="15.75" thickBot="1" x14ac:dyDescent="0.3">
      <c r="A15" s="151" t="s">
        <v>3385</v>
      </c>
      <c r="B15" s="205">
        <f>IFERROR(SUM(((C34)*$A$8)/3600)," ")</f>
        <v>0.8666666666666667</v>
      </c>
      <c r="C15" s="205"/>
      <c r="D15" s="205">
        <f>IFERROR(SUM(((E34)*$A$8)/3600)," ")</f>
        <v>1.4</v>
      </c>
      <c r="E15" s="205"/>
      <c r="F15" s="205">
        <f>IFERROR(SUM(((G34)*$A$8)/3600)," ")</f>
        <v>0.53333333333333333</v>
      </c>
      <c r="G15" s="205"/>
      <c r="H15" s="205">
        <f>IFERROR(SUM(((I34)*$A$8)/3600)," ")</f>
        <v>0.6</v>
      </c>
      <c r="I15" s="205"/>
      <c r="J15" s="205">
        <f>IFERROR(SUM(((K34)*$A$8)/3600)," ")</f>
        <v>0.26666666666666666</v>
      </c>
      <c r="K15" s="205"/>
      <c r="L15" s="205">
        <f>IFERROR(SUM(((M34)*$A$8)/3600)," ")</f>
        <v>0</v>
      </c>
      <c r="M15" s="205"/>
      <c r="N15" s="205">
        <f>IFERROR(SUM(((O34)*$A$8)/3600)," ")</f>
        <v>0.26666666666666666</v>
      </c>
      <c r="O15" s="205"/>
      <c r="P15" s="205">
        <f>IFERROR(SUM(((Q34)*$A$8)/3600)," ")</f>
        <v>0.2</v>
      </c>
      <c r="Q15" s="205"/>
      <c r="R15" s="205">
        <f>IFERROR(SUM(((S34)*$A$8)/3600)," ")</f>
        <v>0.26666666666666666</v>
      </c>
      <c r="S15" s="205"/>
      <c r="T15" s="205">
        <f>IFERROR(SUM(((U34)*$A$8)/3600)," ")</f>
        <v>0.8</v>
      </c>
      <c r="U15" s="205"/>
      <c r="V15" s="205">
        <f>IFERROR(SUM(((W34)*$A$8)/3600)," ")</f>
        <v>0.8666666666666667</v>
      </c>
      <c r="W15" s="205"/>
      <c r="X15" s="205">
        <f>IFERROR(SUM(((Y34)*$A$8)/3600)," ")</f>
        <v>0.93333333333333335</v>
      </c>
      <c r="Y15" s="205"/>
      <c r="Z15" s="205">
        <f>IFERROR(SUM(((AA34)*$A$8)/3600)," ")</f>
        <v>0.33333333333333331</v>
      </c>
      <c r="AA15" s="205"/>
      <c r="AB15" s="205">
        <f>IFERROR(SUM(((AC34)*$A$8)/3600)," ")</f>
        <v>0.2</v>
      </c>
      <c r="AC15" s="205"/>
      <c r="AD15" s="205">
        <f>IFERROR(SUM(((AE34)*$A$8)/3600)," ")</f>
        <v>0.4</v>
      </c>
      <c r="AE15" s="205"/>
      <c r="AF15" s="205">
        <f>IFERROR(SUM(((AG34)*$A$8)/3600)," ")</f>
        <v>1</v>
      </c>
      <c r="AG15" s="205"/>
      <c r="AH15" s="205">
        <f>IFERROR(SUM(((AI34)*$A$8)/3600)," ")</f>
        <v>1.4</v>
      </c>
      <c r="AI15" s="205"/>
      <c r="AJ15" s="205">
        <f>IFERROR(SUM(((AK34)*$A$8)/3600)," ")</f>
        <v>0.8</v>
      </c>
      <c r="AK15" s="205"/>
      <c r="AL15" s="205">
        <f>IFERROR(SUM(((AM34)*$A$8)/3600)," ")</f>
        <v>0</v>
      </c>
      <c r="AM15" s="205"/>
      <c r="AN15" s="96">
        <f>AVERAGE(B15:AL15)</f>
        <v>0.5859649122807018</v>
      </c>
      <c r="AO15" s="96">
        <f>ROUNDUP(AN15,0)</f>
        <v>1</v>
      </c>
    </row>
    <row r="16" spans="1:41" s="90" customFormat="1" x14ac:dyDescent="0.25">
      <c r="A16" s="151" t="s">
        <v>3386</v>
      </c>
      <c r="B16" s="205">
        <f>IFERROR(SUM(((C35)*$A$8)/3600)," ")</f>
        <v>0.93333333333333335</v>
      </c>
      <c r="C16" s="205"/>
      <c r="D16" s="205">
        <f>IFERROR(SUM(((E35)*$A$8)/3600)," ")</f>
        <v>1.6666666666666667</v>
      </c>
      <c r="E16" s="205"/>
      <c r="F16" s="205">
        <f>IFERROR(SUM(((G35)*$A$8)/3600)," ")</f>
        <v>0.53333333333333333</v>
      </c>
      <c r="G16" s="205"/>
      <c r="H16" s="205">
        <f>IFERROR(SUM(((I35)*$A$8)/3600)," ")</f>
        <v>0.8</v>
      </c>
      <c r="I16" s="205"/>
      <c r="J16" s="205">
        <f>IFERROR(SUM(((K35)*$A$8)/3600)," ")</f>
        <v>0.8</v>
      </c>
      <c r="K16" s="205"/>
      <c r="L16" s="205">
        <f>IFERROR(SUM(((M35)*$A$8)/3600)," ")</f>
        <v>0</v>
      </c>
      <c r="M16" s="205"/>
      <c r="N16" s="205">
        <f>IFERROR(SUM(((O35)*$A$8)/3600)," ")</f>
        <v>0.46666666666666667</v>
      </c>
      <c r="O16" s="205"/>
      <c r="P16" s="205">
        <f>IFERROR(SUM(((Q35)*$A$8)/3600)," ")</f>
        <v>0.33333333333333331</v>
      </c>
      <c r="Q16" s="205"/>
      <c r="R16" s="205">
        <f>IFERROR(SUM(((S35)*$A$8)/3600)," ")</f>
        <v>0.8</v>
      </c>
      <c r="S16" s="205"/>
      <c r="T16" s="205">
        <f>IFERROR(SUM(((U35)*$A$8)/3600)," ")</f>
        <v>0.8</v>
      </c>
      <c r="U16" s="205"/>
      <c r="V16" s="205">
        <f>IFERROR(SUM(((W35)*$A$8)/3600)," ")</f>
        <v>0.8666666666666667</v>
      </c>
      <c r="W16" s="205"/>
      <c r="X16" s="205">
        <f>IFERROR(SUM(((Y35)*$A$8)/3600)," ")</f>
        <v>1</v>
      </c>
      <c r="Y16" s="205"/>
      <c r="Z16" s="205">
        <f>IFERROR(SUM(((AA35)*$A$8)/3600)," ")</f>
        <v>0.6</v>
      </c>
      <c r="AA16" s="205"/>
      <c r="AB16" s="205">
        <f>IFERROR(SUM(((AC35)*$A$8)/3600)," ")</f>
        <v>0.53333333333333333</v>
      </c>
      <c r="AC16" s="205"/>
      <c r="AD16" s="205">
        <f>IFERROR(SUM(((AE35)*$A$8)/3600)," ")</f>
        <v>0.8</v>
      </c>
      <c r="AE16" s="205"/>
      <c r="AF16" s="205">
        <f>IFERROR(SUM(((AG35)*$A$8)/3600)," ")</f>
        <v>0.33333333333333331</v>
      </c>
      <c r="AG16" s="205"/>
      <c r="AH16" s="205">
        <f>IFERROR(SUM(((AI35)*$A$8)/3600)," ")</f>
        <v>0.66666666666666663</v>
      </c>
      <c r="AI16" s="205"/>
      <c r="AJ16" s="205">
        <f>IFERROR(SUM(((AK35)*$A$8)/3600)," ")</f>
        <v>0.26666666666666666</v>
      </c>
      <c r="AK16" s="205"/>
      <c r="AL16" s="205">
        <f>IFERROR(SUM(((AM35)*$A$8)/3600)," ")</f>
        <v>0</v>
      </c>
      <c r="AM16" s="205"/>
      <c r="AN16" s="96">
        <f>AVERAGE(B16:AL16)</f>
        <v>0.64210526315789485</v>
      </c>
      <c r="AO16" s="96">
        <f>ROUNDUP(AN16,0)</f>
        <v>1</v>
      </c>
    </row>
    <row r="17" spans="1:41" s="90" customFormat="1" ht="12" x14ac:dyDescent="0.2">
      <c r="A17" s="95"/>
    </row>
    <row r="18" spans="1:41" s="62" customFormat="1" ht="21.75" thickBot="1" x14ac:dyDescent="0.4">
      <c r="A18" s="71" t="s">
        <v>3404</v>
      </c>
      <c r="B18" s="224" t="s">
        <v>3492</v>
      </c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</row>
    <row r="19" spans="1:41" s="90" customFormat="1" ht="15" customHeight="1" thickBot="1" x14ac:dyDescent="0.3">
      <c r="A19" s="118" t="s">
        <v>3381</v>
      </c>
      <c r="B19" s="222" t="s">
        <v>3372</v>
      </c>
      <c r="C19" s="223"/>
      <c r="D19" s="222" t="s">
        <v>3373</v>
      </c>
      <c r="E19" s="223"/>
      <c r="F19" s="201" t="s">
        <v>3374</v>
      </c>
      <c r="G19" s="202"/>
      <c r="H19" s="222" t="s">
        <v>3370</v>
      </c>
      <c r="I19" s="223"/>
      <c r="J19" s="222" t="s">
        <v>3371</v>
      </c>
      <c r="K19" s="223"/>
      <c r="L19" s="222" t="s">
        <v>3375</v>
      </c>
      <c r="M19" s="223"/>
      <c r="N19" s="222" t="s">
        <v>3367</v>
      </c>
      <c r="O19" s="223"/>
      <c r="P19" s="222" t="s">
        <v>3368</v>
      </c>
      <c r="Q19" s="223"/>
      <c r="R19" s="222" t="s">
        <v>3369</v>
      </c>
      <c r="S19" s="223"/>
      <c r="T19" s="201" t="s">
        <v>3358</v>
      </c>
      <c r="U19" s="202"/>
      <c r="V19" s="222" t="s">
        <v>3363</v>
      </c>
      <c r="W19" s="223"/>
      <c r="X19" s="222" t="s">
        <v>3361</v>
      </c>
      <c r="Y19" s="223"/>
      <c r="Z19" s="222" t="s">
        <v>3359</v>
      </c>
      <c r="AA19" s="223"/>
      <c r="AB19" s="222" t="s">
        <v>3366</v>
      </c>
      <c r="AC19" s="223"/>
      <c r="AD19" s="201" t="s">
        <v>3364</v>
      </c>
      <c r="AE19" s="202"/>
      <c r="AF19" s="222" t="s">
        <v>3360</v>
      </c>
      <c r="AG19" s="223"/>
      <c r="AH19" s="222" t="s">
        <v>3362</v>
      </c>
      <c r="AI19" s="223"/>
      <c r="AJ19" s="222" t="s">
        <v>3365</v>
      </c>
      <c r="AK19" s="223"/>
      <c r="AL19" s="201" t="s">
        <v>3491</v>
      </c>
      <c r="AM19" s="202"/>
      <c r="AN19" s="97" t="s">
        <v>3383</v>
      </c>
      <c r="AO19" s="97" t="s">
        <v>3384</v>
      </c>
    </row>
    <row r="20" spans="1:41" s="154" customFormat="1" ht="22.5" customHeight="1" thickBot="1" x14ac:dyDescent="0.35">
      <c r="A20" s="152">
        <v>240</v>
      </c>
      <c r="B20" s="226">
        <f>SUM(B21:C22)</f>
        <v>1.4666666666666666</v>
      </c>
      <c r="C20" s="226"/>
      <c r="D20" s="226">
        <f>SUM(D21:E22)</f>
        <v>1.2</v>
      </c>
      <c r="E20" s="226"/>
      <c r="F20" s="226">
        <f>SUM(F21:G22)</f>
        <v>0.73333333333333328</v>
      </c>
      <c r="G20" s="226"/>
      <c r="H20" s="226">
        <f>SUM(H21:I22)</f>
        <v>1</v>
      </c>
      <c r="I20" s="226"/>
      <c r="J20" s="226">
        <f>SUM(J21:K22)</f>
        <v>0.6</v>
      </c>
      <c r="K20" s="226"/>
      <c r="L20" s="226">
        <f>SUM(L21:M22)</f>
        <v>0.2</v>
      </c>
      <c r="M20" s="226"/>
      <c r="N20" s="226">
        <f>SUM(N21:O22)</f>
        <v>1.4</v>
      </c>
      <c r="O20" s="226"/>
      <c r="P20" s="226">
        <f>SUM(P21:Q22)</f>
        <v>0.33333333333333331</v>
      </c>
      <c r="Q20" s="226"/>
      <c r="R20" s="226">
        <f>SUM(R21:S22)</f>
        <v>0.93333333333333335</v>
      </c>
      <c r="S20" s="226"/>
      <c r="T20" s="226">
        <f>SUM(T21:U22)</f>
        <v>0.66666666666666663</v>
      </c>
      <c r="U20" s="226"/>
      <c r="V20" s="226">
        <f>SUM(V21:W22)</f>
        <v>0.73333333333333328</v>
      </c>
      <c r="W20" s="226"/>
      <c r="X20" s="226">
        <f>SUM(X21:Y22)</f>
        <v>0.26666666666666666</v>
      </c>
      <c r="Y20" s="226"/>
      <c r="Z20" s="226">
        <f>SUM(Z21:AA22)</f>
        <v>1</v>
      </c>
      <c r="AA20" s="226"/>
      <c r="AB20" s="226">
        <f>SUM(AB21:AC22)</f>
        <v>0.46666666666666667</v>
      </c>
      <c r="AC20" s="226"/>
      <c r="AD20" s="226">
        <f>SUM(AD21:AE22)</f>
        <v>1</v>
      </c>
      <c r="AE20" s="226"/>
      <c r="AF20" s="226">
        <f>SUM(AF21:AG22)</f>
        <v>1.2</v>
      </c>
      <c r="AG20" s="226"/>
      <c r="AH20" s="226">
        <f>SUM(AH21:AI22)</f>
        <v>0.4</v>
      </c>
      <c r="AI20" s="226"/>
      <c r="AJ20" s="226">
        <f>SUM(AJ21:AK22)</f>
        <v>0.4</v>
      </c>
      <c r="AK20" s="226"/>
      <c r="AL20" s="226"/>
      <c r="AM20" s="227"/>
      <c r="AN20" s="153">
        <f>AVERAGE(B20:AL20)</f>
        <v>0.77777777777777779</v>
      </c>
      <c r="AO20" s="153">
        <f>ROUNDUP(AN20,0)</f>
        <v>1</v>
      </c>
    </row>
    <row r="21" spans="1:41" s="90" customFormat="1" ht="15.75" thickBot="1" x14ac:dyDescent="0.3">
      <c r="A21" s="151" t="s">
        <v>3488</v>
      </c>
      <c r="B21" s="205">
        <f>IFERROR(SUM(((C40)*$A$8)/3600)," ")</f>
        <v>0</v>
      </c>
      <c r="C21" s="205"/>
      <c r="D21" s="205">
        <f t="shared" ref="D21" si="18">IFERROR(SUM(((E40)*$A$8)/3600)," ")</f>
        <v>0</v>
      </c>
      <c r="E21" s="205"/>
      <c r="F21" s="205">
        <f t="shared" ref="F21" si="19">IFERROR(SUM(((G40)*$A$8)/3600)," ")</f>
        <v>0</v>
      </c>
      <c r="G21" s="205"/>
      <c r="H21" s="205">
        <f t="shared" ref="H21" si="20">IFERROR(SUM(((I40)*$A$8)/3600)," ")</f>
        <v>0</v>
      </c>
      <c r="I21" s="205"/>
      <c r="J21" s="205">
        <f t="shared" ref="J21" si="21">IFERROR(SUM(((K40)*$A$8)/3600)," ")</f>
        <v>0</v>
      </c>
      <c r="K21" s="205"/>
      <c r="L21" s="205">
        <f t="shared" ref="L21" si="22">IFERROR(SUM(((M40)*$A$8)/3600)," ")</f>
        <v>0</v>
      </c>
      <c r="M21" s="205"/>
      <c r="N21" s="205">
        <f t="shared" ref="N21" si="23">IFERROR(SUM(((O40)*$A$8)/3600)," ")</f>
        <v>0</v>
      </c>
      <c r="O21" s="205"/>
      <c r="P21" s="205">
        <f t="shared" ref="P21" si="24">IFERROR(SUM(((Q40)*$A$8)/3600)," ")</f>
        <v>0</v>
      </c>
      <c r="Q21" s="205"/>
      <c r="R21" s="205">
        <f t="shared" ref="R21" si="25">IFERROR(SUM(((S40)*$A$8)/3600)," ")</f>
        <v>0</v>
      </c>
      <c r="S21" s="205"/>
      <c r="T21" s="205">
        <f t="shared" ref="T21" si="26">IFERROR(SUM(((U40)*$A$8)/3600)," ")</f>
        <v>0</v>
      </c>
      <c r="U21" s="205"/>
      <c r="V21" s="205">
        <f t="shared" ref="V21" si="27">IFERROR(SUM(((W40)*$A$8)/3600)," ")</f>
        <v>0</v>
      </c>
      <c r="W21" s="205"/>
      <c r="X21" s="205">
        <f t="shared" ref="X21" si="28">IFERROR(SUM(((Y40)*$A$8)/3600)," ")</f>
        <v>0</v>
      </c>
      <c r="Y21" s="205"/>
      <c r="Z21" s="205">
        <f t="shared" ref="Z21" si="29">IFERROR(SUM(((AA40)*$A$8)/3600)," ")</f>
        <v>0</v>
      </c>
      <c r="AA21" s="205"/>
      <c r="AB21" s="205">
        <f t="shared" ref="AB21" si="30">IFERROR(SUM(((AC40)*$A$8)/3600)," ")</f>
        <v>0</v>
      </c>
      <c r="AC21" s="205"/>
      <c r="AD21" s="205">
        <f t="shared" ref="AD21" si="31">IFERROR(SUM(((AE40)*$A$8)/3600)," ")</f>
        <v>0</v>
      </c>
      <c r="AE21" s="205"/>
      <c r="AF21" s="205">
        <f t="shared" ref="AF21" si="32">IFERROR(SUM(((AG40)*$A$8)/3600)," ")</f>
        <v>0</v>
      </c>
      <c r="AG21" s="205"/>
      <c r="AH21" s="205">
        <f t="shared" ref="AH21" si="33">IFERROR(SUM(((AI40)*$A$8)/3600)," ")</f>
        <v>0</v>
      </c>
      <c r="AI21" s="205"/>
      <c r="AJ21" s="205">
        <f t="shared" ref="AJ21" si="34">IFERROR(SUM(((AK40)*$A$8)/3600)," ")</f>
        <v>0</v>
      </c>
      <c r="AK21" s="205"/>
      <c r="AL21" s="205">
        <f t="shared" ref="AL21" si="35">IFERROR(SUM(((AM40)*$A$8)/3600)," ")</f>
        <v>0</v>
      </c>
      <c r="AM21" s="205"/>
      <c r="AN21" s="96">
        <f>AVERAGE(B21:AL21)</f>
        <v>0</v>
      </c>
      <c r="AO21" s="96">
        <f>ROUNDUP(AN21,0)</f>
        <v>0</v>
      </c>
    </row>
    <row r="22" spans="1:41" s="90" customFormat="1" x14ac:dyDescent="0.25">
      <c r="A22" s="151" t="s">
        <v>3489</v>
      </c>
      <c r="B22" s="205">
        <f>IFERROR(SUM(((C41)*$A$8)/3600)," ")</f>
        <v>1.4666666666666666</v>
      </c>
      <c r="C22" s="205"/>
      <c r="D22" s="205">
        <f t="shared" ref="D22" si="36">IFERROR(SUM(((E41)*$A$8)/3600)," ")</f>
        <v>1.2</v>
      </c>
      <c r="E22" s="205"/>
      <c r="F22" s="205">
        <f t="shared" ref="F22" si="37">IFERROR(SUM(((G41)*$A$8)/3600)," ")</f>
        <v>0.73333333333333328</v>
      </c>
      <c r="G22" s="205"/>
      <c r="H22" s="205">
        <f t="shared" ref="H22" si="38">IFERROR(SUM(((I41)*$A$8)/3600)," ")</f>
        <v>1</v>
      </c>
      <c r="I22" s="205"/>
      <c r="J22" s="205">
        <f t="shared" ref="J22" si="39">IFERROR(SUM(((K41)*$A$8)/3600)," ")</f>
        <v>0.6</v>
      </c>
      <c r="K22" s="205"/>
      <c r="L22" s="205">
        <f t="shared" ref="L22" si="40">IFERROR(SUM(((M41)*$A$8)/3600)," ")</f>
        <v>0.2</v>
      </c>
      <c r="M22" s="205"/>
      <c r="N22" s="205">
        <f t="shared" ref="N22" si="41">IFERROR(SUM(((O41)*$A$8)/3600)," ")</f>
        <v>1.4</v>
      </c>
      <c r="O22" s="205"/>
      <c r="P22" s="205">
        <f t="shared" ref="P22" si="42">IFERROR(SUM(((Q41)*$A$8)/3600)," ")</f>
        <v>0.33333333333333331</v>
      </c>
      <c r="Q22" s="205"/>
      <c r="R22" s="205">
        <f t="shared" ref="R22" si="43">IFERROR(SUM(((S41)*$A$8)/3600)," ")</f>
        <v>0.93333333333333335</v>
      </c>
      <c r="S22" s="205"/>
      <c r="T22" s="205">
        <f t="shared" ref="T22" si="44">IFERROR(SUM(((U41)*$A$8)/3600)," ")</f>
        <v>0.66666666666666663</v>
      </c>
      <c r="U22" s="205"/>
      <c r="V22" s="205">
        <f t="shared" ref="V22" si="45">IFERROR(SUM(((W41)*$A$8)/3600)," ")</f>
        <v>0.73333333333333328</v>
      </c>
      <c r="W22" s="205"/>
      <c r="X22" s="205">
        <f t="shared" ref="X22" si="46">IFERROR(SUM(((Y41)*$A$8)/3600)," ")</f>
        <v>0.26666666666666666</v>
      </c>
      <c r="Y22" s="205"/>
      <c r="Z22" s="205">
        <f t="shared" ref="Z22" si="47">IFERROR(SUM(((AA41)*$A$8)/3600)," ")</f>
        <v>1</v>
      </c>
      <c r="AA22" s="205"/>
      <c r="AB22" s="205">
        <f t="shared" ref="AB22" si="48">IFERROR(SUM(((AC41)*$A$8)/3600)," ")</f>
        <v>0.46666666666666667</v>
      </c>
      <c r="AC22" s="205"/>
      <c r="AD22" s="205">
        <f t="shared" ref="AD22" si="49">IFERROR(SUM(((AE41)*$A$8)/3600)," ")</f>
        <v>1</v>
      </c>
      <c r="AE22" s="205"/>
      <c r="AF22" s="205">
        <f t="shared" ref="AF22" si="50">IFERROR(SUM(((AG41)*$A$8)/3600)," ")</f>
        <v>1.2</v>
      </c>
      <c r="AG22" s="205"/>
      <c r="AH22" s="205">
        <f t="shared" ref="AH22" si="51">IFERROR(SUM(((AI41)*$A$8)/3600)," ")</f>
        <v>0.4</v>
      </c>
      <c r="AI22" s="205"/>
      <c r="AJ22" s="205">
        <f t="shared" ref="AJ22" si="52">IFERROR(SUM(((AK41)*$A$8)/3600)," ")</f>
        <v>0.4</v>
      </c>
      <c r="AK22" s="205"/>
      <c r="AL22" s="205">
        <f t="shared" ref="AL22" si="53">IFERROR(SUM(((AM41)*$A$8)/3600)," ")</f>
        <v>0</v>
      </c>
      <c r="AM22" s="205"/>
      <c r="AN22" s="96">
        <f>AVERAGE(B22:AL22)</f>
        <v>0.73684210526315785</v>
      </c>
      <c r="AO22" s="96">
        <f>ROUNDUP(AN22,0)</f>
        <v>1</v>
      </c>
    </row>
    <row r="23" spans="1:41" s="90" customFormat="1" ht="12" x14ac:dyDescent="0.2">
      <c r="A23" s="95"/>
    </row>
    <row r="24" spans="1:41" s="90" customFormat="1" ht="12" x14ac:dyDescent="0.2">
      <c r="A24" s="95"/>
    </row>
    <row r="25" spans="1:41" s="62" customFormat="1" ht="36" x14ac:dyDescent="0.55000000000000004">
      <c r="A25" s="95"/>
      <c r="B25" s="228" t="s">
        <v>3493</v>
      </c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30"/>
    </row>
    <row r="26" spans="1:41" s="62" customFormat="1" ht="21" outlineLevel="2" x14ac:dyDescent="0.35">
      <c r="A26" s="71" t="s">
        <v>3429</v>
      </c>
      <c r="B26" s="233" t="s">
        <v>3372</v>
      </c>
      <c r="C26" s="234"/>
      <c r="D26" s="233" t="s">
        <v>3373</v>
      </c>
      <c r="E26" s="234"/>
      <c r="F26" s="231" t="s">
        <v>3374</v>
      </c>
      <c r="G26" s="232"/>
      <c r="H26" s="233" t="s">
        <v>3370</v>
      </c>
      <c r="I26" s="234"/>
      <c r="J26" s="233" t="s">
        <v>3371</v>
      </c>
      <c r="K26" s="234"/>
      <c r="L26" s="233" t="s">
        <v>3375</v>
      </c>
      <c r="M26" s="234"/>
      <c r="N26" s="233" t="s">
        <v>3367</v>
      </c>
      <c r="O26" s="234"/>
      <c r="P26" s="233" t="s">
        <v>3368</v>
      </c>
      <c r="Q26" s="234"/>
      <c r="R26" s="233" t="s">
        <v>3369</v>
      </c>
      <c r="S26" s="234"/>
      <c r="T26" s="231" t="s">
        <v>3358</v>
      </c>
      <c r="U26" s="232"/>
      <c r="V26" s="233" t="s">
        <v>3363</v>
      </c>
      <c r="W26" s="234"/>
      <c r="X26" s="233" t="s">
        <v>3361</v>
      </c>
      <c r="Y26" s="234"/>
      <c r="Z26" s="233" t="s">
        <v>3359</v>
      </c>
      <c r="AA26" s="234"/>
      <c r="AB26" s="233" t="s">
        <v>3366</v>
      </c>
      <c r="AC26" s="234"/>
      <c r="AD26" s="231" t="s">
        <v>3364</v>
      </c>
      <c r="AE26" s="232"/>
      <c r="AF26" s="233" t="s">
        <v>3360</v>
      </c>
      <c r="AG26" s="234"/>
      <c r="AH26" s="233" t="s">
        <v>3362</v>
      </c>
      <c r="AI26" s="234"/>
      <c r="AJ26" s="233" t="s">
        <v>3365</v>
      </c>
      <c r="AK26" s="234"/>
      <c r="AL26" s="231" t="s">
        <v>3491</v>
      </c>
      <c r="AM26" s="232"/>
    </row>
    <row r="27" spans="1:41" s="62" customFormat="1" ht="15.75" outlineLevel="2" thickBot="1" x14ac:dyDescent="0.3">
      <c r="A27" s="59" t="s">
        <v>3393</v>
      </c>
      <c r="B27" s="101" t="s">
        <v>3487</v>
      </c>
      <c r="C27" s="102" t="s">
        <v>3353</v>
      </c>
      <c r="D27" s="101" t="s">
        <v>3487</v>
      </c>
      <c r="E27" s="102" t="s">
        <v>3353</v>
      </c>
      <c r="F27" s="101" t="s">
        <v>3487</v>
      </c>
      <c r="G27" s="102" t="s">
        <v>3353</v>
      </c>
      <c r="H27" s="101" t="s">
        <v>3487</v>
      </c>
      <c r="I27" s="102" t="s">
        <v>3353</v>
      </c>
      <c r="J27" s="101" t="s">
        <v>3487</v>
      </c>
      <c r="K27" s="102" t="s">
        <v>3353</v>
      </c>
      <c r="L27" s="101" t="s">
        <v>3487</v>
      </c>
      <c r="M27" s="102" t="s">
        <v>3353</v>
      </c>
      <c r="N27" s="101" t="s">
        <v>3487</v>
      </c>
      <c r="O27" s="102" t="s">
        <v>3353</v>
      </c>
      <c r="P27" s="101" t="s">
        <v>3487</v>
      </c>
      <c r="Q27" s="102" t="s">
        <v>3353</v>
      </c>
      <c r="R27" s="101" t="s">
        <v>3487</v>
      </c>
      <c r="S27" s="102" t="s">
        <v>3353</v>
      </c>
      <c r="T27" s="101" t="s">
        <v>3487</v>
      </c>
      <c r="U27" s="102" t="s">
        <v>3353</v>
      </c>
      <c r="V27" s="101" t="s">
        <v>3487</v>
      </c>
      <c r="W27" s="102" t="s">
        <v>3353</v>
      </c>
      <c r="X27" s="101" t="s">
        <v>3487</v>
      </c>
      <c r="Y27" s="102" t="s">
        <v>3353</v>
      </c>
      <c r="Z27" s="101" t="s">
        <v>3487</v>
      </c>
      <c r="AA27" s="102" t="s">
        <v>3353</v>
      </c>
      <c r="AB27" s="101" t="s">
        <v>3487</v>
      </c>
      <c r="AC27" s="102" t="s">
        <v>3353</v>
      </c>
      <c r="AD27" s="101" t="s">
        <v>3487</v>
      </c>
      <c r="AE27" s="102" t="s">
        <v>3353</v>
      </c>
      <c r="AF27" s="101" t="s">
        <v>3487</v>
      </c>
      <c r="AG27" s="102" t="s">
        <v>3353</v>
      </c>
      <c r="AH27" s="101" t="s">
        <v>3487</v>
      </c>
      <c r="AI27" s="102" t="s">
        <v>3353</v>
      </c>
      <c r="AJ27" s="101" t="s">
        <v>3487</v>
      </c>
      <c r="AK27" s="102" t="s">
        <v>3353</v>
      </c>
      <c r="AL27" s="101" t="s">
        <v>3487</v>
      </c>
      <c r="AM27" s="102" t="s">
        <v>3353</v>
      </c>
    </row>
    <row r="28" spans="1:41" s="62" customFormat="1" ht="15.75" outlineLevel="2" thickBot="1" x14ac:dyDescent="0.3">
      <c r="A28" s="122" t="s">
        <v>3389</v>
      </c>
      <c r="B28" s="123">
        <f>'Serigrafia - Reguladores'!D12</f>
        <v>12</v>
      </c>
      <c r="C28" s="124">
        <f>'Serigrafia - Reguladores'!E12</f>
        <v>8</v>
      </c>
      <c r="D28" s="123">
        <f>'Serigrafia - Reguladores'!F12</f>
        <v>13</v>
      </c>
      <c r="E28" s="124">
        <f>'Serigrafia - Reguladores'!G12</f>
        <v>5</v>
      </c>
      <c r="F28" s="123">
        <f>'Serigrafia - Reguladores'!H12</f>
        <v>9</v>
      </c>
      <c r="G28" s="124">
        <f>'Serigrafia - Reguladores'!I12</f>
        <v>4</v>
      </c>
      <c r="H28" s="123">
        <f>'Serigrafia - Reguladores'!J12</f>
        <v>6</v>
      </c>
      <c r="I28" s="124">
        <f>'Serigrafia - Reguladores'!K12</f>
        <v>3</v>
      </c>
      <c r="J28" s="123">
        <f>'Serigrafia - Reguladores'!L12</f>
        <v>4</v>
      </c>
      <c r="K28" s="124">
        <f>'Serigrafia - Reguladores'!M12</f>
        <v>3</v>
      </c>
      <c r="L28" s="123">
        <f>'Serigrafia - Reguladores'!N12</f>
        <v>1</v>
      </c>
      <c r="M28" s="124">
        <f>'Serigrafia - Reguladores'!O12</f>
        <v>0</v>
      </c>
      <c r="N28" s="123">
        <f>'Serigrafia - Reguladores'!P12</f>
        <v>9</v>
      </c>
      <c r="O28" s="124">
        <f>'Serigrafia - Reguladores'!Q12</f>
        <v>6</v>
      </c>
      <c r="P28" s="123">
        <f>'Serigrafia - Reguladores'!R12</f>
        <v>4</v>
      </c>
      <c r="Q28" s="124">
        <f>'Serigrafia - Reguladores'!S12</f>
        <v>3</v>
      </c>
      <c r="R28" s="123">
        <f>'Serigrafia - Reguladores'!T12</f>
        <v>5</v>
      </c>
      <c r="S28" s="124">
        <f>'Serigrafia - Reguladores'!U12</f>
        <v>3</v>
      </c>
      <c r="T28" s="123">
        <f>'Serigrafia - Reguladores'!V12</f>
        <v>2</v>
      </c>
      <c r="U28" s="124">
        <f>'Serigrafia - Reguladores'!W12</f>
        <v>2</v>
      </c>
      <c r="V28" s="123">
        <f>'Serigrafia - Reguladores'!X12</f>
        <v>8</v>
      </c>
      <c r="W28" s="124">
        <f>'Serigrafia - Reguladores'!Y12</f>
        <v>4</v>
      </c>
      <c r="X28" s="123">
        <f>'Serigrafia - Reguladores'!Z12</f>
        <v>3</v>
      </c>
      <c r="Y28" s="124">
        <f>'Serigrafia - Reguladores'!AA12</f>
        <v>2</v>
      </c>
      <c r="Z28" s="123">
        <f>'Serigrafia - Reguladores'!AB12</f>
        <v>4</v>
      </c>
      <c r="AA28" s="124">
        <f>'Serigrafia - Reguladores'!AC12</f>
        <v>2</v>
      </c>
      <c r="AB28" s="123">
        <f>'Serigrafia - Reguladores'!AD12</f>
        <v>1</v>
      </c>
      <c r="AC28" s="124">
        <f>'Serigrafia - Reguladores'!AE12</f>
        <v>1</v>
      </c>
      <c r="AD28" s="123">
        <f>'Serigrafia - Reguladores'!AF12</f>
        <v>2</v>
      </c>
      <c r="AE28" s="124">
        <f>'Serigrafia - Reguladores'!AG12</f>
        <v>0</v>
      </c>
      <c r="AF28" s="123">
        <f>'Serigrafia - Reguladores'!AH12</f>
        <v>5</v>
      </c>
      <c r="AG28" s="124">
        <f>'Serigrafia - Reguladores'!AI12</f>
        <v>6</v>
      </c>
      <c r="AH28" s="123">
        <f>'Serigrafia - Reguladores'!AJ12</f>
        <v>8</v>
      </c>
      <c r="AI28" s="124">
        <f>'Serigrafia - Reguladores'!AK12</f>
        <v>5</v>
      </c>
      <c r="AJ28" s="123">
        <f>'Serigrafia - Reguladores'!AL12</f>
        <v>0</v>
      </c>
      <c r="AK28" s="124">
        <f>'Serigrafia - Reguladores'!AM12</f>
        <v>0</v>
      </c>
      <c r="AL28" s="123">
        <f>'Serigrafia - Reguladores'!AN12</f>
        <v>0</v>
      </c>
      <c r="AM28" s="124">
        <f>'Serigrafia - Reguladores'!AO12</f>
        <v>0</v>
      </c>
    </row>
    <row r="29" spans="1:41" s="62" customFormat="1" ht="15.75" outlineLevel="2" thickBot="1" x14ac:dyDescent="0.3">
      <c r="A29" s="119" t="s">
        <v>3390</v>
      </c>
      <c r="B29" s="123">
        <f>'Serigrafia - Reguladores'!D13</f>
        <v>15</v>
      </c>
      <c r="C29" s="124">
        <f>'Serigrafia - Reguladores'!E13</f>
        <v>25</v>
      </c>
      <c r="D29" s="123">
        <f>'Serigrafia - Reguladores'!F13</f>
        <v>20</v>
      </c>
      <c r="E29" s="124">
        <f>'Serigrafia - Reguladores'!G13</f>
        <v>34</v>
      </c>
      <c r="F29" s="123">
        <f>'Serigrafia - Reguladores'!H13</f>
        <v>13</v>
      </c>
      <c r="G29" s="124">
        <f>'Serigrafia - Reguladores'!I13</f>
        <v>13</v>
      </c>
      <c r="H29" s="123">
        <f>'Serigrafia - Reguladores'!J13</f>
        <v>12</v>
      </c>
      <c r="I29" s="124">
        <f>'Serigrafia - Reguladores'!K13</f>
        <v>19</v>
      </c>
      <c r="J29" s="123">
        <f>'Serigrafia - Reguladores'!L13</f>
        <v>9</v>
      </c>
      <c r="K29" s="124">
        <f>'Serigrafia - Reguladores'!M13</f>
        <v>20</v>
      </c>
      <c r="L29" s="123">
        <f>'Serigrafia - Reguladores'!N13</f>
        <v>0</v>
      </c>
      <c r="M29" s="124">
        <f>'Serigrafia - Reguladores'!O13</f>
        <v>0</v>
      </c>
      <c r="N29" s="123">
        <f>'Serigrafia - Reguladores'!P13</f>
        <v>7</v>
      </c>
      <c r="O29" s="124">
        <f>'Serigrafia - Reguladores'!Q13</f>
        <v>13</v>
      </c>
      <c r="P29" s="123">
        <f>'Serigrafia - Reguladores'!R13</f>
        <v>6</v>
      </c>
      <c r="Q29" s="124">
        <f>'Serigrafia - Reguladores'!S13</f>
        <v>12</v>
      </c>
      <c r="R29" s="123">
        <f>'Serigrafia - Reguladores'!T13</f>
        <v>6</v>
      </c>
      <c r="S29" s="124">
        <f>'Serigrafia - Reguladores'!U13</f>
        <v>12</v>
      </c>
      <c r="T29" s="123">
        <f>'Serigrafia - Reguladores'!V13</f>
        <v>10</v>
      </c>
      <c r="U29" s="124">
        <f>'Serigrafia - Reguladores'!W13</f>
        <v>25</v>
      </c>
      <c r="V29" s="123">
        <f>'Serigrafia - Reguladores'!X13</f>
        <v>13</v>
      </c>
      <c r="W29" s="124">
        <f>'Serigrafia - Reguladores'!Y13</f>
        <v>25</v>
      </c>
      <c r="X29" s="123">
        <f>'Serigrafia - Reguladores'!Z13</f>
        <v>12</v>
      </c>
      <c r="Y29" s="124">
        <f>'Serigrafia - Reguladores'!AA13</f>
        <v>18</v>
      </c>
      <c r="Z29" s="123">
        <f>'Serigrafia - Reguladores'!AB13</f>
        <v>8</v>
      </c>
      <c r="AA29" s="124">
        <f>'Serigrafia - Reguladores'!AC13</f>
        <v>10</v>
      </c>
      <c r="AB29" s="123">
        <f>'Serigrafia - Reguladores'!AD13</f>
        <v>7</v>
      </c>
      <c r="AC29" s="124">
        <f>'Serigrafia - Reguladores'!AE13</f>
        <v>12</v>
      </c>
      <c r="AD29" s="123">
        <f>'Serigrafia - Reguladores'!AF13</f>
        <v>4</v>
      </c>
      <c r="AE29" s="124">
        <f>'Serigrafia - Reguladores'!AG13</f>
        <v>5</v>
      </c>
      <c r="AF29" s="123">
        <f>'Serigrafia - Reguladores'!AH13</f>
        <v>8</v>
      </c>
      <c r="AG29" s="124">
        <f>'Serigrafia - Reguladores'!AI13</f>
        <v>5</v>
      </c>
      <c r="AH29" s="123">
        <f>'Serigrafia - Reguladores'!AJ13</f>
        <v>10</v>
      </c>
      <c r="AI29" s="124">
        <f>'Serigrafia - Reguladores'!AK13</f>
        <v>9</v>
      </c>
      <c r="AJ29" s="123">
        <f>'Serigrafia - Reguladores'!AL13</f>
        <v>9</v>
      </c>
      <c r="AK29" s="124">
        <f>'Serigrafia - Reguladores'!AM13</f>
        <v>6</v>
      </c>
      <c r="AL29" s="123">
        <f>'Serigrafia - Reguladores'!AN13</f>
        <v>0</v>
      </c>
      <c r="AM29" s="124">
        <f>'Serigrafia - Reguladores'!AO13</f>
        <v>0</v>
      </c>
    </row>
    <row r="30" spans="1:41" s="130" customFormat="1" ht="15.75" outlineLevel="2" thickBot="1" x14ac:dyDescent="0.3">
      <c r="A30" s="131" t="s">
        <v>467</v>
      </c>
      <c r="B30" s="132">
        <f t="shared" ref="B30:AM30" si="54">SUM(B28:B29)</f>
        <v>27</v>
      </c>
      <c r="C30" s="133">
        <f t="shared" si="54"/>
        <v>33</v>
      </c>
      <c r="D30" s="132">
        <f t="shared" si="54"/>
        <v>33</v>
      </c>
      <c r="E30" s="133">
        <f t="shared" si="54"/>
        <v>39</v>
      </c>
      <c r="F30" s="132">
        <f t="shared" si="54"/>
        <v>22</v>
      </c>
      <c r="G30" s="133">
        <f t="shared" si="54"/>
        <v>17</v>
      </c>
      <c r="H30" s="132">
        <f t="shared" si="54"/>
        <v>18</v>
      </c>
      <c r="I30" s="133">
        <f t="shared" si="54"/>
        <v>22</v>
      </c>
      <c r="J30" s="132">
        <f t="shared" si="54"/>
        <v>13</v>
      </c>
      <c r="K30" s="133">
        <f t="shared" si="54"/>
        <v>23</v>
      </c>
      <c r="L30" s="132">
        <f t="shared" si="54"/>
        <v>1</v>
      </c>
      <c r="M30" s="133">
        <f t="shared" si="54"/>
        <v>0</v>
      </c>
      <c r="N30" s="132">
        <f t="shared" si="54"/>
        <v>16</v>
      </c>
      <c r="O30" s="133">
        <f t="shared" si="54"/>
        <v>19</v>
      </c>
      <c r="P30" s="132">
        <f t="shared" si="54"/>
        <v>10</v>
      </c>
      <c r="Q30" s="133">
        <f t="shared" si="54"/>
        <v>15</v>
      </c>
      <c r="R30" s="132">
        <f t="shared" si="54"/>
        <v>11</v>
      </c>
      <c r="S30" s="133">
        <f t="shared" si="54"/>
        <v>15</v>
      </c>
      <c r="T30" s="132">
        <f t="shared" si="54"/>
        <v>12</v>
      </c>
      <c r="U30" s="133">
        <f t="shared" si="54"/>
        <v>27</v>
      </c>
      <c r="V30" s="132">
        <f t="shared" si="54"/>
        <v>21</v>
      </c>
      <c r="W30" s="133">
        <f t="shared" si="54"/>
        <v>29</v>
      </c>
      <c r="X30" s="132">
        <f t="shared" si="54"/>
        <v>15</v>
      </c>
      <c r="Y30" s="133">
        <f t="shared" si="54"/>
        <v>20</v>
      </c>
      <c r="Z30" s="132">
        <f t="shared" si="54"/>
        <v>12</v>
      </c>
      <c r="AA30" s="133">
        <f t="shared" si="54"/>
        <v>12</v>
      </c>
      <c r="AB30" s="132">
        <f t="shared" si="54"/>
        <v>8</v>
      </c>
      <c r="AC30" s="133">
        <f t="shared" si="54"/>
        <v>13</v>
      </c>
      <c r="AD30" s="132">
        <f t="shared" si="54"/>
        <v>6</v>
      </c>
      <c r="AE30" s="133">
        <f t="shared" si="54"/>
        <v>5</v>
      </c>
      <c r="AF30" s="132">
        <f t="shared" si="54"/>
        <v>13</v>
      </c>
      <c r="AG30" s="133">
        <f t="shared" si="54"/>
        <v>11</v>
      </c>
      <c r="AH30" s="132">
        <f t="shared" si="54"/>
        <v>18</v>
      </c>
      <c r="AI30" s="133">
        <f t="shared" si="54"/>
        <v>14</v>
      </c>
      <c r="AJ30" s="132">
        <f t="shared" si="54"/>
        <v>9</v>
      </c>
      <c r="AK30" s="133">
        <f t="shared" si="54"/>
        <v>6</v>
      </c>
      <c r="AL30" s="132">
        <f t="shared" si="54"/>
        <v>0</v>
      </c>
      <c r="AM30" s="133">
        <f t="shared" si="54"/>
        <v>0</v>
      </c>
    </row>
    <row r="32" spans="1:41" s="62" customFormat="1" ht="21" outlineLevel="2" x14ac:dyDescent="0.35">
      <c r="A32" s="71" t="s">
        <v>3396</v>
      </c>
      <c r="B32" s="222" t="s">
        <v>3372</v>
      </c>
      <c r="C32" s="223"/>
      <c r="D32" s="222" t="s">
        <v>3373</v>
      </c>
      <c r="E32" s="223"/>
      <c r="F32" s="201" t="s">
        <v>3374</v>
      </c>
      <c r="G32" s="202"/>
      <c r="H32" s="222" t="s">
        <v>3370</v>
      </c>
      <c r="I32" s="223"/>
      <c r="J32" s="222" t="s">
        <v>3371</v>
      </c>
      <c r="K32" s="223"/>
      <c r="L32" s="222" t="s">
        <v>3375</v>
      </c>
      <c r="M32" s="223"/>
      <c r="N32" s="222" t="s">
        <v>3367</v>
      </c>
      <c r="O32" s="223"/>
      <c r="P32" s="222" t="s">
        <v>3368</v>
      </c>
      <c r="Q32" s="223"/>
      <c r="R32" s="222" t="s">
        <v>3369</v>
      </c>
      <c r="S32" s="223"/>
      <c r="T32" s="201" t="s">
        <v>3358</v>
      </c>
      <c r="U32" s="202"/>
      <c r="V32" s="222" t="s">
        <v>3363</v>
      </c>
      <c r="W32" s="223"/>
      <c r="X32" s="222" t="s">
        <v>3361</v>
      </c>
      <c r="Y32" s="223"/>
      <c r="Z32" s="222" t="s">
        <v>3359</v>
      </c>
      <c r="AA32" s="223"/>
      <c r="AB32" s="222" t="s">
        <v>3366</v>
      </c>
      <c r="AC32" s="223"/>
      <c r="AD32" s="201" t="s">
        <v>3364</v>
      </c>
      <c r="AE32" s="202"/>
      <c r="AF32" s="222" t="s">
        <v>3360</v>
      </c>
      <c r="AG32" s="223"/>
      <c r="AH32" s="222" t="s">
        <v>3362</v>
      </c>
      <c r="AI32" s="223"/>
      <c r="AJ32" s="222" t="s">
        <v>3365</v>
      </c>
      <c r="AK32" s="223"/>
      <c r="AL32" s="201" t="s">
        <v>3491</v>
      </c>
      <c r="AM32" s="202"/>
    </row>
    <row r="33" spans="1:39" s="62" customFormat="1" ht="15.75" outlineLevel="2" thickBot="1" x14ac:dyDescent="0.3">
      <c r="A33" s="59" t="s">
        <v>3393</v>
      </c>
      <c r="B33" s="101" t="s">
        <v>3487</v>
      </c>
      <c r="C33" s="102" t="s">
        <v>3353</v>
      </c>
      <c r="D33" s="101" t="s">
        <v>3487</v>
      </c>
      <c r="E33" s="102" t="s">
        <v>3353</v>
      </c>
      <c r="F33" s="101" t="s">
        <v>3487</v>
      </c>
      <c r="G33" s="102" t="s">
        <v>3353</v>
      </c>
      <c r="H33" s="101" t="s">
        <v>3487</v>
      </c>
      <c r="I33" s="102" t="s">
        <v>3353</v>
      </c>
      <c r="J33" s="101" t="s">
        <v>3487</v>
      </c>
      <c r="K33" s="102" t="s">
        <v>3353</v>
      </c>
      <c r="L33" s="101" t="s">
        <v>3487</v>
      </c>
      <c r="M33" s="102" t="s">
        <v>3353</v>
      </c>
      <c r="N33" s="101" t="s">
        <v>3487</v>
      </c>
      <c r="O33" s="102" t="s">
        <v>3353</v>
      </c>
      <c r="P33" s="101" t="s">
        <v>3487</v>
      </c>
      <c r="Q33" s="102" t="s">
        <v>3353</v>
      </c>
      <c r="R33" s="101" t="s">
        <v>3487</v>
      </c>
      <c r="S33" s="102" t="s">
        <v>3353</v>
      </c>
      <c r="T33" s="101" t="s">
        <v>3487</v>
      </c>
      <c r="U33" s="102" t="s">
        <v>3353</v>
      </c>
      <c r="V33" s="101" t="s">
        <v>3487</v>
      </c>
      <c r="W33" s="102" t="s">
        <v>3353</v>
      </c>
      <c r="X33" s="101" t="s">
        <v>3487</v>
      </c>
      <c r="Y33" s="102" t="s">
        <v>3353</v>
      </c>
      <c r="Z33" s="101" t="s">
        <v>3487</v>
      </c>
      <c r="AA33" s="102" t="s">
        <v>3353</v>
      </c>
      <c r="AB33" s="101" t="s">
        <v>3487</v>
      </c>
      <c r="AC33" s="102" t="s">
        <v>3353</v>
      </c>
      <c r="AD33" s="101" t="s">
        <v>3487</v>
      </c>
      <c r="AE33" s="102" t="s">
        <v>3353</v>
      </c>
      <c r="AF33" s="101" t="s">
        <v>3487</v>
      </c>
      <c r="AG33" s="102" t="s">
        <v>3353</v>
      </c>
      <c r="AH33" s="101" t="s">
        <v>3487</v>
      </c>
      <c r="AI33" s="102" t="s">
        <v>3353</v>
      </c>
      <c r="AJ33" s="101" t="s">
        <v>3487</v>
      </c>
      <c r="AK33" s="102" t="s">
        <v>3353</v>
      </c>
      <c r="AL33" s="101" t="s">
        <v>3487</v>
      </c>
      <c r="AM33" s="102" t="s">
        <v>3353</v>
      </c>
    </row>
    <row r="34" spans="1:39" s="62" customFormat="1" ht="15.75" outlineLevel="2" thickBot="1" x14ac:dyDescent="0.3">
      <c r="A34" s="151" t="s">
        <v>3385</v>
      </c>
      <c r="B34" s="123">
        <f>'Montagem - Reguladores'!D12</f>
        <v>25</v>
      </c>
      <c r="C34" s="124">
        <f>'Montagem - Reguladores'!E12</f>
        <v>13</v>
      </c>
      <c r="D34" s="123">
        <f>'Montagem - Reguladores'!F12</f>
        <v>14</v>
      </c>
      <c r="E34" s="124">
        <f>'Montagem - Reguladores'!G12</f>
        <v>21</v>
      </c>
      <c r="F34" s="123">
        <f>'Montagem - Reguladores'!H12</f>
        <v>5</v>
      </c>
      <c r="G34" s="124">
        <f>'Montagem - Reguladores'!I12</f>
        <v>8</v>
      </c>
      <c r="H34" s="123">
        <f>'Montagem - Reguladores'!J12</f>
        <v>8</v>
      </c>
      <c r="I34" s="124">
        <f>'Montagem - Reguladores'!K12</f>
        <v>9</v>
      </c>
      <c r="J34" s="123">
        <f>'Montagem - Reguladores'!L12</f>
        <v>5</v>
      </c>
      <c r="K34" s="124">
        <f>'Montagem - Reguladores'!M12</f>
        <v>4</v>
      </c>
      <c r="L34" s="123">
        <f>'Montagem - Reguladores'!N12</f>
        <v>0</v>
      </c>
      <c r="M34" s="124">
        <f>'Montagem - Reguladores'!O12</f>
        <v>0</v>
      </c>
      <c r="N34" s="123">
        <f>'Montagem - Reguladores'!P12</f>
        <v>10</v>
      </c>
      <c r="O34" s="124">
        <f>'Montagem - Reguladores'!Q12</f>
        <v>4</v>
      </c>
      <c r="P34" s="123">
        <f>'Montagem - Reguladores'!R12</f>
        <v>5</v>
      </c>
      <c r="Q34" s="124">
        <f>'Montagem - Reguladores'!S12</f>
        <v>3</v>
      </c>
      <c r="R34" s="123">
        <f>'Montagem - Reguladores'!T12</f>
        <v>7</v>
      </c>
      <c r="S34" s="124">
        <f>'Montagem - Reguladores'!U12</f>
        <v>4</v>
      </c>
      <c r="T34" s="123">
        <f>'Montagem - Reguladores'!V12</f>
        <v>7</v>
      </c>
      <c r="U34" s="124">
        <f>'Montagem - Reguladores'!W12</f>
        <v>12</v>
      </c>
      <c r="V34" s="123">
        <f>'Montagem - Reguladores'!X12</f>
        <v>8</v>
      </c>
      <c r="W34" s="124">
        <f>'Montagem - Reguladores'!Y12</f>
        <v>13</v>
      </c>
      <c r="X34" s="123">
        <f>'Montagem - Reguladores'!Z12</f>
        <v>12</v>
      </c>
      <c r="Y34" s="124">
        <f>'Montagem - Reguladores'!AA12</f>
        <v>14</v>
      </c>
      <c r="Z34" s="123">
        <f>'Montagem - Reguladores'!AB12</f>
        <v>5</v>
      </c>
      <c r="AA34" s="124">
        <f>'Montagem - Reguladores'!AC12</f>
        <v>5</v>
      </c>
      <c r="AB34" s="123">
        <f>'Montagem - Reguladores'!AD12</f>
        <v>2</v>
      </c>
      <c r="AC34" s="124">
        <f>'Montagem - Reguladores'!AE12</f>
        <v>3</v>
      </c>
      <c r="AD34" s="123">
        <f>'Montagem - Reguladores'!AF12</f>
        <v>8</v>
      </c>
      <c r="AE34" s="124">
        <f>'Montagem - Reguladores'!AG12</f>
        <v>6</v>
      </c>
      <c r="AF34" s="123">
        <f>'Montagem - Reguladores'!AH12</f>
        <v>8</v>
      </c>
      <c r="AG34" s="124">
        <f>'Montagem - Reguladores'!AI12</f>
        <v>15</v>
      </c>
      <c r="AH34" s="123">
        <f>'Montagem - Reguladores'!AJ12</f>
        <v>17</v>
      </c>
      <c r="AI34" s="124">
        <f>'Montagem - Reguladores'!AK12</f>
        <v>21</v>
      </c>
      <c r="AJ34" s="123">
        <f>'Montagem - Reguladores'!AL12</f>
        <v>6</v>
      </c>
      <c r="AK34" s="124">
        <f>'Montagem - Reguladores'!AM12</f>
        <v>12</v>
      </c>
      <c r="AL34" s="123">
        <f>'Montagem - Reguladores'!AN12</f>
        <v>0</v>
      </c>
      <c r="AM34" s="124">
        <f>'Montagem - Reguladores'!AO12</f>
        <v>0</v>
      </c>
    </row>
    <row r="35" spans="1:39" s="62" customFormat="1" ht="15.75" outlineLevel="2" thickBot="1" x14ac:dyDescent="0.3">
      <c r="A35" s="151" t="s">
        <v>3386</v>
      </c>
      <c r="B35" s="123">
        <f>'Montagem - Reguladores'!D13</f>
        <v>11</v>
      </c>
      <c r="C35" s="124">
        <f>'Montagem - Reguladores'!E13</f>
        <v>14</v>
      </c>
      <c r="D35" s="123">
        <f>'Montagem - Reguladores'!F13</f>
        <v>13</v>
      </c>
      <c r="E35" s="124">
        <f>'Montagem - Reguladores'!G13</f>
        <v>25</v>
      </c>
      <c r="F35" s="123">
        <f>'Montagem - Reguladores'!H13</f>
        <v>6</v>
      </c>
      <c r="G35" s="124">
        <f>'Montagem - Reguladores'!I13</f>
        <v>8</v>
      </c>
      <c r="H35" s="123">
        <f>'Montagem - Reguladores'!J13</f>
        <v>6</v>
      </c>
      <c r="I35" s="124">
        <f>'Montagem - Reguladores'!K13</f>
        <v>12</v>
      </c>
      <c r="J35" s="123">
        <f>'Montagem - Reguladores'!L13</f>
        <v>8</v>
      </c>
      <c r="K35" s="124">
        <f>'Montagem - Reguladores'!M13</f>
        <v>12</v>
      </c>
      <c r="L35" s="123">
        <f>'Montagem - Reguladores'!N13</f>
        <v>0</v>
      </c>
      <c r="M35" s="124">
        <f>'Montagem - Reguladores'!O13</f>
        <v>0</v>
      </c>
      <c r="N35" s="123">
        <f>'Montagem - Reguladores'!P13</f>
        <v>3</v>
      </c>
      <c r="O35" s="124">
        <f>'Montagem - Reguladores'!Q13</f>
        <v>7</v>
      </c>
      <c r="P35" s="123">
        <f>'Montagem - Reguladores'!R13</f>
        <v>3</v>
      </c>
      <c r="Q35" s="124">
        <f>'Montagem - Reguladores'!S13</f>
        <v>5</v>
      </c>
      <c r="R35" s="123">
        <f>'Montagem - Reguladores'!T13</f>
        <v>7</v>
      </c>
      <c r="S35" s="124">
        <f>'Montagem - Reguladores'!U13</f>
        <v>12</v>
      </c>
      <c r="T35" s="123">
        <f>'Montagem - Reguladores'!V13</f>
        <v>10</v>
      </c>
      <c r="U35" s="124">
        <f>'Montagem - Reguladores'!W13</f>
        <v>12</v>
      </c>
      <c r="V35" s="123">
        <f>'Montagem - Reguladores'!X13</f>
        <v>6</v>
      </c>
      <c r="W35" s="124">
        <f>'Montagem - Reguladores'!Y13</f>
        <v>13</v>
      </c>
      <c r="X35" s="123">
        <f>'Montagem - Reguladores'!Z13</f>
        <v>8</v>
      </c>
      <c r="Y35" s="124">
        <f>'Montagem - Reguladores'!AA13</f>
        <v>15</v>
      </c>
      <c r="Z35" s="123">
        <f>'Montagem - Reguladores'!AB13</f>
        <v>4</v>
      </c>
      <c r="AA35" s="124">
        <f>'Montagem - Reguladores'!AC13</f>
        <v>9</v>
      </c>
      <c r="AB35" s="123">
        <f>'Montagem - Reguladores'!AD13</f>
        <v>5</v>
      </c>
      <c r="AC35" s="124">
        <f>'Montagem - Reguladores'!AE13</f>
        <v>8</v>
      </c>
      <c r="AD35" s="123">
        <f>'Montagem - Reguladores'!AF13</f>
        <v>4</v>
      </c>
      <c r="AE35" s="124">
        <f>'Montagem - Reguladores'!AG13</f>
        <v>12</v>
      </c>
      <c r="AF35" s="123">
        <f>'Montagem - Reguladores'!AH13</f>
        <v>3</v>
      </c>
      <c r="AG35" s="124">
        <f>'Montagem - Reguladores'!AI13</f>
        <v>5</v>
      </c>
      <c r="AH35" s="123">
        <f>'Montagem - Reguladores'!AJ13</f>
        <v>3</v>
      </c>
      <c r="AI35" s="124">
        <f>'Montagem - Reguladores'!AK13</f>
        <v>10</v>
      </c>
      <c r="AJ35" s="123">
        <f>'Montagem - Reguladores'!AL13</f>
        <v>5</v>
      </c>
      <c r="AK35" s="124">
        <f>'Montagem - Reguladores'!AM13</f>
        <v>4</v>
      </c>
      <c r="AL35" s="123">
        <f>'Montagem - Reguladores'!AN13</f>
        <v>0</v>
      </c>
      <c r="AM35" s="124">
        <f>'Montagem - Reguladores'!AO13</f>
        <v>0</v>
      </c>
    </row>
    <row r="36" spans="1:39" s="130" customFormat="1" ht="15.75" outlineLevel="2" thickBot="1" x14ac:dyDescent="0.3">
      <c r="A36" s="131" t="s">
        <v>467</v>
      </c>
      <c r="B36" s="132">
        <f t="shared" ref="B36:AM36" si="55">SUM(B34:B35)</f>
        <v>36</v>
      </c>
      <c r="C36" s="133">
        <f t="shared" si="55"/>
        <v>27</v>
      </c>
      <c r="D36" s="132">
        <f t="shared" si="55"/>
        <v>27</v>
      </c>
      <c r="E36" s="133">
        <f t="shared" si="55"/>
        <v>46</v>
      </c>
      <c r="F36" s="132">
        <f t="shared" si="55"/>
        <v>11</v>
      </c>
      <c r="G36" s="133">
        <f t="shared" si="55"/>
        <v>16</v>
      </c>
      <c r="H36" s="132">
        <f t="shared" si="55"/>
        <v>14</v>
      </c>
      <c r="I36" s="133">
        <f t="shared" si="55"/>
        <v>21</v>
      </c>
      <c r="J36" s="132">
        <f t="shared" si="55"/>
        <v>13</v>
      </c>
      <c r="K36" s="133">
        <f t="shared" si="55"/>
        <v>16</v>
      </c>
      <c r="L36" s="132">
        <f t="shared" si="55"/>
        <v>0</v>
      </c>
      <c r="M36" s="133">
        <f t="shared" si="55"/>
        <v>0</v>
      </c>
      <c r="N36" s="132">
        <f t="shared" si="55"/>
        <v>13</v>
      </c>
      <c r="O36" s="133">
        <f t="shared" si="55"/>
        <v>11</v>
      </c>
      <c r="P36" s="132">
        <f t="shared" si="55"/>
        <v>8</v>
      </c>
      <c r="Q36" s="133">
        <f t="shared" si="55"/>
        <v>8</v>
      </c>
      <c r="R36" s="132">
        <f t="shared" si="55"/>
        <v>14</v>
      </c>
      <c r="S36" s="133">
        <f t="shared" si="55"/>
        <v>16</v>
      </c>
      <c r="T36" s="132">
        <f t="shared" si="55"/>
        <v>17</v>
      </c>
      <c r="U36" s="133">
        <f t="shared" si="55"/>
        <v>24</v>
      </c>
      <c r="V36" s="132">
        <f t="shared" si="55"/>
        <v>14</v>
      </c>
      <c r="W36" s="133">
        <f t="shared" si="55"/>
        <v>26</v>
      </c>
      <c r="X36" s="132">
        <f t="shared" si="55"/>
        <v>20</v>
      </c>
      <c r="Y36" s="133">
        <f t="shared" si="55"/>
        <v>29</v>
      </c>
      <c r="Z36" s="132">
        <f t="shared" si="55"/>
        <v>9</v>
      </c>
      <c r="AA36" s="133">
        <f t="shared" si="55"/>
        <v>14</v>
      </c>
      <c r="AB36" s="132">
        <f t="shared" si="55"/>
        <v>7</v>
      </c>
      <c r="AC36" s="133">
        <f t="shared" si="55"/>
        <v>11</v>
      </c>
      <c r="AD36" s="132">
        <f t="shared" si="55"/>
        <v>12</v>
      </c>
      <c r="AE36" s="133">
        <f t="shared" si="55"/>
        <v>18</v>
      </c>
      <c r="AF36" s="132">
        <f t="shared" si="55"/>
        <v>11</v>
      </c>
      <c r="AG36" s="133">
        <f t="shared" si="55"/>
        <v>20</v>
      </c>
      <c r="AH36" s="132">
        <f t="shared" si="55"/>
        <v>20</v>
      </c>
      <c r="AI36" s="133">
        <f t="shared" si="55"/>
        <v>31</v>
      </c>
      <c r="AJ36" s="132">
        <f t="shared" si="55"/>
        <v>11</v>
      </c>
      <c r="AK36" s="133">
        <f t="shared" si="55"/>
        <v>16</v>
      </c>
      <c r="AL36" s="132">
        <f t="shared" si="55"/>
        <v>0</v>
      </c>
      <c r="AM36" s="133">
        <f t="shared" si="55"/>
        <v>0</v>
      </c>
    </row>
    <row r="37" spans="1:39" ht="15.75" thickBot="1" x14ac:dyDescent="0.3"/>
    <row r="38" spans="1:39" s="62" customFormat="1" ht="21" outlineLevel="2" x14ac:dyDescent="0.35">
      <c r="A38" s="71" t="s">
        <v>3404</v>
      </c>
      <c r="B38" s="222" t="s">
        <v>3372</v>
      </c>
      <c r="C38" s="223"/>
      <c r="D38" s="222" t="s">
        <v>3373</v>
      </c>
      <c r="E38" s="223"/>
      <c r="F38" s="201" t="s">
        <v>3374</v>
      </c>
      <c r="G38" s="202"/>
      <c r="H38" s="222" t="s">
        <v>3370</v>
      </c>
      <c r="I38" s="223"/>
      <c r="J38" s="222" t="s">
        <v>3371</v>
      </c>
      <c r="K38" s="223"/>
      <c r="L38" s="222" t="s">
        <v>3375</v>
      </c>
      <c r="M38" s="223"/>
      <c r="N38" s="222" t="s">
        <v>3367</v>
      </c>
      <c r="O38" s="223"/>
      <c r="P38" s="222" t="s">
        <v>3368</v>
      </c>
      <c r="Q38" s="223"/>
      <c r="R38" s="222" t="s">
        <v>3369</v>
      </c>
      <c r="S38" s="223"/>
      <c r="T38" s="201" t="s">
        <v>3358</v>
      </c>
      <c r="U38" s="202"/>
      <c r="V38" s="222" t="s">
        <v>3363</v>
      </c>
      <c r="W38" s="223"/>
      <c r="X38" s="222" t="s">
        <v>3361</v>
      </c>
      <c r="Y38" s="223"/>
      <c r="Z38" s="222" t="s">
        <v>3359</v>
      </c>
      <c r="AA38" s="223"/>
      <c r="AB38" s="222" t="s">
        <v>3366</v>
      </c>
      <c r="AC38" s="223"/>
      <c r="AD38" s="201" t="s">
        <v>3364</v>
      </c>
      <c r="AE38" s="202"/>
      <c r="AF38" s="222" t="s">
        <v>3360</v>
      </c>
      <c r="AG38" s="223"/>
      <c r="AH38" s="222" t="s">
        <v>3362</v>
      </c>
      <c r="AI38" s="223"/>
      <c r="AJ38" s="222" t="s">
        <v>3365</v>
      </c>
      <c r="AK38" s="223"/>
      <c r="AL38" s="201" t="s">
        <v>3491</v>
      </c>
      <c r="AM38" s="202"/>
    </row>
    <row r="39" spans="1:39" s="62" customFormat="1" ht="15.75" outlineLevel="2" thickBot="1" x14ac:dyDescent="0.3">
      <c r="A39" s="59" t="s">
        <v>3393</v>
      </c>
      <c r="B39" s="101" t="s">
        <v>3487</v>
      </c>
      <c r="C39" s="102" t="s">
        <v>3353</v>
      </c>
      <c r="D39" s="101" t="s">
        <v>3487</v>
      </c>
      <c r="E39" s="102" t="s">
        <v>3353</v>
      </c>
      <c r="F39" s="101" t="s">
        <v>3487</v>
      </c>
      <c r="G39" s="102" t="s">
        <v>3353</v>
      </c>
      <c r="H39" s="101" t="s">
        <v>3487</v>
      </c>
      <c r="I39" s="102" t="s">
        <v>3353</v>
      </c>
      <c r="J39" s="101" t="s">
        <v>3487</v>
      </c>
      <c r="K39" s="102" t="s">
        <v>3353</v>
      </c>
      <c r="L39" s="101" t="s">
        <v>3487</v>
      </c>
      <c r="M39" s="102" t="s">
        <v>3353</v>
      </c>
      <c r="N39" s="101" t="s">
        <v>3487</v>
      </c>
      <c r="O39" s="102" t="s">
        <v>3353</v>
      </c>
      <c r="P39" s="101" t="s">
        <v>3487</v>
      </c>
      <c r="Q39" s="102" t="s">
        <v>3353</v>
      </c>
      <c r="R39" s="101" t="s">
        <v>3487</v>
      </c>
      <c r="S39" s="102" t="s">
        <v>3353</v>
      </c>
      <c r="T39" s="101" t="s">
        <v>3487</v>
      </c>
      <c r="U39" s="102" t="s">
        <v>3353</v>
      </c>
      <c r="V39" s="101" t="s">
        <v>3487</v>
      </c>
      <c r="W39" s="102" t="s">
        <v>3353</v>
      </c>
      <c r="X39" s="101" t="s">
        <v>3487</v>
      </c>
      <c r="Y39" s="102" t="s">
        <v>3353</v>
      </c>
      <c r="Z39" s="101" t="s">
        <v>3487</v>
      </c>
      <c r="AA39" s="102" t="s">
        <v>3353</v>
      </c>
      <c r="AB39" s="101" t="s">
        <v>3487</v>
      </c>
      <c r="AC39" s="102" t="s">
        <v>3353</v>
      </c>
      <c r="AD39" s="101" t="s">
        <v>3487</v>
      </c>
      <c r="AE39" s="102" t="s">
        <v>3353</v>
      </c>
      <c r="AF39" s="101" t="s">
        <v>3487</v>
      </c>
      <c r="AG39" s="102" t="s">
        <v>3353</v>
      </c>
      <c r="AH39" s="101" t="s">
        <v>3487</v>
      </c>
      <c r="AI39" s="102" t="s">
        <v>3353</v>
      </c>
      <c r="AJ39" s="101" t="s">
        <v>3487</v>
      </c>
      <c r="AK39" s="102" t="s">
        <v>3353</v>
      </c>
      <c r="AL39" s="101" t="s">
        <v>3487</v>
      </c>
      <c r="AM39" s="102" t="s">
        <v>3353</v>
      </c>
    </row>
    <row r="40" spans="1:39" s="62" customFormat="1" ht="15.75" outlineLevel="2" thickBot="1" x14ac:dyDescent="0.3">
      <c r="A40" s="122" t="s">
        <v>3488</v>
      </c>
      <c r="B40" s="123">
        <f>'Pintura - Reguladores'!D12</f>
        <v>0</v>
      </c>
      <c r="C40" s="124">
        <f>'Pintura - Reguladores'!E12</f>
        <v>0</v>
      </c>
      <c r="D40" s="123">
        <f>'Pintura - Reguladores'!F12</f>
        <v>0</v>
      </c>
      <c r="E40" s="124">
        <f>'Pintura - Reguladores'!G12</f>
        <v>0</v>
      </c>
      <c r="F40" s="123">
        <f>'Pintura - Reguladores'!H12</f>
        <v>1</v>
      </c>
      <c r="G40" s="124">
        <f>'Pintura - Reguladores'!I12</f>
        <v>0</v>
      </c>
      <c r="H40" s="123">
        <f>'Pintura - Reguladores'!J12</f>
        <v>0</v>
      </c>
      <c r="I40" s="124">
        <f>'Pintura - Reguladores'!K12</f>
        <v>0</v>
      </c>
      <c r="J40" s="123">
        <f>'Pintura - Reguladores'!L12</f>
        <v>0</v>
      </c>
      <c r="K40" s="124">
        <f>'Pintura - Reguladores'!M12</f>
        <v>0</v>
      </c>
      <c r="L40" s="123">
        <f>'Pintura - Reguladores'!N12</f>
        <v>0</v>
      </c>
      <c r="M40" s="124">
        <f>'Pintura - Reguladores'!O12</f>
        <v>0</v>
      </c>
      <c r="N40" s="123">
        <f>'Pintura - Reguladores'!P12</f>
        <v>0</v>
      </c>
      <c r="O40" s="124">
        <f>'Pintura - Reguladores'!Q12</f>
        <v>0</v>
      </c>
      <c r="P40" s="123">
        <f>'Pintura - Reguladores'!R12</f>
        <v>0</v>
      </c>
      <c r="Q40" s="124">
        <f>'Pintura - Reguladores'!S12</f>
        <v>0</v>
      </c>
      <c r="R40" s="123">
        <f>'Pintura - Reguladores'!T12</f>
        <v>0</v>
      </c>
      <c r="S40" s="124">
        <f>'Pintura - Reguladores'!U12</f>
        <v>0</v>
      </c>
      <c r="T40" s="123">
        <f>'Pintura - Reguladores'!V12</f>
        <v>0</v>
      </c>
      <c r="U40" s="124">
        <f>'Pintura - Reguladores'!W12</f>
        <v>0</v>
      </c>
      <c r="V40" s="123">
        <f>'Pintura - Reguladores'!X12</f>
        <v>0</v>
      </c>
      <c r="W40" s="124">
        <f>'Pintura - Reguladores'!Y12</f>
        <v>0</v>
      </c>
      <c r="X40" s="123">
        <f>'Pintura - Reguladores'!Z12</f>
        <v>0</v>
      </c>
      <c r="Y40" s="124">
        <f>'Pintura - Reguladores'!AA12</f>
        <v>0</v>
      </c>
      <c r="Z40" s="123">
        <f>'Pintura - Reguladores'!AB12</f>
        <v>0</v>
      </c>
      <c r="AA40" s="124">
        <f>'Pintura - Reguladores'!AC12</f>
        <v>0</v>
      </c>
      <c r="AB40" s="123">
        <f>'Pintura - Reguladores'!AD12</f>
        <v>0</v>
      </c>
      <c r="AC40" s="124">
        <f>'Pintura - Reguladores'!AE12</f>
        <v>0</v>
      </c>
      <c r="AD40" s="123">
        <f>'Pintura - Reguladores'!AF12</f>
        <v>0</v>
      </c>
      <c r="AE40" s="124">
        <f>'Pintura - Reguladores'!AG12</f>
        <v>0</v>
      </c>
      <c r="AF40" s="123">
        <f>'Pintura - Reguladores'!AH12</f>
        <v>0</v>
      </c>
      <c r="AG40" s="124">
        <f>'Pintura - Reguladores'!AI12</f>
        <v>0</v>
      </c>
      <c r="AH40" s="123">
        <f>'Pintura - Reguladores'!AJ12</f>
        <v>0</v>
      </c>
      <c r="AI40" s="124">
        <f>'Pintura - Reguladores'!AK12</f>
        <v>0</v>
      </c>
      <c r="AJ40" s="123">
        <f>'Pintura - Reguladores'!AL12</f>
        <v>0</v>
      </c>
      <c r="AK40" s="124">
        <f>'Pintura - Reguladores'!AM12</f>
        <v>0</v>
      </c>
      <c r="AL40" s="123">
        <f>'Pintura - Reguladores'!AN12</f>
        <v>0</v>
      </c>
      <c r="AM40" s="124">
        <f>'Pintura - Reguladores'!AO12</f>
        <v>0</v>
      </c>
    </row>
    <row r="41" spans="1:39" s="62" customFormat="1" ht="15.75" outlineLevel="2" thickBot="1" x14ac:dyDescent="0.3">
      <c r="A41" s="122" t="s">
        <v>3489</v>
      </c>
      <c r="B41" s="123">
        <f>'Pintura - Reguladores'!D13</f>
        <v>28</v>
      </c>
      <c r="C41" s="124">
        <f>'Pintura - Reguladores'!E13</f>
        <v>22</v>
      </c>
      <c r="D41" s="123">
        <f>'Pintura - Reguladores'!F13</f>
        <v>17</v>
      </c>
      <c r="E41" s="124">
        <f>'Pintura - Reguladores'!G13</f>
        <v>18</v>
      </c>
      <c r="F41" s="123">
        <f>'Pintura - Reguladores'!H13</f>
        <v>8</v>
      </c>
      <c r="G41" s="124">
        <f>'Pintura - Reguladores'!I13</f>
        <v>11</v>
      </c>
      <c r="H41" s="123">
        <f>'Pintura - Reguladores'!J13</f>
        <v>12</v>
      </c>
      <c r="I41" s="124">
        <f>'Pintura - Reguladores'!K13</f>
        <v>15</v>
      </c>
      <c r="J41" s="123">
        <f>'Pintura - Reguladores'!L13</f>
        <v>5</v>
      </c>
      <c r="K41" s="124">
        <f>'Pintura - Reguladores'!M13</f>
        <v>9</v>
      </c>
      <c r="L41" s="123">
        <f>'Pintura - Reguladores'!N13</f>
        <v>1</v>
      </c>
      <c r="M41" s="124">
        <f>'Pintura - Reguladores'!O13</f>
        <v>3</v>
      </c>
      <c r="N41" s="123">
        <f>'Pintura - Reguladores'!P13</f>
        <v>10</v>
      </c>
      <c r="O41" s="124">
        <f>'Pintura - Reguladores'!Q13</f>
        <v>21</v>
      </c>
      <c r="P41" s="123">
        <f>'Pintura - Reguladores'!R13</f>
        <v>5</v>
      </c>
      <c r="Q41" s="124">
        <f>'Pintura - Reguladores'!S13</f>
        <v>5</v>
      </c>
      <c r="R41" s="123">
        <f>'Pintura - Reguladores'!T13</f>
        <v>9</v>
      </c>
      <c r="S41" s="124">
        <f>'Pintura - Reguladores'!U13</f>
        <v>14</v>
      </c>
      <c r="T41" s="123">
        <f>'Pintura - Reguladores'!V13</f>
        <v>6</v>
      </c>
      <c r="U41" s="124">
        <f>'Pintura - Reguladores'!W13</f>
        <v>10</v>
      </c>
      <c r="V41" s="123">
        <f>'Pintura - Reguladores'!X13</f>
        <v>6</v>
      </c>
      <c r="W41" s="124">
        <f>'Pintura - Reguladores'!Y13</f>
        <v>11</v>
      </c>
      <c r="X41" s="123">
        <f>'Pintura - Reguladores'!Z13</f>
        <v>6</v>
      </c>
      <c r="Y41" s="124">
        <f>'Pintura - Reguladores'!AA13</f>
        <v>4</v>
      </c>
      <c r="Z41" s="123">
        <f>'Pintura - Reguladores'!AB13</f>
        <v>8</v>
      </c>
      <c r="AA41" s="124">
        <f>'Pintura - Reguladores'!AC13</f>
        <v>15</v>
      </c>
      <c r="AB41" s="123">
        <f>'Pintura - Reguladores'!AD13</f>
        <v>4</v>
      </c>
      <c r="AC41" s="124">
        <f>'Pintura - Reguladores'!AE13</f>
        <v>7</v>
      </c>
      <c r="AD41" s="123">
        <f>'Pintura - Reguladores'!AF13</f>
        <v>9</v>
      </c>
      <c r="AE41" s="124">
        <f>'Pintura - Reguladores'!AG13</f>
        <v>15</v>
      </c>
      <c r="AF41" s="123">
        <f>'Pintura - Reguladores'!AH13</f>
        <v>9</v>
      </c>
      <c r="AG41" s="124">
        <f>'Pintura - Reguladores'!AI13</f>
        <v>18</v>
      </c>
      <c r="AH41" s="123">
        <f>'Pintura - Reguladores'!AJ13</f>
        <v>9</v>
      </c>
      <c r="AI41" s="124">
        <f>'Pintura - Reguladores'!AK13</f>
        <v>6</v>
      </c>
      <c r="AJ41" s="123">
        <f>'Pintura - Reguladores'!AL13</f>
        <v>7</v>
      </c>
      <c r="AK41" s="124">
        <f>'Pintura - Reguladores'!AM13</f>
        <v>6</v>
      </c>
      <c r="AL41" s="123">
        <f>'Pintura - Reguladores'!AN13</f>
        <v>0</v>
      </c>
      <c r="AM41" s="124">
        <f>'Pintura - Reguladores'!AO13</f>
        <v>0</v>
      </c>
    </row>
    <row r="42" spans="1:39" s="130" customFormat="1" ht="15.75" outlineLevel="2" thickBot="1" x14ac:dyDescent="0.3">
      <c r="A42" s="131" t="s">
        <v>467</v>
      </c>
      <c r="B42" s="132">
        <f t="shared" ref="B42:AM42" si="56">SUM(B40:B41)</f>
        <v>28</v>
      </c>
      <c r="C42" s="133">
        <f t="shared" si="56"/>
        <v>22</v>
      </c>
      <c r="D42" s="132">
        <f t="shared" si="56"/>
        <v>17</v>
      </c>
      <c r="E42" s="133">
        <f t="shared" si="56"/>
        <v>18</v>
      </c>
      <c r="F42" s="132">
        <f t="shared" si="56"/>
        <v>9</v>
      </c>
      <c r="G42" s="133">
        <f t="shared" si="56"/>
        <v>11</v>
      </c>
      <c r="H42" s="132">
        <f t="shared" si="56"/>
        <v>12</v>
      </c>
      <c r="I42" s="133">
        <f t="shared" si="56"/>
        <v>15</v>
      </c>
      <c r="J42" s="132">
        <f t="shared" si="56"/>
        <v>5</v>
      </c>
      <c r="K42" s="133">
        <f t="shared" si="56"/>
        <v>9</v>
      </c>
      <c r="L42" s="132">
        <f t="shared" si="56"/>
        <v>1</v>
      </c>
      <c r="M42" s="133">
        <f t="shared" si="56"/>
        <v>3</v>
      </c>
      <c r="N42" s="132">
        <f t="shared" si="56"/>
        <v>10</v>
      </c>
      <c r="O42" s="133">
        <f t="shared" si="56"/>
        <v>21</v>
      </c>
      <c r="P42" s="132">
        <f t="shared" si="56"/>
        <v>5</v>
      </c>
      <c r="Q42" s="133">
        <f t="shared" si="56"/>
        <v>5</v>
      </c>
      <c r="R42" s="132">
        <f t="shared" si="56"/>
        <v>9</v>
      </c>
      <c r="S42" s="133">
        <f t="shared" si="56"/>
        <v>14</v>
      </c>
      <c r="T42" s="132">
        <f t="shared" si="56"/>
        <v>6</v>
      </c>
      <c r="U42" s="133">
        <f t="shared" si="56"/>
        <v>10</v>
      </c>
      <c r="V42" s="132">
        <f t="shared" si="56"/>
        <v>6</v>
      </c>
      <c r="W42" s="133">
        <f t="shared" si="56"/>
        <v>11</v>
      </c>
      <c r="X42" s="132">
        <f t="shared" si="56"/>
        <v>6</v>
      </c>
      <c r="Y42" s="133">
        <f t="shared" si="56"/>
        <v>4</v>
      </c>
      <c r="Z42" s="132">
        <f t="shared" si="56"/>
        <v>8</v>
      </c>
      <c r="AA42" s="133">
        <f t="shared" si="56"/>
        <v>15</v>
      </c>
      <c r="AB42" s="132">
        <f t="shared" si="56"/>
        <v>4</v>
      </c>
      <c r="AC42" s="133">
        <f t="shared" si="56"/>
        <v>7</v>
      </c>
      <c r="AD42" s="132">
        <f t="shared" si="56"/>
        <v>9</v>
      </c>
      <c r="AE42" s="133">
        <f t="shared" si="56"/>
        <v>15</v>
      </c>
      <c r="AF42" s="132">
        <f t="shared" si="56"/>
        <v>9</v>
      </c>
      <c r="AG42" s="133">
        <f t="shared" si="56"/>
        <v>18</v>
      </c>
      <c r="AH42" s="132">
        <f t="shared" si="56"/>
        <v>9</v>
      </c>
      <c r="AI42" s="133">
        <f t="shared" si="56"/>
        <v>6</v>
      </c>
      <c r="AJ42" s="132">
        <f t="shared" si="56"/>
        <v>7</v>
      </c>
      <c r="AK42" s="133">
        <f t="shared" si="56"/>
        <v>6</v>
      </c>
      <c r="AL42" s="132">
        <f t="shared" si="56"/>
        <v>0</v>
      </c>
      <c r="AM42" s="133">
        <f t="shared" si="56"/>
        <v>0</v>
      </c>
    </row>
  </sheetData>
  <mergeCells count="327">
    <mergeCell ref="AJ38:AK38"/>
    <mergeCell ref="AL38:AM38"/>
    <mergeCell ref="AF26:AG26"/>
    <mergeCell ref="AH26:AI26"/>
    <mergeCell ref="AJ26:AK26"/>
    <mergeCell ref="AL26:AM26"/>
    <mergeCell ref="AJ3:AK3"/>
    <mergeCell ref="AL3:AM3"/>
    <mergeCell ref="Z3:AA3"/>
    <mergeCell ref="AB3:AC3"/>
    <mergeCell ref="AD3:AE3"/>
    <mergeCell ref="AF3:AG3"/>
    <mergeCell ref="AH3:AI3"/>
    <mergeCell ref="AJ4:AK4"/>
    <mergeCell ref="AL4:AM4"/>
    <mergeCell ref="AD38:AE38"/>
    <mergeCell ref="AF38:AG38"/>
    <mergeCell ref="AH38:AI38"/>
    <mergeCell ref="AD4:AE4"/>
    <mergeCell ref="AF4:AG4"/>
    <mergeCell ref="AH4:AI4"/>
    <mergeCell ref="Z4:AA4"/>
    <mergeCell ref="AB4:AC4"/>
    <mergeCell ref="AD15:AE15"/>
    <mergeCell ref="B4:C4"/>
    <mergeCell ref="D4:E4"/>
    <mergeCell ref="F4:G4"/>
    <mergeCell ref="H4:I4"/>
    <mergeCell ref="J4:K4"/>
    <mergeCell ref="L4:M4"/>
    <mergeCell ref="N4:O4"/>
    <mergeCell ref="P4:Q4"/>
    <mergeCell ref="X3:Y3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R4:S4"/>
    <mergeCell ref="T4:U4"/>
    <mergeCell ref="V4:W4"/>
    <mergeCell ref="X4:Y4"/>
    <mergeCell ref="F38:G38"/>
    <mergeCell ref="H38:I38"/>
    <mergeCell ref="J38:K38"/>
    <mergeCell ref="L38:M38"/>
    <mergeCell ref="J22:K22"/>
    <mergeCell ref="Z38:AA38"/>
    <mergeCell ref="AB38:AC38"/>
    <mergeCell ref="B26:C26"/>
    <mergeCell ref="D26:E26"/>
    <mergeCell ref="D32:E32"/>
    <mergeCell ref="F32:G32"/>
    <mergeCell ref="H32:I32"/>
    <mergeCell ref="J32:K32"/>
    <mergeCell ref="T22:U22"/>
    <mergeCell ref="V22:W22"/>
    <mergeCell ref="X22:Y22"/>
    <mergeCell ref="X26:Y26"/>
    <mergeCell ref="Z26:AA26"/>
    <mergeCell ref="AB26:AC26"/>
    <mergeCell ref="N38:O38"/>
    <mergeCell ref="P38:Q38"/>
    <mergeCell ref="R38:S38"/>
    <mergeCell ref="T38:U38"/>
    <mergeCell ref="V38:W38"/>
    <mergeCell ref="Z32:AA32"/>
    <mergeCell ref="AB32:AC32"/>
    <mergeCell ref="AD32:AE32"/>
    <mergeCell ref="AF32:AG32"/>
    <mergeCell ref="AH32:AI32"/>
    <mergeCell ref="B22:C22"/>
    <mergeCell ref="X32:Y32"/>
    <mergeCell ref="L32:M32"/>
    <mergeCell ref="N32:O32"/>
    <mergeCell ref="P32:Q32"/>
    <mergeCell ref="R32:S32"/>
    <mergeCell ref="T32:U32"/>
    <mergeCell ref="V32:W32"/>
    <mergeCell ref="H22:I22"/>
    <mergeCell ref="N22:O22"/>
    <mergeCell ref="P22:Q22"/>
    <mergeCell ref="R22:S22"/>
    <mergeCell ref="N26:O26"/>
    <mergeCell ref="P26:Q26"/>
    <mergeCell ref="AD26:AE26"/>
    <mergeCell ref="X38:Y38"/>
    <mergeCell ref="B32:C32"/>
    <mergeCell ref="B25:AM25"/>
    <mergeCell ref="D22:E22"/>
    <mergeCell ref="F22:G22"/>
    <mergeCell ref="AJ32:AK32"/>
    <mergeCell ref="AL32:AM32"/>
    <mergeCell ref="AJ22:AK22"/>
    <mergeCell ref="B38:C38"/>
    <mergeCell ref="D38:E38"/>
    <mergeCell ref="Z22:AA22"/>
    <mergeCell ref="AF22:AG22"/>
    <mergeCell ref="AH22:AI22"/>
    <mergeCell ref="AL22:AM22"/>
    <mergeCell ref="AB22:AC22"/>
    <mergeCell ref="AD22:AE22"/>
    <mergeCell ref="T26:U26"/>
    <mergeCell ref="V26:W26"/>
    <mergeCell ref="F26:G26"/>
    <mergeCell ref="H26:I26"/>
    <mergeCell ref="J26:K26"/>
    <mergeCell ref="L26:M26"/>
    <mergeCell ref="R26:S26"/>
    <mergeCell ref="L22:M22"/>
    <mergeCell ref="P14:Q14"/>
    <mergeCell ref="AD14:AE14"/>
    <mergeCell ref="AF14:AG14"/>
    <mergeCell ref="AL19:AM19"/>
    <mergeCell ref="Z19:AA19"/>
    <mergeCell ref="AB19:AC19"/>
    <mergeCell ref="AD19:AE19"/>
    <mergeCell ref="AF19:AG19"/>
    <mergeCell ref="AH19:AI19"/>
    <mergeCell ref="AJ19:AK19"/>
    <mergeCell ref="AD16:AE16"/>
    <mergeCell ref="AF16:AG16"/>
    <mergeCell ref="AH16:AI16"/>
    <mergeCell ref="AJ16:AK16"/>
    <mergeCell ref="AL16:AM16"/>
    <mergeCell ref="AH14:AI14"/>
    <mergeCell ref="AJ14:AK14"/>
    <mergeCell ref="AL14:AM14"/>
    <mergeCell ref="Z14:AA14"/>
    <mergeCell ref="AB14:AC14"/>
    <mergeCell ref="AJ15:AK15"/>
    <mergeCell ref="AL15:AM15"/>
    <mergeCell ref="Z15:AA15"/>
    <mergeCell ref="AB15:AC15"/>
    <mergeCell ref="J20:K20"/>
    <mergeCell ref="L20:M20"/>
    <mergeCell ref="B21:C21"/>
    <mergeCell ref="D21:E21"/>
    <mergeCell ref="F21:G21"/>
    <mergeCell ref="H21:I21"/>
    <mergeCell ref="AF21:AG21"/>
    <mergeCell ref="AH21:AI21"/>
    <mergeCell ref="X21:Y21"/>
    <mergeCell ref="P21:Q21"/>
    <mergeCell ref="R21:S21"/>
    <mergeCell ref="J21:K21"/>
    <mergeCell ref="L21:M21"/>
    <mergeCell ref="B20:C20"/>
    <mergeCell ref="D20:E20"/>
    <mergeCell ref="T15:U15"/>
    <mergeCell ref="V15:W15"/>
    <mergeCell ref="AJ21:AK21"/>
    <mergeCell ref="AL21:AM21"/>
    <mergeCell ref="AL20:AM20"/>
    <mergeCell ref="Z20:AA20"/>
    <mergeCell ref="AJ20:AK20"/>
    <mergeCell ref="AF20:AG20"/>
    <mergeCell ref="AH20:AI20"/>
    <mergeCell ref="T21:U21"/>
    <mergeCell ref="X19:Y19"/>
    <mergeCell ref="AB20:AC20"/>
    <mergeCell ref="AD20:AE20"/>
    <mergeCell ref="X20:Y20"/>
    <mergeCell ref="Z21:AA21"/>
    <mergeCell ref="AB21:AC21"/>
    <mergeCell ref="AD21:AE21"/>
    <mergeCell ref="R16:S16"/>
    <mergeCell ref="T16:U16"/>
    <mergeCell ref="V16:W16"/>
    <mergeCell ref="X16:Y16"/>
    <mergeCell ref="Z16:AA16"/>
    <mergeCell ref="AB16:AC16"/>
    <mergeCell ref="B16:C16"/>
    <mergeCell ref="D16:E16"/>
    <mergeCell ref="F16:G16"/>
    <mergeCell ref="H16:I16"/>
    <mergeCell ref="J16:K16"/>
    <mergeCell ref="B19:C19"/>
    <mergeCell ref="D19:E19"/>
    <mergeCell ref="F19:G19"/>
    <mergeCell ref="H19:I19"/>
    <mergeCell ref="F20:G20"/>
    <mergeCell ref="H20:I20"/>
    <mergeCell ref="N16:O16"/>
    <mergeCell ref="P16:Q16"/>
    <mergeCell ref="V21:W21"/>
    <mergeCell ref="J19:K19"/>
    <mergeCell ref="L19:M19"/>
    <mergeCell ref="N19:O19"/>
    <mergeCell ref="P19:Q19"/>
    <mergeCell ref="R19:S19"/>
    <mergeCell ref="T19:U19"/>
    <mergeCell ref="V19:W19"/>
    <mergeCell ref="N21:O21"/>
    <mergeCell ref="T20:U20"/>
    <mergeCell ref="V20:W20"/>
    <mergeCell ref="N20:O20"/>
    <mergeCell ref="P20:Q20"/>
    <mergeCell ref="R20:S20"/>
    <mergeCell ref="L16:M16"/>
    <mergeCell ref="B18:AM18"/>
    <mergeCell ref="B10:C10"/>
    <mergeCell ref="AF15:AG15"/>
    <mergeCell ref="AH15:AI15"/>
    <mergeCell ref="X15:Y15"/>
    <mergeCell ref="L15:M15"/>
    <mergeCell ref="N15:O15"/>
    <mergeCell ref="R14:S14"/>
    <mergeCell ref="T14:U14"/>
    <mergeCell ref="V14:W14"/>
    <mergeCell ref="X14:Y14"/>
    <mergeCell ref="B14:C14"/>
    <mergeCell ref="D14:E14"/>
    <mergeCell ref="F14:G14"/>
    <mergeCell ref="H14:I14"/>
    <mergeCell ref="J14:K14"/>
    <mergeCell ref="L14:M14"/>
    <mergeCell ref="N14:O14"/>
    <mergeCell ref="F15:G15"/>
    <mergeCell ref="H15:I15"/>
    <mergeCell ref="J15:K15"/>
    <mergeCell ref="B15:C15"/>
    <mergeCell ref="D15:E15"/>
    <mergeCell ref="P15:Q15"/>
    <mergeCell ref="R15:S15"/>
    <mergeCell ref="L13:M13"/>
    <mergeCell ref="N13:O13"/>
    <mergeCell ref="T10:U10"/>
    <mergeCell ref="V10:W10"/>
    <mergeCell ref="X10:Y10"/>
    <mergeCell ref="B12:AM12"/>
    <mergeCell ref="D10:E10"/>
    <mergeCell ref="F10:G10"/>
    <mergeCell ref="H10:I10"/>
    <mergeCell ref="J10:K10"/>
    <mergeCell ref="L10:M10"/>
    <mergeCell ref="B13:C13"/>
    <mergeCell ref="D13:E13"/>
    <mergeCell ref="F13:G13"/>
    <mergeCell ref="H13:I13"/>
    <mergeCell ref="J13:K13"/>
    <mergeCell ref="P13:Q13"/>
    <mergeCell ref="R13:S13"/>
    <mergeCell ref="T13:U13"/>
    <mergeCell ref="N10:O10"/>
    <mergeCell ref="P10:Q10"/>
    <mergeCell ref="R10:S10"/>
    <mergeCell ref="V13:W13"/>
    <mergeCell ref="AL10:AM10"/>
    <mergeCell ref="AJ13:AK13"/>
    <mergeCell ref="AL13:AM13"/>
    <mergeCell ref="Z13:AA13"/>
    <mergeCell ref="T9:U9"/>
    <mergeCell ref="V9:W9"/>
    <mergeCell ref="X9:Y9"/>
    <mergeCell ref="Z9:AA9"/>
    <mergeCell ref="Z10:AA10"/>
    <mergeCell ref="AF9:AG9"/>
    <mergeCell ref="AH9:AI9"/>
    <mergeCell ref="AJ9:AK9"/>
    <mergeCell ref="X13:Y13"/>
    <mergeCell ref="AL9:AM9"/>
    <mergeCell ref="AB9:AC9"/>
    <mergeCell ref="AD9:AE9"/>
    <mergeCell ref="AB10:AC10"/>
    <mergeCell ref="AD10:AE10"/>
    <mergeCell ref="AF10:AG10"/>
    <mergeCell ref="AH10:AI10"/>
    <mergeCell ref="AJ10:AK10"/>
    <mergeCell ref="AB13:AC13"/>
    <mergeCell ref="AD13:AE13"/>
    <mergeCell ref="AF13:AG13"/>
    <mergeCell ref="AH13:AI13"/>
    <mergeCell ref="AL8:AM8"/>
    <mergeCell ref="Z8:AA8"/>
    <mergeCell ref="AB8:AC8"/>
    <mergeCell ref="AD8:AE8"/>
    <mergeCell ref="AF8:AG8"/>
    <mergeCell ref="AH8:AI8"/>
    <mergeCell ref="AJ8:AK8"/>
    <mergeCell ref="N8:O8"/>
    <mergeCell ref="P8:Q8"/>
    <mergeCell ref="R8:S8"/>
    <mergeCell ref="T8:U8"/>
    <mergeCell ref="V8:W8"/>
    <mergeCell ref="X8:Y8"/>
    <mergeCell ref="B9:C9"/>
    <mergeCell ref="D9:E9"/>
    <mergeCell ref="F9:G9"/>
    <mergeCell ref="H9:I9"/>
    <mergeCell ref="J9:K9"/>
    <mergeCell ref="L9:M9"/>
    <mergeCell ref="N9:O9"/>
    <mergeCell ref="P9:Q9"/>
    <mergeCell ref="R9:S9"/>
    <mergeCell ref="B8:C8"/>
    <mergeCell ref="D8:E8"/>
    <mergeCell ref="F8:G8"/>
    <mergeCell ref="H8:I8"/>
    <mergeCell ref="J8:K8"/>
    <mergeCell ref="L8:M8"/>
    <mergeCell ref="T7:U7"/>
    <mergeCell ref="V7:W7"/>
    <mergeCell ref="X7:Y7"/>
    <mergeCell ref="B6:AM6"/>
    <mergeCell ref="B7:C7"/>
    <mergeCell ref="D7:E7"/>
    <mergeCell ref="F7:G7"/>
    <mergeCell ref="H7:I7"/>
    <mergeCell ref="J7:K7"/>
    <mergeCell ref="L7:M7"/>
    <mergeCell ref="N7:O7"/>
    <mergeCell ref="P7:Q7"/>
    <mergeCell ref="R7:S7"/>
    <mergeCell ref="AF7:AG7"/>
    <mergeCell ref="AH7:AI7"/>
    <mergeCell ref="AJ7:AK7"/>
    <mergeCell ref="AL7:AM7"/>
    <mergeCell ref="Z7:AA7"/>
    <mergeCell ref="AB7:AC7"/>
    <mergeCell ref="AD7:AE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C7126-7DEE-46D0-8540-BAE4AA55AD63}">
  <sheetPr codeName="Planilha10"/>
  <dimension ref="A1:AQ42"/>
  <sheetViews>
    <sheetView showGridLines="0" showZeros="0" zoomScale="130" zoomScaleNormal="130" workbookViewId="0">
      <pane xSplit="2" ySplit="7" topLeftCell="C28" activePane="bottomRight" state="frozen"/>
      <selection pane="topRight" activeCell="T8" sqref="T8:U8"/>
      <selection pane="bottomLeft" activeCell="T8" sqref="T8:U8"/>
      <selection pane="bottomRight" activeCell="C4" sqref="C4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customWidth="1" outlineLevel="1"/>
    <col min="8" max="21" width="8.7109375" style="62" customWidth="1" outlineLevel="1"/>
    <col min="22" max="22" width="8.7109375" style="62"/>
    <col min="23" max="41" width="8.7109375" style="62" customWidth="1" outlineLevel="1"/>
    <col min="42" max="16384" width="8.7109375" style="62"/>
  </cols>
  <sheetData>
    <row r="1" spans="1:43" ht="30" customHeight="1" x14ac:dyDescent="0.5">
      <c r="A1" s="62" t="s">
        <v>3484</v>
      </c>
      <c r="C1" s="117" t="s">
        <v>3429</v>
      </c>
    </row>
    <row r="2" spans="1:43" ht="21.75" thickBot="1" x14ac:dyDescent="0.4">
      <c r="C2" s="65" t="s">
        <v>3379</v>
      </c>
      <c r="D2" s="241" t="s">
        <v>3380</v>
      </c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</row>
    <row r="3" spans="1:43" s="90" customFormat="1" ht="15" customHeight="1" thickBot="1" x14ac:dyDescent="0.3">
      <c r="C3" s="118" t="s">
        <v>3381</v>
      </c>
      <c r="D3" s="211" t="s">
        <v>3372</v>
      </c>
      <c r="E3" s="212"/>
      <c r="F3" s="211" t="s">
        <v>3373</v>
      </c>
      <c r="G3" s="212"/>
      <c r="H3" s="213" t="s">
        <v>3374</v>
      </c>
      <c r="I3" s="214"/>
      <c r="J3" s="211" t="s">
        <v>3370</v>
      </c>
      <c r="K3" s="212"/>
      <c r="L3" s="211" t="s">
        <v>3371</v>
      </c>
      <c r="M3" s="212"/>
      <c r="N3" s="211" t="s">
        <v>3375</v>
      </c>
      <c r="O3" s="212"/>
      <c r="P3" s="211" t="s">
        <v>3367</v>
      </c>
      <c r="Q3" s="212"/>
      <c r="R3" s="211" t="s">
        <v>3368</v>
      </c>
      <c r="S3" s="212"/>
      <c r="T3" s="211" t="s">
        <v>3369</v>
      </c>
      <c r="U3" s="212"/>
      <c r="V3" s="213" t="s">
        <v>3358</v>
      </c>
      <c r="W3" s="214"/>
      <c r="X3" s="211" t="s">
        <v>3363</v>
      </c>
      <c r="Y3" s="212"/>
      <c r="Z3" s="211" t="s">
        <v>3361</v>
      </c>
      <c r="AA3" s="212"/>
      <c r="AB3" s="211" t="s">
        <v>3359</v>
      </c>
      <c r="AC3" s="212"/>
      <c r="AD3" s="211" t="s">
        <v>3366</v>
      </c>
      <c r="AE3" s="212"/>
      <c r="AF3" s="213" t="s">
        <v>3364</v>
      </c>
      <c r="AG3" s="214"/>
      <c r="AH3" s="211" t="s">
        <v>3360</v>
      </c>
      <c r="AI3" s="212"/>
      <c r="AJ3" s="211" t="s">
        <v>3362</v>
      </c>
      <c r="AK3" s="212"/>
      <c r="AL3" s="211" t="s">
        <v>3365</v>
      </c>
      <c r="AM3" s="212"/>
      <c r="AN3" s="201" t="s">
        <v>3486</v>
      </c>
      <c r="AO3" s="202"/>
      <c r="AP3" s="97" t="s">
        <v>3383</v>
      </c>
      <c r="AQ3" s="97" t="s">
        <v>3384</v>
      </c>
    </row>
    <row r="4" spans="1:43" s="90" customFormat="1" ht="15" customHeight="1" thickBot="1" x14ac:dyDescent="0.25">
      <c r="C4" s="158">
        <v>200</v>
      </c>
      <c r="D4" s="203">
        <f>SUM(D5:E6)</f>
        <v>0.5</v>
      </c>
      <c r="E4" s="203"/>
      <c r="F4" s="203">
        <f>SUM(F5:G6)</f>
        <v>0.72222222222222221</v>
      </c>
      <c r="G4" s="203"/>
      <c r="H4" s="203">
        <f>SUM(H5:I6)</f>
        <v>0.27777777777777779</v>
      </c>
      <c r="I4" s="203"/>
      <c r="J4" s="203">
        <f>SUM(J5:K6)</f>
        <v>0.27777777777777779</v>
      </c>
      <c r="K4" s="203"/>
      <c r="L4" s="203">
        <f>SUM(L5:M6)</f>
        <v>0.16666666666666666</v>
      </c>
      <c r="M4" s="203"/>
      <c r="N4" s="203">
        <f>SUM(N5:O6)</f>
        <v>5.5555555555555552E-2</v>
      </c>
      <c r="O4" s="203"/>
      <c r="P4" s="203">
        <f>SUM(P5:Q6)</f>
        <v>0.22222222222222221</v>
      </c>
      <c r="Q4" s="203"/>
      <c r="R4" s="203">
        <f>SUM(R5:S6)</f>
        <v>0</v>
      </c>
      <c r="S4" s="203"/>
      <c r="T4" s="203">
        <f>SUM(T5:U6)</f>
        <v>0.27777777777777779</v>
      </c>
      <c r="U4" s="203"/>
      <c r="V4" s="203">
        <f>SUM(V5:W6)</f>
        <v>0.1111111111111111</v>
      </c>
      <c r="W4" s="203"/>
      <c r="X4" s="203">
        <f>SUM(X5:Y6)</f>
        <v>0.27777777777777779</v>
      </c>
      <c r="Y4" s="203"/>
      <c r="Z4" s="203">
        <f>SUM(Z5:AA6)</f>
        <v>0.16666666666666666</v>
      </c>
      <c r="AA4" s="203"/>
      <c r="AB4" s="203">
        <f>SUM(AB5:AC6)</f>
        <v>0.16666666666666666</v>
      </c>
      <c r="AC4" s="203"/>
      <c r="AD4" s="203">
        <f>SUM(AD5:AE6)</f>
        <v>5.5555555555555552E-2</v>
      </c>
      <c r="AE4" s="203"/>
      <c r="AF4" s="203">
        <f>SUM(AF5:AG6)</f>
        <v>5.5555555555555552E-2</v>
      </c>
      <c r="AG4" s="203"/>
      <c r="AH4" s="203">
        <f>SUM(AH5:AI6)</f>
        <v>0.16666666666666666</v>
      </c>
      <c r="AI4" s="203"/>
      <c r="AJ4" s="203">
        <f>SUM(AJ5:AK6)</f>
        <v>0</v>
      </c>
      <c r="AK4" s="203"/>
      <c r="AL4" s="203">
        <f>SUM(AL5:AM6)</f>
        <v>5.5555555555555552E-2</v>
      </c>
      <c r="AM4" s="203"/>
      <c r="AN4" s="203"/>
      <c r="AO4" s="204"/>
      <c r="AP4" s="96">
        <f>AVERAGE(D4:AN4)</f>
        <v>0.1975308641975308</v>
      </c>
      <c r="AQ4" s="96">
        <f>ROUNDUP(AP4,0)</f>
        <v>1</v>
      </c>
    </row>
    <row r="5" spans="1:43" s="90" customFormat="1" x14ac:dyDescent="0.25">
      <c r="C5" s="122" t="s">
        <v>3389</v>
      </c>
      <c r="D5" s="205">
        <f>IFERROR(SUM(((E12)*$C$4)/3600)," ")</f>
        <v>0.27777777777777779</v>
      </c>
      <c r="E5" s="205"/>
      <c r="F5" s="205">
        <f>IFERROR(SUM(((G12)*$C$4)/3600)," ")</f>
        <v>0.16666666666666666</v>
      </c>
      <c r="G5" s="205"/>
      <c r="H5" s="205">
        <f>IFERROR(SUM(((I12)*$C$4)/3600)," ")</f>
        <v>0.22222222222222221</v>
      </c>
      <c r="I5" s="205"/>
      <c r="J5" s="205">
        <f>IFERROR(SUM(((K12)*$C$4)/3600)," ")</f>
        <v>0.16666666666666666</v>
      </c>
      <c r="K5" s="205"/>
      <c r="L5" s="205">
        <f>IFERROR(SUM(((M12)*$C$4)/3600)," ")</f>
        <v>5.5555555555555552E-2</v>
      </c>
      <c r="M5" s="205"/>
      <c r="N5" s="205">
        <f>IFERROR(SUM(((O12)*$C$4)/3600)," ")</f>
        <v>5.5555555555555552E-2</v>
      </c>
      <c r="O5" s="205"/>
      <c r="P5" s="205">
        <f>IFERROR(SUM(((Q12)*$C$4)/3600)," ")</f>
        <v>0.1111111111111111</v>
      </c>
      <c r="Q5" s="205"/>
      <c r="R5" s="205">
        <f>IFERROR(SUM(((S12)*$C$4)/3600)," ")</f>
        <v>0</v>
      </c>
      <c r="S5" s="205"/>
      <c r="T5" s="205">
        <f>IFERROR(SUM(((U12)*$C$4)/3600)," ")</f>
        <v>0.22222222222222221</v>
      </c>
      <c r="U5" s="205"/>
      <c r="V5" s="205">
        <f>IFERROR(SUM(((W12)*$C$4)/3600)," ")</f>
        <v>0</v>
      </c>
      <c r="W5" s="205"/>
      <c r="X5" s="205">
        <f>IFERROR(SUM(((Y12)*$C$4)/3600)," ")</f>
        <v>5.5555555555555552E-2</v>
      </c>
      <c r="Y5" s="205"/>
      <c r="Z5" s="205">
        <f>IFERROR(SUM(((AA12)*$C$4)/3600)," ")</f>
        <v>5.5555555555555552E-2</v>
      </c>
      <c r="AA5" s="205"/>
      <c r="AB5" s="205">
        <f>IFERROR(SUM(((AC12)*$C$4)/3600)," ")</f>
        <v>5.5555555555555552E-2</v>
      </c>
      <c r="AC5" s="205"/>
      <c r="AD5" s="205">
        <f>IFERROR(SUM(((AE12)*$C$4)/3600)," ")</f>
        <v>0</v>
      </c>
      <c r="AE5" s="205"/>
      <c r="AF5" s="205">
        <f>IFERROR(SUM(((AG12)*$C$4)/3600)," ")</f>
        <v>5.5555555555555552E-2</v>
      </c>
      <c r="AG5" s="205"/>
      <c r="AH5" s="205">
        <f>IFERROR(SUM(((AI12)*$C$4)/3600)," ")</f>
        <v>0.1111111111111111</v>
      </c>
      <c r="AI5" s="205"/>
      <c r="AJ5" s="205">
        <f>IFERROR(SUM(((AK12)*$C$4)/3600)," ")</f>
        <v>0</v>
      </c>
      <c r="AK5" s="205"/>
      <c r="AL5" s="205">
        <f>IFERROR(SUM(((AM12)*$C$4)/3600)," ")</f>
        <v>0</v>
      </c>
      <c r="AM5" s="205"/>
      <c r="AN5" s="205">
        <f>IFERROR(SUM(((AO12)*$C$4)/3600)," ")</f>
        <v>0</v>
      </c>
      <c r="AO5" s="206"/>
      <c r="AP5" s="96">
        <f>AVERAGE(D5:AN5)</f>
        <v>8.479532163742691E-2</v>
      </c>
      <c r="AQ5" s="96">
        <f>ROUNDUP(AP5,0)</f>
        <v>1</v>
      </c>
    </row>
    <row r="6" spans="1:43" s="90" customFormat="1" ht="15.75" thickBot="1" x14ac:dyDescent="0.3">
      <c r="C6" s="119" t="s">
        <v>3390</v>
      </c>
      <c r="D6" s="207">
        <f>IFERROR(SUM(((E13)*$C$4)/3600)," ")</f>
        <v>0.22222222222222221</v>
      </c>
      <c r="E6" s="207"/>
      <c r="F6" s="207">
        <f>IFERROR(SUM(((G13)*$C$4)/3600)," ")</f>
        <v>0.55555555555555558</v>
      </c>
      <c r="G6" s="207"/>
      <c r="H6" s="207">
        <f>IFERROR(SUM(((I13)*$C$4)/3600)," ")</f>
        <v>5.5555555555555552E-2</v>
      </c>
      <c r="I6" s="207"/>
      <c r="J6" s="207">
        <f>IFERROR(SUM(((K13)*$C$4)/3600)," ")</f>
        <v>0.1111111111111111</v>
      </c>
      <c r="K6" s="207"/>
      <c r="L6" s="207">
        <f>IFERROR(SUM(((M13)*$C$4)/3600)," ")</f>
        <v>0.1111111111111111</v>
      </c>
      <c r="M6" s="207"/>
      <c r="N6" s="207">
        <f>IFERROR(SUM(((O13)*$C$4)/3600)," ")</f>
        <v>0</v>
      </c>
      <c r="O6" s="207"/>
      <c r="P6" s="207">
        <f>IFERROR(SUM(((Q13)*$C$4)/3600)," ")</f>
        <v>0.1111111111111111</v>
      </c>
      <c r="Q6" s="207"/>
      <c r="R6" s="207">
        <f>IFERROR(SUM(((S13)*$C$4)/3600)," ")</f>
        <v>0</v>
      </c>
      <c r="S6" s="207"/>
      <c r="T6" s="207">
        <f>IFERROR(SUM(((U13)*$C$4)/3600)," ")</f>
        <v>5.5555555555555552E-2</v>
      </c>
      <c r="U6" s="207"/>
      <c r="V6" s="207">
        <f>IFERROR(SUM(((W13)*$C$4)/3600)," ")</f>
        <v>0.1111111111111111</v>
      </c>
      <c r="W6" s="207"/>
      <c r="X6" s="207">
        <f>IFERROR(SUM(((Y13)*$C$4)/3600)," ")</f>
        <v>0.22222222222222221</v>
      </c>
      <c r="Y6" s="207"/>
      <c r="Z6" s="207">
        <f>IFERROR(SUM(((AA13)*$C$4)/3600)," ")</f>
        <v>0.1111111111111111</v>
      </c>
      <c r="AA6" s="207"/>
      <c r="AB6" s="207">
        <f>IFERROR(SUM(((AC13)*$C$4)/3600)," ")</f>
        <v>0.1111111111111111</v>
      </c>
      <c r="AC6" s="207"/>
      <c r="AD6" s="207">
        <f>IFERROR(SUM(((AE13)*$C$4)/3600)," ")</f>
        <v>5.5555555555555552E-2</v>
      </c>
      <c r="AE6" s="207"/>
      <c r="AF6" s="207">
        <f>IFERROR(SUM(((AG13)*$C$4)/3600)," ")</f>
        <v>0</v>
      </c>
      <c r="AG6" s="207"/>
      <c r="AH6" s="207">
        <f>IFERROR(SUM(((AI13)*$C$4)/3600)," ")</f>
        <v>5.5555555555555552E-2</v>
      </c>
      <c r="AI6" s="207"/>
      <c r="AJ6" s="207">
        <f>IFERROR(SUM(((AK13)*$C$4)/3600)," ")</f>
        <v>0</v>
      </c>
      <c r="AK6" s="207"/>
      <c r="AL6" s="207">
        <f>IFERROR(SUM(((AM13)*$C$4)/3600)," ")</f>
        <v>5.5555555555555552E-2</v>
      </c>
      <c r="AM6" s="207"/>
      <c r="AN6" s="207"/>
      <c r="AO6" s="208"/>
      <c r="AP6" s="96">
        <f>AVERAGE(D6:AN6)</f>
        <v>0.10802469135802471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 t="s">
        <v>3494</v>
      </c>
    </row>
    <row r="9" spans="1:43" outlineLevel="2" x14ac:dyDescent="0.25">
      <c r="D9" s="211" t="s">
        <v>3372</v>
      </c>
      <c r="E9" s="212"/>
      <c r="F9" s="211" t="s">
        <v>3373</v>
      </c>
      <c r="G9" s="212"/>
      <c r="H9" s="213" t="s">
        <v>3374</v>
      </c>
      <c r="I9" s="214"/>
      <c r="J9" s="211" t="s">
        <v>3370</v>
      </c>
      <c r="K9" s="212"/>
      <c r="L9" s="211" t="s">
        <v>3371</v>
      </c>
      <c r="M9" s="212"/>
      <c r="N9" s="211" t="s">
        <v>3375</v>
      </c>
      <c r="O9" s="212"/>
      <c r="P9" s="211" t="s">
        <v>3367</v>
      </c>
      <c r="Q9" s="212"/>
      <c r="R9" s="211" t="s">
        <v>3368</v>
      </c>
      <c r="S9" s="212"/>
      <c r="T9" s="211" t="s">
        <v>3369</v>
      </c>
      <c r="U9" s="212"/>
      <c r="V9" s="213" t="s">
        <v>3358</v>
      </c>
      <c r="W9" s="214"/>
      <c r="X9" s="211" t="s">
        <v>3363</v>
      </c>
      <c r="Y9" s="212"/>
      <c r="Z9" s="211" t="s">
        <v>3361</v>
      </c>
      <c r="AA9" s="212"/>
      <c r="AB9" s="211" t="s">
        <v>3359</v>
      </c>
      <c r="AC9" s="212"/>
      <c r="AD9" s="211" t="s">
        <v>3366</v>
      </c>
      <c r="AE9" s="212"/>
      <c r="AF9" s="213" t="s">
        <v>3364</v>
      </c>
      <c r="AG9" s="214"/>
      <c r="AH9" s="211" t="s">
        <v>3360</v>
      </c>
      <c r="AI9" s="212"/>
      <c r="AJ9" s="211" t="s">
        <v>3362</v>
      </c>
      <c r="AK9" s="212"/>
      <c r="AL9" s="211" t="s">
        <v>3365</v>
      </c>
      <c r="AM9" s="212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3495</v>
      </c>
      <c r="F10" s="101" t="s">
        <v>3487</v>
      </c>
      <c r="G10" s="102" t="s">
        <v>3495</v>
      </c>
      <c r="H10" s="101" t="s">
        <v>3487</v>
      </c>
      <c r="I10" s="102" t="s">
        <v>3495</v>
      </c>
      <c r="J10" s="101" t="s">
        <v>3487</v>
      </c>
      <c r="K10" s="102" t="s">
        <v>3495</v>
      </c>
      <c r="L10" s="101" t="s">
        <v>3487</v>
      </c>
      <c r="M10" s="102" t="s">
        <v>3495</v>
      </c>
      <c r="N10" s="101" t="s">
        <v>3487</v>
      </c>
      <c r="O10" s="102" t="s">
        <v>3495</v>
      </c>
      <c r="P10" s="101" t="s">
        <v>3487</v>
      </c>
      <c r="Q10" s="102" t="s">
        <v>3495</v>
      </c>
      <c r="R10" s="101" t="s">
        <v>3487</v>
      </c>
      <c r="S10" s="102" t="s">
        <v>3495</v>
      </c>
      <c r="T10" s="101" t="s">
        <v>3487</v>
      </c>
      <c r="U10" s="102" t="s">
        <v>3495</v>
      </c>
      <c r="V10" s="101" t="s">
        <v>3487</v>
      </c>
      <c r="W10" s="102" t="s">
        <v>3495</v>
      </c>
      <c r="X10" s="101" t="s">
        <v>3487</v>
      </c>
      <c r="Y10" s="102" t="s">
        <v>3495</v>
      </c>
      <c r="Z10" s="101" t="s">
        <v>3487</v>
      </c>
      <c r="AA10" s="102" t="s">
        <v>3495</v>
      </c>
      <c r="AB10" s="101" t="s">
        <v>3487</v>
      </c>
      <c r="AC10" s="102" t="s">
        <v>3495</v>
      </c>
      <c r="AD10" s="101" t="s">
        <v>3487</v>
      </c>
      <c r="AE10" s="102" t="s">
        <v>3495</v>
      </c>
      <c r="AF10" s="101" t="s">
        <v>3487</v>
      </c>
      <c r="AG10" s="102" t="s">
        <v>3495</v>
      </c>
      <c r="AH10" s="101" t="s">
        <v>3487</v>
      </c>
      <c r="AI10" s="102" t="s">
        <v>3495</v>
      </c>
      <c r="AJ10" s="101" t="s">
        <v>3487</v>
      </c>
      <c r="AK10" s="102" t="s">
        <v>3495</v>
      </c>
      <c r="AL10" s="101" t="s">
        <v>3487</v>
      </c>
      <c r="AM10" s="102" t="s">
        <v>3495</v>
      </c>
      <c r="AN10" s="101" t="s">
        <v>3487</v>
      </c>
      <c r="AO10" s="102" t="s">
        <v>3495</v>
      </c>
    </row>
    <row r="11" spans="1:43" ht="18" hidden="1" outlineLevel="2" thickBot="1" x14ac:dyDescent="0.3">
      <c r="C11" s="120" t="s">
        <v>3394</v>
      </c>
      <c r="D11" s="121">
        <f>SUM(D12:D13)</f>
        <v>27</v>
      </c>
      <c r="E11" s="121"/>
      <c r="F11" s="121">
        <f>SUM(F12:F13)</f>
        <v>33</v>
      </c>
      <c r="G11" s="121"/>
      <c r="H11" s="121">
        <f>SUM(H12:H13)</f>
        <v>22</v>
      </c>
      <c r="I11" s="121"/>
      <c r="J11" s="121">
        <f>SUM(J12:J13)</f>
        <v>16</v>
      </c>
      <c r="K11" s="121"/>
      <c r="L11" s="121">
        <f>SUM(L12:L13)</f>
        <v>12</v>
      </c>
      <c r="M11" s="121"/>
      <c r="N11" s="121">
        <f>SUM(N12:N13)</f>
        <v>1</v>
      </c>
      <c r="O11" s="121"/>
      <c r="P11" s="121">
        <f>SUM(P12:P13)</f>
        <v>16</v>
      </c>
      <c r="Q11" s="121"/>
      <c r="R11" s="121">
        <f>SUM(R12:R13)</f>
        <v>10</v>
      </c>
      <c r="S11" s="121"/>
      <c r="T11" s="121">
        <f>SUM(T12:T13)</f>
        <v>12</v>
      </c>
      <c r="U11" s="121"/>
      <c r="V11" s="121">
        <f>SUM(V12:V13)</f>
        <v>6</v>
      </c>
      <c r="W11" s="121"/>
      <c r="X11" s="121">
        <f>SUM(X12:X13)</f>
        <v>17</v>
      </c>
      <c r="Y11" s="121"/>
      <c r="Z11" s="121">
        <f>SUM(Z12:Z13)</f>
        <v>12</v>
      </c>
      <c r="AA11" s="121"/>
      <c r="AB11" s="121">
        <f>SUM(AB12:AB13)</f>
        <v>10</v>
      </c>
      <c r="AC11" s="121"/>
      <c r="AD11" s="121">
        <f>SUM(AD12:AD13)</f>
        <v>8</v>
      </c>
      <c r="AE11" s="121"/>
      <c r="AF11" s="121">
        <f>SUM(AF12:AF13)</f>
        <v>5</v>
      </c>
      <c r="AG11" s="121"/>
      <c r="AH11" s="121">
        <f>SUM(AH12:AH13)</f>
        <v>12</v>
      </c>
      <c r="AI11" s="121"/>
      <c r="AJ11" s="121">
        <f>SUM(AJ12:AJ13)</f>
        <v>17</v>
      </c>
      <c r="AK11" s="121"/>
      <c r="AL11" s="121">
        <f>SUM(AL12:AL13)</f>
        <v>6</v>
      </c>
      <c r="AM11" s="121"/>
      <c r="AN11" s="121">
        <f>SUM(AN12:AN13)</f>
        <v>0</v>
      </c>
    </row>
    <row r="12" spans="1:43" outlineLevel="2" x14ac:dyDescent="0.25">
      <c r="B12" s="62" t="e">
        <f>IF(#REF!="&lt;&gt;",RIGHT(C12,1),#REF!)</f>
        <v>#REF!</v>
      </c>
      <c r="C12" s="122" t="s">
        <v>3389</v>
      </c>
      <c r="D12" s="123">
        <f>D20</f>
        <v>12</v>
      </c>
      <c r="E12" s="124">
        <f t="shared" ref="E12:AO12" si="0">E20</f>
        <v>5</v>
      </c>
      <c r="F12" s="123">
        <f t="shared" si="0"/>
        <v>13</v>
      </c>
      <c r="G12" s="124">
        <f t="shared" si="0"/>
        <v>3</v>
      </c>
      <c r="H12" s="123">
        <f t="shared" si="0"/>
        <v>9</v>
      </c>
      <c r="I12" s="124">
        <f t="shared" si="0"/>
        <v>4</v>
      </c>
      <c r="J12" s="123">
        <f t="shared" si="0"/>
        <v>6</v>
      </c>
      <c r="K12" s="124">
        <f t="shared" si="0"/>
        <v>3</v>
      </c>
      <c r="L12" s="123">
        <f t="shared" si="0"/>
        <v>4</v>
      </c>
      <c r="M12" s="124">
        <f t="shared" si="0"/>
        <v>1</v>
      </c>
      <c r="N12" s="123">
        <f t="shared" si="0"/>
        <v>1</v>
      </c>
      <c r="O12" s="124">
        <f t="shared" si="0"/>
        <v>1</v>
      </c>
      <c r="P12" s="123">
        <f t="shared" si="0"/>
        <v>9</v>
      </c>
      <c r="Q12" s="124">
        <f t="shared" si="0"/>
        <v>2</v>
      </c>
      <c r="R12" s="123">
        <f t="shared" si="0"/>
        <v>4</v>
      </c>
      <c r="S12" s="124">
        <f t="shared" si="0"/>
        <v>0</v>
      </c>
      <c r="T12" s="123">
        <f t="shared" si="0"/>
        <v>5</v>
      </c>
      <c r="U12" s="124">
        <f t="shared" si="0"/>
        <v>4</v>
      </c>
      <c r="V12" s="123">
        <f t="shared" si="0"/>
        <v>2</v>
      </c>
      <c r="W12" s="124">
        <f t="shared" si="0"/>
        <v>0</v>
      </c>
      <c r="X12" s="123">
        <f t="shared" si="0"/>
        <v>8</v>
      </c>
      <c r="Y12" s="124">
        <f t="shared" si="0"/>
        <v>1</v>
      </c>
      <c r="Z12" s="123">
        <f t="shared" si="0"/>
        <v>3</v>
      </c>
      <c r="AA12" s="124">
        <f t="shared" si="0"/>
        <v>1</v>
      </c>
      <c r="AB12" s="123">
        <f t="shared" si="0"/>
        <v>4</v>
      </c>
      <c r="AC12" s="124">
        <f t="shared" si="0"/>
        <v>1</v>
      </c>
      <c r="AD12" s="123">
        <f t="shared" si="0"/>
        <v>1</v>
      </c>
      <c r="AE12" s="124">
        <f t="shared" si="0"/>
        <v>0</v>
      </c>
      <c r="AF12" s="123">
        <f t="shared" si="0"/>
        <v>2</v>
      </c>
      <c r="AG12" s="124">
        <f t="shared" si="0"/>
        <v>1</v>
      </c>
      <c r="AH12" s="123">
        <f t="shared" si="0"/>
        <v>5</v>
      </c>
      <c r="AI12" s="124">
        <f t="shared" si="0"/>
        <v>2</v>
      </c>
      <c r="AJ12" s="123">
        <f t="shared" si="0"/>
        <v>8</v>
      </c>
      <c r="AK12" s="124">
        <f t="shared" si="0"/>
        <v>0</v>
      </c>
      <c r="AL12" s="123">
        <f t="shared" si="0"/>
        <v>0</v>
      </c>
      <c r="AM12" s="124">
        <f t="shared" si="0"/>
        <v>0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19" t="s">
        <v>3390</v>
      </c>
      <c r="D13" s="126">
        <f>D34</f>
        <v>15</v>
      </c>
      <c r="E13" s="127">
        <f t="shared" ref="E13:AO13" si="1">E34</f>
        <v>4</v>
      </c>
      <c r="F13" s="126">
        <f t="shared" si="1"/>
        <v>20</v>
      </c>
      <c r="G13" s="127">
        <f t="shared" si="1"/>
        <v>10</v>
      </c>
      <c r="H13" s="126">
        <f t="shared" si="1"/>
        <v>13</v>
      </c>
      <c r="I13" s="127">
        <f t="shared" si="1"/>
        <v>1</v>
      </c>
      <c r="J13" s="126">
        <f t="shared" si="1"/>
        <v>10</v>
      </c>
      <c r="K13" s="127">
        <f t="shared" si="1"/>
        <v>2</v>
      </c>
      <c r="L13" s="126">
        <f t="shared" si="1"/>
        <v>8</v>
      </c>
      <c r="M13" s="127">
        <f t="shared" si="1"/>
        <v>2</v>
      </c>
      <c r="N13" s="126">
        <f t="shared" si="1"/>
        <v>0</v>
      </c>
      <c r="O13" s="127">
        <f t="shared" si="1"/>
        <v>0</v>
      </c>
      <c r="P13" s="126">
        <f t="shared" si="1"/>
        <v>7</v>
      </c>
      <c r="Q13" s="127">
        <f t="shared" si="1"/>
        <v>2</v>
      </c>
      <c r="R13" s="126">
        <f t="shared" si="1"/>
        <v>6</v>
      </c>
      <c r="S13" s="127">
        <f t="shared" si="1"/>
        <v>0</v>
      </c>
      <c r="T13" s="126">
        <f t="shared" si="1"/>
        <v>7</v>
      </c>
      <c r="U13" s="127">
        <f t="shared" si="1"/>
        <v>1</v>
      </c>
      <c r="V13" s="126">
        <f t="shared" si="1"/>
        <v>4</v>
      </c>
      <c r="W13" s="127">
        <f t="shared" si="1"/>
        <v>2</v>
      </c>
      <c r="X13" s="126">
        <f t="shared" si="1"/>
        <v>9</v>
      </c>
      <c r="Y13" s="127">
        <f t="shared" si="1"/>
        <v>4</v>
      </c>
      <c r="Z13" s="126">
        <f t="shared" si="1"/>
        <v>9</v>
      </c>
      <c r="AA13" s="127">
        <f t="shared" si="1"/>
        <v>2</v>
      </c>
      <c r="AB13" s="126">
        <f t="shared" si="1"/>
        <v>6</v>
      </c>
      <c r="AC13" s="127">
        <f t="shared" si="1"/>
        <v>2</v>
      </c>
      <c r="AD13" s="126">
        <f t="shared" si="1"/>
        <v>7</v>
      </c>
      <c r="AE13" s="127">
        <f t="shared" si="1"/>
        <v>1</v>
      </c>
      <c r="AF13" s="126">
        <f t="shared" si="1"/>
        <v>3</v>
      </c>
      <c r="AG13" s="127">
        <f t="shared" si="1"/>
        <v>0</v>
      </c>
      <c r="AH13" s="126">
        <f t="shared" si="1"/>
        <v>7</v>
      </c>
      <c r="AI13" s="127">
        <f t="shared" si="1"/>
        <v>1</v>
      </c>
      <c r="AJ13" s="126">
        <f t="shared" si="1"/>
        <v>9</v>
      </c>
      <c r="AK13" s="127">
        <f t="shared" si="1"/>
        <v>0</v>
      </c>
      <c r="AL13" s="126">
        <f t="shared" si="1"/>
        <v>6</v>
      </c>
      <c r="AM13" s="127">
        <f t="shared" si="1"/>
        <v>1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27</v>
      </c>
      <c r="E14" s="133">
        <f t="shared" si="2"/>
        <v>9</v>
      </c>
      <c r="F14" s="132">
        <f t="shared" si="2"/>
        <v>33</v>
      </c>
      <c r="G14" s="133">
        <f t="shared" si="2"/>
        <v>13</v>
      </c>
      <c r="H14" s="132">
        <f t="shared" si="2"/>
        <v>22</v>
      </c>
      <c r="I14" s="133">
        <f t="shared" si="2"/>
        <v>5</v>
      </c>
      <c r="J14" s="132">
        <f t="shared" si="2"/>
        <v>16</v>
      </c>
      <c r="K14" s="133">
        <f t="shared" si="2"/>
        <v>5</v>
      </c>
      <c r="L14" s="132">
        <f t="shared" si="2"/>
        <v>12</v>
      </c>
      <c r="M14" s="133">
        <f t="shared" si="2"/>
        <v>3</v>
      </c>
      <c r="N14" s="132">
        <f t="shared" si="2"/>
        <v>1</v>
      </c>
      <c r="O14" s="133">
        <f t="shared" si="2"/>
        <v>1</v>
      </c>
      <c r="P14" s="132">
        <f t="shared" si="2"/>
        <v>16</v>
      </c>
      <c r="Q14" s="133">
        <f t="shared" si="2"/>
        <v>4</v>
      </c>
      <c r="R14" s="132">
        <f t="shared" si="2"/>
        <v>10</v>
      </c>
      <c r="S14" s="133">
        <f t="shared" si="2"/>
        <v>0</v>
      </c>
      <c r="T14" s="132">
        <f t="shared" si="2"/>
        <v>12</v>
      </c>
      <c r="U14" s="133">
        <f t="shared" si="2"/>
        <v>5</v>
      </c>
      <c r="V14" s="132">
        <f t="shared" si="2"/>
        <v>6</v>
      </c>
      <c r="W14" s="133">
        <f t="shared" si="2"/>
        <v>2</v>
      </c>
      <c r="X14" s="132">
        <f t="shared" si="2"/>
        <v>17</v>
      </c>
      <c r="Y14" s="133">
        <f t="shared" si="2"/>
        <v>5</v>
      </c>
      <c r="Z14" s="132">
        <f t="shared" si="2"/>
        <v>12</v>
      </c>
      <c r="AA14" s="133">
        <f t="shared" si="2"/>
        <v>3</v>
      </c>
      <c r="AB14" s="132">
        <f t="shared" si="2"/>
        <v>10</v>
      </c>
      <c r="AC14" s="133">
        <f t="shared" si="2"/>
        <v>3</v>
      </c>
      <c r="AD14" s="132">
        <f t="shared" si="2"/>
        <v>8</v>
      </c>
      <c r="AE14" s="133">
        <f t="shared" si="2"/>
        <v>1</v>
      </c>
      <c r="AF14" s="132">
        <f t="shared" si="2"/>
        <v>5</v>
      </c>
      <c r="AG14" s="133">
        <f t="shared" si="2"/>
        <v>1</v>
      </c>
      <c r="AH14" s="132">
        <f t="shared" si="2"/>
        <v>12</v>
      </c>
      <c r="AI14" s="133">
        <f t="shared" si="2"/>
        <v>3</v>
      </c>
      <c r="AJ14" s="132">
        <f t="shared" si="2"/>
        <v>17</v>
      </c>
      <c r="AK14" s="133">
        <f t="shared" si="2"/>
        <v>0</v>
      </c>
      <c r="AL14" s="132">
        <f t="shared" si="2"/>
        <v>6</v>
      </c>
      <c r="AM14" s="133">
        <f t="shared" si="2"/>
        <v>1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3429</v>
      </c>
    </row>
    <row r="18" spans="2:43" ht="21" customHeight="1" x14ac:dyDescent="0.25">
      <c r="B18" s="72" t="s">
        <v>3395</v>
      </c>
      <c r="C18" s="215" t="s">
        <v>3397</v>
      </c>
      <c r="D18" s="211" t="s">
        <v>3372</v>
      </c>
      <c r="E18" s="212"/>
      <c r="F18" s="211" t="s">
        <v>3373</v>
      </c>
      <c r="G18" s="212"/>
      <c r="H18" s="213" t="s">
        <v>3374</v>
      </c>
      <c r="I18" s="214"/>
      <c r="J18" s="211" t="s">
        <v>3370</v>
      </c>
      <c r="K18" s="212"/>
      <c r="L18" s="211" t="s">
        <v>3371</v>
      </c>
      <c r="M18" s="212"/>
      <c r="N18" s="211" t="s">
        <v>3375</v>
      </c>
      <c r="O18" s="212"/>
      <c r="P18" s="211" t="s">
        <v>3367</v>
      </c>
      <c r="Q18" s="212"/>
      <c r="R18" s="211" t="s">
        <v>3368</v>
      </c>
      <c r="S18" s="212"/>
      <c r="T18" s="211" t="s">
        <v>3369</v>
      </c>
      <c r="U18" s="212"/>
      <c r="V18" s="213" t="s">
        <v>3358</v>
      </c>
      <c r="W18" s="214"/>
      <c r="X18" s="211" t="s">
        <v>3363</v>
      </c>
      <c r="Y18" s="212"/>
      <c r="Z18" s="211" t="s">
        <v>3361</v>
      </c>
      <c r="AA18" s="212"/>
      <c r="AB18" s="211" t="s">
        <v>3359</v>
      </c>
      <c r="AC18" s="212"/>
      <c r="AD18" s="211" t="s">
        <v>3366</v>
      </c>
      <c r="AE18" s="212"/>
      <c r="AF18" s="213" t="s">
        <v>3364</v>
      </c>
      <c r="AG18" s="214"/>
      <c r="AH18" s="211" t="s">
        <v>3360</v>
      </c>
      <c r="AI18" s="212"/>
      <c r="AJ18" s="211" t="s">
        <v>3362</v>
      </c>
      <c r="AK18" s="212"/>
      <c r="AL18" s="211" t="s">
        <v>3365</v>
      </c>
      <c r="AM18" s="212"/>
      <c r="AN18" s="201" t="s">
        <v>3486</v>
      </c>
      <c r="AO18" s="202"/>
    </row>
    <row r="19" spans="2:43" ht="21" customHeight="1" thickBot="1" x14ac:dyDescent="0.3">
      <c r="B19" s="72"/>
      <c r="C19" s="216"/>
      <c r="D19" s="101" t="s">
        <v>3487</v>
      </c>
      <c r="E19" s="102" t="s">
        <v>3495</v>
      </c>
      <c r="F19" s="101" t="s">
        <v>3487</v>
      </c>
      <c r="G19" s="102" t="s">
        <v>3495</v>
      </c>
      <c r="H19" s="101" t="s">
        <v>3487</v>
      </c>
      <c r="I19" s="102" t="s">
        <v>3495</v>
      </c>
      <c r="J19" s="101" t="s">
        <v>3487</v>
      </c>
      <c r="K19" s="102" t="s">
        <v>3495</v>
      </c>
      <c r="L19" s="101" t="s">
        <v>3487</v>
      </c>
      <c r="M19" s="102" t="s">
        <v>3495</v>
      </c>
      <c r="N19" s="101" t="s">
        <v>3487</v>
      </c>
      <c r="O19" s="102" t="s">
        <v>3495</v>
      </c>
      <c r="P19" s="101" t="s">
        <v>3487</v>
      </c>
      <c r="Q19" s="102" t="s">
        <v>3495</v>
      </c>
      <c r="R19" s="101" t="s">
        <v>3487</v>
      </c>
      <c r="S19" s="102" t="s">
        <v>3495</v>
      </c>
      <c r="T19" s="101" t="s">
        <v>3487</v>
      </c>
      <c r="U19" s="102" t="s">
        <v>3495</v>
      </c>
      <c r="V19" s="101" t="s">
        <v>3487</v>
      </c>
      <c r="W19" s="102" t="s">
        <v>3495</v>
      </c>
      <c r="X19" s="101" t="s">
        <v>3487</v>
      </c>
      <c r="Y19" s="102" t="s">
        <v>3495</v>
      </c>
      <c r="Z19" s="101" t="s">
        <v>3487</v>
      </c>
      <c r="AA19" s="102" t="s">
        <v>3495</v>
      </c>
      <c r="AB19" s="101" t="s">
        <v>3487</v>
      </c>
      <c r="AC19" s="102" t="s">
        <v>3495</v>
      </c>
      <c r="AD19" s="101" t="s">
        <v>3487</v>
      </c>
      <c r="AE19" s="102" t="s">
        <v>3495</v>
      </c>
      <c r="AF19" s="101" t="s">
        <v>3487</v>
      </c>
      <c r="AG19" s="102" t="s">
        <v>3495</v>
      </c>
      <c r="AH19" s="101" t="s">
        <v>3487</v>
      </c>
      <c r="AI19" s="102" t="s">
        <v>3495</v>
      </c>
      <c r="AJ19" s="101" t="s">
        <v>3487</v>
      </c>
      <c r="AK19" s="102" t="s">
        <v>3495</v>
      </c>
      <c r="AL19" s="101" t="s">
        <v>3487</v>
      </c>
      <c r="AM19" s="102" t="s">
        <v>3495</v>
      </c>
      <c r="AN19" s="101" t="s">
        <v>3487</v>
      </c>
      <c r="AO19" s="102" t="s">
        <v>3495</v>
      </c>
    </row>
    <row r="20" spans="2:43" s="75" customFormat="1" ht="21.75" customHeight="1" thickBot="1" x14ac:dyDescent="0.4">
      <c r="B20" s="98" t="s">
        <v>3395</v>
      </c>
      <c r="C20" s="114" t="s">
        <v>3398</v>
      </c>
      <c r="D20" s="136">
        <f t="shared" ref="D20:AO20" si="3">IFERROR(SUM(D21:D30)," ")</f>
        <v>12</v>
      </c>
      <c r="E20" s="137">
        <f t="shared" si="3"/>
        <v>5</v>
      </c>
      <c r="F20" s="109">
        <f t="shared" si="3"/>
        <v>13</v>
      </c>
      <c r="G20" s="110">
        <f t="shared" si="3"/>
        <v>3</v>
      </c>
      <c r="H20" s="109">
        <f t="shared" si="3"/>
        <v>9</v>
      </c>
      <c r="I20" s="110">
        <f t="shared" si="3"/>
        <v>4</v>
      </c>
      <c r="J20" s="109">
        <f t="shared" si="3"/>
        <v>6</v>
      </c>
      <c r="K20" s="110">
        <f t="shared" si="3"/>
        <v>3</v>
      </c>
      <c r="L20" s="109">
        <f t="shared" si="3"/>
        <v>4</v>
      </c>
      <c r="M20" s="110">
        <f t="shared" si="3"/>
        <v>1</v>
      </c>
      <c r="N20" s="109">
        <f t="shared" si="3"/>
        <v>1</v>
      </c>
      <c r="O20" s="110">
        <f t="shared" si="3"/>
        <v>1</v>
      </c>
      <c r="P20" s="109">
        <f t="shared" si="3"/>
        <v>9</v>
      </c>
      <c r="Q20" s="110">
        <f t="shared" si="3"/>
        <v>2</v>
      </c>
      <c r="R20" s="109">
        <f t="shared" si="3"/>
        <v>4</v>
      </c>
      <c r="S20" s="110">
        <f t="shared" si="3"/>
        <v>0</v>
      </c>
      <c r="T20" s="109">
        <f t="shared" si="3"/>
        <v>5</v>
      </c>
      <c r="U20" s="110">
        <f t="shared" si="3"/>
        <v>4</v>
      </c>
      <c r="V20" s="109">
        <f t="shared" si="3"/>
        <v>2</v>
      </c>
      <c r="W20" s="110">
        <f t="shared" si="3"/>
        <v>0</v>
      </c>
      <c r="X20" s="109">
        <f t="shared" si="3"/>
        <v>8</v>
      </c>
      <c r="Y20" s="110">
        <f t="shared" si="3"/>
        <v>1</v>
      </c>
      <c r="Z20" s="109">
        <f t="shared" si="3"/>
        <v>3</v>
      </c>
      <c r="AA20" s="110">
        <f t="shared" si="3"/>
        <v>1</v>
      </c>
      <c r="AB20" s="109">
        <f t="shared" si="3"/>
        <v>4</v>
      </c>
      <c r="AC20" s="110">
        <f t="shared" si="3"/>
        <v>1</v>
      </c>
      <c r="AD20" s="109">
        <f t="shared" si="3"/>
        <v>1</v>
      </c>
      <c r="AE20" s="110">
        <f t="shared" si="3"/>
        <v>0</v>
      </c>
      <c r="AF20" s="109">
        <f t="shared" si="3"/>
        <v>2</v>
      </c>
      <c r="AG20" s="110">
        <f t="shared" si="3"/>
        <v>1</v>
      </c>
      <c r="AH20" s="109">
        <f t="shared" si="3"/>
        <v>5</v>
      </c>
      <c r="AI20" s="110">
        <f t="shared" si="3"/>
        <v>2</v>
      </c>
      <c r="AJ20" s="109">
        <f t="shared" si="3"/>
        <v>8</v>
      </c>
      <c r="AK20" s="110">
        <f t="shared" si="3"/>
        <v>0</v>
      </c>
      <c r="AL20" s="109">
        <f t="shared" si="3"/>
        <v>0</v>
      </c>
      <c r="AM20" s="110">
        <f t="shared" si="3"/>
        <v>0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12" t="s">
        <v>400</v>
      </c>
      <c r="D21" s="138">
        <f>SUMIFS(Resumo_Trocas!$C:$C,Resumo_Trocas!$A:$A,$C21,Resumo_Trocas!$F:$F,D$18,Resumo_Trocas!$C:$C,"&gt;0")</f>
        <v>3</v>
      </c>
      <c r="E21" s="139">
        <f>SUMIFS(Resumo_Trocas!$E:$E,Resumo_Trocas!$A:$A,$C21,Resumo_Trocas!$F:$F,D$18,Resumo_Trocas!$C:$C,"&gt;0")</f>
        <v>2</v>
      </c>
      <c r="F21" s="138">
        <f>SUMIFS(Resumo_Trocas!$C:$C,Resumo_Trocas!$A:$A,$C21,Resumo_Trocas!$F:$F,F$18,Resumo_Trocas!$C:$C,"&gt;0")</f>
        <v>1</v>
      </c>
      <c r="G21" s="139">
        <f>SUMIFS(Resumo_Trocas!$E:$E,Resumo_Trocas!$A:$A,$C21,Resumo_Trocas!$F:$F,F$18,Resumo_Trocas!$C:$C,"&gt;0")</f>
        <v>1</v>
      </c>
      <c r="H21" s="138">
        <f>SUMIFS(Resumo_Trocas!$C:$C,Resumo_Trocas!$A:$A,$C21,Resumo_Trocas!$F:$F,H$18,Resumo_Trocas!$C:$C,"&gt;0")</f>
        <v>0</v>
      </c>
      <c r="I21" s="139">
        <f>SUMIFS(Resumo_Trocas!$E:$E,Resumo_Trocas!$A:$A,$C21,Resumo_Trocas!$F:$F,H$18,Resumo_Trocas!$C:$C,"&gt;0")</f>
        <v>0</v>
      </c>
      <c r="J21" s="138">
        <f>SUMIFS(Resumo_Trocas!$C:$C,Resumo_Trocas!$A:$A,$C21,Resumo_Trocas!$F:$F,J$18,Resumo_Trocas!$C:$C,"&gt;0")</f>
        <v>0</v>
      </c>
      <c r="K21" s="139">
        <f>SUMIFS(Resumo_Trocas!$E:$E,Resumo_Trocas!$A:$A,$C21,Resumo_Trocas!$F:$F,J$18,Resumo_Trocas!$C:$C,"&gt;0")</f>
        <v>0</v>
      </c>
      <c r="L21" s="138">
        <f>SUMIFS(Resumo_Trocas!$C:$C,Resumo_Trocas!$A:$A,$C21,Resumo_Trocas!$F:$F,L$18,Resumo_Trocas!$C:$C,"&gt;0")</f>
        <v>0</v>
      </c>
      <c r="M21" s="139">
        <f>SUMIFS(Resumo_Trocas!$E:$E,Resumo_Trocas!$A:$A,$C21,Resumo_Trocas!$F:$F,L$18,Resumo_Trocas!$C:$C,"&gt;0")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SUMIFS(Resumo_Trocas!$E:$E,Resumo_Trocas!$A:$A,$C21,Resumo_Trocas!$F:$F,N$18,Resumo_Trocas!$C:$C,"&gt;0")</f>
        <v>0</v>
      </c>
      <c r="P21" s="138">
        <f>SUMIFS(Resumo_Trocas!$C:$C,Resumo_Trocas!$A:$A,$C21,Resumo_Trocas!$F:$F,P$18,Resumo_Trocas!$C:$C,"&gt;0")</f>
        <v>1</v>
      </c>
      <c r="Q21" s="139">
        <f>SUMIFS(Resumo_Trocas!$E:$E,Resumo_Trocas!$A:$A,$C21,Resumo_Trocas!$F:$F,P$18,Resumo_Trocas!$C:$C,"&gt;0")</f>
        <v>0</v>
      </c>
      <c r="R21" s="138">
        <f>SUMIFS(Resumo_Trocas!$C:$C,Resumo_Trocas!$A:$A,$C21,Resumo_Trocas!$F:$F,R$18,Resumo_Trocas!$C:$C,"&gt;0")</f>
        <v>0</v>
      </c>
      <c r="S21" s="139">
        <f>SUMIFS(Resumo_Trocas!$E:$E,Resumo_Trocas!$A:$A,$C21,Resumo_Trocas!$F:$F,R$18,Resumo_Trocas!$C:$C,"&gt;0")</f>
        <v>0</v>
      </c>
      <c r="T21" s="138">
        <f>SUMIFS(Resumo_Trocas!$C:$C,Resumo_Trocas!$A:$A,$C21,Resumo_Trocas!$F:$F,T$18,Resumo_Trocas!$C:$C,"&gt;0")</f>
        <v>1</v>
      </c>
      <c r="U21" s="139">
        <f>SUMIFS(Resumo_Trocas!$E:$E,Resumo_Trocas!$A:$A,$C21,Resumo_Trocas!$F:$F,T$18,Resumo_Trocas!$C:$C,"&gt;0")</f>
        <v>1</v>
      </c>
      <c r="V21" s="138">
        <f>SUMIFS(Resumo_Trocas!$C:$C,Resumo_Trocas!$A:$A,$C21,Resumo_Trocas!$F:$F,V$18,Resumo_Trocas!$C:$C,"&gt;0")</f>
        <v>0</v>
      </c>
      <c r="W21" s="139">
        <f>SUMIFS(Resumo_Trocas!$E:$E,Resumo_Trocas!$A:$A,$C21,Resumo_Trocas!$F:$F,V$18,Resumo_Trocas!$C:$C,"&gt;0")</f>
        <v>0</v>
      </c>
      <c r="X21" s="138">
        <f>SUMIFS(Resumo_Trocas!$C:$C,Resumo_Trocas!$A:$A,$C21,Resumo_Trocas!$F:$F,X$18,Resumo_Trocas!$C:$C,"&gt;0")</f>
        <v>0</v>
      </c>
      <c r="Y21" s="139">
        <f>SUMIFS(Resumo_Trocas!$E:$E,Resumo_Trocas!$A:$A,$C21,Resumo_Trocas!$F:$F,X$18,Resumo_Trocas!$C:$C,"&gt;0")</f>
        <v>0</v>
      </c>
      <c r="Z21" s="138">
        <f>SUMIFS(Resumo_Trocas!$C:$C,Resumo_Trocas!$A:$A,$C21,Resumo_Trocas!$F:$F,Z$18,Resumo_Trocas!$C:$C,"&gt;0")</f>
        <v>1</v>
      </c>
      <c r="AA21" s="139">
        <f>SUMIFS(Resumo_Trocas!$E:$E,Resumo_Trocas!$A:$A,$C21,Resumo_Trocas!$F:$F,Z$18,Resumo_Trocas!$C:$C,"&gt;0")</f>
        <v>0</v>
      </c>
      <c r="AB21" s="138">
        <f>SUMIFS(Resumo_Trocas!$C:$C,Resumo_Trocas!$A:$A,$C21,Resumo_Trocas!$F:$F,AB$18,Resumo_Trocas!$C:$C,"&gt;0")</f>
        <v>0</v>
      </c>
      <c r="AC21" s="139">
        <f>SUMIFS(Resumo_Trocas!$E:$E,Resumo_Trocas!$A:$A,$C21,Resumo_Trocas!$F:$F,AB$18,Resumo_Trocas!$C:$C,"&gt;0")</f>
        <v>0</v>
      </c>
      <c r="AD21" s="138">
        <f>SUMIFS(Resumo_Trocas!$C:$C,Resumo_Trocas!$A:$A,$C21,Resumo_Trocas!$F:$F,AD$18,Resumo_Trocas!$C:$C,"&gt;0")</f>
        <v>0</v>
      </c>
      <c r="AE21" s="139">
        <f>SUMIFS(Resumo_Trocas!$E:$E,Resumo_Trocas!$A:$A,$C21,Resumo_Trocas!$F:$F,AD$18,Resumo_Trocas!$C:$C,"&gt;0")</f>
        <v>0</v>
      </c>
      <c r="AF21" s="138">
        <f>SUMIFS(Resumo_Trocas!$C:$C,Resumo_Trocas!$A:$A,$C21,Resumo_Trocas!$F:$F,AF$18,Resumo_Trocas!$C:$C,"&gt;0")</f>
        <v>0</v>
      </c>
      <c r="AG21" s="139">
        <f>SUMIFS(Resumo_Trocas!$E:$E,Resumo_Trocas!$A:$A,$C21,Resumo_Trocas!$F:$F,AF$18,Resumo_Trocas!$C:$C,"&gt;0")</f>
        <v>0</v>
      </c>
      <c r="AH21" s="138">
        <f>SUMIFS(Resumo_Trocas!$C:$C,Resumo_Trocas!$A:$A,$C21,Resumo_Trocas!$F:$F,AH$18,Resumo_Trocas!$C:$C,"&gt;0")</f>
        <v>0</v>
      </c>
      <c r="AI21" s="139">
        <f>SUMIFS(Resumo_Trocas!$E:$E,Resumo_Trocas!$A:$A,$C21,Resumo_Trocas!$F:$F,AH$18,Resumo_Trocas!$C:$C,"&gt;0")</f>
        <v>0</v>
      </c>
      <c r="AJ21" s="138">
        <f>SUMIFS(Resumo_Trocas!$C:$C,Resumo_Trocas!$A:$A,$C21,Resumo_Trocas!$F:$F,AJ$18,Resumo_Trocas!$C:$C,"&gt;0")</f>
        <v>0</v>
      </c>
      <c r="AK21" s="139">
        <f>SUMIFS(Resumo_Trocas!$E:$E,Resumo_Trocas!$A:$A,$C21,Resumo_Trocas!$F:$F,AJ$18,Resumo_Trocas!$C:$C,"&gt;0")</f>
        <v>0</v>
      </c>
      <c r="AL21" s="138">
        <f>SUMIFS(Resumo_Trocas!$C:$C,Resumo_Trocas!$A:$A,$C21,Resumo_Trocas!$F:$F,AL$18,Resumo_Trocas!$C:$C,"&gt;0")</f>
        <v>0</v>
      </c>
      <c r="AM21" s="139">
        <f>SUMIFS(Resumo_Trocas!$E:$E,Resumo_Trocas!$A:$A,$C21,Resumo_Trocas!$F:$F,AL$18,Resumo_Trocas!$C:$C,"&gt;0")</f>
        <v>0</v>
      </c>
      <c r="AN21" s="138">
        <f>SUMIFS(Resumo_Trocas!$C:$C,Resumo_Trocas!$A:$A,$C21,Resumo_Trocas!$F:$F,AN$18,Resumo_Trocas!$C:$C,"&gt;0")</f>
        <v>0</v>
      </c>
      <c r="AO21" s="139">
        <f>SUMIFS(Resumo_Trocas!$E:$E,Resumo_Trocas!$A:$A,$C21,Resumo_Trocas!$F:$F,AN$18,Resumo_Trocas!$C:$C,"&gt;0")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12" t="s">
        <v>401</v>
      </c>
      <c r="D22" s="140">
        <f>SUMIFS(Resumo_Trocas!$C:$C,Resumo_Trocas!$A:$A,$C22,Resumo_Trocas!$F:$F,D$18,Resumo_Trocas!$C:$C,"&gt;0")</f>
        <v>1</v>
      </c>
      <c r="E22" s="141">
        <f>SUMIFS(Resumo_Trocas!$E:$E,Resumo_Trocas!$A:$A,$C22,Resumo_Trocas!$F:$F,D$18,Resumo_Trocas!$C:$C,"&gt;0")</f>
        <v>0</v>
      </c>
      <c r="F22" s="140">
        <f>SUMIFS(Resumo_Trocas!$C:$C,Resumo_Trocas!$A:$A,$C22,Resumo_Trocas!$F:$F,F$18,Resumo_Trocas!$C:$C,"&gt;0")</f>
        <v>3</v>
      </c>
      <c r="G22" s="141">
        <f>SUMIFS(Resumo_Trocas!$E:$E,Resumo_Trocas!$A:$A,$C22,Resumo_Trocas!$F:$F,F$18,Resumo_Trocas!$C:$C,"&gt;0")</f>
        <v>1</v>
      </c>
      <c r="H22" s="140">
        <f>SUMIFS(Resumo_Trocas!$C:$C,Resumo_Trocas!$A:$A,$C22,Resumo_Trocas!$F:$F,H$18,Resumo_Trocas!$C:$C,"&gt;0")</f>
        <v>0</v>
      </c>
      <c r="I22" s="141">
        <f>SUMIFS(Resumo_Trocas!$E:$E,Resumo_Trocas!$A:$A,$C22,Resumo_Trocas!$F:$F,H$18,Resumo_Trocas!$C:$C,"&gt;0")</f>
        <v>0</v>
      </c>
      <c r="J22" s="140">
        <f>SUMIFS(Resumo_Trocas!$C:$C,Resumo_Trocas!$A:$A,$C22,Resumo_Trocas!$F:$F,J$18,Resumo_Trocas!$C:$C,"&gt;0")</f>
        <v>1</v>
      </c>
      <c r="K22" s="141">
        <f>SUMIFS(Resumo_Trocas!$E:$E,Resumo_Trocas!$A:$A,$C22,Resumo_Trocas!$F:$F,J$18,Resumo_Trocas!$C:$C,"&gt;0")</f>
        <v>1</v>
      </c>
      <c r="L22" s="140">
        <f>SUMIFS(Resumo_Trocas!$C:$C,Resumo_Trocas!$A:$A,$C22,Resumo_Trocas!$F:$F,L$18,Resumo_Trocas!$C:$C,"&gt;0")</f>
        <v>0</v>
      </c>
      <c r="M22" s="141">
        <f>SUMIFS(Resumo_Trocas!$E:$E,Resumo_Trocas!$A:$A,$C22,Resumo_Trocas!$F:$F,L$18,Resumo_Trocas!$C:$C,"&gt;0")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SUMIFS(Resumo_Trocas!$E:$E,Resumo_Trocas!$A:$A,$C22,Resumo_Trocas!$F:$F,N$18,Resumo_Trocas!$C:$C,"&gt;0")</f>
        <v>0</v>
      </c>
      <c r="P22" s="140">
        <f>SUMIFS(Resumo_Trocas!$C:$C,Resumo_Trocas!$A:$A,$C22,Resumo_Trocas!$F:$F,P$18,Resumo_Trocas!$C:$C,"&gt;0")</f>
        <v>1</v>
      </c>
      <c r="Q22" s="141">
        <f>SUMIFS(Resumo_Trocas!$E:$E,Resumo_Trocas!$A:$A,$C22,Resumo_Trocas!$F:$F,P$18,Resumo_Trocas!$C:$C,"&gt;0")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SUMIFS(Resumo_Trocas!$E:$E,Resumo_Trocas!$A:$A,$C22,Resumo_Trocas!$F:$F,R$18,Resumo_Trocas!$C:$C,"&gt;0")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SUMIFS(Resumo_Trocas!$E:$E,Resumo_Trocas!$A:$A,$C22,Resumo_Trocas!$F:$F,T$18,Resumo_Trocas!$C:$C,"&gt;0")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SUMIFS(Resumo_Trocas!$E:$E,Resumo_Trocas!$A:$A,$C22,Resumo_Trocas!$F:$F,V$18,Resumo_Trocas!$C:$C,"&gt;0")</f>
        <v>0</v>
      </c>
      <c r="X22" s="140">
        <f>SUMIFS(Resumo_Trocas!$C:$C,Resumo_Trocas!$A:$A,$C22,Resumo_Trocas!$F:$F,X$18,Resumo_Trocas!$C:$C,"&gt;0")</f>
        <v>1</v>
      </c>
      <c r="Y22" s="141">
        <f>SUMIFS(Resumo_Trocas!$E:$E,Resumo_Trocas!$A:$A,$C22,Resumo_Trocas!$F:$F,X$18,Resumo_Trocas!$C:$C,"&gt;0")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SUMIFS(Resumo_Trocas!$E:$E,Resumo_Trocas!$A:$A,$C22,Resumo_Trocas!$F:$F,Z$18,Resumo_Trocas!$C:$C,"&gt;0")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SUMIFS(Resumo_Trocas!$E:$E,Resumo_Trocas!$A:$A,$C22,Resumo_Trocas!$F:$F,AB$18,Resumo_Trocas!$C:$C,"&gt;0")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SUMIFS(Resumo_Trocas!$E:$E,Resumo_Trocas!$A:$A,$C22,Resumo_Trocas!$F:$F,AD$18,Resumo_Trocas!$C:$C,"&gt;0")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SUMIFS(Resumo_Trocas!$E:$E,Resumo_Trocas!$A:$A,$C22,Resumo_Trocas!$F:$F,AF$18,Resumo_Trocas!$C:$C,"&gt;0")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SUMIFS(Resumo_Trocas!$E:$E,Resumo_Trocas!$A:$A,$C22,Resumo_Trocas!$F:$F,AH$18,Resumo_Trocas!$C:$C,"&gt;0")</f>
        <v>0</v>
      </c>
      <c r="AJ22" s="140">
        <f>SUMIFS(Resumo_Trocas!$C:$C,Resumo_Trocas!$A:$A,$C22,Resumo_Trocas!$F:$F,AJ$18,Resumo_Trocas!$C:$C,"&gt;0")</f>
        <v>1</v>
      </c>
      <c r="AK22" s="141">
        <f>SUMIFS(Resumo_Trocas!$E:$E,Resumo_Trocas!$A:$A,$C22,Resumo_Trocas!$F:$F,AJ$18,Resumo_Trocas!$C:$C,"&gt;0")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SUMIFS(Resumo_Trocas!$E:$E,Resumo_Trocas!$A:$A,$C22,Resumo_Trocas!$F:$F,AL$18,Resumo_Trocas!$C:$C,"&gt;0")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SUMIFS(Resumo_Trocas!$E:$E,Resumo_Trocas!$A:$A,$C22,Resumo_Trocas!$F:$F,AN$18,Resumo_Trocas!$C:$C,"&gt;0")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12" t="s">
        <v>405</v>
      </c>
      <c r="D23" s="140">
        <f>SUMIFS(Resumo_Trocas!$C:$C,Resumo_Trocas!$A:$A,$C23,Resumo_Trocas!$F:$F,D$18,Resumo_Trocas!$C:$C,"&gt;0")</f>
        <v>3</v>
      </c>
      <c r="E23" s="141">
        <f>SUMIFS(Resumo_Trocas!$E:$E,Resumo_Trocas!$A:$A,$C23,Resumo_Trocas!$F:$F,D$18,Resumo_Trocas!$C:$C,"&gt;0")</f>
        <v>2</v>
      </c>
      <c r="F23" s="140">
        <f>SUMIFS(Resumo_Trocas!$C:$C,Resumo_Trocas!$A:$A,$C23,Resumo_Trocas!$F:$F,F$18,Resumo_Trocas!$C:$C,"&gt;0")</f>
        <v>1</v>
      </c>
      <c r="G23" s="141">
        <f>SUMIFS(Resumo_Trocas!$E:$E,Resumo_Trocas!$A:$A,$C23,Resumo_Trocas!$F:$F,F$18,Resumo_Trocas!$C:$C,"&gt;0")</f>
        <v>0</v>
      </c>
      <c r="H23" s="140">
        <f>SUMIFS(Resumo_Trocas!$C:$C,Resumo_Trocas!$A:$A,$C23,Resumo_Trocas!$F:$F,H$18,Resumo_Trocas!$C:$C,"&gt;0")</f>
        <v>1</v>
      </c>
      <c r="I23" s="141">
        <f>SUMIFS(Resumo_Trocas!$E:$E,Resumo_Trocas!$A:$A,$C23,Resumo_Trocas!$F:$F,H$18,Resumo_Trocas!$C:$C,"&gt;0")</f>
        <v>1</v>
      </c>
      <c r="J23" s="140">
        <f>SUMIFS(Resumo_Trocas!$C:$C,Resumo_Trocas!$A:$A,$C23,Resumo_Trocas!$F:$F,J$18,Resumo_Trocas!$C:$C,"&gt;0")</f>
        <v>0</v>
      </c>
      <c r="K23" s="141">
        <f>SUMIFS(Resumo_Trocas!$E:$E,Resumo_Trocas!$A:$A,$C23,Resumo_Trocas!$F:$F,J$18,Resumo_Trocas!$C:$C,"&gt;0")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SUMIFS(Resumo_Trocas!$E:$E,Resumo_Trocas!$A:$A,$C23,Resumo_Trocas!$F:$F,L$18,Resumo_Trocas!$C:$C,"&gt;0")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SUMIFS(Resumo_Trocas!$E:$E,Resumo_Trocas!$A:$A,$C23,Resumo_Trocas!$F:$F,N$18,Resumo_Trocas!$C:$C,"&gt;0")</f>
        <v>0</v>
      </c>
      <c r="P23" s="140">
        <f>SUMIFS(Resumo_Trocas!$C:$C,Resumo_Trocas!$A:$A,$C23,Resumo_Trocas!$F:$F,P$18,Resumo_Trocas!$C:$C,"&gt;0")</f>
        <v>1</v>
      </c>
      <c r="Q23" s="141">
        <f>SUMIFS(Resumo_Trocas!$E:$E,Resumo_Trocas!$A:$A,$C23,Resumo_Trocas!$F:$F,P$18,Resumo_Trocas!$C:$C,"&gt;0")</f>
        <v>0</v>
      </c>
      <c r="R23" s="140">
        <f>SUMIFS(Resumo_Trocas!$C:$C,Resumo_Trocas!$A:$A,$C23,Resumo_Trocas!$F:$F,R$18,Resumo_Trocas!$C:$C,"&gt;0")</f>
        <v>0</v>
      </c>
      <c r="S23" s="141">
        <f>SUMIFS(Resumo_Trocas!$E:$E,Resumo_Trocas!$A:$A,$C23,Resumo_Trocas!$F:$F,R$18,Resumo_Trocas!$C:$C,"&gt;0")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SUMIFS(Resumo_Trocas!$E:$E,Resumo_Trocas!$A:$A,$C23,Resumo_Trocas!$F:$F,T$18,Resumo_Trocas!$C:$C,"&gt;0")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SUMIFS(Resumo_Trocas!$E:$E,Resumo_Trocas!$A:$A,$C23,Resumo_Trocas!$F:$F,V$18,Resumo_Trocas!$C:$C,"&gt;0")</f>
        <v>0</v>
      </c>
      <c r="X23" s="140">
        <f>SUMIFS(Resumo_Trocas!$C:$C,Resumo_Trocas!$A:$A,$C23,Resumo_Trocas!$F:$F,X$18,Resumo_Trocas!$C:$C,"&gt;0")</f>
        <v>1</v>
      </c>
      <c r="Y23" s="141">
        <f>SUMIFS(Resumo_Trocas!$E:$E,Resumo_Trocas!$A:$A,$C23,Resumo_Trocas!$F:$F,X$18,Resumo_Trocas!$C:$C,"&gt;0")</f>
        <v>0</v>
      </c>
      <c r="Z23" s="140">
        <f>SUMIFS(Resumo_Trocas!$C:$C,Resumo_Trocas!$A:$A,$C23,Resumo_Trocas!$F:$F,Z$18,Resumo_Trocas!$C:$C,"&gt;0")</f>
        <v>0</v>
      </c>
      <c r="AA23" s="141">
        <f>SUMIFS(Resumo_Trocas!$E:$E,Resumo_Trocas!$A:$A,$C23,Resumo_Trocas!$F:$F,Z$18,Resumo_Trocas!$C:$C,"&gt;0")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SUMIFS(Resumo_Trocas!$E:$E,Resumo_Trocas!$A:$A,$C23,Resumo_Trocas!$F:$F,AB$18,Resumo_Trocas!$C:$C,"&gt;0")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SUMIFS(Resumo_Trocas!$E:$E,Resumo_Trocas!$A:$A,$C23,Resumo_Trocas!$F:$F,AD$18,Resumo_Trocas!$C:$C,"&gt;0")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SUMIFS(Resumo_Trocas!$E:$E,Resumo_Trocas!$A:$A,$C23,Resumo_Trocas!$F:$F,AF$18,Resumo_Trocas!$C:$C,"&gt;0")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SUMIFS(Resumo_Trocas!$E:$E,Resumo_Trocas!$A:$A,$C23,Resumo_Trocas!$F:$F,AH$18,Resumo_Trocas!$C:$C,"&gt;0")</f>
        <v>0</v>
      </c>
      <c r="AJ23" s="140">
        <f>SUMIFS(Resumo_Trocas!$C:$C,Resumo_Trocas!$A:$A,$C23,Resumo_Trocas!$F:$F,AJ$18,Resumo_Trocas!$C:$C,"&gt;0")</f>
        <v>1</v>
      </c>
      <c r="AK23" s="141">
        <f>SUMIFS(Resumo_Trocas!$E:$E,Resumo_Trocas!$A:$A,$C23,Resumo_Trocas!$F:$F,AJ$18,Resumo_Trocas!$C:$C,"&gt;0")</f>
        <v>0</v>
      </c>
      <c r="AL23" s="140">
        <f>SUMIFS(Resumo_Trocas!$C:$C,Resumo_Trocas!$A:$A,$C23,Resumo_Trocas!$F:$F,AL$18,Resumo_Trocas!$C:$C,"&gt;0")</f>
        <v>0</v>
      </c>
      <c r="AM23" s="141">
        <f>SUMIFS(Resumo_Trocas!$E:$E,Resumo_Trocas!$A:$A,$C23,Resumo_Trocas!$F:$F,AL$18,Resumo_Trocas!$C:$C,"&gt;0")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SUMIFS(Resumo_Trocas!$E:$E,Resumo_Trocas!$A:$A,$C23,Resumo_Trocas!$F:$F,AN$18,Resumo_Trocas!$C:$C,"&gt;0")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12" t="s">
        <v>409</v>
      </c>
      <c r="D24" s="140">
        <f>SUMIFS(Resumo_Trocas!$C:$C,Resumo_Trocas!$A:$A,$C24,Resumo_Trocas!$F:$F,D$18,Resumo_Trocas!$C:$C,"&gt;0")</f>
        <v>0</v>
      </c>
      <c r="E24" s="141">
        <f>SUMIFS(Resumo_Trocas!$E:$E,Resumo_Trocas!$A:$A,$C24,Resumo_Trocas!$F:$F,D$18,Resumo_Trocas!$C:$C,"&gt;0")</f>
        <v>0</v>
      </c>
      <c r="F24" s="140">
        <f>SUMIFS(Resumo_Trocas!$C:$C,Resumo_Trocas!$A:$A,$C24,Resumo_Trocas!$F:$F,F$18,Resumo_Trocas!$C:$C,"&gt;0")</f>
        <v>0</v>
      </c>
      <c r="G24" s="141">
        <f>SUMIFS(Resumo_Trocas!$E:$E,Resumo_Trocas!$A:$A,$C24,Resumo_Trocas!$F:$F,F$18,Resumo_Trocas!$C:$C,"&gt;0")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SUMIFS(Resumo_Trocas!$E:$E,Resumo_Trocas!$A:$A,$C24,Resumo_Trocas!$F:$F,H$18,Resumo_Trocas!$C:$C,"&gt;0")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SUMIFS(Resumo_Trocas!$E:$E,Resumo_Trocas!$A:$A,$C24,Resumo_Trocas!$F:$F,J$18,Resumo_Trocas!$C:$C,"&gt;0")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SUMIFS(Resumo_Trocas!$E:$E,Resumo_Trocas!$A:$A,$C24,Resumo_Trocas!$F:$F,L$18,Resumo_Trocas!$C:$C,"&gt;0")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SUMIFS(Resumo_Trocas!$E:$E,Resumo_Trocas!$A:$A,$C24,Resumo_Trocas!$F:$F,N$18,Resumo_Trocas!$C:$C,"&gt;0")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SUMIFS(Resumo_Trocas!$E:$E,Resumo_Trocas!$A:$A,$C24,Resumo_Trocas!$F:$F,P$18,Resumo_Trocas!$C:$C,"&gt;0")</f>
        <v>0</v>
      </c>
      <c r="R24" s="140">
        <f>SUMIFS(Resumo_Trocas!$C:$C,Resumo_Trocas!$A:$A,$C24,Resumo_Trocas!$F:$F,R$18,Resumo_Trocas!$C:$C,"&gt;0")</f>
        <v>1</v>
      </c>
      <c r="S24" s="141">
        <f>SUMIFS(Resumo_Trocas!$E:$E,Resumo_Trocas!$A:$A,$C24,Resumo_Trocas!$F:$F,R$18,Resumo_Trocas!$C:$C,"&gt;0")</f>
        <v>0</v>
      </c>
      <c r="T24" s="140">
        <f>SUMIFS(Resumo_Trocas!$C:$C,Resumo_Trocas!$A:$A,$C24,Resumo_Trocas!$F:$F,T$18,Resumo_Trocas!$C:$C,"&gt;0")</f>
        <v>0</v>
      </c>
      <c r="U24" s="141">
        <f>SUMIFS(Resumo_Trocas!$E:$E,Resumo_Trocas!$A:$A,$C24,Resumo_Trocas!$F:$F,T$18,Resumo_Trocas!$C:$C,"&gt;0")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SUMIFS(Resumo_Trocas!$E:$E,Resumo_Trocas!$A:$A,$C24,Resumo_Trocas!$F:$F,V$18,Resumo_Trocas!$C:$C,"&gt;0")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SUMIFS(Resumo_Trocas!$E:$E,Resumo_Trocas!$A:$A,$C24,Resumo_Trocas!$F:$F,X$18,Resumo_Trocas!$C:$C,"&gt;0")</f>
        <v>0</v>
      </c>
      <c r="Z24" s="140">
        <f>SUMIFS(Resumo_Trocas!$C:$C,Resumo_Trocas!$A:$A,$C24,Resumo_Trocas!$F:$F,Z$18,Resumo_Trocas!$C:$C,"&gt;0")</f>
        <v>0</v>
      </c>
      <c r="AA24" s="141">
        <f>SUMIFS(Resumo_Trocas!$E:$E,Resumo_Trocas!$A:$A,$C24,Resumo_Trocas!$F:$F,Z$18,Resumo_Trocas!$C:$C,"&gt;0")</f>
        <v>0</v>
      </c>
      <c r="AB24" s="140">
        <f>SUMIFS(Resumo_Trocas!$C:$C,Resumo_Trocas!$A:$A,$C24,Resumo_Trocas!$F:$F,AB$18,Resumo_Trocas!$C:$C,"&gt;0")</f>
        <v>1</v>
      </c>
      <c r="AC24" s="141">
        <f>SUMIFS(Resumo_Trocas!$E:$E,Resumo_Trocas!$A:$A,$C24,Resumo_Trocas!$F:$F,AB$18,Resumo_Trocas!$C:$C,"&gt;0")</f>
        <v>0</v>
      </c>
      <c r="AD24" s="140">
        <f>SUMIFS(Resumo_Trocas!$C:$C,Resumo_Trocas!$A:$A,$C24,Resumo_Trocas!$F:$F,AD$18,Resumo_Trocas!$C:$C,"&gt;0")</f>
        <v>0</v>
      </c>
      <c r="AE24" s="141">
        <f>SUMIFS(Resumo_Trocas!$E:$E,Resumo_Trocas!$A:$A,$C24,Resumo_Trocas!$F:$F,AD$18,Resumo_Trocas!$C:$C,"&gt;0")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SUMIFS(Resumo_Trocas!$E:$E,Resumo_Trocas!$A:$A,$C24,Resumo_Trocas!$F:$F,AF$18,Resumo_Trocas!$C:$C,"&gt;0")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SUMIFS(Resumo_Trocas!$E:$E,Resumo_Trocas!$A:$A,$C24,Resumo_Trocas!$F:$F,AH$18,Resumo_Trocas!$C:$C,"&gt;0")</f>
        <v>0</v>
      </c>
      <c r="AJ24" s="140">
        <f>SUMIFS(Resumo_Trocas!$C:$C,Resumo_Trocas!$A:$A,$C24,Resumo_Trocas!$F:$F,AJ$18,Resumo_Trocas!$C:$C,"&gt;0")</f>
        <v>1</v>
      </c>
      <c r="AK24" s="141">
        <f>SUMIFS(Resumo_Trocas!$E:$E,Resumo_Trocas!$A:$A,$C24,Resumo_Trocas!$F:$F,AJ$18,Resumo_Trocas!$C:$C,"&gt;0")</f>
        <v>0</v>
      </c>
      <c r="AL24" s="140">
        <f>SUMIFS(Resumo_Trocas!$C:$C,Resumo_Trocas!$A:$A,$C24,Resumo_Trocas!$F:$F,AL$18,Resumo_Trocas!$C:$C,"&gt;0")</f>
        <v>0</v>
      </c>
      <c r="AM24" s="141">
        <f>SUMIFS(Resumo_Trocas!$E:$E,Resumo_Trocas!$A:$A,$C24,Resumo_Trocas!$F:$F,AL$18,Resumo_Trocas!$C:$C,"&gt;0")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SUMIFS(Resumo_Trocas!$E:$E,Resumo_Trocas!$A:$A,$C24,Resumo_Trocas!$F:$F,AN$18,Resumo_Trocas!$C:$C,"&gt;0")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12" t="s">
        <v>413</v>
      </c>
      <c r="D25" s="140">
        <f>SUMIFS(Resumo_Trocas!$C:$C,Resumo_Trocas!$A:$A,$C25,Resumo_Trocas!$F:$F,D$18,Resumo_Trocas!$C:$C,"&gt;0")</f>
        <v>1</v>
      </c>
      <c r="E25" s="141">
        <f>SUMIFS(Resumo_Trocas!$E:$E,Resumo_Trocas!$A:$A,$C25,Resumo_Trocas!$F:$F,D$18,Resumo_Trocas!$C:$C,"&gt;0")</f>
        <v>0</v>
      </c>
      <c r="F25" s="140">
        <f>SUMIFS(Resumo_Trocas!$C:$C,Resumo_Trocas!$A:$A,$C25,Resumo_Trocas!$F:$F,F$18,Resumo_Trocas!$C:$C,"&gt;0")</f>
        <v>3</v>
      </c>
      <c r="G25" s="141">
        <f>SUMIFS(Resumo_Trocas!$E:$E,Resumo_Trocas!$A:$A,$C25,Resumo_Trocas!$F:$F,F$18,Resumo_Trocas!$C:$C,"&gt;0")</f>
        <v>0</v>
      </c>
      <c r="H25" s="140">
        <f>SUMIFS(Resumo_Trocas!$C:$C,Resumo_Trocas!$A:$A,$C25,Resumo_Trocas!$F:$F,H$18,Resumo_Trocas!$C:$C,"&gt;0")</f>
        <v>3</v>
      </c>
      <c r="I25" s="141">
        <f>SUMIFS(Resumo_Trocas!$E:$E,Resumo_Trocas!$A:$A,$C25,Resumo_Trocas!$F:$F,H$18,Resumo_Trocas!$C:$C,"&gt;0")</f>
        <v>1</v>
      </c>
      <c r="J25" s="140">
        <f>SUMIFS(Resumo_Trocas!$C:$C,Resumo_Trocas!$A:$A,$C25,Resumo_Trocas!$F:$F,J$18,Resumo_Trocas!$C:$C,"&gt;0")</f>
        <v>0</v>
      </c>
      <c r="K25" s="141">
        <f>SUMIFS(Resumo_Trocas!$E:$E,Resumo_Trocas!$A:$A,$C25,Resumo_Trocas!$F:$F,J$18,Resumo_Trocas!$C:$C,"&gt;0")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SUMIFS(Resumo_Trocas!$E:$E,Resumo_Trocas!$A:$A,$C25,Resumo_Trocas!$F:$F,L$18,Resumo_Trocas!$C:$C,"&gt;0")</f>
        <v>0</v>
      </c>
      <c r="N25" s="140">
        <f>SUMIFS(Resumo_Trocas!$C:$C,Resumo_Trocas!$A:$A,$C25,Resumo_Trocas!$F:$F,N$18,Resumo_Trocas!$C:$C,"&gt;0")</f>
        <v>1</v>
      </c>
      <c r="O25" s="141">
        <f>SUMIFS(Resumo_Trocas!$E:$E,Resumo_Trocas!$A:$A,$C25,Resumo_Trocas!$F:$F,N$18,Resumo_Trocas!$C:$C,"&gt;0")</f>
        <v>1</v>
      </c>
      <c r="P25" s="140">
        <f>SUMIFS(Resumo_Trocas!$C:$C,Resumo_Trocas!$A:$A,$C25,Resumo_Trocas!$F:$F,P$18,Resumo_Trocas!$C:$C,"&gt;0")</f>
        <v>0</v>
      </c>
      <c r="Q25" s="141">
        <f>SUMIFS(Resumo_Trocas!$E:$E,Resumo_Trocas!$A:$A,$C25,Resumo_Trocas!$F:$F,P$18,Resumo_Trocas!$C:$C,"&gt;0")</f>
        <v>0</v>
      </c>
      <c r="R25" s="140">
        <f>SUMIFS(Resumo_Trocas!$C:$C,Resumo_Trocas!$A:$A,$C25,Resumo_Trocas!$F:$F,R$18,Resumo_Trocas!$C:$C,"&gt;0")</f>
        <v>1</v>
      </c>
      <c r="S25" s="141">
        <f>SUMIFS(Resumo_Trocas!$E:$E,Resumo_Trocas!$A:$A,$C25,Resumo_Trocas!$F:$F,R$18,Resumo_Trocas!$C:$C,"&gt;0")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SUMIFS(Resumo_Trocas!$E:$E,Resumo_Trocas!$A:$A,$C25,Resumo_Trocas!$F:$F,T$18,Resumo_Trocas!$C:$C,"&gt;0")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SUMIFS(Resumo_Trocas!$E:$E,Resumo_Trocas!$A:$A,$C25,Resumo_Trocas!$F:$F,V$18,Resumo_Trocas!$C:$C,"&gt;0")</f>
        <v>0</v>
      </c>
      <c r="X25" s="140">
        <f>SUMIFS(Resumo_Trocas!$C:$C,Resumo_Trocas!$A:$A,$C25,Resumo_Trocas!$F:$F,X$18,Resumo_Trocas!$C:$C,"&gt;0")</f>
        <v>1</v>
      </c>
      <c r="Y25" s="141">
        <f>SUMIFS(Resumo_Trocas!$E:$E,Resumo_Trocas!$A:$A,$C25,Resumo_Trocas!$F:$F,X$18,Resumo_Trocas!$C:$C,"&gt;0")</f>
        <v>0</v>
      </c>
      <c r="Z25" s="140">
        <f>SUMIFS(Resumo_Trocas!$C:$C,Resumo_Trocas!$A:$A,$C25,Resumo_Trocas!$F:$F,Z$18,Resumo_Trocas!$C:$C,"&gt;0")</f>
        <v>0</v>
      </c>
      <c r="AA25" s="141">
        <f>SUMIFS(Resumo_Trocas!$E:$E,Resumo_Trocas!$A:$A,$C25,Resumo_Trocas!$F:$F,Z$18,Resumo_Trocas!$C:$C,"&gt;0")</f>
        <v>0</v>
      </c>
      <c r="AB25" s="140">
        <f>SUMIFS(Resumo_Trocas!$C:$C,Resumo_Trocas!$A:$A,$C25,Resumo_Trocas!$F:$F,AB$18,Resumo_Trocas!$C:$C,"&gt;0")</f>
        <v>1</v>
      </c>
      <c r="AC25" s="141">
        <f>SUMIFS(Resumo_Trocas!$E:$E,Resumo_Trocas!$A:$A,$C25,Resumo_Trocas!$F:$F,AB$18,Resumo_Trocas!$C:$C,"&gt;0")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SUMIFS(Resumo_Trocas!$E:$E,Resumo_Trocas!$A:$A,$C25,Resumo_Trocas!$F:$F,AD$18,Resumo_Trocas!$C:$C,"&gt;0")</f>
        <v>0</v>
      </c>
      <c r="AF25" s="140">
        <f>SUMIFS(Resumo_Trocas!$C:$C,Resumo_Trocas!$A:$A,$C25,Resumo_Trocas!$F:$F,AF$18,Resumo_Trocas!$C:$C,"&gt;0")</f>
        <v>0</v>
      </c>
      <c r="AG25" s="141">
        <f>SUMIFS(Resumo_Trocas!$E:$E,Resumo_Trocas!$A:$A,$C25,Resumo_Trocas!$F:$F,AF$18,Resumo_Trocas!$C:$C,"&gt;0")</f>
        <v>0</v>
      </c>
      <c r="AH25" s="140">
        <f>SUMIFS(Resumo_Trocas!$C:$C,Resumo_Trocas!$A:$A,$C25,Resumo_Trocas!$F:$F,AH$18,Resumo_Trocas!$C:$C,"&gt;0")</f>
        <v>0</v>
      </c>
      <c r="AI25" s="141">
        <f>SUMIFS(Resumo_Trocas!$E:$E,Resumo_Trocas!$A:$A,$C25,Resumo_Trocas!$F:$F,AH$18,Resumo_Trocas!$C:$C,"&gt;0")</f>
        <v>0</v>
      </c>
      <c r="AJ25" s="140">
        <f>SUMIFS(Resumo_Trocas!$C:$C,Resumo_Trocas!$A:$A,$C25,Resumo_Trocas!$F:$F,AJ$18,Resumo_Trocas!$C:$C,"&gt;0")</f>
        <v>1</v>
      </c>
      <c r="AK25" s="141">
        <f>SUMIFS(Resumo_Trocas!$E:$E,Resumo_Trocas!$A:$A,$C25,Resumo_Trocas!$F:$F,AJ$18,Resumo_Trocas!$C:$C,"&gt;0")</f>
        <v>0</v>
      </c>
      <c r="AL25" s="140">
        <f>SUMIFS(Resumo_Trocas!$C:$C,Resumo_Trocas!$A:$A,$C25,Resumo_Trocas!$F:$F,AL$18,Resumo_Trocas!$C:$C,"&gt;0")</f>
        <v>0</v>
      </c>
      <c r="AM25" s="141">
        <f>SUMIFS(Resumo_Trocas!$E:$E,Resumo_Trocas!$A:$A,$C25,Resumo_Trocas!$F:$F,AL$18,Resumo_Trocas!$C:$C,"&gt;0")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SUMIFS(Resumo_Trocas!$E:$E,Resumo_Trocas!$A:$A,$C25,Resumo_Trocas!$F:$F,AN$18,Resumo_Trocas!$C:$C,"&gt;0")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12" t="s">
        <v>418</v>
      </c>
      <c r="D26" s="140">
        <f>SUMIFS(Resumo_Trocas!$C:$C,Resumo_Trocas!$A:$A,$C26,Resumo_Trocas!$F:$F,D$18,Resumo_Trocas!$C:$C,"&gt;0")</f>
        <v>0</v>
      </c>
      <c r="E26" s="141">
        <f>SUMIFS(Resumo_Trocas!$E:$E,Resumo_Trocas!$A:$A,$C26,Resumo_Trocas!$F:$F,D$18,Resumo_Trocas!$C:$C,"&gt;0")</f>
        <v>0</v>
      </c>
      <c r="F26" s="140">
        <f>SUMIFS(Resumo_Trocas!$C:$C,Resumo_Trocas!$A:$A,$C26,Resumo_Trocas!$F:$F,F$18,Resumo_Trocas!$C:$C,"&gt;0")</f>
        <v>1</v>
      </c>
      <c r="G26" s="141">
        <f>SUMIFS(Resumo_Trocas!$E:$E,Resumo_Trocas!$A:$A,$C26,Resumo_Trocas!$F:$F,F$18,Resumo_Trocas!$C:$C,"&gt;0")</f>
        <v>0</v>
      </c>
      <c r="H26" s="140">
        <f>SUMIFS(Resumo_Trocas!$C:$C,Resumo_Trocas!$A:$A,$C26,Resumo_Trocas!$F:$F,H$18,Resumo_Trocas!$C:$C,"&gt;0")</f>
        <v>2</v>
      </c>
      <c r="I26" s="141">
        <f>SUMIFS(Resumo_Trocas!$E:$E,Resumo_Trocas!$A:$A,$C26,Resumo_Trocas!$F:$F,H$18,Resumo_Trocas!$C:$C,"&gt;0")</f>
        <v>1</v>
      </c>
      <c r="J26" s="140">
        <f>SUMIFS(Resumo_Trocas!$C:$C,Resumo_Trocas!$A:$A,$C26,Resumo_Trocas!$F:$F,J$18,Resumo_Trocas!$C:$C,"&gt;0")</f>
        <v>1</v>
      </c>
      <c r="K26" s="141">
        <f>SUMIFS(Resumo_Trocas!$E:$E,Resumo_Trocas!$A:$A,$C26,Resumo_Trocas!$F:$F,J$18,Resumo_Trocas!$C:$C,"&gt;0")</f>
        <v>0</v>
      </c>
      <c r="L26" s="140">
        <f>SUMIFS(Resumo_Trocas!$C:$C,Resumo_Trocas!$A:$A,$C26,Resumo_Trocas!$F:$F,L$18,Resumo_Trocas!$C:$C,"&gt;0")</f>
        <v>1</v>
      </c>
      <c r="M26" s="141">
        <f>SUMIFS(Resumo_Trocas!$E:$E,Resumo_Trocas!$A:$A,$C26,Resumo_Trocas!$F:$F,L$18,Resumo_Trocas!$C:$C,"&gt;0")</f>
        <v>1</v>
      </c>
      <c r="N26" s="140">
        <f>SUMIFS(Resumo_Trocas!$C:$C,Resumo_Trocas!$A:$A,$C26,Resumo_Trocas!$F:$F,N$18,Resumo_Trocas!$C:$C,"&gt;0")</f>
        <v>0</v>
      </c>
      <c r="O26" s="141">
        <f>SUMIFS(Resumo_Trocas!$E:$E,Resumo_Trocas!$A:$A,$C26,Resumo_Trocas!$F:$F,N$18,Resumo_Trocas!$C:$C,"&gt;0")</f>
        <v>0</v>
      </c>
      <c r="P26" s="140">
        <f>SUMIFS(Resumo_Trocas!$C:$C,Resumo_Trocas!$A:$A,$C26,Resumo_Trocas!$F:$F,P$18,Resumo_Trocas!$C:$C,"&gt;0")</f>
        <v>2</v>
      </c>
      <c r="Q26" s="141">
        <f>SUMIFS(Resumo_Trocas!$E:$E,Resumo_Trocas!$A:$A,$C26,Resumo_Trocas!$F:$F,P$18,Resumo_Trocas!$C:$C,"&gt;0")</f>
        <v>0</v>
      </c>
      <c r="R26" s="140">
        <f>SUMIFS(Resumo_Trocas!$C:$C,Resumo_Trocas!$A:$A,$C26,Resumo_Trocas!$F:$F,R$18,Resumo_Trocas!$C:$C,"&gt;0")</f>
        <v>0</v>
      </c>
      <c r="S26" s="141">
        <f>SUMIFS(Resumo_Trocas!$E:$E,Resumo_Trocas!$A:$A,$C26,Resumo_Trocas!$F:$F,R$18,Resumo_Trocas!$C:$C,"&gt;0")</f>
        <v>0</v>
      </c>
      <c r="T26" s="140">
        <f>SUMIFS(Resumo_Trocas!$C:$C,Resumo_Trocas!$A:$A,$C26,Resumo_Trocas!$F:$F,T$18,Resumo_Trocas!$C:$C,"&gt;0")</f>
        <v>1</v>
      </c>
      <c r="U26" s="141">
        <f>SUMIFS(Resumo_Trocas!$E:$E,Resumo_Trocas!$A:$A,$C26,Resumo_Trocas!$F:$F,T$18,Resumo_Trocas!$C:$C,"&gt;0")</f>
        <v>1</v>
      </c>
      <c r="V26" s="140">
        <f>SUMIFS(Resumo_Trocas!$C:$C,Resumo_Trocas!$A:$A,$C26,Resumo_Trocas!$F:$F,V$18,Resumo_Trocas!$C:$C,"&gt;0")</f>
        <v>1</v>
      </c>
      <c r="W26" s="141">
        <f>SUMIFS(Resumo_Trocas!$E:$E,Resumo_Trocas!$A:$A,$C26,Resumo_Trocas!$F:$F,V$18,Resumo_Trocas!$C:$C,"&gt;0")</f>
        <v>0</v>
      </c>
      <c r="X26" s="140">
        <f>SUMIFS(Resumo_Trocas!$C:$C,Resumo_Trocas!$A:$A,$C26,Resumo_Trocas!$F:$F,X$18,Resumo_Trocas!$C:$C,"&gt;0")</f>
        <v>1</v>
      </c>
      <c r="Y26" s="141">
        <f>SUMIFS(Resumo_Trocas!$E:$E,Resumo_Trocas!$A:$A,$C26,Resumo_Trocas!$F:$F,X$18,Resumo_Trocas!$C:$C,"&gt;0")</f>
        <v>0</v>
      </c>
      <c r="Z26" s="140">
        <f>SUMIFS(Resumo_Trocas!$C:$C,Resumo_Trocas!$A:$A,$C26,Resumo_Trocas!$F:$F,Z$18,Resumo_Trocas!$C:$C,"&gt;0")</f>
        <v>1</v>
      </c>
      <c r="AA26" s="141">
        <f>SUMIFS(Resumo_Trocas!$E:$E,Resumo_Trocas!$A:$A,$C26,Resumo_Trocas!$F:$F,Z$18,Resumo_Trocas!$C:$C,"&gt;0")</f>
        <v>1</v>
      </c>
      <c r="AB26" s="140">
        <f>SUMIFS(Resumo_Trocas!$C:$C,Resumo_Trocas!$A:$A,$C26,Resumo_Trocas!$F:$F,AB$18,Resumo_Trocas!$C:$C,"&gt;0")</f>
        <v>0</v>
      </c>
      <c r="AC26" s="141">
        <f>SUMIFS(Resumo_Trocas!$E:$E,Resumo_Trocas!$A:$A,$C26,Resumo_Trocas!$F:$F,AB$18,Resumo_Trocas!$C:$C,"&gt;0")</f>
        <v>0</v>
      </c>
      <c r="AD26" s="140">
        <f>SUMIFS(Resumo_Trocas!$C:$C,Resumo_Trocas!$A:$A,$C26,Resumo_Trocas!$F:$F,AD$18,Resumo_Trocas!$C:$C,"&gt;0")</f>
        <v>1</v>
      </c>
      <c r="AE26" s="141">
        <f>SUMIFS(Resumo_Trocas!$E:$E,Resumo_Trocas!$A:$A,$C26,Resumo_Trocas!$F:$F,AD$18,Resumo_Trocas!$C:$C,"&gt;0")</f>
        <v>0</v>
      </c>
      <c r="AF26" s="140">
        <f>SUMIFS(Resumo_Trocas!$C:$C,Resumo_Trocas!$A:$A,$C26,Resumo_Trocas!$F:$F,AF$18,Resumo_Trocas!$C:$C,"&gt;0")</f>
        <v>0</v>
      </c>
      <c r="AG26" s="141">
        <f>SUMIFS(Resumo_Trocas!$E:$E,Resumo_Trocas!$A:$A,$C26,Resumo_Trocas!$F:$F,AF$18,Resumo_Trocas!$C:$C,"&gt;0")</f>
        <v>0</v>
      </c>
      <c r="AH26" s="140">
        <f>SUMIFS(Resumo_Trocas!$C:$C,Resumo_Trocas!$A:$A,$C26,Resumo_Trocas!$F:$F,AH$18,Resumo_Trocas!$C:$C,"&gt;0")</f>
        <v>2</v>
      </c>
      <c r="AI26" s="141">
        <f>SUMIFS(Resumo_Trocas!$E:$E,Resumo_Trocas!$A:$A,$C26,Resumo_Trocas!$F:$F,AH$18,Resumo_Trocas!$C:$C,"&gt;0")</f>
        <v>1</v>
      </c>
      <c r="AJ26" s="140">
        <f>SUMIFS(Resumo_Trocas!$C:$C,Resumo_Trocas!$A:$A,$C26,Resumo_Trocas!$F:$F,AJ$18,Resumo_Trocas!$C:$C,"&gt;0")</f>
        <v>2</v>
      </c>
      <c r="AK26" s="141">
        <f>SUMIFS(Resumo_Trocas!$E:$E,Resumo_Trocas!$A:$A,$C26,Resumo_Trocas!$F:$F,AJ$18,Resumo_Trocas!$C:$C,"&gt;0")</f>
        <v>0</v>
      </c>
      <c r="AL26" s="140">
        <f>SUMIFS(Resumo_Trocas!$C:$C,Resumo_Trocas!$A:$A,$C26,Resumo_Trocas!$F:$F,AL$18,Resumo_Trocas!$C:$C,"&gt;0")</f>
        <v>0</v>
      </c>
      <c r="AM26" s="141">
        <f>SUMIFS(Resumo_Trocas!$E:$E,Resumo_Trocas!$A:$A,$C26,Resumo_Trocas!$F:$F,AL$18,Resumo_Trocas!$C:$C,"&gt;0")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SUMIFS(Resumo_Trocas!$E:$E,Resumo_Trocas!$A:$A,$C26,Resumo_Trocas!$F:$F,AN$18,Resumo_Trocas!$C:$C,"&gt;0")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12" t="s">
        <v>3430</v>
      </c>
      <c r="D27" s="140">
        <f>SUMIFS(Resumo_Trocas!$C:$C,Resumo_Trocas!$A:$A,$C27,Resumo_Trocas!$F:$F,D$18,Resumo_Trocas!$C:$C,"&gt;0")</f>
        <v>0</v>
      </c>
      <c r="E27" s="141">
        <f>SUMIFS(Resumo_Trocas!$E:$E,Resumo_Trocas!$A:$A,$C27,Resumo_Trocas!$F:$F,D$18,Resumo_Trocas!$C:$C,"&gt;0")</f>
        <v>0</v>
      </c>
      <c r="F27" s="140">
        <f>SUMIFS(Resumo_Trocas!$C:$C,Resumo_Trocas!$A:$A,$C27,Resumo_Trocas!$F:$F,F$18,Resumo_Trocas!$C:$C,"&gt;0")</f>
        <v>2</v>
      </c>
      <c r="G27" s="141">
        <f>SUMIFS(Resumo_Trocas!$E:$E,Resumo_Trocas!$A:$A,$C27,Resumo_Trocas!$F:$F,F$18,Resumo_Trocas!$C:$C,"&gt;0")</f>
        <v>1</v>
      </c>
      <c r="H27" s="140">
        <f>SUMIFS(Resumo_Trocas!$C:$C,Resumo_Trocas!$A:$A,$C27,Resumo_Trocas!$F:$F,H$18,Resumo_Trocas!$C:$C,"&gt;0")</f>
        <v>1</v>
      </c>
      <c r="I27" s="141">
        <f>SUMIFS(Resumo_Trocas!$E:$E,Resumo_Trocas!$A:$A,$C27,Resumo_Trocas!$F:$F,H$18,Resumo_Trocas!$C:$C,"&gt;0")</f>
        <v>0</v>
      </c>
      <c r="J27" s="140">
        <f>SUMIFS(Resumo_Trocas!$C:$C,Resumo_Trocas!$A:$A,$C27,Resumo_Trocas!$F:$F,J$18,Resumo_Trocas!$C:$C,"&gt;0")</f>
        <v>2</v>
      </c>
      <c r="K27" s="141">
        <f>SUMIFS(Resumo_Trocas!$E:$E,Resumo_Trocas!$A:$A,$C27,Resumo_Trocas!$F:$F,J$18,Resumo_Trocas!$C:$C,"&gt;0")</f>
        <v>1</v>
      </c>
      <c r="L27" s="140">
        <f>SUMIFS(Resumo_Trocas!$C:$C,Resumo_Trocas!$A:$A,$C27,Resumo_Trocas!$F:$F,L$18,Resumo_Trocas!$C:$C,"&gt;0")</f>
        <v>2</v>
      </c>
      <c r="M27" s="141">
        <f>SUMIFS(Resumo_Trocas!$E:$E,Resumo_Trocas!$A:$A,$C27,Resumo_Trocas!$F:$F,L$18,Resumo_Trocas!$C:$C,"&gt;0")</f>
        <v>0</v>
      </c>
      <c r="N27" s="140">
        <f>SUMIFS(Resumo_Trocas!$C:$C,Resumo_Trocas!$A:$A,$C27,Resumo_Trocas!$F:$F,N$18,Resumo_Trocas!$C:$C,"&gt;0")</f>
        <v>0</v>
      </c>
      <c r="O27" s="141">
        <f>SUMIFS(Resumo_Trocas!$E:$E,Resumo_Trocas!$A:$A,$C27,Resumo_Trocas!$F:$F,N$18,Resumo_Trocas!$C:$C,"&gt;0")</f>
        <v>0</v>
      </c>
      <c r="P27" s="140">
        <f>SUMIFS(Resumo_Trocas!$C:$C,Resumo_Trocas!$A:$A,$C27,Resumo_Trocas!$F:$F,P$18,Resumo_Trocas!$C:$C,"&gt;0")</f>
        <v>2</v>
      </c>
      <c r="Q27" s="141">
        <f>SUMIFS(Resumo_Trocas!$E:$E,Resumo_Trocas!$A:$A,$C27,Resumo_Trocas!$F:$F,P$18,Resumo_Trocas!$C:$C,"&gt;0")</f>
        <v>1</v>
      </c>
      <c r="R27" s="140">
        <f>SUMIFS(Resumo_Trocas!$C:$C,Resumo_Trocas!$A:$A,$C27,Resumo_Trocas!$F:$F,R$18,Resumo_Trocas!$C:$C,"&gt;0")</f>
        <v>1</v>
      </c>
      <c r="S27" s="141">
        <f>SUMIFS(Resumo_Trocas!$E:$E,Resumo_Trocas!$A:$A,$C27,Resumo_Trocas!$F:$F,R$18,Resumo_Trocas!$C:$C,"&gt;0")</f>
        <v>0</v>
      </c>
      <c r="T27" s="140">
        <f>SUMIFS(Resumo_Trocas!$C:$C,Resumo_Trocas!$A:$A,$C27,Resumo_Trocas!$F:$F,T$18,Resumo_Trocas!$C:$C,"&gt;0")</f>
        <v>1</v>
      </c>
      <c r="U27" s="141">
        <f>SUMIFS(Resumo_Trocas!$E:$E,Resumo_Trocas!$A:$A,$C27,Resumo_Trocas!$F:$F,T$18,Resumo_Trocas!$C:$C,"&gt;0")</f>
        <v>1</v>
      </c>
      <c r="V27" s="140">
        <f>SUMIFS(Resumo_Trocas!$C:$C,Resumo_Trocas!$A:$A,$C27,Resumo_Trocas!$F:$F,V$18,Resumo_Trocas!$C:$C,"&gt;0")</f>
        <v>1</v>
      </c>
      <c r="W27" s="141">
        <f>SUMIFS(Resumo_Trocas!$E:$E,Resumo_Trocas!$A:$A,$C27,Resumo_Trocas!$F:$F,V$18,Resumo_Trocas!$C:$C,"&gt;0")</f>
        <v>0</v>
      </c>
      <c r="X27" s="140">
        <f>SUMIFS(Resumo_Trocas!$C:$C,Resumo_Trocas!$A:$A,$C27,Resumo_Trocas!$F:$F,X$18,Resumo_Trocas!$C:$C,"&gt;0")</f>
        <v>2</v>
      </c>
      <c r="Y27" s="141">
        <f>SUMIFS(Resumo_Trocas!$E:$E,Resumo_Trocas!$A:$A,$C27,Resumo_Trocas!$F:$F,X$18,Resumo_Trocas!$C:$C,"&gt;0")</f>
        <v>1</v>
      </c>
      <c r="Z27" s="140">
        <f>SUMIFS(Resumo_Trocas!$C:$C,Resumo_Trocas!$A:$A,$C27,Resumo_Trocas!$F:$F,Z$18,Resumo_Trocas!$C:$C,"&gt;0")</f>
        <v>1</v>
      </c>
      <c r="AA27" s="141">
        <f>SUMIFS(Resumo_Trocas!$E:$E,Resumo_Trocas!$A:$A,$C27,Resumo_Trocas!$F:$F,Z$18,Resumo_Trocas!$C:$C,"&gt;0")</f>
        <v>0</v>
      </c>
      <c r="AB27" s="140">
        <f>SUMIFS(Resumo_Trocas!$C:$C,Resumo_Trocas!$A:$A,$C27,Resumo_Trocas!$F:$F,AB$18,Resumo_Trocas!$C:$C,"&gt;0")</f>
        <v>1</v>
      </c>
      <c r="AC27" s="141">
        <f>SUMIFS(Resumo_Trocas!$E:$E,Resumo_Trocas!$A:$A,$C27,Resumo_Trocas!$F:$F,AB$18,Resumo_Trocas!$C:$C,"&gt;0")</f>
        <v>0</v>
      </c>
      <c r="AD27" s="140">
        <f>SUMIFS(Resumo_Trocas!$C:$C,Resumo_Trocas!$A:$A,$C27,Resumo_Trocas!$F:$F,AD$18,Resumo_Trocas!$C:$C,"&gt;0")</f>
        <v>0</v>
      </c>
      <c r="AE27" s="141">
        <f>SUMIFS(Resumo_Trocas!$E:$E,Resumo_Trocas!$A:$A,$C27,Resumo_Trocas!$F:$F,AD$18,Resumo_Trocas!$C:$C,"&gt;0")</f>
        <v>0</v>
      </c>
      <c r="AF27" s="140">
        <f>SUMIFS(Resumo_Trocas!$C:$C,Resumo_Trocas!$A:$A,$C27,Resumo_Trocas!$F:$F,AF$18,Resumo_Trocas!$C:$C,"&gt;0")</f>
        <v>1</v>
      </c>
      <c r="AG27" s="141">
        <f>SUMIFS(Resumo_Trocas!$E:$E,Resumo_Trocas!$A:$A,$C27,Resumo_Trocas!$F:$F,AF$18,Resumo_Trocas!$C:$C,"&gt;0")</f>
        <v>0</v>
      </c>
      <c r="AH27" s="140">
        <f>SUMIFS(Resumo_Trocas!$C:$C,Resumo_Trocas!$A:$A,$C27,Resumo_Trocas!$F:$F,AH$18,Resumo_Trocas!$C:$C,"&gt;0")</f>
        <v>3</v>
      </c>
      <c r="AI27" s="141">
        <f>SUMIFS(Resumo_Trocas!$E:$E,Resumo_Trocas!$A:$A,$C27,Resumo_Trocas!$F:$F,AH$18,Resumo_Trocas!$C:$C,"&gt;0")</f>
        <v>1</v>
      </c>
      <c r="AJ27" s="140">
        <f>SUMIFS(Resumo_Trocas!$C:$C,Resumo_Trocas!$A:$A,$C27,Resumo_Trocas!$F:$F,AJ$18,Resumo_Trocas!$C:$C,"&gt;0")</f>
        <v>0</v>
      </c>
      <c r="AK27" s="141">
        <f>SUMIFS(Resumo_Trocas!$E:$E,Resumo_Trocas!$A:$A,$C27,Resumo_Trocas!$F:$F,AJ$18,Resumo_Trocas!$C:$C,"&gt;0")</f>
        <v>0</v>
      </c>
      <c r="AL27" s="140">
        <f>SUMIFS(Resumo_Trocas!$C:$C,Resumo_Trocas!$A:$A,$C27,Resumo_Trocas!$F:$F,AL$18,Resumo_Trocas!$C:$C,"&gt;0")</f>
        <v>0</v>
      </c>
      <c r="AM27" s="141">
        <f>SUMIFS(Resumo_Trocas!$E:$E,Resumo_Trocas!$A:$A,$C27,Resumo_Trocas!$F:$F,AL$18,Resumo_Trocas!$C:$C,"&gt;0")</f>
        <v>0</v>
      </c>
      <c r="AN27" s="140">
        <f>SUMIFS(Resumo_Trocas!$C:$C,Resumo_Trocas!$A:$A,$C27,Resumo_Trocas!$F:$F,AN$18,Resumo_Trocas!$C:$C,"&gt;0")</f>
        <v>0</v>
      </c>
      <c r="AO27" s="141">
        <f>SUMIFS(Resumo_Trocas!$E:$E,Resumo_Trocas!$A:$A,$C27,Resumo_Trocas!$F:$F,AN$18,Resumo_Trocas!$C:$C,"&gt;0")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12" t="s">
        <v>421</v>
      </c>
      <c r="D28" s="140">
        <f>SUMIFS(Resumo_Trocas!$C:$C,Resumo_Trocas!$A:$A,$C28,Resumo_Trocas!$F:$F,D$18,Resumo_Trocas!$C:$C,"&gt;0")</f>
        <v>3</v>
      </c>
      <c r="E28" s="141">
        <f>SUMIFS(Resumo_Trocas!$E:$E,Resumo_Trocas!$A:$A,$C28,Resumo_Trocas!$F:$F,D$18,Resumo_Trocas!$C:$C,"&gt;0")</f>
        <v>1</v>
      </c>
      <c r="F28" s="140">
        <f>SUMIFS(Resumo_Trocas!$C:$C,Resumo_Trocas!$A:$A,$C28,Resumo_Trocas!$F:$F,F$18,Resumo_Trocas!$C:$C,"&gt;0")</f>
        <v>0</v>
      </c>
      <c r="G28" s="141">
        <f>SUMIFS(Resumo_Trocas!$E:$E,Resumo_Trocas!$A:$A,$C28,Resumo_Trocas!$F:$F,F$18,Resumo_Trocas!$C:$C,"&gt;0")</f>
        <v>0</v>
      </c>
      <c r="H28" s="140">
        <f>SUMIFS(Resumo_Trocas!$C:$C,Resumo_Trocas!$A:$A,$C28,Resumo_Trocas!$F:$F,H$18,Resumo_Trocas!$C:$C,"&gt;0")</f>
        <v>0</v>
      </c>
      <c r="I28" s="141">
        <f>SUMIFS(Resumo_Trocas!$E:$E,Resumo_Trocas!$A:$A,$C28,Resumo_Trocas!$F:$F,H$18,Resumo_Trocas!$C:$C,"&gt;0")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SUMIFS(Resumo_Trocas!$E:$E,Resumo_Trocas!$A:$A,$C28,Resumo_Trocas!$F:$F,J$18,Resumo_Trocas!$C:$C,"&gt;0")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SUMIFS(Resumo_Trocas!$E:$E,Resumo_Trocas!$A:$A,$C28,Resumo_Trocas!$F:$F,L$18,Resumo_Trocas!$C:$C,"&gt;0")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SUMIFS(Resumo_Trocas!$E:$E,Resumo_Trocas!$A:$A,$C28,Resumo_Trocas!$F:$F,N$18,Resumo_Trocas!$C:$C,"&gt;0")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SUMIFS(Resumo_Trocas!$E:$E,Resumo_Trocas!$A:$A,$C28,Resumo_Trocas!$F:$F,P$18,Resumo_Trocas!$C:$C,"&gt;0")</f>
        <v>0</v>
      </c>
      <c r="R28" s="140">
        <f>SUMIFS(Resumo_Trocas!$C:$C,Resumo_Trocas!$A:$A,$C28,Resumo_Trocas!$F:$F,R$18,Resumo_Trocas!$C:$C,"&gt;0")</f>
        <v>1</v>
      </c>
      <c r="S28" s="141">
        <f>SUMIFS(Resumo_Trocas!$E:$E,Resumo_Trocas!$A:$A,$C28,Resumo_Trocas!$F:$F,R$18,Resumo_Trocas!$C:$C,"&gt;0")</f>
        <v>0</v>
      </c>
      <c r="T28" s="140">
        <f>SUMIFS(Resumo_Trocas!$C:$C,Resumo_Trocas!$A:$A,$C28,Resumo_Trocas!$F:$F,T$18,Resumo_Trocas!$C:$C,"&gt;0")</f>
        <v>0</v>
      </c>
      <c r="U28" s="141">
        <f>SUMIFS(Resumo_Trocas!$E:$E,Resumo_Trocas!$A:$A,$C28,Resumo_Trocas!$F:$F,T$18,Resumo_Trocas!$C:$C,"&gt;0")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SUMIFS(Resumo_Trocas!$E:$E,Resumo_Trocas!$A:$A,$C28,Resumo_Trocas!$F:$F,V$18,Resumo_Trocas!$C:$C,"&gt;0")</f>
        <v>0</v>
      </c>
      <c r="X28" s="140">
        <f>SUMIFS(Resumo_Trocas!$C:$C,Resumo_Trocas!$A:$A,$C28,Resumo_Trocas!$F:$F,X$18,Resumo_Trocas!$C:$C,"&gt;0")</f>
        <v>1</v>
      </c>
      <c r="Y28" s="141">
        <f>SUMIFS(Resumo_Trocas!$E:$E,Resumo_Trocas!$A:$A,$C28,Resumo_Trocas!$F:$F,X$18,Resumo_Trocas!$C:$C,"&gt;0")</f>
        <v>0</v>
      </c>
      <c r="Z28" s="140">
        <f>SUMIFS(Resumo_Trocas!$C:$C,Resumo_Trocas!$A:$A,$C28,Resumo_Trocas!$F:$F,Z$18,Resumo_Trocas!$C:$C,"&gt;0")</f>
        <v>0</v>
      </c>
      <c r="AA28" s="141">
        <f>SUMIFS(Resumo_Trocas!$E:$E,Resumo_Trocas!$A:$A,$C28,Resumo_Trocas!$F:$F,Z$18,Resumo_Trocas!$C:$C,"&gt;0")</f>
        <v>0</v>
      </c>
      <c r="AB28" s="140">
        <f>SUMIFS(Resumo_Trocas!$C:$C,Resumo_Trocas!$A:$A,$C28,Resumo_Trocas!$F:$F,AB$18,Resumo_Trocas!$C:$C,"&gt;0")</f>
        <v>1</v>
      </c>
      <c r="AC28" s="141">
        <f>SUMIFS(Resumo_Trocas!$E:$E,Resumo_Trocas!$A:$A,$C28,Resumo_Trocas!$F:$F,AB$18,Resumo_Trocas!$C:$C,"&gt;0")</f>
        <v>1</v>
      </c>
      <c r="AD28" s="140">
        <f>SUMIFS(Resumo_Trocas!$C:$C,Resumo_Trocas!$A:$A,$C28,Resumo_Trocas!$F:$F,AD$18,Resumo_Trocas!$C:$C,"&gt;0")</f>
        <v>0</v>
      </c>
      <c r="AE28" s="141">
        <f>SUMIFS(Resumo_Trocas!$E:$E,Resumo_Trocas!$A:$A,$C28,Resumo_Trocas!$F:$F,AD$18,Resumo_Trocas!$C:$C,"&gt;0")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SUMIFS(Resumo_Trocas!$E:$E,Resumo_Trocas!$A:$A,$C28,Resumo_Trocas!$F:$F,AF$18,Resumo_Trocas!$C:$C,"&gt;0")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SUMIFS(Resumo_Trocas!$E:$E,Resumo_Trocas!$A:$A,$C28,Resumo_Trocas!$F:$F,AH$18,Resumo_Trocas!$C:$C,"&gt;0")</f>
        <v>0</v>
      </c>
      <c r="AJ28" s="140">
        <f>SUMIFS(Resumo_Trocas!$C:$C,Resumo_Trocas!$A:$A,$C28,Resumo_Trocas!$F:$F,AJ$18,Resumo_Trocas!$C:$C,"&gt;0")</f>
        <v>1</v>
      </c>
      <c r="AK28" s="141">
        <f>SUMIFS(Resumo_Trocas!$E:$E,Resumo_Trocas!$A:$A,$C28,Resumo_Trocas!$F:$F,AJ$18,Resumo_Trocas!$C:$C,"&gt;0")</f>
        <v>0</v>
      </c>
      <c r="AL28" s="140">
        <f>SUMIFS(Resumo_Trocas!$C:$C,Resumo_Trocas!$A:$A,$C28,Resumo_Trocas!$F:$F,AL$18,Resumo_Trocas!$C:$C,"&gt;0")</f>
        <v>0</v>
      </c>
      <c r="AM28" s="141">
        <f>SUMIFS(Resumo_Trocas!$E:$E,Resumo_Trocas!$A:$A,$C28,Resumo_Trocas!$F:$F,AL$18,Resumo_Trocas!$C:$C,"&gt;0")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SUMIFS(Resumo_Trocas!$E:$E,Resumo_Trocas!$A:$A,$C28,Resumo_Trocas!$F:$F,AN$18,Resumo_Trocas!$C:$C,"&gt;0")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12" t="s">
        <v>3431</v>
      </c>
      <c r="D29" s="140">
        <f>SUMIFS(Resumo_Trocas!$C:$C,Resumo_Trocas!$A:$A,$C29,Resumo_Trocas!$F:$F,D$18,Resumo_Trocas!$C:$C,"&gt;0")</f>
        <v>1</v>
      </c>
      <c r="E29" s="141">
        <f>SUMIFS(Resumo_Trocas!$E:$E,Resumo_Trocas!$A:$A,$C29,Resumo_Trocas!$F:$F,D$18,Resumo_Trocas!$C:$C,"&gt;0")</f>
        <v>0</v>
      </c>
      <c r="F29" s="140">
        <f>SUMIFS(Resumo_Trocas!$C:$C,Resumo_Trocas!$A:$A,$C29,Resumo_Trocas!$F:$F,F$18,Resumo_Trocas!$C:$C,"&gt;0")</f>
        <v>2</v>
      </c>
      <c r="G29" s="141">
        <f>SUMIFS(Resumo_Trocas!$E:$E,Resumo_Trocas!$A:$A,$C29,Resumo_Trocas!$F:$F,F$18,Resumo_Trocas!$C:$C,"&gt;0")</f>
        <v>0</v>
      </c>
      <c r="H29" s="140">
        <f>SUMIFS(Resumo_Trocas!$C:$C,Resumo_Trocas!$A:$A,$C29,Resumo_Trocas!$F:$F,H$18,Resumo_Trocas!$C:$C,"&gt;0")</f>
        <v>1</v>
      </c>
      <c r="I29" s="141">
        <f>SUMIFS(Resumo_Trocas!$E:$E,Resumo_Trocas!$A:$A,$C29,Resumo_Trocas!$F:$F,H$18,Resumo_Trocas!$C:$C,"&gt;0")</f>
        <v>1</v>
      </c>
      <c r="J29" s="140">
        <f>SUMIFS(Resumo_Trocas!$C:$C,Resumo_Trocas!$A:$A,$C29,Resumo_Trocas!$F:$F,J$18,Resumo_Trocas!$C:$C,"&gt;0")</f>
        <v>1</v>
      </c>
      <c r="K29" s="141">
        <f>SUMIFS(Resumo_Trocas!$E:$E,Resumo_Trocas!$A:$A,$C29,Resumo_Trocas!$F:$F,J$18,Resumo_Trocas!$C:$C,"&gt;0")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SUMIFS(Resumo_Trocas!$E:$E,Resumo_Trocas!$A:$A,$C29,Resumo_Trocas!$F:$F,L$18,Resumo_Trocas!$C:$C,"&gt;0")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SUMIFS(Resumo_Trocas!$E:$E,Resumo_Trocas!$A:$A,$C29,Resumo_Trocas!$F:$F,N$18,Resumo_Trocas!$C:$C,"&gt;0")</f>
        <v>0</v>
      </c>
      <c r="P29" s="140">
        <f>SUMIFS(Resumo_Trocas!$C:$C,Resumo_Trocas!$A:$A,$C29,Resumo_Trocas!$F:$F,P$18,Resumo_Trocas!$C:$C,"&gt;0")</f>
        <v>1</v>
      </c>
      <c r="Q29" s="141">
        <f>SUMIFS(Resumo_Trocas!$E:$E,Resumo_Trocas!$A:$A,$C29,Resumo_Trocas!$F:$F,P$18,Resumo_Trocas!$C:$C,"&gt;0")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SUMIFS(Resumo_Trocas!$E:$E,Resumo_Trocas!$A:$A,$C29,Resumo_Trocas!$F:$F,R$18,Resumo_Trocas!$C:$C,"&gt;0")</f>
        <v>0</v>
      </c>
      <c r="T29" s="140">
        <f>SUMIFS(Resumo_Trocas!$C:$C,Resumo_Trocas!$A:$A,$C29,Resumo_Trocas!$F:$F,T$18,Resumo_Trocas!$C:$C,"&gt;0")</f>
        <v>1</v>
      </c>
      <c r="U29" s="141">
        <f>SUMIFS(Resumo_Trocas!$E:$E,Resumo_Trocas!$A:$A,$C29,Resumo_Trocas!$F:$F,T$18,Resumo_Trocas!$C:$C,"&gt;0")</f>
        <v>1</v>
      </c>
      <c r="V29" s="140">
        <f>SUMIFS(Resumo_Trocas!$C:$C,Resumo_Trocas!$A:$A,$C29,Resumo_Trocas!$F:$F,V$18,Resumo_Trocas!$C:$C,"&gt;0")</f>
        <v>0</v>
      </c>
      <c r="W29" s="141">
        <f>SUMIFS(Resumo_Trocas!$E:$E,Resumo_Trocas!$A:$A,$C29,Resumo_Trocas!$F:$F,V$18,Resumo_Trocas!$C:$C,"&gt;0")</f>
        <v>0</v>
      </c>
      <c r="X29" s="140">
        <f>SUMIFS(Resumo_Trocas!$C:$C,Resumo_Trocas!$A:$A,$C29,Resumo_Trocas!$F:$F,X$18,Resumo_Trocas!$C:$C,"&gt;0")</f>
        <v>1</v>
      </c>
      <c r="Y29" s="141">
        <f>SUMIFS(Resumo_Trocas!$E:$E,Resumo_Trocas!$A:$A,$C29,Resumo_Trocas!$F:$F,X$18,Resumo_Trocas!$C:$C,"&gt;0")</f>
        <v>0</v>
      </c>
      <c r="Z29" s="140">
        <f>SUMIFS(Resumo_Trocas!$C:$C,Resumo_Trocas!$A:$A,$C29,Resumo_Trocas!$F:$F,Z$18,Resumo_Trocas!$C:$C,"&gt;0")</f>
        <v>0</v>
      </c>
      <c r="AA29" s="141">
        <f>SUMIFS(Resumo_Trocas!$E:$E,Resumo_Trocas!$A:$A,$C29,Resumo_Trocas!$F:$F,Z$18,Resumo_Trocas!$C:$C,"&gt;0")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SUMIFS(Resumo_Trocas!$E:$E,Resumo_Trocas!$A:$A,$C29,Resumo_Trocas!$F:$F,AB$18,Resumo_Trocas!$C:$C,"&gt;0")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SUMIFS(Resumo_Trocas!$E:$E,Resumo_Trocas!$A:$A,$C29,Resumo_Trocas!$F:$F,AD$18,Resumo_Trocas!$C:$C,"&gt;0")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SUMIFS(Resumo_Trocas!$E:$E,Resumo_Trocas!$A:$A,$C29,Resumo_Trocas!$F:$F,AF$18,Resumo_Trocas!$C:$C,"&gt;0")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SUMIFS(Resumo_Trocas!$E:$E,Resumo_Trocas!$A:$A,$C29,Resumo_Trocas!$F:$F,AH$18,Resumo_Trocas!$C:$C,"&gt;0")</f>
        <v>0</v>
      </c>
      <c r="AJ29" s="140">
        <f>SUMIFS(Resumo_Trocas!$C:$C,Resumo_Trocas!$A:$A,$C29,Resumo_Trocas!$F:$F,AJ$18,Resumo_Trocas!$C:$C,"&gt;0")</f>
        <v>1</v>
      </c>
      <c r="AK29" s="141">
        <f>SUMIFS(Resumo_Trocas!$E:$E,Resumo_Trocas!$A:$A,$C29,Resumo_Trocas!$F:$F,AJ$18,Resumo_Trocas!$C:$C,"&gt;0")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SUMIFS(Resumo_Trocas!$E:$E,Resumo_Trocas!$A:$A,$C29,Resumo_Trocas!$F:$F,AL$18,Resumo_Trocas!$C:$C,"&gt;0")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SUMIFS(Resumo_Trocas!$E:$E,Resumo_Trocas!$A:$A,$C29,Resumo_Trocas!$F:$F,AN$18,Resumo_Trocas!$C:$C,"&gt;0")</f>
        <v>0</v>
      </c>
      <c r="AP29" s="75"/>
      <c r="AQ29" s="75"/>
    </row>
    <row r="30" spans="2:43" ht="18" customHeight="1" outlineLevel="1" thickBot="1" x14ac:dyDescent="0.4">
      <c r="B30" s="76"/>
      <c r="C30" s="113" t="s">
        <v>3432</v>
      </c>
      <c r="D30" s="142">
        <f>SUMIFS(Resumo_Trocas!$C:$C,Resumo_Trocas!$A:$A,$C30,Resumo_Trocas!$F:$F,D$18,Resumo_Trocas!$C:$C,"&gt;0")</f>
        <v>0</v>
      </c>
      <c r="E30" s="143">
        <f>SUMIFS(Resumo_Trocas!$E:$E,Resumo_Trocas!$A:$A,$C30,Resumo_Trocas!$F:$F,D$18,Resumo_Trocas!$C:$C,"&gt;0")</f>
        <v>0</v>
      </c>
      <c r="F30" s="142">
        <f>SUMIFS(Resumo_Trocas!$C:$C,Resumo_Trocas!$A:$A,$C30,Resumo_Trocas!$F:$F,F$18,Resumo_Trocas!$C:$C,"&gt;0")</f>
        <v>0</v>
      </c>
      <c r="G30" s="143">
        <f>SUMIFS(Resumo_Trocas!$E:$E,Resumo_Trocas!$A:$A,$C30,Resumo_Trocas!$F:$F,F$18,Resumo_Trocas!$C:$C,"&gt;0")</f>
        <v>0</v>
      </c>
      <c r="H30" s="142">
        <f>SUMIFS(Resumo_Trocas!$C:$C,Resumo_Trocas!$A:$A,$C30,Resumo_Trocas!$F:$F,H$18,Resumo_Trocas!$C:$C,"&gt;0")</f>
        <v>1</v>
      </c>
      <c r="I30" s="143">
        <f>SUMIFS(Resumo_Trocas!$E:$E,Resumo_Trocas!$A:$A,$C30,Resumo_Trocas!$F:$F,H$18,Resumo_Trocas!$C:$C,"&gt;0")</f>
        <v>0</v>
      </c>
      <c r="J30" s="142">
        <f>SUMIFS(Resumo_Trocas!$C:$C,Resumo_Trocas!$A:$A,$C30,Resumo_Trocas!$F:$F,J$18,Resumo_Trocas!$C:$C,"&gt;0")</f>
        <v>1</v>
      </c>
      <c r="K30" s="143">
        <f>SUMIFS(Resumo_Trocas!$E:$E,Resumo_Trocas!$A:$A,$C30,Resumo_Trocas!$F:$F,J$18,Resumo_Trocas!$C:$C,"&gt;0")</f>
        <v>1</v>
      </c>
      <c r="L30" s="142">
        <f>SUMIFS(Resumo_Trocas!$C:$C,Resumo_Trocas!$A:$A,$C30,Resumo_Trocas!$F:$F,L$18,Resumo_Trocas!$C:$C,"&gt;0")</f>
        <v>1</v>
      </c>
      <c r="M30" s="143">
        <f>SUMIFS(Resumo_Trocas!$E:$E,Resumo_Trocas!$A:$A,$C30,Resumo_Trocas!$F:$F,L$18,Resumo_Trocas!$C:$C,"&gt;0")</f>
        <v>0</v>
      </c>
      <c r="N30" s="142">
        <f>SUMIFS(Resumo_Trocas!$C:$C,Resumo_Trocas!$A:$A,$C30,Resumo_Trocas!$F:$F,N$18,Resumo_Trocas!$C:$C,"&gt;0")</f>
        <v>0</v>
      </c>
      <c r="O30" s="143">
        <f>SUMIFS(Resumo_Trocas!$E:$E,Resumo_Trocas!$A:$A,$C30,Resumo_Trocas!$F:$F,N$18,Resumo_Trocas!$C:$C,"&gt;0")</f>
        <v>0</v>
      </c>
      <c r="P30" s="142">
        <f>SUMIFS(Resumo_Trocas!$C:$C,Resumo_Trocas!$A:$A,$C30,Resumo_Trocas!$F:$F,P$18,Resumo_Trocas!$C:$C,"&gt;0")</f>
        <v>1</v>
      </c>
      <c r="Q30" s="143">
        <f>SUMIFS(Resumo_Trocas!$E:$E,Resumo_Trocas!$A:$A,$C30,Resumo_Trocas!$F:$F,P$18,Resumo_Trocas!$C:$C,"&gt;0")</f>
        <v>1</v>
      </c>
      <c r="R30" s="142">
        <f>SUMIFS(Resumo_Trocas!$C:$C,Resumo_Trocas!$A:$A,$C30,Resumo_Trocas!$F:$F,R$18,Resumo_Trocas!$C:$C,"&gt;0")</f>
        <v>0</v>
      </c>
      <c r="S30" s="143">
        <f>SUMIFS(Resumo_Trocas!$E:$E,Resumo_Trocas!$A:$A,$C30,Resumo_Trocas!$F:$F,R$18,Resumo_Trocas!$C:$C,"&gt;0")</f>
        <v>0</v>
      </c>
      <c r="T30" s="142">
        <f>SUMIFS(Resumo_Trocas!$C:$C,Resumo_Trocas!$A:$A,$C30,Resumo_Trocas!$F:$F,T$18,Resumo_Trocas!$C:$C,"&gt;0")</f>
        <v>1</v>
      </c>
      <c r="U30" s="143">
        <f>SUMIFS(Resumo_Trocas!$E:$E,Resumo_Trocas!$A:$A,$C30,Resumo_Trocas!$F:$F,T$18,Resumo_Trocas!$C:$C,"&gt;0")</f>
        <v>0</v>
      </c>
      <c r="V30" s="142">
        <f>SUMIFS(Resumo_Trocas!$C:$C,Resumo_Trocas!$A:$A,$C30,Resumo_Trocas!$F:$F,V$18,Resumo_Trocas!$C:$C,"&gt;0")</f>
        <v>0</v>
      </c>
      <c r="W30" s="143">
        <f>SUMIFS(Resumo_Trocas!$E:$E,Resumo_Trocas!$A:$A,$C30,Resumo_Trocas!$F:$F,V$18,Resumo_Trocas!$C:$C,"&gt;0")</f>
        <v>0</v>
      </c>
      <c r="X30" s="142">
        <f>SUMIFS(Resumo_Trocas!$C:$C,Resumo_Trocas!$A:$A,$C30,Resumo_Trocas!$F:$F,X$18,Resumo_Trocas!$C:$C,"&gt;0")</f>
        <v>0</v>
      </c>
      <c r="Y30" s="143">
        <f>SUMIFS(Resumo_Trocas!$E:$E,Resumo_Trocas!$A:$A,$C30,Resumo_Trocas!$F:$F,X$18,Resumo_Trocas!$C:$C,"&gt;0")</f>
        <v>0</v>
      </c>
      <c r="Z30" s="142">
        <f>SUMIFS(Resumo_Trocas!$C:$C,Resumo_Trocas!$A:$A,$C30,Resumo_Trocas!$F:$F,Z$18,Resumo_Trocas!$C:$C,"&gt;0")</f>
        <v>0</v>
      </c>
      <c r="AA30" s="143">
        <f>SUMIFS(Resumo_Trocas!$E:$E,Resumo_Trocas!$A:$A,$C30,Resumo_Trocas!$F:$F,Z$18,Resumo_Trocas!$C:$C,"&gt;0")</f>
        <v>0</v>
      </c>
      <c r="AB30" s="142">
        <f>SUMIFS(Resumo_Trocas!$C:$C,Resumo_Trocas!$A:$A,$C30,Resumo_Trocas!$F:$F,AB$18,Resumo_Trocas!$C:$C,"&gt;0")</f>
        <v>0</v>
      </c>
      <c r="AC30" s="143">
        <f>SUMIFS(Resumo_Trocas!$E:$E,Resumo_Trocas!$A:$A,$C30,Resumo_Trocas!$F:$F,AB$18,Resumo_Trocas!$C:$C,"&gt;0")</f>
        <v>0</v>
      </c>
      <c r="AD30" s="142">
        <f>SUMIFS(Resumo_Trocas!$C:$C,Resumo_Trocas!$A:$A,$C30,Resumo_Trocas!$F:$F,AD$18,Resumo_Trocas!$C:$C,"&gt;0")</f>
        <v>0</v>
      </c>
      <c r="AE30" s="143">
        <f>SUMIFS(Resumo_Trocas!$E:$E,Resumo_Trocas!$A:$A,$C30,Resumo_Trocas!$F:$F,AD$18,Resumo_Trocas!$C:$C,"&gt;0")</f>
        <v>0</v>
      </c>
      <c r="AF30" s="142">
        <f>SUMIFS(Resumo_Trocas!$C:$C,Resumo_Trocas!$A:$A,$C30,Resumo_Trocas!$F:$F,AF$18,Resumo_Trocas!$C:$C,"&gt;0")</f>
        <v>1</v>
      </c>
      <c r="AG30" s="143">
        <f>SUMIFS(Resumo_Trocas!$E:$E,Resumo_Trocas!$A:$A,$C30,Resumo_Trocas!$F:$F,AF$18,Resumo_Trocas!$C:$C,"&gt;0")</f>
        <v>1</v>
      </c>
      <c r="AH30" s="142">
        <f>SUMIFS(Resumo_Trocas!$C:$C,Resumo_Trocas!$A:$A,$C30,Resumo_Trocas!$F:$F,AH$18,Resumo_Trocas!$C:$C,"&gt;0")</f>
        <v>0</v>
      </c>
      <c r="AI30" s="143">
        <f>SUMIFS(Resumo_Trocas!$E:$E,Resumo_Trocas!$A:$A,$C30,Resumo_Trocas!$F:$F,AH$18,Resumo_Trocas!$C:$C,"&gt;0")</f>
        <v>0</v>
      </c>
      <c r="AJ30" s="142">
        <f>SUMIFS(Resumo_Trocas!$C:$C,Resumo_Trocas!$A:$A,$C30,Resumo_Trocas!$F:$F,AJ$18,Resumo_Trocas!$C:$C,"&gt;0")</f>
        <v>0</v>
      </c>
      <c r="AK30" s="143">
        <f>SUMIFS(Resumo_Trocas!$E:$E,Resumo_Trocas!$A:$A,$C30,Resumo_Trocas!$F:$F,AJ$18,Resumo_Trocas!$C:$C,"&gt;0")</f>
        <v>0</v>
      </c>
      <c r="AL30" s="142">
        <f>SUMIFS(Resumo_Trocas!$C:$C,Resumo_Trocas!$A:$A,$C30,Resumo_Trocas!$F:$F,AL$18,Resumo_Trocas!$C:$C,"&gt;0")</f>
        <v>0</v>
      </c>
      <c r="AM30" s="143">
        <f>SUMIFS(Resumo_Trocas!$E:$E,Resumo_Trocas!$A:$A,$C30,Resumo_Trocas!$F:$F,AL$18,Resumo_Trocas!$C:$C,"&gt;0")</f>
        <v>0</v>
      </c>
      <c r="AN30" s="142">
        <f>SUMIFS(Resumo_Trocas!$C:$C,Resumo_Trocas!$A:$A,$C30,Resumo_Trocas!$F:$F,AN$18,Resumo_Trocas!$C:$C,"&gt;0")</f>
        <v>0</v>
      </c>
      <c r="AO30" s="143">
        <f>SUMIFS(Resumo_Trocas!$E:$E,Resumo_Trocas!$A:$A,$C30,Resumo_Trocas!$F:$F,AN$18,Resumo_Trocas!$C:$C,"&gt;0")</f>
        <v>0</v>
      </c>
      <c r="AP30" s="75"/>
      <c r="AQ30" s="75"/>
    </row>
    <row r="31" spans="2:43" ht="15.75" outlineLevel="1" thickBot="1" x14ac:dyDescent="0.3">
      <c r="B31" s="76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</row>
    <row r="32" spans="2:43" ht="21" customHeight="1" thickBot="1" x14ac:dyDescent="0.3">
      <c r="B32" s="72" t="s">
        <v>3395</v>
      </c>
      <c r="C32" s="215" t="s">
        <v>3397</v>
      </c>
      <c r="D32" s="211" t="s">
        <v>3372</v>
      </c>
      <c r="E32" s="212"/>
      <c r="F32" s="211" t="s">
        <v>3373</v>
      </c>
      <c r="G32" s="212"/>
      <c r="H32" s="213" t="s">
        <v>3374</v>
      </c>
      <c r="I32" s="214"/>
      <c r="J32" s="211" t="s">
        <v>3370</v>
      </c>
      <c r="K32" s="212"/>
      <c r="L32" s="211" t="s">
        <v>3371</v>
      </c>
      <c r="M32" s="212"/>
      <c r="N32" s="211" t="s">
        <v>3375</v>
      </c>
      <c r="O32" s="212"/>
      <c r="P32" s="211" t="s">
        <v>3367</v>
      </c>
      <c r="Q32" s="212"/>
      <c r="R32" s="211" t="s">
        <v>3368</v>
      </c>
      <c r="S32" s="212"/>
      <c r="T32" s="211" t="s">
        <v>3369</v>
      </c>
      <c r="U32" s="212"/>
      <c r="V32" s="213" t="s">
        <v>3358</v>
      </c>
      <c r="W32" s="214"/>
      <c r="X32" s="211" t="s">
        <v>3363</v>
      </c>
      <c r="Y32" s="212"/>
      <c r="Z32" s="211" t="s">
        <v>3361</v>
      </c>
      <c r="AA32" s="212"/>
      <c r="AB32" s="211" t="s">
        <v>3359</v>
      </c>
      <c r="AC32" s="212"/>
      <c r="AD32" s="211" t="s">
        <v>3366</v>
      </c>
      <c r="AE32" s="212"/>
      <c r="AF32" s="213" t="s">
        <v>3364</v>
      </c>
      <c r="AG32" s="214"/>
      <c r="AH32" s="211" t="s">
        <v>3360</v>
      </c>
      <c r="AI32" s="212"/>
      <c r="AJ32" s="211" t="s">
        <v>3362</v>
      </c>
      <c r="AK32" s="212"/>
      <c r="AL32" s="211" t="s">
        <v>3365</v>
      </c>
      <c r="AM32" s="212"/>
      <c r="AN32" s="201" t="s">
        <v>3486</v>
      </c>
      <c r="AO32" s="202"/>
    </row>
    <row r="33" spans="2:41" s="75" customFormat="1" ht="21" customHeight="1" thickBot="1" x14ac:dyDescent="0.4">
      <c r="B33" s="98" t="s">
        <v>3395</v>
      </c>
      <c r="C33" s="216"/>
      <c r="D33" s="103" t="s">
        <v>3487</v>
      </c>
      <c r="E33" s="104" t="s">
        <v>3353</v>
      </c>
      <c r="F33" s="105" t="s">
        <v>3487</v>
      </c>
      <c r="G33" s="104" t="s">
        <v>3353</v>
      </c>
      <c r="H33" s="105" t="s">
        <v>3487</v>
      </c>
      <c r="I33" s="104" t="s">
        <v>3353</v>
      </c>
      <c r="J33" s="105" t="s">
        <v>3487</v>
      </c>
      <c r="K33" s="104" t="s">
        <v>3353</v>
      </c>
      <c r="L33" s="105" t="s">
        <v>3487</v>
      </c>
      <c r="M33" s="104" t="s">
        <v>3353</v>
      </c>
      <c r="N33" s="105" t="s">
        <v>3487</v>
      </c>
      <c r="O33" s="104" t="s">
        <v>3353</v>
      </c>
      <c r="P33" s="105" t="s">
        <v>3487</v>
      </c>
      <c r="Q33" s="104" t="s">
        <v>3353</v>
      </c>
      <c r="R33" s="105" t="s">
        <v>3487</v>
      </c>
      <c r="S33" s="104" t="s">
        <v>3353</v>
      </c>
      <c r="T33" s="105" t="s">
        <v>3487</v>
      </c>
      <c r="U33" s="104" t="s">
        <v>3353</v>
      </c>
      <c r="V33" s="105" t="s">
        <v>3487</v>
      </c>
      <c r="W33" s="104" t="s">
        <v>3353</v>
      </c>
      <c r="X33" s="105" t="s">
        <v>3487</v>
      </c>
      <c r="Y33" s="104" t="s">
        <v>3353</v>
      </c>
      <c r="Z33" s="105" t="s">
        <v>3487</v>
      </c>
      <c r="AA33" s="104" t="s">
        <v>3353</v>
      </c>
      <c r="AB33" s="105" t="s">
        <v>3487</v>
      </c>
      <c r="AC33" s="104" t="s">
        <v>3353</v>
      </c>
      <c r="AD33" s="105" t="s">
        <v>3487</v>
      </c>
      <c r="AE33" s="104" t="s">
        <v>3353</v>
      </c>
      <c r="AF33" s="105" t="s">
        <v>3487</v>
      </c>
      <c r="AG33" s="104" t="s">
        <v>3353</v>
      </c>
      <c r="AH33" s="105" t="s">
        <v>3487</v>
      </c>
      <c r="AI33" s="104" t="s">
        <v>3353</v>
      </c>
      <c r="AJ33" s="105" t="s">
        <v>3487</v>
      </c>
      <c r="AK33" s="104" t="s">
        <v>3353</v>
      </c>
      <c r="AL33" s="105" t="s">
        <v>3487</v>
      </c>
      <c r="AM33" s="104" t="s">
        <v>3353</v>
      </c>
      <c r="AN33" s="105" t="s">
        <v>3487</v>
      </c>
      <c r="AO33" s="106" t="s">
        <v>3353</v>
      </c>
    </row>
    <row r="34" spans="2:41" ht="21.75" customHeight="1" outlineLevel="1" thickBot="1" x14ac:dyDescent="0.3">
      <c r="B34" s="76"/>
      <c r="C34" s="114" t="s">
        <v>3399</v>
      </c>
      <c r="D34" s="144">
        <f>IFERROR(SUM(D35:D41)," ")</f>
        <v>15</v>
      </c>
      <c r="E34" s="145">
        <f>IFERROR(SUM(E35:E41)," ")</f>
        <v>4</v>
      </c>
      <c r="F34" s="99">
        <f>IFERROR(SUM(F35:F41)," ")</f>
        <v>20</v>
      </c>
      <c r="G34" s="100">
        <f>IFERROR(SUM(G35:G41)," ")</f>
        <v>10</v>
      </c>
      <c r="H34" s="99">
        <f t="shared" ref="H34:U34" si="4">IFERROR(SUM(H35:H41)," ")</f>
        <v>13</v>
      </c>
      <c r="I34" s="100">
        <f t="shared" si="4"/>
        <v>1</v>
      </c>
      <c r="J34" s="99">
        <f t="shared" si="4"/>
        <v>10</v>
      </c>
      <c r="K34" s="100">
        <f t="shared" si="4"/>
        <v>2</v>
      </c>
      <c r="L34" s="99">
        <f t="shared" si="4"/>
        <v>8</v>
      </c>
      <c r="M34" s="100">
        <f t="shared" si="4"/>
        <v>2</v>
      </c>
      <c r="N34" s="99">
        <f t="shared" si="4"/>
        <v>0</v>
      </c>
      <c r="O34" s="100">
        <f t="shared" si="4"/>
        <v>0</v>
      </c>
      <c r="P34" s="99">
        <f t="shared" si="4"/>
        <v>7</v>
      </c>
      <c r="Q34" s="100">
        <f t="shared" si="4"/>
        <v>2</v>
      </c>
      <c r="R34" s="99">
        <f t="shared" si="4"/>
        <v>6</v>
      </c>
      <c r="S34" s="100">
        <f t="shared" si="4"/>
        <v>0</v>
      </c>
      <c r="T34" s="99">
        <f t="shared" si="4"/>
        <v>7</v>
      </c>
      <c r="U34" s="100">
        <f t="shared" si="4"/>
        <v>1</v>
      </c>
      <c r="V34" s="99">
        <f t="shared" ref="V34:AO34" si="5">IFERROR(SUM(V35:V42)," ")</f>
        <v>4</v>
      </c>
      <c r="W34" s="100">
        <f t="shared" si="5"/>
        <v>2</v>
      </c>
      <c r="X34" s="99">
        <f t="shared" si="5"/>
        <v>9</v>
      </c>
      <c r="Y34" s="100">
        <f t="shared" si="5"/>
        <v>4</v>
      </c>
      <c r="Z34" s="99">
        <f t="shared" si="5"/>
        <v>9</v>
      </c>
      <c r="AA34" s="100">
        <f t="shared" si="5"/>
        <v>2</v>
      </c>
      <c r="AB34" s="99">
        <f t="shared" si="5"/>
        <v>6</v>
      </c>
      <c r="AC34" s="100">
        <f t="shared" si="5"/>
        <v>2</v>
      </c>
      <c r="AD34" s="99">
        <f t="shared" si="5"/>
        <v>7</v>
      </c>
      <c r="AE34" s="100">
        <f t="shared" si="5"/>
        <v>1</v>
      </c>
      <c r="AF34" s="99">
        <f t="shared" si="5"/>
        <v>3</v>
      </c>
      <c r="AG34" s="100">
        <f t="shared" si="5"/>
        <v>0</v>
      </c>
      <c r="AH34" s="99">
        <f t="shared" si="5"/>
        <v>7</v>
      </c>
      <c r="AI34" s="100">
        <f t="shared" si="5"/>
        <v>1</v>
      </c>
      <c r="AJ34" s="99">
        <f t="shared" si="5"/>
        <v>9</v>
      </c>
      <c r="AK34" s="100">
        <f t="shared" si="5"/>
        <v>0</v>
      </c>
      <c r="AL34" s="99">
        <f t="shared" si="5"/>
        <v>6</v>
      </c>
      <c r="AM34" s="100">
        <f t="shared" si="5"/>
        <v>1</v>
      </c>
      <c r="AN34" s="99">
        <f t="shared" si="5"/>
        <v>0</v>
      </c>
      <c r="AO34" s="100">
        <f t="shared" si="5"/>
        <v>0</v>
      </c>
    </row>
    <row r="35" spans="2:41" ht="15" customHeight="1" outlineLevel="1" thickBot="1" x14ac:dyDescent="0.3">
      <c r="B35" s="76"/>
      <c r="C35" s="112" t="s">
        <v>426</v>
      </c>
      <c r="D35" s="138">
        <f>SUMIFS(Resumo_Trocas!$C:$C,Resumo_Trocas!$A:$A,$C21,Resumo_Trocas!$F:$F,D$18,Resumo_Trocas!$C:$C,"&gt;0")</f>
        <v>3</v>
      </c>
      <c r="E35" s="139">
        <f>SUMIFS(Resumo_Trocas!$E:$E,Resumo_Trocas!$A:$A,$C35,Resumo_Trocas!$F:$F,D$32,Resumo_Trocas!$C:$C,"&gt;0")</f>
        <v>0</v>
      </c>
      <c r="F35" s="138">
        <f>SUMIFS(Resumo_Trocas!$C:$C,Resumo_Trocas!$A:$A,$C21,Resumo_Trocas!$F:$F,F$18,Resumo_Trocas!$C:$C,"&gt;0")</f>
        <v>1</v>
      </c>
      <c r="G35" s="139">
        <f>SUMIFS(Resumo_Trocas!$E:$E,Resumo_Trocas!$A:$A,$C35,Resumo_Trocas!$F:$F,F$32,Resumo_Trocas!$C:$C,"&gt;0")</f>
        <v>1</v>
      </c>
      <c r="H35" s="138">
        <f>SUMIFS(Resumo_Trocas!$C:$C,Resumo_Trocas!$A:$A,$C21,Resumo_Trocas!$F:$F,H$18,Resumo_Trocas!$C:$C,"&gt;0")</f>
        <v>0</v>
      </c>
      <c r="I35" s="139">
        <f>SUMIFS(Resumo_Trocas!$E:$E,Resumo_Trocas!$A:$A,$C35,Resumo_Trocas!$F:$F,H$32,Resumo_Trocas!$C:$C,"&gt;0")</f>
        <v>0</v>
      </c>
      <c r="J35" s="138">
        <f>SUMIFS(Resumo_Trocas!$C:$C,Resumo_Trocas!$A:$A,$C21,Resumo_Trocas!$F:$F,J$18,Resumo_Trocas!$C:$C,"&gt;0")</f>
        <v>0</v>
      </c>
      <c r="K35" s="139">
        <f>SUMIFS(Resumo_Trocas!$E:$E,Resumo_Trocas!$A:$A,$C35,Resumo_Trocas!$F:$F,J$32,Resumo_Trocas!$C:$C,"&gt;0")</f>
        <v>0</v>
      </c>
      <c r="L35" s="138">
        <f>SUMIFS(Resumo_Trocas!$C:$C,Resumo_Trocas!$A:$A,$C21,Resumo_Trocas!$F:$F,L$18,Resumo_Trocas!$C:$C,"&gt;0")</f>
        <v>0</v>
      </c>
      <c r="M35" s="139">
        <f>SUMIFS(Resumo_Trocas!$E:$E,Resumo_Trocas!$A:$A,$C35,Resumo_Trocas!$F:$F,L$32,Resumo_Trocas!$C:$C,"&gt;0")</f>
        <v>0</v>
      </c>
      <c r="N35" s="138">
        <f>SUMIFS(Resumo_Trocas!$C:$C,Resumo_Trocas!$A:$A,$C21,Resumo_Trocas!$F:$F,N$18,Resumo_Trocas!$C:$C,"&gt;0")</f>
        <v>0</v>
      </c>
      <c r="O35" s="139">
        <f>SUMIFS(Resumo_Trocas!$E:$E,Resumo_Trocas!$A:$A,$C35,Resumo_Trocas!$F:$F,N$32,Resumo_Trocas!$C:$C,"&gt;0")</f>
        <v>0</v>
      </c>
      <c r="P35" s="138">
        <f>SUMIFS(Resumo_Trocas!$C:$C,Resumo_Trocas!$A:$A,$C21,Resumo_Trocas!$F:$F,P$18,Resumo_Trocas!$C:$C,"&gt;0")</f>
        <v>1</v>
      </c>
      <c r="Q35" s="139">
        <f>SUMIFS(Resumo_Trocas!$E:$E,Resumo_Trocas!$A:$A,$C35,Resumo_Trocas!$F:$F,P$32,Resumo_Trocas!$C:$C,"&gt;0")</f>
        <v>0</v>
      </c>
      <c r="R35" s="138">
        <f>SUMIFS(Resumo_Trocas!$C:$C,Resumo_Trocas!$A:$A,$C21,Resumo_Trocas!$F:$F,R$18,Resumo_Trocas!$C:$C,"&gt;0")</f>
        <v>0</v>
      </c>
      <c r="S35" s="139">
        <f>SUMIFS(Resumo_Trocas!$E:$E,Resumo_Trocas!$A:$A,$C35,Resumo_Trocas!$F:$F,R$32,Resumo_Trocas!$C:$C,"&gt;0")</f>
        <v>0</v>
      </c>
      <c r="T35" s="138">
        <f>SUMIFS(Resumo_Trocas!$C:$C,Resumo_Trocas!$A:$A,$C21,Resumo_Trocas!$F:$F,T$18,Resumo_Trocas!$C:$C,"&gt;0")</f>
        <v>1</v>
      </c>
      <c r="U35" s="139">
        <f>SUMIFS(Resumo_Trocas!$E:$E,Resumo_Trocas!$A:$A,$C35,Resumo_Trocas!$F:$F,T$32,Resumo_Trocas!$C:$C,"&gt;0")</f>
        <v>0</v>
      </c>
      <c r="V35" s="138">
        <f>SUMIFS(Resumo_Trocas!$C:$C,Resumo_Trocas!$A:$A,$C21,Resumo_Trocas!$F:$F,V$18,Resumo_Trocas!$C:$C,"&gt;0")</f>
        <v>0</v>
      </c>
      <c r="W35" s="139">
        <f>SUMIFS(Resumo_Trocas!$E:$E,Resumo_Trocas!$A:$A,$C35,Resumo_Trocas!$F:$F,V$32,Resumo_Trocas!$C:$C,"&gt;0")</f>
        <v>2</v>
      </c>
      <c r="X35" s="138">
        <f>SUMIFS(Resumo_Trocas!$C:$C,Resumo_Trocas!$A:$A,$C21,Resumo_Trocas!$F:$F,X$18,Resumo_Trocas!$C:$C,"&gt;0")</f>
        <v>0</v>
      </c>
      <c r="Y35" s="139">
        <f>SUMIFS(Resumo_Trocas!$E:$E,Resumo_Trocas!$A:$A,$C35,Resumo_Trocas!$F:$F,X$32,Resumo_Trocas!$C:$C,"&gt;0")</f>
        <v>2</v>
      </c>
      <c r="Z35" s="138">
        <f>SUMIFS(Resumo_Trocas!$C:$C,Resumo_Trocas!$A:$A,$C21,Resumo_Trocas!$F:$F,Z$18,Resumo_Trocas!$C:$C,"&gt;0")</f>
        <v>1</v>
      </c>
      <c r="AA35" s="139">
        <f>SUMIFS(Resumo_Trocas!$E:$E,Resumo_Trocas!$A:$A,$C35,Resumo_Trocas!$F:$F,Z$32,Resumo_Trocas!$C:$C,"&gt;0")</f>
        <v>1</v>
      </c>
      <c r="AB35" s="138">
        <f>SUMIFS(Resumo_Trocas!$C:$C,Resumo_Trocas!$A:$A,$C21,Resumo_Trocas!$F:$F,AB$18,Resumo_Trocas!$C:$C,"&gt;0")</f>
        <v>0</v>
      </c>
      <c r="AC35" s="139">
        <f>SUMIFS(Resumo_Trocas!$E:$E,Resumo_Trocas!$A:$A,$C35,Resumo_Trocas!$F:$F,AB$32,Resumo_Trocas!$C:$C,"&gt;0")</f>
        <v>1</v>
      </c>
      <c r="AD35" s="138">
        <f>SUMIFS(Resumo_Trocas!$C:$C,Resumo_Trocas!$A:$A,$C21,Resumo_Trocas!$F:$F,AD$18,Resumo_Trocas!$C:$C,"&gt;0")</f>
        <v>0</v>
      </c>
      <c r="AE35" s="139">
        <f>SUMIFS(Resumo_Trocas!$E:$E,Resumo_Trocas!$A:$A,$C35,Resumo_Trocas!$F:$F,AD$32,Resumo_Trocas!$C:$C,"&gt;0")</f>
        <v>0</v>
      </c>
      <c r="AF35" s="138">
        <f>SUMIFS(Resumo_Trocas!$C:$C,Resumo_Trocas!$A:$A,$C21,Resumo_Trocas!$F:$F,AF$18,Resumo_Trocas!$C:$C,"&gt;0")</f>
        <v>0</v>
      </c>
      <c r="AG35" s="139">
        <f>SUMIFS(Resumo_Trocas!$E:$E,Resumo_Trocas!$A:$A,$C35,Resumo_Trocas!$F:$F,AF$32,Resumo_Trocas!$C:$C,"&gt;0")</f>
        <v>0</v>
      </c>
      <c r="AH35" s="138">
        <f>SUMIFS(Resumo_Trocas!$C:$C,Resumo_Trocas!$A:$A,$C21,Resumo_Trocas!$F:$F,AH$18,Resumo_Trocas!$C:$C,"&gt;0")</f>
        <v>0</v>
      </c>
      <c r="AI35" s="139">
        <f>SUMIFS(Resumo_Trocas!$E:$E,Resumo_Trocas!$A:$A,$C35,Resumo_Trocas!$F:$F,AH$32,Resumo_Trocas!$C:$C,"&gt;0")</f>
        <v>0</v>
      </c>
      <c r="AJ35" s="138">
        <f>SUMIFS(Resumo_Trocas!$C:$C,Resumo_Trocas!$A:$A,$C21,Resumo_Trocas!$F:$F,AJ$18,Resumo_Trocas!$C:$C,"&gt;0")</f>
        <v>0</v>
      </c>
      <c r="AK35" s="139">
        <f>SUMIFS(Resumo_Trocas!$E:$E,Resumo_Trocas!$A:$A,$C35,Resumo_Trocas!$F:$F,AJ$32,Resumo_Trocas!$C:$C,"&gt;0")</f>
        <v>0</v>
      </c>
      <c r="AL35" s="138">
        <f>SUMIFS(Resumo_Trocas!$C:$C,Resumo_Trocas!$A:$A,$C21,Resumo_Trocas!$F:$F,AL$18,Resumo_Trocas!$C:$C,"&gt;0")</f>
        <v>0</v>
      </c>
      <c r="AM35" s="139">
        <f>SUMIFS(Resumo_Trocas!$E:$E,Resumo_Trocas!$A:$A,$C35,Resumo_Trocas!$F:$F,AL$32,Resumo_Trocas!$C:$C,"&gt;0")</f>
        <v>0</v>
      </c>
      <c r="AN35" s="138">
        <f>SUMIFS(Resumo_Trocas!$C:$C,Resumo_Trocas!$A:$A,$C21,Resumo_Trocas!$F:$F,AN$18,Resumo_Trocas!$C:$C,"&gt;0")</f>
        <v>0</v>
      </c>
      <c r="AO35" s="139">
        <f>SUMIFS(Resumo_Trocas!$E:$E,Resumo_Trocas!$A:$A,$C35,Resumo_Trocas!$F:$F,AN$32,Resumo_Trocas!$C:$C,"&gt;0")</f>
        <v>0</v>
      </c>
    </row>
    <row r="36" spans="2:41" ht="15" customHeight="1" outlineLevel="1" thickBot="1" x14ac:dyDescent="0.3">
      <c r="B36" s="76"/>
      <c r="C36" s="112" t="s">
        <v>431</v>
      </c>
      <c r="D36" s="140">
        <f>SUMIFS(Resumo_Trocas!$C:$C,Resumo_Trocas!$A:$A,$C36,Resumo_Trocas!$F:$F,D$32,Resumo_Trocas!$C:$C,"&gt;0")</f>
        <v>2</v>
      </c>
      <c r="E36" s="141">
        <f>SUMIFS(Resumo_Trocas!$E:$E,Resumo_Trocas!$A:$A,$C36,Resumo_Trocas!$F:$F,D$32,Resumo_Trocas!$C:$C,"&gt;0")</f>
        <v>0</v>
      </c>
      <c r="F36" s="140">
        <f>SUMIFS(Resumo_Trocas!$C:$C,Resumo_Trocas!$A:$A,$C36,Resumo_Trocas!$F:$F,F$32,Resumo_Trocas!$C:$C,"&gt;0")</f>
        <v>4</v>
      </c>
      <c r="G36" s="141">
        <f>SUMIFS(Resumo_Trocas!$E:$E,Resumo_Trocas!$A:$A,$C36,Resumo_Trocas!$F:$F,F$32,Resumo_Trocas!$C:$C,"&gt;0")</f>
        <v>2</v>
      </c>
      <c r="H36" s="140">
        <f>SUMIFS(Resumo_Trocas!$C:$C,Resumo_Trocas!$A:$A,$C36,Resumo_Trocas!$F:$F,H$32,Resumo_Trocas!$C:$C,"&gt;0")</f>
        <v>1</v>
      </c>
      <c r="I36" s="141">
        <f>SUMIFS(Resumo_Trocas!$E:$E,Resumo_Trocas!$A:$A,$C36,Resumo_Trocas!$F:$F,H$32,Resumo_Trocas!$C:$C,"&gt;0")</f>
        <v>0</v>
      </c>
      <c r="J36" s="140">
        <f>SUMIFS(Resumo_Trocas!$C:$C,Resumo_Trocas!$A:$A,$C36,Resumo_Trocas!$F:$F,J$32,Resumo_Trocas!$C:$C,"&gt;0")</f>
        <v>1</v>
      </c>
      <c r="K36" s="141">
        <f>SUMIFS(Resumo_Trocas!$E:$E,Resumo_Trocas!$A:$A,$C36,Resumo_Trocas!$F:$F,J$32,Resumo_Trocas!$C:$C,"&gt;0")</f>
        <v>0</v>
      </c>
      <c r="L36" s="140">
        <f>SUMIFS(Resumo_Trocas!$C:$C,Resumo_Trocas!$A:$A,$C36,Resumo_Trocas!$F:$F,L$32,Resumo_Trocas!$C:$C,"&gt;0")</f>
        <v>0</v>
      </c>
      <c r="M36" s="141">
        <f>SUMIFS(Resumo_Trocas!$E:$E,Resumo_Trocas!$A:$A,$C36,Resumo_Trocas!$F:$F,L$32,Resumo_Trocas!$C:$C,"&gt;0")</f>
        <v>0</v>
      </c>
      <c r="N36" s="140">
        <f>SUMIFS(Resumo_Trocas!$C:$C,Resumo_Trocas!$A:$A,$C36,Resumo_Trocas!$F:$F,N$32,Resumo_Trocas!$C:$C,"&gt;0")</f>
        <v>0</v>
      </c>
      <c r="O36" s="141">
        <f>SUMIFS(Resumo_Trocas!$E:$E,Resumo_Trocas!$A:$A,$C36,Resumo_Trocas!$F:$F,N$32,Resumo_Trocas!$C:$C,"&gt;0")</f>
        <v>0</v>
      </c>
      <c r="P36" s="140">
        <f>SUMIFS(Resumo_Trocas!$C:$C,Resumo_Trocas!$A:$A,$C36,Resumo_Trocas!$F:$F,P$32,Resumo_Trocas!$C:$C,"&gt;0")</f>
        <v>0</v>
      </c>
      <c r="Q36" s="141">
        <f>SUMIFS(Resumo_Trocas!$E:$E,Resumo_Trocas!$A:$A,$C36,Resumo_Trocas!$F:$F,P$32,Resumo_Trocas!$C:$C,"&gt;0")</f>
        <v>0</v>
      </c>
      <c r="R36" s="140">
        <f>SUMIFS(Resumo_Trocas!$C:$C,Resumo_Trocas!$A:$A,$C36,Resumo_Trocas!$F:$F,R$32,Resumo_Trocas!$C:$C,"&gt;0")</f>
        <v>1</v>
      </c>
      <c r="S36" s="141">
        <f>SUMIFS(Resumo_Trocas!$E:$E,Resumo_Trocas!$A:$A,$C36,Resumo_Trocas!$F:$F,R$32,Resumo_Trocas!$C:$C,"&gt;0")</f>
        <v>0</v>
      </c>
      <c r="T36" s="140">
        <f>SUMIFS(Resumo_Trocas!$C:$C,Resumo_Trocas!$A:$A,$C36,Resumo_Trocas!$F:$F,T$32,Resumo_Trocas!$C:$C,"&gt;0")</f>
        <v>0</v>
      </c>
      <c r="U36" s="141">
        <f>SUMIFS(Resumo_Trocas!$E:$E,Resumo_Trocas!$A:$A,$C36,Resumo_Trocas!$F:$F,T$32,Resumo_Trocas!$C:$C,"&gt;0")</f>
        <v>0</v>
      </c>
      <c r="V36" s="140">
        <f>SUMIFS(Resumo_Trocas!$C:$C,Resumo_Trocas!$A:$A,$C36,Resumo_Trocas!$F:$F,V$32,Resumo_Trocas!$C:$C,"&gt;0")</f>
        <v>0</v>
      </c>
      <c r="W36" s="141">
        <f>SUMIFS(Resumo_Trocas!$E:$E,Resumo_Trocas!$A:$A,$C36,Resumo_Trocas!$F:$F,V$32,Resumo_Trocas!$C:$C,"&gt;0")</f>
        <v>0</v>
      </c>
      <c r="X36" s="140">
        <f>SUMIFS(Resumo_Trocas!$C:$C,Resumo_Trocas!$A:$A,$C36,Resumo_Trocas!$F:$F,X$32,Resumo_Trocas!$C:$C,"&gt;0")</f>
        <v>1</v>
      </c>
      <c r="Y36" s="141">
        <f>SUMIFS(Resumo_Trocas!$E:$E,Resumo_Trocas!$A:$A,$C36,Resumo_Trocas!$F:$F,X$32,Resumo_Trocas!$C:$C,"&gt;0")</f>
        <v>0</v>
      </c>
      <c r="Z36" s="140">
        <f>SUMIFS(Resumo_Trocas!$C:$C,Resumo_Trocas!$A:$A,$C36,Resumo_Trocas!$F:$F,Z$32,Resumo_Trocas!$C:$C,"&gt;0")</f>
        <v>0</v>
      </c>
      <c r="AA36" s="141">
        <f>SUMIFS(Resumo_Trocas!$E:$E,Resumo_Trocas!$A:$A,$C36,Resumo_Trocas!$F:$F,Z$32,Resumo_Trocas!$C:$C,"&gt;0")</f>
        <v>0</v>
      </c>
      <c r="AB36" s="140">
        <f>SUMIFS(Resumo_Trocas!$C:$C,Resumo_Trocas!$A:$A,$C36,Resumo_Trocas!$F:$F,AB$32,Resumo_Trocas!$C:$C,"&gt;0")</f>
        <v>0</v>
      </c>
      <c r="AC36" s="141">
        <f>SUMIFS(Resumo_Trocas!$E:$E,Resumo_Trocas!$A:$A,$C36,Resumo_Trocas!$F:$F,AB$32,Resumo_Trocas!$C:$C,"&gt;0")</f>
        <v>0</v>
      </c>
      <c r="AD36" s="140">
        <f>SUMIFS(Resumo_Trocas!$C:$C,Resumo_Trocas!$A:$A,$C36,Resumo_Trocas!$F:$F,AD$32,Resumo_Trocas!$C:$C,"&gt;0")</f>
        <v>1</v>
      </c>
      <c r="AE36" s="141">
        <f>SUMIFS(Resumo_Trocas!$E:$E,Resumo_Trocas!$A:$A,$C36,Resumo_Trocas!$F:$F,AD$32,Resumo_Trocas!$C:$C,"&gt;0")</f>
        <v>0</v>
      </c>
      <c r="AF36" s="140">
        <f>SUMIFS(Resumo_Trocas!$C:$C,Resumo_Trocas!$A:$A,$C36,Resumo_Trocas!$F:$F,AF$32,Resumo_Trocas!$C:$C,"&gt;0")</f>
        <v>0</v>
      </c>
      <c r="AG36" s="141">
        <f>SUMIFS(Resumo_Trocas!$E:$E,Resumo_Trocas!$A:$A,$C36,Resumo_Trocas!$F:$F,AF$32,Resumo_Trocas!$C:$C,"&gt;0")</f>
        <v>0</v>
      </c>
      <c r="AH36" s="140">
        <f>SUMIFS(Resumo_Trocas!$C:$C,Resumo_Trocas!$A:$A,$C36,Resumo_Trocas!$F:$F,AH$32,Resumo_Trocas!$C:$C,"&gt;0")</f>
        <v>0</v>
      </c>
      <c r="AI36" s="141">
        <f>SUMIFS(Resumo_Trocas!$E:$E,Resumo_Trocas!$A:$A,$C36,Resumo_Trocas!$F:$F,AH$32,Resumo_Trocas!$C:$C,"&gt;0")</f>
        <v>0</v>
      </c>
      <c r="AJ36" s="140">
        <f>SUMIFS(Resumo_Trocas!$C:$C,Resumo_Trocas!$A:$A,$C36,Resumo_Trocas!$F:$F,AJ$32,Resumo_Trocas!$C:$C,"&gt;0")</f>
        <v>1</v>
      </c>
      <c r="AK36" s="141">
        <f>SUMIFS(Resumo_Trocas!$E:$E,Resumo_Trocas!$A:$A,$C36,Resumo_Trocas!$F:$F,AJ$32,Resumo_Trocas!$C:$C,"&gt;0")</f>
        <v>0</v>
      </c>
      <c r="AL36" s="140">
        <f>SUMIFS(Resumo_Trocas!$C:$C,Resumo_Trocas!$A:$A,$C36,Resumo_Trocas!$F:$F,AL$32,Resumo_Trocas!$C:$C,"&gt;0")</f>
        <v>0</v>
      </c>
      <c r="AM36" s="141">
        <f>SUMIFS(Resumo_Trocas!$E:$E,Resumo_Trocas!$A:$A,$C36,Resumo_Trocas!$F:$F,AL$32,Resumo_Trocas!$C:$C,"&gt;0")</f>
        <v>0</v>
      </c>
      <c r="AN36" s="140">
        <f>SUMIFS(Resumo_Trocas!$C:$C,Resumo_Trocas!$A:$A,$C36,Resumo_Trocas!$F:$F,AN$32,Resumo_Trocas!$C:$C,"&gt;0")</f>
        <v>0</v>
      </c>
      <c r="AO36" s="141">
        <f>SUMIFS(Resumo_Trocas!$E:$E,Resumo_Trocas!$A:$A,$C36,Resumo_Trocas!$F:$F,AN$32,Resumo_Trocas!$C:$C,"&gt;0")</f>
        <v>0</v>
      </c>
    </row>
    <row r="37" spans="2:41" ht="15" customHeight="1" outlineLevel="1" thickBot="1" x14ac:dyDescent="0.3">
      <c r="B37" s="76"/>
      <c r="C37" s="112" t="s">
        <v>435</v>
      </c>
      <c r="D37" s="140">
        <f>SUMIFS(Resumo_Trocas!$C:$C,Resumo_Trocas!$A:$A,$C37,Resumo_Trocas!$F:$F,D$32,Resumo_Trocas!$C:$C,"&gt;0")</f>
        <v>1</v>
      </c>
      <c r="E37" s="141">
        <f>SUMIFS(Resumo_Trocas!$E:$E,Resumo_Trocas!$A:$A,$C37,Resumo_Trocas!$F:$F,D$32,Resumo_Trocas!$C:$C,"&gt;0")</f>
        <v>0</v>
      </c>
      <c r="F37" s="140">
        <f>SUMIFS(Resumo_Trocas!$C:$C,Resumo_Trocas!$A:$A,$C37,Resumo_Trocas!$F:$F,F$32,Resumo_Trocas!$C:$C,"&gt;0")</f>
        <v>4</v>
      </c>
      <c r="G37" s="141">
        <f>SUMIFS(Resumo_Trocas!$E:$E,Resumo_Trocas!$A:$A,$C37,Resumo_Trocas!$F:$F,F$32,Resumo_Trocas!$C:$C,"&gt;0")</f>
        <v>3</v>
      </c>
      <c r="H37" s="140">
        <f>SUMIFS(Resumo_Trocas!$C:$C,Resumo_Trocas!$A:$A,$C37,Resumo_Trocas!$F:$F,H$32,Resumo_Trocas!$C:$C,"&gt;0")</f>
        <v>1</v>
      </c>
      <c r="I37" s="141">
        <f>SUMIFS(Resumo_Trocas!$E:$E,Resumo_Trocas!$A:$A,$C37,Resumo_Trocas!$F:$F,H$32,Resumo_Trocas!$C:$C,"&gt;0")</f>
        <v>0</v>
      </c>
      <c r="J37" s="140">
        <f>SUMIFS(Resumo_Trocas!$C:$C,Resumo_Trocas!$A:$A,$C37,Resumo_Trocas!$F:$F,J$32,Resumo_Trocas!$C:$C,"&gt;0")</f>
        <v>0</v>
      </c>
      <c r="K37" s="141">
        <f>SUMIFS(Resumo_Trocas!$E:$E,Resumo_Trocas!$A:$A,$C37,Resumo_Trocas!$F:$F,J$32,Resumo_Trocas!$C:$C,"&gt;0")</f>
        <v>0</v>
      </c>
      <c r="L37" s="140">
        <f>SUMIFS(Resumo_Trocas!$C:$C,Resumo_Trocas!$A:$A,$C37,Resumo_Trocas!$F:$F,L$32,Resumo_Trocas!$C:$C,"&gt;0")</f>
        <v>1</v>
      </c>
      <c r="M37" s="141">
        <f>SUMIFS(Resumo_Trocas!$E:$E,Resumo_Trocas!$A:$A,$C37,Resumo_Trocas!$F:$F,L$32,Resumo_Trocas!$C:$C,"&gt;0")</f>
        <v>0</v>
      </c>
      <c r="N37" s="140">
        <f>SUMIFS(Resumo_Trocas!$C:$C,Resumo_Trocas!$A:$A,$C37,Resumo_Trocas!$F:$F,N$32,Resumo_Trocas!$C:$C,"&gt;0")</f>
        <v>0</v>
      </c>
      <c r="O37" s="141">
        <f>SUMIFS(Resumo_Trocas!$E:$E,Resumo_Trocas!$A:$A,$C37,Resumo_Trocas!$F:$F,N$32,Resumo_Trocas!$C:$C,"&gt;0")</f>
        <v>0</v>
      </c>
      <c r="P37" s="140">
        <f>SUMIFS(Resumo_Trocas!$C:$C,Resumo_Trocas!$A:$A,$C37,Resumo_Trocas!$F:$F,P$32,Resumo_Trocas!$C:$C,"&gt;0")</f>
        <v>0</v>
      </c>
      <c r="Q37" s="141">
        <f>SUMIFS(Resumo_Trocas!$E:$E,Resumo_Trocas!$A:$A,$C37,Resumo_Trocas!$F:$F,P$32,Resumo_Trocas!$C:$C,"&gt;0")</f>
        <v>0</v>
      </c>
      <c r="R37" s="140">
        <f>SUMIFS(Resumo_Trocas!$C:$C,Resumo_Trocas!$A:$A,$C37,Resumo_Trocas!$F:$F,R$32,Resumo_Trocas!$C:$C,"&gt;0")</f>
        <v>0</v>
      </c>
      <c r="S37" s="141">
        <f>SUMIFS(Resumo_Trocas!$E:$E,Resumo_Trocas!$A:$A,$C37,Resumo_Trocas!$F:$F,R$32,Resumo_Trocas!$C:$C,"&gt;0")</f>
        <v>0</v>
      </c>
      <c r="T37" s="140">
        <f>SUMIFS(Resumo_Trocas!$C:$C,Resumo_Trocas!$A:$A,$C37,Resumo_Trocas!$F:$F,T$32,Resumo_Trocas!$C:$C,"&gt;0")</f>
        <v>1</v>
      </c>
      <c r="U37" s="141">
        <f>SUMIFS(Resumo_Trocas!$E:$E,Resumo_Trocas!$A:$A,$C37,Resumo_Trocas!$F:$F,T$32,Resumo_Trocas!$C:$C,"&gt;0")</f>
        <v>0</v>
      </c>
      <c r="V37" s="140">
        <f>SUMIFS(Resumo_Trocas!$C:$C,Resumo_Trocas!$A:$A,$C37,Resumo_Trocas!$F:$F,V$32,Resumo_Trocas!$C:$C,"&gt;0")</f>
        <v>0</v>
      </c>
      <c r="W37" s="141">
        <f>SUMIFS(Resumo_Trocas!$E:$E,Resumo_Trocas!$A:$A,$C37,Resumo_Trocas!$F:$F,V$32,Resumo_Trocas!$C:$C,"&gt;0")</f>
        <v>0</v>
      </c>
      <c r="X37" s="140">
        <f>SUMIFS(Resumo_Trocas!$C:$C,Resumo_Trocas!$A:$A,$C37,Resumo_Trocas!$F:$F,X$32,Resumo_Trocas!$C:$C,"&gt;0")</f>
        <v>1</v>
      </c>
      <c r="Y37" s="141">
        <f>SUMIFS(Resumo_Trocas!$E:$E,Resumo_Trocas!$A:$A,$C37,Resumo_Trocas!$F:$F,X$32,Resumo_Trocas!$C:$C,"&gt;0")</f>
        <v>0</v>
      </c>
      <c r="Z37" s="140">
        <f>SUMIFS(Resumo_Trocas!$C:$C,Resumo_Trocas!$A:$A,$C37,Resumo_Trocas!$F:$F,Z$32,Resumo_Trocas!$C:$C,"&gt;0")</f>
        <v>0</v>
      </c>
      <c r="AA37" s="141">
        <f>SUMIFS(Resumo_Trocas!$E:$E,Resumo_Trocas!$A:$A,$C37,Resumo_Trocas!$F:$F,Z$32,Resumo_Trocas!$C:$C,"&gt;0")</f>
        <v>0</v>
      </c>
      <c r="AB37" s="140">
        <f>SUMIFS(Resumo_Trocas!$C:$C,Resumo_Trocas!$A:$A,$C37,Resumo_Trocas!$F:$F,AB$32,Resumo_Trocas!$C:$C,"&gt;0")</f>
        <v>2</v>
      </c>
      <c r="AC37" s="141">
        <f>SUMIFS(Resumo_Trocas!$E:$E,Resumo_Trocas!$A:$A,$C37,Resumo_Trocas!$F:$F,AB$32,Resumo_Trocas!$C:$C,"&gt;0")</f>
        <v>0</v>
      </c>
      <c r="AD37" s="140">
        <f>SUMIFS(Resumo_Trocas!$C:$C,Resumo_Trocas!$A:$A,$C37,Resumo_Trocas!$F:$F,AD$32,Resumo_Trocas!$C:$C,"&gt;0")</f>
        <v>1</v>
      </c>
      <c r="AE37" s="141">
        <f>SUMIFS(Resumo_Trocas!$E:$E,Resumo_Trocas!$A:$A,$C37,Resumo_Trocas!$F:$F,AD$32,Resumo_Trocas!$C:$C,"&gt;0")</f>
        <v>1</v>
      </c>
      <c r="AF37" s="140">
        <f>SUMIFS(Resumo_Trocas!$C:$C,Resumo_Trocas!$A:$A,$C37,Resumo_Trocas!$F:$F,AF$32,Resumo_Trocas!$C:$C,"&gt;0")</f>
        <v>1</v>
      </c>
      <c r="AG37" s="141">
        <f>SUMIFS(Resumo_Trocas!$E:$E,Resumo_Trocas!$A:$A,$C37,Resumo_Trocas!$F:$F,AF$32,Resumo_Trocas!$C:$C,"&gt;0")</f>
        <v>0</v>
      </c>
      <c r="AH37" s="140">
        <f>SUMIFS(Resumo_Trocas!$C:$C,Resumo_Trocas!$A:$A,$C37,Resumo_Trocas!$F:$F,AH$32,Resumo_Trocas!$C:$C,"&gt;0")</f>
        <v>1</v>
      </c>
      <c r="AI37" s="141">
        <f>SUMIFS(Resumo_Trocas!$E:$E,Resumo_Trocas!$A:$A,$C37,Resumo_Trocas!$F:$F,AH$32,Resumo_Trocas!$C:$C,"&gt;0")</f>
        <v>0</v>
      </c>
      <c r="AJ37" s="140">
        <f>SUMIFS(Resumo_Trocas!$C:$C,Resumo_Trocas!$A:$A,$C37,Resumo_Trocas!$F:$F,AJ$32,Resumo_Trocas!$C:$C,"&gt;0")</f>
        <v>1</v>
      </c>
      <c r="AK37" s="141">
        <f>SUMIFS(Resumo_Trocas!$E:$E,Resumo_Trocas!$A:$A,$C37,Resumo_Trocas!$F:$F,AJ$32,Resumo_Trocas!$C:$C,"&gt;0")</f>
        <v>0</v>
      </c>
      <c r="AL37" s="140">
        <f>SUMIFS(Resumo_Trocas!$C:$C,Resumo_Trocas!$A:$A,$C37,Resumo_Trocas!$F:$F,AL$32,Resumo_Trocas!$C:$C,"&gt;0")</f>
        <v>0</v>
      </c>
      <c r="AM37" s="141">
        <f>SUMIFS(Resumo_Trocas!$E:$E,Resumo_Trocas!$A:$A,$C37,Resumo_Trocas!$F:$F,AL$32,Resumo_Trocas!$C:$C,"&gt;0")</f>
        <v>0</v>
      </c>
      <c r="AN37" s="140">
        <f>SUMIFS(Resumo_Trocas!$C:$C,Resumo_Trocas!$A:$A,$C37,Resumo_Trocas!$F:$F,AN$32,Resumo_Trocas!$C:$C,"&gt;0")</f>
        <v>0</v>
      </c>
      <c r="AO37" s="141">
        <f>SUMIFS(Resumo_Trocas!$E:$E,Resumo_Trocas!$A:$A,$C37,Resumo_Trocas!$F:$F,AN$32,Resumo_Trocas!$C:$C,"&gt;0")</f>
        <v>0</v>
      </c>
    </row>
    <row r="38" spans="2:41" ht="15" customHeight="1" outlineLevel="1" thickBot="1" x14ac:dyDescent="0.3">
      <c r="B38" s="76"/>
      <c r="C38" s="112" t="s">
        <v>439</v>
      </c>
      <c r="D38" s="140">
        <f>SUMIFS(Resumo_Trocas!$C:$C,Resumo_Trocas!$A:$A,$C38,Resumo_Trocas!$F:$F,D$32,Resumo_Trocas!$C:$C,"&gt;0")</f>
        <v>3</v>
      </c>
      <c r="E38" s="141">
        <f>SUMIFS(Resumo_Trocas!$E:$E,Resumo_Trocas!$A:$A,$C38,Resumo_Trocas!$F:$F,D$32,Resumo_Trocas!$C:$C,"&gt;0")</f>
        <v>1</v>
      </c>
      <c r="F38" s="140">
        <f>SUMIFS(Resumo_Trocas!$C:$C,Resumo_Trocas!$A:$A,$C38,Resumo_Trocas!$F:$F,F$32,Resumo_Trocas!$C:$C,"&gt;0")</f>
        <v>4</v>
      </c>
      <c r="G38" s="141">
        <f>SUMIFS(Resumo_Trocas!$E:$E,Resumo_Trocas!$A:$A,$C38,Resumo_Trocas!$F:$F,F$32,Resumo_Trocas!$C:$C,"&gt;0")</f>
        <v>1</v>
      </c>
      <c r="H38" s="140">
        <f>SUMIFS(Resumo_Trocas!$C:$C,Resumo_Trocas!$A:$A,$C38,Resumo_Trocas!$F:$F,H$32,Resumo_Trocas!$C:$C,"&gt;0")</f>
        <v>2</v>
      </c>
      <c r="I38" s="141">
        <f>SUMIFS(Resumo_Trocas!$E:$E,Resumo_Trocas!$A:$A,$C38,Resumo_Trocas!$F:$F,H$32,Resumo_Trocas!$C:$C,"&gt;0")</f>
        <v>0</v>
      </c>
      <c r="J38" s="140">
        <f>SUMIFS(Resumo_Trocas!$C:$C,Resumo_Trocas!$A:$A,$C38,Resumo_Trocas!$F:$F,J$32,Resumo_Trocas!$C:$C,"&gt;0")</f>
        <v>2</v>
      </c>
      <c r="K38" s="141">
        <f>SUMIFS(Resumo_Trocas!$E:$E,Resumo_Trocas!$A:$A,$C38,Resumo_Trocas!$F:$F,J$32,Resumo_Trocas!$C:$C,"&gt;0")</f>
        <v>0</v>
      </c>
      <c r="L38" s="140">
        <f>SUMIFS(Resumo_Trocas!$C:$C,Resumo_Trocas!$A:$A,$C38,Resumo_Trocas!$F:$F,L$32,Resumo_Trocas!$C:$C,"&gt;0")</f>
        <v>3</v>
      </c>
      <c r="M38" s="141">
        <f>SUMIFS(Resumo_Trocas!$E:$E,Resumo_Trocas!$A:$A,$C38,Resumo_Trocas!$F:$F,L$32,Resumo_Trocas!$C:$C,"&gt;0")</f>
        <v>0</v>
      </c>
      <c r="N38" s="140">
        <f>SUMIFS(Resumo_Trocas!$C:$C,Resumo_Trocas!$A:$A,$C38,Resumo_Trocas!$F:$F,N$32,Resumo_Trocas!$C:$C,"&gt;0")</f>
        <v>0</v>
      </c>
      <c r="O38" s="141">
        <f>SUMIFS(Resumo_Trocas!$E:$E,Resumo_Trocas!$A:$A,$C38,Resumo_Trocas!$F:$F,N$32,Resumo_Trocas!$C:$C,"&gt;0")</f>
        <v>0</v>
      </c>
      <c r="P38" s="140">
        <f>SUMIFS(Resumo_Trocas!$C:$C,Resumo_Trocas!$A:$A,$C38,Resumo_Trocas!$F:$F,P$32,Resumo_Trocas!$C:$C,"&gt;0")</f>
        <v>3</v>
      </c>
      <c r="Q38" s="141">
        <f>SUMIFS(Resumo_Trocas!$E:$E,Resumo_Trocas!$A:$A,$C38,Resumo_Trocas!$F:$F,P$32,Resumo_Trocas!$C:$C,"&gt;0")</f>
        <v>1</v>
      </c>
      <c r="R38" s="140">
        <f>SUMIFS(Resumo_Trocas!$C:$C,Resumo_Trocas!$A:$A,$C38,Resumo_Trocas!$F:$F,R$32,Resumo_Trocas!$C:$C,"&gt;0")</f>
        <v>2</v>
      </c>
      <c r="S38" s="141">
        <f>SUMIFS(Resumo_Trocas!$E:$E,Resumo_Trocas!$A:$A,$C38,Resumo_Trocas!$F:$F,R$32,Resumo_Trocas!$C:$C,"&gt;0")</f>
        <v>0</v>
      </c>
      <c r="T38" s="140">
        <f>SUMIFS(Resumo_Trocas!$C:$C,Resumo_Trocas!$A:$A,$C38,Resumo_Trocas!$F:$F,T$32,Resumo_Trocas!$C:$C,"&gt;0")</f>
        <v>1</v>
      </c>
      <c r="U38" s="141">
        <f>SUMIFS(Resumo_Trocas!$E:$E,Resumo_Trocas!$A:$A,$C38,Resumo_Trocas!$F:$F,T$32,Resumo_Trocas!$C:$C,"&gt;0")</f>
        <v>1</v>
      </c>
      <c r="V38" s="140">
        <f>SUMIFS(Resumo_Trocas!$C:$C,Resumo_Trocas!$A:$A,$C38,Resumo_Trocas!$F:$F,V$32,Resumo_Trocas!$C:$C,"&gt;0")</f>
        <v>1</v>
      </c>
      <c r="W38" s="141">
        <f>SUMIFS(Resumo_Trocas!$E:$E,Resumo_Trocas!$A:$A,$C38,Resumo_Trocas!$F:$F,V$32,Resumo_Trocas!$C:$C,"&gt;0")</f>
        <v>0</v>
      </c>
      <c r="X38" s="140">
        <f>SUMIFS(Resumo_Trocas!$C:$C,Resumo_Trocas!$A:$A,$C38,Resumo_Trocas!$F:$F,X$32,Resumo_Trocas!$C:$C,"&gt;0")</f>
        <v>0</v>
      </c>
      <c r="Y38" s="141">
        <f>SUMIFS(Resumo_Trocas!$E:$E,Resumo_Trocas!$A:$A,$C38,Resumo_Trocas!$F:$F,X$32,Resumo_Trocas!$C:$C,"&gt;0")</f>
        <v>0</v>
      </c>
      <c r="Z38" s="140">
        <f>SUMIFS(Resumo_Trocas!$C:$C,Resumo_Trocas!$A:$A,$C38,Resumo_Trocas!$F:$F,Z$32,Resumo_Trocas!$C:$C,"&gt;0")</f>
        <v>1</v>
      </c>
      <c r="AA38" s="141">
        <f>SUMIFS(Resumo_Trocas!$E:$E,Resumo_Trocas!$A:$A,$C38,Resumo_Trocas!$F:$F,Z$32,Resumo_Trocas!$C:$C,"&gt;0")</f>
        <v>0</v>
      </c>
      <c r="AB38" s="140">
        <f>SUMIFS(Resumo_Trocas!$C:$C,Resumo_Trocas!$A:$A,$C38,Resumo_Trocas!$F:$F,AB$32,Resumo_Trocas!$C:$C,"&gt;0")</f>
        <v>0</v>
      </c>
      <c r="AC38" s="141">
        <f>SUMIFS(Resumo_Trocas!$E:$E,Resumo_Trocas!$A:$A,$C38,Resumo_Trocas!$F:$F,AB$32,Resumo_Trocas!$C:$C,"&gt;0")</f>
        <v>0</v>
      </c>
      <c r="AD38" s="140">
        <f>SUMIFS(Resumo_Trocas!$C:$C,Resumo_Trocas!$A:$A,$C38,Resumo_Trocas!$F:$F,AD$32,Resumo_Trocas!$C:$C,"&gt;0")</f>
        <v>0</v>
      </c>
      <c r="AE38" s="141">
        <f>SUMIFS(Resumo_Trocas!$E:$E,Resumo_Trocas!$A:$A,$C38,Resumo_Trocas!$F:$F,AD$32,Resumo_Trocas!$C:$C,"&gt;0")</f>
        <v>0</v>
      </c>
      <c r="AF38" s="140">
        <f>SUMIFS(Resumo_Trocas!$C:$C,Resumo_Trocas!$A:$A,$C38,Resumo_Trocas!$F:$F,AF$32,Resumo_Trocas!$C:$C,"&gt;0")</f>
        <v>0</v>
      </c>
      <c r="AG38" s="141">
        <f>SUMIFS(Resumo_Trocas!$E:$E,Resumo_Trocas!$A:$A,$C38,Resumo_Trocas!$F:$F,AF$32,Resumo_Trocas!$C:$C,"&gt;0")</f>
        <v>0</v>
      </c>
      <c r="AH38" s="140">
        <f>SUMIFS(Resumo_Trocas!$C:$C,Resumo_Trocas!$A:$A,$C38,Resumo_Trocas!$F:$F,AH$32,Resumo_Trocas!$C:$C,"&gt;0")</f>
        <v>1</v>
      </c>
      <c r="AI38" s="141">
        <f>SUMIFS(Resumo_Trocas!$E:$E,Resumo_Trocas!$A:$A,$C38,Resumo_Trocas!$F:$F,AH$32,Resumo_Trocas!$C:$C,"&gt;0")</f>
        <v>0</v>
      </c>
      <c r="AJ38" s="140">
        <f>SUMIFS(Resumo_Trocas!$C:$C,Resumo_Trocas!$A:$A,$C38,Resumo_Trocas!$F:$F,AJ$32,Resumo_Trocas!$C:$C,"&gt;0")</f>
        <v>0</v>
      </c>
      <c r="AK38" s="141">
        <f>SUMIFS(Resumo_Trocas!$E:$E,Resumo_Trocas!$A:$A,$C38,Resumo_Trocas!$F:$F,AJ$32,Resumo_Trocas!$C:$C,"&gt;0")</f>
        <v>0</v>
      </c>
      <c r="AL38" s="140">
        <f>SUMIFS(Resumo_Trocas!$C:$C,Resumo_Trocas!$A:$A,$C38,Resumo_Trocas!$F:$F,AL$32,Resumo_Trocas!$C:$C,"&gt;0")</f>
        <v>4</v>
      </c>
      <c r="AM38" s="141">
        <f>SUMIFS(Resumo_Trocas!$E:$E,Resumo_Trocas!$A:$A,$C38,Resumo_Trocas!$F:$F,AL$32,Resumo_Trocas!$C:$C,"&gt;0")</f>
        <v>1</v>
      </c>
      <c r="AN38" s="140">
        <f>SUMIFS(Resumo_Trocas!$C:$C,Resumo_Trocas!$A:$A,$C38,Resumo_Trocas!$F:$F,AN$32,Resumo_Trocas!$C:$C,"&gt;0")</f>
        <v>0</v>
      </c>
      <c r="AO38" s="141">
        <f>SUMIFS(Resumo_Trocas!$E:$E,Resumo_Trocas!$A:$A,$C38,Resumo_Trocas!$F:$F,AN$32,Resumo_Trocas!$C:$C,"&gt;0")</f>
        <v>0</v>
      </c>
    </row>
    <row r="39" spans="2:41" ht="15" customHeight="1" outlineLevel="1" thickBot="1" x14ac:dyDescent="0.3">
      <c r="B39" s="76"/>
      <c r="C39" s="112" t="s">
        <v>443</v>
      </c>
      <c r="D39" s="140">
        <f>SUMIFS(Resumo_Trocas!$C:$C,Resumo_Trocas!$A:$A,$C39,Resumo_Trocas!$F:$F,D$32,Resumo_Trocas!$C:$C,"&gt;0")</f>
        <v>2</v>
      </c>
      <c r="E39" s="141">
        <f>SUMIFS(Resumo_Trocas!$E:$E,Resumo_Trocas!$A:$A,$C39,Resumo_Trocas!$F:$F,D$32,Resumo_Trocas!$C:$C,"&gt;0")</f>
        <v>1</v>
      </c>
      <c r="F39" s="140">
        <f>SUMIFS(Resumo_Trocas!$C:$C,Resumo_Trocas!$A:$A,$C39,Resumo_Trocas!$F:$F,F$32,Resumo_Trocas!$C:$C,"&gt;0")</f>
        <v>2</v>
      </c>
      <c r="G39" s="141">
        <f>SUMIFS(Resumo_Trocas!$E:$E,Resumo_Trocas!$A:$A,$C39,Resumo_Trocas!$F:$F,F$32,Resumo_Trocas!$C:$C,"&gt;0")</f>
        <v>1</v>
      </c>
      <c r="H39" s="140">
        <f>SUMIFS(Resumo_Trocas!$C:$C,Resumo_Trocas!$A:$A,$C39,Resumo_Trocas!$F:$F,H$32,Resumo_Trocas!$C:$C,"&gt;0")</f>
        <v>3</v>
      </c>
      <c r="I39" s="141">
        <f>SUMIFS(Resumo_Trocas!$E:$E,Resumo_Trocas!$A:$A,$C39,Resumo_Trocas!$F:$F,H$32,Resumo_Trocas!$C:$C,"&gt;0")</f>
        <v>1</v>
      </c>
      <c r="J39" s="140">
        <f>SUMIFS(Resumo_Trocas!$C:$C,Resumo_Trocas!$A:$A,$C39,Resumo_Trocas!$F:$F,J$32,Resumo_Trocas!$C:$C,"&gt;0")</f>
        <v>3</v>
      </c>
      <c r="K39" s="141">
        <f>SUMIFS(Resumo_Trocas!$E:$E,Resumo_Trocas!$A:$A,$C39,Resumo_Trocas!$F:$F,J$32,Resumo_Trocas!$C:$C,"&gt;0")</f>
        <v>0</v>
      </c>
      <c r="L39" s="140">
        <f>SUMIFS(Resumo_Trocas!$C:$C,Resumo_Trocas!$A:$A,$C39,Resumo_Trocas!$F:$F,L$32,Resumo_Trocas!$C:$C,"&gt;0")</f>
        <v>2</v>
      </c>
      <c r="M39" s="141">
        <f>SUMIFS(Resumo_Trocas!$E:$E,Resumo_Trocas!$A:$A,$C39,Resumo_Trocas!$F:$F,L$32,Resumo_Trocas!$C:$C,"&gt;0")</f>
        <v>1</v>
      </c>
      <c r="N39" s="140">
        <f>SUMIFS(Resumo_Trocas!$C:$C,Resumo_Trocas!$A:$A,$C39,Resumo_Trocas!$F:$F,N$32,Resumo_Trocas!$C:$C,"&gt;0")</f>
        <v>0</v>
      </c>
      <c r="O39" s="141">
        <f>SUMIFS(Resumo_Trocas!$E:$E,Resumo_Trocas!$A:$A,$C39,Resumo_Trocas!$F:$F,N$32,Resumo_Trocas!$C:$C,"&gt;0")</f>
        <v>0</v>
      </c>
      <c r="P39" s="140">
        <f>SUMIFS(Resumo_Trocas!$C:$C,Resumo_Trocas!$A:$A,$C39,Resumo_Trocas!$F:$F,P$32,Resumo_Trocas!$C:$C,"&gt;0")</f>
        <v>1</v>
      </c>
      <c r="Q39" s="141">
        <f>SUMIFS(Resumo_Trocas!$E:$E,Resumo_Trocas!$A:$A,$C39,Resumo_Trocas!$F:$F,P$32,Resumo_Trocas!$C:$C,"&gt;0")</f>
        <v>1</v>
      </c>
      <c r="R39" s="140">
        <f>SUMIFS(Resumo_Trocas!$C:$C,Resumo_Trocas!$A:$A,$C39,Resumo_Trocas!$F:$F,R$32,Resumo_Trocas!$C:$C,"&gt;0")</f>
        <v>1</v>
      </c>
      <c r="S39" s="141">
        <f>SUMIFS(Resumo_Trocas!$E:$E,Resumo_Trocas!$A:$A,$C39,Resumo_Trocas!$F:$F,R$32,Resumo_Trocas!$C:$C,"&gt;0")</f>
        <v>0</v>
      </c>
      <c r="T39" s="140">
        <f>SUMIFS(Resumo_Trocas!$C:$C,Resumo_Trocas!$A:$A,$C39,Resumo_Trocas!$F:$F,T$32,Resumo_Trocas!$C:$C,"&gt;0")</f>
        <v>1</v>
      </c>
      <c r="U39" s="141">
        <f>SUMIFS(Resumo_Trocas!$E:$E,Resumo_Trocas!$A:$A,$C39,Resumo_Trocas!$F:$F,T$32,Resumo_Trocas!$C:$C,"&gt;0")</f>
        <v>0</v>
      </c>
      <c r="V39" s="140">
        <f>SUMIFS(Resumo_Trocas!$C:$C,Resumo_Trocas!$A:$A,$C39,Resumo_Trocas!$F:$F,V$32,Resumo_Trocas!$C:$C,"&gt;0")</f>
        <v>1</v>
      </c>
      <c r="W39" s="141">
        <f>SUMIFS(Resumo_Trocas!$E:$E,Resumo_Trocas!$A:$A,$C39,Resumo_Trocas!$F:$F,V$32,Resumo_Trocas!$C:$C,"&gt;0")</f>
        <v>0</v>
      </c>
      <c r="X39" s="140">
        <f>SUMIFS(Resumo_Trocas!$C:$C,Resumo_Trocas!$A:$A,$C39,Resumo_Trocas!$F:$F,X$32,Resumo_Trocas!$C:$C,"&gt;0")</f>
        <v>2</v>
      </c>
      <c r="Y39" s="141">
        <f>SUMIFS(Resumo_Trocas!$E:$E,Resumo_Trocas!$A:$A,$C39,Resumo_Trocas!$F:$F,X$32,Resumo_Trocas!$C:$C,"&gt;0")</f>
        <v>0</v>
      </c>
      <c r="Z39" s="140">
        <f>SUMIFS(Resumo_Trocas!$C:$C,Resumo_Trocas!$A:$A,$C39,Resumo_Trocas!$F:$F,Z$32,Resumo_Trocas!$C:$C,"&gt;0")</f>
        <v>2</v>
      </c>
      <c r="AA39" s="141">
        <f>SUMIFS(Resumo_Trocas!$E:$E,Resumo_Trocas!$A:$A,$C39,Resumo_Trocas!$F:$F,Z$32,Resumo_Trocas!$C:$C,"&gt;0")</f>
        <v>1</v>
      </c>
      <c r="AB39" s="140">
        <f>SUMIFS(Resumo_Trocas!$C:$C,Resumo_Trocas!$A:$A,$C39,Resumo_Trocas!$F:$F,AB$32,Resumo_Trocas!$C:$C,"&gt;0")</f>
        <v>2</v>
      </c>
      <c r="AC39" s="141">
        <f>SUMIFS(Resumo_Trocas!$E:$E,Resumo_Trocas!$A:$A,$C39,Resumo_Trocas!$F:$F,AB$32,Resumo_Trocas!$C:$C,"&gt;0")</f>
        <v>0</v>
      </c>
      <c r="AD39" s="140">
        <f>SUMIFS(Resumo_Trocas!$C:$C,Resumo_Trocas!$A:$A,$C39,Resumo_Trocas!$F:$F,AD$32,Resumo_Trocas!$C:$C,"&gt;0")</f>
        <v>2</v>
      </c>
      <c r="AE39" s="141">
        <f>SUMIFS(Resumo_Trocas!$E:$E,Resumo_Trocas!$A:$A,$C39,Resumo_Trocas!$F:$F,AD$32,Resumo_Trocas!$C:$C,"&gt;0")</f>
        <v>0</v>
      </c>
      <c r="AF39" s="140">
        <f>SUMIFS(Resumo_Trocas!$C:$C,Resumo_Trocas!$A:$A,$C39,Resumo_Trocas!$F:$F,AF$32,Resumo_Trocas!$C:$C,"&gt;0")</f>
        <v>1</v>
      </c>
      <c r="AG39" s="141">
        <f>SUMIFS(Resumo_Trocas!$E:$E,Resumo_Trocas!$A:$A,$C39,Resumo_Trocas!$F:$F,AF$32,Resumo_Trocas!$C:$C,"&gt;0")</f>
        <v>0</v>
      </c>
      <c r="AH39" s="140">
        <f>SUMIFS(Resumo_Trocas!$C:$C,Resumo_Trocas!$A:$A,$C39,Resumo_Trocas!$F:$F,AH$32,Resumo_Trocas!$C:$C,"&gt;0")</f>
        <v>1</v>
      </c>
      <c r="AI39" s="141">
        <f>SUMIFS(Resumo_Trocas!$E:$E,Resumo_Trocas!$A:$A,$C39,Resumo_Trocas!$F:$F,AH$32,Resumo_Trocas!$C:$C,"&gt;0")</f>
        <v>1</v>
      </c>
      <c r="AJ39" s="140">
        <f>SUMIFS(Resumo_Trocas!$C:$C,Resumo_Trocas!$A:$A,$C39,Resumo_Trocas!$F:$F,AJ$32,Resumo_Trocas!$C:$C,"&gt;0")</f>
        <v>2</v>
      </c>
      <c r="AK39" s="141">
        <f>SUMIFS(Resumo_Trocas!$E:$E,Resumo_Trocas!$A:$A,$C39,Resumo_Trocas!$F:$F,AJ$32,Resumo_Trocas!$C:$C,"&gt;0")</f>
        <v>0</v>
      </c>
      <c r="AL39" s="140">
        <f>SUMIFS(Resumo_Trocas!$C:$C,Resumo_Trocas!$A:$A,$C39,Resumo_Trocas!$F:$F,AL$32,Resumo_Trocas!$C:$C,"&gt;0")</f>
        <v>0</v>
      </c>
      <c r="AM39" s="141">
        <f>SUMIFS(Resumo_Trocas!$E:$E,Resumo_Trocas!$A:$A,$C39,Resumo_Trocas!$F:$F,AL$32,Resumo_Trocas!$C:$C,"&gt;0")</f>
        <v>0</v>
      </c>
      <c r="AN39" s="140">
        <f>SUMIFS(Resumo_Trocas!$C:$C,Resumo_Trocas!$A:$A,$C39,Resumo_Trocas!$F:$F,AN$32,Resumo_Trocas!$C:$C,"&gt;0")</f>
        <v>0</v>
      </c>
      <c r="AO39" s="141">
        <f>SUMIFS(Resumo_Trocas!$E:$E,Resumo_Trocas!$A:$A,$C39,Resumo_Trocas!$F:$F,AN$32,Resumo_Trocas!$C:$C,"&gt;0")</f>
        <v>0</v>
      </c>
    </row>
    <row r="40" spans="2:41" ht="15" customHeight="1" outlineLevel="1" thickBot="1" x14ac:dyDescent="0.3">
      <c r="B40" s="76"/>
      <c r="C40" s="112" t="s">
        <v>450</v>
      </c>
      <c r="D40" s="140">
        <f>SUMIFS(Resumo_Trocas!$C:$C,Resumo_Trocas!$A:$A,$C40,Resumo_Trocas!$F:$F,D$32,Resumo_Trocas!$C:$C,"&gt;0")</f>
        <v>1</v>
      </c>
      <c r="E40" s="141">
        <f>SUMIFS(Resumo_Trocas!$E:$E,Resumo_Trocas!$A:$A,$C40,Resumo_Trocas!$F:$F,D$32,Resumo_Trocas!$C:$C,"&gt;0")</f>
        <v>0</v>
      </c>
      <c r="F40" s="140">
        <f>SUMIFS(Resumo_Trocas!$C:$C,Resumo_Trocas!$A:$A,$C40,Resumo_Trocas!$F:$F,F$32,Resumo_Trocas!$C:$C,"&gt;0")</f>
        <v>4</v>
      </c>
      <c r="G40" s="141">
        <f>SUMIFS(Resumo_Trocas!$E:$E,Resumo_Trocas!$A:$A,$C40,Resumo_Trocas!$F:$F,F$32,Resumo_Trocas!$C:$C,"&gt;0")</f>
        <v>1</v>
      </c>
      <c r="H40" s="140">
        <f>SUMIFS(Resumo_Trocas!$C:$C,Resumo_Trocas!$A:$A,$C40,Resumo_Trocas!$F:$F,H$32,Resumo_Trocas!$C:$C,"&gt;0")</f>
        <v>4</v>
      </c>
      <c r="I40" s="141">
        <f>SUMIFS(Resumo_Trocas!$E:$E,Resumo_Trocas!$A:$A,$C40,Resumo_Trocas!$F:$F,H$32,Resumo_Trocas!$C:$C,"&gt;0")</f>
        <v>0</v>
      </c>
      <c r="J40" s="140">
        <f>SUMIFS(Resumo_Trocas!$C:$C,Resumo_Trocas!$A:$A,$C40,Resumo_Trocas!$F:$F,J$32,Resumo_Trocas!$C:$C,"&gt;0")</f>
        <v>2</v>
      </c>
      <c r="K40" s="141">
        <f>SUMIFS(Resumo_Trocas!$E:$E,Resumo_Trocas!$A:$A,$C40,Resumo_Trocas!$F:$F,J$32,Resumo_Trocas!$C:$C,"&gt;0")</f>
        <v>1</v>
      </c>
      <c r="L40" s="140">
        <f>SUMIFS(Resumo_Trocas!$C:$C,Resumo_Trocas!$A:$A,$C40,Resumo_Trocas!$F:$F,L$32,Resumo_Trocas!$C:$C,"&gt;0")</f>
        <v>2</v>
      </c>
      <c r="M40" s="141">
        <f>SUMIFS(Resumo_Trocas!$E:$E,Resumo_Trocas!$A:$A,$C40,Resumo_Trocas!$F:$F,L$32,Resumo_Trocas!$C:$C,"&gt;0")</f>
        <v>1</v>
      </c>
      <c r="N40" s="140">
        <f>SUMIFS(Resumo_Trocas!$C:$C,Resumo_Trocas!$A:$A,$C40,Resumo_Trocas!$F:$F,N$32,Resumo_Trocas!$C:$C,"&gt;0")</f>
        <v>0</v>
      </c>
      <c r="O40" s="141">
        <f>SUMIFS(Resumo_Trocas!$E:$E,Resumo_Trocas!$A:$A,$C40,Resumo_Trocas!$F:$F,N$32,Resumo_Trocas!$C:$C,"&gt;0")</f>
        <v>0</v>
      </c>
      <c r="P40" s="140">
        <f>SUMIFS(Resumo_Trocas!$C:$C,Resumo_Trocas!$A:$A,$C40,Resumo_Trocas!$F:$F,P$32,Resumo_Trocas!$C:$C,"&gt;0")</f>
        <v>1</v>
      </c>
      <c r="Q40" s="141">
        <f>SUMIFS(Resumo_Trocas!$E:$E,Resumo_Trocas!$A:$A,$C40,Resumo_Trocas!$F:$F,P$32,Resumo_Trocas!$C:$C,"&gt;0")</f>
        <v>0</v>
      </c>
      <c r="R40" s="140">
        <f>SUMIFS(Resumo_Trocas!$C:$C,Resumo_Trocas!$A:$A,$C40,Resumo_Trocas!$F:$F,R$32,Resumo_Trocas!$C:$C,"&gt;0")</f>
        <v>1</v>
      </c>
      <c r="S40" s="141">
        <f>SUMIFS(Resumo_Trocas!$E:$E,Resumo_Trocas!$A:$A,$C40,Resumo_Trocas!$F:$F,R$32,Resumo_Trocas!$C:$C,"&gt;0")</f>
        <v>0</v>
      </c>
      <c r="T40" s="140">
        <f>SUMIFS(Resumo_Trocas!$C:$C,Resumo_Trocas!$A:$A,$C40,Resumo_Trocas!$F:$F,T$32,Resumo_Trocas!$C:$C,"&gt;0")</f>
        <v>3</v>
      </c>
      <c r="U40" s="141">
        <f>SUMIFS(Resumo_Trocas!$E:$E,Resumo_Trocas!$A:$A,$C40,Resumo_Trocas!$F:$F,T$32,Resumo_Trocas!$C:$C,"&gt;0")</f>
        <v>0</v>
      </c>
      <c r="V40" s="140">
        <f>SUMIFS(Resumo_Trocas!$C:$C,Resumo_Trocas!$A:$A,$C40,Resumo_Trocas!$F:$F,V$32,Resumo_Trocas!$C:$C,"&gt;0")</f>
        <v>0</v>
      </c>
      <c r="W40" s="141">
        <f>SUMIFS(Resumo_Trocas!$E:$E,Resumo_Trocas!$A:$A,$C40,Resumo_Trocas!$F:$F,V$32,Resumo_Trocas!$C:$C,"&gt;0")</f>
        <v>0</v>
      </c>
      <c r="X40" s="140">
        <f>SUMIFS(Resumo_Trocas!$C:$C,Resumo_Trocas!$A:$A,$C40,Resumo_Trocas!$F:$F,X$32,Resumo_Trocas!$C:$C,"&gt;0")</f>
        <v>1</v>
      </c>
      <c r="Y40" s="141">
        <f>SUMIFS(Resumo_Trocas!$E:$E,Resumo_Trocas!$A:$A,$C40,Resumo_Trocas!$F:$F,X$32,Resumo_Trocas!$C:$C,"&gt;0")</f>
        <v>1</v>
      </c>
      <c r="Z40" s="140">
        <f>SUMIFS(Resumo_Trocas!$C:$C,Resumo_Trocas!$A:$A,$C40,Resumo_Trocas!$F:$F,Z$32,Resumo_Trocas!$C:$C,"&gt;0")</f>
        <v>1</v>
      </c>
      <c r="AA40" s="141">
        <f>SUMIFS(Resumo_Trocas!$E:$E,Resumo_Trocas!$A:$A,$C40,Resumo_Trocas!$F:$F,Z$32,Resumo_Trocas!$C:$C,"&gt;0")</f>
        <v>0</v>
      </c>
      <c r="AB40" s="140">
        <f>SUMIFS(Resumo_Trocas!$C:$C,Resumo_Trocas!$A:$A,$C40,Resumo_Trocas!$F:$F,AB$32,Resumo_Trocas!$C:$C,"&gt;0")</f>
        <v>0</v>
      </c>
      <c r="AC40" s="141">
        <f>SUMIFS(Resumo_Trocas!$E:$E,Resumo_Trocas!$A:$A,$C40,Resumo_Trocas!$F:$F,AB$32,Resumo_Trocas!$C:$C,"&gt;0")</f>
        <v>0</v>
      </c>
      <c r="AD40" s="140">
        <f>SUMIFS(Resumo_Trocas!$C:$C,Resumo_Trocas!$A:$A,$C40,Resumo_Trocas!$F:$F,AD$32,Resumo_Trocas!$C:$C,"&gt;0")</f>
        <v>0</v>
      </c>
      <c r="AE40" s="141">
        <f>SUMIFS(Resumo_Trocas!$E:$E,Resumo_Trocas!$A:$A,$C40,Resumo_Trocas!$F:$F,AD$32,Resumo_Trocas!$C:$C,"&gt;0")</f>
        <v>0</v>
      </c>
      <c r="AF40" s="140">
        <f>SUMIFS(Resumo_Trocas!$C:$C,Resumo_Trocas!$A:$A,$C40,Resumo_Trocas!$F:$F,AF$32,Resumo_Trocas!$C:$C,"&gt;0")</f>
        <v>0</v>
      </c>
      <c r="AG40" s="141">
        <f>SUMIFS(Resumo_Trocas!$E:$E,Resumo_Trocas!$A:$A,$C40,Resumo_Trocas!$F:$F,AF$32,Resumo_Trocas!$C:$C,"&gt;0")</f>
        <v>0</v>
      </c>
      <c r="AH40" s="140">
        <f>SUMIFS(Resumo_Trocas!$C:$C,Resumo_Trocas!$A:$A,$C40,Resumo_Trocas!$F:$F,AH$32,Resumo_Trocas!$C:$C,"&gt;0")</f>
        <v>1</v>
      </c>
      <c r="AI40" s="141">
        <f>SUMIFS(Resumo_Trocas!$E:$E,Resumo_Trocas!$A:$A,$C40,Resumo_Trocas!$F:$F,AH$32,Resumo_Trocas!$C:$C,"&gt;0")</f>
        <v>0</v>
      </c>
      <c r="AJ40" s="140">
        <f>SUMIFS(Resumo_Trocas!$C:$C,Resumo_Trocas!$A:$A,$C40,Resumo_Trocas!$F:$F,AJ$32,Resumo_Trocas!$C:$C,"&gt;0")</f>
        <v>1</v>
      </c>
      <c r="AK40" s="141">
        <f>SUMIFS(Resumo_Trocas!$E:$E,Resumo_Trocas!$A:$A,$C40,Resumo_Trocas!$F:$F,AJ$32,Resumo_Trocas!$C:$C,"&gt;0")</f>
        <v>0</v>
      </c>
      <c r="AL40" s="140">
        <f>SUMIFS(Resumo_Trocas!$C:$C,Resumo_Trocas!$A:$A,$C40,Resumo_Trocas!$F:$F,AL$32,Resumo_Trocas!$C:$C,"&gt;0")</f>
        <v>0</v>
      </c>
      <c r="AM40" s="141">
        <f>SUMIFS(Resumo_Trocas!$E:$E,Resumo_Trocas!$A:$A,$C40,Resumo_Trocas!$F:$F,AL$32,Resumo_Trocas!$C:$C,"&gt;0")</f>
        <v>0</v>
      </c>
      <c r="AN40" s="140">
        <f>SUMIFS(Resumo_Trocas!$C:$C,Resumo_Trocas!$A:$A,$C40,Resumo_Trocas!$F:$F,AN$32,Resumo_Trocas!$C:$C,"&gt;0")</f>
        <v>0</v>
      </c>
      <c r="AO40" s="141">
        <f>SUMIFS(Resumo_Trocas!$E:$E,Resumo_Trocas!$A:$A,$C40,Resumo_Trocas!$F:$F,AN$32,Resumo_Trocas!$C:$C,"&gt;0")</f>
        <v>0</v>
      </c>
    </row>
    <row r="41" spans="2:41" ht="15" customHeight="1" outlineLevel="1" thickBot="1" x14ac:dyDescent="0.3">
      <c r="B41" s="76"/>
      <c r="C41" s="112" t="s">
        <v>454</v>
      </c>
      <c r="D41" s="140">
        <f>SUMIFS(Resumo_Trocas!$C:$C,Resumo_Trocas!$A:$A,$C41,Resumo_Trocas!$F:$F,D$32,Resumo_Trocas!$C:$C,"&gt;0")</f>
        <v>3</v>
      </c>
      <c r="E41" s="141">
        <f>SUMIFS(Resumo_Trocas!$E:$E,Resumo_Trocas!$A:$A,$C41,Resumo_Trocas!$F:$F,D$32,Resumo_Trocas!$C:$C,"&gt;0")</f>
        <v>2</v>
      </c>
      <c r="F41" s="140">
        <f>SUMIFS(Resumo_Trocas!$C:$C,Resumo_Trocas!$A:$A,$C41,Resumo_Trocas!$F:$F,F$32,Resumo_Trocas!$C:$C,"&gt;0")</f>
        <v>1</v>
      </c>
      <c r="G41" s="141">
        <f>SUMIFS(Resumo_Trocas!$E:$E,Resumo_Trocas!$A:$A,$C41,Resumo_Trocas!$F:$F,F$32,Resumo_Trocas!$C:$C,"&gt;0")</f>
        <v>1</v>
      </c>
      <c r="H41" s="140">
        <f>SUMIFS(Resumo_Trocas!$C:$C,Resumo_Trocas!$A:$A,$C41,Resumo_Trocas!$F:$F,H$32,Resumo_Trocas!$C:$C,"&gt;0")</f>
        <v>2</v>
      </c>
      <c r="I41" s="141">
        <f>SUMIFS(Resumo_Trocas!$E:$E,Resumo_Trocas!$A:$A,$C41,Resumo_Trocas!$F:$F,H$32,Resumo_Trocas!$C:$C,"&gt;0")</f>
        <v>0</v>
      </c>
      <c r="J41" s="140">
        <f>SUMIFS(Resumo_Trocas!$C:$C,Resumo_Trocas!$A:$A,$C41,Resumo_Trocas!$F:$F,J$32,Resumo_Trocas!$C:$C,"&gt;0")</f>
        <v>2</v>
      </c>
      <c r="K41" s="141">
        <f>SUMIFS(Resumo_Trocas!$E:$E,Resumo_Trocas!$A:$A,$C41,Resumo_Trocas!$F:$F,J$32,Resumo_Trocas!$C:$C,"&gt;0")</f>
        <v>1</v>
      </c>
      <c r="L41" s="140">
        <f>SUMIFS(Resumo_Trocas!$C:$C,Resumo_Trocas!$A:$A,$C41,Resumo_Trocas!$F:$F,L$32,Resumo_Trocas!$C:$C,"&gt;0")</f>
        <v>0</v>
      </c>
      <c r="M41" s="141">
        <f>SUMIFS(Resumo_Trocas!$E:$E,Resumo_Trocas!$A:$A,$C41,Resumo_Trocas!$F:$F,L$32,Resumo_Trocas!$C:$C,"&gt;0")</f>
        <v>0</v>
      </c>
      <c r="N41" s="140">
        <f>SUMIFS(Resumo_Trocas!$C:$C,Resumo_Trocas!$A:$A,$C41,Resumo_Trocas!$F:$F,N$32,Resumo_Trocas!$C:$C,"&gt;0")</f>
        <v>0</v>
      </c>
      <c r="O41" s="141">
        <f>SUMIFS(Resumo_Trocas!$E:$E,Resumo_Trocas!$A:$A,$C41,Resumo_Trocas!$F:$F,N$32,Resumo_Trocas!$C:$C,"&gt;0")</f>
        <v>0</v>
      </c>
      <c r="P41" s="140">
        <f>SUMIFS(Resumo_Trocas!$C:$C,Resumo_Trocas!$A:$A,$C41,Resumo_Trocas!$F:$F,P$32,Resumo_Trocas!$C:$C,"&gt;0")</f>
        <v>1</v>
      </c>
      <c r="Q41" s="141">
        <f>SUMIFS(Resumo_Trocas!$E:$E,Resumo_Trocas!$A:$A,$C41,Resumo_Trocas!$F:$F,P$32,Resumo_Trocas!$C:$C,"&gt;0")</f>
        <v>0</v>
      </c>
      <c r="R41" s="140">
        <f>SUMIFS(Resumo_Trocas!$C:$C,Resumo_Trocas!$A:$A,$C41,Resumo_Trocas!$F:$F,R$32,Resumo_Trocas!$C:$C,"&gt;0")</f>
        <v>1</v>
      </c>
      <c r="S41" s="141">
        <f>SUMIFS(Resumo_Trocas!$E:$E,Resumo_Trocas!$A:$A,$C41,Resumo_Trocas!$F:$F,R$32,Resumo_Trocas!$C:$C,"&gt;0")</f>
        <v>0</v>
      </c>
      <c r="T41" s="140">
        <f>SUMIFS(Resumo_Trocas!$C:$C,Resumo_Trocas!$A:$A,$C41,Resumo_Trocas!$F:$F,T$32,Resumo_Trocas!$C:$C,"&gt;0")</f>
        <v>0</v>
      </c>
      <c r="U41" s="141">
        <f>SUMIFS(Resumo_Trocas!$E:$E,Resumo_Trocas!$A:$A,$C41,Resumo_Trocas!$F:$F,T$32,Resumo_Trocas!$C:$C,"&gt;0")</f>
        <v>0</v>
      </c>
      <c r="V41" s="140">
        <f>SUMIFS(Resumo_Trocas!$C:$C,Resumo_Trocas!$A:$A,$C41,Resumo_Trocas!$F:$F,V$32,Resumo_Trocas!$C:$C,"&gt;0")</f>
        <v>1</v>
      </c>
      <c r="W41" s="141">
        <f>SUMIFS(Resumo_Trocas!$E:$E,Resumo_Trocas!$A:$A,$C41,Resumo_Trocas!$F:$F,V$32,Resumo_Trocas!$C:$C,"&gt;0")</f>
        <v>0</v>
      </c>
      <c r="X41" s="140">
        <f>SUMIFS(Resumo_Trocas!$C:$C,Resumo_Trocas!$A:$A,$C41,Resumo_Trocas!$F:$F,X$32,Resumo_Trocas!$C:$C,"&gt;0")</f>
        <v>1</v>
      </c>
      <c r="Y41" s="141">
        <f>SUMIFS(Resumo_Trocas!$E:$E,Resumo_Trocas!$A:$A,$C41,Resumo_Trocas!$F:$F,X$32,Resumo_Trocas!$C:$C,"&gt;0")</f>
        <v>0</v>
      </c>
      <c r="Z41" s="140">
        <f>SUMIFS(Resumo_Trocas!$C:$C,Resumo_Trocas!$A:$A,$C41,Resumo_Trocas!$F:$F,Z$32,Resumo_Trocas!$C:$C,"&gt;0")</f>
        <v>1</v>
      </c>
      <c r="AA41" s="141">
        <f>SUMIFS(Resumo_Trocas!$E:$E,Resumo_Trocas!$A:$A,$C41,Resumo_Trocas!$F:$F,Z$32,Resumo_Trocas!$C:$C,"&gt;0")</f>
        <v>0</v>
      </c>
      <c r="AB41" s="140">
        <f>SUMIFS(Resumo_Trocas!$C:$C,Resumo_Trocas!$A:$A,$C41,Resumo_Trocas!$F:$F,AB$32,Resumo_Trocas!$C:$C,"&gt;0")</f>
        <v>0</v>
      </c>
      <c r="AC41" s="141">
        <f>SUMIFS(Resumo_Trocas!$E:$E,Resumo_Trocas!$A:$A,$C41,Resumo_Trocas!$F:$F,AB$32,Resumo_Trocas!$C:$C,"&gt;0")</f>
        <v>0</v>
      </c>
      <c r="AD41" s="140">
        <f>SUMIFS(Resumo_Trocas!$C:$C,Resumo_Trocas!$A:$A,$C41,Resumo_Trocas!$F:$F,AD$32,Resumo_Trocas!$C:$C,"&gt;0")</f>
        <v>1</v>
      </c>
      <c r="AE41" s="141">
        <f>SUMIFS(Resumo_Trocas!$E:$E,Resumo_Trocas!$A:$A,$C41,Resumo_Trocas!$F:$F,AD$32,Resumo_Trocas!$C:$C,"&gt;0")</f>
        <v>0</v>
      </c>
      <c r="AF41" s="140">
        <f>SUMIFS(Resumo_Trocas!$C:$C,Resumo_Trocas!$A:$A,$C41,Resumo_Trocas!$F:$F,AF$32,Resumo_Trocas!$C:$C,"&gt;0")</f>
        <v>0</v>
      </c>
      <c r="AG41" s="141">
        <f>SUMIFS(Resumo_Trocas!$E:$E,Resumo_Trocas!$A:$A,$C41,Resumo_Trocas!$F:$F,AF$32,Resumo_Trocas!$C:$C,"&gt;0")</f>
        <v>0</v>
      </c>
      <c r="AH41" s="140">
        <f>SUMIFS(Resumo_Trocas!$C:$C,Resumo_Trocas!$A:$A,$C41,Resumo_Trocas!$F:$F,AH$32,Resumo_Trocas!$C:$C,"&gt;0")</f>
        <v>0</v>
      </c>
      <c r="AI41" s="141">
        <f>SUMIFS(Resumo_Trocas!$E:$E,Resumo_Trocas!$A:$A,$C41,Resumo_Trocas!$F:$F,AH$32,Resumo_Trocas!$C:$C,"&gt;0")</f>
        <v>0</v>
      </c>
      <c r="AJ41" s="140">
        <f>SUMIFS(Resumo_Trocas!$C:$C,Resumo_Trocas!$A:$A,$C41,Resumo_Trocas!$F:$F,AJ$32,Resumo_Trocas!$C:$C,"&gt;0")</f>
        <v>0</v>
      </c>
      <c r="AK41" s="141">
        <f>SUMIFS(Resumo_Trocas!$E:$E,Resumo_Trocas!$A:$A,$C41,Resumo_Trocas!$F:$F,AJ$32,Resumo_Trocas!$C:$C,"&gt;0")</f>
        <v>0</v>
      </c>
      <c r="AL41" s="140">
        <f>SUMIFS(Resumo_Trocas!$C:$C,Resumo_Trocas!$A:$A,$C41,Resumo_Trocas!$F:$F,AL$32,Resumo_Trocas!$C:$C,"&gt;0")</f>
        <v>1</v>
      </c>
      <c r="AM41" s="141">
        <f>SUMIFS(Resumo_Trocas!$E:$E,Resumo_Trocas!$A:$A,$C41,Resumo_Trocas!$F:$F,AL$32,Resumo_Trocas!$C:$C,"&gt;0")</f>
        <v>0</v>
      </c>
      <c r="AN41" s="140">
        <f>SUMIFS(Resumo_Trocas!$C:$C,Resumo_Trocas!$A:$A,$C41,Resumo_Trocas!$F:$F,AN$32,Resumo_Trocas!$C:$C,"&gt;0")</f>
        <v>0</v>
      </c>
      <c r="AO41" s="141">
        <f>SUMIFS(Resumo_Trocas!$E:$E,Resumo_Trocas!$A:$A,$C41,Resumo_Trocas!$F:$F,AN$32,Resumo_Trocas!$C:$C,"&gt;0")</f>
        <v>0</v>
      </c>
    </row>
    <row r="42" spans="2:41" ht="15.75" outlineLevel="1" thickBot="1" x14ac:dyDescent="0.3">
      <c r="C42" s="113" t="s">
        <v>461</v>
      </c>
      <c r="D42" s="142">
        <f>SUMIFS(Resumo_Trocas!$C:$C,Resumo_Trocas!$A:$A,$C42,Resumo_Trocas!$F:$F,D$32,Resumo_Trocas!$C:$C,"&gt;0")</f>
        <v>1</v>
      </c>
      <c r="E42" s="143">
        <f>SUMIFS(Resumo_Trocas!$E:$E,Resumo_Trocas!$A:$A,$C42,Resumo_Trocas!$F:$F,D$32,Resumo_Trocas!$C:$C,"&gt;0")</f>
        <v>0</v>
      </c>
      <c r="F42" s="142">
        <f>SUMIFS(Resumo_Trocas!$C:$C,Resumo_Trocas!$A:$A,$C42,Resumo_Trocas!$F:$F,F$32,Resumo_Trocas!$C:$C,"&gt;0")</f>
        <v>4</v>
      </c>
      <c r="G42" s="143">
        <f>SUMIFS(Resumo_Trocas!$E:$E,Resumo_Trocas!$A:$A,$C42,Resumo_Trocas!$F:$F,F$32,Resumo_Trocas!$C:$C,"&gt;0")</f>
        <v>3</v>
      </c>
      <c r="H42" s="142">
        <f>SUMIFS(Resumo_Trocas!$C:$C,Resumo_Trocas!$A:$A,$C42,Resumo_Trocas!$F:$F,H$32,Resumo_Trocas!$C:$C,"&gt;0")</f>
        <v>1</v>
      </c>
      <c r="I42" s="143">
        <f>SUMIFS(Resumo_Trocas!$E:$E,Resumo_Trocas!$A:$A,$C42,Resumo_Trocas!$F:$F,H$32,Resumo_Trocas!$C:$C,"&gt;0")</f>
        <v>1</v>
      </c>
      <c r="J42" s="142">
        <f>SUMIFS(Resumo_Trocas!$C:$C,Resumo_Trocas!$A:$A,$C42,Resumo_Trocas!$F:$F,J$32,Resumo_Trocas!$C:$C,"&gt;0")</f>
        <v>1</v>
      </c>
      <c r="K42" s="143">
        <f>SUMIFS(Resumo_Trocas!$E:$E,Resumo_Trocas!$A:$A,$C42,Resumo_Trocas!$F:$F,J$32,Resumo_Trocas!$C:$C,"&gt;0")</f>
        <v>0</v>
      </c>
      <c r="L42" s="142">
        <f>SUMIFS(Resumo_Trocas!$C:$C,Resumo_Trocas!$A:$A,$C42,Resumo_Trocas!$F:$F,L$32,Resumo_Trocas!$C:$C,"&gt;0")</f>
        <v>1</v>
      </c>
      <c r="M42" s="143">
        <f>SUMIFS(Resumo_Trocas!$E:$E,Resumo_Trocas!$A:$A,$C42,Resumo_Trocas!$F:$F,L$32,Resumo_Trocas!$C:$C,"&gt;0")</f>
        <v>0</v>
      </c>
      <c r="N42" s="142">
        <f>SUMIFS(Resumo_Trocas!$C:$C,Resumo_Trocas!$A:$A,$C42,Resumo_Trocas!$F:$F,N$32,Resumo_Trocas!$C:$C,"&gt;0")</f>
        <v>0</v>
      </c>
      <c r="O42" s="143">
        <f>SUMIFS(Resumo_Trocas!$E:$E,Resumo_Trocas!$A:$A,$C42,Resumo_Trocas!$F:$F,N$32,Resumo_Trocas!$C:$C,"&gt;0")</f>
        <v>0</v>
      </c>
      <c r="P42" s="142">
        <f>SUMIFS(Resumo_Trocas!$C:$C,Resumo_Trocas!$A:$A,$C42,Resumo_Trocas!$F:$F,P$32,Resumo_Trocas!$C:$C,"&gt;0")</f>
        <v>0</v>
      </c>
      <c r="Q42" s="143">
        <f>SUMIFS(Resumo_Trocas!$E:$E,Resumo_Trocas!$A:$A,$C42,Resumo_Trocas!$F:$F,P$32,Resumo_Trocas!$C:$C,"&gt;0")</f>
        <v>0</v>
      </c>
      <c r="R42" s="142">
        <f>SUMIFS(Resumo_Trocas!$C:$C,Resumo_Trocas!$A:$A,$C42,Resumo_Trocas!$F:$F,R$32,Resumo_Trocas!$C:$C,"&gt;0")</f>
        <v>1</v>
      </c>
      <c r="S42" s="143">
        <f>SUMIFS(Resumo_Trocas!$E:$E,Resumo_Trocas!$A:$A,$C42,Resumo_Trocas!$F:$F,R$32,Resumo_Trocas!$C:$C,"&gt;0")</f>
        <v>0</v>
      </c>
      <c r="T42" s="142">
        <f>SUMIFS(Resumo_Trocas!$C:$C,Resumo_Trocas!$A:$A,$C42,Resumo_Trocas!$F:$F,T$32,Resumo_Trocas!$C:$C,"&gt;0")</f>
        <v>0</v>
      </c>
      <c r="U42" s="143">
        <f>SUMIFS(Resumo_Trocas!$E:$E,Resumo_Trocas!$A:$A,$C42,Resumo_Trocas!$F:$F,T$32,Resumo_Trocas!$C:$C,"&gt;0")</f>
        <v>0</v>
      </c>
      <c r="V42" s="142">
        <f>SUMIFS(Resumo_Trocas!$C:$C,Resumo_Trocas!$A:$A,$C42,Resumo_Trocas!$F:$F,V$32,Resumo_Trocas!$C:$C,"&gt;0")</f>
        <v>1</v>
      </c>
      <c r="W42" s="143">
        <f>SUMIFS(Resumo_Trocas!$E:$E,Resumo_Trocas!$A:$A,$C42,Resumo_Trocas!$F:$F,V$32,Resumo_Trocas!$C:$C,"&gt;0")</f>
        <v>0</v>
      </c>
      <c r="X42" s="142">
        <f>SUMIFS(Resumo_Trocas!$C:$C,Resumo_Trocas!$A:$A,$C42,Resumo_Trocas!$F:$F,X$32,Resumo_Trocas!$C:$C,"&gt;0")</f>
        <v>3</v>
      </c>
      <c r="Y42" s="143">
        <f>SUMIFS(Resumo_Trocas!$E:$E,Resumo_Trocas!$A:$A,$C42,Resumo_Trocas!$F:$F,X$32,Resumo_Trocas!$C:$C,"&gt;0")</f>
        <v>1</v>
      </c>
      <c r="Z42" s="142">
        <f>SUMIFS(Resumo_Trocas!$C:$C,Resumo_Trocas!$A:$A,$C42,Resumo_Trocas!$F:$F,Z$32,Resumo_Trocas!$C:$C,"&gt;0")</f>
        <v>3</v>
      </c>
      <c r="AA42" s="143">
        <f>SUMIFS(Resumo_Trocas!$E:$E,Resumo_Trocas!$A:$A,$C42,Resumo_Trocas!$F:$F,Z$32,Resumo_Trocas!$C:$C,"&gt;0")</f>
        <v>0</v>
      </c>
      <c r="AB42" s="142">
        <f>SUMIFS(Resumo_Trocas!$C:$C,Resumo_Trocas!$A:$A,$C42,Resumo_Trocas!$F:$F,AB$32,Resumo_Trocas!$C:$C,"&gt;0")</f>
        <v>2</v>
      </c>
      <c r="AC42" s="143">
        <f>SUMIFS(Resumo_Trocas!$E:$E,Resumo_Trocas!$A:$A,$C42,Resumo_Trocas!$F:$F,AB$32,Resumo_Trocas!$C:$C,"&gt;0")</f>
        <v>1</v>
      </c>
      <c r="AD42" s="142">
        <f>SUMIFS(Resumo_Trocas!$C:$C,Resumo_Trocas!$A:$A,$C42,Resumo_Trocas!$F:$F,AD$32,Resumo_Trocas!$C:$C,"&gt;0")</f>
        <v>2</v>
      </c>
      <c r="AE42" s="143">
        <f>SUMIFS(Resumo_Trocas!$E:$E,Resumo_Trocas!$A:$A,$C42,Resumo_Trocas!$F:$F,AD$32,Resumo_Trocas!$C:$C,"&gt;0")</f>
        <v>0</v>
      </c>
      <c r="AF42" s="142">
        <f>SUMIFS(Resumo_Trocas!$C:$C,Resumo_Trocas!$A:$A,$C42,Resumo_Trocas!$F:$F,AF$32,Resumo_Trocas!$C:$C,"&gt;0")</f>
        <v>1</v>
      </c>
      <c r="AG42" s="143">
        <f>SUMIFS(Resumo_Trocas!$E:$E,Resumo_Trocas!$A:$A,$C42,Resumo_Trocas!$F:$F,AF$32,Resumo_Trocas!$C:$C,"&gt;0")</f>
        <v>0</v>
      </c>
      <c r="AH42" s="142">
        <f>SUMIFS(Resumo_Trocas!$C:$C,Resumo_Trocas!$A:$A,$C42,Resumo_Trocas!$F:$F,AH$32,Resumo_Trocas!$C:$C,"&gt;0")</f>
        <v>3</v>
      </c>
      <c r="AI42" s="143">
        <f>SUMIFS(Resumo_Trocas!$E:$E,Resumo_Trocas!$A:$A,$C42,Resumo_Trocas!$F:$F,AH$32,Resumo_Trocas!$C:$C,"&gt;0")</f>
        <v>0</v>
      </c>
      <c r="AJ42" s="142">
        <f>SUMIFS(Resumo_Trocas!$C:$C,Resumo_Trocas!$A:$A,$C42,Resumo_Trocas!$F:$F,AJ$32,Resumo_Trocas!$C:$C,"&gt;0")</f>
        <v>4</v>
      </c>
      <c r="AK42" s="143">
        <f>SUMIFS(Resumo_Trocas!$E:$E,Resumo_Trocas!$A:$A,$C42,Resumo_Trocas!$F:$F,AJ$32,Resumo_Trocas!$C:$C,"&gt;0")</f>
        <v>0</v>
      </c>
      <c r="AL42" s="142">
        <f>SUMIFS(Resumo_Trocas!$C:$C,Resumo_Trocas!$A:$A,$C42,Resumo_Trocas!$F:$F,AL$32,Resumo_Trocas!$C:$C,"&gt;0")</f>
        <v>1</v>
      </c>
      <c r="AM42" s="143">
        <f>SUMIFS(Resumo_Trocas!$E:$E,Resumo_Trocas!$A:$A,$C42,Resumo_Trocas!$F:$F,AL$32,Resumo_Trocas!$C:$C,"&gt;0")</f>
        <v>0</v>
      </c>
      <c r="AN42" s="142">
        <f>SUMIFS(Resumo_Trocas!$C:$C,Resumo_Trocas!$A:$A,$C42,Resumo_Trocas!$F:$F,AN$32,Resumo_Trocas!$C:$C,"&gt;0")</f>
        <v>0</v>
      </c>
      <c r="AO42" s="143">
        <f>SUMIFS(Resumo_Trocas!$E:$E,Resumo_Trocas!$A:$A,$C42,Resumo_Trocas!$F:$F,AN$32,Resumo_Trocas!$C:$C,"&gt;0")</f>
        <v>0</v>
      </c>
    </row>
  </sheetData>
  <mergeCells count="136">
    <mergeCell ref="D2:AO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B3:AC3"/>
    <mergeCell ref="AD3:AE3"/>
    <mergeCell ref="AF3:AG3"/>
    <mergeCell ref="D4:E4"/>
    <mergeCell ref="F4:G4"/>
    <mergeCell ref="H4:I4"/>
    <mergeCell ref="J4:K4"/>
    <mergeCell ref="L4:M4"/>
    <mergeCell ref="N4:O4"/>
    <mergeCell ref="V3:W3"/>
    <mergeCell ref="X3:Y3"/>
    <mergeCell ref="Z3:AA3"/>
    <mergeCell ref="AN4:AO4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H5:AI5"/>
    <mergeCell ref="AJ5:AK5"/>
    <mergeCell ref="AL5:AM5"/>
    <mergeCell ref="AN5:AO5"/>
    <mergeCell ref="D6:E6"/>
    <mergeCell ref="F6:G6"/>
    <mergeCell ref="H6:I6"/>
    <mergeCell ref="J6:K6"/>
    <mergeCell ref="L6:M6"/>
    <mergeCell ref="N6:O6"/>
    <mergeCell ref="V5:W5"/>
    <mergeCell ref="X5:Y5"/>
    <mergeCell ref="Z5:AA5"/>
    <mergeCell ref="AB5:AC5"/>
    <mergeCell ref="AD5:AE5"/>
    <mergeCell ref="AF5:AG5"/>
    <mergeCell ref="AN6:AO6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V6:W6"/>
    <mergeCell ref="X6:Y6"/>
    <mergeCell ref="Z6:AA6"/>
    <mergeCell ref="AH9:AI9"/>
    <mergeCell ref="AJ9:AK9"/>
    <mergeCell ref="AL9:AM9"/>
    <mergeCell ref="AN9:AO9"/>
    <mergeCell ref="C18:C19"/>
    <mergeCell ref="D18:E18"/>
    <mergeCell ref="F18:G18"/>
    <mergeCell ref="H18:I18"/>
    <mergeCell ref="J18:K18"/>
    <mergeCell ref="L18:M18"/>
    <mergeCell ref="V9:W9"/>
    <mergeCell ref="X9:Y9"/>
    <mergeCell ref="Z9:AA9"/>
    <mergeCell ref="AB9:AC9"/>
    <mergeCell ref="AD9:AE9"/>
    <mergeCell ref="AF9:AG9"/>
    <mergeCell ref="AL18:AM18"/>
    <mergeCell ref="AN18:AO18"/>
    <mergeCell ref="AB18:AC18"/>
    <mergeCell ref="AD18:AE18"/>
    <mergeCell ref="AF18:AG18"/>
    <mergeCell ref="C32:C33"/>
    <mergeCell ref="D32:E32"/>
    <mergeCell ref="F32:G32"/>
    <mergeCell ref="H32:I32"/>
    <mergeCell ref="J32:K32"/>
    <mergeCell ref="L32:M32"/>
    <mergeCell ref="N32:O32"/>
    <mergeCell ref="P32:Q32"/>
    <mergeCell ref="Z18:AA18"/>
    <mergeCell ref="N18:O18"/>
    <mergeCell ref="P18:Q18"/>
    <mergeCell ref="R18:S18"/>
    <mergeCell ref="T18:U18"/>
    <mergeCell ref="V18:W18"/>
    <mergeCell ref="X18:Y18"/>
    <mergeCell ref="AH18:AI18"/>
    <mergeCell ref="AJ18:AK18"/>
    <mergeCell ref="AJ32:AK32"/>
    <mergeCell ref="AD32:AE32"/>
    <mergeCell ref="AF32:AG32"/>
    <mergeCell ref="AH32:AI32"/>
    <mergeCell ref="AL32:AM32"/>
    <mergeCell ref="AN32:AO32"/>
    <mergeCell ref="R32:S32"/>
    <mergeCell ref="T32:U32"/>
    <mergeCell ref="V32:W32"/>
    <mergeCell ref="X32:Y32"/>
    <mergeCell ref="Z32:AA32"/>
    <mergeCell ref="AB32:AC3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6B57-658D-40A6-9AAC-F7B7C04AE6BA}">
  <sheetPr codeName="Planilha11"/>
  <dimension ref="A1:AQ52"/>
  <sheetViews>
    <sheetView showGridLines="0" showZeros="0" zoomScale="130" zoomScaleNormal="130" workbookViewId="0">
      <pane xSplit="2" ySplit="7" topLeftCell="C10" activePane="bottomRight" state="frozen"/>
      <selection pane="topRight" activeCell="T8" sqref="T8:U8"/>
      <selection pane="bottomLeft" activeCell="T8" sqref="T8:U8"/>
      <selection pane="bottomRight" activeCell="T8" sqref="T8:U8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customWidth="1" outlineLevel="1"/>
    <col min="8" max="21" width="8.7109375" style="62" customWidth="1" outlineLevel="1"/>
    <col min="22" max="22" width="8.7109375" style="62"/>
    <col min="23" max="41" width="8.7109375" style="62" customWidth="1" outlineLevel="1"/>
    <col min="42" max="16384" width="8.7109375" style="62"/>
  </cols>
  <sheetData>
    <row r="1" spans="1:43" ht="30" customHeight="1" x14ac:dyDescent="0.5">
      <c r="A1" s="62" t="s">
        <v>3484</v>
      </c>
      <c r="C1" s="117" t="s">
        <v>3396</v>
      </c>
    </row>
    <row r="2" spans="1:43" ht="21.75" thickBot="1" x14ac:dyDescent="0.4">
      <c r="C2" s="65" t="s">
        <v>3379</v>
      </c>
      <c r="D2" s="243" t="s">
        <v>3380</v>
      </c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</row>
    <row r="3" spans="1:43" s="90" customFormat="1" ht="15" customHeight="1" thickBot="1" x14ac:dyDescent="0.3">
      <c r="C3" s="118" t="s">
        <v>3381</v>
      </c>
      <c r="D3" s="217" t="s">
        <v>3372</v>
      </c>
      <c r="E3" s="217"/>
      <c r="F3" s="217" t="s">
        <v>3373</v>
      </c>
      <c r="G3" s="217"/>
      <c r="H3" s="218" t="s">
        <v>3374</v>
      </c>
      <c r="I3" s="218"/>
      <c r="J3" s="217" t="s">
        <v>3370</v>
      </c>
      <c r="K3" s="217"/>
      <c r="L3" s="219" t="s">
        <v>3371</v>
      </c>
      <c r="M3" s="219"/>
      <c r="N3" s="219" t="s">
        <v>3375</v>
      </c>
      <c r="O3" s="219"/>
      <c r="P3" s="219" t="s">
        <v>3367</v>
      </c>
      <c r="Q3" s="219"/>
      <c r="R3" s="219" t="s">
        <v>3368</v>
      </c>
      <c r="S3" s="219"/>
      <c r="T3" s="219" t="s">
        <v>3369</v>
      </c>
      <c r="U3" s="219"/>
      <c r="V3" s="219" t="s">
        <v>3358</v>
      </c>
      <c r="W3" s="219"/>
      <c r="X3" s="219" t="s">
        <v>3363</v>
      </c>
      <c r="Y3" s="219"/>
      <c r="Z3" s="219" t="s">
        <v>3361</v>
      </c>
      <c r="AA3" s="219"/>
      <c r="AB3" s="219" t="s">
        <v>3359</v>
      </c>
      <c r="AC3" s="219"/>
      <c r="AD3" s="219" t="s">
        <v>3366</v>
      </c>
      <c r="AE3" s="219"/>
      <c r="AF3" s="219" t="s">
        <v>3364</v>
      </c>
      <c r="AG3" s="219"/>
      <c r="AH3" s="219" t="s">
        <v>3360</v>
      </c>
      <c r="AI3" s="219"/>
      <c r="AJ3" s="219" t="s">
        <v>3362</v>
      </c>
      <c r="AK3" s="219"/>
      <c r="AL3" s="219" t="s">
        <v>3365</v>
      </c>
      <c r="AM3" s="219"/>
      <c r="AN3" s="218" t="s">
        <v>3486</v>
      </c>
      <c r="AO3" s="218"/>
      <c r="AP3" s="97" t="s">
        <v>3383</v>
      </c>
      <c r="AQ3" s="97" t="s">
        <v>3384</v>
      </c>
    </row>
    <row r="4" spans="1:43" s="90" customFormat="1" ht="15" customHeight="1" thickBot="1" x14ac:dyDescent="0.25">
      <c r="C4" s="158">
        <v>200</v>
      </c>
      <c r="D4" s="220">
        <f>SUM(D5:E6)</f>
        <v>0.61111111111111116</v>
      </c>
      <c r="E4" s="220"/>
      <c r="F4" s="220">
        <f>SUM(F5:G6)</f>
        <v>0.44444444444444442</v>
      </c>
      <c r="G4" s="220"/>
      <c r="H4" s="220">
        <f>SUM(H5:I6)</f>
        <v>5.5555555555555552E-2</v>
      </c>
      <c r="I4" s="220"/>
      <c r="J4" s="220">
        <f>SUM(J5:K6)</f>
        <v>5.5555555555555552E-2</v>
      </c>
      <c r="K4" s="220"/>
      <c r="L4" s="220">
        <f>SUM(L5:M6)</f>
        <v>0.1111111111111111</v>
      </c>
      <c r="M4" s="220"/>
      <c r="N4" s="220">
        <f>SUM(N5:O6)</f>
        <v>0</v>
      </c>
      <c r="O4" s="220"/>
      <c r="P4" s="220">
        <f>SUM(P5:Q6)</f>
        <v>0.1111111111111111</v>
      </c>
      <c r="Q4" s="220"/>
      <c r="R4" s="220">
        <f>SUM(R5:S6)</f>
        <v>5.5555555555555552E-2</v>
      </c>
      <c r="S4" s="220"/>
      <c r="T4" s="220">
        <f>SUM(T5:U6)</f>
        <v>5.5555555555555552E-2</v>
      </c>
      <c r="U4" s="220"/>
      <c r="V4" s="220">
        <f>SUM(V5:W6)</f>
        <v>0.16666666666666666</v>
      </c>
      <c r="W4" s="220"/>
      <c r="X4" s="220">
        <f>SUM(X5:Y6)</f>
        <v>0</v>
      </c>
      <c r="Y4" s="220"/>
      <c r="Z4" s="220">
        <f>SUM(Z5:AA6)</f>
        <v>0.33333333333333331</v>
      </c>
      <c r="AA4" s="220"/>
      <c r="AB4" s="220">
        <f>SUM(AB5:AC6)</f>
        <v>5.5555555555555552E-2</v>
      </c>
      <c r="AC4" s="220"/>
      <c r="AD4" s="220">
        <f>SUM(AD5:AE6)</f>
        <v>0.1111111111111111</v>
      </c>
      <c r="AE4" s="220"/>
      <c r="AF4" s="220">
        <f>SUM(AF5:AG6)</f>
        <v>0.16666666666666666</v>
      </c>
      <c r="AG4" s="220"/>
      <c r="AH4" s="220">
        <f>SUM(AH5:AI6)</f>
        <v>0.1111111111111111</v>
      </c>
      <c r="AI4" s="220"/>
      <c r="AJ4" s="220">
        <f>SUM(AJ5:AK6)</f>
        <v>0.22222222222222221</v>
      </c>
      <c r="AK4" s="220"/>
      <c r="AL4" s="220">
        <f>SUM(AL5:AM6)</f>
        <v>0.1111111111111111</v>
      </c>
      <c r="AM4" s="220"/>
      <c r="AN4" s="220"/>
      <c r="AO4" s="221"/>
      <c r="AP4" s="96">
        <f>AVERAGE(D4:AN4)</f>
        <v>0.15432098765432101</v>
      </c>
      <c r="AQ4" s="96">
        <f>ROUNDUP(AP4,0)</f>
        <v>1</v>
      </c>
    </row>
    <row r="5" spans="1:43" s="90" customFormat="1" ht="15.75" thickBot="1" x14ac:dyDescent="0.3">
      <c r="C5" s="151" t="s">
        <v>3385</v>
      </c>
      <c r="D5" s="205">
        <f>IFERROR(SUM(((E12)*$C$4)/3600)," ")</f>
        <v>0.5</v>
      </c>
      <c r="E5" s="205"/>
      <c r="F5" s="205">
        <f>IFERROR(SUM(((G12)*$C$4)/3600)," ")</f>
        <v>0.22222222222222221</v>
      </c>
      <c r="G5" s="205"/>
      <c r="H5" s="205">
        <f>IFERROR(SUM(((I12)*$C$4)/3600)," ")</f>
        <v>0</v>
      </c>
      <c r="I5" s="205"/>
      <c r="J5" s="205">
        <f>IFERROR(SUM(((K12)*$C$4)/3600)," ")</f>
        <v>5.5555555555555552E-2</v>
      </c>
      <c r="K5" s="205"/>
      <c r="L5" s="205">
        <f>IFERROR(SUM(((M12)*$C$4)/3600)," ")</f>
        <v>5.5555555555555552E-2</v>
      </c>
      <c r="M5" s="205"/>
      <c r="N5" s="205">
        <f>IFERROR(SUM(((O12)*$C$4)/3600)," ")</f>
        <v>0</v>
      </c>
      <c r="O5" s="205"/>
      <c r="P5" s="205">
        <f>IFERROR(SUM(((Q12)*$C$4)/3600)," ")</f>
        <v>0.1111111111111111</v>
      </c>
      <c r="Q5" s="205"/>
      <c r="R5" s="205">
        <f>IFERROR(SUM(((S12)*$C$4)/3600)," ")</f>
        <v>5.5555555555555552E-2</v>
      </c>
      <c r="S5" s="205"/>
      <c r="T5" s="205">
        <f>IFERROR(SUM(((U12)*$C$4)/3600)," ")</f>
        <v>0</v>
      </c>
      <c r="U5" s="205"/>
      <c r="V5" s="205">
        <f>IFERROR(SUM(((W12)*$C$4)/3600)," ")</f>
        <v>5.5555555555555552E-2</v>
      </c>
      <c r="W5" s="205"/>
      <c r="X5" s="205">
        <f>IFERROR(SUM(((Y12)*$C$4)/3600)," ")</f>
        <v>0</v>
      </c>
      <c r="Y5" s="205"/>
      <c r="Z5" s="205">
        <f>IFERROR(SUM(((AA12)*$C$4)/3600)," ")</f>
        <v>0.33333333333333331</v>
      </c>
      <c r="AA5" s="205"/>
      <c r="AB5" s="205">
        <f>IFERROR(SUM(((AC12)*$C$4)/3600)," ")</f>
        <v>5.5555555555555552E-2</v>
      </c>
      <c r="AC5" s="205"/>
      <c r="AD5" s="205">
        <f>IFERROR(SUM(((AE12)*$C$4)/3600)," ")</f>
        <v>0</v>
      </c>
      <c r="AE5" s="205"/>
      <c r="AF5" s="205">
        <f>IFERROR(SUM(((AG12)*$C$4)/3600)," ")</f>
        <v>0.1111111111111111</v>
      </c>
      <c r="AG5" s="205"/>
      <c r="AH5" s="205">
        <f>IFERROR(SUM(((AI12)*$C$4)/3600)," ")</f>
        <v>5.5555555555555552E-2</v>
      </c>
      <c r="AI5" s="205"/>
      <c r="AJ5" s="205">
        <f>IFERROR(SUM(((AK12)*$C$4)/3600)," ")</f>
        <v>0.22222222222222221</v>
      </c>
      <c r="AK5" s="205"/>
      <c r="AL5" s="205">
        <f>IFERROR(SUM(((AM12)*$C$4)/3600)," ")</f>
        <v>5.5555555555555552E-2</v>
      </c>
      <c r="AM5" s="205"/>
      <c r="AN5" s="205">
        <f>IFERROR(SUM(((AO12)*$C$4)/3600)," ")</f>
        <v>0</v>
      </c>
      <c r="AO5" s="206"/>
      <c r="AP5" s="96">
        <f>AVERAGE(D5:AN5)</f>
        <v>9.9415204678362581E-2</v>
      </c>
      <c r="AQ5" s="96">
        <f>ROUNDUP(AP5,0)</f>
        <v>1</v>
      </c>
    </row>
    <row r="6" spans="1:43" s="90" customFormat="1" ht="15.75" thickBot="1" x14ac:dyDescent="0.3">
      <c r="C6" s="151" t="s">
        <v>3386</v>
      </c>
      <c r="D6" s="207">
        <f>IFERROR(SUM(((E13)*$C$4)/3600)," ")</f>
        <v>0.1111111111111111</v>
      </c>
      <c r="E6" s="207"/>
      <c r="F6" s="207">
        <f>IFERROR(SUM(((G13)*$C$4)/3600)," ")</f>
        <v>0.22222222222222221</v>
      </c>
      <c r="G6" s="207"/>
      <c r="H6" s="207">
        <f>IFERROR(SUM(((I13)*$C$4)/3600)," ")</f>
        <v>5.5555555555555552E-2</v>
      </c>
      <c r="I6" s="207"/>
      <c r="J6" s="207">
        <f>IFERROR(SUM(((K13)*$C$4)/3600)," ")</f>
        <v>0</v>
      </c>
      <c r="K6" s="207"/>
      <c r="L6" s="207">
        <f>IFERROR(SUM(((M13)*$C$4)/3600)," ")</f>
        <v>5.5555555555555552E-2</v>
      </c>
      <c r="M6" s="207"/>
      <c r="N6" s="207">
        <f>IFERROR(SUM(((O13)*$C$4)/3600)," ")</f>
        <v>0</v>
      </c>
      <c r="O6" s="207"/>
      <c r="P6" s="207">
        <f>IFERROR(SUM(((Q13)*$C$4)/3600)," ")</f>
        <v>0</v>
      </c>
      <c r="Q6" s="207"/>
      <c r="R6" s="207">
        <f>IFERROR(SUM(((S13)*$C$4)/3600)," ")</f>
        <v>0</v>
      </c>
      <c r="S6" s="207"/>
      <c r="T6" s="207">
        <f>IFERROR(SUM(((U13)*$C$4)/3600)," ")</f>
        <v>5.5555555555555552E-2</v>
      </c>
      <c r="U6" s="207"/>
      <c r="V6" s="207">
        <f>IFERROR(SUM(((W13)*$C$4)/3600)," ")</f>
        <v>0.1111111111111111</v>
      </c>
      <c r="W6" s="207"/>
      <c r="X6" s="207">
        <f>IFERROR(SUM(((Y13)*$C$4)/3600)," ")</f>
        <v>0</v>
      </c>
      <c r="Y6" s="207"/>
      <c r="Z6" s="207">
        <f>IFERROR(SUM(((AA13)*$C$4)/3600)," ")</f>
        <v>0</v>
      </c>
      <c r="AA6" s="207"/>
      <c r="AB6" s="207">
        <f>IFERROR(SUM(((AC13)*$C$4)/3600)," ")</f>
        <v>0</v>
      </c>
      <c r="AC6" s="207"/>
      <c r="AD6" s="207">
        <f>IFERROR(SUM(((AE13)*$C$4)/3600)," ")</f>
        <v>0.1111111111111111</v>
      </c>
      <c r="AE6" s="207"/>
      <c r="AF6" s="207">
        <f>IFERROR(SUM(((AG13)*$C$4)/3600)," ")</f>
        <v>5.5555555555555552E-2</v>
      </c>
      <c r="AG6" s="207"/>
      <c r="AH6" s="207">
        <f>IFERROR(SUM(((AI13)*$C$4)/3600)," ")</f>
        <v>5.5555555555555552E-2</v>
      </c>
      <c r="AI6" s="207"/>
      <c r="AJ6" s="207">
        <f>IFERROR(SUM(((AK13)*$C$4)/3600)," ")</f>
        <v>0</v>
      </c>
      <c r="AK6" s="207"/>
      <c r="AL6" s="207">
        <f>IFERROR(SUM(((AM13)*$C$4)/3600)," ")</f>
        <v>5.5555555555555552E-2</v>
      </c>
      <c r="AM6" s="207"/>
      <c r="AN6" s="207"/>
      <c r="AO6" s="208"/>
      <c r="AP6" s="96">
        <f>AVERAGE(D6:AN6)</f>
        <v>4.9382716049382727E-2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 t="s">
        <v>3494</v>
      </c>
    </row>
    <row r="9" spans="1:43" outlineLevel="2" x14ac:dyDescent="0.25">
      <c r="D9" s="222" t="s">
        <v>3372</v>
      </c>
      <c r="E9" s="223"/>
      <c r="F9" s="222" t="s">
        <v>3373</v>
      </c>
      <c r="G9" s="223"/>
      <c r="H9" s="201" t="s">
        <v>3374</v>
      </c>
      <c r="I9" s="202"/>
      <c r="J9" s="222" t="s">
        <v>3370</v>
      </c>
      <c r="K9" s="223"/>
      <c r="L9" s="222" t="s">
        <v>3371</v>
      </c>
      <c r="M9" s="223"/>
      <c r="N9" s="222" t="s">
        <v>3375</v>
      </c>
      <c r="O9" s="223"/>
      <c r="P9" s="222" t="s">
        <v>3367</v>
      </c>
      <c r="Q9" s="223"/>
      <c r="R9" s="222" t="s">
        <v>3368</v>
      </c>
      <c r="S9" s="223"/>
      <c r="T9" s="222" t="s">
        <v>3369</v>
      </c>
      <c r="U9" s="223"/>
      <c r="V9" s="201" t="s">
        <v>3358</v>
      </c>
      <c r="W9" s="202"/>
      <c r="X9" s="222" t="s">
        <v>3363</v>
      </c>
      <c r="Y9" s="223"/>
      <c r="Z9" s="222" t="s">
        <v>3361</v>
      </c>
      <c r="AA9" s="223"/>
      <c r="AB9" s="222" t="s">
        <v>3359</v>
      </c>
      <c r="AC9" s="223"/>
      <c r="AD9" s="222" t="s">
        <v>3366</v>
      </c>
      <c r="AE9" s="223"/>
      <c r="AF9" s="201" t="s">
        <v>3364</v>
      </c>
      <c r="AG9" s="202"/>
      <c r="AH9" s="222" t="s">
        <v>3360</v>
      </c>
      <c r="AI9" s="223"/>
      <c r="AJ9" s="222" t="s">
        <v>3362</v>
      </c>
      <c r="AK9" s="223"/>
      <c r="AL9" s="222" t="s">
        <v>3365</v>
      </c>
      <c r="AM9" s="223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3353</v>
      </c>
      <c r="F10" s="101" t="s">
        <v>3487</v>
      </c>
      <c r="G10" s="102" t="s">
        <v>3353</v>
      </c>
      <c r="H10" s="101" t="s">
        <v>3487</v>
      </c>
      <c r="I10" s="102" t="s">
        <v>3353</v>
      </c>
      <c r="J10" s="101" t="s">
        <v>3487</v>
      </c>
      <c r="K10" s="102" t="s">
        <v>3353</v>
      </c>
      <c r="L10" s="101" t="s">
        <v>3487</v>
      </c>
      <c r="M10" s="102" t="s">
        <v>3353</v>
      </c>
      <c r="N10" s="101" t="s">
        <v>3487</v>
      </c>
      <c r="O10" s="102" t="s">
        <v>3353</v>
      </c>
      <c r="P10" s="101" t="s">
        <v>3487</v>
      </c>
      <c r="Q10" s="102" t="s">
        <v>3353</v>
      </c>
      <c r="R10" s="101" t="s">
        <v>3487</v>
      </c>
      <c r="S10" s="102" t="s">
        <v>3353</v>
      </c>
      <c r="T10" s="101" t="s">
        <v>3487</v>
      </c>
      <c r="U10" s="102" t="s">
        <v>3353</v>
      </c>
      <c r="V10" s="101" t="s">
        <v>3487</v>
      </c>
      <c r="W10" s="102" t="s">
        <v>3353</v>
      </c>
      <c r="X10" s="101" t="s">
        <v>3487</v>
      </c>
      <c r="Y10" s="102" t="s">
        <v>3353</v>
      </c>
      <c r="Z10" s="101" t="s">
        <v>3487</v>
      </c>
      <c r="AA10" s="102" t="s">
        <v>3353</v>
      </c>
      <c r="AB10" s="101" t="s">
        <v>3487</v>
      </c>
      <c r="AC10" s="102" t="s">
        <v>3353</v>
      </c>
      <c r="AD10" s="101" t="s">
        <v>3487</v>
      </c>
      <c r="AE10" s="102" t="s">
        <v>3353</v>
      </c>
      <c r="AF10" s="101" t="s">
        <v>3487</v>
      </c>
      <c r="AG10" s="102" t="s">
        <v>3353</v>
      </c>
      <c r="AH10" s="101" t="s">
        <v>3487</v>
      </c>
      <c r="AI10" s="102" t="s">
        <v>3353</v>
      </c>
      <c r="AJ10" s="101" t="s">
        <v>3487</v>
      </c>
      <c r="AK10" s="102" t="s">
        <v>3353</v>
      </c>
      <c r="AL10" s="101" t="s">
        <v>3487</v>
      </c>
      <c r="AM10" s="102" t="s">
        <v>3353</v>
      </c>
      <c r="AN10" s="101" t="s">
        <v>3487</v>
      </c>
      <c r="AO10" s="102" t="s">
        <v>3353</v>
      </c>
    </row>
    <row r="11" spans="1:43" ht="18" hidden="1" outlineLevel="2" thickBot="1" x14ac:dyDescent="0.3">
      <c r="C11" s="120" t="s">
        <v>3394</v>
      </c>
      <c r="D11" s="121">
        <f>SUM(D12:D13)</f>
        <v>36</v>
      </c>
      <c r="E11" s="121"/>
      <c r="F11" s="121">
        <f>SUM(F12:F13)</f>
        <v>27</v>
      </c>
      <c r="G11" s="121"/>
      <c r="H11" s="121">
        <f>SUM(H12:H13)</f>
        <v>11</v>
      </c>
      <c r="I11" s="121"/>
      <c r="J11" s="121">
        <f>SUM(J12:J13)</f>
        <v>14</v>
      </c>
      <c r="K11" s="121"/>
      <c r="L11" s="121">
        <f>SUM(L12:L13)</f>
        <v>13</v>
      </c>
      <c r="M11" s="121"/>
      <c r="N11" s="121">
        <f>SUM(N12:N13)</f>
        <v>0</v>
      </c>
      <c r="O11" s="121"/>
      <c r="P11" s="121">
        <f>SUM(P12:P13)</f>
        <v>13</v>
      </c>
      <c r="Q11" s="121"/>
      <c r="R11" s="121">
        <f>SUM(R12:R13)</f>
        <v>8</v>
      </c>
      <c r="S11" s="121"/>
      <c r="T11" s="121">
        <f>SUM(T12:T13)</f>
        <v>14</v>
      </c>
      <c r="U11" s="121"/>
      <c r="V11" s="121">
        <f>SUM(V12:V13)</f>
        <v>17</v>
      </c>
      <c r="W11" s="121"/>
      <c r="X11" s="121">
        <f>SUM(X12:X13)</f>
        <v>14</v>
      </c>
      <c r="Y11" s="121"/>
      <c r="Z11" s="121">
        <f>SUM(Z12:Z13)</f>
        <v>20</v>
      </c>
      <c r="AA11" s="121"/>
      <c r="AB11" s="121">
        <f>SUM(AB12:AB13)</f>
        <v>9</v>
      </c>
      <c r="AC11" s="121"/>
      <c r="AD11" s="121">
        <f>SUM(AD12:AD13)</f>
        <v>7</v>
      </c>
      <c r="AE11" s="121"/>
      <c r="AF11" s="121">
        <f>SUM(AF12:AF13)</f>
        <v>12</v>
      </c>
      <c r="AG11" s="121"/>
      <c r="AH11" s="121">
        <f>SUM(AH12:AH13)</f>
        <v>11</v>
      </c>
      <c r="AI11" s="121"/>
      <c r="AJ11" s="121">
        <f>SUM(AJ12:AJ13)</f>
        <v>20</v>
      </c>
      <c r="AK11" s="121"/>
      <c r="AL11" s="121">
        <f>SUM(AL12:AL13)</f>
        <v>11</v>
      </c>
      <c r="AM11" s="121"/>
      <c r="AN11" s="121">
        <f>SUM(AN12:AN13)</f>
        <v>0</v>
      </c>
    </row>
    <row r="12" spans="1:43" ht="15.75" outlineLevel="2" thickBot="1" x14ac:dyDescent="0.3">
      <c r="B12" s="62" t="e">
        <f>IF(#REF!="&lt;&gt;",RIGHT(C12,1),#REF!)</f>
        <v>#REF!</v>
      </c>
      <c r="C12" s="151" t="s">
        <v>3385</v>
      </c>
      <c r="D12" s="123">
        <f>D20</f>
        <v>25</v>
      </c>
      <c r="E12" s="124">
        <f t="shared" ref="E12:AO12" si="0">E20</f>
        <v>9</v>
      </c>
      <c r="F12" s="123">
        <f t="shared" si="0"/>
        <v>14</v>
      </c>
      <c r="G12" s="124">
        <f t="shared" si="0"/>
        <v>4</v>
      </c>
      <c r="H12" s="123">
        <f t="shared" si="0"/>
        <v>5</v>
      </c>
      <c r="I12" s="124">
        <f t="shared" si="0"/>
        <v>0</v>
      </c>
      <c r="J12" s="123">
        <f t="shared" si="0"/>
        <v>8</v>
      </c>
      <c r="K12" s="124">
        <f t="shared" si="0"/>
        <v>1</v>
      </c>
      <c r="L12" s="123">
        <f t="shared" si="0"/>
        <v>5</v>
      </c>
      <c r="M12" s="124">
        <f t="shared" si="0"/>
        <v>1</v>
      </c>
      <c r="N12" s="123">
        <f t="shared" si="0"/>
        <v>0</v>
      </c>
      <c r="O12" s="124">
        <f t="shared" si="0"/>
        <v>0</v>
      </c>
      <c r="P12" s="123">
        <f t="shared" si="0"/>
        <v>10</v>
      </c>
      <c r="Q12" s="124">
        <f t="shared" si="0"/>
        <v>2</v>
      </c>
      <c r="R12" s="123">
        <f t="shared" si="0"/>
        <v>5</v>
      </c>
      <c r="S12" s="124">
        <f t="shared" si="0"/>
        <v>1</v>
      </c>
      <c r="T12" s="123">
        <f t="shared" si="0"/>
        <v>7</v>
      </c>
      <c r="U12" s="124">
        <f t="shared" si="0"/>
        <v>0</v>
      </c>
      <c r="V12" s="123">
        <f t="shared" si="0"/>
        <v>7</v>
      </c>
      <c r="W12" s="124">
        <f t="shared" si="0"/>
        <v>1</v>
      </c>
      <c r="X12" s="123">
        <f t="shared" si="0"/>
        <v>8</v>
      </c>
      <c r="Y12" s="124">
        <f t="shared" si="0"/>
        <v>0</v>
      </c>
      <c r="Z12" s="123">
        <f t="shared" si="0"/>
        <v>12</v>
      </c>
      <c r="AA12" s="124">
        <f t="shared" si="0"/>
        <v>6</v>
      </c>
      <c r="AB12" s="123">
        <f t="shared" si="0"/>
        <v>5</v>
      </c>
      <c r="AC12" s="124">
        <f t="shared" si="0"/>
        <v>1</v>
      </c>
      <c r="AD12" s="123">
        <f t="shared" si="0"/>
        <v>2</v>
      </c>
      <c r="AE12" s="124">
        <f t="shared" si="0"/>
        <v>0</v>
      </c>
      <c r="AF12" s="123">
        <f t="shared" si="0"/>
        <v>8</v>
      </c>
      <c r="AG12" s="124">
        <f t="shared" si="0"/>
        <v>2</v>
      </c>
      <c r="AH12" s="123">
        <f t="shared" si="0"/>
        <v>8</v>
      </c>
      <c r="AI12" s="124">
        <f t="shared" si="0"/>
        <v>1</v>
      </c>
      <c r="AJ12" s="123">
        <f t="shared" si="0"/>
        <v>17</v>
      </c>
      <c r="AK12" s="124">
        <f t="shared" si="0"/>
        <v>4</v>
      </c>
      <c r="AL12" s="123">
        <f t="shared" si="0"/>
        <v>6</v>
      </c>
      <c r="AM12" s="124">
        <f t="shared" si="0"/>
        <v>1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51" t="s">
        <v>3386</v>
      </c>
      <c r="D13" s="126">
        <f>D38</f>
        <v>11</v>
      </c>
      <c r="E13" s="127">
        <f t="shared" ref="E13:AO13" si="1">E38</f>
        <v>2</v>
      </c>
      <c r="F13" s="126">
        <f t="shared" si="1"/>
        <v>13</v>
      </c>
      <c r="G13" s="127">
        <f t="shared" si="1"/>
        <v>4</v>
      </c>
      <c r="H13" s="126">
        <f t="shared" si="1"/>
        <v>6</v>
      </c>
      <c r="I13" s="127">
        <f t="shared" si="1"/>
        <v>1</v>
      </c>
      <c r="J13" s="126">
        <f t="shared" si="1"/>
        <v>6</v>
      </c>
      <c r="K13" s="127">
        <f t="shared" si="1"/>
        <v>0</v>
      </c>
      <c r="L13" s="126">
        <f t="shared" si="1"/>
        <v>8</v>
      </c>
      <c r="M13" s="127">
        <f t="shared" si="1"/>
        <v>1</v>
      </c>
      <c r="N13" s="126">
        <f t="shared" si="1"/>
        <v>0</v>
      </c>
      <c r="O13" s="127">
        <f t="shared" si="1"/>
        <v>0</v>
      </c>
      <c r="P13" s="126">
        <f t="shared" si="1"/>
        <v>3</v>
      </c>
      <c r="Q13" s="127">
        <f t="shared" si="1"/>
        <v>0</v>
      </c>
      <c r="R13" s="126">
        <f t="shared" si="1"/>
        <v>3</v>
      </c>
      <c r="S13" s="127">
        <f t="shared" si="1"/>
        <v>0</v>
      </c>
      <c r="T13" s="126">
        <f t="shared" si="1"/>
        <v>7</v>
      </c>
      <c r="U13" s="127">
        <f t="shared" si="1"/>
        <v>1</v>
      </c>
      <c r="V13" s="126">
        <f t="shared" si="1"/>
        <v>10</v>
      </c>
      <c r="W13" s="127">
        <f t="shared" si="1"/>
        <v>2</v>
      </c>
      <c r="X13" s="126">
        <f t="shared" si="1"/>
        <v>6</v>
      </c>
      <c r="Y13" s="127">
        <f t="shared" si="1"/>
        <v>0</v>
      </c>
      <c r="Z13" s="126">
        <f t="shared" si="1"/>
        <v>8</v>
      </c>
      <c r="AA13" s="127">
        <f t="shared" si="1"/>
        <v>0</v>
      </c>
      <c r="AB13" s="126">
        <f t="shared" si="1"/>
        <v>4</v>
      </c>
      <c r="AC13" s="127">
        <f t="shared" si="1"/>
        <v>0</v>
      </c>
      <c r="AD13" s="126">
        <f t="shared" si="1"/>
        <v>5</v>
      </c>
      <c r="AE13" s="127">
        <f t="shared" si="1"/>
        <v>2</v>
      </c>
      <c r="AF13" s="126">
        <f t="shared" si="1"/>
        <v>4</v>
      </c>
      <c r="AG13" s="127">
        <f t="shared" si="1"/>
        <v>1</v>
      </c>
      <c r="AH13" s="126">
        <f t="shared" si="1"/>
        <v>3</v>
      </c>
      <c r="AI13" s="127">
        <f t="shared" si="1"/>
        <v>1</v>
      </c>
      <c r="AJ13" s="126">
        <f t="shared" si="1"/>
        <v>3</v>
      </c>
      <c r="AK13" s="127">
        <f t="shared" si="1"/>
        <v>0</v>
      </c>
      <c r="AL13" s="126">
        <f t="shared" si="1"/>
        <v>5</v>
      </c>
      <c r="AM13" s="127">
        <f t="shared" si="1"/>
        <v>1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36</v>
      </c>
      <c r="E14" s="133">
        <f t="shared" si="2"/>
        <v>11</v>
      </c>
      <c r="F14" s="132">
        <f t="shared" si="2"/>
        <v>27</v>
      </c>
      <c r="G14" s="133">
        <f t="shared" si="2"/>
        <v>8</v>
      </c>
      <c r="H14" s="132">
        <f t="shared" si="2"/>
        <v>11</v>
      </c>
      <c r="I14" s="133">
        <f t="shared" si="2"/>
        <v>1</v>
      </c>
      <c r="J14" s="132">
        <f t="shared" si="2"/>
        <v>14</v>
      </c>
      <c r="K14" s="133">
        <f t="shared" si="2"/>
        <v>1</v>
      </c>
      <c r="L14" s="132">
        <f t="shared" si="2"/>
        <v>13</v>
      </c>
      <c r="M14" s="133">
        <f t="shared" si="2"/>
        <v>2</v>
      </c>
      <c r="N14" s="132">
        <f t="shared" si="2"/>
        <v>0</v>
      </c>
      <c r="O14" s="133">
        <f t="shared" si="2"/>
        <v>0</v>
      </c>
      <c r="P14" s="132">
        <f t="shared" si="2"/>
        <v>13</v>
      </c>
      <c r="Q14" s="133">
        <f t="shared" si="2"/>
        <v>2</v>
      </c>
      <c r="R14" s="132">
        <f t="shared" si="2"/>
        <v>8</v>
      </c>
      <c r="S14" s="133">
        <f t="shared" si="2"/>
        <v>1</v>
      </c>
      <c r="T14" s="132">
        <f t="shared" si="2"/>
        <v>14</v>
      </c>
      <c r="U14" s="133">
        <f t="shared" si="2"/>
        <v>1</v>
      </c>
      <c r="V14" s="132">
        <f t="shared" si="2"/>
        <v>17</v>
      </c>
      <c r="W14" s="133">
        <f t="shared" si="2"/>
        <v>3</v>
      </c>
      <c r="X14" s="132">
        <f t="shared" si="2"/>
        <v>14</v>
      </c>
      <c r="Y14" s="133">
        <f t="shared" si="2"/>
        <v>0</v>
      </c>
      <c r="Z14" s="132">
        <f t="shared" si="2"/>
        <v>20</v>
      </c>
      <c r="AA14" s="133">
        <f t="shared" si="2"/>
        <v>6</v>
      </c>
      <c r="AB14" s="132">
        <f t="shared" si="2"/>
        <v>9</v>
      </c>
      <c r="AC14" s="133">
        <f t="shared" si="2"/>
        <v>1</v>
      </c>
      <c r="AD14" s="132">
        <f t="shared" si="2"/>
        <v>7</v>
      </c>
      <c r="AE14" s="133">
        <f t="shared" si="2"/>
        <v>2</v>
      </c>
      <c r="AF14" s="132">
        <f t="shared" si="2"/>
        <v>12</v>
      </c>
      <c r="AG14" s="133">
        <f t="shared" si="2"/>
        <v>3</v>
      </c>
      <c r="AH14" s="132">
        <f t="shared" si="2"/>
        <v>11</v>
      </c>
      <c r="AI14" s="133">
        <f t="shared" si="2"/>
        <v>2</v>
      </c>
      <c r="AJ14" s="132">
        <f t="shared" si="2"/>
        <v>20</v>
      </c>
      <c r="AK14" s="133">
        <f t="shared" si="2"/>
        <v>4</v>
      </c>
      <c r="AL14" s="132">
        <f t="shared" si="2"/>
        <v>11</v>
      </c>
      <c r="AM14" s="133">
        <f t="shared" si="2"/>
        <v>2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3396</v>
      </c>
    </row>
    <row r="18" spans="2:43" ht="21" customHeight="1" x14ac:dyDescent="0.25">
      <c r="B18" s="72" t="s">
        <v>3395</v>
      </c>
      <c r="C18" s="215" t="s">
        <v>3397</v>
      </c>
      <c r="D18" s="222" t="s">
        <v>3372</v>
      </c>
      <c r="E18" s="223"/>
      <c r="F18" s="222" t="s">
        <v>3373</v>
      </c>
      <c r="G18" s="223"/>
      <c r="H18" s="201" t="s">
        <v>3374</v>
      </c>
      <c r="I18" s="202"/>
      <c r="J18" s="222" t="s">
        <v>3370</v>
      </c>
      <c r="K18" s="223"/>
      <c r="L18" s="222" t="s">
        <v>3371</v>
      </c>
      <c r="M18" s="223"/>
      <c r="N18" s="222" t="s">
        <v>3375</v>
      </c>
      <c r="O18" s="223"/>
      <c r="P18" s="222" t="s">
        <v>3367</v>
      </c>
      <c r="Q18" s="223"/>
      <c r="R18" s="222" t="s">
        <v>3368</v>
      </c>
      <c r="S18" s="223"/>
      <c r="T18" s="222" t="s">
        <v>3369</v>
      </c>
      <c r="U18" s="223"/>
      <c r="V18" s="201" t="s">
        <v>3358</v>
      </c>
      <c r="W18" s="202"/>
      <c r="X18" s="222" t="s">
        <v>3363</v>
      </c>
      <c r="Y18" s="223"/>
      <c r="Z18" s="222" t="s">
        <v>3361</v>
      </c>
      <c r="AA18" s="223"/>
      <c r="AB18" s="222" t="s">
        <v>3359</v>
      </c>
      <c r="AC18" s="223"/>
      <c r="AD18" s="222" t="s">
        <v>3366</v>
      </c>
      <c r="AE18" s="223"/>
      <c r="AF18" s="201" t="s">
        <v>3364</v>
      </c>
      <c r="AG18" s="202"/>
      <c r="AH18" s="222" t="s">
        <v>3360</v>
      </c>
      <c r="AI18" s="223"/>
      <c r="AJ18" s="222" t="s">
        <v>3362</v>
      </c>
      <c r="AK18" s="223"/>
      <c r="AL18" s="222" t="s">
        <v>3365</v>
      </c>
      <c r="AM18" s="223"/>
      <c r="AN18" s="201" t="s">
        <v>3486</v>
      </c>
      <c r="AO18" s="202"/>
    </row>
    <row r="19" spans="2:43" ht="21" customHeight="1" thickBot="1" x14ac:dyDescent="0.3">
      <c r="B19" s="72"/>
      <c r="C19" s="216"/>
      <c r="D19" s="107" t="s">
        <v>3487</v>
      </c>
      <c r="E19" s="108" t="s">
        <v>3353</v>
      </c>
      <c r="F19" s="107" t="s">
        <v>3487</v>
      </c>
      <c r="G19" s="108" t="s">
        <v>3353</v>
      </c>
      <c r="H19" s="107" t="s">
        <v>3487</v>
      </c>
      <c r="I19" s="108" t="s">
        <v>3353</v>
      </c>
      <c r="J19" s="107" t="s">
        <v>3487</v>
      </c>
      <c r="K19" s="108" t="s">
        <v>3353</v>
      </c>
      <c r="L19" s="107" t="s">
        <v>3487</v>
      </c>
      <c r="M19" s="108" t="s">
        <v>3353</v>
      </c>
      <c r="N19" s="107" t="s">
        <v>3487</v>
      </c>
      <c r="O19" s="108" t="s">
        <v>3353</v>
      </c>
      <c r="P19" s="107" t="s">
        <v>3487</v>
      </c>
      <c r="Q19" s="108" t="s">
        <v>3353</v>
      </c>
      <c r="R19" s="107" t="s">
        <v>3487</v>
      </c>
      <c r="S19" s="108" t="s">
        <v>3353</v>
      </c>
      <c r="T19" s="107" t="s">
        <v>3487</v>
      </c>
      <c r="U19" s="108" t="s">
        <v>3353</v>
      </c>
      <c r="V19" s="107" t="s">
        <v>3487</v>
      </c>
      <c r="W19" s="108" t="s">
        <v>3353</v>
      </c>
      <c r="X19" s="107" t="s">
        <v>3487</v>
      </c>
      <c r="Y19" s="108" t="s">
        <v>3353</v>
      </c>
      <c r="Z19" s="107" t="s">
        <v>3487</v>
      </c>
      <c r="AA19" s="108" t="s">
        <v>3353</v>
      </c>
      <c r="AB19" s="107" t="s">
        <v>3487</v>
      </c>
      <c r="AC19" s="108" t="s">
        <v>3353</v>
      </c>
      <c r="AD19" s="107" t="s">
        <v>3487</v>
      </c>
      <c r="AE19" s="108" t="s">
        <v>3353</v>
      </c>
      <c r="AF19" s="107" t="s">
        <v>3487</v>
      </c>
      <c r="AG19" s="108" t="s">
        <v>3353</v>
      </c>
      <c r="AH19" s="107" t="s">
        <v>3487</v>
      </c>
      <c r="AI19" s="108" t="s">
        <v>3353</v>
      </c>
      <c r="AJ19" s="107" t="s">
        <v>3487</v>
      </c>
      <c r="AK19" s="108" t="s">
        <v>3353</v>
      </c>
      <c r="AL19" s="107" t="s">
        <v>3487</v>
      </c>
      <c r="AM19" s="108" t="s">
        <v>3353</v>
      </c>
      <c r="AN19" s="107" t="s">
        <v>3487</v>
      </c>
      <c r="AO19" s="108" t="s">
        <v>3353</v>
      </c>
    </row>
    <row r="20" spans="2:43" s="75" customFormat="1" ht="21.75" customHeight="1" thickBot="1" x14ac:dyDescent="0.4">
      <c r="B20" s="98" t="s">
        <v>3395</v>
      </c>
      <c r="C20" s="114" t="s">
        <v>3398</v>
      </c>
      <c r="D20" s="136">
        <f t="shared" ref="D20:AO20" si="3">IFERROR(SUM(D21:D34)," ")</f>
        <v>25</v>
      </c>
      <c r="E20" s="137">
        <f t="shared" si="3"/>
        <v>9</v>
      </c>
      <c r="F20" s="109">
        <f t="shared" si="3"/>
        <v>14</v>
      </c>
      <c r="G20" s="110">
        <f t="shared" si="3"/>
        <v>4</v>
      </c>
      <c r="H20" s="109">
        <f t="shared" si="3"/>
        <v>5</v>
      </c>
      <c r="I20" s="110">
        <f t="shared" si="3"/>
        <v>0</v>
      </c>
      <c r="J20" s="109">
        <f t="shared" si="3"/>
        <v>8</v>
      </c>
      <c r="K20" s="110">
        <f t="shared" si="3"/>
        <v>1</v>
      </c>
      <c r="L20" s="109">
        <f t="shared" si="3"/>
        <v>5</v>
      </c>
      <c r="M20" s="110">
        <f t="shared" si="3"/>
        <v>1</v>
      </c>
      <c r="N20" s="109">
        <f t="shared" si="3"/>
        <v>0</v>
      </c>
      <c r="O20" s="110">
        <f t="shared" si="3"/>
        <v>0</v>
      </c>
      <c r="P20" s="109">
        <f t="shared" si="3"/>
        <v>10</v>
      </c>
      <c r="Q20" s="110">
        <f t="shared" si="3"/>
        <v>2</v>
      </c>
      <c r="R20" s="109">
        <f t="shared" si="3"/>
        <v>5</v>
      </c>
      <c r="S20" s="110">
        <f t="shared" si="3"/>
        <v>1</v>
      </c>
      <c r="T20" s="109">
        <f t="shared" si="3"/>
        <v>7</v>
      </c>
      <c r="U20" s="110">
        <f t="shared" si="3"/>
        <v>0</v>
      </c>
      <c r="V20" s="109">
        <f t="shared" si="3"/>
        <v>7</v>
      </c>
      <c r="W20" s="110">
        <f t="shared" si="3"/>
        <v>1</v>
      </c>
      <c r="X20" s="109">
        <f t="shared" si="3"/>
        <v>8</v>
      </c>
      <c r="Y20" s="110">
        <f t="shared" si="3"/>
        <v>0</v>
      </c>
      <c r="Z20" s="109">
        <f t="shared" si="3"/>
        <v>12</v>
      </c>
      <c r="AA20" s="110">
        <f t="shared" si="3"/>
        <v>6</v>
      </c>
      <c r="AB20" s="109">
        <f t="shared" si="3"/>
        <v>5</v>
      </c>
      <c r="AC20" s="110">
        <f t="shared" si="3"/>
        <v>1</v>
      </c>
      <c r="AD20" s="109">
        <f t="shared" si="3"/>
        <v>2</v>
      </c>
      <c r="AE20" s="110">
        <f t="shared" si="3"/>
        <v>0</v>
      </c>
      <c r="AF20" s="109">
        <f t="shared" si="3"/>
        <v>8</v>
      </c>
      <c r="AG20" s="110">
        <f t="shared" si="3"/>
        <v>2</v>
      </c>
      <c r="AH20" s="109">
        <f t="shared" si="3"/>
        <v>8</v>
      </c>
      <c r="AI20" s="110">
        <f t="shared" si="3"/>
        <v>1</v>
      </c>
      <c r="AJ20" s="109">
        <f t="shared" si="3"/>
        <v>17</v>
      </c>
      <c r="AK20" s="110">
        <f t="shared" si="3"/>
        <v>4</v>
      </c>
      <c r="AL20" s="109">
        <f t="shared" si="3"/>
        <v>6</v>
      </c>
      <c r="AM20" s="110">
        <f t="shared" si="3"/>
        <v>1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46" t="s">
        <v>335</v>
      </c>
      <c r="D21" s="138">
        <f>SUMIFS(Resumo_Trocas!$C:$C,Resumo_Trocas!$A:$A,$C21,Resumo_Trocas!$F:$F,D$18,Resumo_Trocas!$C:$C,"&gt;0")</f>
        <v>2</v>
      </c>
      <c r="E21" s="139">
        <f>SUMIFS(Resumo_Trocas!$E:$E,Resumo_Trocas!$A:$A,$C21,Resumo_Trocas!$F:$F,D$18,Resumo_Trocas!$C:$C,"&gt;0")</f>
        <v>1</v>
      </c>
      <c r="F21" s="138">
        <f>SUMIFS(Resumo_Trocas!$C:$C,Resumo_Trocas!$A:$A,$C21,Resumo_Trocas!$F:$F,F$18,Resumo_Trocas!$C:$C,"&gt;0")</f>
        <v>2</v>
      </c>
      <c r="G21" s="139">
        <f>SUMIFS(Resumo_Trocas!$E:$E,Resumo_Trocas!$A:$A,$C21,Resumo_Trocas!$F:$F,F$18,Resumo_Trocas!$C:$C,"&gt;0")</f>
        <v>1</v>
      </c>
      <c r="H21" s="138">
        <f>SUMIFS(Resumo_Trocas!$C:$C,Resumo_Trocas!$A:$A,$C21,Resumo_Trocas!$F:$F,H$18,Resumo_Trocas!$C:$C,"&gt;0")</f>
        <v>1</v>
      </c>
      <c r="I21" s="139">
        <f>SUMIFS(Resumo_Trocas!$E:$E,Resumo_Trocas!$A:$A,$C21,Resumo_Trocas!$F:$F,H$18,Resumo_Trocas!$C:$C,"&gt;0")</f>
        <v>0</v>
      </c>
      <c r="J21" s="138">
        <f>SUMIFS(Resumo_Trocas!$C:$C,Resumo_Trocas!$A:$A,$C21,Resumo_Trocas!$F:$F,J$18,Resumo_Trocas!$C:$C,"&gt;0")</f>
        <v>1</v>
      </c>
      <c r="K21" s="139">
        <f>SUMIFS(Resumo_Trocas!$E:$E,Resumo_Trocas!$A:$A,$C21,Resumo_Trocas!$F:$F,J$18,Resumo_Trocas!$C:$C,"&gt;0")</f>
        <v>0</v>
      </c>
      <c r="L21" s="138">
        <f>SUMIFS(Resumo_Trocas!$C:$C,Resumo_Trocas!$A:$A,$C21,Resumo_Trocas!$F:$F,L$18,Resumo_Trocas!$C:$C,"&gt;0")</f>
        <v>1</v>
      </c>
      <c r="M21" s="139">
        <f>SUMIFS(Resumo_Trocas!$E:$E,Resumo_Trocas!$A:$A,$C21,Resumo_Trocas!$F:$F,L$18,Resumo_Trocas!$C:$C,"&gt;0")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SUMIFS(Resumo_Trocas!$E:$E,Resumo_Trocas!$A:$A,$C21,Resumo_Trocas!$F:$F,N$18,Resumo_Trocas!$C:$C,"&gt;0")</f>
        <v>0</v>
      </c>
      <c r="P21" s="138">
        <f>SUMIFS(Resumo_Trocas!$C:$C,Resumo_Trocas!$A:$A,$C21,Resumo_Trocas!$F:$F,P$18,Resumo_Trocas!$C:$C,"&gt;0")</f>
        <v>1</v>
      </c>
      <c r="Q21" s="139">
        <f>SUMIFS(Resumo_Trocas!$E:$E,Resumo_Trocas!$A:$A,$C21,Resumo_Trocas!$F:$F,P$18,Resumo_Trocas!$C:$C,"&gt;0")</f>
        <v>0</v>
      </c>
      <c r="R21" s="138">
        <f>SUMIFS(Resumo_Trocas!$C:$C,Resumo_Trocas!$A:$A,$C21,Resumo_Trocas!$F:$F,R$18,Resumo_Trocas!$C:$C,"&gt;0")</f>
        <v>2</v>
      </c>
      <c r="S21" s="139">
        <f>SUMIFS(Resumo_Trocas!$E:$E,Resumo_Trocas!$A:$A,$C21,Resumo_Trocas!$F:$F,R$18,Resumo_Trocas!$C:$C,"&gt;0")</f>
        <v>1</v>
      </c>
      <c r="T21" s="138">
        <f>SUMIFS(Resumo_Trocas!$C:$C,Resumo_Trocas!$A:$A,$C21,Resumo_Trocas!$F:$F,T$18,Resumo_Trocas!$C:$C,"&gt;0")</f>
        <v>2</v>
      </c>
      <c r="U21" s="139">
        <f>SUMIFS(Resumo_Trocas!$E:$E,Resumo_Trocas!$A:$A,$C21,Resumo_Trocas!$F:$F,T$18,Resumo_Trocas!$C:$C,"&gt;0")</f>
        <v>0</v>
      </c>
      <c r="V21" s="138">
        <f>SUMIFS(Resumo_Trocas!$C:$C,Resumo_Trocas!$A:$A,$C21,Resumo_Trocas!$F:$F,V$18,Resumo_Trocas!$C:$C,"&gt;0")</f>
        <v>3</v>
      </c>
      <c r="W21" s="139">
        <f>SUMIFS(Resumo_Trocas!$E:$E,Resumo_Trocas!$A:$A,$C21,Resumo_Trocas!$F:$F,V$18,Resumo_Trocas!$C:$C,"&gt;0")</f>
        <v>0</v>
      </c>
      <c r="X21" s="138">
        <f>SUMIFS(Resumo_Trocas!$C:$C,Resumo_Trocas!$A:$A,$C21,Resumo_Trocas!$F:$F,X$18,Resumo_Trocas!$C:$C,"&gt;0")</f>
        <v>2</v>
      </c>
      <c r="Y21" s="139">
        <f>SUMIFS(Resumo_Trocas!$E:$E,Resumo_Trocas!$A:$A,$C21,Resumo_Trocas!$F:$F,X$18,Resumo_Trocas!$C:$C,"&gt;0")</f>
        <v>0</v>
      </c>
      <c r="Z21" s="138">
        <f>SUMIFS(Resumo_Trocas!$C:$C,Resumo_Trocas!$A:$A,$C21,Resumo_Trocas!$F:$F,Z$18,Resumo_Trocas!$C:$C,"&gt;0")</f>
        <v>2</v>
      </c>
      <c r="AA21" s="139">
        <f>SUMIFS(Resumo_Trocas!$E:$E,Resumo_Trocas!$A:$A,$C21,Resumo_Trocas!$F:$F,Z$18,Resumo_Trocas!$C:$C,"&gt;0")</f>
        <v>1</v>
      </c>
      <c r="AB21" s="138">
        <f>SUMIFS(Resumo_Trocas!$C:$C,Resumo_Trocas!$A:$A,$C21,Resumo_Trocas!$F:$F,AB$18,Resumo_Trocas!$C:$C,"&gt;0")</f>
        <v>1</v>
      </c>
      <c r="AC21" s="139">
        <f>SUMIFS(Resumo_Trocas!$E:$E,Resumo_Trocas!$A:$A,$C21,Resumo_Trocas!$F:$F,AB$18,Resumo_Trocas!$C:$C,"&gt;0")</f>
        <v>0</v>
      </c>
      <c r="AD21" s="138">
        <f>SUMIFS(Resumo_Trocas!$C:$C,Resumo_Trocas!$A:$A,$C21,Resumo_Trocas!$F:$F,AD$18,Resumo_Trocas!$C:$C,"&gt;0")</f>
        <v>0</v>
      </c>
      <c r="AE21" s="139">
        <f>SUMIFS(Resumo_Trocas!$E:$E,Resumo_Trocas!$A:$A,$C21,Resumo_Trocas!$F:$F,AD$18,Resumo_Trocas!$C:$C,"&gt;0")</f>
        <v>0</v>
      </c>
      <c r="AF21" s="138">
        <f>SUMIFS(Resumo_Trocas!$C:$C,Resumo_Trocas!$A:$A,$C21,Resumo_Trocas!$F:$F,AF$18,Resumo_Trocas!$C:$C,"&gt;0")</f>
        <v>1</v>
      </c>
      <c r="AG21" s="139">
        <f>SUMIFS(Resumo_Trocas!$E:$E,Resumo_Trocas!$A:$A,$C21,Resumo_Trocas!$F:$F,AF$18,Resumo_Trocas!$C:$C,"&gt;0")</f>
        <v>0</v>
      </c>
      <c r="AH21" s="138">
        <f>SUMIFS(Resumo_Trocas!$C:$C,Resumo_Trocas!$A:$A,$C21,Resumo_Trocas!$F:$F,AH$18,Resumo_Trocas!$C:$C,"&gt;0")</f>
        <v>1</v>
      </c>
      <c r="AI21" s="139">
        <f>SUMIFS(Resumo_Trocas!$E:$E,Resumo_Trocas!$A:$A,$C21,Resumo_Trocas!$F:$F,AH$18,Resumo_Trocas!$C:$C,"&gt;0")</f>
        <v>0</v>
      </c>
      <c r="AJ21" s="138">
        <f>SUMIFS(Resumo_Trocas!$C:$C,Resumo_Trocas!$A:$A,$C21,Resumo_Trocas!$F:$F,AJ$18,Resumo_Trocas!$C:$C,"&gt;0")</f>
        <v>2</v>
      </c>
      <c r="AK21" s="139">
        <f>SUMIFS(Resumo_Trocas!$E:$E,Resumo_Trocas!$A:$A,$C21,Resumo_Trocas!$F:$F,AJ$18,Resumo_Trocas!$C:$C,"&gt;0")</f>
        <v>0</v>
      </c>
      <c r="AL21" s="138">
        <f>SUMIFS(Resumo_Trocas!$C:$C,Resumo_Trocas!$A:$A,$C21,Resumo_Trocas!$F:$F,AL$18,Resumo_Trocas!$C:$C,"&gt;0")</f>
        <v>1</v>
      </c>
      <c r="AM21" s="139">
        <f>SUMIFS(Resumo_Trocas!$E:$E,Resumo_Trocas!$A:$A,$C21,Resumo_Trocas!$F:$F,AL$18,Resumo_Trocas!$C:$C,"&gt;0")</f>
        <v>0</v>
      </c>
      <c r="AN21" s="138">
        <f>SUMIFS(Resumo_Trocas!$C:$C,Resumo_Trocas!$A:$A,$C21,Resumo_Trocas!$F:$F,AN$18,Resumo_Trocas!$C:$C,"&gt;0")</f>
        <v>0</v>
      </c>
      <c r="AO21" s="139">
        <f>SUMIFS(Resumo_Trocas!$E:$E,Resumo_Trocas!$A:$A,$C21,Resumo_Trocas!$F:$F,AN$18,Resumo_Trocas!$C:$C,"&gt;0")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47" t="s">
        <v>337</v>
      </c>
      <c r="D22" s="140">
        <f>SUMIFS(Resumo_Trocas!$C:$C,Resumo_Trocas!$A:$A,$C22,Resumo_Trocas!$F:$F,D$18,Resumo_Trocas!$C:$C,"&gt;0")</f>
        <v>6</v>
      </c>
      <c r="E22" s="141">
        <f>SUMIFS(Resumo_Trocas!$E:$E,Resumo_Trocas!$A:$A,$C22,Resumo_Trocas!$F:$F,D$18,Resumo_Trocas!$C:$C,"&gt;0")</f>
        <v>1</v>
      </c>
      <c r="F22" s="140">
        <f>SUMIFS(Resumo_Trocas!$C:$C,Resumo_Trocas!$A:$A,$C22,Resumo_Trocas!$F:$F,F$18,Resumo_Trocas!$C:$C,"&gt;0")</f>
        <v>3</v>
      </c>
      <c r="G22" s="141">
        <f>SUMIFS(Resumo_Trocas!$E:$E,Resumo_Trocas!$A:$A,$C22,Resumo_Trocas!$F:$F,F$18,Resumo_Trocas!$C:$C,"&gt;0")</f>
        <v>1</v>
      </c>
      <c r="H22" s="140">
        <f>SUMIFS(Resumo_Trocas!$C:$C,Resumo_Trocas!$A:$A,$C22,Resumo_Trocas!$F:$F,H$18,Resumo_Trocas!$C:$C,"&gt;0")</f>
        <v>0</v>
      </c>
      <c r="I22" s="141">
        <f>SUMIFS(Resumo_Trocas!$E:$E,Resumo_Trocas!$A:$A,$C22,Resumo_Trocas!$F:$F,H$18,Resumo_Trocas!$C:$C,"&gt;0")</f>
        <v>0</v>
      </c>
      <c r="J22" s="140">
        <f>SUMIFS(Resumo_Trocas!$C:$C,Resumo_Trocas!$A:$A,$C22,Resumo_Trocas!$F:$F,J$18,Resumo_Trocas!$C:$C,"&gt;0")</f>
        <v>0</v>
      </c>
      <c r="K22" s="141">
        <f>SUMIFS(Resumo_Trocas!$E:$E,Resumo_Trocas!$A:$A,$C22,Resumo_Trocas!$F:$F,J$18,Resumo_Trocas!$C:$C,"&gt;0")</f>
        <v>0</v>
      </c>
      <c r="L22" s="140">
        <f>SUMIFS(Resumo_Trocas!$C:$C,Resumo_Trocas!$A:$A,$C22,Resumo_Trocas!$F:$F,L$18,Resumo_Trocas!$C:$C,"&gt;0")</f>
        <v>0</v>
      </c>
      <c r="M22" s="141">
        <f>SUMIFS(Resumo_Trocas!$E:$E,Resumo_Trocas!$A:$A,$C22,Resumo_Trocas!$F:$F,L$18,Resumo_Trocas!$C:$C,"&gt;0")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SUMIFS(Resumo_Trocas!$E:$E,Resumo_Trocas!$A:$A,$C22,Resumo_Trocas!$F:$F,N$18,Resumo_Trocas!$C:$C,"&gt;0")</f>
        <v>0</v>
      </c>
      <c r="P22" s="140">
        <f>SUMIFS(Resumo_Trocas!$C:$C,Resumo_Trocas!$A:$A,$C22,Resumo_Trocas!$F:$F,P$18,Resumo_Trocas!$C:$C,"&gt;0")</f>
        <v>1</v>
      </c>
      <c r="Q22" s="141">
        <f>SUMIFS(Resumo_Trocas!$E:$E,Resumo_Trocas!$A:$A,$C22,Resumo_Trocas!$F:$F,P$18,Resumo_Trocas!$C:$C,"&gt;0")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SUMIFS(Resumo_Trocas!$E:$E,Resumo_Trocas!$A:$A,$C22,Resumo_Trocas!$F:$F,R$18,Resumo_Trocas!$C:$C,"&gt;0")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SUMIFS(Resumo_Trocas!$E:$E,Resumo_Trocas!$A:$A,$C22,Resumo_Trocas!$F:$F,T$18,Resumo_Trocas!$C:$C,"&gt;0")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SUMIFS(Resumo_Trocas!$E:$E,Resumo_Trocas!$A:$A,$C22,Resumo_Trocas!$F:$F,V$18,Resumo_Trocas!$C:$C,"&gt;0")</f>
        <v>0</v>
      </c>
      <c r="X22" s="140">
        <f>SUMIFS(Resumo_Trocas!$C:$C,Resumo_Trocas!$A:$A,$C22,Resumo_Trocas!$F:$F,X$18,Resumo_Trocas!$C:$C,"&gt;0")</f>
        <v>0</v>
      </c>
      <c r="Y22" s="141">
        <f>SUMIFS(Resumo_Trocas!$E:$E,Resumo_Trocas!$A:$A,$C22,Resumo_Trocas!$F:$F,X$18,Resumo_Trocas!$C:$C,"&gt;0")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SUMIFS(Resumo_Trocas!$E:$E,Resumo_Trocas!$A:$A,$C22,Resumo_Trocas!$F:$F,Z$18,Resumo_Trocas!$C:$C,"&gt;0")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SUMIFS(Resumo_Trocas!$E:$E,Resumo_Trocas!$A:$A,$C22,Resumo_Trocas!$F:$F,AB$18,Resumo_Trocas!$C:$C,"&gt;0")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SUMIFS(Resumo_Trocas!$E:$E,Resumo_Trocas!$A:$A,$C22,Resumo_Trocas!$F:$F,AD$18,Resumo_Trocas!$C:$C,"&gt;0")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SUMIFS(Resumo_Trocas!$E:$E,Resumo_Trocas!$A:$A,$C22,Resumo_Trocas!$F:$F,AF$18,Resumo_Trocas!$C:$C,"&gt;0")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SUMIFS(Resumo_Trocas!$E:$E,Resumo_Trocas!$A:$A,$C22,Resumo_Trocas!$F:$F,AH$18,Resumo_Trocas!$C:$C,"&gt;0")</f>
        <v>0</v>
      </c>
      <c r="AJ22" s="140">
        <f>SUMIFS(Resumo_Trocas!$C:$C,Resumo_Trocas!$A:$A,$C22,Resumo_Trocas!$F:$F,AJ$18,Resumo_Trocas!$C:$C,"&gt;0")</f>
        <v>1</v>
      </c>
      <c r="AK22" s="141">
        <f>SUMIFS(Resumo_Trocas!$E:$E,Resumo_Trocas!$A:$A,$C22,Resumo_Trocas!$F:$F,AJ$18,Resumo_Trocas!$C:$C,"&gt;0")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SUMIFS(Resumo_Trocas!$E:$E,Resumo_Trocas!$A:$A,$C22,Resumo_Trocas!$F:$F,AL$18,Resumo_Trocas!$C:$C,"&gt;0")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SUMIFS(Resumo_Trocas!$E:$E,Resumo_Trocas!$A:$A,$C22,Resumo_Trocas!$F:$F,AN$18,Resumo_Trocas!$C:$C,"&gt;0")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47" t="s">
        <v>338</v>
      </c>
      <c r="D23" s="140">
        <f>SUMIFS(Resumo_Trocas!$C:$C,Resumo_Trocas!$A:$A,$C23,Resumo_Trocas!$F:$F,D$18,Resumo_Trocas!$C:$C,"&gt;0")</f>
        <v>2</v>
      </c>
      <c r="E23" s="141">
        <f>SUMIFS(Resumo_Trocas!$E:$E,Resumo_Trocas!$A:$A,$C23,Resumo_Trocas!$F:$F,D$18,Resumo_Trocas!$C:$C,"&gt;0")</f>
        <v>1</v>
      </c>
      <c r="F23" s="140">
        <f>SUMIFS(Resumo_Trocas!$C:$C,Resumo_Trocas!$A:$A,$C23,Resumo_Trocas!$F:$F,F$18,Resumo_Trocas!$C:$C,"&gt;0")</f>
        <v>1</v>
      </c>
      <c r="G23" s="141">
        <f>SUMIFS(Resumo_Trocas!$E:$E,Resumo_Trocas!$A:$A,$C23,Resumo_Trocas!$F:$F,F$18,Resumo_Trocas!$C:$C,"&gt;0")</f>
        <v>0</v>
      </c>
      <c r="H23" s="140">
        <f>SUMIFS(Resumo_Trocas!$C:$C,Resumo_Trocas!$A:$A,$C23,Resumo_Trocas!$F:$F,H$18,Resumo_Trocas!$C:$C,"&gt;0")</f>
        <v>0</v>
      </c>
      <c r="I23" s="141">
        <f>SUMIFS(Resumo_Trocas!$E:$E,Resumo_Trocas!$A:$A,$C23,Resumo_Trocas!$F:$F,H$18,Resumo_Trocas!$C:$C,"&gt;0")</f>
        <v>0</v>
      </c>
      <c r="J23" s="140">
        <f>SUMIFS(Resumo_Trocas!$C:$C,Resumo_Trocas!$A:$A,$C23,Resumo_Trocas!$F:$F,J$18,Resumo_Trocas!$C:$C,"&gt;0")</f>
        <v>0</v>
      </c>
      <c r="K23" s="141">
        <f>SUMIFS(Resumo_Trocas!$E:$E,Resumo_Trocas!$A:$A,$C23,Resumo_Trocas!$F:$F,J$18,Resumo_Trocas!$C:$C,"&gt;0")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SUMIFS(Resumo_Trocas!$E:$E,Resumo_Trocas!$A:$A,$C23,Resumo_Trocas!$F:$F,L$18,Resumo_Trocas!$C:$C,"&gt;0")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SUMIFS(Resumo_Trocas!$E:$E,Resumo_Trocas!$A:$A,$C23,Resumo_Trocas!$F:$F,N$18,Resumo_Trocas!$C:$C,"&gt;0")</f>
        <v>0</v>
      </c>
      <c r="P23" s="140">
        <f>SUMIFS(Resumo_Trocas!$C:$C,Resumo_Trocas!$A:$A,$C23,Resumo_Trocas!$F:$F,P$18,Resumo_Trocas!$C:$C,"&gt;0")</f>
        <v>1</v>
      </c>
      <c r="Q23" s="141">
        <f>SUMIFS(Resumo_Trocas!$E:$E,Resumo_Trocas!$A:$A,$C23,Resumo_Trocas!$F:$F,P$18,Resumo_Trocas!$C:$C,"&gt;0")</f>
        <v>0</v>
      </c>
      <c r="R23" s="140">
        <f>SUMIFS(Resumo_Trocas!$C:$C,Resumo_Trocas!$A:$A,$C23,Resumo_Trocas!$F:$F,R$18,Resumo_Trocas!$C:$C,"&gt;0")</f>
        <v>0</v>
      </c>
      <c r="S23" s="141">
        <f>SUMIFS(Resumo_Trocas!$E:$E,Resumo_Trocas!$A:$A,$C23,Resumo_Trocas!$F:$F,R$18,Resumo_Trocas!$C:$C,"&gt;0")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SUMIFS(Resumo_Trocas!$E:$E,Resumo_Trocas!$A:$A,$C23,Resumo_Trocas!$F:$F,T$18,Resumo_Trocas!$C:$C,"&gt;0")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SUMIFS(Resumo_Trocas!$E:$E,Resumo_Trocas!$A:$A,$C23,Resumo_Trocas!$F:$F,V$18,Resumo_Trocas!$C:$C,"&gt;0")</f>
        <v>0</v>
      </c>
      <c r="X23" s="140">
        <f>SUMIFS(Resumo_Trocas!$C:$C,Resumo_Trocas!$A:$A,$C23,Resumo_Trocas!$F:$F,X$18,Resumo_Trocas!$C:$C,"&gt;0")</f>
        <v>1</v>
      </c>
      <c r="Y23" s="141">
        <f>SUMIFS(Resumo_Trocas!$E:$E,Resumo_Trocas!$A:$A,$C23,Resumo_Trocas!$F:$F,X$18,Resumo_Trocas!$C:$C,"&gt;0")</f>
        <v>0</v>
      </c>
      <c r="Z23" s="140">
        <f>SUMIFS(Resumo_Trocas!$C:$C,Resumo_Trocas!$A:$A,$C23,Resumo_Trocas!$F:$F,Z$18,Resumo_Trocas!$C:$C,"&gt;0")</f>
        <v>0</v>
      </c>
      <c r="AA23" s="141">
        <f>SUMIFS(Resumo_Trocas!$E:$E,Resumo_Trocas!$A:$A,$C23,Resumo_Trocas!$F:$F,Z$18,Resumo_Trocas!$C:$C,"&gt;0")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SUMIFS(Resumo_Trocas!$E:$E,Resumo_Trocas!$A:$A,$C23,Resumo_Trocas!$F:$F,AB$18,Resumo_Trocas!$C:$C,"&gt;0")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SUMIFS(Resumo_Trocas!$E:$E,Resumo_Trocas!$A:$A,$C23,Resumo_Trocas!$F:$F,AD$18,Resumo_Trocas!$C:$C,"&gt;0")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SUMIFS(Resumo_Trocas!$E:$E,Resumo_Trocas!$A:$A,$C23,Resumo_Trocas!$F:$F,AF$18,Resumo_Trocas!$C:$C,"&gt;0")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SUMIFS(Resumo_Trocas!$E:$E,Resumo_Trocas!$A:$A,$C23,Resumo_Trocas!$F:$F,AH$18,Resumo_Trocas!$C:$C,"&gt;0")</f>
        <v>0</v>
      </c>
      <c r="AJ23" s="140">
        <f>SUMIFS(Resumo_Trocas!$C:$C,Resumo_Trocas!$A:$A,$C23,Resumo_Trocas!$F:$F,AJ$18,Resumo_Trocas!$C:$C,"&gt;0")</f>
        <v>0</v>
      </c>
      <c r="AK23" s="141">
        <f>SUMIFS(Resumo_Trocas!$E:$E,Resumo_Trocas!$A:$A,$C23,Resumo_Trocas!$F:$F,AJ$18,Resumo_Trocas!$C:$C,"&gt;0")</f>
        <v>0</v>
      </c>
      <c r="AL23" s="140">
        <f>SUMIFS(Resumo_Trocas!$C:$C,Resumo_Trocas!$A:$A,$C23,Resumo_Trocas!$F:$F,AL$18,Resumo_Trocas!$C:$C,"&gt;0")</f>
        <v>1</v>
      </c>
      <c r="AM23" s="141">
        <f>SUMIFS(Resumo_Trocas!$E:$E,Resumo_Trocas!$A:$A,$C23,Resumo_Trocas!$F:$F,AL$18,Resumo_Trocas!$C:$C,"&gt;0")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SUMIFS(Resumo_Trocas!$E:$E,Resumo_Trocas!$A:$A,$C23,Resumo_Trocas!$F:$F,AN$18,Resumo_Trocas!$C:$C,"&gt;0")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47" t="s">
        <v>344</v>
      </c>
      <c r="D24" s="140">
        <f>SUMIFS(Resumo_Trocas!$C:$C,Resumo_Trocas!$A:$A,$C24,Resumo_Trocas!$F:$F,D$18,Resumo_Trocas!$C:$C,"&gt;0")</f>
        <v>2</v>
      </c>
      <c r="E24" s="141">
        <f>SUMIFS(Resumo_Trocas!$E:$E,Resumo_Trocas!$A:$A,$C24,Resumo_Trocas!$F:$F,D$18,Resumo_Trocas!$C:$C,"&gt;0")</f>
        <v>1</v>
      </c>
      <c r="F24" s="140">
        <f>SUMIFS(Resumo_Trocas!$C:$C,Resumo_Trocas!$A:$A,$C24,Resumo_Trocas!$F:$F,F$18,Resumo_Trocas!$C:$C,"&gt;0")</f>
        <v>0</v>
      </c>
      <c r="G24" s="141">
        <f>SUMIFS(Resumo_Trocas!$E:$E,Resumo_Trocas!$A:$A,$C24,Resumo_Trocas!$F:$F,F$18,Resumo_Trocas!$C:$C,"&gt;0")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SUMIFS(Resumo_Trocas!$E:$E,Resumo_Trocas!$A:$A,$C24,Resumo_Trocas!$F:$F,H$18,Resumo_Trocas!$C:$C,"&gt;0")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SUMIFS(Resumo_Trocas!$E:$E,Resumo_Trocas!$A:$A,$C24,Resumo_Trocas!$F:$F,J$18,Resumo_Trocas!$C:$C,"&gt;0")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SUMIFS(Resumo_Trocas!$E:$E,Resumo_Trocas!$A:$A,$C24,Resumo_Trocas!$F:$F,L$18,Resumo_Trocas!$C:$C,"&gt;0")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SUMIFS(Resumo_Trocas!$E:$E,Resumo_Trocas!$A:$A,$C24,Resumo_Trocas!$F:$F,N$18,Resumo_Trocas!$C:$C,"&gt;0")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SUMIFS(Resumo_Trocas!$E:$E,Resumo_Trocas!$A:$A,$C24,Resumo_Trocas!$F:$F,P$18,Resumo_Trocas!$C:$C,"&gt;0")</f>
        <v>0</v>
      </c>
      <c r="R24" s="140">
        <f>SUMIFS(Resumo_Trocas!$C:$C,Resumo_Trocas!$A:$A,$C24,Resumo_Trocas!$F:$F,R$18,Resumo_Trocas!$C:$C,"&gt;0")</f>
        <v>0</v>
      </c>
      <c r="S24" s="141">
        <f>SUMIFS(Resumo_Trocas!$E:$E,Resumo_Trocas!$A:$A,$C24,Resumo_Trocas!$F:$F,R$18,Resumo_Trocas!$C:$C,"&gt;0")</f>
        <v>0</v>
      </c>
      <c r="T24" s="140">
        <f>SUMIFS(Resumo_Trocas!$C:$C,Resumo_Trocas!$A:$A,$C24,Resumo_Trocas!$F:$F,T$18,Resumo_Trocas!$C:$C,"&gt;0")</f>
        <v>0</v>
      </c>
      <c r="U24" s="141">
        <f>SUMIFS(Resumo_Trocas!$E:$E,Resumo_Trocas!$A:$A,$C24,Resumo_Trocas!$F:$F,T$18,Resumo_Trocas!$C:$C,"&gt;0")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SUMIFS(Resumo_Trocas!$E:$E,Resumo_Trocas!$A:$A,$C24,Resumo_Trocas!$F:$F,V$18,Resumo_Trocas!$C:$C,"&gt;0")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SUMIFS(Resumo_Trocas!$E:$E,Resumo_Trocas!$A:$A,$C24,Resumo_Trocas!$F:$F,X$18,Resumo_Trocas!$C:$C,"&gt;0")</f>
        <v>0</v>
      </c>
      <c r="Z24" s="140">
        <f>SUMIFS(Resumo_Trocas!$C:$C,Resumo_Trocas!$A:$A,$C24,Resumo_Trocas!$F:$F,Z$18,Resumo_Trocas!$C:$C,"&gt;0")</f>
        <v>1</v>
      </c>
      <c r="AA24" s="141">
        <f>SUMIFS(Resumo_Trocas!$E:$E,Resumo_Trocas!$A:$A,$C24,Resumo_Trocas!$F:$F,Z$18,Resumo_Trocas!$C:$C,"&gt;0")</f>
        <v>1</v>
      </c>
      <c r="AB24" s="140">
        <f>SUMIFS(Resumo_Trocas!$C:$C,Resumo_Trocas!$A:$A,$C24,Resumo_Trocas!$F:$F,AB$18,Resumo_Trocas!$C:$C,"&gt;0")</f>
        <v>0</v>
      </c>
      <c r="AC24" s="141">
        <f>SUMIFS(Resumo_Trocas!$E:$E,Resumo_Trocas!$A:$A,$C24,Resumo_Trocas!$F:$F,AB$18,Resumo_Trocas!$C:$C,"&gt;0")</f>
        <v>0</v>
      </c>
      <c r="AD24" s="140">
        <f>SUMIFS(Resumo_Trocas!$C:$C,Resumo_Trocas!$A:$A,$C24,Resumo_Trocas!$F:$F,AD$18,Resumo_Trocas!$C:$C,"&gt;0")</f>
        <v>0</v>
      </c>
      <c r="AE24" s="141">
        <f>SUMIFS(Resumo_Trocas!$E:$E,Resumo_Trocas!$A:$A,$C24,Resumo_Trocas!$F:$F,AD$18,Resumo_Trocas!$C:$C,"&gt;0")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SUMIFS(Resumo_Trocas!$E:$E,Resumo_Trocas!$A:$A,$C24,Resumo_Trocas!$F:$F,AF$18,Resumo_Trocas!$C:$C,"&gt;0")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SUMIFS(Resumo_Trocas!$E:$E,Resumo_Trocas!$A:$A,$C24,Resumo_Trocas!$F:$F,AH$18,Resumo_Trocas!$C:$C,"&gt;0")</f>
        <v>0</v>
      </c>
      <c r="AJ24" s="140">
        <f>SUMIFS(Resumo_Trocas!$C:$C,Resumo_Trocas!$A:$A,$C24,Resumo_Trocas!$F:$F,AJ$18,Resumo_Trocas!$C:$C,"&gt;0")</f>
        <v>1</v>
      </c>
      <c r="AK24" s="141">
        <f>SUMIFS(Resumo_Trocas!$E:$E,Resumo_Trocas!$A:$A,$C24,Resumo_Trocas!$F:$F,AJ$18,Resumo_Trocas!$C:$C,"&gt;0")</f>
        <v>0</v>
      </c>
      <c r="AL24" s="140">
        <f>SUMIFS(Resumo_Trocas!$C:$C,Resumo_Trocas!$A:$A,$C24,Resumo_Trocas!$F:$F,AL$18,Resumo_Trocas!$C:$C,"&gt;0")</f>
        <v>0</v>
      </c>
      <c r="AM24" s="141">
        <f>SUMIFS(Resumo_Trocas!$E:$E,Resumo_Trocas!$A:$A,$C24,Resumo_Trocas!$F:$F,AL$18,Resumo_Trocas!$C:$C,"&gt;0")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SUMIFS(Resumo_Trocas!$E:$E,Resumo_Trocas!$A:$A,$C24,Resumo_Trocas!$F:$F,AN$18,Resumo_Trocas!$C:$C,"&gt;0")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47" t="s">
        <v>350</v>
      </c>
      <c r="D25" s="140">
        <f>SUMIFS(Resumo_Trocas!$C:$C,Resumo_Trocas!$A:$A,$C25,Resumo_Trocas!$F:$F,D$18,Resumo_Trocas!$C:$C,"&gt;0")</f>
        <v>3</v>
      </c>
      <c r="E25" s="141">
        <f>SUMIFS(Resumo_Trocas!$E:$E,Resumo_Trocas!$A:$A,$C25,Resumo_Trocas!$F:$F,D$18,Resumo_Trocas!$C:$C,"&gt;0")</f>
        <v>1</v>
      </c>
      <c r="F25" s="140">
        <f>SUMIFS(Resumo_Trocas!$C:$C,Resumo_Trocas!$A:$A,$C25,Resumo_Trocas!$F:$F,F$18,Resumo_Trocas!$C:$C,"&gt;0")</f>
        <v>0</v>
      </c>
      <c r="G25" s="141">
        <f>SUMIFS(Resumo_Trocas!$E:$E,Resumo_Trocas!$A:$A,$C25,Resumo_Trocas!$F:$F,F$18,Resumo_Trocas!$C:$C,"&gt;0")</f>
        <v>0</v>
      </c>
      <c r="H25" s="140">
        <f>SUMIFS(Resumo_Trocas!$C:$C,Resumo_Trocas!$A:$A,$C25,Resumo_Trocas!$F:$F,H$18,Resumo_Trocas!$C:$C,"&gt;0")</f>
        <v>0</v>
      </c>
      <c r="I25" s="141">
        <f>SUMIFS(Resumo_Trocas!$E:$E,Resumo_Trocas!$A:$A,$C25,Resumo_Trocas!$F:$F,H$18,Resumo_Trocas!$C:$C,"&gt;0")</f>
        <v>0</v>
      </c>
      <c r="J25" s="140">
        <f>SUMIFS(Resumo_Trocas!$C:$C,Resumo_Trocas!$A:$A,$C25,Resumo_Trocas!$F:$F,J$18,Resumo_Trocas!$C:$C,"&gt;0")</f>
        <v>0</v>
      </c>
      <c r="K25" s="141">
        <f>SUMIFS(Resumo_Trocas!$E:$E,Resumo_Trocas!$A:$A,$C25,Resumo_Trocas!$F:$F,J$18,Resumo_Trocas!$C:$C,"&gt;0")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SUMIFS(Resumo_Trocas!$E:$E,Resumo_Trocas!$A:$A,$C25,Resumo_Trocas!$F:$F,L$18,Resumo_Trocas!$C:$C,"&gt;0")</f>
        <v>0</v>
      </c>
      <c r="N25" s="140">
        <f>SUMIFS(Resumo_Trocas!$C:$C,Resumo_Trocas!$A:$A,$C25,Resumo_Trocas!$F:$F,N$18,Resumo_Trocas!$C:$C,"&gt;0")</f>
        <v>0</v>
      </c>
      <c r="O25" s="141">
        <f>SUMIFS(Resumo_Trocas!$E:$E,Resumo_Trocas!$A:$A,$C25,Resumo_Trocas!$F:$F,N$18,Resumo_Trocas!$C:$C,"&gt;0")</f>
        <v>0</v>
      </c>
      <c r="P25" s="140">
        <f>SUMIFS(Resumo_Trocas!$C:$C,Resumo_Trocas!$A:$A,$C25,Resumo_Trocas!$F:$F,P$18,Resumo_Trocas!$C:$C,"&gt;0")</f>
        <v>1</v>
      </c>
      <c r="Q25" s="141">
        <f>SUMIFS(Resumo_Trocas!$E:$E,Resumo_Trocas!$A:$A,$C25,Resumo_Trocas!$F:$F,P$18,Resumo_Trocas!$C:$C,"&gt;0")</f>
        <v>0</v>
      </c>
      <c r="R25" s="140">
        <f>SUMIFS(Resumo_Trocas!$C:$C,Resumo_Trocas!$A:$A,$C25,Resumo_Trocas!$F:$F,R$18,Resumo_Trocas!$C:$C,"&gt;0")</f>
        <v>0</v>
      </c>
      <c r="S25" s="141">
        <f>SUMIFS(Resumo_Trocas!$E:$E,Resumo_Trocas!$A:$A,$C25,Resumo_Trocas!$F:$F,R$18,Resumo_Trocas!$C:$C,"&gt;0")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SUMIFS(Resumo_Trocas!$E:$E,Resumo_Trocas!$A:$A,$C25,Resumo_Trocas!$F:$F,T$18,Resumo_Trocas!$C:$C,"&gt;0")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SUMIFS(Resumo_Trocas!$E:$E,Resumo_Trocas!$A:$A,$C25,Resumo_Trocas!$F:$F,V$18,Resumo_Trocas!$C:$C,"&gt;0")</f>
        <v>0</v>
      </c>
      <c r="X25" s="140">
        <f>SUMIFS(Resumo_Trocas!$C:$C,Resumo_Trocas!$A:$A,$C25,Resumo_Trocas!$F:$F,X$18,Resumo_Trocas!$C:$C,"&gt;0")</f>
        <v>0</v>
      </c>
      <c r="Y25" s="141">
        <f>SUMIFS(Resumo_Trocas!$E:$E,Resumo_Trocas!$A:$A,$C25,Resumo_Trocas!$F:$F,X$18,Resumo_Trocas!$C:$C,"&gt;0")</f>
        <v>0</v>
      </c>
      <c r="Z25" s="140">
        <f>SUMIFS(Resumo_Trocas!$C:$C,Resumo_Trocas!$A:$A,$C25,Resumo_Trocas!$F:$F,Z$18,Resumo_Trocas!$C:$C,"&gt;0")</f>
        <v>1</v>
      </c>
      <c r="AA25" s="141">
        <f>SUMIFS(Resumo_Trocas!$E:$E,Resumo_Trocas!$A:$A,$C25,Resumo_Trocas!$F:$F,Z$18,Resumo_Trocas!$C:$C,"&gt;0")</f>
        <v>0</v>
      </c>
      <c r="AB25" s="140">
        <f>SUMIFS(Resumo_Trocas!$C:$C,Resumo_Trocas!$A:$A,$C25,Resumo_Trocas!$F:$F,AB$18,Resumo_Trocas!$C:$C,"&gt;0")</f>
        <v>0</v>
      </c>
      <c r="AC25" s="141">
        <f>SUMIFS(Resumo_Trocas!$E:$E,Resumo_Trocas!$A:$A,$C25,Resumo_Trocas!$F:$F,AB$18,Resumo_Trocas!$C:$C,"&gt;0")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SUMIFS(Resumo_Trocas!$E:$E,Resumo_Trocas!$A:$A,$C25,Resumo_Trocas!$F:$F,AD$18,Resumo_Trocas!$C:$C,"&gt;0")</f>
        <v>0</v>
      </c>
      <c r="AF25" s="140">
        <f>SUMIFS(Resumo_Trocas!$C:$C,Resumo_Trocas!$A:$A,$C25,Resumo_Trocas!$F:$F,AF$18,Resumo_Trocas!$C:$C,"&gt;0")</f>
        <v>1</v>
      </c>
      <c r="AG25" s="141">
        <f>SUMIFS(Resumo_Trocas!$E:$E,Resumo_Trocas!$A:$A,$C25,Resumo_Trocas!$F:$F,AF$18,Resumo_Trocas!$C:$C,"&gt;0")</f>
        <v>0</v>
      </c>
      <c r="AH25" s="140">
        <f>SUMIFS(Resumo_Trocas!$C:$C,Resumo_Trocas!$A:$A,$C25,Resumo_Trocas!$F:$F,AH$18,Resumo_Trocas!$C:$C,"&gt;0")</f>
        <v>1</v>
      </c>
      <c r="AI25" s="141">
        <f>SUMIFS(Resumo_Trocas!$E:$E,Resumo_Trocas!$A:$A,$C25,Resumo_Trocas!$F:$F,AH$18,Resumo_Trocas!$C:$C,"&gt;0")</f>
        <v>1</v>
      </c>
      <c r="AJ25" s="140">
        <f>SUMIFS(Resumo_Trocas!$C:$C,Resumo_Trocas!$A:$A,$C25,Resumo_Trocas!$F:$F,AJ$18,Resumo_Trocas!$C:$C,"&gt;0")</f>
        <v>1</v>
      </c>
      <c r="AK25" s="141">
        <f>SUMIFS(Resumo_Trocas!$E:$E,Resumo_Trocas!$A:$A,$C25,Resumo_Trocas!$F:$F,AJ$18,Resumo_Trocas!$C:$C,"&gt;0")</f>
        <v>0</v>
      </c>
      <c r="AL25" s="140">
        <f>SUMIFS(Resumo_Trocas!$C:$C,Resumo_Trocas!$A:$A,$C25,Resumo_Trocas!$F:$F,AL$18,Resumo_Trocas!$C:$C,"&gt;0")</f>
        <v>0</v>
      </c>
      <c r="AM25" s="141">
        <f>SUMIFS(Resumo_Trocas!$E:$E,Resumo_Trocas!$A:$A,$C25,Resumo_Trocas!$F:$F,AL$18,Resumo_Trocas!$C:$C,"&gt;0")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SUMIFS(Resumo_Trocas!$E:$E,Resumo_Trocas!$A:$A,$C25,Resumo_Trocas!$F:$F,AN$18,Resumo_Trocas!$C:$C,"&gt;0")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47" t="s">
        <v>357</v>
      </c>
      <c r="D26" s="140">
        <f>SUMIFS(Resumo_Trocas!$C:$C,Resumo_Trocas!$A:$A,$C26,Resumo_Trocas!$F:$F,D$18,Resumo_Trocas!$C:$C,"&gt;0")</f>
        <v>1</v>
      </c>
      <c r="E26" s="141">
        <f>SUMIFS(Resumo_Trocas!$E:$E,Resumo_Trocas!$A:$A,$C26,Resumo_Trocas!$F:$F,D$18,Resumo_Trocas!$C:$C,"&gt;0")</f>
        <v>0</v>
      </c>
      <c r="F26" s="140">
        <f>SUMIFS(Resumo_Trocas!$C:$C,Resumo_Trocas!$A:$A,$C26,Resumo_Trocas!$F:$F,F$18,Resumo_Trocas!$C:$C,"&gt;0")</f>
        <v>0</v>
      </c>
      <c r="G26" s="141">
        <f>SUMIFS(Resumo_Trocas!$E:$E,Resumo_Trocas!$A:$A,$C26,Resumo_Trocas!$F:$F,F$18,Resumo_Trocas!$C:$C,"&gt;0")</f>
        <v>0</v>
      </c>
      <c r="H26" s="140">
        <f>SUMIFS(Resumo_Trocas!$C:$C,Resumo_Trocas!$A:$A,$C26,Resumo_Trocas!$F:$F,H$18,Resumo_Trocas!$C:$C,"&gt;0")</f>
        <v>0</v>
      </c>
      <c r="I26" s="141">
        <f>SUMIFS(Resumo_Trocas!$E:$E,Resumo_Trocas!$A:$A,$C26,Resumo_Trocas!$F:$F,H$18,Resumo_Trocas!$C:$C,"&gt;0")</f>
        <v>0</v>
      </c>
      <c r="J26" s="140">
        <f>SUMIFS(Resumo_Trocas!$C:$C,Resumo_Trocas!$A:$A,$C26,Resumo_Trocas!$F:$F,J$18,Resumo_Trocas!$C:$C,"&gt;0")</f>
        <v>0</v>
      </c>
      <c r="K26" s="141">
        <f>SUMIFS(Resumo_Trocas!$E:$E,Resumo_Trocas!$A:$A,$C26,Resumo_Trocas!$F:$F,J$18,Resumo_Trocas!$C:$C,"&gt;0")</f>
        <v>0</v>
      </c>
      <c r="L26" s="140">
        <f>SUMIFS(Resumo_Trocas!$C:$C,Resumo_Trocas!$A:$A,$C26,Resumo_Trocas!$F:$F,L$18,Resumo_Trocas!$C:$C,"&gt;0")</f>
        <v>0</v>
      </c>
      <c r="M26" s="141">
        <f>SUMIFS(Resumo_Trocas!$E:$E,Resumo_Trocas!$A:$A,$C26,Resumo_Trocas!$F:$F,L$18,Resumo_Trocas!$C:$C,"&gt;0")</f>
        <v>0</v>
      </c>
      <c r="N26" s="140">
        <f>SUMIFS(Resumo_Trocas!$C:$C,Resumo_Trocas!$A:$A,$C26,Resumo_Trocas!$F:$F,N$18,Resumo_Trocas!$C:$C,"&gt;0")</f>
        <v>0</v>
      </c>
      <c r="O26" s="141">
        <f>SUMIFS(Resumo_Trocas!$E:$E,Resumo_Trocas!$A:$A,$C26,Resumo_Trocas!$F:$F,N$18,Resumo_Trocas!$C:$C,"&gt;0")</f>
        <v>0</v>
      </c>
      <c r="P26" s="140">
        <f>SUMIFS(Resumo_Trocas!$C:$C,Resumo_Trocas!$A:$A,$C26,Resumo_Trocas!$F:$F,P$18,Resumo_Trocas!$C:$C,"&gt;0")</f>
        <v>1</v>
      </c>
      <c r="Q26" s="141">
        <f>SUMIFS(Resumo_Trocas!$E:$E,Resumo_Trocas!$A:$A,$C26,Resumo_Trocas!$F:$F,P$18,Resumo_Trocas!$C:$C,"&gt;0")</f>
        <v>1</v>
      </c>
      <c r="R26" s="140">
        <f>SUMIFS(Resumo_Trocas!$C:$C,Resumo_Trocas!$A:$A,$C26,Resumo_Trocas!$F:$F,R$18,Resumo_Trocas!$C:$C,"&gt;0")</f>
        <v>0</v>
      </c>
      <c r="S26" s="141">
        <f>SUMIFS(Resumo_Trocas!$E:$E,Resumo_Trocas!$A:$A,$C26,Resumo_Trocas!$F:$F,R$18,Resumo_Trocas!$C:$C,"&gt;0")</f>
        <v>0</v>
      </c>
      <c r="T26" s="140">
        <f>SUMIFS(Resumo_Trocas!$C:$C,Resumo_Trocas!$A:$A,$C26,Resumo_Trocas!$F:$F,T$18,Resumo_Trocas!$C:$C,"&gt;0")</f>
        <v>0</v>
      </c>
      <c r="U26" s="141">
        <f>SUMIFS(Resumo_Trocas!$E:$E,Resumo_Trocas!$A:$A,$C26,Resumo_Trocas!$F:$F,T$18,Resumo_Trocas!$C:$C,"&gt;0")</f>
        <v>0</v>
      </c>
      <c r="V26" s="140">
        <f>SUMIFS(Resumo_Trocas!$C:$C,Resumo_Trocas!$A:$A,$C26,Resumo_Trocas!$F:$F,V$18,Resumo_Trocas!$C:$C,"&gt;0")</f>
        <v>0</v>
      </c>
      <c r="W26" s="141">
        <f>SUMIFS(Resumo_Trocas!$E:$E,Resumo_Trocas!$A:$A,$C26,Resumo_Trocas!$F:$F,V$18,Resumo_Trocas!$C:$C,"&gt;0")</f>
        <v>0</v>
      </c>
      <c r="X26" s="140">
        <f>SUMIFS(Resumo_Trocas!$C:$C,Resumo_Trocas!$A:$A,$C26,Resumo_Trocas!$F:$F,X$18,Resumo_Trocas!$C:$C,"&gt;0")</f>
        <v>0</v>
      </c>
      <c r="Y26" s="141">
        <f>SUMIFS(Resumo_Trocas!$E:$E,Resumo_Trocas!$A:$A,$C26,Resumo_Trocas!$F:$F,X$18,Resumo_Trocas!$C:$C,"&gt;0")</f>
        <v>0</v>
      </c>
      <c r="Z26" s="140">
        <f>SUMIFS(Resumo_Trocas!$C:$C,Resumo_Trocas!$A:$A,$C26,Resumo_Trocas!$F:$F,Z$18,Resumo_Trocas!$C:$C,"&gt;0")</f>
        <v>0</v>
      </c>
      <c r="AA26" s="141">
        <f>SUMIFS(Resumo_Trocas!$E:$E,Resumo_Trocas!$A:$A,$C26,Resumo_Trocas!$F:$F,Z$18,Resumo_Trocas!$C:$C,"&gt;0")</f>
        <v>0</v>
      </c>
      <c r="AB26" s="140">
        <f>SUMIFS(Resumo_Trocas!$C:$C,Resumo_Trocas!$A:$A,$C26,Resumo_Trocas!$F:$F,AB$18,Resumo_Trocas!$C:$C,"&gt;0")</f>
        <v>0</v>
      </c>
      <c r="AC26" s="141">
        <f>SUMIFS(Resumo_Trocas!$E:$E,Resumo_Trocas!$A:$A,$C26,Resumo_Trocas!$F:$F,AB$18,Resumo_Trocas!$C:$C,"&gt;0")</f>
        <v>0</v>
      </c>
      <c r="AD26" s="140">
        <f>SUMIFS(Resumo_Trocas!$C:$C,Resumo_Trocas!$A:$A,$C26,Resumo_Trocas!$F:$F,AD$18,Resumo_Trocas!$C:$C,"&gt;0")</f>
        <v>0</v>
      </c>
      <c r="AE26" s="141">
        <f>SUMIFS(Resumo_Trocas!$E:$E,Resumo_Trocas!$A:$A,$C26,Resumo_Trocas!$F:$F,AD$18,Resumo_Trocas!$C:$C,"&gt;0")</f>
        <v>0</v>
      </c>
      <c r="AF26" s="140">
        <f>SUMIFS(Resumo_Trocas!$C:$C,Resumo_Trocas!$A:$A,$C26,Resumo_Trocas!$F:$F,AF$18,Resumo_Trocas!$C:$C,"&gt;0")</f>
        <v>0</v>
      </c>
      <c r="AG26" s="141">
        <f>SUMIFS(Resumo_Trocas!$E:$E,Resumo_Trocas!$A:$A,$C26,Resumo_Trocas!$F:$F,AF$18,Resumo_Trocas!$C:$C,"&gt;0")</f>
        <v>0</v>
      </c>
      <c r="AH26" s="140">
        <f>SUMIFS(Resumo_Trocas!$C:$C,Resumo_Trocas!$A:$A,$C26,Resumo_Trocas!$F:$F,AH$18,Resumo_Trocas!$C:$C,"&gt;0")</f>
        <v>0</v>
      </c>
      <c r="AI26" s="141">
        <f>SUMIFS(Resumo_Trocas!$E:$E,Resumo_Trocas!$A:$A,$C26,Resumo_Trocas!$F:$F,AH$18,Resumo_Trocas!$C:$C,"&gt;0")</f>
        <v>0</v>
      </c>
      <c r="AJ26" s="140">
        <f>SUMIFS(Resumo_Trocas!$C:$C,Resumo_Trocas!$A:$A,$C26,Resumo_Trocas!$F:$F,AJ$18,Resumo_Trocas!$C:$C,"&gt;0")</f>
        <v>0</v>
      </c>
      <c r="AK26" s="141">
        <f>SUMIFS(Resumo_Trocas!$E:$E,Resumo_Trocas!$A:$A,$C26,Resumo_Trocas!$F:$F,AJ$18,Resumo_Trocas!$C:$C,"&gt;0")</f>
        <v>0</v>
      </c>
      <c r="AL26" s="140">
        <f>SUMIFS(Resumo_Trocas!$C:$C,Resumo_Trocas!$A:$A,$C26,Resumo_Trocas!$F:$F,AL$18,Resumo_Trocas!$C:$C,"&gt;0")</f>
        <v>0</v>
      </c>
      <c r="AM26" s="141">
        <f>SUMIFS(Resumo_Trocas!$E:$E,Resumo_Trocas!$A:$A,$C26,Resumo_Trocas!$F:$F,AL$18,Resumo_Trocas!$C:$C,"&gt;0")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SUMIFS(Resumo_Trocas!$E:$E,Resumo_Trocas!$A:$A,$C26,Resumo_Trocas!$F:$F,AN$18,Resumo_Trocas!$C:$C,"&gt;0")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47" t="s">
        <v>360</v>
      </c>
      <c r="D27" s="140">
        <f>SUMIFS(Resumo_Trocas!$C:$C,Resumo_Trocas!$A:$A,$C27,Resumo_Trocas!$F:$F,D$18,Resumo_Trocas!$C:$C,"&gt;0")</f>
        <v>0</v>
      </c>
      <c r="E27" s="141">
        <f>SUMIFS(Resumo_Trocas!$E:$E,Resumo_Trocas!$A:$A,$C27,Resumo_Trocas!$F:$F,D$18,Resumo_Trocas!$C:$C,"&gt;0")</f>
        <v>0</v>
      </c>
      <c r="F27" s="140">
        <f>SUMIFS(Resumo_Trocas!$C:$C,Resumo_Trocas!$A:$A,$C27,Resumo_Trocas!$F:$F,F$18,Resumo_Trocas!$C:$C,"&gt;0")</f>
        <v>0</v>
      </c>
      <c r="G27" s="141">
        <f>SUMIFS(Resumo_Trocas!$E:$E,Resumo_Trocas!$A:$A,$C27,Resumo_Trocas!$F:$F,F$18,Resumo_Trocas!$C:$C,"&gt;0")</f>
        <v>0</v>
      </c>
      <c r="H27" s="140">
        <f>SUMIFS(Resumo_Trocas!$C:$C,Resumo_Trocas!$A:$A,$C27,Resumo_Trocas!$F:$F,H$18,Resumo_Trocas!$C:$C,"&gt;0")</f>
        <v>0</v>
      </c>
      <c r="I27" s="141">
        <f>SUMIFS(Resumo_Trocas!$E:$E,Resumo_Trocas!$A:$A,$C27,Resumo_Trocas!$F:$F,H$18,Resumo_Trocas!$C:$C,"&gt;0")</f>
        <v>0</v>
      </c>
      <c r="J27" s="140">
        <f>SUMIFS(Resumo_Trocas!$C:$C,Resumo_Trocas!$A:$A,$C27,Resumo_Trocas!$F:$F,J$18,Resumo_Trocas!$C:$C,"&gt;0")</f>
        <v>0</v>
      </c>
      <c r="K27" s="141">
        <f>SUMIFS(Resumo_Trocas!$E:$E,Resumo_Trocas!$A:$A,$C27,Resumo_Trocas!$F:$F,J$18,Resumo_Trocas!$C:$C,"&gt;0")</f>
        <v>0</v>
      </c>
      <c r="L27" s="140">
        <f>SUMIFS(Resumo_Trocas!$C:$C,Resumo_Trocas!$A:$A,$C27,Resumo_Trocas!$F:$F,L$18,Resumo_Trocas!$C:$C,"&gt;0")</f>
        <v>0</v>
      </c>
      <c r="M27" s="141">
        <f>SUMIFS(Resumo_Trocas!$E:$E,Resumo_Trocas!$A:$A,$C27,Resumo_Trocas!$F:$F,L$18,Resumo_Trocas!$C:$C,"&gt;0")</f>
        <v>0</v>
      </c>
      <c r="N27" s="140">
        <f>SUMIFS(Resumo_Trocas!$C:$C,Resumo_Trocas!$A:$A,$C27,Resumo_Trocas!$F:$F,N$18,Resumo_Trocas!$C:$C,"&gt;0")</f>
        <v>0</v>
      </c>
      <c r="O27" s="141">
        <f>SUMIFS(Resumo_Trocas!$E:$E,Resumo_Trocas!$A:$A,$C27,Resumo_Trocas!$F:$F,N$18,Resumo_Trocas!$C:$C,"&gt;0")</f>
        <v>0</v>
      </c>
      <c r="P27" s="140">
        <f>SUMIFS(Resumo_Trocas!$C:$C,Resumo_Trocas!$A:$A,$C27,Resumo_Trocas!$F:$F,P$18,Resumo_Trocas!$C:$C,"&gt;0")</f>
        <v>0</v>
      </c>
      <c r="Q27" s="141">
        <f>SUMIFS(Resumo_Trocas!$E:$E,Resumo_Trocas!$A:$A,$C27,Resumo_Trocas!$F:$F,P$18,Resumo_Trocas!$C:$C,"&gt;0")</f>
        <v>0</v>
      </c>
      <c r="R27" s="140">
        <f>SUMIFS(Resumo_Trocas!$C:$C,Resumo_Trocas!$A:$A,$C27,Resumo_Trocas!$F:$F,R$18,Resumo_Trocas!$C:$C,"&gt;0")</f>
        <v>0</v>
      </c>
      <c r="S27" s="141">
        <f>SUMIFS(Resumo_Trocas!$E:$E,Resumo_Trocas!$A:$A,$C27,Resumo_Trocas!$F:$F,R$18,Resumo_Trocas!$C:$C,"&gt;0")</f>
        <v>0</v>
      </c>
      <c r="T27" s="140">
        <f>SUMIFS(Resumo_Trocas!$C:$C,Resumo_Trocas!$A:$A,$C27,Resumo_Trocas!$F:$F,T$18,Resumo_Trocas!$C:$C,"&gt;0")</f>
        <v>0</v>
      </c>
      <c r="U27" s="141">
        <f>SUMIFS(Resumo_Trocas!$E:$E,Resumo_Trocas!$A:$A,$C27,Resumo_Trocas!$F:$F,T$18,Resumo_Trocas!$C:$C,"&gt;0")</f>
        <v>0</v>
      </c>
      <c r="V27" s="140">
        <f>SUMIFS(Resumo_Trocas!$C:$C,Resumo_Trocas!$A:$A,$C27,Resumo_Trocas!$F:$F,V$18,Resumo_Trocas!$C:$C,"&gt;0")</f>
        <v>0</v>
      </c>
      <c r="W27" s="141">
        <f>SUMIFS(Resumo_Trocas!$E:$E,Resumo_Trocas!$A:$A,$C27,Resumo_Trocas!$F:$F,V$18,Resumo_Trocas!$C:$C,"&gt;0")</f>
        <v>0</v>
      </c>
      <c r="X27" s="140">
        <f>SUMIFS(Resumo_Trocas!$C:$C,Resumo_Trocas!$A:$A,$C27,Resumo_Trocas!$F:$F,X$18,Resumo_Trocas!$C:$C,"&gt;0")</f>
        <v>0</v>
      </c>
      <c r="Y27" s="141">
        <f>SUMIFS(Resumo_Trocas!$E:$E,Resumo_Trocas!$A:$A,$C27,Resumo_Trocas!$F:$F,X$18,Resumo_Trocas!$C:$C,"&gt;0")</f>
        <v>0</v>
      </c>
      <c r="Z27" s="140">
        <f>SUMIFS(Resumo_Trocas!$C:$C,Resumo_Trocas!$A:$A,$C27,Resumo_Trocas!$F:$F,Z$18,Resumo_Trocas!$C:$C,"&gt;0")</f>
        <v>2</v>
      </c>
      <c r="AA27" s="141">
        <f>SUMIFS(Resumo_Trocas!$E:$E,Resumo_Trocas!$A:$A,$C27,Resumo_Trocas!$F:$F,Z$18,Resumo_Trocas!$C:$C,"&gt;0")</f>
        <v>1</v>
      </c>
      <c r="AB27" s="140">
        <f>SUMIFS(Resumo_Trocas!$C:$C,Resumo_Trocas!$A:$A,$C27,Resumo_Trocas!$F:$F,AB$18,Resumo_Trocas!$C:$C,"&gt;0")</f>
        <v>1</v>
      </c>
      <c r="AC27" s="141">
        <f>SUMIFS(Resumo_Trocas!$E:$E,Resumo_Trocas!$A:$A,$C27,Resumo_Trocas!$F:$F,AB$18,Resumo_Trocas!$C:$C,"&gt;0")</f>
        <v>0</v>
      </c>
      <c r="AD27" s="140">
        <f>SUMIFS(Resumo_Trocas!$C:$C,Resumo_Trocas!$A:$A,$C27,Resumo_Trocas!$F:$F,AD$18,Resumo_Trocas!$C:$C,"&gt;0")</f>
        <v>1</v>
      </c>
      <c r="AE27" s="141">
        <f>SUMIFS(Resumo_Trocas!$E:$E,Resumo_Trocas!$A:$A,$C27,Resumo_Trocas!$F:$F,AD$18,Resumo_Trocas!$C:$C,"&gt;0")</f>
        <v>0</v>
      </c>
      <c r="AF27" s="140">
        <f>SUMIFS(Resumo_Trocas!$C:$C,Resumo_Trocas!$A:$A,$C27,Resumo_Trocas!$F:$F,AF$18,Resumo_Trocas!$C:$C,"&gt;0")</f>
        <v>0</v>
      </c>
      <c r="AG27" s="141">
        <f>SUMIFS(Resumo_Trocas!$E:$E,Resumo_Trocas!$A:$A,$C27,Resumo_Trocas!$F:$F,AF$18,Resumo_Trocas!$C:$C,"&gt;0")</f>
        <v>0</v>
      </c>
      <c r="AH27" s="140">
        <f>SUMIFS(Resumo_Trocas!$C:$C,Resumo_Trocas!$A:$A,$C27,Resumo_Trocas!$F:$F,AH$18,Resumo_Trocas!$C:$C,"&gt;0")</f>
        <v>1</v>
      </c>
      <c r="AI27" s="141">
        <f>SUMIFS(Resumo_Trocas!$E:$E,Resumo_Trocas!$A:$A,$C27,Resumo_Trocas!$F:$F,AH$18,Resumo_Trocas!$C:$C,"&gt;0")</f>
        <v>0</v>
      </c>
      <c r="AJ27" s="140">
        <f>SUMIFS(Resumo_Trocas!$C:$C,Resumo_Trocas!$A:$A,$C27,Resumo_Trocas!$F:$F,AJ$18,Resumo_Trocas!$C:$C,"&gt;0")</f>
        <v>2</v>
      </c>
      <c r="AK27" s="141">
        <f>SUMIFS(Resumo_Trocas!$E:$E,Resumo_Trocas!$A:$A,$C27,Resumo_Trocas!$F:$F,AJ$18,Resumo_Trocas!$C:$C,"&gt;0")</f>
        <v>0</v>
      </c>
      <c r="AL27" s="140">
        <f>SUMIFS(Resumo_Trocas!$C:$C,Resumo_Trocas!$A:$A,$C27,Resumo_Trocas!$F:$F,AL$18,Resumo_Trocas!$C:$C,"&gt;0")</f>
        <v>2</v>
      </c>
      <c r="AM27" s="141">
        <f>SUMIFS(Resumo_Trocas!$E:$E,Resumo_Trocas!$A:$A,$C27,Resumo_Trocas!$F:$F,AL$18,Resumo_Trocas!$C:$C,"&gt;0")</f>
        <v>0</v>
      </c>
      <c r="AN27" s="140">
        <f>SUMIFS(Resumo_Trocas!$C:$C,Resumo_Trocas!$A:$A,$C27,Resumo_Trocas!$F:$F,AN$18,Resumo_Trocas!$C:$C,"&gt;0")</f>
        <v>0</v>
      </c>
      <c r="AO27" s="141">
        <f>SUMIFS(Resumo_Trocas!$E:$E,Resumo_Trocas!$A:$A,$C27,Resumo_Trocas!$F:$F,AN$18,Resumo_Trocas!$C:$C,"&gt;0")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47" t="s">
        <v>365</v>
      </c>
      <c r="D28" s="140">
        <f>SUMIFS(Resumo_Trocas!$C:$C,Resumo_Trocas!$A:$A,$C28,Resumo_Trocas!$F:$F,D$18,Resumo_Trocas!$C:$C,"&gt;0")</f>
        <v>0</v>
      </c>
      <c r="E28" s="141">
        <f>SUMIFS(Resumo_Trocas!$E:$E,Resumo_Trocas!$A:$A,$C28,Resumo_Trocas!$F:$F,D$18,Resumo_Trocas!$C:$C,"&gt;0")</f>
        <v>0</v>
      </c>
      <c r="F28" s="140">
        <f>SUMIFS(Resumo_Trocas!$C:$C,Resumo_Trocas!$A:$A,$C28,Resumo_Trocas!$F:$F,F$18,Resumo_Trocas!$C:$C,"&gt;0")</f>
        <v>0</v>
      </c>
      <c r="G28" s="141">
        <f>SUMIFS(Resumo_Trocas!$E:$E,Resumo_Trocas!$A:$A,$C28,Resumo_Trocas!$F:$F,F$18,Resumo_Trocas!$C:$C,"&gt;0")</f>
        <v>0</v>
      </c>
      <c r="H28" s="140">
        <f>SUMIFS(Resumo_Trocas!$C:$C,Resumo_Trocas!$A:$A,$C28,Resumo_Trocas!$F:$F,H$18,Resumo_Trocas!$C:$C,"&gt;0")</f>
        <v>1</v>
      </c>
      <c r="I28" s="141">
        <f>SUMIFS(Resumo_Trocas!$E:$E,Resumo_Trocas!$A:$A,$C28,Resumo_Trocas!$F:$F,H$18,Resumo_Trocas!$C:$C,"&gt;0")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SUMIFS(Resumo_Trocas!$E:$E,Resumo_Trocas!$A:$A,$C28,Resumo_Trocas!$F:$F,J$18,Resumo_Trocas!$C:$C,"&gt;0")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SUMIFS(Resumo_Trocas!$E:$E,Resumo_Trocas!$A:$A,$C28,Resumo_Trocas!$F:$F,L$18,Resumo_Trocas!$C:$C,"&gt;0")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SUMIFS(Resumo_Trocas!$E:$E,Resumo_Trocas!$A:$A,$C28,Resumo_Trocas!$F:$F,N$18,Resumo_Trocas!$C:$C,"&gt;0")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SUMIFS(Resumo_Trocas!$E:$E,Resumo_Trocas!$A:$A,$C28,Resumo_Trocas!$F:$F,P$18,Resumo_Trocas!$C:$C,"&gt;0")</f>
        <v>0</v>
      </c>
      <c r="R28" s="140">
        <f>SUMIFS(Resumo_Trocas!$C:$C,Resumo_Trocas!$A:$A,$C28,Resumo_Trocas!$F:$F,R$18,Resumo_Trocas!$C:$C,"&gt;0")</f>
        <v>0</v>
      </c>
      <c r="S28" s="141">
        <f>SUMIFS(Resumo_Trocas!$E:$E,Resumo_Trocas!$A:$A,$C28,Resumo_Trocas!$F:$F,R$18,Resumo_Trocas!$C:$C,"&gt;0")</f>
        <v>0</v>
      </c>
      <c r="T28" s="140">
        <f>SUMIFS(Resumo_Trocas!$C:$C,Resumo_Trocas!$A:$A,$C28,Resumo_Trocas!$F:$F,T$18,Resumo_Trocas!$C:$C,"&gt;0")</f>
        <v>0</v>
      </c>
      <c r="U28" s="141">
        <f>SUMIFS(Resumo_Trocas!$E:$E,Resumo_Trocas!$A:$A,$C28,Resumo_Trocas!$F:$F,T$18,Resumo_Trocas!$C:$C,"&gt;0")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SUMIFS(Resumo_Trocas!$E:$E,Resumo_Trocas!$A:$A,$C28,Resumo_Trocas!$F:$F,V$18,Resumo_Trocas!$C:$C,"&gt;0")</f>
        <v>0</v>
      </c>
      <c r="X28" s="140">
        <f>SUMIFS(Resumo_Trocas!$C:$C,Resumo_Trocas!$A:$A,$C28,Resumo_Trocas!$F:$F,X$18,Resumo_Trocas!$C:$C,"&gt;0")</f>
        <v>0</v>
      </c>
      <c r="Y28" s="141">
        <f>SUMIFS(Resumo_Trocas!$E:$E,Resumo_Trocas!$A:$A,$C28,Resumo_Trocas!$F:$F,X$18,Resumo_Trocas!$C:$C,"&gt;0")</f>
        <v>0</v>
      </c>
      <c r="Z28" s="140">
        <f>SUMIFS(Resumo_Trocas!$C:$C,Resumo_Trocas!$A:$A,$C28,Resumo_Trocas!$F:$F,Z$18,Resumo_Trocas!$C:$C,"&gt;0")</f>
        <v>0</v>
      </c>
      <c r="AA28" s="141">
        <f>SUMIFS(Resumo_Trocas!$E:$E,Resumo_Trocas!$A:$A,$C28,Resumo_Trocas!$F:$F,Z$18,Resumo_Trocas!$C:$C,"&gt;0")</f>
        <v>0</v>
      </c>
      <c r="AB28" s="140">
        <f>SUMIFS(Resumo_Trocas!$C:$C,Resumo_Trocas!$A:$A,$C28,Resumo_Trocas!$F:$F,AB$18,Resumo_Trocas!$C:$C,"&gt;0")</f>
        <v>0</v>
      </c>
      <c r="AC28" s="141">
        <f>SUMIFS(Resumo_Trocas!$E:$E,Resumo_Trocas!$A:$A,$C28,Resumo_Trocas!$F:$F,AB$18,Resumo_Trocas!$C:$C,"&gt;0")</f>
        <v>0</v>
      </c>
      <c r="AD28" s="140">
        <f>SUMIFS(Resumo_Trocas!$C:$C,Resumo_Trocas!$A:$A,$C28,Resumo_Trocas!$F:$F,AD$18,Resumo_Trocas!$C:$C,"&gt;0")</f>
        <v>0</v>
      </c>
      <c r="AE28" s="141">
        <f>SUMIFS(Resumo_Trocas!$E:$E,Resumo_Trocas!$A:$A,$C28,Resumo_Trocas!$F:$F,AD$18,Resumo_Trocas!$C:$C,"&gt;0")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SUMIFS(Resumo_Trocas!$E:$E,Resumo_Trocas!$A:$A,$C28,Resumo_Trocas!$F:$F,AF$18,Resumo_Trocas!$C:$C,"&gt;0")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SUMIFS(Resumo_Trocas!$E:$E,Resumo_Trocas!$A:$A,$C28,Resumo_Trocas!$F:$F,AH$18,Resumo_Trocas!$C:$C,"&gt;0")</f>
        <v>0</v>
      </c>
      <c r="AJ28" s="140">
        <f>SUMIFS(Resumo_Trocas!$C:$C,Resumo_Trocas!$A:$A,$C28,Resumo_Trocas!$F:$F,AJ$18,Resumo_Trocas!$C:$C,"&gt;0")</f>
        <v>2</v>
      </c>
      <c r="AK28" s="141">
        <f>SUMIFS(Resumo_Trocas!$E:$E,Resumo_Trocas!$A:$A,$C28,Resumo_Trocas!$F:$F,AJ$18,Resumo_Trocas!$C:$C,"&gt;0")</f>
        <v>2</v>
      </c>
      <c r="AL28" s="140">
        <f>SUMIFS(Resumo_Trocas!$C:$C,Resumo_Trocas!$A:$A,$C28,Resumo_Trocas!$F:$F,AL$18,Resumo_Trocas!$C:$C,"&gt;0")</f>
        <v>0</v>
      </c>
      <c r="AM28" s="141">
        <f>SUMIFS(Resumo_Trocas!$E:$E,Resumo_Trocas!$A:$A,$C28,Resumo_Trocas!$F:$F,AL$18,Resumo_Trocas!$C:$C,"&gt;0")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SUMIFS(Resumo_Trocas!$E:$E,Resumo_Trocas!$A:$A,$C28,Resumo_Trocas!$F:$F,AN$18,Resumo_Trocas!$C:$C,"&gt;0")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47" t="s">
        <v>366</v>
      </c>
      <c r="D29" s="140">
        <f>SUMIFS(Resumo_Trocas!$C:$C,Resumo_Trocas!$A:$A,$C29,Resumo_Trocas!$F:$F,D$18,Resumo_Trocas!$C:$C,"&gt;0")</f>
        <v>0</v>
      </c>
      <c r="E29" s="141">
        <f>SUMIFS(Resumo_Trocas!$E:$E,Resumo_Trocas!$A:$A,$C29,Resumo_Trocas!$F:$F,D$18,Resumo_Trocas!$C:$C,"&gt;0")</f>
        <v>0</v>
      </c>
      <c r="F29" s="140">
        <f>SUMIFS(Resumo_Trocas!$C:$C,Resumo_Trocas!$A:$A,$C29,Resumo_Trocas!$F:$F,F$18,Resumo_Trocas!$C:$C,"&gt;0")</f>
        <v>0</v>
      </c>
      <c r="G29" s="141">
        <f>SUMIFS(Resumo_Trocas!$E:$E,Resumo_Trocas!$A:$A,$C29,Resumo_Trocas!$F:$F,F$18,Resumo_Trocas!$C:$C,"&gt;0")</f>
        <v>0</v>
      </c>
      <c r="H29" s="140">
        <f>SUMIFS(Resumo_Trocas!$C:$C,Resumo_Trocas!$A:$A,$C29,Resumo_Trocas!$F:$F,H$18,Resumo_Trocas!$C:$C,"&gt;0")</f>
        <v>0</v>
      </c>
      <c r="I29" s="141">
        <f>SUMIFS(Resumo_Trocas!$E:$E,Resumo_Trocas!$A:$A,$C29,Resumo_Trocas!$F:$F,H$18,Resumo_Trocas!$C:$C,"&gt;0")</f>
        <v>0</v>
      </c>
      <c r="J29" s="140">
        <f>SUMIFS(Resumo_Trocas!$C:$C,Resumo_Trocas!$A:$A,$C29,Resumo_Trocas!$F:$F,J$18,Resumo_Trocas!$C:$C,"&gt;0")</f>
        <v>0</v>
      </c>
      <c r="K29" s="141">
        <f>SUMIFS(Resumo_Trocas!$E:$E,Resumo_Trocas!$A:$A,$C29,Resumo_Trocas!$F:$F,J$18,Resumo_Trocas!$C:$C,"&gt;0")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SUMIFS(Resumo_Trocas!$E:$E,Resumo_Trocas!$A:$A,$C29,Resumo_Trocas!$F:$F,L$18,Resumo_Trocas!$C:$C,"&gt;0")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SUMIFS(Resumo_Trocas!$E:$E,Resumo_Trocas!$A:$A,$C29,Resumo_Trocas!$F:$F,N$18,Resumo_Trocas!$C:$C,"&gt;0")</f>
        <v>0</v>
      </c>
      <c r="P29" s="140">
        <f>SUMIFS(Resumo_Trocas!$C:$C,Resumo_Trocas!$A:$A,$C29,Resumo_Trocas!$F:$F,P$18,Resumo_Trocas!$C:$C,"&gt;0")</f>
        <v>0</v>
      </c>
      <c r="Q29" s="141">
        <f>SUMIFS(Resumo_Trocas!$E:$E,Resumo_Trocas!$A:$A,$C29,Resumo_Trocas!$F:$F,P$18,Resumo_Trocas!$C:$C,"&gt;0")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SUMIFS(Resumo_Trocas!$E:$E,Resumo_Trocas!$A:$A,$C29,Resumo_Trocas!$F:$F,R$18,Resumo_Trocas!$C:$C,"&gt;0")</f>
        <v>0</v>
      </c>
      <c r="T29" s="140">
        <f>SUMIFS(Resumo_Trocas!$C:$C,Resumo_Trocas!$A:$A,$C29,Resumo_Trocas!$F:$F,T$18,Resumo_Trocas!$C:$C,"&gt;0")</f>
        <v>0</v>
      </c>
      <c r="U29" s="141">
        <f>SUMIFS(Resumo_Trocas!$E:$E,Resumo_Trocas!$A:$A,$C29,Resumo_Trocas!$F:$F,T$18,Resumo_Trocas!$C:$C,"&gt;0")</f>
        <v>0</v>
      </c>
      <c r="V29" s="140">
        <f>SUMIFS(Resumo_Trocas!$C:$C,Resumo_Trocas!$A:$A,$C29,Resumo_Trocas!$F:$F,V$18,Resumo_Trocas!$C:$C,"&gt;0")</f>
        <v>0</v>
      </c>
      <c r="W29" s="141">
        <f>SUMIFS(Resumo_Trocas!$E:$E,Resumo_Trocas!$A:$A,$C29,Resumo_Trocas!$F:$F,V$18,Resumo_Trocas!$C:$C,"&gt;0")</f>
        <v>0</v>
      </c>
      <c r="X29" s="140">
        <f>SUMIFS(Resumo_Trocas!$C:$C,Resumo_Trocas!$A:$A,$C29,Resumo_Trocas!$F:$F,X$18,Resumo_Trocas!$C:$C,"&gt;0")</f>
        <v>0</v>
      </c>
      <c r="Y29" s="141">
        <f>SUMIFS(Resumo_Trocas!$E:$E,Resumo_Trocas!$A:$A,$C29,Resumo_Trocas!$F:$F,X$18,Resumo_Trocas!$C:$C,"&gt;0")</f>
        <v>0</v>
      </c>
      <c r="Z29" s="140">
        <f>SUMIFS(Resumo_Trocas!$C:$C,Resumo_Trocas!$A:$A,$C29,Resumo_Trocas!$F:$F,Z$18,Resumo_Trocas!$C:$C,"&gt;0")</f>
        <v>1</v>
      </c>
      <c r="AA29" s="141">
        <f>SUMIFS(Resumo_Trocas!$E:$E,Resumo_Trocas!$A:$A,$C29,Resumo_Trocas!$F:$F,Z$18,Resumo_Trocas!$C:$C,"&gt;0")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SUMIFS(Resumo_Trocas!$E:$E,Resumo_Trocas!$A:$A,$C29,Resumo_Trocas!$F:$F,AB$18,Resumo_Trocas!$C:$C,"&gt;0")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SUMIFS(Resumo_Trocas!$E:$E,Resumo_Trocas!$A:$A,$C29,Resumo_Trocas!$F:$F,AD$18,Resumo_Trocas!$C:$C,"&gt;0")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SUMIFS(Resumo_Trocas!$E:$E,Resumo_Trocas!$A:$A,$C29,Resumo_Trocas!$F:$F,AF$18,Resumo_Trocas!$C:$C,"&gt;0")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SUMIFS(Resumo_Trocas!$E:$E,Resumo_Trocas!$A:$A,$C29,Resumo_Trocas!$F:$F,AH$18,Resumo_Trocas!$C:$C,"&gt;0")</f>
        <v>0</v>
      </c>
      <c r="AJ29" s="140">
        <f>SUMIFS(Resumo_Trocas!$C:$C,Resumo_Trocas!$A:$A,$C29,Resumo_Trocas!$F:$F,AJ$18,Resumo_Trocas!$C:$C,"&gt;0")</f>
        <v>0</v>
      </c>
      <c r="AK29" s="141">
        <f>SUMIFS(Resumo_Trocas!$E:$E,Resumo_Trocas!$A:$A,$C29,Resumo_Trocas!$F:$F,AJ$18,Resumo_Trocas!$C:$C,"&gt;0")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SUMIFS(Resumo_Trocas!$E:$E,Resumo_Trocas!$A:$A,$C29,Resumo_Trocas!$F:$F,AL$18,Resumo_Trocas!$C:$C,"&gt;0")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SUMIFS(Resumo_Trocas!$E:$E,Resumo_Trocas!$A:$A,$C29,Resumo_Trocas!$F:$F,AN$18,Resumo_Trocas!$C:$C,"&gt;0")</f>
        <v>0</v>
      </c>
      <c r="AP29" s="75"/>
      <c r="AQ29" s="75"/>
    </row>
    <row r="30" spans="2:43" ht="15" customHeight="1" outlineLevel="1" thickBot="1" x14ac:dyDescent="0.4">
      <c r="B30" s="76"/>
      <c r="C30" s="147" t="s">
        <v>368</v>
      </c>
      <c r="D30" s="140">
        <f>SUMIFS(Resumo_Trocas!$C:$C,Resumo_Trocas!$A:$A,$C30,Resumo_Trocas!$F:$F,D$18,Resumo_Trocas!$C:$C,"&gt;0")</f>
        <v>0</v>
      </c>
      <c r="E30" s="141">
        <f>SUMIFS(Resumo_Trocas!$E:$E,Resumo_Trocas!$A:$A,$C30,Resumo_Trocas!$F:$F,D$18,Resumo_Trocas!$C:$C,"&gt;0")</f>
        <v>0</v>
      </c>
      <c r="F30" s="140">
        <f>SUMIFS(Resumo_Trocas!$C:$C,Resumo_Trocas!$A:$A,$C30,Resumo_Trocas!$F:$F,F$18,Resumo_Trocas!$C:$C,"&gt;0")</f>
        <v>0</v>
      </c>
      <c r="G30" s="141">
        <f>SUMIFS(Resumo_Trocas!$E:$E,Resumo_Trocas!$A:$A,$C30,Resumo_Trocas!$F:$F,F$18,Resumo_Trocas!$C:$C,"&gt;0")</f>
        <v>0</v>
      </c>
      <c r="H30" s="140">
        <f>SUMIFS(Resumo_Trocas!$C:$C,Resumo_Trocas!$A:$A,$C30,Resumo_Trocas!$F:$F,H$18,Resumo_Trocas!$C:$C,"&gt;0")</f>
        <v>0</v>
      </c>
      <c r="I30" s="141">
        <f>SUMIFS(Resumo_Trocas!$E:$E,Resumo_Trocas!$A:$A,$C30,Resumo_Trocas!$F:$F,H$18,Resumo_Trocas!$C:$C,"&gt;0")</f>
        <v>0</v>
      </c>
      <c r="J30" s="140">
        <f>SUMIFS(Resumo_Trocas!$C:$C,Resumo_Trocas!$A:$A,$C30,Resumo_Trocas!$F:$F,J$18,Resumo_Trocas!$C:$C,"&gt;0")</f>
        <v>0</v>
      </c>
      <c r="K30" s="141">
        <f>SUMIFS(Resumo_Trocas!$E:$E,Resumo_Trocas!$A:$A,$C30,Resumo_Trocas!$F:$F,J$18,Resumo_Trocas!$C:$C,"&gt;0")</f>
        <v>0</v>
      </c>
      <c r="L30" s="140">
        <f>SUMIFS(Resumo_Trocas!$C:$C,Resumo_Trocas!$A:$A,$C30,Resumo_Trocas!$F:$F,L$18,Resumo_Trocas!$C:$C,"&gt;0")</f>
        <v>0</v>
      </c>
      <c r="M30" s="141">
        <f>SUMIFS(Resumo_Trocas!$E:$E,Resumo_Trocas!$A:$A,$C30,Resumo_Trocas!$F:$F,L$18,Resumo_Trocas!$C:$C,"&gt;0")</f>
        <v>0</v>
      </c>
      <c r="N30" s="140">
        <f>SUMIFS(Resumo_Trocas!$C:$C,Resumo_Trocas!$A:$A,$C30,Resumo_Trocas!$F:$F,N$18,Resumo_Trocas!$C:$C,"&gt;0")</f>
        <v>0</v>
      </c>
      <c r="O30" s="141">
        <f>SUMIFS(Resumo_Trocas!$E:$E,Resumo_Trocas!$A:$A,$C30,Resumo_Trocas!$F:$F,N$18,Resumo_Trocas!$C:$C,"&gt;0")</f>
        <v>0</v>
      </c>
      <c r="P30" s="140">
        <f>SUMIFS(Resumo_Trocas!$C:$C,Resumo_Trocas!$A:$A,$C30,Resumo_Trocas!$F:$F,P$18,Resumo_Trocas!$C:$C,"&gt;0")</f>
        <v>0</v>
      </c>
      <c r="Q30" s="141">
        <f>SUMIFS(Resumo_Trocas!$E:$E,Resumo_Trocas!$A:$A,$C30,Resumo_Trocas!$F:$F,P$18,Resumo_Trocas!$C:$C,"&gt;0")</f>
        <v>0</v>
      </c>
      <c r="R30" s="140">
        <f>SUMIFS(Resumo_Trocas!$C:$C,Resumo_Trocas!$A:$A,$C30,Resumo_Trocas!$F:$F,R$18,Resumo_Trocas!$C:$C,"&gt;0")</f>
        <v>0</v>
      </c>
      <c r="S30" s="141">
        <f>SUMIFS(Resumo_Trocas!$E:$E,Resumo_Trocas!$A:$A,$C30,Resumo_Trocas!$F:$F,R$18,Resumo_Trocas!$C:$C,"&gt;0")</f>
        <v>0</v>
      </c>
      <c r="T30" s="140">
        <f>SUMIFS(Resumo_Trocas!$C:$C,Resumo_Trocas!$A:$A,$C30,Resumo_Trocas!$F:$F,T$18,Resumo_Trocas!$C:$C,"&gt;0")</f>
        <v>0</v>
      </c>
      <c r="U30" s="141">
        <f>SUMIFS(Resumo_Trocas!$E:$E,Resumo_Trocas!$A:$A,$C30,Resumo_Trocas!$F:$F,T$18,Resumo_Trocas!$C:$C,"&gt;0")</f>
        <v>0</v>
      </c>
      <c r="V30" s="140">
        <f>SUMIFS(Resumo_Trocas!$C:$C,Resumo_Trocas!$A:$A,$C30,Resumo_Trocas!$F:$F,V$18,Resumo_Trocas!$C:$C,"&gt;0")</f>
        <v>0</v>
      </c>
      <c r="W30" s="141">
        <f>SUMIFS(Resumo_Trocas!$E:$E,Resumo_Trocas!$A:$A,$C30,Resumo_Trocas!$F:$F,V$18,Resumo_Trocas!$C:$C,"&gt;0")</f>
        <v>0</v>
      </c>
      <c r="X30" s="140">
        <f>SUMIFS(Resumo_Trocas!$C:$C,Resumo_Trocas!$A:$A,$C30,Resumo_Trocas!$F:$F,X$18,Resumo_Trocas!$C:$C,"&gt;0")</f>
        <v>0</v>
      </c>
      <c r="Y30" s="141">
        <f>SUMIFS(Resumo_Trocas!$E:$E,Resumo_Trocas!$A:$A,$C30,Resumo_Trocas!$F:$F,X$18,Resumo_Trocas!$C:$C,"&gt;0")</f>
        <v>0</v>
      </c>
      <c r="Z30" s="140">
        <f>SUMIFS(Resumo_Trocas!$C:$C,Resumo_Trocas!$A:$A,$C30,Resumo_Trocas!$F:$F,Z$18,Resumo_Trocas!$C:$C,"&gt;0")</f>
        <v>0</v>
      </c>
      <c r="AA30" s="141">
        <f>SUMIFS(Resumo_Trocas!$E:$E,Resumo_Trocas!$A:$A,$C30,Resumo_Trocas!$F:$F,Z$18,Resumo_Trocas!$C:$C,"&gt;0")</f>
        <v>0</v>
      </c>
      <c r="AB30" s="140">
        <f>SUMIFS(Resumo_Trocas!$C:$C,Resumo_Trocas!$A:$A,$C30,Resumo_Trocas!$F:$F,AB$18,Resumo_Trocas!$C:$C,"&gt;0")</f>
        <v>1</v>
      </c>
      <c r="AC30" s="141">
        <f>SUMIFS(Resumo_Trocas!$E:$E,Resumo_Trocas!$A:$A,$C30,Resumo_Trocas!$F:$F,AB$18,Resumo_Trocas!$C:$C,"&gt;0")</f>
        <v>1</v>
      </c>
      <c r="AD30" s="140">
        <f>SUMIFS(Resumo_Trocas!$C:$C,Resumo_Trocas!$A:$A,$C30,Resumo_Trocas!$F:$F,AD$18,Resumo_Trocas!$C:$C,"&gt;0")</f>
        <v>0</v>
      </c>
      <c r="AE30" s="141">
        <f>SUMIFS(Resumo_Trocas!$E:$E,Resumo_Trocas!$A:$A,$C30,Resumo_Trocas!$F:$F,AD$18,Resumo_Trocas!$C:$C,"&gt;0")</f>
        <v>0</v>
      </c>
      <c r="AF30" s="140">
        <f>SUMIFS(Resumo_Trocas!$C:$C,Resumo_Trocas!$A:$A,$C30,Resumo_Trocas!$F:$F,AF$18,Resumo_Trocas!$C:$C,"&gt;0")</f>
        <v>2</v>
      </c>
      <c r="AG30" s="141">
        <f>SUMIFS(Resumo_Trocas!$E:$E,Resumo_Trocas!$A:$A,$C30,Resumo_Trocas!$F:$F,AF$18,Resumo_Trocas!$C:$C,"&gt;0")</f>
        <v>1</v>
      </c>
      <c r="AH30" s="140">
        <f>SUMIFS(Resumo_Trocas!$C:$C,Resumo_Trocas!$A:$A,$C30,Resumo_Trocas!$F:$F,AH$18,Resumo_Trocas!$C:$C,"&gt;0")</f>
        <v>1</v>
      </c>
      <c r="AI30" s="141">
        <f>SUMIFS(Resumo_Trocas!$E:$E,Resumo_Trocas!$A:$A,$C30,Resumo_Trocas!$F:$F,AH$18,Resumo_Trocas!$C:$C,"&gt;0")</f>
        <v>0</v>
      </c>
      <c r="AJ30" s="140">
        <f>SUMIFS(Resumo_Trocas!$C:$C,Resumo_Trocas!$A:$A,$C30,Resumo_Trocas!$F:$F,AJ$18,Resumo_Trocas!$C:$C,"&gt;0")</f>
        <v>3</v>
      </c>
      <c r="AK30" s="141">
        <f>SUMIFS(Resumo_Trocas!$E:$E,Resumo_Trocas!$A:$A,$C30,Resumo_Trocas!$F:$F,AJ$18,Resumo_Trocas!$C:$C,"&gt;0")</f>
        <v>1</v>
      </c>
      <c r="AL30" s="140">
        <f>SUMIFS(Resumo_Trocas!$C:$C,Resumo_Trocas!$A:$A,$C30,Resumo_Trocas!$F:$F,AL$18,Resumo_Trocas!$C:$C,"&gt;0")</f>
        <v>0</v>
      </c>
      <c r="AM30" s="141">
        <f>SUMIFS(Resumo_Trocas!$E:$E,Resumo_Trocas!$A:$A,$C30,Resumo_Trocas!$F:$F,AL$18,Resumo_Trocas!$C:$C,"&gt;0")</f>
        <v>0</v>
      </c>
      <c r="AN30" s="140">
        <f>SUMIFS(Resumo_Trocas!$C:$C,Resumo_Trocas!$A:$A,$C30,Resumo_Trocas!$F:$F,AN$18,Resumo_Trocas!$C:$C,"&gt;0")</f>
        <v>0</v>
      </c>
      <c r="AO30" s="141">
        <f>SUMIFS(Resumo_Trocas!$E:$E,Resumo_Trocas!$A:$A,$C30,Resumo_Trocas!$F:$F,AN$18,Resumo_Trocas!$C:$C,"&gt;0")</f>
        <v>0</v>
      </c>
      <c r="AP30" s="75"/>
      <c r="AQ30" s="75"/>
    </row>
    <row r="31" spans="2:43" ht="15" customHeight="1" outlineLevel="1" thickBot="1" x14ac:dyDescent="0.4">
      <c r="B31" s="76"/>
      <c r="C31" s="147" t="s">
        <v>369</v>
      </c>
      <c r="D31" s="140">
        <f>SUMIFS(Resumo_Trocas!$C:$C,Resumo_Trocas!$A:$A,$C31,Resumo_Trocas!$F:$F,D$18,Resumo_Trocas!$C:$C,"&gt;0")</f>
        <v>4</v>
      </c>
      <c r="E31" s="141">
        <f>SUMIFS(Resumo_Trocas!$E:$E,Resumo_Trocas!$A:$A,$C31,Resumo_Trocas!$F:$F,D$18,Resumo_Trocas!$C:$C,"&gt;0")</f>
        <v>2</v>
      </c>
      <c r="F31" s="140">
        <f>SUMIFS(Resumo_Trocas!$C:$C,Resumo_Trocas!$A:$A,$C31,Resumo_Trocas!$F:$F,F$18,Resumo_Trocas!$C:$C,"&gt;0")</f>
        <v>5</v>
      </c>
      <c r="G31" s="141">
        <f>SUMIFS(Resumo_Trocas!$E:$E,Resumo_Trocas!$A:$A,$C31,Resumo_Trocas!$F:$F,F$18,Resumo_Trocas!$C:$C,"&gt;0")</f>
        <v>1</v>
      </c>
      <c r="H31" s="140">
        <f>SUMIFS(Resumo_Trocas!$C:$C,Resumo_Trocas!$A:$A,$C31,Resumo_Trocas!$F:$F,H$18,Resumo_Trocas!$C:$C,"&gt;0")</f>
        <v>2</v>
      </c>
      <c r="I31" s="141">
        <f>SUMIFS(Resumo_Trocas!$E:$E,Resumo_Trocas!$A:$A,$C31,Resumo_Trocas!$F:$F,H$18,Resumo_Trocas!$C:$C,"&gt;0")</f>
        <v>0</v>
      </c>
      <c r="J31" s="140">
        <f>SUMIFS(Resumo_Trocas!$C:$C,Resumo_Trocas!$A:$A,$C31,Resumo_Trocas!$F:$F,J$18,Resumo_Trocas!$C:$C,"&gt;0")</f>
        <v>2</v>
      </c>
      <c r="K31" s="141">
        <f>SUMIFS(Resumo_Trocas!$E:$E,Resumo_Trocas!$A:$A,$C31,Resumo_Trocas!$F:$F,J$18,Resumo_Trocas!$C:$C,"&gt;0")</f>
        <v>0</v>
      </c>
      <c r="L31" s="140">
        <f>SUMIFS(Resumo_Trocas!$C:$C,Resumo_Trocas!$A:$A,$C31,Resumo_Trocas!$F:$F,L$18,Resumo_Trocas!$C:$C,"&gt;0")</f>
        <v>1</v>
      </c>
      <c r="M31" s="141">
        <f>SUMIFS(Resumo_Trocas!$E:$E,Resumo_Trocas!$A:$A,$C31,Resumo_Trocas!$F:$F,L$18,Resumo_Trocas!$C:$C,"&gt;0")</f>
        <v>1</v>
      </c>
      <c r="N31" s="140">
        <f>SUMIFS(Resumo_Trocas!$C:$C,Resumo_Trocas!$A:$A,$C31,Resumo_Trocas!$F:$F,N$18,Resumo_Trocas!$C:$C,"&gt;0")</f>
        <v>0</v>
      </c>
      <c r="O31" s="141">
        <f>SUMIFS(Resumo_Trocas!$E:$E,Resumo_Trocas!$A:$A,$C31,Resumo_Trocas!$F:$F,N$18,Resumo_Trocas!$C:$C,"&gt;0")</f>
        <v>0</v>
      </c>
      <c r="P31" s="140">
        <f>SUMIFS(Resumo_Trocas!$C:$C,Resumo_Trocas!$A:$A,$C31,Resumo_Trocas!$F:$F,P$18,Resumo_Trocas!$C:$C,"&gt;0")</f>
        <v>1</v>
      </c>
      <c r="Q31" s="141">
        <f>SUMIFS(Resumo_Trocas!$E:$E,Resumo_Trocas!$A:$A,$C31,Resumo_Trocas!$F:$F,P$18,Resumo_Trocas!$C:$C,"&gt;0")</f>
        <v>0</v>
      </c>
      <c r="R31" s="140">
        <f>SUMIFS(Resumo_Trocas!$C:$C,Resumo_Trocas!$A:$A,$C31,Resumo_Trocas!$F:$F,R$18,Resumo_Trocas!$C:$C,"&gt;0")</f>
        <v>1</v>
      </c>
      <c r="S31" s="141">
        <f>SUMIFS(Resumo_Trocas!$E:$E,Resumo_Trocas!$A:$A,$C31,Resumo_Trocas!$F:$F,R$18,Resumo_Trocas!$C:$C,"&gt;0")</f>
        <v>0</v>
      </c>
      <c r="T31" s="140">
        <f>SUMIFS(Resumo_Trocas!$C:$C,Resumo_Trocas!$A:$A,$C31,Resumo_Trocas!$F:$F,T$18,Resumo_Trocas!$C:$C,"&gt;0")</f>
        <v>1</v>
      </c>
      <c r="U31" s="141">
        <f>SUMIFS(Resumo_Trocas!$E:$E,Resumo_Trocas!$A:$A,$C31,Resumo_Trocas!$F:$F,T$18,Resumo_Trocas!$C:$C,"&gt;0")</f>
        <v>0</v>
      </c>
      <c r="V31" s="140">
        <f>SUMIFS(Resumo_Trocas!$C:$C,Resumo_Trocas!$A:$A,$C31,Resumo_Trocas!$F:$F,V$18,Resumo_Trocas!$C:$C,"&gt;0")</f>
        <v>2</v>
      </c>
      <c r="W31" s="141">
        <f>SUMIFS(Resumo_Trocas!$E:$E,Resumo_Trocas!$A:$A,$C31,Resumo_Trocas!$F:$F,V$18,Resumo_Trocas!$C:$C,"&gt;0")</f>
        <v>1</v>
      </c>
      <c r="X31" s="140">
        <f>SUMIFS(Resumo_Trocas!$C:$C,Resumo_Trocas!$A:$A,$C31,Resumo_Trocas!$F:$F,X$18,Resumo_Trocas!$C:$C,"&gt;0")</f>
        <v>2</v>
      </c>
      <c r="Y31" s="141">
        <f>SUMIFS(Resumo_Trocas!$E:$E,Resumo_Trocas!$A:$A,$C31,Resumo_Trocas!$F:$F,X$18,Resumo_Trocas!$C:$C,"&gt;0")</f>
        <v>0</v>
      </c>
      <c r="Z31" s="140">
        <f>SUMIFS(Resumo_Trocas!$C:$C,Resumo_Trocas!$A:$A,$C31,Resumo_Trocas!$F:$F,Z$18,Resumo_Trocas!$C:$C,"&gt;0")</f>
        <v>1</v>
      </c>
      <c r="AA31" s="141">
        <f>SUMIFS(Resumo_Trocas!$E:$E,Resumo_Trocas!$A:$A,$C31,Resumo_Trocas!$F:$F,Z$18,Resumo_Trocas!$C:$C,"&gt;0")</f>
        <v>0</v>
      </c>
      <c r="AB31" s="140">
        <f>SUMIFS(Resumo_Trocas!$C:$C,Resumo_Trocas!$A:$A,$C31,Resumo_Trocas!$F:$F,AB$18,Resumo_Trocas!$C:$C,"&gt;0")</f>
        <v>0</v>
      </c>
      <c r="AC31" s="141">
        <f>SUMIFS(Resumo_Trocas!$E:$E,Resumo_Trocas!$A:$A,$C31,Resumo_Trocas!$F:$F,AB$18,Resumo_Trocas!$C:$C,"&gt;0")</f>
        <v>0</v>
      </c>
      <c r="AD31" s="140">
        <f>SUMIFS(Resumo_Trocas!$C:$C,Resumo_Trocas!$A:$A,$C31,Resumo_Trocas!$F:$F,AD$18,Resumo_Trocas!$C:$C,"&gt;0")</f>
        <v>0</v>
      </c>
      <c r="AE31" s="141">
        <f>SUMIFS(Resumo_Trocas!$E:$E,Resumo_Trocas!$A:$A,$C31,Resumo_Trocas!$F:$F,AD$18,Resumo_Trocas!$C:$C,"&gt;0")</f>
        <v>0</v>
      </c>
      <c r="AF31" s="140">
        <f>SUMIFS(Resumo_Trocas!$C:$C,Resumo_Trocas!$A:$A,$C31,Resumo_Trocas!$F:$F,AF$18,Resumo_Trocas!$C:$C,"&gt;0")</f>
        <v>0</v>
      </c>
      <c r="AG31" s="141">
        <f>SUMIFS(Resumo_Trocas!$E:$E,Resumo_Trocas!$A:$A,$C31,Resumo_Trocas!$F:$F,AF$18,Resumo_Trocas!$C:$C,"&gt;0")</f>
        <v>0</v>
      </c>
      <c r="AH31" s="140">
        <f>SUMIFS(Resumo_Trocas!$C:$C,Resumo_Trocas!$A:$A,$C31,Resumo_Trocas!$F:$F,AH$18,Resumo_Trocas!$C:$C,"&gt;0")</f>
        <v>1</v>
      </c>
      <c r="AI31" s="141">
        <f>SUMIFS(Resumo_Trocas!$E:$E,Resumo_Trocas!$A:$A,$C31,Resumo_Trocas!$F:$F,AH$18,Resumo_Trocas!$C:$C,"&gt;0")</f>
        <v>0</v>
      </c>
      <c r="AJ31" s="140">
        <f>SUMIFS(Resumo_Trocas!$C:$C,Resumo_Trocas!$A:$A,$C31,Resumo_Trocas!$F:$F,AJ$18,Resumo_Trocas!$C:$C,"&gt;0")</f>
        <v>0</v>
      </c>
      <c r="AK31" s="141">
        <f>SUMIFS(Resumo_Trocas!$E:$E,Resumo_Trocas!$A:$A,$C31,Resumo_Trocas!$F:$F,AJ$18,Resumo_Trocas!$C:$C,"&gt;0")</f>
        <v>0</v>
      </c>
      <c r="AL31" s="140">
        <f>SUMIFS(Resumo_Trocas!$C:$C,Resumo_Trocas!$A:$A,$C31,Resumo_Trocas!$F:$F,AL$18,Resumo_Trocas!$C:$C,"&gt;0")</f>
        <v>1</v>
      </c>
      <c r="AM31" s="141">
        <f>SUMIFS(Resumo_Trocas!$E:$E,Resumo_Trocas!$A:$A,$C31,Resumo_Trocas!$F:$F,AL$18,Resumo_Trocas!$C:$C,"&gt;0")</f>
        <v>0</v>
      </c>
      <c r="AN31" s="140">
        <f>SUMIFS(Resumo_Trocas!$C:$C,Resumo_Trocas!$A:$A,$C31,Resumo_Trocas!$F:$F,AN$18,Resumo_Trocas!$C:$C,"&gt;0")</f>
        <v>0</v>
      </c>
      <c r="AO31" s="141">
        <f>SUMIFS(Resumo_Trocas!$E:$E,Resumo_Trocas!$A:$A,$C31,Resumo_Trocas!$F:$F,AN$18,Resumo_Trocas!$C:$C,"&gt;0")</f>
        <v>0</v>
      </c>
      <c r="AP31" s="75"/>
      <c r="AQ31" s="75"/>
    </row>
    <row r="32" spans="2:43" ht="15" customHeight="1" outlineLevel="1" thickBot="1" x14ac:dyDescent="0.4">
      <c r="B32" s="76"/>
      <c r="C32" s="147" t="s">
        <v>373</v>
      </c>
      <c r="D32" s="140">
        <f>SUMIFS(Resumo_Trocas!$C:$C,Resumo_Trocas!$A:$A,$C32,Resumo_Trocas!$F:$F,D$18,Resumo_Trocas!$C:$C,"&gt;0")</f>
        <v>2</v>
      </c>
      <c r="E32" s="141">
        <f>SUMIFS(Resumo_Trocas!$E:$E,Resumo_Trocas!$A:$A,$C32,Resumo_Trocas!$F:$F,D$18,Resumo_Trocas!$C:$C,"&gt;0")</f>
        <v>1</v>
      </c>
      <c r="F32" s="140">
        <f>SUMIFS(Resumo_Trocas!$C:$C,Resumo_Trocas!$A:$A,$C32,Resumo_Trocas!$F:$F,F$18,Resumo_Trocas!$C:$C,"&gt;0")</f>
        <v>1</v>
      </c>
      <c r="G32" s="141">
        <f>SUMIFS(Resumo_Trocas!$E:$E,Resumo_Trocas!$A:$A,$C32,Resumo_Trocas!$F:$F,F$18,Resumo_Trocas!$C:$C,"&gt;0")</f>
        <v>1</v>
      </c>
      <c r="H32" s="140">
        <f>SUMIFS(Resumo_Trocas!$C:$C,Resumo_Trocas!$A:$A,$C32,Resumo_Trocas!$F:$F,H$18,Resumo_Trocas!$C:$C,"&gt;0")</f>
        <v>0</v>
      </c>
      <c r="I32" s="141">
        <f>SUMIFS(Resumo_Trocas!$E:$E,Resumo_Trocas!$A:$A,$C32,Resumo_Trocas!$F:$F,H$18,Resumo_Trocas!$C:$C,"&gt;0")</f>
        <v>0</v>
      </c>
      <c r="J32" s="140">
        <f>SUMIFS(Resumo_Trocas!$C:$C,Resumo_Trocas!$A:$A,$C32,Resumo_Trocas!$F:$F,J$18,Resumo_Trocas!$C:$C,"&gt;0")</f>
        <v>1</v>
      </c>
      <c r="K32" s="141">
        <f>SUMIFS(Resumo_Trocas!$E:$E,Resumo_Trocas!$A:$A,$C32,Resumo_Trocas!$F:$F,J$18,Resumo_Trocas!$C:$C,"&gt;0")</f>
        <v>0</v>
      </c>
      <c r="L32" s="140">
        <f>SUMIFS(Resumo_Trocas!$C:$C,Resumo_Trocas!$A:$A,$C32,Resumo_Trocas!$F:$F,L$18,Resumo_Trocas!$C:$C,"&gt;0")</f>
        <v>1</v>
      </c>
      <c r="M32" s="141">
        <f>SUMIFS(Resumo_Trocas!$E:$E,Resumo_Trocas!$A:$A,$C32,Resumo_Trocas!$F:$F,L$18,Resumo_Trocas!$C:$C,"&gt;0")</f>
        <v>0</v>
      </c>
      <c r="N32" s="140">
        <f>SUMIFS(Resumo_Trocas!$C:$C,Resumo_Trocas!$A:$A,$C32,Resumo_Trocas!$F:$F,N$18,Resumo_Trocas!$C:$C,"&gt;0")</f>
        <v>0</v>
      </c>
      <c r="O32" s="141">
        <f>SUMIFS(Resumo_Trocas!$E:$E,Resumo_Trocas!$A:$A,$C32,Resumo_Trocas!$F:$F,N$18,Resumo_Trocas!$C:$C,"&gt;0")</f>
        <v>0</v>
      </c>
      <c r="P32" s="140">
        <f>SUMIFS(Resumo_Trocas!$C:$C,Resumo_Trocas!$A:$A,$C32,Resumo_Trocas!$F:$F,P$18,Resumo_Trocas!$C:$C,"&gt;0")</f>
        <v>0</v>
      </c>
      <c r="Q32" s="141">
        <f>SUMIFS(Resumo_Trocas!$E:$E,Resumo_Trocas!$A:$A,$C32,Resumo_Trocas!$F:$F,P$18,Resumo_Trocas!$C:$C,"&gt;0")</f>
        <v>0</v>
      </c>
      <c r="R32" s="140">
        <f>SUMIFS(Resumo_Trocas!$C:$C,Resumo_Trocas!$A:$A,$C32,Resumo_Trocas!$F:$F,R$18,Resumo_Trocas!$C:$C,"&gt;0")</f>
        <v>0</v>
      </c>
      <c r="S32" s="141">
        <f>SUMIFS(Resumo_Trocas!$E:$E,Resumo_Trocas!$A:$A,$C32,Resumo_Trocas!$F:$F,R$18,Resumo_Trocas!$C:$C,"&gt;0")</f>
        <v>0</v>
      </c>
      <c r="T32" s="140">
        <f>SUMIFS(Resumo_Trocas!$C:$C,Resumo_Trocas!$A:$A,$C32,Resumo_Trocas!$F:$F,T$18,Resumo_Trocas!$C:$C,"&gt;0")</f>
        <v>1</v>
      </c>
      <c r="U32" s="141">
        <f>SUMIFS(Resumo_Trocas!$E:$E,Resumo_Trocas!$A:$A,$C32,Resumo_Trocas!$F:$F,T$18,Resumo_Trocas!$C:$C,"&gt;0")</f>
        <v>0</v>
      </c>
      <c r="V32" s="140">
        <f>SUMIFS(Resumo_Trocas!$C:$C,Resumo_Trocas!$A:$A,$C32,Resumo_Trocas!$F:$F,V$18,Resumo_Trocas!$C:$C,"&gt;0")</f>
        <v>0</v>
      </c>
      <c r="W32" s="141">
        <f>SUMIFS(Resumo_Trocas!$E:$E,Resumo_Trocas!$A:$A,$C32,Resumo_Trocas!$F:$F,V$18,Resumo_Trocas!$C:$C,"&gt;0")</f>
        <v>0</v>
      </c>
      <c r="X32" s="140">
        <f>SUMIFS(Resumo_Trocas!$C:$C,Resumo_Trocas!$A:$A,$C32,Resumo_Trocas!$F:$F,X$18,Resumo_Trocas!$C:$C,"&gt;0")</f>
        <v>1</v>
      </c>
      <c r="Y32" s="141">
        <f>SUMIFS(Resumo_Trocas!$E:$E,Resumo_Trocas!$A:$A,$C32,Resumo_Trocas!$F:$F,X$18,Resumo_Trocas!$C:$C,"&gt;0")</f>
        <v>0</v>
      </c>
      <c r="Z32" s="140">
        <f>SUMIFS(Resumo_Trocas!$C:$C,Resumo_Trocas!$A:$A,$C32,Resumo_Trocas!$F:$F,Z$18,Resumo_Trocas!$C:$C,"&gt;0")</f>
        <v>1</v>
      </c>
      <c r="AA32" s="141">
        <f>SUMIFS(Resumo_Trocas!$E:$E,Resumo_Trocas!$A:$A,$C32,Resumo_Trocas!$F:$F,Z$18,Resumo_Trocas!$C:$C,"&gt;0")</f>
        <v>1</v>
      </c>
      <c r="AB32" s="140">
        <f>SUMIFS(Resumo_Trocas!$C:$C,Resumo_Trocas!$A:$A,$C32,Resumo_Trocas!$F:$F,AB$18,Resumo_Trocas!$C:$C,"&gt;0")</f>
        <v>1</v>
      </c>
      <c r="AC32" s="141">
        <f>SUMIFS(Resumo_Trocas!$E:$E,Resumo_Trocas!$A:$A,$C32,Resumo_Trocas!$F:$F,AB$18,Resumo_Trocas!$C:$C,"&gt;0")</f>
        <v>0</v>
      </c>
      <c r="AD32" s="140">
        <f>SUMIFS(Resumo_Trocas!$C:$C,Resumo_Trocas!$A:$A,$C32,Resumo_Trocas!$F:$F,AD$18,Resumo_Trocas!$C:$C,"&gt;0")</f>
        <v>1</v>
      </c>
      <c r="AE32" s="141">
        <f>SUMIFS(Resumo_Trocas!$E:$E,Resumo_Trocas!$A:$A,$C32,Resumo_Trocas!$F:$F,AD$18,Resumo_Trocas!$C:$C,"&gt;0")</f>
        <v>0</v>
      </c>
      <c r="AF32" s="140">
        <f>SUMIFS(Resumo_Trocas!$C:$C,Resumo_Trocas!$A:$A,$C32,Resumo_Trocas!$F:$F,AF$18,Resumo_Trocas!$C:$C,"&gt;0")</f>
        <v>2</v>
      </c>
      <c r="AG32" s="141">
        <f>SUMIFS(Resumo_Trocas!$E:$E,Resumo_Trocas!$A:$A,$C32,Resumo_Trocas!$F:$F,AF$18,Resumo_Trocas!$C:$C,"&gt;0")</f>
        <v>1</v>
      </c>
      <c r="AH32" s="140">
        <f>SUMIFS(Resumo_Trocas!$C:$C,Resumo_Trocas!$A:$A,$C32,Resumo_Trocas!$F:$F,AH$18,Resumo_Trocas!$C:$C,"&gt;0")</f>
        <v>3</v>
      </c>
      <c r="AI32" s="141">
        <f>SUMIFS(Resumo_Trocas!$E:$E,Resumo_Trocas!$A:$A,$C32,Resumo_Trocas!$F:$F,AH$18,Resumo_Trocas!$C:$C,"&gt;0")</f>
        <v>0</v>
      </c>
      <c r="AJ32" s="140">
        <f>SUMIFS(Resumo_Trocas!$C:$C,Resumo_Trocas!$A:$A,$C32,Resumo_Trocas!$F:$F,AJ$18,Resumo_Trocas!$C:$C,"&gt;0")</f>
        <v>3</v>
      </c>
      <c r="AK32" s="141">
        <f>SUMIFS(Resumo_Trocas!$E:$E,Resumo_Trocas!$A:$A,$C32,Resumo_Trocas!$F:$F,AJ$18,Resumo_Trocas!$C:$C,"&gt;0")</f>
        <v>1</v>
      </c>
      <c r="AL32" s="140">
        <f>SUMIFS(Resumo_Trocas!$C:$C,Resumo_Trocas!$A:$A,$C32,Resumo_Trocas!$F:$F,AL$18,Resumo_Trocas!$C:$C,"&gt;0")</f>
        <v>1</v>
      </c>
      <c r="AM32" s="141">
        <f>SUMIFS(Resumo_Trocas!$E:$E,Resumo_Trocas!$A:$A,$C32,Resumo_Trocas!$F:$F,AL$18,Resumo_Trocas!$C:$C,"&gt;0")</f>
        <v>1</v>
      </c>
      <c r="AN32" s="140">
        <f>SUMIFS(Resumo_Trocas!$C:$C,Resumo_Trocas!$A:$A,$C32,Resumo_Trocas!$F:$F,AN$18,Resumo_Trocas!$C:$C,"&gt;0")</f>
        <v>0</v>
      </c>
      <c r="AO32" s="141">
        <f>SUMIFS(Resumo_Trocas!$E:$E,Resumo_Trocas!$A:$A,$C32,Resumo_Trocas!$F:$F,AN$18,Resumo_Trocas!$C:$C,"&gt;0")</f>
        <v>0</v>
      </c>
      <c r="AP32" s="75"/>
      <c r="AQ32" s="75"/>
    </row>
    <row r="33" spans="2:43" ht="15" customHeight="1" outlineLevel="1" thickBot="1" x14ac:dyDescent="0.4">
      <c r="B33" s="76"/>
      <c r="C33" s="147" t="s">
        <v>375</v>
      </c>
      <c r="D33" s="140">
        <f>SUMIFS(Resumo_Trocas!$C:$C,Resumo_Trocas!$A:$A,$C33,Resumo_Trocas!$F:$F,D$18,Resumo_Trocas!$C:$C,"&gt;0")</f>
        <v>1</v>
      </c>
      <c r="E33" s="141">
        <f>SUMIFS(Resumo_Trocas!$E:$E,Resumo_Trocas!$A:$A,$C33,Resumo_Trocas!$F:$F,D$18,Resumo_Trocas!$C:$C,"&gt;0")</f>
        <v>0</v>
      </c>
      <c r="F33" s="140">
        <f>SUMIFS(Resumo_Trocas!$C:$C,Resumo_Trocas!$A:$A,$C33,Resumo_Trocas!$F:$F,F$18,Resumo_Trocas!$C:$C,"&gt;0")</f>
        <v>0</v>
      </c>
      <c r="G33" s="141">
        <f>SUMIFS(Resumo_Trocas!$E:$E,Resumo_Trocas!$A:$A,$C33,Resumo_Trocas!$F:$F,F$18,Resumo_Trocas!$C:$C,"&gt;0")</f>
        <v>0</v>
      </c>
      <c r="H33" s="140">
        <f>SUMIFS(Resumo_Trocas!$C:$C,Resumo_Trocas!$A:$A,$C33,Resumo_Trocas!$F:$F,H$18,Resumo_Trocas!$C:$C,"&gt;0")</f>
        <v>0</v>
      </c>
      <c r="I33" s="141">
        <f>SUMIFS(Resumo_Trocas!$E:$E,Resumo_Trocas!$A:$A,$C33,Resumo_Trocas!$F:$F,H$18,Resumo_Trocas!$C:$C,"&gt;0")</f>
        <v>0</v>
      </c>
      <c r="J33" s="140">
        <f>SUMIFS(Resumo_Trocas!$C:$C,Resumo_Trocas!$A:$A,$C33,Resumo_Trocas!$F:$F,J$18,Resumo_Trocas!$C:$C,"&gt;0")</f>
        <v>0</v>
      </c>
      <c r="K33" s="141">
        <f>SUMIFS(Resumo_Trocas!$E:$E,Resumo_Trocas!$A:$A,$C33,Resumo_Trocas!$F:$F,J$18,Resumo_Trocas!$C:$C,"&gt;0")</f>
        <v>0</v>
      </c>
      <c r="L33" s="140">
        <f>SUMIFS(Resumo_Trocas!$C:$C,Resumo_Trocas!$A:$A,$C33,Resumo_Trocas!$F:$F,L$18,Resumo_Trocas!$C:$C,"&gt;0")</f>
        <v>1</v>
      </c>
      <c r="M33" s="141">
        <f>SUMIFS(Resumo_Trocas!$E:$E,Resumo_Trocas!$A:$A,$C33,Resumo_Trocas!$F:$F,L$18,Resumo_Trocas!$C:$C,"&gt;0")</f>
        <v>0</v>
      </c>
      <c r="N33" s="140">
        <f>SUMIFS(Resumo_Trocas!$C:$C,Resumo_Trocas!$A:$A,$C33,Resumo_Trocas!$F:$F,N$18,Resumo_Trocas!$C:$C,"&gt;0")</f>
        <v>0</v>
      </c>
      <c r="O33" s="141">
        <f>SUMIFS(Resumo_Trocas!$E:$E,Resumo_Trocas!$A:$A,$C33,Resumo_Trocas!$F:$F,N$18,Resumo_Trocas!$C:$C,"&gt;0")</f>
        <v>0</v>
      </c>
      <c r="P33" s="140">
        <f>SUMIFS(Resumo_Trocas!$C:$C,Resumo_Trocas!$A:$A,$C33,Resumo_Trocas!$F:$F,P$18,Resumo_Trocas!$C:$C,"&gt;0")</f>
        <v>2</v>
      </c>
      <c r="Q33" s="141">
        <f>SUMIFS(Resumo_Trocas!$E:$E,Resumo_Trocas!$A:$A,$C33,Resumo_Trocas!$F:$F,P$18,Resumo_Trocas!$C:$C,"&gt;0")</f>
        <v>1</v>
      </c>
      <c r="R33" s="140">
        <f>SUMIFS(Resumo_Trocas!$C:$C,Resumo_Trocas!$A:$A,$C33,Resumo_Trocas!$F:$F,R$18,Resumo_Trocas!$C:$C,"&gt;0")</f>
        <v>1</v>
      </c>
      <c r="S33" s="141">
        <f>SUMIFS(Resumo_Trocas!$E:$E,Resumo_Trocas!$A:$A,$C33,Resumo_Trocas!$F:$F,R$18,Resumo_Trocas!$C:$C,"&gt;0")</f>
        <v>0</v>
      </c>
      <c r="T33" s="140">
        <f>SUMIFS(Resumo_Trocas!$C:$C,Resumo_Trocas!$A:$A,$C33,Resumo_Trocas!$F:$F,T$18,Resumo_Trocas!$C:$C,"&gt;0")</f>
        <v>2</v>
      </c>
      <c r="U33" s="141">
        <f>SUMIFS(Resumo_Trocas!$E:$E,Resumo_Trocas!$A:$A,$C33,Resumo_Trocas!$F:$F,T$18,Resumo_Trocas!$C:$C,"&gt;0")</f>
        <v>0</v>
      </c>
      <c r="V33" s="140">
        <f>SUMIFS(Resumo_Trocas!$C:$C,Resumo_Trocas!$A:$A,$C33,Resumo_Trocas!$F:$F,V$18,Resumo_Trocas!$C:$C,"&gt;0")</f>
        <v>2</v>
      </c>
      <c r="W33" s="141">
        <f>SUMIFS(Resumo_Trocas!$E:$E,Resumo_Trocas!$A:$A,$C33,Resumo_Trocas!$F:$F,V$18,Resumo_Trocas!$C:$C,"&gt;0")</f>
        <v>0</v>
      </c>
      <c r="X33" s="140">
        <f>SUMIFS(Resumo_Trocas!$C:$C,Resumo_Trocas!$A:$A,$C33,Resumo_Trocas!$F:$F,X$18,Resumo_Trocas!$C:$C,"&gt;0")</f>
        <v>2</v>
      </c>
      <c r="Y33" s="141">
        <f>SUMIFS(Resumo_Trocas!$E:$E,Resumo_Trocas!$A:$A,$C33,Resumo_Trocas!$F:$F,X$18,Resumo_Trocas!$C:$C,"&gt;0")</f>
        <v>0</v>
      </c>
      <c r="Z33" s="140">
        <f>SUMIFS(Resumo_Trocas!$C:$C,Resumo_Trocas!$A:$A,$C33,Resumo_Trocas!$F:$F,Z$18,Resumo_Trocas!$C:$C,"&gt;0")</f>
        <v>1</v>
      </c>
      <c r="AA33" s="141">
        <f>SUMIFS(Resumo_Trocas!$E:$E,Resumo_Trocas!$A:$A,$C33,Resumo_Trocas!$F:$F,Z$18,Resumo_Trocas!$C:$C,"&gt;0")</f>
        <v>1</v>
      </c>
      <c r="AB33" s="140">
        <f>SUMIFS(Resumo_Trocas!$C:$C,Resumo_Trocas!$A:$A,$C33,Resumo_Trocas!$F:$F,AB$18,Resumo_Trocas!$C:$C,"&gt;0")</f>
        <v>1</v>
      </c>
      <c r="AC33" s="141">
        <f>SUMIFS(Resumo_Trocas!$E:$E,Resumo_Trocas!$A:$A,$C33,Resumo_Trocas!$F:$F,AB$18,Resumo_Trocas!$C:$C,"&gt;0")</f>
        <v>0</v>
      </c>
      <c r="AD33" s="140">
        <f>SUMIFS(Resumo_Trocas!$C:$C,Resumo_Trocas!$A:$A,$C33,Resumo_Trocas!$F:$F,AD$18,Resumo_Trocas!$C:$C,"&gt;0")</f>
        <v>0</v>
      </c>
      <c r="AE33" s="141">
        <f>SUMIFS(Resumo_Trocas!$E:$E,Resumo_Trocas!$A:$A,$C33,Resumo_Trocas!$F:$F,AD$18,Resumo_Trocas!$C:$C,"&gt;0")</f>
        <v>0</v>
      </c>
      <c r="AF33" s="140">
        <f>SUMIFS(Resumo_Trocas!$C:$C,Resumo_Trocas!$A:$A,$C33,Resumo_Trocas!$F:$F,AF$18,Resumo_Trocas!$C:$C,"&gt;0")</f>
        <v>1</v>
      </c>
      <c r="AG33" s="141">
        <f>SUMIFS(Resumo_Trocas!$E:$E,Resumo_Trocas!$A:$A,$C33,Resumo_Trocas!$F:$F,AF$18,Resumo_Trocas!$C:$C,"&gt;0")</f>
        <v>0</v>
      </c>
      <c r="AH33" s="140">
        <f>SUMIFS(Resumo_Trocas!$C:$C,Resumo_Trocas!$A:$A,$C33,Resumo_Trocas!$F:$F,AH$18,Resumo_Trocas!$C:$C,"&gt;0")</f>
        <v>0</v>
      </c>
      <c r="AI33" s="141">
        <f>SUMIFS(Resumo_Trocas!$E:$E,Resumo_Trocas!$A:$A,$C33,Resumo_Trocas!$F:$F,AH$18,Resumo_Trocas!$C:$C,"&gt;0")</f>
        <v>0</v>
      </c>
      <c r="AJ33" s="140">
        <f>SUMIFS(Resumo_Trocas!$C:$C,Resumo_Trocas!$A:$A,$C33,Resumo_Trocas!$F:$F,AJ$18,Resumo_Trocas!$C:$C,"&gt;0")</f>
        <v>1</v>
      </c>
      <c r="AK33" s="141">
        <f>SUMIFS(Resumo_Trocas!$E:$E,Resumo_Trocas!$A:$A,$C33,Resumo_Trocas!$F:$F,AJ$18,Resumo_Trocas!$C:$C,"&gt;0")</f>
        <v>0</v>
      </c>
      <c r="AL33" s="140">
        <f>SUMIFS(Resumo_Trocas!$C:$C,Resumo_Trocas!$A:$A,$C33,Resumo_Trocas!$F:$F,AL$18,Resumo_Trocas!$C:$C,"&gt;0")</f>
        <v>0</v>
      </c>
      <c r="AM33" s="141">
        <f>SUMIFS(Resumo_Trocas!$E:$E,Resumo_Trocas!$A:$A,$C33,Resumo_Trocas!$F:$F,AL$18,Resumo_Trocas!$C:$C,"&gt;0")</f>
        <v>0</v>
      </c>
      <c r="AN33" s="140">
        <f>SUMIFS(Resumo_Trocas!$C:$C,Resumo_Trocas!$A:$A,$C33,Resumo_Trocas!$F:$F,AN$18,Resumo_Trocas!$C:$C,"&gt;0")</f>
        <v>0</v>
      </c>
      <c r="AO33" s="141">
        <f>SUMIFS(Resumo_Trocas!$E:$E,Resumo_Trocas!$A:$A,$C33,Resumo_Trocas!$F:$F,AN$18,Resumo_Trocas!$C:$C,"&gt;0")</f>
        <v>0</v>
      </c>
      <c r="AP33" s="75"/>
      <c r="AQ33" s="75"/>
    </row>
    <row r="34" spans="2:43" ht="18" customHeight="1" outlineLevel="1" thickBot="1" x14ac:dyDescent="0.4">
      <c r="B34" s="76"/>
      <c r="C34" s="113" t="s">
        <v>376</v>
      </c>
      <c r="D34" s="142">
        <f>SUMIFS(Resumo_Trocas!$C:$C,Resumo_Trocas!$A:$A,$C34,Resumo_Trocas!$F:$F,D$18,Resumo_Trocas!$C:$C,"&gt;0")</f>
        <v>2</v>
      </c>
      <c r="E34" s="143">
        <f>SUMIFS(Resumo_Trocas!$E:$E,Resumo_Trocas!$A:$A,$C34,Resumo_Trocas!$F:$F,D$18,Resumo_Trocas!$C:$C,"&gt;0")</f>
        <v>1</v>
      </c>
      <c r="F34" s="142">
        <f>SUMIFS(Resumo_Trocas!$C:$C,Resumo_Trocas!$A:$A,$C34,Resumo_Trocas!$F:$F,F$18,Resumo_Trocas!$C:$C,"&gt;0")</f>
        <v>2</v>
      </c>
      <c r="G34" s="143">
        <f>SUMIFS(Resumo_Trocas!$E:$E,Resumo_Trocas!$A:$A,$C34,Resumo_Trocas!$F:$F,F$18,Resumo_Trocas!$C:$C,"&gt;0")</f>
        <v>0</v>
      </c>
      <c r="H34" s="142">
        <f>SUMIFS(Resumo_Trocas!$C:$C,Resumo_Trocas!$A:$A,$C34,Resumo_Trocas!$F:$F,H$18,Resumo_Trocas!$C:$C,"&gt;0")</f>
        <v>1</v>
      </c>
      <c r="I34" s="143">
        <f>SUMIFS(Resumo_Trocas!$E:$E,Resumo_Trocas!$A:$A,$C34,Resumo_Trocas!$F:$F,H$18,Resumo_Trocas!$C:$C,"&gt;0")</f>
        <v>0</v>
      </c>
      <c r="J34" s="142">
        <f>SUMIFS(Resumo_Trocas!$C:$C,Resumo_Trocas!$A:$A,$C34,Resumo_Trocas!$F:$F,J$18,Resumo_Trocas!$C:$C,"&gt;0")</f>
        <v>4</v>
      </c>
      <c r="K34" s="143">
        <f>SUMIFS(Resumo_Trocas!$E:$E,Resumo_Trocas!$A:$A,$C34,Resumo_Trocas!$F:$F,J$18,Resumo_Trocas!$C:$C,"&gt;0")</f>
        <v>1</v>
      </c>
      <c r="L34" s="142">
        <f>SUMIFS(Resumo_Trocas!$C:$C,Resumo_Trocas!$A:$A,$C34,Resumo_Trocas!$F:$F,L$18,Resumo_Trocas!$C:$C,"&gt;0")</f>
        <v>1</v>
      </c>
      <c r="M34" s="143">
        <f>SUMIFS(Resumo_Trocas!$E:$E,Resumo_Trocas!$A:$A,$C34,Resumo_Trocas!$F:$F,L$18,Resumo_Trocas!$C:$C,"&gt;0")</f>
        <v>0</v>
      </c>
      <c r="N34" s="142">
        <f>SUMIFS(Resumo_Trocas!$C:$C,Resumo_Trocas!$A:$A,$C34,Resumo_Trocas!$F:$F,N$18,Resumo_Trocas!$C:$C,"&gt;0")</f>
        <v>0</v>
      </c>
      <c r="O34" s="143">
        <f>SUMIFS(Resumo_Trocas!$E:$E,Resumo_Trocas!$A:$A,$C34,Resumo_Trocas!$F:$F,N$18,Resumo_Trocas!$C:$C,"&gt;0")</f>
        <v>0</v>
      </c>
      <c r="P34" s="142">
        <f>SUMIFS(Resumo_Trocas!$C:$C,Resumo_Trocas!$A:$A,$C34,Resumo_Trocas!$F:$F,P$18,Resumo_Trocas!$C:$C,"&gt;0")</f>
        <v>2</v>
      </c>
      <c r="Q34" s="143">
        <f>SUMIFS(Resumo_Trocas!$E:$E,Resumo_Trocas!$A:$A,$C34,Resumo_Trocas!$F:$F,P$18,Resumo_Trocas!$C:$C,"&gt;0")</f>
        <v>0</v>
      </c>
      <c r="R34" s="142">
        <f>SUMIFS(Resumo_Trocas!$C:$C,Resumo_Trocas!$A:$A,$C34,Resumo_Trocas!$F:$F,R$18,Resumo_Trocas!$C:$C,"&gt;0")</f>
        <v>1</v>
      </c>
      <c r="S34" s="143">
        <f>SUMIFS(Resumo_Trocas!$E:$E,Resumo_Trocas!$A:$A,$C34,Resumo_Trocas!$F:$F,R$18,Resumo_Trocas!$C:$C,"&gt;0")</f>
        <v>0</v>
      </c>
      <c r="T34" s="142">
        <f>SUMIFS(Resumo_Trocas!$C:$C,Resumo_Trocas!$A:$A,$C34,Resumo_Trocas!$F:$F,T$18,Resumo_Trocas!$C:$C,"&gt;0")</f>
        <v>1</v>
      </c>
      <c r="U34" s="143">
        <f>SUMIFS(Resumo_Trocas!$E:$E,Resumo_Trocas!$A:$A,$C34,Resumo_Trocas!$F:$F,T$18,Resumo_Trocas!$C:$C,"&gt;0")</f>
        <v>0</v>
      </c>
      <c r="V34" s="142">
        <f>SUMIFS(Resumo_Trocas!$C:$C,Resumo_Trocas!$A:$A,$C34,Resumo_Trocas!$F:$F,V$18,Resumo_Trocas!$C:$C,"&gt;0")</f>
        <v>0</v>
      </c>
      <c r="W34" s="143">
        <f>SUMIFS(Resumo_Trocas!$E:$E,Resumo_Trocas!$A:$A,$C34,Resumo_Trocas!$F:$F,V$18,Resumo_Trocas!$C:$C,"&gt;0")</f>
        <v>0</v>
      </c>
      <c r="X34" s="142">
        <f>SUMIFS(Resumo_Trocas!$C:$C,Resumo_Trocas!$A:$A,$C34,Resumo_Trocas!$F:$F,X$18,Resumo_Trocas!$C:$C,"&gt;0")</f>
        <v>0</v>
      </c>
      <c r="Y34" s="143">
        <f>SUMIFS(Resumo_Trocas!$E:$E,Resumo_Trocas!$A:$A,$C34,Resumo_Trocas!$F:$F,X$18,Resumo_Trocas!$C:$C,"&gt;0")</f>
        <v>0</v>
      </c>
      <c r="Z34" s="142">
        <f>SUMIFS(Resumo_Trocas!$C:$C,Resumo_Trocas!$A:$A,$C34,Resumo_Trocas!$F:$F,Z$18,Resumo_Trocas!$C:$C,"&gt;0")</f>
        <v>2</v>
      </c>
      <c r="AA34" s="143">
        <f>SUMIFS(Resumo_Trocas!$E:$E,Resumo_Trocas!$A:$A,$C34,Resumo_Trocas!$F:$F,Z$18,Resumo_Trocas!$C:$C,"&gt;0")</f>
        <v>1</v>
      </c>
      <c r="AB34" s="142">
        <f>SUMIFS(Resumo_Trocas!$C:$C,Resumo_Trocas!$A:$A,$C34,Resumo_Trocas!$F:$F,AB$18,Resumo_Trocas!$C:$C,"&gt;0")</f>
        <v>0</v>
      </c>
      <c r="AC34" s="143">
        <f>SUMIFS(Resumo_Trocas!$E:$E,Resumo_Trocas!$A:$A,$C34,Resumo_Trocas!$F:$F,AB$18,Resumo_Trocas!$C:$C,"&gt;0")</f>
        <v>0</v>
      </c>
      <c r="AD34" s="142">
        <f>SUMIFS(Resumo_Trocas!$C:$C,Resumo_Trocas!$A:$A,$C34,Resumo_Trocas!$F:$F,AD$18,Resumo_Trocas!$C:$C,"&gt;0")</f>
        <v>0</v>
      </c>
      <c r="AE34" s="143">
        <f>SUMIFS(Resumo_Trocas!$E:$E,Resumo_Trocas!$A:$A,$C34,Resumo_Trocas!$F:$F,AD$18,Resumo_Trocas!$C:$C,"&gt;0")</f>
        <v>0</v>
      </c>
      <c r="AF34" s="142">
        <f>SUMIFS(Resumo_Trocas!$C:$C,Resumo_Trocas!$A:$A,$C34,Resumo_Trocas!$F:$F,AF$18,Resumo_Trocas!$C:$C,"&gt;0")</f>
        <v>1</v>
      </c>
      <c r="AG34" s="143">
        <f>SUMIFS(Resumo_Trocas!$E:$E,Resumo_Trocas!$A:$A,$C34,Resumo_Trocas!$F:$F,AF$18,Resumo_Trocas!$C:$C,"&gt;0")</f>
        <v>0</v>
      </c>
      <c r="AH34" s="142">
        <f>SUMIFS(Resumo_Trocas!$C:$C,Resumo_Trocas!$A:$A,$C34,Resumo_Trocas!$F:$F,AH$18,Resumo_Trocas!$C:$C,"&gt;0")</f>
        <v>0</v>
      </c>
      <c r="AI34" s="143">
        <f>SUMIFS(Resumo_Trocas!$E:$E,Resumo_Trocas!$A:$A,$C34,Resumo_Trocas!$F:$F,AH$18,Resumo_Trocas!$C:$C,"&gt;0")</f>
        <v>0</v>
      </c>
      <c r="AJ34" s="142">
        <f>SUMIFS(Resumo_Trocas!$C:$C,Resumo_Trocas!$A:$A,$C34,Resumo_Trocas!$F:$F,AJ$18,Resumo_Trocas!$C:$C,"&gt;0")</f>
        <v>1</v>
      </c>
      <c r="AK34" s="143">
        <f>SUMIFS(Resumo_Trocas!$E:$E,Resumo_Trocas!$A:$A,$C34,Resumo_Trocas!$F:$F,AJ$18,Resumo_Trocas!$C:$C,"&gt;0")</f>
        <v>0</v>
      </c>
      <c r="AL34" s="142">
        <f>SUMIFS(Resumo_Trocas!$C:$C,Resumo_Trocas!$A:$A,$C34,Resumo_Trocas!$F:$F,AL$18,Resumo_Trocas!$C:$C,"&gt;0")</f>
        <v>0</v>
      </c>
      <c r="AM34" s="143">
        <f>SUMIFS(Resumo_Trocas!$E:$E,Resumo_Trocas!$A:$A,$C34,Resumo_Trocas!$F:$F,AL$18,Resumo_Trocas!$C:$C,"&gt;0")</f>
        <v>0</v>
      </c>
      <c r="AN34" s="142">
        <f>SUMIFS(Resumo_Trocas!$C:$C,Resumo_Trocas!$A:$A,$C34,Resumo_Trocas!$F:$F,AN$18,Resumo_Trocas!$C:$C,"&gt;0")</f>
        <v>0</v>
      </c>
      <c r="AO34" s="143">
        <f>SUMIFS(Resumo_Trocas!$E:$E,Resumo_Trocas!$A:$A,$C34,Resumo_Trocas!$F:$F,AN$18,Resumo_Trocas!$C:$C,"&gt;0")</f>
        <v>0</v>
      </c>
      <c r="AP34" s="75"/>
      <c r="AQ34" s="75"/>
    </row>
    <row r="35" spans="2:43" ht="15.75" outlineLevel="1" thickBot="1" x14ac:dyDescent="0.3">
      <c r="B35" s="76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</row>
    <row r="36" spans="2:43" ht="21" customHeight="1" thickBot="1" x14ac:dyDescent="0.3">
      <c r="B36" s="72" t="s">
        <v>3395</v>
      </c>
      <c r="C36" s="215" t="s">
        <v>3397</v>
      </c>
      <c r="D36" s="211" t="s">
        <v>3372</v>
      </c>
      <c r="E36" s="212"/>
      <c r="F36" s="211" t="s">
        <v>3373</v>
      </c>
      <c r="G36" s="212"/>
      <c r="H36" s="213" t="s">
        <v>3374</v>
      </c>
      <c r="I36" s="214"/>
      <c r="J36" s="211" t="s">
        <v>3370</v>
      </c>
      <c r="K36" s="212"/>
      <c r="L36" s="211" t="s">
        <v>3371</v>
      </c>
      <c r="M36" s="212"/>
      <c r="N36" s="211" t="s">
        <v>3375</v>
      </c>
      <c r="O36" s="212"/>
      <c r="P36" s="211" t="s">
        <v>3367</v>
      </c>
      <c r="Q36" s="212"/>
      <c r="R36" s="211" t="s">
        <v>3368</v>
      </c>
      <c r="S36" s="212"/>
      <c r="T36" s="211" t="s">
        <v>3369</v>
      </c>
      <c r="U36" s="212"/>
      <c r="V36" s="213" t="s">
        <v>3358</v>
      </c>
      <c r="W36" s="214"/>
      <c r="X36" s="211" t="s">
        <v>3363</v>
      </c>
      <c r="Y36" s="212"/>
      <c r="Z36" s="211" t="s">
        <v>3361</v>
      </c>
      <c r="AA36" s="212"/>
      <c r="AB36" s="211" t="s">
        <v>3359</v>
      </c>
      <c r="AC36" s="212"/>
      <c r="AD36" s="211" t="s">
        <v>3366</v>
      </c>
      <c r="AE36" s="212"/>
      <c r="AF36" s="213" t="s">
        <v>3364</v>
      </c>
      <c r="AG36" s="214"/>
      <c r="AH36" s="211" t="s">
        <v>3360</v>
      </c>
      <c r="AI36" s="212"/>
      <c r="AJ36" s="211" t="s">
        <v>3362</v>
      </c>
      <c r="AK36" s="212"/>
      <c r="AL36" s="211" t="s">
        <v>3365</v>
      </c>
      <c r="AM36" s="212"/>
      <c r="AN36" s="201" t="s">
        <v>3486</v>
      </c>
      <c r="AO36" s="202"/>
    </row>
    <row r="37" spans="2:43" s="75" customFormat="1" ht="21" customHeight="1" thickBot="1" x14ac:dyDescent="0.4">
      <c r="B37" s="98" t="s">
        <v>3395</v>
      </c>
      <c r="C37" s="216"/>
      <c r="D37" s="103" t="s">
        <v>3487</v>
      </c>
      <c r="E37" s="104" t="s">
        <v>3353</v>
      </c>
      <c r="F37" s="105" t="s">
        <v>3487</v>
      </c>
      <c r="G37" s="104" t="s">
        <v>3353</v>
      </c>
      <c r="H37" s="105" t="s">
        <v>3487</v>
      </c>
      <c r="I37" s="104" t="s">
        <v>3353</v>
      </c>
      <c r="J37" s="105" t="s">
        <v>3487</v>
      </c>
      <c r="K37" s="104" t="s">
        <v>3353</v>
      </c>
      <c r="L37" s="105" t="s">
        <v>3487</v>
      </c>
      <c r="M37" s="104" t="s">
        <v>3353</v>
      </c>
      <c r="N37" s="105" t="s">
        <v>3487</v>
      </c>
      <c r="O37" s="104" t="s">
        <v>3353</v>
      </c>
      <c r="P37" s="105" t="s">
        <v>3487</v>
      </c>
      <c r="Q37" s="104" t="s">
        <v>3353</v>
      </c>
      <c r="R37" s="105" t="s">
        <v>3487</v>
      </c>
      <c r="S37" s="104" t="s">
        <v>3353</v>
      </c>
      <c r="T37" s="105" t="s">
        <v>3487</v>
      </c>
      <c r="U37" s="104" t="s">
        <v>3353</v>
      </c>
      <c r="V37" s="105" t="s">
        <v>3487</v>
      </c>
      <c r="W37" s="104" t="s">
        <v>3353</v>
      </c>
      <c r="X37" s="105" t="s">
        <v>3487</v>
      </c>
      <c r="Y37" s="104" t="s">
        <v>3353</v>
      </c>
      <c r="Z37" s="105" t="s">
        <v>3487</v>
      </c>
      <c r="AA37" s="104" t="s">
        <v>3353</v>
      </c>
      <c r="AB37" s="105" t="s">
        <v>3487</v>
      </c>
      <c r="AC37" s="104" t="s">
        <v>3353</v>
      </c>
      <c r="AD37" s="105" t="s">
        <v>3487</v>
      </c>
      <c r="AE37" s="104" t="s">
        <v>3353</v>
      </c>
      <c r="AF37" s="105" t="s">
        <v>3487</v>
      </c>
      <c r="AG37" s="104" t="s">
        <v>3353</v>
      </c>
      <c r="AH37" s="105" t="s">
        <v>3487</v>
      </c>
      <c r="AI37" s="104" t="s">
        <v>3353</v>
      </c>
      <c r="AJ37" s="105" t="s">
        <v>3487</v>
      </c>
      <c r="AK37" s="104" t="s">
        <v>3353</v>
      </c>
      <c r="AL37" s="105" t="s">
        <v>3487</v>
      </c>
      <c r="AM37" s="104" t="s">
        <v>3353</v>
      </c>
      <c r="AN37" s="105" t="s">
        <v>3487</v>
      </c>
      <c r="AO37" s="106" t="s">
        <v>3353</v>
      </c>
    </row>
    <row r="38" spans="2:43" ht="21.75" customHeight="1" outlineLevel="1" thickBot="1" x14ac:dyDescent="0.3">
      <c r="B38" s="76"/>
      <c r="C38" s="114" t="s">
        <v>3399</v>
      </c>
      <c r="D38" s="144">
        <f>IFERROR(SUM(D39:D50)," ")</f>
        <v>11</v>
      </c>
      <c r="E38" s="145">
        <f>IFERROR(SUM(E39:E50)," ")</f>
        <v>2</v>
      </c>
      <c r="F38" s="99">
        <f>IFERROR(SUM(F39:F50)," ")</f>
        <v>13</v>
      </c>
      <c r="G38" s="100">
        <f>IFERROR(SUM(G39:G50)," ")</f>
        <v>4</v>
      </c>
      <c r="H38" s="99">
        <f t="shared" ref="H38:U38" si="4">IFERROR(SUM(H39:H50)," ")</f>
        <v>6</v>
      </c>
      <c r="I38" s="100">
        <f t="shared" si="4"/>
        <v>1</v>
      </c>
      <c r="J38" s="99">
        <f t="shared" si="4"/>
        <v>6</v>
      </c>
      <c r="K38" s="100">
        <f t="shared" si="4"/>
        <v>0</v>
      </c>
      <c r="L38" s="99">
        <f t="shared" si="4"/>
        <v>8</v>
      </c>
      <c r="M38" s="100">
        <f t="shared" si="4"/>
        <v>1</v>
      </c>
      <c r="N38" s="99">
        <f t="shared" si="4"/>
        <v>0</v>
      </c>
      <c r="O38" s="100">
        <f t="shared" si="4"/>
        <v>0</v>
      </c>
      <c r="P38" s="99">
        <f t="shared" si="4"/>
        <v>3</v>
      </c>
      <c r="Q38" s="100">
        <f t="shared" si="4"/>
        <v>0</v>
      </c>
      <c r="R38" s="99">
        <f t="shared" si="4"/>
        <v>3</v>
      </c>
      <c r="S38" s="100">
        <f t="shared" si="4"/>
        <v>0</v>
      </c>
      <c r="T38" s="99">
        <f t="shared" si="4"/>
        <v>7</v>
      </c>
      <c r="U38" s="100">
        <f t="shared" si="4"/>
        <v>1</v>
      </c>
      <c r="V38" s="99">
        <f t="shared" ref="V38:AO38" si="5">IFERROR(SUM(V39:V51)," ")</f>
        <v>10</v>
      </c>
      <c r="W38" s="100">
        <f t="shared" si="5"/>
        <v>2</v>
      </c>
      <c r="X38" s="99">
        <f t="shared" si="5"/>
        <v>6</v>
      </c>
      <c r="Y38" s="100">
        <f t="shared" si="5"/>
        <v>0</v>
      </c>
      <c r="Z38" s="99">
        <f t="shared" si="5"/>
        <v>8</v>
      </c>
      <c r="AA38" s="100">
        <f t="shared" si="5"/>
        <v>0</v>
      </c>
      <c r="AB38" s="99">
        <f t="shared" si="5"/>
        <v>4</v>
      </c>
      <c r="AC38" s="100">
        <f t="shared" si="5"/>
        <v>0</v>
      </c>
      <c r="AD38" s="99">
        <f t="shared" si="5"/>
        <v>5</v>
      </c>
      <c r="AE38" s="100">
        <f t="shared" si="5"/>
        <v>2</v>
      </c>
      <c r="AF38" s="99">
        <f t="shared" si="5"/>
        <v>4</v>
      </c>
      <c r="AG38" s="100">
        <f t="shared" si="5"/>
        <v>1</v>
      </c>
      <c r="AH38" s="99">
        <f t="shared" si="5"/>
        <v>3</v>
      </c>
      <c r="AI38" s="100">
        <f t="shared" si="5"/>
        <v>1</v>
      </c>
      <c r="AJ38" s="99">
        <f t="shared" si="5"/>
        <v>3</v>
      </c>
      <c r="AK38" s="100">
        <f t="shared" si="5"/>
        <v>0</v>
      </c>
      <c r="AL38" s="99">
        <f t="shared" si="5"/>
        <v>5</v>
      </c>
      <c r="AM38" s="100">
        <f t="shared" si="5"/>
        <v>1</v>
      </c>
      <c r="AN38" s="99">
        <f t="shared" si="5"/>
        <v>0</v>
      </c>
      <c r="AO38" s="100">
        <f t="shared" si="5"/>
        <v>0</v>
      </c>
    </row>
    <row r="39" spans="2:43" ht="15" customHeight="1" outlineLevel="1" thickBot="1" x14ac:dyDescent="0.3">
      <c r="B39" s="76"/>
      <c r="C39" s="146" t="s">
        <v>381</v>
      </c>
      <c r="D39" s="138">
        <f>SUMIFS(Resumo_Trocas!$C:$C,Resumo_Trocas!$A:$A,$C39,Resumo_Trocas!$F:$F,D$18,Resumo_Trocas!$C:$C,"&gt;0")</f>
        <v>2</v>
      </c>
      <c r="E39" s="139">
        <f>SUMIFS(Resumo_Trocas!$E:$E,Resumo_Trocas!$A:$A,$C39,Resumo_Trocas!$F:$F,D$18,Resumo_Trocas!$C:$C,"&gt;0")</f>
        <v>0</v>
      </c>
      <c r="F39" s="138">
        <f>SUMIFS(Resumo_Trocas!$C:$C,Resumo_Trocas!$A:$A,$C39,Resumo_Trocas!$F:$F,F$18,Resumo_Trocas!$C:$C,"&gt;0")</f>
        <v>4</v>
      </c>
      <c r="G39" s="139">
        <f>SUMIFS(Resumo_Trocas!$E:$E,Resumo_Trocas!$A:$A,$C39,Resumo_Trocas!$F:$F,F$18,Resumo_Trocas!$C:$C,"&gt;0")</f>
        <v>2</v>
      </c>
      <c r="H39" s="138">
        <f>SUMIFS(Resumo_Trocas!$C:$C,Resumo_Trocas!$A:$A,$C39,Resumo_Trocas!$F:$F,H$18,Resumo_Trocas!$C:$C,"&gt;0")</f>
        <v>0</v>
      </c>
      <c r="I39" s="139">
        <f>SUMIFS(Resumo_Trocas!$E:$E,Resumo_Trocas!$A:$A,$C39,Resumo_Trocas!$F:$F,H$18,Resumo_Trocas!$C:$C,"&gt;0")</f>
        <v>0</v>
      </c>
      <c r="J39" s="138">
        <f>SUMIFS(Resumo_Trocas!$C:$C,Resumo_Trocas!$A:$A,$C39,Resumo_Trocas!$F:$F,J$18,Resumo_Trocas!$C:$C,"&gt;0")</f>
        <v>0</v>
      </c>
      <c r="K39" s="139">
        <f>SUMIFS(Resumo_Trocas!$E:$E,Resumo_Trocas!$A:$A,$C39,Resumo_Trocas!$F:$F,J$18,Resumo_Trocas!$C:$C,"&gt;0")</f>
        <v>0</v>
      </c>
      <c r="L39" s="138">
        <f>SUMIFS(Resumo_Trocas!$C:$C,Resumo_Trocas!$A:$A,$C39,Resumo_Trocas!$F:$F,L$18,Resumo_Trocas!$C:$C,"&gt;0")</f>
        <v>1</v>
      </c>
      <c r="M39" s="139">
        <f>SUMIFS(Resumo_Trocas!$E:$E,Resumo_Trocas!$A:$A,$C39,Resumo_Trocas!$F:$F,L$18,Resumo_Trocas!$C:$C,"&gt;0")</f>
        <v>0</v>
      </c>
      <c r="N39" s="138">
        <f>SUMIFS(Resumo_Trocas!$C:$C,Resumo_Trocas!$A:$A,$C39,Resumo_Trocas!$F:$F,N$18,Resumo_Trocas!$C:$C,"&gt;0")</f>
        <v>0</v>
      </c>
      <c r="O39" s="139">
        <f>SUMIFS(Resumo_Trocas!$E:$E,Resumo_Trocas!$A:$A,$C39,Resumo_Trocas!$F:$F,N$18,Resumo_Trocas!$C:$C,"&gt;0")</f>
        <v>0</v>
      </c>
      <c r="P39" s="138">
        <f>SUMIFS(Resumo_Trocas!$C:$C,Resumo_Trocas!$A:$A,$C39,Resumo_Trocas!$F:$F,P$18,Resumo_Trocas!$C:$C,"&gt;0")</f>
        <v>0</v>
      </c>
      <c r="Q39" s="139">
        <f>SUMIFS(Resumo_Trocas!$E:$E,Resumo_Trocas!$A:$A,$C39,Resumo_Trocas!$F:$F,P$18,Resumo_Trocas!$C:$C,"&gt;0")</f>
        <v>0</v>
      </c>
      <c r="R39" s="138">
        <f>SUMIFS(Resumo_Trocas!$C:$C,Resumo_Trocas!$A:$A,$C39,Resumo_Trocas!$F:$F,R$18,Resumo_Trocas!$C:$C,"&gt;0")</f>
        <v>0</v>
      </c>
      <c r="S39" s="139">
        <f>SUMIFS(Resumo_Trocas!$E:$E,Resumo_Trocas!$A:$A,$C39,Resumo_Trocas!$F:$F,R$18,Resumo_Trocas!$C:$C,"&gt;0")</f>
        <v>0</v>
      </c>
      <c r="T39" s="138">
        <f>SUMIFS(Resumo_Trocas!$C:$C,Resumo_Trocas!$A:$A,$C39,Resumo_Trocas!$F:$F,T$18,Resumo_Trocas!$C:$C,"&gt;0")</f>
        <v>0</v>
      </c>
      <c r="U39" s="139">
        <f>SUMIFS(Resumo_Trocas!$E:$E,Resumo_Trocas!$A:$A,$C39,Resumo_Trocas!$F:$F,T$18,Resumo_Trocas!$C:$C,"&gt;0")</f>
        <v>0</v>
      </c>
      <c r="V39" s="138">
        <f>SUMIFS(Resumo_Trocas!$C:$C,Resumo_Trocas!$A:$A,$C39,Resumo_Trocas!$F:$F,V$18,Resumo_Trocas!$C:$C,"&gt;0")</f>
        <v>0</v>
      </c>
      <c r="W39" s="139">
        <f>SUMIFS(Resumo_Trocas!$E:$E,Resumo_Trocas!$A:$A,$C39,Resumo_Trocas!$F:$F,V$18,Resumo_Trocas!$C:$C,"&gt;0")</f>
        <v>0</v>
      </c>
      <c r="X39" s="138">
        <f>SUMIFS(Resumo_Trocas!$C:$C,Resumo_Trocas!$A:$A,$C39,Resumo_Trocas!$F:$F,X$18,Resumo_Trocas!$C:$C,"&gt;0")</f>
        <v>1</v>
      </c>
      <c r="Y39" s="139">
        <f>SUMIFS(Resumo_Trocas!$E:$E,Resumo_Trocas!$A:$A,$C39,Resumo_Trocas!$F:$F,X$18,Resumo_Trocas!$C:$C,"&gt;0")</f>
        <v>0</v>
      </c>
      <c r="Z39" s="138">
        <f>SUMIFS(Resumo_Trocas!$C:$C,Resumo_Trocas!$A:$A,$C39,Resumo_Trocas!$F:$F,Z$18,Resumo_Trocas!$C:$C,"&gt;0")</f>
        <v>0</v>
      </c>
      <c r="AA39" s="139">
        <f>SUMIFS(Resumo_Trocas!$E:$E,Resumo_Trocas!$A:$A,$C39,Resumo_Trocas!$F:$F,Z$18,Resumo_Trocas!$C:$C,"&gt;0")</f>
        <v>0</v>
      </c>
      <c r="AB39" s="138">
        <f>SUMIFS(Resumo_Trocas!$C:$C,Resumo_Trocas!$A:$A,$C39,Resumo_Trocas!$F:$F,AB$18,Resumo_Trocas!$C:$C,"&gt;0")</f>
        <v>0</v>
      </c>
      <c r="AC39" s="139">
        <f>SUMIFS(Resumo_Trocas!$E:$E,Resumo_Trocas!$A:$A,$C39,Resumo_Trocas!$F:$F,AB$18,Resumo_Trocas!$C:$C,"&gt;0")</f>
        <v>0</v>
      </c>
      <c r="AD39" s="138">
        <f>SUMIFS(Resumo_Trocas!$C:$C,Resumo_Trocas!$A:$A,$C39,Resumo_Trocas!$F:$F,AD$18,Resumo_Trocas!$C:$C,"&gt;0")</f>
        <v>0</v>
      </c>
      <c r="AE39" s="139">
        <f>SUMIFS(Resumo_Trocas!$E:$E,Resumo_Trocas!$A:$A,$C39,Resumo_Trocas!$F:$F,AD$18,Resumo_Trocas!$C:$C,"&gt;0")</f>
        <v>0</v>
      </c>
      <c r="AF39" s="138">
        <f>SUMIFS(Resumo_Trocas!$C:$C,Resumo_Trocas!$A:$A,$C39,Resumo_Trocas!$F:$F,AF$18,Resumo_Trocas!$C:$C,"&gt;0")</f>
        <v>0</v>
      </c>
      <c r="AG39" s="139">
        <f>SUMIFS(Resumo_Trocas!$E:$E,Resumo_Trocas!$A:$A,$C39,Resumo_Trocas!$F:$F,AF$18,Resumo_Trocas!$C:$C,"&gt;0")</f>
        <v>0</v>
      </c>
      <c r="AH39" s="138">
        <f>SUMIFS(Resumo_Trocas!$C:$C,Resumo_Trocas!$A:$A,$C39,Resumo_Trocas!$F:$F,AH$18,Resumo_Trocas!$C:$C,"&gt;0")</f>
        <v>0</v>
      </c>
      <c r="AI39" s="139">
        <f>SUMIFS(Resumo_Trocas!$E:$E,Resumo_Trocas!$A:$A,$C39,Resumo_Trocas!$F:$F,AH$18,Resumo_Trocas!$C:$C,"&gt;0")</f>
        <v>0</v>
      </c>
      <c r="AJ39" s="138">
        <f>SUMIFS(Resumo_Trocas!$C:$C,Resumo_Trocas!$A:$A,$C39,Resumo_Trocas!$F:$F,AJ$18,Resumo_Trocas!$C:$C,"&gt;0")</f>
        <v>0</v>
      </c>
      <c r="AK39" s="139">
        <f>SUMIFS(Resumo_Trocas!$E:$E,Resumo_Trocas!$A:$A,$C39,Resumo_Trocas!$F:$F,AJ$18,Resumo_Trocas!$C:$C,"&gt;0")</f>
        <v>0</v>
      </c>
      <c r="AL39" s="138">
        <f>SUMIFS(Resumo_Trocas!$C:$C,Resumo_Trocas!$A:$A,$C39,Resumo_Trocas!$F:$F,AL$18,Resumo_Trocas!$C:$C,"&gt;0")</f>
        <v>0</v>
      </c>
      <c r="AM39" s="139">
        <f>SUMIFS(Resumo_Trocas!$E:$E,Resumo_Trocas!$A:$A,$C39,Resumo_Trocas!$F:$F,AL$18,Resumo_Trocas!$C:$C,"&gt;0")</f>
        <v>0</v>
      </c>
      <c r="AN39" s="138">
        <f>SUMIFS(Resumo_Trocas!$C:$C,Resumo_Trocas!$A:$A,$C39,Resumo_Trocas!$F:$F,AN$18,Resumo_Trocas!$C:$C,"&gt;0")</f>
        <v>0</v>
      </c>
      <c r="AO39" s="139">
        <f>SUMIFS(Resumo_Trocas!$E:$E,Resumo_Trocas!$A:$A,$C39,Resumo_Trocas!$F:$F,AN$18,Resumo_Trocas!$C:$C,"&gt;0")</f>
        <v>0</v>
      </c>
    </row>
    <row r="40" spans="2:43" ht="15" customHeight="1" outlineLevel="1" thickBot="1" x14ac:dyDescent="0.3">
      <c r="B40" s="76"/>
      <c r="C40" s="147" t="s">
        <v>382</v>
      </c>
      <c r="D40" s="140">
        <f>SUMIFS(Resumo_Trocas!$C:$C,Resumo_Trocas!$A:$A,$C40,Resumo_Trocas!$F:$F,D$18,Resumo_Trocas!$C:$C,"&gt;0")</f>
        <v>1</v>
      </c>
      <c r="E40" s="141">
        <f>SUMIFS(Resumo_Trocas!$E:$E,Resumo_Trocas!$A:$A,$C40,Resumo_Trocas!$F:$F,D$18,Resumo_Trocas!$C:$C,"&gt;0")</f>
        <v>0</v>
      </c>
      <c r="F40" s="140">
        <f>SUMIFS(Resumo_Trocas!$C:$C,Resumo_Trocas!$A:$A,$C40,Resumo_Trocas!$F:$F,F$18,Resumo_Trocas!$C:$C,"&gt;0")</f>
        <v>0</v>
      </c>
      <c r="G40" s="141">
        <f>SUMIFS(Resumo_Trocas!$E:$E,Resumo_Trocas!$A:$A,$C40,Resumo_Trocas!$F:$F,F$18,Resumo_Trocas!$C:$C,"&gt;0")</f>
        <v>0</v>
      </c>
      <c r="H40" s="140">
        <f>SUMIFS(Resumo_Trocas!$C:$C,Resumo_Trocas!$A:$A,$C40,Resumo_Trocas!$F:$F,H$18,Resumo_Trocas!$C:$C,"&gt;0")</f>
        <v>2</v>
      </c>
      <c r="I40" s="141">
        <f>SUMIFS(Resumo_Trocas!$E:$E,Resumo_Trocas!$A:$A,$C40,Resumo_Trocas!$F:$F,H$18,Resumo_Trocas!$C:$C,"&gt;0")</f>
        <v>0</v>
      </c>
      <c r="J40" s="140">
        <f>SUMIFS(Resumo_Trocas!$C:$C,Resumo_Trocas!$A:$A,$C40,Resumo_Trocas!$F:$F,J$18,Resumo_Trocas!$C:$C,"&gt;0")</f>
        <v>3</v>
      </c>
      <c r="K40" s="141">
        <f>SUMIFS(Resumo_Trocas!$E:$E,Resumo_Trocas!$A:$A,$C40,Resumo_Trocas!$F:$F,J$18,Resumo_Trocas!$C:$C,"&gt;0")</f>
        <v>0</v>
      </c>
      <c r="L40" s="140">
        <f>SUMIFS(Resumo_Trocas!$C:$C,Resumo_Trocas!$A:$A,$C40,Resumo_Trocas!$F:$F,L$18,Resumo_Trocas!$C:$C,"&gt;0")</f>
        <v>0</v>
      </c>
      <c r="M40" s="141">
        <f>SUMIFS(Resumo_Trocas!$E:$E,Resumo_Trocas!$A:$A,$C40,Resumo_Trocas!$F:$F,L$18,Resumo_Trocas!$C:$C,"&gt;0")</f>
        <v>0</v>
      </c>
      <c r="N40" s="140">
        <f>SUMIFS(Resumo_Trocas!$C:$C,Resumo_Trocas!$A:$A,$C40,Resumo_Trocas!$F:$F,N$18,Resumo_Trocas!$C:$C,"&gt;0")</f>
        <v>0</v>
      </c>
      <c r="O40" s="141">
        <f>SUMIFS(Resumo_Trocas!$E:$E,Resumo_Trocas!$A:$A,$C40,Resumo_Trocas!$F:$F,N$18,Resumo_Trocas!$C:$C,"&gt;0")</f>
        <v>0</v>
      </c>
      <c r="P40" s="140">
        <f>SUMIFS(Resumo_Trocas!$C:$C,Resumo_Trocas!$A:$A,$C40,Resumo_Trocas!$F:$F,P$18,Resumo_Trocas!$C:$C,"&gt;0")</f>
        <v>0</v>
      </c>
      <c r="Q40" s="141">
        <f>SUMIFS(Resumo_Trocas!$E:$E,Resumo_Trocas!$A:$A,$C40,Resumo_Trocas!$F:$F,P$18,Resumo_Trocas!$C:$C,"&gt;0")</f>
        <v>0</v>
      </c>
      <c r="R40" s="140">
        <f>SUMIFS(Resumo_Trocas!$C:$C,Resumo_Trocas!$A:$A,$C40,Resumo_Trocas!$F:$F,R$18,Resumo_Trocas!$C:$C,"&gt;0")</f>
        <v>0</v>
      </c>
      <c r="S40" s="141">
        <f>SUMIFS(Resumo_Trocas!$E:$E,Resumo_Trocas!$A:$A,$C40,Resumo_Trocas!$F:$F,R$18,Resumo_Trocas!$C:$C,"&gt;0")</f>
        <v>0</v>
      </c>
      <c r="T40" s="140">
        <f>SUMIFS(Resumo_Trocas!$C:$C,Resumo_Trocas!$A:$A,$C40,Resumo_Trocas!$F:$F,T$18,Resumo_Trocas!$C:$C,"&gt;0")</f>
        <v>1</v>
      </c>
      <c r="U40" s="141">
        <f>SUMIFS(Resumo_Trocas!$E:$E,Resumo_Trocas!$A:$A,$C40,Resumo_Trocas!$F:$F,T$18,Resumo_Trocas!$C:$C,"&gt;0")</f>
        <v>0</v>
      </c>
      <c r="V40" s="140">
        <f>SUMIFS(Resumo_Trocas!$C:$C,Resumo_Trocas!$A:$A,$C40,Resumo_Trocas!$F:$F,V$18,Resumo_Trocas!$C:$C,"&gt;0")</f>
        <v>0</v>
      </c>
      <c r="W40" s="141">
        <f>SUMIFS(Resumo_Trocas!$E:$E,Resumo_Trocas!$A:$A,$C40,Resumo_Trocas!$F:$F,V$18,Resumo_Trocas!$C:$C,"&gt;0")</f>
        <v>0</v>
      </c>
      <c r="X40" s="140">
        <f>SUMIFS(Resumo_Trocas!$C:$C,Resumo_Trocas!$A:$A,$C40,Resumo_Trocas!$F:$F,X$18,Resumo_Trocas!$C:$C,"&gt;0")</f>
        <v>0</v>
      </c>
      <c r="Y40" s="141">
        <f>SUMIFS(Resumo_Trocas!$E:$E,Resumo_Trocas!$A:$A,$C40,Resumo_Trocas!$F:$F,X$18,Resumo_Trocas!$C:$C,"&gt;0")</f>
        <v>0</v>
      </c>
      <c r="Z40" s="140">
        <f>SUMIFS(Resumo_Trocas!$C:$C,Resumo_Trocas!$A:$A,$C40,Resumo_Trocas!$F:$F,Z$18,Resumo_Trocas!$C:$C,"&gt;0")</f>
        <v>1</v>
      </c>
      <c r="AA40" s="141">
        <f>SUMIFS(Resumo_Trocas!$E:$E,Resumo_Trocas!$A:$A,$C40,Resumo_Trocas!$F:$F,Z$18,Resumo_Trocas!$C:$C,"&gt;0")</f>
        <v>0</v>
      </c>
      <c r="AB40" s="140">
        <f>SUMIFS(Resumo_Trocas!$C:$C,Resumo_Trocas!$A:$A,$C40,Resumo_Trocas!$F:$F,AB$18,Resumo_Trocas!$C:$C,"&gt;0")</f>
        <v>1</v>
      </c>
      <c r="AC40" s="141">
        <f>SUMIFS(Resumo_Trocas!$E:$E,Resumo_Trocas!$A:$A,$C40,Resumo_Trocas!$F:$F,AB$18,Resumo_Trocas!$C:$C,"&gt;0")</f>
        <v>0</v>
      </c>
      <c r="AD40" s="140">
        <f>SUMIFS(Resumo_Trocas!$C:$C,Resumo_Trocas!$A:$A,$C40,Resumo_Trocas!$F:$F,AD$18,Resumo_Trocas!$C:$C,"&gt;0")</f>
        <v>0</v>
      </c>
      <c r="AE40" s="141">
        <f>SUMIFS(Resumo_Trocas!$E:$E,Resumo_Trocas!$A:$A,$C40,Resumo_Trocas!$F:$F,AD$18,Resumo_Trocas!$C:$C,"&gt;0")</f>
        <v>0</v>
      </c>
      <c r="AF40" s="140">
        <f>SUMIFS(Resumo_Trocas!$C:$C,Resumo_Trocas!$A:$A,$C40,Resumo_Trocas!$F:$F,AF$18,Resumo_Trocas!$C:$C,"&gt;0")</f>
        <v>0</v>
      </c>
      <c r="AG40" s="141">
        <f>SUMIFS(Resumo_Trocas!$E:$E,Resumo_Trocas!$A:$A,$C40,Resumo_Trocas!$F:$F,AF$18,Resumo_Trocas!$C:$C,"&gt;0")</f>
        <v>0</v>
      </c>
      <c r="AH40" s="140">
        <f>SUMIFS(Resumo_Trocas!$C:$C,Resumo_Trocas!$A:$A,$C40,Resumo_Trocas!$F:$F,AH$18,Resumo_Trocas!$C:$C,"&gt;0")</f>
        <v>0</v>
      </c>
      <c r="AI40" s="141">
        <f>SUMIFS(Resumo_Trocas!$E:$E,Resumo_Trocas!$A:$A,$C40,Resumo_Trocas!$F:$F,AH$18,Resumo_Trocas!$C:$C,"&gt;0")</f>
        <v>0</v>
      </c>
      <c r="AJ40" s="140">
        <f>SUMIFS(Resumo_Trocas!$C:$C,Resumo_Trocas!$A:$A,$C40,Resumo_Trocas!$F:$F,AJ$18,Resumo_Trocas!$C:$C,"&gt;0")</f>
        <v>1</v>
      </c>
      <c r="AK40" s="141">
        <f>SUMIFS(Resumo_Trocas!$E:$E,Resumo_Trocas!$A:$A,$C40,Resumo_Trocas!$F:$F,AJ$18,Resumo_Trocas!$C:$C,"&gt;0")</f>
        <v>0</v>
      </c>
      <c r="AL40" s="140">
        <f>SUMIFS(Resumo_Trocas!$C:$C,Resumo_Trocas!$A:$A,$C40,Resumo_Trocas!$F:$F,AL$18,Resumo_Trocas!$C:$C,"&gt;0")</f>
        <v>0</v>
      </c>
      <c r="AM40" s="141">
        <f>SUMIFS(Resumo_Trocas!$E:$E,Resumo_Trocas!$A:$A,$C40,Resumo_Trocas!$F:$F,AL$18,Resumo_Trocas!$C:$C,"&gt;0")</f>
        <v>0</v>
      </c>
      <c r="AN40" s="140">
        <f>SUMIFS(Resumo_Trocas!$C:$C,Resumo_Trocas!$A:$A,$C40,Resumo_Trocas!$F:$F,AN$18,Resumo_Trocas!$C:$C,"&gt;0")</f>
        <v>0</v>
      </c>
      <c r="AO40" s="141">
        <f>SUMIFS(Resumo_Trocas!$E:$E,Resumo_Trocas!$A:$A,$C40,Resumo_Trocas!$F:$F,AN$18,Resumo_Trocas!$C:$C,"&gt;0")</f>
        <v>0</v>
      </c>
    </row>
    <row r="41" spans="2:43" ht="15" customHeight="1" outlineLevel="1" thickBot="1" x14ac:dyDescent="0.3">
      <c r="B41" s="76"/>
      <c r="C41" s="147" t="s">
        <v>383</v>
      </c>
      <c r="D41" s="140">
        <f>SUMIFS(Resumo_Trocas!$C:$C,Resumo_Trocas!$A:$A,$C41,Resumo_Trocas!$F:$F,D$18,Resumo_Trocas!$C:$C,"&gt;0")</f>
        <v>1</v>
      </c>
      <c r="E41" s="141">
        <f>SUMIFS(Resumo_Trocas!$E:$E,Resumo_Trocas!$A:$A,$C41,Resumo_Trocas!$F:$F,D$18,Resumo_Trocas!$C:$C,"&gt;0")</f>
        <v>0</v>
      </c>
      <c r="F41" s="140">
        <f>SUMIFS(Resumo_Trocas!$C:$C,Resumo_Trocas!$A:$A,$C41,Resumo_Trocas!$F:$F,F$18,Resumo_Trocas!$C:$C,"&gt;0")</f>
        <v>1</v>
      </c>
      <c r="G41" s="141">
        <f>SUMIFS(Resumo_Trocas!$E:$E,Resumo_Trocas!$A:$A,$C41,Resumo_Trocas!$F:$F,F$18,Resumo_Trocas!$C:$C,"&gt;0")</f>
        <v>0</v>
      </c>
      <c r="H41" s="140">
        <f>SUMIFS(Resumo_Trocas!$C:$C,Resumo_Trocas!$A:$A,$C41,Resumo_Trocas!$F:$F,H$18,Resumo_Trocas!$C:$C,"&gt;0")</f>
        <v>1</v>
      </c>
      <c r="I41" s="141">
        <f>SUMIFS(Resumo_Trocas!$E:$E,Resumo_Trocas!$A:$A,$C41,Resumo_Trocas!$F:$F,H$18,Resumo_Trocas!$C:$C,"&gt;0")</f>
        <v>0</v>
      </c>
      <c r="J41" s="140">
        <f>SUMIFS(Resumo_Trocas!$C:$C,Resumo_Trocas!$A:$A,$C41,Resumo_Trocas!$F:$F,J$18,Resumo_Trocas!$C:$C,"&gt;0")</f>
        <v>0</v>
      </c>
      <c r="K41" s="141">
        <f>SUMIFS(Resumo_Trocas!$E:$E,Resumo_Trocas!$A:$A,$C41,Resumo_Trocas!$F:$F,J$18,Resumo_Trocas!$C:$C,"&gt;0")</f>
        <v>0</v>
      </c>
      <c r="L41" s="140">
        <f>SUMIFS(Resumo_Trocas!$C:$C,Resumo_Trocas!$A:$A,$C41,Resumo_Trocas!$F:$F,L$18,Resumo_Trocas!$C:$C,"&gt;0")</f>
        <v>1</v>
      </c>
      <c r="M41" s="141">
        <f>SUMIFS(Resumo_Trocas!$E:$E,Resumo_Trocas!$A:$A,$C41,Resumo_Trocas!$F:$F,L$18,Resumo_Trocas!$C:$C,"&gt;0")</f>
        <v>0</v>
      </c>
      <c r="N41" s="140">
        <f>SUMIFS(Resumo_Trocas!$C:$C,Resumo_Trocas!$A:$A,$C41,Resumo_Trocas!$F:$F,N$18,Resumo_Trocas!$C:$C,"&gt;0")</f>
        <v>0</v>
      </c>
      <c r="O41" s="141">
        <f>SUMIFS(Resumo_Trocas!$E:$E,Resumo_Trocas!$A:$A,$C41,Resumo_Trocas!$F:$F,N$18,Resumo_Trocas!$C:$C,"&gt;0")</f>
        <v>0</v>
      </c>
      <c r="P41" s="140">
        <f>SUMIFS(Resumo_Trocas!$C:$C,Resumo_Trocas!$A:$A,$C41,Resumo_Trocas!$F:$F,P$18,Resumo_Trocas!$C:$C,"&gt;0")</f>
        <v>0</v>
      </c>
      <c r="Q41" s="141">
        <f>SUMIFS(Resumo_Trocas!$E:$E,Resumo_Trocas!$A:$A,$C41,Resumo_Trocas!$F:$F,P$18,Resumo_Trocas!$C:$C,"&gt;0")</f>
        <v>0</v>
      </c>
      <c r="R41" s="140">
        <f>SUMIFS(Resumo_Trocas!$C:$C,Resumo_Trocas!$A:$A,$C41,Resumo_Trocas!$F:$F,R$18,Resumo_Trocas!$C:$C,"&gt;0")</f>
        <v>1</v>
      </c>
      <c r="S41" s="141">
        <f>SUMIFS(Resumo_Trocas!$E:$E,Resumo_Trocas!$A:$A,$C41,Resumo_Trocas!$F:$F,R$18,Resumo_Trocas!$C:$C,"&gt;0")</f>
        <v>0</v>
      </c>
      <c r="T41" s="140">
        <f>SUMIFS(Resumo_Trocas!$C:$C,Resumo_Trocas!$A:$A,$C41,Resumo_Trocas!$F:$F,T$18,Resumo_Trocas!$C:$C,"&gt;0")</f>
        <v>3</v>
      </c>
      <c r="U41" s="141">
        <f>SUMIFS(Resumo_Trocas!$E:$E,Resumo_Trocas!$A:$A,$C41,Resumo_Trocas!$F:$F,T$18,Resumo_Trocas!$C:$C,"&gt;0")</f>
        <v>1</v>
      </c>
      <c r="V41" s="140">
        <f>SUMIFS(Resumo_Trocas!$C:$C,Resumo_Trocas!$A:$A,$C41,Resumo_Trocas!$F:$F,V$18,Resumo_Trocas!$C:$C,"&gt;0")</f>
        <v>5</v>
      </c>
      <c r="W41" s="141">
        <f>SUMIFS(Resumo_Trocas!$E:$E,Resumo_Trocas!$A:$A,$C41,Resumo_Trocas!$F:$F,V$18,Resumo_Trocas!$C:$C,"&gt;0")</f>
        <v>1</v>
      </c>
      <c r="X41" s="140">
        <f>SUMIFS(Resumo_Trocas!$C:$C,Resumo_Trocas!$A:$A,$C41,Resumo_Trocas!$F:$F,X$18,Resumo_Trocas!$C:$C,"&gt;0")</f>
        <v>1</v>
      </c>
      <c r="Y41" s="141">
        <f>SUMIFS(Resumo_Trocas!$E:$E,Resumo_Trocas!$A:$A,$C41,Resumo_Trocas!$F:$F,X$18,Resumo_Trocas!$C:$C,"&gt;0")</f>
        <v>0</v>
      </c>
      <c r="Z41" s="140">
        <f>SUMIFS(Resumo_Trocas!$C:$C,Resumo_Trocas!$A:$A,$C41,Resumo_Trocas!$F:$F,Z$18,Resumo_Trocas!$C:$C,"&gt;0")</f>
        <v>1</v>
      </c>
      <c r="AA41" s="141">
        <f>SUMIFS(Resumo_Trocas!$E:$E,Resumo_Trocas!$A:$A,$C41,Resumo_Trocas!$F:$F,Z$18,Resumo_Trocas!$C:$C,"&gt;0")</f>
        <v>0</v>
      </c>
      <c r="AB41" s="140">
        <f>SUMIFS(Resumo_Trocas!$C:$C,Resumo_Trocas!$A:$A,$C41,Resumo_Trocas!$F:$F,AB$18,Resumo_Trocas!$C:$C,"&gt;0")</f>
        <v>1</v>
      </c>
      <c r="AC41" s="141">
        <f>SUMIFS(Resumo_Trocas!$E:$E,Resumo_Trocas!$A:$A,$C41,Resumo_Trocas!$F:$F,AB$18,Resumo_Trocas!$C:$C,"&gt;0")</f>
        <v>0</v>
      </c>
      <c r="AD41" s="140">
        <f>SUMIFS(Resumo_Trocas!$C:$C,Resumo_Trocas!$A:$A,$C41,Resumo_Trocas!$F:$F,AD$18,Resumo_Trocas!$C:$C,"&gt;0")</f>
        <v>1</v>
      </c>
      <c r="AE41" s="141">
        <f>SUMIFS(Resumo_Trocas!$E:$E,Resumo_Trocas!$A:$A,$C41,Resumo_Trocas!$F:$F,AD$18,Resumo_Trocas!$C:$C,"&gt;0")</f>
        <v>0</v>
      </c>
      <c r="AF41" s="140">
        <f>SUMIFS(Resumo_Trocas!$C:$C,Resumo_Trocas!$A:$A,$C41,Resumo_Trocas!$F:$F,AF$18,Resumo_Trocas!$C:$C,"&gt;0")</f>
        <v>0</v>
      </c>
      <c r="AG41" s="141">
        <f>SUMIFS(Resumo_Trocas!$E:$E,Resumo_Trocas!$A:$A,$C41,Resumo_Trocas!$F:$F,AF$18,Resumo_Trocas!$C:$C,"&gt;0")</f>
        <v>0</v>
      </c>
      <c r="AH41" s="140">
        <f>SUMIFS(Resumo_Trocas!$C:$C,Resumo_Trocas!$A:$A,$C41,Resumo_Trocas!$F:$F,AH$18,Resumo_Trocas!$C:$C,"&gt;0")</f>
        <v>2</v>
      </c>
      <c r="AI41" s="141">
        <f>SUMIFS(Resumo_Trocas!$E:$E,Resumo_Trocas!$A:$A,$C41,Resumo_Trocas!$F:$F,AH$18,Resumo_Trocas!$C:$C,"&gt;0")</f>
        <v>1</v>
      </c>
      <c r="AJ41" s="140">
        <f>SUMIFS(Resumo_Trocas!$C:$C,Resumo_Trocas!$A:$A,$C41,Resumo_Trocas!$F:$F,AJ$18,Resumo_Trocas!$C:$C,"&gt;0")</f>
        <v>0</v>
      </c>
      <c r="AK41" s="141">
        <f>SUMIFS(Resumo_Trocas!$E:$E,Resumo_Trocas!$A:$A,$C41,Resumo_Trocas!$F:$F,AJ$18,Resumo_Trocas!$C:$C,"&gt;0")</f>
        <v>0</v>
      </c>
      <c r="AL41" s="140">
        <f>SUMIFS(Resumo_Trocas!$C:$C,Resumo_Trocas!$A:$A,$C41,Resumo_Trocas!$F:$F,AL$18,Resumo_Trocas!$C:$C,"&gt;0")</f>
        <v>1</v>
      </c>
      <c r="AM41" s="141">
        <f>SUMIFS(Resumo_Trocas!$E:$E,Resumo_Trocas!$A:$A,$C41,Resumo_Trocas!$F:$F,AL$18,Resumo_Trocas!$C:$C,"&gt;0")</f>
        <v>0</v>
      </c>
      <c r="AN41" s="140">
        <f>SUMIFS(Resumo_Trocas!$C:$C,Resumo_Trocas!$A:$A,$C41,Resumo_Trocas!$F:$F,AN$18,Resumo_Trocas!$C:$C,"&gt;0")</f>
        <v>0</v>
      </c>
      <c r="AO41" s="141">
        <f>SUMIFS(Resumo_Trocas!$E:$E,Resumo_Trocas!$A:$A,$C41,Resumo_Trocas!$F:$F,AN$18,Resumo_Trocas!$C:$C,"&gt;0")</f>
        <v>0</v>
      </c>
    </row>
    <row r="42" spans="2:43" ht="15" customHeight="1" outlineLevel="1" thickBot="1" x14ac:dyDescent="0.3">
      <c r="B42" s="76"/>
      <c r="C42" s="147" t="s">
        <v>384</v>
      </c>
      <c r="D42" s="140">
        <f>SUMIFS(Resumo_Trocas!$C:$C,Resumo_Trocas!$A:$A,$C42,Resumo_Trocas!$F:$F,D$18,Resumo_Trocas!$C:$C,"&gt;0")</f>
        <v>2</v>
      </c>
      <c r="E42" s="141">
        <f>SUMIFS(Resumo_Trocas!$E:$E,Resumo_Trocas!$A:$A,$C42,Resumo_Trocas!$F:$F,D$18,Resumo_Trocas!$C:$C,"&gt;0")</f>
        <v>1</v>
      </c>
      <c r="F42" s="140">
        <f>SUMIFS(Resumo_Trocas!$C:$C,Resumo_Trocas!$A:$A,$C42,Resumo_Trocas!$F:$F,F$18,Resumo_Trocas!$C:$C,"&gt;0")</f>
        <v>4</v>
      </c>
      <c r="G42" s="141">
        <f>SUMIFS(Resumo_Trocas!$E:$E,Resumo_Trocas!$A:$A,$C42,Resumo_Trocas!$F:$F,F$18,Resumo_Trocas!$C:$C,"&gt;0")</f>
        <v>2</v>
      </c>
      <c r="H42" s="140">
        <f>SUMIFS(Resumo_Trocas!$C:$C,Resumo_Trocas!$A:$A,$C42,Resumo_Trocas!$F:$F,H$18,Resumo_Trocas!$C:$C,"&gt;0")</f>
        <v>0</v>
      </c>
      <c r="I42" s="141">
        <f>SUMIFS(Resumo_Trocas!$E:$E,Resumo_Trocas!$A:$A,$C42,Resumo_Trocas!$F:$F,H$18,Resumo_Trocas!$C:$C,"&gt;0")</f>
        <v>0</v>
      </c>
      <c r="J42" s="140">
        <f>SUMIFS(Resumo_Trocas!$C:$C,Resumo_Trocas!$A:$A,$C42,Resumo_Trocas!$F:$F,J$18,Resumo_Trocas!$C:$C,"&gt;0")</f>
        <v>0</v>
      </c>
      <c r="K42" s="141">
        <f>SUMIFS(Resumo_Trocas!$E:$E,Resumo_Trocas!$A:$A,$C42,Resumo_Trocas!$F:$F,J$18,Resumo_Trocas!$C:$C,"&gt;0")</f>
        <v>0</v>
      </c>
      <c r="L42" s="140">
        <f>SUMIFS(Resumo_Trocas!$C:$C,Resumo_Trocas!$A:$A,$C42,Resumo_Trocas!$F:$F,L$18,Resumo_Trocas!$C:$C,"&gt;0")</f>
        <v>1</v>
      </c>
      <c r="M42" s="141">
        <f>SUMIFS(Resumo_Trocas!$E:$E,Resumo_Trocas!$A:$A,$C42,Resumo_Trocas!$F:$F,L$18,Resumo_Trocas!$C:$C,"&gt;0")</f>
        <v>0</v>
      </c>
      <c r="N42" s="140">
        <f>SUMIFS(Resumo_Trocas!$C:$C,Resumo_Trocas!$A:$A,$C42,Resumo_Trocas!$F:$F,N$18,Resumo_Trocas!$C:$C,"&gt;0")</f>
        <v>0</v>
      </c>
      <c r="O42" s="141">
        <f>SUMIFS(Resumo_Trocas!$E:$E,Resumo_Trocas!$A:$A,$C42,Resumo_Trocas!$F:$F,N$18,Resumo_Trocas!$C:$C,"&gt;0")</f>
        <v>0</v>
      </c>
      <c r="P42" s="140">
        <f>SUMIFS(Resumo_Trocas!$C:$C,Resumo_Trocas!$A:$A,$C42,Resumo_Trocas!$F:$F,P$18,Resumo_Trocas!$C:$C,"&gt;0")</f>
        <v>0</v>
      </c>
      <c r="Q42" s="141">
        <f>SUMIFS(Resumo_Trocas!$E:$E,Resumo_Trocas!$A:$A,$C42,Resumo_Trocas!$F:$F,P$18,Resumo_Trocas!$C:$C,"&gt;0")</f>
        <v>0</v>
      </c>
      <c r="R42" s="140">
        <f>SUMIFS(Resumo_Trocas!$C:$C,Resumo_Trocas!$A:$A,$C42,Resumo_Trocas!$F:$F,R$18,Resumo_Trocas!$C:$C,"&gt;0")</f>
        <v>0</v>
      </c>
      <c r="S42" s="141">
        <f>SUMIFS(Resumo_Trocas!$E:$E,Resumo_Trocas!$A:$A,$C42,Resumo_Trocas!$F:$F,R$18,Resumo_Trocas!$C:$C,"&gt;0")</f>
        <v>0</v>
      </c>
      <c r="T42" s="140">
        <f>SUMIFS(Resumo_Trocas!$C:$C,Resumo_Trocas!$A:$A,$C42,Resumo_Trocas!$F:$F,T$18,Resumo_Trocas!$C:$C,"&gt;0")</f>
        <v>0</v>
      </c>
      <c r="U42" s="141">
        <f>SUMIFS(Resumo_Trocas!$E:$E,Resumo_Trocas!$A:$A,$C42,Resumo_Trocas!$F:$F,T$18,Resumo_Trocas!$C:$C,"&gt;0")</f>
        <v>0</v>
      </c>
      <c r="V42" s="140">
        <f>SUMIFS(Resumo_Trocas!$C:$C,Resumo_Trocas!$A:$A,$C42,Resumo_Trocas!$F:$F,V$18,Resumo_Trocas!$C:$C,"&gt;0")</f>
        <v>0</v>
      </c>
      <c r="W42" s="141">
        <f>SUMIFS(Resumo_Trocas!$E:$E,Resumo_Trocas!$A:$A,$C42,Resumo_Trocas!$F:$F,V$18,Resumo_Trocas!$C:$C,"&gt;0")</f>
        <v>0</v>
      </c>
      <c r="X42" s="140">
        <f>SUMIFS(Resumo_Trocas!$C:$C,Resumo_Trocas!$A:$A,$C42,Resumo_Trocas!$F:$F,X$18,Resumo_Trocas!$C:$C,"&gt;0")</f>
        <v>0</v>
      </c>
      <c r="Y42" s="141">
        <f>SUMIFS(Resumo_Trocas!$E:$E,Resumo_Trocas!$A:$A,$C42,Resumo_Trocas!$F:$F,X$18,Resumo_Trocas!$C:$C,"&gt;0")</f>
        <v>0</v>
      </c>
      <c r="Z42" s="140">
        <f>SUMIFS(Resumo_Trocas!$C:$C,Resumo_Trocas!$A:$A,$C42,Resumo_Trocas!$F:$F,Z$18,Resumo_Trocas!$C:$C,"&gt;0")</f>
        <v>1</v>
      </c>
      <c r="AA42" s="141">
        <f>SUMIFS(Resumo_Trocas!$E:$E,Resumo_Trocas!$A:$A,$C42,Resumo_Trocas!$F:$F,Z$18,Resumo_Trocas!$C:$C,"&gt;0")</f>
        <v>0</v>
      </c>
      <c r="AB42" s="140">
        <f>SUMIFS(Resumo_Trocas!$C:$C,Resumo_Trocas!$A:$A,$C42,Resumo_Trocas!$F:$F,AB$18,Resumo_Trocas!$C:$C,"&gt;0")</f>
        <v>0</v>
      </c>
      <c r="AC42" s="141">
        <f>SUMIFS(Resumo_Trocas!$E:$E,Resumo_Trocas!$A:$A,$C42,Resumo_Trocas!$F:$F,AB$18,Resumo_Trocas!$C:$C,"&gt;0")</f>
        <v>0</v>
      </c>
      <c r="AD42" s="140">
        <f>SUMIFS(Resumo_Trocas!$C:$C,Resumo_Trocas!$A:$A,$C42,Resumo_Trocas!$F:$F,AD$18,Resumo_Trocas!$C:$C,"&gt;0")</f>
        <v>1</v>
      </c>
      <c r="AE42" s="141">
        <f>SUMIFS(Resumo_Trocas!$E:$E,Resumo_Trocas!$A:$A,$C42,Resumo_Trocas!$F:$F,AD$18,Resumo_Trocas!$C:$C,"&gt;0")</f>
        <v>1</v>
      </c>
      <c r="AF42" s="140">
        <f>SUMIFS(Resumo_Trocas!$C:$C,Resumo_Trocas!$A:$A,$C42,Resumo_Trocas!$F:$F,AF$18,Resumo_Trocas!$C:$C,"&gt;0")</f>
        <v>0</v>
      </c>
      <c r="AG42" s="141">
        <f>SUMIFS(Resumo_Trocas!$E:$E,Resumo_Trocas!$A:$A,$C42,Resumo_Trocas!$F:$F,AF$18,Resumo_Trocas!$C:$C,"&gt;0")</f>
        <v>0</v>
      </c>
      <c r="AH42" s="140">
        <f>SUMIFS(Resumo_Trocas!$C:$C,Resumo_Trocas!$A:$A,$C42,Resumo_Trocas!$F:$F,AH$18,Resumo_Trocas!$C:$C,"&gt;0")</f>
        <v>0</v>
      </c>
      <c r="AI42" s="141">
        <f>SUMIFS(Resumo_Trocas!$E:$E,Resumo_Trocas!$A:$A,$C42,Resumo_Trocas!$F:$F,AH$18,Resumo_Trocas!$C:$C,"&gt;0")</f>
        <v>0</v>
      </c>
      <c r="AJ42" s="140">
        <f>SUMIFS(Resumo_Trocas!$C:$C,Resumo_Trocas!$A:$A,$C42,Resumo_Trocas!$F:$F,AJ$18,Resumo_Trocas!$C:$C,"&gt;0")</f>
        <v>0</v>
      </c>
      <c r="AK42" s="141">
        <f>SUMIFS(Resumo_Trocas!$E:$E,Resumo_Trocas!$A:$A,$C42,Resumo_Trocas!$F:$F,AJ$18,Resumo_Trocas!$C:$C,"&gt;0")</f>
        <v>0</v>
      </c>
      <c r="AL42" s="140">
        <f>SUMIFS(Resumo_Trocas!$C:$C,Resumo_Trocas!$A:$A,$C42,Resumo_Trocas!$F:$F,AL$18,Resumo_Trocas!$C:$C,"&gt;0")</f>
        <v>0</v>
      </c>
      <c r="AM42" s="141">
        <f>SUMIFS(Resumo_Trocas!$E:$E,Resumo_Trocas!$A:$A,$C42,Resumo_Trocas!$F:$F,AL$18,Resumo_Trocas!$C:$C,"&gt;0")</f>
        <v>0</v>
      </c>
      <c r="AN42" s="140">
        <f>SUMIFS(Resumo_Trocas!$C:$C,Resumo_Trocas!$A:$A,$C42,Resumo_Trocas!$F:$F,AN$18,Resumo_Trocas!$C:$C,"&gt;0")</f>
        <v>0</v>
      </c>
      <c r="AO42" s="141">
        <f>SUMIFS(Resumo_Trocas!$E:$E,Resumo_Trocas!$A:$A,$C42,Resumo_Trocas!$F:$F,AN$18,Resumo_Trocas!$C:$C,"&gt;0")</f>
        <v>0</v>
      </c>
    </row>
    <row r="43" spans="2:43" ht="15" customHeight="1" outlineLevel="1" thickBot="1" x14ac:dyDescent="0.3">
      <c r="B43" s="76"/>
      <c r="C43" s="147" t="s">
        <v>387</v>
      </c>
      <c r="D43" s="140">
        <f>SUMIFS(Resumo_Trocas!$C:$C,Resumo_Trocas!$A:$A,$C43,Resumo_Trocas!$F:$F,D$18,Resumo_Trocas!$C:$C,"&gt;0")</f>
        <v>1</v>
      </c>
      <c r="E43" s="141">
        <f>SUMIFS(Resumo_Trocas!$E:$E,Resumo_Trocas!$A:$A,$C43,Resumo_Trocas!$F:$F,D$18,Resumo_Trocas!$C:$C,"&gt;0")</f>
        <v>0</v>
      </c>
      <c r="F43" s="140">
        <f>SUMIFS(Resumo_Trocas!$C:$C,Resumo_Trocas!$A:$A,$C43,Resumo_Trocas!$F:$F,F$18,Resumo_Trocas!$C:$C,"&gt;0")</f>
        <v>0</v>
      </c>
      <c r="G43" s="141">
        <f>SUMIFS(Resumo_Trocas!$E:$E,Resumo_Trocas!$A:$A,$C43,Resumo_Trocas!$F:$F,F$18,Resumo_Trocas!$C:$C,"&gt;0")</f>
        <v>0</v>
      </c>
      <c r="H43" s="140">
        <f>SUMIFS(Resumo_Trocas!$C:$C,Resumo_Trocas!$A:$A,$C43,Resumo_Trocas!$F:$F,H$18,Resumo_Trocas!$C:$C,"&gt;0")</f>
        <v>1</v>
      </c>
      <c r="I43" s="141">
        <f>SUMIFS(Resumo_Trocas!$E:$E,Resumo_Trocas!$A:$A,$C43,Resumo_Trocas!$F:$F,H$18,Resumo_Trocas!$C:$C,"&gt;0")</f>
        <v>1</v>
      </c>
      <c r="J43" s="140">
        <f>SUMIFS(Resumo_Trocas!$C:$C,Resumo_Trocas!$A:$A,$C43,Resumo_Trocas!$F:$F,J$18,Resumo_Trocas!$C:$C,"&gt;0")</f>
        <v>1</v>
      </c>
      <c r="K43" s="141">
        <f>SUMIFS(Resumo_Trocas!$E:$E,Resumo_Trocas!$A:$A,$C43,Resumo_Trocas!$F:$F,J$18,Resumo_Trocas!$C:$C,"&gt;0")</f>
        <v>0</v>
      </c>
      <c r="L43" s="140">
        <f>SUMIFS(Resumo_Trocas!$C:$C,Resumo_Trocas!$A:$A,$C43,Resumo_Trocas!$F:$F,L$18,Resumo_Trocas!$C:$C,"&gt;0")</f>
        <v>0</v>
      </c>
      <c r="M43" s="141">
        <f>SUMIFS(Resumo_Trocas!$E:$E,Resumo_Trocas!$A:$A,$C43,Resumo_Trocas!$F:$F,L$18,Resumo_Trocas!$C:$C,"&gt;0")</f>
        <v>0</v>
      </c>
      <c r="N43" s="140">
        <f>SUMIFS(Resumo_Trocas!$C:$C,Resumo_Trocas!$A:$A,$C43,Resumo_Trocas!$F:$F,N$18,Resumo_Trocas!$C:$C,"&gt;0")</f>
        <v>0</v>
      </c>
      <c r="O43" s="141">
        <f>SUMIFS(Resumo_Trocas!$E:$E,Resumo_Trocas!$A:$A,$C43,Resumo_Trocas!$F:$F,N$18,Resumo_Trocas!$C:$C,"&gt;0")</f>
        <v>0</v>
      </c>
      <c r="P43" s="140">
        <f>SUMIFS(Resumo_Trocas!$C:$C,Resumo_Trocas!$A:$A,$C43,Resumo_Trocas!$F:$F,P$18,Resumo_Trocas!$C:$C,"&gt;0")</f>
        <v>1</v>
      </c>
      <c r="Q43" s="141">
        <f>SUMIFS(Resumo_Trocas!$E:$E,Resumo_Trocas!$A:$A,$C43,Resumo_Trocas!$F:$F,P$18,Resumo_Trocas!$C:$C,"&gt;0")</f>
        <v>0</v>
      </c>
      <c r="R43" s="140">
        <f>SUMIFS(Resumo_Trocas!$C:$C,Resumo_Trocas!$A:$A,$C43,Resumo_Trocas!$F:$F,R$18,Resumo_Trocas!$C:$C,"&gt;0")</f>
        <v>0</v>
      </c>
      <c r="S43" s="141">
        <f>SUMIFS(Resumo_Trocas!$E:$E,Resumo_Trocas!$A:$A,$C43,Resumo_Trocas!$F:$F,R$18,Resumo_Trocas!$C:$C,"&gt;0")</f>
        <v>0</v>
      </c>
      <c r="T43" s="140">
        <f>SUMIFS(Resumo_Trocas!$C:$C,Resumo_Trocas!$A:$A,$C43,Resumo_Trocas!$F:$F,T$18,Resumo_Trocas!$C:$C,"&gt;0")</f>
        <v>0</v>
      </c>
      <c r="U43" s="141">
        <f>SUMIFS(Resumo_Trocas!$E:$E,Resumo_Trocas!$A:$A,$C43,Resumo_Trocas!$F:$F,T$18,Resumo_Trocas!$C:$C,"&gt;0")</f>
        <v>0</v>
      </c>
      <c r="V43" s="140">
        <f>SUMIFS(Resumo_Trocas!$C:$C,Resumo_Trocas!$A:$A,$C43,Resumo_Trocas!$F:$F,V$18,Resumo_Trocas!$C:$C,"&gt;0")</f>
        <v>1</v>
      </c>
      <c r="W43" s="141">
        <f>SUMIFS(Resumo_Trocas!$E:$E,Resumo_Trocas!$A:$A,$C43,Resumo_Trocas!$F:$F,V$18,Resumo_Trocas!$C:$C,"&gt;0")</f>
        <v>0</v>
      </c>
      <c r="X43" s="140">
        <f>SUMIFS(Resumo_Trocas!$C:$C,Resumo_Trocas!$A:$A,$C43,Resumo_Trocas!$F:$F,X$18,Resumo_Trocas!$C:$C,"&gt;0")</f>
        <v>0</v>
      </c>
      <c r="Y43" s="141">
        <f>SUMIFS(Resumo_Trocas!$E:$E,Resumo_Trocas!$A:$A,$C43,Resumo_Trocas!$F:$F,X$18,Resumo_Trocas!$C:$C,"&gt;0")</f>
        <v>0</v>
      </c>
      <c r="Z43" s="140">
        <f>SUMIFS(Resumo_Trocas!$C:$C,Resumo_Trocas!$A:$A,$C43,Resumo_Trocas!$F:$F,Z$18,Resumo_Trocas!$C:$C,"&gt;0")</f>
        <v>0</v>
      </c>
      <c r="AA43" s="141">
        <f>SUMIFS(Resumo_Trocas!$E:$E,Resumo_Trocas!$A:$A,$C43,Resumo_Trocas!$F:$F,Z$18,Resumo_Trocas!$C:$C,"&gt;0")</f>
        <v>0</v>
      </c>
      <c r="AB43" s="140">
        <f>SUMIFS(Resumo_Trocas!$C:$C,Resumo_Trocas!$A:$A,$C43,Resumo_Trocas!$F:$F,AB$18,Resumo_Trocas!$C:$C,"&gt;0")</f>
        <v>0</v>
      </c>
      <c r="AC43" s="141">
        <f>SUMIFS(Resumo_Trocas!$E:$E,Resumo_Trocas!$A:$A,$C43,Resumo_Trocas!$F:$F,AB$18,Resumo_Trocas!$C:$C,"&gt;0")</f>
        <v>0</v>
      </c>
      <c r="AD43" s="140">
        <f>SUMIFS(Resumo_Trocas!$C:$C,Resumo_Trocas!$A:$A,$C43,Resumo_Trocas!$F:$F,AD$18,Resumo_Trocas!$C:$C,"&gt;0")</f>
        <v>0</v>
      </c>
      <c r="AE43" s="141">
        <f>SUMIFS(Resumo_Trocas!$E:$E,Resumo_Trocas!$A:$A,$C43,Resumo_Trocas!$F:$F,AD$18,Resumo_Trocas!$C:$C,"&gt;0")</f>
        <v>0</v>
      </c>
      <c r="AF43" s="140">
        <f>SUMIFS(Resumo_Trocas!$C:$C,Resumo_Trocas!$A:$A,$C43,Resumo_Trocas!$F:$F,AF$18,Resumo_Trocas!$C:$C,"&gt;0")</f>
        <v>1</v>
      </c>
      <c r="AG43" s="141">
        <f>SUMIFS(Resumo_Trocas!$E:$E,Resumo_Trocas!$A:$A,$C43,Resumo_Trocas!$F:$F,AF$18,Resumo_Trocas!$C:$C,"&gt;0")</f>
        <v>0</v>
      </c>
      <c r="AH43" s="140">
        <f>SUMIFS(Resumo_Trocas!$C:$C,Resumo_Trocas!$A:$A,$C43,Resumo_Trocas!$F:$F,AH$18,Resumo_Trocas!$C:$C,"&gt;0")</f>
        <v>0</v>
      </c>
      <c r="AI43" s="141">
        <f>SUMIFS(Resumo_Trocas!$E:$E,Resumo_Trocas!$A:$A,$C43,Resumo_Trocas!$F:$F,AH$18,Resumo_Trocas!$C:$C,"&gt;0")</f>
        <v>0</v>
      </c>
      <c r="AJ43" s="140">
        <f>SUMIFS(Resumo_Trocas!$C:$C,Resumo_Trocas!$A:$A,$C43,Resumo_Trocas!$F:$F,AJ$18,Resumo_Trocas!$C:$C,"&gt;0")</f>
        <v>0</v>
      </c>
      <c r="AK43" s="141">
        <f>SUMIFS(Resumo_Trocas!$E:$E,Resumo_Trocas!$A:$A,$C43,Resumo_Trocas!$F:$F,AJ$18,Resumo_Trocas!$C:$C,"&gt;0")</f>
        <v>0</v>
      </c>
      <c r="AL43" s="140">
        <f>SUMIFS(Resumo_Trocas!$C:$C,Resumo_Trocas!$A:$A,$C43,Resumo_Trocas!$F:$F,AL$18,Resumo_Trocas!$C:$C,"&gt;0")</f>
        <v>1</v>
      </c>
      <c r="AM43" s="141">
        <f>SUMIFS(Resumo_Trocas!$E:$E,Resumo_Trocas!$A:$A,$C43,Resumo_Trocas!$F:$F,AL$18,Resumo_Trocas!$C:$C,"&gt;0")</f>
        <v>0</v>
      </c>
      <c r="AN43" s="140">
        <f>SUMIFS(Resumo_Trocas!$C:$C,Resumo_Trocas!$A:$A,$C43,Resumo_Trocas!$F:$F,AN$18,Resumo_Trocas!$C:$C,"&gt;0")</f>
        <v>0</v>
      </c>
      <c r="AO43" s="141">
        <f>SUMIFS(Resumo_Trocas!$E:$E,Resumo_Trocas!$A:$A,$C43,Resumo_Trocas!$F:$F,AN$18,Resumo_Trocas!$C:$C,"&gt;0")</f>
        <v>0</v>
      </c>
    </row>
    <row r="44" spans="2:43" ht="15" customHeight="1" outlineLevel="1" thickBot="1" x14ac:dyDescent="0.3">
      <c r="B44" s="76"/>
      <c r="C44" s="147" t="s">
        <v>390</v>
      </c>
      <c r="D44" s="140">
        <f>SUMIFS(Resumo_Trocas!$C:$C,Resumo_Trocas!$A:$A,$C44,Resumo_Trocas!$F:$F,D$18,Resumo_Trocas!$C:$C,"&gt;0")</f>
        <v>1</v>
      </c>
      <c r="E44" s="141">
        <f>SUMIFS(Resumo_Trocas!$E:$E,Resumo_Trocas!$A:$A,$C44,Resumo_Trocas!$F:$F,D$18,Resumo_Trocas!$C:$C,"&gt;0")</f>
        <v>0</v>
      </c>
      <c r="F44" s="140">
        <f>SUMIFS(Resumo_Trocas!$C:$C,Resumo_Trocas!$A:$A,$C44,Resumo_Trocas!$F:$F,F$18,Resumo_Trocas!$C:$C,"&gt;0")</f>
        <v>0</v>
      </c>
      <c r="G44" s="141">
        <f>SUMIFS(Resumo_Trocas!$E:$E,Resumo_Trocas!$A:$A,$C44,Resumo_Trocas!$F:$F,F$18,Resumo_Trocas!$C:$C,"&gt;0")</f>
        <v>0</v>
      </c>
      <c r="H44" s="140">
        <f>SUMIFS(Resumo_Trocas!$C:$C,Resumo_Trocas!$A:$A,$C44,Resumo_Trocas!$F:$F,H$18,Resumo_Trocas!$C:$C,"&gt;0")</f>
        <v>0</v>
      </c>
      <c r="I44" s="141">
        <f>SUMIFS(Resumo_Trocas!$E:$E,Resumo_Trocas!$A:$A,$C44,Resumo_Trocas!$F:$F,H$18,Resumo_Trocas!$C:$C,"&gt;0")</f>
        <v>0</v>
      </c>
      <c r="J44" s="140">
        <f>SUMIFS(Resumo_Trocas!$C:$C,Resumo_Trocas!$A:$A,$C44,Resumo_Trocas!$F:$F,J$18,Resumo_Trocas!$C:$C,"&gt;0")</f>
        <v>0</v>
      </c>
      <c r="K44" s="141">
        <f>SUMIFS(Resumo_Trocas!$E:$E,Resumo_Trocas!$A:$A,$C44,Resumo_Trocas!$F:$F,J$18,Resumo_Trocas!$C:$C,"&gt;0")</f>
        <v>0</v>
      </c>
      <c r="L44" s="140">
        <f>SUMIFS(Resumo_Trocas!$C:$C,Resumo_Trocas!$A:$A,$C44,Resumo_Trocas!$F:$F,L$18,Resumo_Trocas!$C:$C,"&gt;0")</f>
        <v>1</v>
      </c>
      <c r="M44" s="141">
        <f>SUMIFS(Resumo_Trocas!$E:$E,Resumo_Trocas!$A:$A,$C44,Resumo_Trocas!$F:$F,L$18,Resumo_Trocas!$C:$C,"&gt;0")</f>
        <v>0</v>
      </c>
      <c r="N44" s="140">
        <f>SUMIFS(Resumo_Trocas!$C:$C,Resumo_Trocas!$A:$A,$C44,Resumo_Trocas!$F:$F,N$18,Resumo_Trocas!$C:$C,"&gt;0")</f>
        <v>0</v>
      </c>
      <c r="O44" s="141">
        <f>SUMIFS(Resumo_Trocas!$E:$E,Resumo_Trocas!$A:$A,$C44,Resumo_Trocas!$F:$F,N$18,Resumo_Trocas!$C:$C,"&gt;0")</f>
        <v>0</v>
      </c>
      <c r="P44" s="140">
        <f>SUMIFS(Resumo_Trocas!$C:$C,Resumo_Trocas!$A:$A,$C44,Resumo_Trocas!$F:$F,P$18,Resumo_Trocas!$C:$C,"&gt;0")</f>
        <v>0</v>
      </c>
      <c r="Q44" s="141">
        <f>SUMIFS(Resumo_Trocas!$E:$E,Resumo_Trocas!$A:$A,$C44,Resumo_Trocas!$F:$F,P$18,Resumo_Trocas!$C:$C,"&gt;0")</f>
        <v>0</v>
      </c>
      <c r="R44" s="140">
        <f>SUMIFS(Resumo_Trocas!$C:$C,Resumo_Trocas!$A:$A,$C44,Resumo_Trocas!$F:$F,R$18,Resumo_Trocas!$C:$C,"&gt;0")</f>
        <v>0</v>
      </c>
      <c r="S44" s="141">
        <f>SUMIFS(Resumo_Trocas!$E:$E,Resumo_Trocas!$A:$A,$C44,Resumo_Trocas!$F:$F,R$18,Resumo_Trocas!$C:$C,"&gt;0")</f>
        <v>0</v>
      </c>
      <c r="T44" s="140">
        <f>SUMIFS(Resumo_Trocas!$C:$C,Resumo_Trocas!$A:$A,$C44,Resumo_Trocas!$F:$F,T$18,Resumo_Trocas!$C:$C,"&gt;0")</f>
        <v>0</v>
      </c>
      <c r="U44" s="141">
        <f>SUMIFS(Resumo_Trocas!$E:$E,Resumo_Trocas!$A:$A,$C44,Resumo_Trocas!$F:$F,T$18,Resumo_Trocas!$C:$C,"&gt;0")</f>
        <v>0</v>
      </c>
      <c r="V44" s="140">
        <f>SUMIFS(Resumo_Trocas!$C:$C,Resumo_Trocas!$A:$A,$C44,Resumo_Trocas!$F:$F,V$18,Resumo_Trocas!$C:$C,"&gt;0")</f>
        <v>1</v>
      </c>
      <c r="W44" s="141">
        <f>SUMIFS(Resumo_Trocas!$E:$E,Resumo_Trocas!$A:$A,$C44,Resumo_Trocas!$F:$F,V$18,Resumo_Trocas!$C:$C,"&gt;0")</f>
        <v>0</v>
      </c>
      <c r="X44" s="140">
        <f>SUMIFS(Resumo_Trocas!$C:$C,Resumo_Trocas!$A:$A,$C44,Resumo_Trocas!$F:$F,X$18,Resumo_Trocas!$C:$C,"&gt;0")</f>
        <v>0</v>
      </c>
      <c r="Y44" s="141">
        <f>SUMIFS(Resumo_Trocas!$E:$E,Resumo_Trocas!$A:$A,$C44,Resumo_Trocas!$F:$F,X$18,Resumo_Trocas!$C:$C,"&gt;0")</f>
        <v>0</v>
      </c>
      <c r="Z44" s="140">
        <f>SUMIFS(Resumo_Trocas!$C:$C,Resumo_Trocas!$A:$A,$C44,Resumo_Trocas!$F:$F,Z$18,Resumo_Trocas!$C:$C,"&gt;0")</f>
        <v>1</v>
      </c>
      <c r="AA44" s="141">
        <f>SUMIFS(Resumo_Trocas!$E:$E,Resumo_Trocas!$A:$A,$C44,Resumo_Trocas!$F:$F,Z$18,Resumo_Trocas!$C:$C,"&gt;0")</f>
        <v>0</v>
      </c>
      <c r="AB44" s="140">
        <f>SUMIFS(Resumo_Trocas!$C:$C,Resumo_Trocas!$A:$A,$C44,Resumo_Trocas!$F:$F,AB$18,Resumo_Trocas!$C:$C,"&gt;0")</f>
        <v>0</v>
      </c>
      <c r="AC44" s="141">
        <f>SUMIFS(Resumo_Trocas!$E:$E,Resumo_Trocas!$A:$A,$C44,Resumo_Trocas!$F:$F,AB$18,Resumo_Trocas!$C:$C,"&gt;0")</f>
        <v>0</v>
      </c>
      <c r="AD44" s="140">
        <f>SUMIFS(Resumo_Trocas!$C:$C,Resumo_Trocas!$A:$A,$C44,Resumo_Trocas!$F:$F,AD$18,Resumo_Trocas!$C:$C,"&gt;0")</f>
        <v>0</v>
      </c>
      <c r="AE44" s="141">
        <f>SUMIFS(Resumo_Trocas!$E:$E,Resumo_Trocas!$A:$A,$C44,Resumo_Trocas!$F:$F,AD$18,Resumo_Trocas!$C:$C,"&gt;0")</f>
        <v>0</v>
      </c>
      <c r="AF44" s="140">
        <f>SUMIFS(Resumo_Trocas!$C:$C,Resumo_Trocas!$A:$A,$C44,Resumo_Trocas!$F:$F,AF$18,Resumo_Trocas!$C:$C,"&gt;0")</f>
        <v>0</v>
      </c>
      <c r="AG44" s="141">
        <f>SUMIFS(Resumo_Trocas!$E:$E,Resumo_Trocas!$A:$A,$C44,Resumo_Trocas!$F:$F,AF$18,Resumo_Trocas!$C:$C,"&gt;0")</f>
        <v>0</v>
      </c>
      <c r="AH44" s="140">
        <f>SUMIFS(Resumo_Trocas!$C:$C,Resumo_Trocas!$A:$A,$C44,Resumo_Trocas!$F:$F,AH$18,Resumo_Trocas!$C:$C,"&gt;0")</f>
        <v>0</v>
      </c>
      <c r="AI44" s="141">
        <f>SUMIFS(Resumo_Trocas!$E:$E,Resumo_Trocas!$A:$A,$C44,Resumo_Trocas!$F:$F,AH$18,Resumo_Trocas!$C:$C,"&gt;0")</f>
        <v>0</v>
      </c>
      <c r="AJ44" s="140">
        <f>SUMIFS(Resumo_Trocas!$C:$C,Resumo_Trocas!$A:$A,$C44,Resumo_Trocas!$F:$F,AJ$18,Resumo_Trocas!$C:$C,"&gt;0")</f>
        <v>0</v>
      </c>
      <c r="AK44" s="141">
        <f>SUMIFS(Resumo_Trocas!$E:$E,Resumo_Trocas!$A:$A,$C44,Resumo_Trocas!$F:$F,AJ$18,Resumo_Trocas!$C:$C,"&gt;0")</f>
        <v>0</v>
      </c>
      <c r="AL44" s="140">
        <f>SUMIFS(Resumo_Trocas!$C:$C,Resumo_Trocas!$A:$A,$C44,Resumo_Trocas!$F:$F,AL$18,Resumo_Trocas!$C:$C,"&gt;0")</f>
        <v>1</v>
      </c>
      <c r="AM44" s="141">
        <f>SUMIFS(Resumo_Trocas!$E:$E,Resumo_Trocas!$A:$A,$C44,Resumo_Trocas!$F:$F,AL$18,Resumo_Trocas!$C:$C,"&gt;0")</f>
        <v>1</v>
      </c>
      <c r="AN44" s="140">
        <f>SUMIFS(Resumo_Trocas!$C:$C,Resumo_Trocas!$A:$A,$C44,Resumo_Trocas!$F:$F,AN$18,Resumo_Trocas!$C:$C,"&gt;0")</f>
        <v>0</v>
      </c>
      <c r="AO44" s="141">
        <f>SUMIFS(Resumo_Trocas!$E:$E,Resumo_Trocas!$A:$A,$C44,Resumo_Trocas!$F:$F,AN$18,Resumo_Trocas!$C:$C,"&gt;0")</f>
        <v>0</v>
      </c>
    </row>
    <row r="45" spans="2:43" ht="15" customHeight="1" outlineLevel="1" thickBot="1" x14ac:dyDescent="0.3">
      <c r="B45" s="76"/>
      <c r="C45" s="147" t="s">
        <v>393</v>
      </c>
      <c r="D45" s="140">
        <f>SUMIFS(Resumo_Trocas!$C:$C,Resumo_Trocas!$A:$A,$C45,Resumo_Trocas!$F:$F,D$18,Resumo_Trocas!$C:$C,"&gt;0")</f>
        <v>0</v>
      </c>
      <c r="E45" s="141">
        <f>SUMIFS(Resumo_Trocas!$E:$E,Resumo_Trocas!$A:$A,$C45,Resumo_Trocas!$F:$F,D$18,Resumo_Trocas!$C:$C,"&gt;0")</f>
        <v>0</v>
      </c>
      <c r="F45" s="140">
        <f>SUMIFS(Resumo_Trocas!$C:$C,Resumo_Trocas!$A:$A,$C45,Resumo_Trocas!$F:$F,F$18,Resumo_Trocas!$C:$C,"&gt;0")</f>
        <v>1</v>
      </c>
      <c r="G45" s="141">
        <f>SUMIFS(Resumo_Trocas!$E:$E,Resumo_Trocas!$A:$A,$C45,Resumo_Trocas!$F:$F,F$18,Resumo_Trocas!$C:$C,"&gt;0")</f>
        <v>0</v>
      </c>
      <c r="H45" s="140">
        <f>SUMIFS(Resumo_Trocas!$C:$C,Resumo_Trocas!$A:$A,$C45,Resumo_Trocas!$F:$F,H$18,Resumo_Trocas!$C:$C,"&gt;0")</f>
        <v>1</v>
      </c>
      <c r="I45" s="141">
        <f>SUMIFS(Resumo_Trocas!$E:$E,Resumo_Trocas!$A:$A,$C45,Resumo_Trocas!$F:$F,H$18,Resumo_Trocas!$C:$C,"&gt;0")</f>
        <v>0</v>
      </c>
      <c r="J45" s="140">
        <f>SUMIFS(Resumo_Trocas!$C:$C,Resumo_Trocas!$A:$A,$C45,Resumo_Trocas!$F:$F,J$18,Resumo_Trocas!$C:$C,"&gt;0")</f>
        <v>0</v>
      </c>
      <c r="K45" s="141">
        <f>SUMIFS(Resumo_Trocas!$E:$E,Resumo_Trocas!$A:$A,$C45,Resumo_Trocas!$F:$F,J$18,Resumo_Trocas!$C:$C,"&gt;0")</f>
        <v>0</v>
      </c>
      <c r="L45" s="140">
        <f>SUMIFS(Resumo_Trocas!$C:$C,Resumo_Trocas!$A:$A,$C45,Resumo_Trocas!$F:$F,L$18,Resumo_Trocas!$C:$C,"&gt;0")</f>
        <v>0</v>
      </c>
      <c r="M45" s="141">
        <f>SUMIFS(Resumo_Trocas!$E:$E,Resumo_Trocas!$A:$A,$C45,Resumo_Trocas!$F:$F,L$18,Resumo_Trocas!$C:$C,"&gt;0")</f>
        <v>0</v>
      </c>
      <c r="N45" s="140">
        <f>SUMIFS(Resumo_Trocas!$C:$C,Resumo_Trocas!$A:$A,$C45,Resumo_Trocas!$F:$F,N$18,Resumo_Trocas!$C:$C,"&gt;0")</f>
        <v>0</v>
      </c>
      <c r="O45" s="141">
        <f>SUMIFS(Resumo_Trocas!$E:$E,Resumo_Trocas!$A:$A,$C45,Resumo_Trocas!$F:$F,N$18,Resumo_Trocas!$C:$C,"&gt;0")</f>
        <v>0</v>
      </c>
      <c r="P45" s="140">
        <f>SUMIFS(Resumo_Trocas!$C:$C,Resumo_Trocas!$A:$A,$C45,Resumo_Trocas!$F:$F,P$18,Resumo_Trocas!$C:$C,"&gt;0")</f>
        <v>1</v>
      </c>
      <c r="Q45" s="141">
        <f>SUMIFS(Resumo_Trocas!$E:$E,Resumo_Trocas!$A:$A,$C45,Resumo_Trocas!$F:$F,P$18,Resumo_Trocas!$C:$C,"&gt;0")</f>
        <v>0</v>
      </c>
      <c r="R45" s="140">
        <f>SUMIFS(Resumo_Trocas!$C:$C,Resumo_Trocas!$A:$A,$C45,Resumo_Trocas!$F:$F,R$18,Resumo_Trocas!$C:$C,"&gt;0")</f>
        <v>0</v>
      </c>
      <c r="S45" s="141">
        <f>SUMIFS(Resumo_Trocas!$E:$E,Resumo_Trocas!$A:$A,$C45,Resumo_Trocas!$F:$F,R$18,Resumo_Trocas!$C:$C,"&gt;0")</f>
        <v>0</v>
      </c>
      <c r="T45" s="140">
        <f>SUMIFS(Resumo_Trocas!$C:$C,Resumo_Trocas!$A:$A,$C45,Resumo_Trocas!$F:$F,T$18,Resumo_Trocas!$C:$C,"&gt;0")</f>
        <v>1</v>
      </c>
      <c r="U45" s="141">
        <f>SUMIFS(Resumo_Trocas!$E:$E,Resumo_Trocas!$A:$A,$C45,Resumo_Trocas!$F:$F,T$18,Resumo_Trocas!$C:$C,"&gt;0")</f>
        <v>0</v>
      </c>
      <c r="V45" s="140">
        <f>SUMIFS(Resumo_Trocas!$C:$C,Resumo_Trocas!$A:$A,$C45,Resumo_Trocas!$F:$F,V$18,Resumo_Trocas!$C:$C,"&gt;0")</f>
        <v>1</v>
      </c>
      <c r="W45" s="141">
        <f>SUMIFS(Resumo_Trocas!$E:$E,Resumo_Trocas!$A:$A,$C45,Resumo_Trocas!$F:$F,V$18,Resumo_Trocas!$C:$C,"&gt;0")</f>
        <v>1</v>
      </c>
      <c r="X45" s="140">
        <f>SUMIFS(Resumo_Trocas!$C:$C,Resumo_Trocas!$A:$A,$C45,Resumo_Trocas!$F:$F,X$18,Resumo_Trocas!$C:$C,"&gt;0")</f>
        <v>1</v>
      </c>
      <c r="Y45" s="141">
        <f>SUMIFS(Resumo_Trocas!$E:$E,Resumo_Trocas!$A:$A,$C45,Resumo_Trocas!$F:$F,X$18,Resumo_Trocas!$C:$C,"&gt;0")</f>
        <v>0</v>
      </c>
      <c r="Z45" s="140">
        <f>SUMIFS(Resumo_Trocas!$C:$C,Resumo_Trocas!$A:$A,$C45,Resumo_Trocas!$F:$F,Z$18,Resumo_Trocas!$C:$C,"&gt;0")</f>
        <v>2</v>
      </c>
      <c r="AA45" s="141">
        <f>SUMIFS(Resumo_Trocas!$E:$E,Resumo_Trocas!$A:$A,$C45,Resumo_Trocas!$F:$F,Z$18,Resumo_Trocas!$C:$C,"&gt;0")</f>
        <v>0</v>
      </c>
      <c r="AB45" s="140">
        <f>SUMIFS(Resumo_Trocas!$C:$C,Resumo_Trocas!$A:$A,$C45,Resumo_Trocas!$F:$F,AB$18,Resumo_Trocas!$C:$C,"&gt;0")</f>
        <v>0</v>
      </c>
      <c r="AC45" s="141">
        <f>SUMIFS(Resumo_Trocas!$E:$E,Resumo_Trocas!$A:$A,$C45,Resumo_Trocas!$F:$F,AB$18,Resumo_Trocas!$C:$C,"&gt;0")</f>
        <v>0</v>
      </c>
      <c r="AD45" s="140">
        <f>SUMIFS(Resumo_Trocas!$C:$C,Resumo_Trocas!$A:$A,$C45,Resumo_Trocas!$F:$F,AD$18,Resumo_Trocas!$C:$C,"&gt;0")</f>
        <v>1</v>
      </c>
      <c r="AE45" s="141">
        <f>SUMIFS(Resumo_Trocas!$E:$E,Resumo_Trocas!$A:$A,$C45,Resumo_Trocas!$F:$F,AD$18,Resumo_Trocas!$C:$C,"&gt;0")</f>
        <v>1</v>
      </c>
      <c r="AF45" s="140">
        <f>SUMIFS(Resumo_Trocas!$C:$C,Resumo_Trocas!$A:$A,$C45,Resumo_Trocas!$F:$F,AF$18,Resumo_Trocas!$C:$C,"&gt;0")</f>
        <v>0</v>
      </c>
      <c r="AG45" s="141">
        <f>SUMIFS(Resumo_Trocas!$E:$E,Resumo_Trocas!$A:$A,$C45,Resumo_Trocas!$F:$F,AF$18,Resumo_Trocas!$C:$C,"&gt;0")</f>
        <v>0</v>
      </c>
      <c r="AH45" s="140">
        <f>SUMIFS(Resumo_Trocas!$C:$C,Resumo_Trocas!$A:$A,$C45,Resumo_Trocas!$F:$F,AH$18,Resumo_Trocas!$C:$C,"&gt;0")</f>
        <v>0</v>
      </c>
      <c r="AI45" s="141">
        <f>SUMIFS(Resumo_Trocas!$E:$E,Resumo_Trocas!$A:$A,$C45,Resumo_Trocas!$F:$F,AH$18,Resumo_Trocas!$C:$C,"&gt;0")</f>
        <v>0</v>
      </c>
      <c r="AJ45" s="140">
        <f>SUMIFS(Resumo_Trocas!$C:$C,Resumo_Trocas!$A:$A,$C45,Resumo_Trocas!$F:$F,AJ$18,Resumo_Trocas!$C:$C,"&gt;0")</f>
        <v>0</v>
      </c>
      <c r="AK45" s="141">
        <f>SUMIFS(Resumo_Trocas!$E:$E,Resumo_Trocas!$A:$A,$C45,Resumo_Trocas!$F:$F,AJ$18,Resumo_Trocas!$C:$C,"&gt;0")</f>
        <v>0</v>
      </c>
      <c r="AL45" s="140">
        <f>SUMIFS(Resumo_Trocas!$C:$C,Resumo_Trocas!$A:$A,$C45,Resumo_Trocas!$F:$F,AL$18,Resumo_Trocas!$C:$C,"&gt;0")</f>
        <v>0</v>
      </c>
      <c r="AM45" s="141">
        <f>SUMIFS(Resumo_Trocas!$E:$E,Resumo_Trocas!$A:$A,$C45,Resumo_Trocas!$F:$F,AL$18,Resumo_Trocas!$C:$C,"&gt;0")</f>
        <v>0</v>
      </c>
      <c r="AN45" s="140">
        <f>SUMIFS(Resumo_Trocas!$C:$C,Resumo_Trocas!$A:$A,$C45,Resumo_Trocas!$F:$F,AN$18,Resumo_Trocas!$C:$C,"&gt;0")</f>
        <v>0</v>
      </c>
      <c r="AO45" s="141">
        <f>SUMIFS(Resumo_Trocas!$E:$E,Resumo_Trocas!$A:$A,$C45,Resumo_Trocas!$F:$F,AN$18,Resumo_Trocas!$C:$C,"&gt;0")</f>
        <v>0</v>
      </c>
    </row>
    <row r="46" spans="2:43" ht="15" customHeight="1" outlineLevel="1" thickBot="1" x14ac:dyDescent="0.3">
      <c r="B46" s="76"/>
      <c r="C46" s="147" t="s">
        <v>396</v>
      </c>
      <c r="D46" s="140">
        <f>SUMIFS(Resumo_Trocas!$C:$C,Resumo_Trocas!$A:$A,$C46,Resumo_Trocas!$F:$F,D$18,Resumo_Trocas!$C:$C,"&gt;0")</f>
        <v>0</v>
      </c>
      <c r="E46" s="141">
        <f>SUMIFS(Resumo_Trocas!$E:$E,Resumo_Trocas!$A:$A,$C46,Resumo_Trocas!$F:$F,D$18,Resumo_Trocas!$C:$C,"&gt;0")</f>
        <v>0</v>
      </c>
      <c r="F46" s="140">
        <f>SUMIFS(Resumo_Trocas!$C:$C,Resumo_Trocas!$A:$A,$C46,Resumo_Trocas!$F:$F,F$18,Resumo_Trocas!$C:$C,"&gt;0")</f>
        <v>2</v>
      </c>
      <c r="G46" s="141">
        <f>SUMIFS(Resumo_Trocas!$E:$E,Resumo_Trocas!$A:$A,$C46,Resumo_Trocas!$F:$F,F$18,Resumo_Trocas!$C:$C,"&gt;0")</f>
        <v>0</v>
      </c>
      <c r="H46" s="140">
        <f>SUMIFS(Resumo_Trocas!$C:$C,Resumo_Trocas!$A:$A,$C46,Resumo_Trocas!$F:$F,H$18,Resumo_Trocas!$C:$C,"&gt;0")</f>
        <v>0</v>
      </c>
      <c r="I46" s="141">
        <f>SUMIFS(Resumo_Trocas!$E:$E,Resumo_Trocas!$A:$A,$C46,Resumo_Trocas!$F:$F,H$18,Resumo_Trocas!$C:$C,"&gt;0")</f>
        <v>0</v>
      </c>
      <c r="J46" s="140">
        <f>SUMIFS(Resumo_Trocas!$C:$C,Resumo_Trocas!$A:$A,$C46,Resumo_Trocas!$F:$F,J$18,Resumo_Trocas!$C:$C,"&gt;0")</f>
        <v>2</v>
      </c>
      <c r="K46" s="141">
        <f>SUMIFS(Resumo_Trocas!$E:$E,Resumo_Trocas!$A:$A,$C46,Resumo_Trocas!$F:$F,J$18,Resumo_Trocas!$C:$C,"&gt;0")</f>
        <v>0</v>
      </c>
      <c r="L46" s="140">
        <f>SUMIFS(Resumo_Trocas!$C:$C,Resumo_Trocas!$A:$A,$C46,Resumo_Trocas!$F:$F,L$18,Resumo_Trocas!$C:$C,"&gt;0")</f>
        <v>3</v>
      </c>
      <c r="M46" s="141">
        <f>SUMIFS(Resumo_Trocas!$E:$E,Resumo_Trocas!$A:$A,$C46,Resumo_Trocas!$F:$F,L$18,Resumo_Trocas!$C:$C,"&gt;0")</f>
        <v>1</v>
      </c>
      <c r="N46" s="140">
        <f>SUMIFS(Resumo_Trocas!$C:$C,Resumo_Trocas!$A:$A,$C46,Resumo_Trocas!$F:$F,N$18,Resumo_Trocas!$C:$C,"&gt;0")</f>
        <v>0</v>
      </c>
      <c r="O46" s="141">
        <f>SUMIFS(Resumo_Trocas!$E:$E,Resumo_Trocas!$A:$A,$C46,Resumo_Trocas!$F:$F,N$18,Resumo_Trocas!$C:$C,"&gt;0")</f>
        <v>0</v>
      </c>
      <c r="P46" s="140">
        <f>SUMIFS(Resumo_Trocas!$C:$C,Resumo_Trocas!$A:$A,$C46,Resumo_Trocas!$F:$F,P$18,Resumo_Trocas!$C:$C,"&gt;0")</f>
        <v>1</v>
      </c>
      <c r="Q46" s="141">
        <f>SUMIFS(Resumo_Trocas!$E:$E,Resumo_Trocas!$A:$A,$C46,Resumo_Trocas!$F:$F,P$18,Resumo_Trocas!$C:$C,"&gt;0")</f>
        <v>0</v>
      </c>
      <c r="R46" s="140">
        <f>SUMIFS(Resumo_Trocas!$C:$C,Resumo_Trocas!$A:$A,$C46,Resumo_Trocas!$F:$F,R$18,Resumo_Trocas!$C:$C,"&gt;0")</f>
        <v>1</v>
      </c>
      <c r="S46" s="141">
        <f>SUMIFS(Resumo_Trocas!$E:$E,Resumo_Trocas!$A:$A,$C46,Resumo_Trocas!$F:$F,R$18,Resumo_Trocas!$C:$C,"&gt;0")</f>
        <v>0</v>
      </c>
      <c r="T46" s="140">
        <f>SUMIFS(Resumo_Trocas!$C:$C,Resumo_Trocas!$A:$A,$C46,Resumo_Trocas!$F:$F,T$18,Resumo_Trocas!$C:$C,"&gt;0")</f>
        <v>1</v>
      </c>
      <c r="U46" s="141">
        <f>SUMIFS(Resumo_Trocas!$E:$E,Resumo_Trocas!$A:$A,$C46,Resumo_Trocas!$F:$F,T$18,Resumo_Trocas!$C:$C,"&gt;0")</f>
        <v>0</v>
      </c>
      <c r="V46" s="140">
        <f>SUMIFS(Resumo_Trocas!$C:$C,Resumo_Trocas!$A:$A,$C46,Resumo_Trocas!$F:$F,V$18,Resumo_Trocas!$C:$C,"&gt;0")</f>
        <v>1</v>
      </c>
      <c r="W46" s="141">
        <f>SUMIFS(Resumo_Trocas!$E:$E,Resumo_Trocas!$A:$A,$C46,Resumo_Trocas!$F:$F,V$18,Resumo_Trocas!$C:$C,"&gt;0")</f>
        <v>0</v>
      </c>
      <c r="X46" s="140">
        <f>SUMIFS(Resumo_Trocas!$C:$C,Resumo_Trocas!$A:$A,$C46,Resumo_Trocas!$F:$F,X$18,Resumo_Trocas!$C:$C,"&gt;0")</f>
        <v>2</v>
      </c>
      <c r="Y46" s="141">
        <f>SUMIFS(Resumo_Trocas!$E:$E,Resumo_Trocas!$A:$A,$C46,Resumo_Trocas!$F:$F,X$18,Resumo_Trocas!$C:$C,"&gt;0")</f>
        <v>0</v>
      </c>
      <c r="Z46" s="140">
        <f>SUMIFS(Resumo_Trocas!$C:$C,Resumo_Trocas!$A:$A,$C46,Resumo_Trocas!$F:$F,Z$18,Resumo_Trocas!$C:$C,"&gt;0")</f>
        <v>2</v>
      </c>
      <c r="AA46" s="141">
        <f>SUMIFS(Resumo_Trocas!$E:$E,Resumo_Trocas!$A:$A,$C46,Resumo_Trocas!$F:$F,Z$18,Resumo_Trocas!$C:$C,"&gt;0")</f>
        <v>0</v>
      </c>
      <c r="AB46" s="140">
        <f>SUMIFS(Resumo_Trocas!$C:$C,Resumo_Trocas!$A:$A,$C46,Resumo_Trocas!$F:$F,AB$18,Resumo_Trocas!$C:$C,"&gt;0")</f>
        <v>2</v>
      </c>
      <c r="AC46" s="141">
        <f>SUMIFS(Resumo_Trocas!$E:$E,Resumo_Trocas!$A:$A,$C46,Resumo_Trocas!$F:$F,AB$18,Resumo_Trocas!$C:$C,"&gt;0")</f>
        <v>0</v>
      </c>
      <c r="AD46" s="140">
        <f>SUMIFS(Resumo_Trocas!$C:$C,Resumo_Trocas!$A:$A,$C46,Resumo_Trocas!$F:$F,AD$18,Resumo_Trocas!$C:$C,"&gt;0")</f>
        <v>1</v>
      </c>
      <c r="AE46" s="141">
        <f>SUMIFS(Resumo_Trocas!$E:$E,Resumo_Trocas!$A:$A,$C46,Resumo_Trocas!$F:$F,AD$18,Resumo_Trocas!$C:$C,"&gt;0")</f>
        <v>0</v>
      </c>
      <c r="AF46" s="140">
        <f>SUMIFS(Resumo_Trocas!$C:$C,Resumo_Trocas!$A:$A,$C46,Resumo_Trocas!$F:$F,AF$18,Resumo_Trocas!$C:$C,"&gt;0")</f>
        <v>3</v>
      </c>
      <c r="AG46" s="141">
        <f>SUMIFS(Resumo_Trocas!$E:$E,Resumo_Trocas!$A:$A,$C46,Resumo_Trocas!$F:$F,AF$18,Resumo_Trocas!$C:$C,"&gt;0")</f>
        <v>1</v>
      </c>
      <c r="AH46" s="140">
        <f>SUMIFS(Resumo_Trocas!$C:$C,Resumo_Trocas!$A:$A,$C46,Resumo_Trocas!$F:$F,AH$18,Resumo_Trocas!$C:$C,"&gt;0")</f>
        <v>1</v>
      </c>
      <c r="AI46" s="141">
        <f>SUMIFS(Resumo_Trocas!$E:$E,Resumo_Trocas!$A:$A,$C46,Resumo_Trocas!$F:$F,AH$18,Resumo_Trocas!$C:$C,"&gt;0")</f>
        <v>0</v>
      </c>
      <c r="AJ46" s="140">
        <f>SUMIFS(Resumo_Trocas!$C:$C,Resumo_Trocas!$A:$A,$C46,Resumo_Trocas!$F:$F,AJ$18,Resumo_Trocas!$C:$C,"&gt;0")</f>
        <v>2</v>
      </c>
      <c r="AK46" s="141">
        <f>SUMIFS(Resumo_Trocas!$E:$E,Resumo_Trocas!$A:$A,$C46,Resumo_Trocas!$F:$F,AJ$18,Resumo_Trocas!$C:$C,"&gt;0")</f>
        <v>0</v>
      </c>
      <c r="AL46" s="140">
        <f>SUMIFS(Resumo_Trocas!$C:$C,Resumo_Trocas!$A:$A,$C46,Resumo_Trocas!$F:$F,AL$18,Resumo_Trocas!$C:$C,"&gt;0")</f>
        <v>1</v>
      </c>
      <c r="AM46" s="141">
        <f>SUMIFS(Resumo_Trocas!$E:$E,Resumo_Trocas!$A:$A,$C46,Resumo_Trocas!$F:$F,AL$18,Resumo_Trocas!$C:$C,"&gt;0")</f>
        <v>0</v>
      </c>
      <c r="AN46" s="140">
        <f>SUMIFS(Resumo_Trocas!$C:$C,Resumo_Trocas!$A:$A,$C46,Resumo_Trocas!$F:$F,AN$18,Resumo_Trocas!$C:$C,"&gt;0")</f>
        <v>0</v>
      </c>
      <c r="AO46" s="141">
        <f>SUMIFS(Resumo_Trocas!$E:$E,Resumo_Trocas!$A:$A,$C46,Resumo_Trocas!$F:$F,AN$18,Resumo_Trocas!$C:$C,"&gt;0")</f>
        <v>0</v>
      </c>
    </row>
    <row r="47" spans="2:43" ht="15" customHeight="1" outlineLevel="1" thickBot="1" x14ac:dyDescent="0.3">
      <c r="B47" s="76"/>
      <c r="C47" s="147" t="s">
        <v>399</v>
      </c>
      <c r="D47" s="140">
        <f>SUMIFS(Resumo_Trocas!$C:$C,Resumo_Trocas!$A:$A,$C47,Resumo_Trocas!$F:$F,D$18,Resumo_Trocas!$C:$C,"&gt;0")</f>
        <v>1</v>
      </c>
      <c r="E47" s="141">
        <f>SUMIFS(Resumo_Trocas!$E:$E,Resumo_Trocas!$A:$A,$C47,Resumo_Trocas!$F:$F,D$18,Resumo_Trocas!$C:$C,"&gt;0")</f>
        <v>0</v>
      </c>
      <c r="F47" s="140">
        <f>SUMIFS(Resumo_Trocas!$C:$C,Resumo_Trocas!$A:$A,$C47,Resumo_Trocas!$F:$F,F$18,Resumo_Trocas!$C:$C,"&gt;0")</f>
        <v>1</v>
      </c>
      <c r="G47" s="141">
        <f>SUMIFS(Resumo_Trocas!$E:$E,Resumo_Trocas!$A:$A,$C47,Resumo_Trocas!$F:$F,F$18,Resumo_Trocas!$C:$C,"&gt;0")</f>
        <v>0</v>
      </c>
      <c r="H47" s="140">
        <f>SUMIFS(Resumo_Trocas!$C:$C,Resumo_Trocas!$A:$A,$C47,Resumo_Trocas!$F:$F,H$18,Resumo_Trocas!$C:$C,"&gt;0")</f>
        <v>1</v>
      </c>
      <c r="I47" s="141">
        <f>SUMIFS(Resumo_Trocas!$E:$E,Resumo_Trocas!$A:$A,$C47,Resumo_Trocas!$F:$F,H$18,Resumo_Trocas!$C:$C,"&gt;0")</f>
        <v>0</v>
      </c>
      <c r="J47" s="140">
        <f>SUMIFS(Resumo_Trocas!$C:$C,Resumo_Trocas!$A:$A,$C47,Resumo_Trocas!$F:$F,J$18,Resumo_Trocas!$C:$C,"&gt;0")</f>
        <v>0</v>
      </c>
      <c r="K47" s="141">
        <f>SUMIFS(Resumo_Trocas!$E:$E,Resumo_Trocas!$A:$A,$C47,Resumo_Trocas!$F:$F,J$18,Resumo_Trocas!$C:$C,"&gt;0")</f>
        <v>0</v>
      </c>
      <c r="L47" s="140">
        <f>SUMIFS(Resumo_Trocas!$C:$C,Resumo_Trocas!$A:$A,$C47,Resumo_Trocas!$F:$F,L$18,Resumo_Trocas!$C:$C,"&gt;0")</f>
        <v>1</v>
      </c>
      <c r="M47" s="141">
        <f>SUMIFS(Resumo_Trocas!$E:$E,Resumo_Trocas!$A:$A,$C47,Resumo_Trocas!$F:$F,L$18,Resumo_Trocas!$C:$C,"&gt;0")</f>
        <v>0</v>
      </c>
      <c r="N47" s="140">
        <f>SUMIFS(Resumo_Trocas!$C:$C,Resumo_Trocas!$A:$A,$C47,Resumo_Trocas!$F:$F,N$18,Resumo_Trocas!$C:$C,"&gt;0")</f>
        <v>0</v>
      </c>
      <c r="O47" s="141">
        <f>SUMIFS(Resumo_Trocas!$E:$E,Resumo_Trocas!$A:$A,$C47,Resumo_Trocas!$F:$F,N$18,Resumo_Trocas!$C:$C,"&gt;0")</f>
        <v>0</v>
      </c>
      <c r="P47" s="140">
        <f>SUMIFS(Resumo_Trocas!$C:$C,Resumo_Trocas!$A:$A,$C47,Resumo_Trocas!$F:$F,P$18,Resumo_Trocas!$C:$C,"&gt;0")</f>
        <v>0</v>
      </c>
      <c r="Q47" s="141">
        <f>SUMIFS(Resumo_Trocas!$E:$E,Resumo_Trocas!$A:$A,$C47,Resumo_Trocas!$F:$F,P$18,Resumo_Trocas!$C:$C,"&gt;0")</f>
        <v>0</v>
      </c>
      <c r="R47" s="140">
        <f>SUMIFS(Resumo_Trocas!$C:$C,Resumo_Trocas!$A:$A,$C47,Resumo_Trocas!$F:$F,R$18,Resumo_Trocas!$C:$C,"&gt;0")</f>
        <v>1</v>
      </c>
      <c r="S47" s="141">
        <f>SUMIFS(Resumo_Trocas!$E:$E,Resumo_Trocas!$A:$A,$C47,Resumo_Trocas!$F:$F,R$18,Resumo_Trocas!$C:$C,"&gt;0")</f>
        <v>0</v>
      </c>
      <c r="T47" s="140">
        <f>SUMIFS(Resumo_Trocas!$C:$C,Resumo_Trocas!$A:$A,$C47,Resumo_Trocas!$F:$F,T$18,Resumo_Trocas!$C:$C,"&gt;0")</f>
        <v>1</v>
      </c>
      <c r="U47" s="141">
        <f>SUMIFS(Resumo_Trocas!$E:$E,Resumo_Trocas!$A:$A,$C47,Resumo_Trocas!$F:$F,T$18,Resumo_Trocas!$C:$C,"&gt;0")</f>
        <v>0</v>
      </c>
      <c r="V47" s="140">
        <f>SUMIFS(Resumo_Trocas!$C:$C,Resumo_Trocas!$A:$A,$C47,Resumo_Trocas!$F:$F,V$18,Resumo_Trocas!$C:$C,"&gt;0")</f>
        <v>1</v>
      </c>
      <c r="W47" s="141">
        <f>SUMIFS(Resumo_Trocas!$E:$E,Resumo_Trocas!$A:$A,$C47,Resumo_Trocas!$F:$F,V$18,Resumo_Trocas!$C:$C,"&gt;0")</f>
        <v>0</v>
      </c>
      <c r="X47" s="140">
        <f>SUMIFS(Resumo_Trocas!$C:$C,Resumo_Trocas!$A:$A,$C47,Resumo_Trocas!$F:$F,X$18,Resumo_Trocas!$C:$C,"&gt;0")</f>
        <v>1</v>
      </c>
      <c r="Y47" s="141">
        <f>SUMIFS(Resumo_Trocas!$E:$E,Resumo_Trocas!$A:$A,$C47,Resumo_Trocas!$F:$F,X$18,Resumo_Trocas!$C:$C,"&gt;0")</f>
        <v>0</v>
      </c>
      <c r="Z47" s="140">
        <f>SUMIFS(Resumo_Trocas!$C:$C,Resumo_Trocas!$A:$A,$C47,Resumo_Trocas!$F:$F,Z$18,Resumo_Trocas!$C:$C,"&gt;0")</f>
        <v>0</v>
      </c>
      <c r="AA47" s="141">
        <f>SUMIFS(Resumo_Trocas!$E:$E,Resumo_Trocas!$A:$A,$C47,Resumo_Trocas!$F:$F,Z$18,Resumo_Trocas!$C:$C,"&gt;0")</f>
        <v>0</v>
      </c>
      <c r="AB47" s="140">
        <f>SUMIFS(Resumo_Trocas!$C:$C,Resumo_Trocas!$A:$A,$C47,Resumo_Trocas!$F:$F,AB$18,Resumo_Trocas!$C:$C,"&gt;0")</f>
        <v>0</v>
      </c>
      <c r="AC47" s="141">
        <f>SUMIFS(Resumo_Trocas!$E:$E,Resumo_Trocas!$A:$A,$C47,Resumo_Trocas!$F:$F,AB$18,Resumo_Trocas!$C:$C,"&gt;0")</f>
        <v>0</v>
      </c>
      <c r="AD47" s="140">
        <f>SUMIFS(Resumo_Trocas!$C:$C,Resumo_Trocas!$A:$A,$C47,Resumo_Trocas!$F:$F,AD$18,Resumo_Trocas!$C:$C,"&gt;0")</f>
        <v>1</v>
      </c>
      <c r="AE47" s="141">
        <f>SUMIFS(Resumo_Trocas!$E:$E,Resumo_Trocas!$A:$A,$C47,Resumo_Trocas!$F:$F,AD$18,Resumo_Trocas!$C:$C,"&gt;0")</f>
        <v>0</v>
      </c>
      <c r="AF47" s="140">
        <f>SUMIFS(Resumo_Trocas!$C:$C,Resumo_Trocas!$A:$A,$C47,Resumo_Trocas!$F:$F,AF$18,Resumo_Trocas!$C:$C,"&gt;0")</f>
        <v>0</v>
      </c>
      <c r="AG47" s="141">
        <f>SUMIFS(Resumo_Trocas!$E:$E,Resumo_Trocas!$A:$A,$C47,Resumo_Trocas!$F:$F,AF$18,Resumo_Trocas!$C:$C,"&gt;0")</f>
        <v>0</v>
      </c>
      <c r="AH47" s="140">
        <f>SUMIFS(Resumo_Trocas!$C:$C,Resumo_Trocas!$A:$A,$C47,Resumo_Trocas!$F:$F,AH$18,Resumo_Trocas!$C:$C,"&gt;0")</f>
        <v>0</v>
      </c>
      <c r="AI47" s="141">
        <f>SUMIFS(Resumo_Trocas!$E:$E,Resumo_Trocas!$A:$A,$C47,Resumo_Trocas!$F:$F,AH$18,Resumo_Trocas!$C:$C,"&gt;0")</f>
        <v>0</v>
      </c>
      <c r="AJ47" s="140">
        <f>SUMIFS(Resumo_Trocas!$C:$C,Resumo_Trocas!$A:$A,$C47,Resumo_Trocas!$F:$F,AJ$18,Resumo_Trocas!$C:$C,"&gt;0")</f>
        <v>0</v>
      </c>
      <c r="AK47" s="141">
        <f>SUMIFS(Resumo_Trocas!$E:$E,Resumo_Trocas!$A:$A,$C47,Resumo_Trocas!$F:$F,AJ$18,Resumo_Trocas!$C:$C,"&gt;0")</f>
        <v>0</v>
      </c>
      <c r="AL47" s="140">
        <f>SUMIFS(Resumo_Trocas!$C:$C,Resumo_Trocas!$A:$A,$C47,Resumo_Trocas!$F:$F,AL$18,Resumo_Trocas!$C:$C,"&gt;0")</f>
        <v>1</v>
      </c>
      <c r="AM47" s="141">
        <f>SUMIFS(Resumo_Trocas!$E:$E,Resumo_Trocas!$A:$A,$C47,Resumo_Trocas!$F:$F,AL$18,Resumo_Trocas!$C:$C,"&gt;0")</f>
        <v>0</v>
      </c>
      <c r="AN47" s="140">
        <f>SUMIFS(Resumo_Trocas!$C:$C,Resumo_Trocas!$A:$A,$C47,Resumo_Trocas!$F:$F,AN$18,Resumo_Trocas!$C:$C,"&gt;0")</f>
        <v>0</v>
      </c>
      <c r="AO47" s="141">
        <f>SUMIFS(Resumo_Trocas!$E:$E,Resumo_Trocas!$A:$A,$C47,Resumo_Trocas!$F:$F,AN$18,Resumo_Trocas!$C:$C,"&gt;0")</f>
        <v>0</v>
      </c>
    </row>
    <row r="48" spans="2:43" ht="15" customHeight="1" outlineLevel="1" thickBot="1" x14ac:dyDescent="0.3">
      <c r="B48" s="76"/>
      <c r="C48" s="147" t="s">
        <v>3400</v>
      </c>
      <c r="D48" s="140">
        <f>SUMIFS(Resumo_Trocas!$C:$C,Resumo_Trocas!$A:$A,$C48,Resumo_Trocas!$F:$F,D$18,Resumo_Trocas!$C:$C,"&gt;0")</f>
        <v>0</v>
      </c>
      <c r="E48" s="141">
        <f>SUMIFS(Resumo_Trocas!$E:$E,Resumo_Trocas!$A:$A,$C48,Resumo_Trocas!$F:$F,D$18,Resumo_Trocas!$C:$C,"&gt;0")</f>
        <v>0</v>
      </c>
      <c r="F48" s="140">
        <f>SUMIFS(Resumo_Trocas!$C:$C,Resumo_Trocas!$A:$A,$C48,Resumo_Trocas!$F:$F,F$18,Resumo_Trocas!$C:$C,"&gt;0")</f>
        <v>0</v>
      </c>
      <c r="G48" s="141">
        <f>SUMIFS(Resumo_Trocas!$E:$E,Resumo_Trocas!$A:$A,$C48,Resumo_Trocas!$F:$F,F$18,Resumo_Trocas!$C:$C,"&gt;0")</f>
        <v>0</v>
      </c>
      <c r="H48" s="140">
        <f>SUMIFS(Resumo_Trocas!$C:$C,Resumo_Trocas!$A:$A,$C48,Resumo_Trocas!$F:$F,H$18,Resumo_Trocas!$C:$C,"&gt;0")</f>
        <v>0</v>
      </c>
      <c r="I48" s="141">
        <f>SUMIFS(Resumo_Trocas!$E:$E,Resumo_Trocas!$A:$A,$C48,Resumo_Trocas!$F:$F,H$18,Resumo_Trocas!$C:$C,"&gt;0")</f>
        <v>0</v>
      </c>
      <c r="J48" s="140">
        <f>SUMIFS(Resumo_Trocas!$C:$C,Resumo_Trocas!$A:$A,$C48,Resumo_Trocas!$F:$F,J$18,Resumo_Trocas!$C:$C,"&gt;0")</f>
        <v>0</v>
      </c>
      <c r="K48" s="141">
        <f>SUMIFS(Resumo_Trocas!$E:$E,Resumo_Trocas!$A:$A,$C48,Resumo_Trocas!$F:$F,J$18,Resumo_Trocas!$C:$C,"&gt;0")</f>
        <v>0</v>
      </c>
      <c r="L48" s="140">
        <f>SUMIFS(Resumo_Trocas!$C:$C,Resumo_Trocas!$A:$A,$C48,Resumo_Trocas!$F:$F,L$18,Resumo_Trocas!$C:$C,"&gt;0")</f>
        <v>0</v>
      </c>
      <c r="M48" s="141">
        <f>SUMIFS(Resumo_Trocas!$E:$E,Resumo_Trocas!$A:$A,$C48,Resumo_Trocas!$F:$F,L$18,Resumo_Trocas!$C:$C,"&gt;0")</f>
        <v>0</v>
      </c>
      <c r="N48" s="140">
        <f>SUMIFS(Resumo_Trocas!$C:$C,Resumo_Trocas!$A:$A,$C48,Resumo_Trocas!$F:$F,N$18,Resumo_Trocas!$C:$C,"&gt;0")</f>
        <v>0</v>
      </c>
      <c r="O48" s="141">
        <f>SUMIFS(Resumo_Trocas!$E:$E,Resumo_Trocas!$A:$A,$C48,Resumo_Trocas!$F:$F,N$18,Resumo_Trocas!$C:$C,"&gt;0")</f>
        <v>0</v>
      </c>
      <c r="P48" s="140">
        <f>SUMIFS(Resumo_Trocas!$C:$C,Resumo_Trocas!$A:$A,$C48,Resumo_Trocas!$F:$F,P$18,Resumo_Trocas!$C:$C,"&gt;0")</f>
        <v>0</v>
      </c>
      <c r="Q48" s="141">
        <f>SUMIFS(Resumo_Trocas!$E:$E,Resumo_Trocas!$A:$A,$C48,Resumo_Trocas!$F:$F,P$18,Resumo_Trocas!$C:$C,"&gt;0")</f>
        <v>0</v>
      </c>
      <c r="R48" s="140">
        <f>SUMIFS(Resumo_Trocas!$C:$C,Resumo_Trocas!$A:$A,$C48,Resumo_Trocas!$F:$F,R$18,Resumo_Trocas!$C:$C,"&gt;0")</f>
        <v>0</v>
      </c>
      <c r="S48" s="141">
        <f>SUMIFS(Resumo_Trocas!$E:$E,Resumo_Trocas!$A:$A,$C48,Resumo_Trocas!$F:$F,R$18,Resumo_Trocas!$C:$C,"&gt;0")</f>
        <v>0</v>
      </c>
      <c r="T48" s="140">
        <f>SUMIFS(Resumo_Trocas!$C:$C,Resumo_Trocas!$A:$A,$C48,Resumo_Trocas!$F:$F,T$18,Resumo_Trocas!$C:$C,"&gt;0")</f>
        <v>0</v>
      </c>
      <c r="U48" s="141">
        <f>SUMIFS(Resumo_Trocas!$E:$E,Resumo_Trocas!$A:$A,$C48,Resumo_Trocas!$F:$F,T$18,Resumo_Trocas!$C:$C,"&gt;0")</f>
        <v>0</v>
      </c>
      <c r="V48" s="140">
        <f>SUMIFS(Resumo_Trocas!$C:$C,Resumo_Trocas!$A:$A,$C48,Resumo_Trocas!$F:$F,V$18,Resumo_Trocas!$C:$C,"&gt;0")</f>
        <v>0</v>
      </c>
      <c r="W48" s="141">
        <f>SUMIFS(Resumo_Trocas!$E:$E,Resumo_Trocas!$A:$A,$C48,Resumo_Trocas!$F:$F,V$18,Resumo_Trocas!$C:$C,"&gt;0")</f>
        <v>0</v>
      </c>
      <c r="X48" s="140">
        <f>SUMIFS(Resumo_Trocas!$C:$C,Resumo_Trocas!$A:$A,$C48,Resumo_Trocas!$F:$F,X$18,Resumo_Trocas!$C:$C,"&gt;0")</f>
        <v>0</v>
      </c>
      <c r="Y48" s="141">
        <f>SUMIFS(Resumo_Trocas!$E:$E,Resumo_Trocas!$A:$A,$C48,Resumo_Trocas!$F:$F,X$18,Resumo_Trocas!$C:$C,"&gt;0")</f>
        <v>0</v>
      </c>
      <c r="Z48" s="140">
        <f>SUMIFS(Resumo_Trocas!$C:$C,Resumo_Trocas!$A:$A,$C48,Resumo_Trocas!$F:$F,Z$18,Resumo_Trocas!$C:$C,"&gt;0")</f>
        <v>0</v>
      </c>
      <c r="AA48" s="141">
        <f>SUMIFS(Resumo_Trocas!$E:$E,Resumo_Trocas!$A:$A,$C48,Resumo_Trocas!$F:$F,Z$18,Resumo_Trocas!$C:$C,"&gt;0")</f>
        <v>0</v>
      </c>
      <c r="AB48" s="140">
        <f>SUMIFS(Resumo_Trocas!$C:$C,Resumo_Trocas!$A:$A,$C48,Resumo_Trocas!$F:$F,AB$18,Resumo_Trocas!$C:$C,"&gt;0")</f>
        <v>0</v>
      </c>
      <c r="AC48" s="141">
        <f>SUMIFS(Resumo_Trocas!$E:$E,Resumo_Trocas!$A:$A,$C48,Resumo_Trocas!$F:$F,AB$18,Resumo_Trocas!$C:$C,"&gt;0")</f>
        <v>0</v>
      </c>
      <c r="AD48" s="140">
        <f>SUMIFS(Resumo_Trocas!$C:$C,Resumo_Trocas!$A:$A,$C48,Resumo_Trocas!$F:$F,AD$18,Resumo_Trocas!$C:$C,"&gt;0")</f>
        <v>0</v>
      </c>
      <c r="AE48" s="141">
        <f>SUMIFS(Resumo_Trocas!$E:$E,Resumo_Trocas!$A:$A,$C48,Resumo_Trocas!$F:$F,AD$18,Resumo_Trocas!$C:$C,"&gt;0")</f>
        <v>0</v>
      </c>
      <c r="AF48" s="140">
        <f>SUMIFS(Resumo_Trocas!$C:$C,Resumo_Trocas!$A:$A,$C48,Resumo_Trocas!$F:$F,AF$18,Resumo_Trocas!$C:$C,"&gt;0")</f>
        <v>0</v>
      </c>
      <c r="AG48" s="141">
        <f>SUMIFS(Resumo_Trocas!$E:$E,Resumo_Trocas!$A:$A,$C48,Resumo_Trocas!$F:$F,AF$18,Resumo_Trocas!$C:$C,"&gt;0")</f>
        <v>0</v>
      </c>
      <c r="AH48" s="140">
        <f>SUMIFS(Resumo_Trocas!$C:$C,Resumo_Trocas!$A:$A,$C48,Resumo_Trocas!$F:$F,AH$18,Resumo_Trocas!$C:$C,"&gt;0")</f>
        <v>0</v>
      </c>
      <c r="AI48" s="141">
        <f>SUMIFS(Resumo_Trocas!$E:$E,Resumo_Trocas!$A:$A,$C48,Resumo_Trocas!$F:$F,AH$18,Resumo_Trocas!$C:$C,"&gt;0")</f>
        <v>0</v>
      </c>
      <c r="AJ48" s="140">
        <f>SUMIFS(Resumo_Trocas!$C:$C,Resumo_Trocas!$A:$A,$C48,Resumo_Trocas!$F:$F,AJ$18,Resumo_Trocas!$C:$C,"&gt;0")</f>
        <v>0</v>
      </c>
      <c r="AK48" s="141">
        <f>SUMIFS(Resumo_Trocas!$E:$E,Resumo_Trocas!$A:$A,$C48,Resumo_Trocas!$F:$F,AJ$18,Resumo_Trocas!$C:$C,"&gt;0")</f>
        <v>0</v>
      </c>
      <c r="AL48" s="140">
        <f>SUMIFS(Resumo_Trocas!$C:$C,Resumo_Trocas!$A:$A,$C48,Resumo_Trocas!$F:$F,AL$18,Resumo_Trocas!$C:$C,"&gt;0")</f>
        <v>0</v>
      </c>
      <c r="AM48" s="141">
        <f>SUMIFS(Resumo_Trocas!$E:$E,Resumo_Trocas!$A:$A,$C48,Resumo_Trocas!$F:$F,AL$18,Resumo_Trocas!$C:$C,"&gt;0")</f>
        <v>0</v>
      </c>
      <c r="AN48" s="140">
        <f>SUMIFS(Resumo_Trocas!$C:$C,Resumo_Trocas!$A:$A,$C48,Resumo_Trocas!$F:$F,AN$18,Resumo_Trocas!$C:$C,"&gt;0")</f>
        <v>0</v>
      </c>
      <c r="AO48" s="141">
        <f>SUMIFS(Resumo_Trocas!$E:$E,Resumo_Trocas!$A:$A,$C48,Resumo_Trocas!$F:$F,AN$18,Resumo_Trocas!$C:$C,"&gt;0")</f>
        <v>0</v>
      </c>
    </row>
    <row r="49" spans="2:41" ht="15" customHeight="1" outlineLevel="1" thickBot="1" x14ac:dyDescent="0.3">
      <c r="B49" s="76"/>
      <c r="C49" s="147" t="s">
        <v>3401</v>
      </c>
      <c r="D49" s="140">
        <f>SUMIFS(Resumo_Trocas!$C:$C,Resumo_Trocas!$A:$A,$C49,Resumo_Trocas!$F:$F,D$18,Resumo_Trocas!$C:$C,"&gt;0")</f>
        <v>2</v>
      </c>
      <c r="E49" s="141">
        <f>SUMIFS(Resumo_Trocas!$E:$E,Resumo_Trocas!$A:$A,$C49,Resumo_Trocas!$F:$F,D$18,Resumo_Trocas!$C:$C,"&gt;0")</f>
        <v>1</v>
      </c>
      <c r="F49" s="140">
        <f>SUMIFS(Resumo_Trocas!$C:$C,Resumo_Trocas!$A:$A,$C49,Resumo_Trocas!$F:$F,F$18,Resumo_Trocas!$C:$C,"&gt;0")</f>
        <v>0</v>
      </c>
      <c r="G49" s="141">
        <f>SUMIFS(Resumo_Trocas!$E:$E,Resumo_Trocas!$A:$A,$C49,Resumo_Trocas!$F:$F,F$18,Resumo_Trocas!$C:$C,"&gt;0")</f>
        <v>0</v>
      </c>
      <c r="H49" s="140">
        <f>SUMIFS(Resumo_Trocas!$C:$C,Resumo_Trocas!$A:$A,$C49,Resumo_Trocas!$F:$F,H$18,Resumo_Trocas!$C:$C,"&gt;0")</f>
        <v>0</v>
      </c>
      <c r="I49" s="141">
        <f>SUMIFS(Resumo_Trocas!$E:$E,Resumo_Trocas!$A:$A,$C49,Resumo_Trocas!$F:$F,H$18,Resumo_Trocas!$C:$C,"&gt;0")</f>
        <v>0</v>
      </c>
      <c r="J49" s="140">
        <f>SUMIFS(Resumo_Trocas!$C:$C,Resumo_Trocas!$A:$A,$C49,Resumo_Trocas!$F:$F,J$18,Resumo_Trocas!$C:$C,"&gt;0")</f>
        <v>0</v>
      </c>
      <c r="K49" s="141">
        <f>SUMIFS(Resumo_Trocas!$E:$E,Resumo_Trocas!$A:$A,$C49,Resumo_Trocas!$F:$F,J$18,Resumo_Trocas!$C:$C,"&gt;0")</f>
        <v>0</v>
      </c>
      <c r="L49" s="140">
        <f>SUMIFS(Resumo_Trocas!$C:$C,Resumo_Trocas!$A:$A,$C49,Resumo_Trocas!$F:$F,L$18,Resumo_Trocas!$C:$C,"&gt;0")</f>
        <v>0</v>
      </c>
      <c r="M49" s="141">
        <f>SUMIFS(Resumo_Trocas!$E:$E,Resumo_Trocas!$A:$A,$C49,Resumo_Trocas!$F:$F,L$18,Resumo_Trocas!$C:$C,"&gt;0")</f>
        <v>0</v>
      </c>
      <c r="N49" s="140">
        <f>SUMIFS(Resumo_Trocas!$C:$C,Resumo_Trocas!$A:$A,$C49,Resumo_Trocas!$F:$F,N$18,Resumo_Trocas!$C:$C,"&gt;0")</f>
        <v>0</v>
      </c>
      <c r="O49" s="141">
        <f>SUMIFS(Resumo_Trocas!$E:$E,Resumo_Trocas!$A:$A,$C49,Resumo_Trocas!$F:$F,N$18,Resumo_Trocas!$C:$C,"&gt;0")</f>
        <v>0</v>
      </c>
      <c r="P49" s="140">
        <f>SUMIFS(Resumo_Trocas!$C:$C,Resumo_Trocas!$A:$A,$C49,Resumo_Trocas!$F:$F,P$18,Resumo_Trocas!$C:$C,"&gt;0")</f>
        <v>0</v>
      </c>
      <c r="Q49" s="141">
        <f>SUMIFS(Resumo_Trocas!$E:$E,Resumo_Trocas!$A:$A,$C49,Resumo_Trocas!$F:$F,P$18,Resumo_Trocas!$C:$C,"&gt;0")</f>
        <v>0</v>
      </c>
      <c r="R49" s="140">
        <f>SUMIFS(Resumo_Trocas!$C:$C,Resumo_Trocas!$A:$A,$C49,Resumo_Trocas!$F:$F,R$18,Resumo_Trocas!$C:$C,"&gt;0")</f>
        <v>0</v>
      </c>
      <c r="S49" s="141">
        <f>SUMIFS(Resumo_Trocas!$E:$E,Resumo_Trocas!$A:$A,$C49,Resumo_Trocas!$F:$F,R$18,Resumo_Trocas!$C:$C,"&gt;0")</f>
        <v>0</v>
      </c>
      <c r="T49" s="140">
        <f>SUMIFS(Resumo_Trocas!$C:$C,Resumo_Trocas!$A:$A,$C49,Resumo_Trocas!$F:$F,T$18,Resumo_Trocas!$C:$C,"&gt;0")</f>
        <v>0</v>
      </c>
      <c r="U49" s="141">
        <f>SUMIFS(Resumo_Trocas!$E:$E,Resumo_Trocas!$A:$A,$C49,Resumo_Trocas!$F:$F,T$18,Resumo_Trocas!$C:$C,"&gt;0")</f>
        <v>0</v>
      </c>
      <c r="V49" s="140">
        <f>SUMIFS(Resumo_Trocas!$C:$C,Resumo_Trocas!$A:$A,$C49,Resumo_Trocas!$F:$F,V$18,Resumo_Trocas!$C:$C,"&gt;0")</f>
        <v>0</v>
      </c>
      <c r="W49" s="141">
        <f>SUMIFS(Resumo_Trocas!$E:$E,Resumo_Trocas!$A:$A,$C49,Resumo_Trocas!$F:$F,V$18,Resumo_Trocas!$C:$C,"&gt;0")</f>
        <v>0</v>
      </c>
      <c r="X49" s="140">
        <f>SUMIFS(Resumo_Trocas!$C:$C,Resumo_Trocas!$A:$A,$C49,Resumo_Trocas!$F:$F,X$18,Resumo_Trocas!$C:$C,"&gt;0")</f>
        <v>0</v>
      </c>
      <c r="Y49" s="141">
        <f>SUMIFS(Resumo_Trocas!$E:$E,Resumo_Trocas!$A:$A,$C49,Resumo_Trocas!$F:$F,X$18,Resumo_Trocas!$C:$C,"&gt;0")</f>
        <v>0</v>
      </c>
      <c r="Z49" s="140">
        <f>SUMIFS(Resumo_Trocas!$C:$C,Resumo_Trocas!$A:$A,$C49,Resumo_Trocas!$F:$F,Z$18,Resumo_Trocas!$C:$C,"&gt;0")</f>
        <v>0</v>
      </c>
      <c r="AA49" s="141">
        <f>SUMIFS(Resumo_Trocas!$E:$E,Resumo_Trocas!$A:$A,$C49,Resumo_Trocas!$F:$F,Z$18,Resumo_Trocas!$C:$C,"&gt;0")</f>
        <v>0</v>
      </c>
      <c r="AB49" s="140">
        <f>SUMIFS(Resumo_Trocas!$C:$C,Resumo_Trocas!$A:$A,$C49,Resumo_Trocas!$F:$F,AB$18,Resumo_Trocas!$C:$C,"&gt;0")</f>
        <v>0</v>
      </c>
      <c r="AC49" s="141">
        <f>SUMIFS(Resumo_Trocas!$E:$E,Resumo_Trocas!$A:$A,$C49,Resumo_Trocas!$F:$F,AB$18,Resumo_Trocas!$C:$C,"&gt;0")</f>
        <v>0</v>
      </c>
      <c r="AD49" s="140">
        <f>SUMIFS(Resumo_Trocas!$C:$C,Resumo_Trocas!$A:$A,$C49,Resumo_Trocas!$F:$F,AD$18,Resumo_Trocas!$C:$C,"&gt;0")</f>
        <v>0</v>
      </c>
      <c r="AE49" s="141">
        <f>SUMIFS(Resumo_Trocas!$E:$E,Resumo_Trocas!$A:$A,$C49,Resumo_Trocas!$F:$F,AD$18,Resumo_Trocas!$C:$C,"&gt;0")</f>
        <v>0</v>
      </c>
      <c r="AF49" s="140">
        <f>SUMIFS(Resumo_Trocas!$C:$C,Resumo_Trocas!$A:$A,$C49,Resumo_Trocas!$F:$F,AF$18,Resumo_Trocas!$C:$C,"&gt;0")</f>
        <v>0</v>
      </c>
      <c r="AG49" s="141">
        <f>SUMIFS(Resumo_Trocas!$E:$E,Resumo_Trocas!$A:$A,$C49,Resumo_Trocas!$F:$F,AF$18,Resumo_Trocas!$C:$C,"&gt;0")</f>
        <v>0</v>
      </c>
      <c r="AH49" s="140">
        <f>SUMIFS(Resumo_Trocas!$C:$C,Resumo_Trocas!$A:$A,$C49,Resumo_Trocas!$F:$F,AH$18,Resumo_Trocas!$C:$C,"&gt;0")</f>
        <v>0</v>
      </c>
      <c r="AI49" s="141">
        <f>SUMIFS(Resumo_Trocas!$E:$E,Resumo_Trocas!$A:$A,$C49,Resumo_Trocas!$F:$F,AH$18,Resumo_Trocas!$C:$C,"&gt;0")</f>
        <v>0</v>
      </c>
      <c r="AJ49" s="140">
        <f>SUMIFS(Resumo_Trocas!$C:$C,Resumo_Trocas!$A:$A,$C49,Resumo_Trocas!$F:$F,AJ$18,Resumo_Trocas!$C:$C,"&gt;0")</f>
        <v>0</v>
      </c>
      <c r="AK49" s="141">
        <f>SUMIFS(Resumo_Trocas!$E:$E,Resumo_Trocas!$A:$A,$C49,Resumo_Trocas!$F:$F,AJ$18,Resumo_Trocas!$C:$C,"&gt;0")</f>
        <v>0</v>
      </c>
      <c r="AL49" s="140">
        <f>SUMIFS(Resumo_Trocas!$C:$C,Resumo_Trocas!$A:$A,$C49,Resumo_Trocas!$F:$F,AL$18,Resumo_Trocas!$C:$C,"&gt;0")</f>
        <v>0</v>
      </c>
      <c r="AM49" s="141">
        <f>SUMIFS(Resumo_Trocas!$E:$E,Resumo_Trocas!$A:$A,$C49,Resumo_Trocas!$F:$F,AL$18,Resumo_Trocas!$C:$C,"&gt;0")</f>
        <v>0</v>
      </c>
      <c r="AN49" s="140">
        <f>SUMIFS(Resumo_Trocas!$C:$C,Resumo_Trocas!$A:$A,$C49,Resumo_Trocas!$F:$F,AN$18,Resumo_Trocas!$C:$C,"&gt;0")</f>
        <v>0</v>
      </c>
      <c r="AO49" s="141">
        <f>SUMIFS(Resumo_Trocas!$E:$E,Resumo_Trocas!$A:$A,$C49,Resumo_Trocas!$F:$F,AN$18,Resumo_Trocas!$C:$C,"&gt;0")</f>
        <v>0</v>
      </c>
    </row>
    <row r="50" spans="2:41" ht="15" customHeight="1" outlineLevel="1" thickBot="1" x14ac:dyDescent="0.3">
      <c r="B50" s="76"/>
      <c r="C50" s="147" t="s">
        <v>3402</v>
      </c>
      <c r="D50" s="140">
        <f>SUMIFS(Resumo_Trocas!$C:$C,Resumo_Trocas!$A:$A,$C50,Resumo_Trocas!$F:$F,D$18,Resumo_Trocas!$C:$C,"&gt;0")</f>
        <v>0</v>
      </c>
      <c r="E50" s="141">
        <f>SUMIFS(Resumo_Trocas!$E:$E,Resumo_Trocas!$A:$A,$C50,Resumo_Trocas!$F:$F,D$18,Resumo_Trocas!$C:$C,"&gt;0")</f>
        <v>0</v>
      </c>
      <c r="F50" s="140">
        <f>SUMIFS(Resumo_Trocas!$C:$C,Resumo_Trocas!$A:$A,$C50,Resumo_Trocas!$F:$F,F$18,Resumo_Trocas!$C:$C,"&gt;0")</f>
        <v>0</v>
      </c>
      <c r="G50" s="141">
        <f>SUMIFS(Resumo_Trocas!$E:$E,Resumo_Trocas!$A:$A,$C50,Resumo_Trocas!$F:$F,F$18,Resumo_Trocas!$C:$C,"&gt;0")</f>
        <v>0</v>
      </c>
      <c r="H50" s="140">
        <f>SUMIFS(Resumo_Trocas!$C:$C,Resumo_Trocas!$A:$A,$C50,Resumo_Trocas!$F:$F,H$18,Resumo_Trocas!$C:$C,"&gt;0")</f>
        <v>0</v>
      </c>
      <c r="I50" s="141">
        <f>SUMIFS(Resumo_Trocas!$E:$E,Resumo_Trocas!$A:$A,$C50,Resumo_Trocas!$F:$F,H$18,Resumo_Trocas!$C:$C,"&gt;0")</f>
        <v>0</v>
      </c>
      <c r="J50" s="140">
        <f>SUMIFS(Resumo_Trocas!$C:$C,Resumo_Trocas!$A:$A,$C50,Resumo_Trocas!$F:$F,J$18,Resumo_Trocas!$C:$C,"&gt;0")</f>
        <v>0</v>
      </c>
      <c r="K50" s="141">
        <f>SUMIFS(Resumo_Trocas!$E:$E,Resumo_Trocas!$A:$A,$C50,Resumo_Trocas!$F:$F,J$18,Resumo_Trocas!$C:$C,"&gt;0")</f>
        <v>0</v>
      </c>
      <c r="L50" s="140">
        <f>SUMIFS(Resumo_Trocas!$C:$C,Resumo_Trocas!$A:$A,$C50,Resumo_Trocas!$F:$F,L$18,Resumo_Trocas!$C:$C,"&gt;0")</f>
        <v>0</v>
      </c>
      <c r="M50" s="141">
        <f>SUMIFS(Resumo_Trocas!$E:$E,Resumo_Trocas!$A:$A,$C50,Resumo_Trocas!$F:$F,L$18,Resumo_Trocas!$C:$C,"&gt;0")</f>
        <v>0</v>
      </c>
      <c r="N50" s="140">
        <f>SUMIFS(Resumo_Trocas!$C:$C,Resumo_Trocas!$A:$A,$C50,Resumo_Trocas!$F:$F,N$18,Resumo_Trocas!$C:$C,"&gt;0")</f>
        <v>0</v>
      </c>
      <c r="O50" s="141">
        <f>SUMIFS(Resumo_Trocas!$E:$E,Resumo_Trocas!$A:$A,$C50,Resumo_Trocas!$F:$F,N$18,Resumo_Trocas!$C:$C,"&gt;0")</f>
        <v>0</v>
      </c>
      <c r="P50" s="140">
        <f>SUMIFS(Resumo_Trocas!$C:$C,Resumo_Trocas!$A:$A,$C50,Resumo_Trocas!$F:$F,P$18,Resumo_Trocas!$C:$C,"&gt;0")</f>
        <v>0</v>
      </c>
      <c r="Q50" s="141">
        <f>SUMIFS(Resumo_Trocas!$E:$E,Resumo_Trocas!$A:$A,$C50,Resumo_Trocas!$F:$F,P$18,Resumo_Trocas!$C:$C,"&gt;0")</f>
        <v>0</v>
      </c>
      <c r="R50" s="140">
        <f>SUMIFS(Resumo_Trocas!$C:$C,Resumo_Trocas!$A:$A,$C50,Resumo_Trocas!$F:$F,R$18,Resumo_Trocas!$C:$C,"&gt;0")</f>
        <v>0</v>
      </c>
      <c r="S50" s="141">
        <f>SUMIFS(Resumo_Trocas!$E:$E,Resumo_Trocas!$A:$A,$C50,Resumo_Trocas!$F:$F,R$18,Resumo_Trocas!$C:$C,"&gt;0")</f>
        <v>0</v>
      </c>
      <c r="T50" s="140">
        <f>SUMIFS(Resumo_Trocas!$C:$C,Resumo_Trocas!$A:$A,$C50,Resumo_Trocas!$F:$F,T$18,Resumo_Trocas!$C:$C,"&gt;0")</f>
        <v>0</v>
      </c>
      <c r="U50" s="141">
        <f>SUMIFS(Resumo_Trocas!$E:$E,Resumo_Trocas!$A:$A,$C50,Resumo_Trocas!$F:$F,T$18,Resumo_Trocas!$C:$C,"&gt;0")</f>
        <v>0</v>
      </c>
      <c r="V50" s="140">
        <f>SUMIFS(Resumo_Trocas!$C:$C,Resumo_Trocas!$A:$A,$C50,Resumo_Trocas!$F:$F,V$18,Resumo_Trocas!$C:$C,"&gt;0")</f>
        <v>0</v>
      </c>
      <c r="W50" s="141">
        <f>SUMIFS(Resumo_Trocas!$E:$E,Resumo_Trocas!$A:$A,$C50,Resumo_Trocas!$F:$F,V$18,Resumo_Trocas!$C:$C,"&gt;0")</f>
        <v>0</v>
      </c>
      <c r="X50" s="140">
        <f>SUMIFS(Resumo_Trocas!$C:$C,Resumo_Trocas!$A:$A,$C50,Resumo_Trocas!$F:$F,X$18,Resumo_Trocas!$C:$C,"&gt;0")</f>
        <v>0</v>
      </c>
      <c r="Y50" s="141">
        <f>SUMIFS(Resumo_Trocas!$E:$E,Resumo_Trocas!$A:$A,$C50,Resumo_Trocas!$F:$F,X$18,Resumo_Trocas!$C:$C,"&gt;0")</f>
        <v>0</v>
      </c>
      <c r="Z50" s="140">
        <f>SUMIFS(Resumo_Trocas!$C:$C,Resumo_Trocas!$A:$A,$C50,Resumo_Trocas!$F:$F,Z$18,Resumo_Trocas!$C:$C,"&gt;0")</f>
        <v>0</v>
      </c>
      <c r="AA50" s="141">
        <f>SUMIFS(Resumo_Trocas!$E:$E,Resumo_Trocas!$A:$A,$C50,Resumo_Trocas!$F:$F,Z$18,Resumo_Trocas!$C:$C,"&gt;0")</f>
        <v>0</v>
      </c>
      <c r="AB50" s="140">
        <f>SUMIFS(Resumo_Trocas!$C:$C,Resumo_Trocas!$A:$A,$C50,Resumo_Trocas!$F:$F,AB$18,Resumo_Trocas!$C:$C,"&gt;0")</f>
        <v>0</v>
      </c>
      <c r="AC50" s="141">
        <f>SUMIFS(Resumo_Trocas!$E:$E,Resumo_Trocas!$A:$A,$C50,Resumo_Trocas!$F:$F,AB$18,Resumo_Trocas!$C:$C,"&gt;0")</f>
        <v>0</v>
      </c>
      <c r="AD50" s="140">
        <f>SUMIFS(Resumo_Trocas!$C:$C,Resumo_Trocas!$A:$A,$C50,Resumo_Trocas!$F:$F,AD$18,Resumo_Trocas!$C:$C,"&gt;0")</f>
        <v>0</v>
      </c>
      <c r="AE50" s="141">
        <f>SUMIFS(Resumo_Trocas!$E:$E,Resumo_Trocas!$A:$A,$C50,Resumo_Trocas!$F:$F,AD$18,Resumo_Trocas!$C:$C,"&gt;0")</f>
        <v>0</v>
      </c>
      <c r="AF50" s="140">
        <f>SUMIFS(Resumo_Trocas!$C:$C,Resumo_Trocas!$A:$A,$C50,Resumo_Trocas!$F:$F,AF$18,Resumo_Trocas!$C:$C,"&gt;0")</f>
        <v>0</v>
      </c>
      <c r="AG50" s="141">
        <f>SUMIFS(Resumo_Trocas!$E:$E,Resumo_Trocas!$A:$A,$C50,Resumo_Trocas!$F:$F,AF$18,Resumo_Trocas!$C:$C,"&gt;0")</f>
        <v>0</v>
      </c>
      <c r="AH50" s="140">
        <f>SUMIFS(Resumo_Trocas!$C:$C,Resumo_Trocas!$A:$A,$C50,Resumo_Trocas!$F:$F,AH$18,Resumo_Trocas!$C:$C,"&gt;0")</f>
        <v>0</v>
      </c>
      <c r="AI50" s="141">
        <f>SUMIFS(Resumo_Trocas!$E:$E,Resumo_Trocas!$A:$A,$C50,Resumo_Trocas!$F:$F,AH$18,Resumo_Trocas!$C:$C,"&gt;0")</f>
        <v>0</v>
      </c>
      <c r="AJ50" s="140">
        <f>SUMIFS(Resumo_Trocas!$C:$C,Resumo_Trocas!$A:$A,$C50,Resumo_Trocas!$F:$F,AJ$18,Resumo_Trocas!$C:$C,"&gt;0")</f>
        <v>0</v>
      </c>
      <c r="AK50" s="141">
        <f>SUMIFS(Resumo_Trocas!$E:$E,Resumo_Trocas!$A:$A,$C50,Resumo_Trocas!$F:$F,AJ$18,Resumo_Trocas!$C:$C,"&gt;0")</f>
        <v>0</v>
      </c>
      <c r="AL50" s="140">
        <f>SUMIFS(Resumo_Trocas!$C:$C,Resumo_Trocas!$A:$A,$C50,Resumo_Trocas!$F:$F,AL$18,Resumo_Trocas!$C:$C,"&gt;0")</f>
        <v>0</v>
      </c>
      <c r="AM50" s="141">
        <f>SUMIFS(Resumo_Trocas!$E:$E,Resumo_Trocas!$A:$A,$C50,Resumo_Trocas!$F:$F,AL$18,Resumo_Trocas!$C:$C,"&gt;0")</f>
        <v>0</v>
      </c>
      <c r="AN50" s="140">
        <f>SUMIFS(Resumo_Trocas!$C:$C,Resumo_Trocas!$A:$A,$C50,Resumo_Trocas!$F:$F,AN$18,Resumo_Trocas!$C:$C,"&gt;0")</f>
        <v>0</v>
      </c>
      <c r="AO50" s="141">
        <f>SUMIFS(Resumo_Trocas!$E:$E,Resumo_Trocas!$A:$A,$C50,Resumo_Trocas!$F:$F,AN$18,Resumo_Trocas!$C:$C,"&gt;0")</f>
        <v>0</v>
      </c>
    </row>
    <row r="51" spans="2:41" ht="15.75" outlineLevel="1" thickBot="1" x14ac:dyDescent="0.3">
      <c r="C51" s="113" t="s">
        <v>3403</v>
      </c>
      <c r="D51" s="142">
        <f>SUMIFS(Resumo_Trocas!$C:$C,Resumo_Trocas!$A:$A,$C51,Resumo_Trocas!$F:$F,D$18,Resumo_Trocas!$C:$C,"&gt;0")</f>
        <v>0</v>
      </c>
      <c r="E51" s="143">
        <f>SUMIFS(Resumo_Trocas!$E:$E,Resumo_Trocas!$A:$A,$C51,Resumo_Trocas!$F:$F,D$18,Resumo_Trocas!$C:$C,"&gt;0")</f>
        <v>0</v>
      </c>
      <c r="F51" s="142">
        <f>SUMIFS(Resumo_Trocas!$C:$C,Resumo_Trocas!$A:$A,$C51,Resumo_Trocas!$F:$F,F$18,Resumo_Trocas!$C:$C,"&gt;0")</f>
        <v>0</v>
      </c>
      <c r="G51" s="143">
        <f>SUMIFS(Resumo_Trocas!$E:$E,Resumo_Trocas!$A:$A,$C51,Resumo_Trocas!$F:$F,F$18,Resumo_Trocas!$C:$C,"&gt;0")</f>
        <v>0</v>
      </c>
      <c r="H51" s="142">
        <f>SUMIFS(Resumo_Trocas!$C:$C,Resumo_Trocas!$A:$A,$C51,Resumo_Trocas!$F:$F,H$18,Resumo_Trocas!$C:$C,"&gt;0")</f>
        <v>0</v>
      </c>
      <c r="I51" s="143">
        <f>SUMIFS(Resumo_Trocas!$E:$E,Resumo_Trocas!$A:$A,$C51,Resumo_Trocas!$F:$F,H$18,Resumo_Trocas!$C:$C,"&gt;0")</f>
        <v>0</v>
      </c>
      <c r="J51" s="142">
        <f>SUMIFS(Resumo_Trocas!$C:$C,Resumo_Trocas!$A:$A,$C51,Resumo_Trocas!$F:$F,J$18,Resumo_Trocas!$C:$C,"&gt;0")</f>
        <v>0</v>
      </c>
      <c r="K51" s="143">
        <f>SUMIFS(Resumo_Trocas!$E:$E,Resumo_Trocas!$A:$A,$C51,Resumo_Trocas!$F:$F,J$18,Resumo_Trocas!$C:$C,"&gt;0")</f>
        <v>0</v>
      </c>
      <c r="L51" s="142">
        <f>SUMIFS(Resumo_Trocas!$C:$C,Resumo_Trocas!$A:$A,$C51,Resumo_Trocas!$F:$F,L$18,Resumo_Trocas!$C:$C,"&gt;0")</f>
        <v>0</v>
      </c>
      <c r="M51" s="143">
        <f>SUMIFS(Resumo_Trocas!$E:$E,Resumo_Trocas!$A:$A,$C51,Resumo_Trocas!$F:$F,L$18,Resumo_Trocas!$C:$C,"&gt;0")</f>
        <v>0</v>
      </c>
      <c r="N51" s="142">
        <f>SUMIFS(Resumo_Trocas!$C:$C,Resumo_Trocas!$A:$A,$C51,Resumo_Trocas!$F:$F,N$18,Resumo_Trocas!$C:$C,"&gt;0")</f>
        <v>0</v>
      </c>
      <c r="O51" s="143">
        <f>SUMIFS(Resumo_Trocas!$E:$E,Resumo_Trocas!$A:$A,$C51,Resumo_Trocas!$F:$F,N$18,Resumo_Trocas!$C:$C,"&gt;0")</f>
        <v>0</v>
      </c>
      <c r="P51" s="142">
        <f>SUMIFS(Resumo_Trocas!$C:$C,Resumo_Trocas!$A:$A,$C51,Resumo_Trocas!$F:$F,P$18,Resumo_Trocas!$C:$C,"&gt;0")</f>
        <v>0</v>
      </c>
      <c r="Q51" s="143">
        <f>SUMIFS(Resumo_Trocas!$E:$E,Resumo_Trocas!$A:$A,$C51,Resumo_Trocas!$F:$F,P$18,Resumo_Trocas!$C:$C,"&gt;0")</f>
        <v>0</v>
      </c>
      <c r="R51" s="142">
        <f>SUMIFS(Resumo_Trocas!$C:$C,Resumo_Trocas!$A:$A,$C51,Resumo_Trocas!$F:$F,R$18,Resumo_Trocas!$C:$C,"&gt;0")</f>
        <v>0</v>
      </c>
      <c r="S51" s="143">
        <f>SUMIFS(Resumo_Trocas!$E:$E,Resumo_Trocas!$A:$A,$C51,Resumo_Trocas!$F:$F,R$18,Resumo_Trocas!$C:$C,"&gt;0")</f>
        <v>0</v>
      </c>
      <c r="T51" s="142">
        <f>SUMIFS(Resumo_Trocas!$C:$C,Resumo_Trocas!$A:$A,$C51,Resumo_Trocas!$F:$F,T$18,Resumo_Trocas!$C:$C,"&gt;0")</f>
        <v>0</v>
      </c>
      <c r="U51" s="143">
        <f>SUMIFS(Resumo_Trocas!$E:$E,Resumo_Trocas!$A:$A,$C51,Resumo_Trocas!$F:$F,T$18,Resumo_Trocas!$C:$C,"&gt;0")</f>
        <v>0</v>
      </c>
      <c r="V51" s="142">
        <f>SUMIFS(Resumo_Trocas!$C:$C,Resumo_Trocas!$A:$A,$C51,Resumo_Trocas!$F:$F,V$18,Resumo_Trocas!$C:$C,"&gt;0")</f>
        <v>0</v>
      </c>
      <c r="W51" s="143">
        <f>SUMIFS(Resumo_Trocas!$E:$E,Resumo_Trocas!$A:$A,$C51,Resumo_Trocas!$F:$F,V$18,Resumo_Trocas!$C:$C,"&gt;0")</f>
        <v>0</v>
      </c>
      <c r="X51" s="142">
        <f>SUMIFS(Resumo_Trocas!$C:$C,Resumo_Trocas!$A:$A,$C51,Resumo_Trocas!$F:$F,X$18,Resumo_Trocas!$C:$C,"&gt;0")</f>
        <v>0</v>
      </c>
      <c r="Y51" s="143">
        <f>SUMIFS(Resumo_Trocas!$E:$E,Resumo_Trocas!$A:$A,$C51,Resumo_Trocas!$F:$F,X$18,Resumo_Trocas!$C:$C,"&gt;0")</f>
        <v>0</v>
      </c>
      <c r="Z51" s="142">
        <f>SUMIFS(Resumo_Trocas!$C:$C,Resumo_Trocas!$A:$A,$C51,Resumo_Trocas!$F:$F,Z$18,Resumo_Trocas!$C:$C,"&gt;0")</f>
        <v>0</v>
      </c>
      <c r="AA51" s="143">
        <f>SUMIFS(Resumo_Trocas!$E:$E,Resumo_Trocas!$A:$A,$C51,Resumo_Trocas!$F:$F,Z$18,Resumo_Trocas!$C:$C,"&gt;0")</f>
        <v>0</v>
      </c>
      <c r="AB51" s="142">
        <f>SUMIFS(Resumo_Trocas!$C:$C,Resumo_Trocas!$A:$A,$C51,Resumo_Trocas!$F:$F,AB$18,Resumo_Trocas!$C:$C,"&gt;0")</f>
        <v>0</v>
      </c>
      <c r="AC51" s="143">
        <f>SUMIFS(Resumo_Trocas!$E:$E,Resumo_Trocas!$A:$A,$C51,Resumo_Trocas!$F:$F,AB$18,Resumo_Trocas!$C:$C,"&gt;0")</f>
        <v>0</v>
      </c>
      <c r="AD51" s="142">
        <f>SUMIFS(Resumo_Trocas!$C:$C,Resumo_Trocas!$A:$A,$C51,Resumo_Trocas!$F:$F,AD$18,Resumo_Trocas!$C:$C,"&gt;0")</f>
        <v>0</v>
      </c>
      <c r="AE51" s="143">
        <f>SUMIFS(Resumo_Trocas!$E:$E,Resumo_Trocas!$A:$A,$C51,Resumo_Trocas!$F:$F,AD$18,Resumo_Trocas!$C:$C,"&gt;0")</f>
        <v>0</v>
      </c>
      <c r="AF51" s="142">
        <f>SUMIFS(Resumo_Trocas!$C:$C,Resumo_Trocas!$A:$A,$C51,Resumo_Trocas!$F:$F,AF$18,Resumo_Trocas!$C:$C,"&gt;0")</f>
        <v>0</v>
      </c>
      <c r="AG51" s="143">
        <f>SUMIFS(Resumo_Trocas!$E:$E,Resumo_Trocas!$A:$A,$C51,Resumo_Trocas!$F:$F,AF$18,Resumo_Trocas!$C:$C,"&gt;0")</f>
        <v>0</v>
      </c>
      <c r="AH51" s="142">
        <f>SUMIFS(Resumo_Trocas!$C:$C,Resumo_Trocas!$A:$A,$C51,Resumo_Trocas!$F:$F,AH$18,Resumo_Trocas!$C:$C,"&gt;0")</f>
        <v>0</v>
      </c>
      <c r="AI51" s="143">
        <f>SUMIFS(Resumo_Trocas!$E:$E,Resumo_Trocas!$A:$A,$C51,Resumo_Trocas!$F:$F,AH$18,Resumo_Trocas!$C:$C,"&gt;0")</f>
        <v>0</v>
      </c>
      <c r="AJ51" s="142">
        <f>SUMIFS(Resumo_Trocas!$C:$C,Resumo_Trocas!$A:$A,$C51,Resumo_Trocas!$F:$F,AJ$18,Resumo_Trocas!$C:$C,"&gt;0")</f>
        <v>0</v>
      </c>
      <c r="AK51" s="143">
        <f>SUMIFS(Resumo_Trocas!$E:$E,Resumo_Trocas!$A:$A,$C51,Resumo_Trocas!$F:$F,AJ$18,Resumo_Trocas!$C:$C,"&gt;0")</f>
        <v>0</v>
      </c>
      <c r="AL51" s="142">
        <f>SUMIFS(Resumo_Trocas!$C:$C,Resumo_Trocas!$A:$A,$C51,Resumo_Trocas!$F:$F,AL$18,Resumo_Trocas!$C:$C,"&gt;0")</f>
        <v>0</v>
      </c>
      <c r="AM51" s="143">
        <f>SUMIFS(Resumo_Trocas!$E:$E,Resumo_Trocas!$A:$A,$C51,Resumo_Trocas!$F:$F,AL$18,Resumo_Trocas!$C:$C,"&gt;0")</f>
        <v>0</v>
      </c>
      <c r="AN51" s="142">
        <f>SUMIFS(Resumo_Trocas!$C:$C,Resumo_Trocas!$A:$A,$C51,Resumo_Trocas!$F:$F,AN$18,Resumo_Trocas!$C:$C,"&gt;0")</f>
        <v>0</v>
      </c>
      <c r="AO51" s="143">
        <f>SUMIFS(Resumo_Trocas!$E:$E,Resumo_Trocas!$A:$A,$C51,Resumo_Trocas!$F:$F,AN$18,Resumo_Trocas!$C:$C,"&gt;0")</f>
        <v>0</v>
      </c>
    </row>
    <row r="52" spans="2:41" x14ac:dyDescent="0.25">
      <c r="C52" s="62"/>
    </row>
  </sheetData>
  <mergeCells count="136">
    <mergeCell ref="D2:AO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B3:AC3"/>
    <mergeCell ref="AD3:AE3"/>
    <mergeCell ref="AF3:AG3"/>
    <mergeCell ref="D4:E4"/>
    <mergeCell ref="F4:G4"/>
    <mergeCell ref="H4:I4"/>
    <mergeCell ref="J4:K4"/>
    <mergeCell ref="L4:M4"/>
    <mergeCell ref="N4:O4"/>
    <mergeCell ref="V3:W3"/>
    <mergeCell ref="X3:Y3"/>
    <mergeCell ref="Z3:AA3"/>
    <mergeCell ref="AN4:AO4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H5:AI5"/>
    <mergeCell ref="AJ5:AK5"/>
    <mergeCell ref="AL5:AM5"/>
    <mergeCell ref="AN5:AO5"/>
    <mergeCell ref="D6:E6"/>
    <mergeCell ref="F6:G6"/>
    <mergeCell ref="H6:I6"/>
    <mergeCell ref="J6:K6"/>
    <mergeCell ref="L6:M6"/>
    <mergeCell ref="N6:O6"/>
    <mergeCell ref="V5:W5"/>
    <mergeCell ref="X5:Y5"/>
    <mergeCell ref="Z5:AA5"/>
    <mergeCell ref="AB5:AC5"/>
    <mergeCell ref="AD5:AE5"/>
    <mergeCell ref="AF5:AG5"/>
    <mergeCell ref="AN6:AO6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V6:W6"/>
    <mergeCell ref="X6:Y6"/>
    <mergeCell ref="Z6:AA6"/>
    <mergeCell ref="AH9:AI9"/>
    <mergeCell ref="AJ9:AK9"/>
    <mergeCell ref="AL9:AM9"/>
    <mergeCell ref="AN9:AO9"/>
    <mergeCell ref="C18:C19"/>
    <mergeCell ref="D18:E18"/>
    <mergeCell ref="F18:G18"/>
    <mergeCell ref="H18:I18"/>
    <mergeCell ref="J18:K18"/>
    <mergeCell ref="L18:M18"/>
    <mergeCell ref="V9:W9"/>
    <mergeCell ref="X9:Y9"/>
    <mergeCell ref="Z9:AA9"/>
    <mergeCell ref="AB9:AC9"/>
    <mergeCell ref="AD9:AE9"/>
    <mergeCell ref="AF9:AG9"/>
    <mergeCell ref="AL18:AM18"/>
    <mergeCell ref="AN18:AO18"/>
    <mergeCell ref="AB18:AC18"/>
    <mergeCell ref="AD18:AE18"/>
    <mergeCell ref="AF18:AG18"/>
    <mergeCell ref="C36:C37"/>
    <mergeCell ref="D36:E36"/>
    <mergeCell ref="F36:G36"/>
    <mergeCell ref="H36:I36"/>
    <mergeCell ref="J36:K36"/>
    <mergeCell ref="L36:M36"/>
    <mergeCell ref="N36:O36"/>
    <mergeCell ref="P36:Q36"/>
    <mergeCell ref="Z18:AA18"/>
    <mergeCell ref="N18:O18"/>
    <mergeCell ref="P18:Q18"/>
    <mergeCell ref="R18:S18"/>
    <mergeCell ref="T18:U18"/>
    <mergeCell ref="V18:W18"/>
    <mergeCell ref="X18:Y18"/>
    <mergeCell ref="AH18:AI18"/>
    <mergeCell ref="AJ18:AK18"/>
    <mergeCell ref="AJ36:AK36"/>
    <mergeCell ref="AD36:AE36"/>
    <mergeCell ref="AF36:AG36"/>
    <mergeCell ref="AH36:AI36"/>
    <mergeCell ref="AL36:AM36"/>
    <mergeCell ref="AN36:AO36"/>
    <mergeCell ref="R36:S36"/>
    <mergeCell ref="T36:U36"/>
    <mergeCell ref="V36:W36"/>
    <mergeCell ref="X36:Y36"/>
    <mergeCell ref="Z36:AA36"/>
    <mergeCell ref="AB36:AC3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6EC2E-6092-41DF-99E8-FAC134D40992}">
  <sheetPr codeName="Planilha12"/>
  <dimension ref="A1:AQ66"/>
  <sheetViews>
    <sheetView showGridLines="0" showZeros="0" zoomScaleNormal="100" workbookViewId="0">
      <pane xSplit="2" ySplit="7" topLeftCell="C30" activePane="bottomRight" state="frozen"/>
      <selection pane="topRight" activeCell="T8" sqref="T8:U8"/>
      <selection pane="bottomLeft" activeCell="T8" sqref="T8:U8"/>
      <selection pane="bottomRight" activeCell="T8" sqref="T8:U8"/>
    </sheetView>
  </sheetViews>
  <sheetFormatPr defaultColWidth="8.7109375" defaultRowHeight="15" outlineLevelRow="2" outlineLevelCol="1" x14ac:dyDescent="0.25"/>
  <cols>
    <col min="1" max="1" width="0.85546875" style="62" customWidth="1"/>
    <col min="2" max="2" width="5.5703125" style="62" hidden="1" customWidth="1"/>
    <col min="3" max="3" width="25.28515625" style="66" customWidth="1"/>
    <col min="4" max="7" width="8.85546875" style="62" customWidth="1" outlineLevel="1"/>
    <col min="8" max="21" width="8.7109375" style="62" customWidth="1" outlineLevel="1"/>
    <col min="22" max="22" width="8.7109375" style="62"/>
    <col min="23" max="41" width="8.7109375" style="62" customWidth="1" outlineLevel="1"/>
    <col min="42" max="16384" width="8.7109375" style="62"/>
  </cols>
  <sheetData>
    <row r="1" spans="1:43" ht="30" customHeight="1" x14ac:dyDescent="0.35">
      <c r="A1" s="62" t="s">
        <v>3484</v>
      </c>
      <c r="C1" s="71" t="s">
        <v>3404</v>
      </c>
    </row>
    <row r="2" spans="1:43" ht="21.75" thickBot="1" x14ac:dyDescent="0.4">
      <c r="C2" s="65" t="s">
        <v>3379</v>
      </c>
      <c r="D2" s="243" t="s">
        <v>3380</v>
      </c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</row>
    <row r="3" spans="1:43" s="90" customFormat="1" ht="15" customHeight="1" thickBot="1" x14ac:dyDescent="0.3">
      <c r="C3" s="118" t="s">
        <v>3381</v>
      </c>
      <c r="D3" s="217" t="s">
        <v>3372</v>
      </c>
      <c r="E3" s="217"/>
      <c r="F3" s="217" t="s">
        <v>3373</v>
      </c>
      <c r="G3" s="217"/>
      <c r="H3" s="218" t="s">
        <v>3374</v>
      </c>
      <c r="I3" s="218"/>
      <c r="J3" s="217" t="s">
        <v>3370</v>
      </c>
      <c r="K3" s="217"/>
      <c r="L3" s="219" t="s">
        <v>3371</v>
      </c>
      <c r="M3" s="219"/>
      <c r="N3" s="219" t="s">
        <v>3375</v>
      </c>
      <c r="O3" s="219"/>
      <c r="P3" s="219" t="s">
        <v>3367</v>
      </c>
      <c r="Q3" s="219"/>
      <c r="R3" s="219" t="s">
        <v>3368</v>
      </c>
      <c r="S3" s="219"/>
      <c r="T3" s="219" t="s">
        <v>3369</v>
      </c>
      <c r="U3" s="219"/>
      <c r="V3" s="219" t="s">
        <v>3358</v>
      </c>
      <c r="W3" s="219"/>
      <c r="X3" s="219" t="s">
        <v>3363</v>
      </c>
      <c r="Y3" s="219"/>
      <c r="Z3" s="219" t="s">
        <v>3361</v>
      </c>
      <c r="AA3" s="219"/>
      <c r="AB3" s="219" t="s">
        <v>3359</v>
      </c>
      <c r="AC3" s="219"/>
      <c r="AD3" s="219" t="s">
        <v>3366</v>
      </c>
      <c r="AE3" s="219"/>
      <c r="AF3" s="219" t="s">
        <v>3364</v>
      </c>
      <c r="AG3" s="219"/>
      <c r="AH3" s="219" t="s">
        <v>3360</v>
      </c>
      <c r="AI3" s="219"/>
      <c r="AJ3" s="219" t="s">
        <v>3362</v>
      </c>
      <c r="AK3" s="219"/>
      <c r="AL3" s="219" t="s">
        <v>3365</v>
      </c>
      <c r="AM3" s="219"/>
      <c r="AN3" s="218" t="s">
        <v>3486</v>
      </c>
      <c r="AO3" s="218"/>
      <c r="AP3" s="97" t="s">
        <v>3383</v>
      </c>
      <c r="AQ3" s="97" t="s">
        <v>3384</v>
      </c>
    </row>
    <row r="4" spans="1:43" s="90" customFormat="1" ht="15" customHeight="1" thickBot="1" x14ac:dyDescent="0.25">
      <c r="C4" s="158">
        <v>200</v>
      </c>
      <c r="D4" s="220">
        <f>SUM(D5:E6)</f>
        <v>0.5</v>
      </c>
      <c r="E4" s="220"/>
      <c r="F4" s="220">
        <f>SUM(F5:G6)</f>
        <v>0.33333333333333331</v>
      </c>
      <c r="G4" s="220"/>
      <c r="H4" s="220">
        <f>SUM(H5:I6)</f>
        <v>5.5555555555555552E-2</v>
      </c>
      <c r="I4" s="220"/>
      <c r="J4" s="220">
        <f>SUM(J5:K6)</f>
        <v>0.1111111111111111</v>
      </c>
      <c r="K4" s="220"/>
      <c r="L4" s="220">
        <f>SUM(L5:M6)</f>
        <v>0.1111111111111111</v>
      </c>
      <c r="M4" s="220"/>
      <c r="N4" s="220">
        <f>SUM(N5:O6)</f>
        <v>0</v>
      </c>
      <c r="O4" s="220"/>
      <c r="P4" s="220">
        <f>SUM(P5:Q6)</f>
        <v>5.5555555555555552E-2</v>
      </c>
      <c r="Q4" s="220"/>
      <c r="R4" s="220">
        <f>SUM(R5:S6)</f>
        <v>5.5555555555555552E-2</v>
      </c>
      <c r="S4" s="220"/>
      <c r="T4" s="220">
        <f>SUM(T5:U6)</f>
        <v>0.22222222222222221</v>
      </c>
      <c r="U4" s="220"/>
      <c r="V4" s="220">
        <f>SUM(V5:W6)</f>
        <v>0</v>
      </c>
      <c r="W4" s="220"/>
      <c r="X4" s="220">
        <f>SUM(X5:Y6)</f>
        <v>0.1111111111111111</v>
      </c>
      <c r="Y4" s="220"/>
      <c r="Z4" s="220">
        <f>SUM(Z5:AA6)</f>
        <v>5.5555555555555552E-2</v>
      </c>
      <c r="AA4" s="220"/>
      <c r="AB4" s="220">
        <f>SUM(AB5:AC6)</f>
        <v>5.5555555555555552E-2</v>
      </c>
      <c r="AC4" s="220"/>
      <c r="AD4" s="220">
        <f>SUM(AD5:AE6)</f>
        <v>5.5555555555555552E-2</v>
      </c>
      <c r="AE4" s="220"/>
      <c r="AF4" s="220">
        <f>SUM(AF5:AG6)</f>
        <v>0.1111111111111111</v>
      </c>
      <c r="AG4" s="220"/>
      <c r="AH4" s="220">
        <f>SUM(AH5:AI6)</f>
        <v>5.5555555555555552E-2</v>
      </c>
      <c r="AI4" s="220"/>
      <c r="AJ4" s="220">
        <f>SUM(AJ5:AK6)</f>
        <v>0</v>
      </c>
      <c r="AK4" s="220"/>
      <c r="AL4" s="220">
        <f>SUM(AL5:AM6)</f>
        <v>0</v>
      </c>
      <c r="AM4" s="220"/>
      <c r="AN4" s="220"/>
      <c r="AO4" s="221"/>
      <c r="AP4" s="96">
        <f>AVERAGE(D4:AN4)</f>
        <v>0.10493827160493829</v>
      </c>
      <c r="AQ4" s="96">
        <f>ROUNDUP(AP4,0)</f>
        <v>1</v>
      </c>
    </row>
    <row r="5" spans="1:43" s="90" customFormat="1" ht="15.75" thickBot="1" x14ac:dyDescent="0.3">
      <c r="C5" s="122" t="s">
        <v>3488</v>
      </c>
      <c r="D5" s="205">
        <f>IFERROR(SUM(((E12)*$C$4)/3600)," ")</f>
        <v>0</v>
      </c>
      <c r="E5" s="205"/>
      <c r="F5" s="205">
        <f>IFERROR(SUM(((G12)*$C$4)/3600)," ")</f>
        <v>0</v>
      </c>
      <c r="G5" s="205"/>
      <c r="H5" s="205">
        <f>IFERROR(SUM(((I12)*$C$4)/3600)," ")</f>
        <v>0</v>
      </c>
      <c r="I5" s="205"/>
      <c r="J5" s="205">
        <f>IFERROR(SUM(((K12)*$C$4)/3600)," ")</f>
        <v>0</v>
      </c>
      <c r="K5" s="205"/>
      <c r="L5" s="205">
        <f>IFERROR(SUM(((M12)*$C$4)/3600)," ")</f>
        <v>0</v>
      </c>
      <c r="M5" s="205"/>
      <c r="N5" s="205">
        <f>IFERROR(SUM(((O12)*$C$4)/3600)," ")</f>
        <v>0</v>
      </c>
      <c r="O5" s="205"/>
      <c r="P5" s="205">
        <f>IFERROR(SUM(((Q12)*$C$4)/3600)," ")</f>
        <v>0</v>
      </c>
      <c r="Q5" s="205"/>
      <c r="R5" s="205">
        <f>IFERROR(SUM(((S12)*$C$4)/3600)," ")</f>
        <v>0</v>
      </c>
      <c r="S5" s="205"/>
      <c r="T5" s="205">
        <f>IFERROR(SUM(((U12)*$C$4)/3600)," ")</f>
        <v>0</v>
      </c>
      <c r="U5" s="205"/>
      <c r="V5" s="205">
        <f>IFERROR(SUM(((W12)*$C$4)/3600)," ")</f>
        <v>0</v>
      </c>
      <c r="W5" s="205"/>
      <c r="X5" s="205">
        <f>IFERROR(SUM(((Y12)*$C$4)/3600)," ")</f>
        <v>0</v>
      </c>
      <c r="Y5" s="205"/>
      <c r="Z5" s="205">
        <f>IFERROR(SUM(((AA12)*$C$4)/3600)," ")</f>
        <v>0</v>
      </c>
      <c r="AA5" s="205"/>
      <c r="AB5" s="205">
        <f>IFERROR(SUM(((AC12)*$C$4)/3600)," ")</f>
        <v>0</v>
      </c>
      <c r="AC5" s="205"/>
      <c r="AD5" s="205">
        <f>IFERROR(SUM(((AE12)*$C$4)/3600)," ")</f>
        <v>0</v>
      </c>
      <c r="AE5" s="205"/>
      <c r="AF5" s="205">
        <f>IFERROR(SUM(((AG12)*$C$4)/3600)," ")</f>
        <v>0</v>
      </c>
      <c r="AG5" s="205"/>
      <c r="AH5" s="205">
        <f>IFERROR(SUM(((AI12)*$C$4)/3600)," ")</f>
        <v>0</v>
      </c>
      <c r="AI5" s="205"/>
      <c r="AJ5" s="205">
        <f>IFERROR(SUM(((AK12)*$C$4)/3600)," ")</f>
        <v>0</v>
      </c>
      <c r="AK5" s="205"/>
      <c r="AL5" s="205">
        <f>IFERROR(SUM(((AM12)*$C$4)/3600)," ")</f>
        <v>0</v>
      </c>
      <c r="AM5" s="205"/>
      <c r="AN5" s="205">
        <f>IFERROR(SUM(((AO12)*$C$4)/3600)," ")</f>
        <v>0</v>
      </c>
      <c r="AO5" s="206"/>
      <c r="AP5" s="96">
        <f>AVERAGE(D5:AN5)</f>
        <v>0</v>
      </c>
      <c r="AQ5" s="96">
        <f>ROUNDUP(AP5,0)</f>
        <v>0</v>
      </c>
    </row>
    <row r="6" spans="1:43" s="90" customFormat="1" ht="15.75" thickBot="1" x14ac:dyDescent="0.3">
      <c r="C6" s="122" t="s">
        <v>3489</v>
      </c>
      <c r="D6" s="207">
        <f>IFERROR(SUM(((E13)*$C$4)/3600)," ")</f>
        <v>0.5</v>
      </c>
      <c r="E6" s="207"/>
      <c r="F6" s="207">
        <f>IFERROR(SUM(((G13)*$C$4)/3600)," ")</f>
        <v>0.33333333333333331</v>
      </c>
      <c r="G6" s="207"/>
      <c r="H6" s="207">
        <f>IFERROR(SUM(((I13)*$C$4)/3600)," ")</f>
        <v>5.5555555555555552E-2</v>
      </c>
      <c r="I6" s="207"/>
      <c r="J6" s="207">
        <f>IFERROR(SUM(((K13)*$C$4)/3600)," ")</f>
        <v>0.1111111111111111</v>
      </c>
      <c r="K6" s="207"/>
      <c r="L6" s="207">
        <f>IFERROR(SUM(((M13)*$C$4)/3600)," ")</f>
        <v>0.1111111111111111</v>
      </c>
      <c r="M6" s="207"/>
      <c r="N6" s="207">
        <f>IFERROR(SUM(((O13)*$C$4)/3600)," ")</f>
        <v>0</v>
      </c>
      <c r="O6" s="207"/>
      <c r="P6" s="207">
        <f>IFERROR(SUM(((Q13)*$C$4)/3600)," ")</f>
        <v>5.5555555555555552E-2</v>
      </c>
      <c r="Q6" s="207"/>
      <c r="R6" s="207">
        <f>IFERROR(SUM(((S13)*$C$4)/3600)," ")</f>
        <v>5.5555555555555552E-2</v>
      </c>
      <c r="S6" s="207"/>
      <c r="T6" s="207">
        <f>IFERROR(SUM(((U13)*$C$4)/3600)," ")</f>
        <v>0.22222222222222221</v>
      </c>
      <c r="U6" s="207"/>
      <c r="V6" s="207">
        <f>IFERROR(SUM(((W13)*$C$4)/3600)," ")</f>
        <v>0</v>
      </c>
      <c r="W6" s="207"/>
      <c r="X6" s="207">
        <f>IFERROR(SUM(((Y13)*$C$4)/3600)," ")</f>
        <v>0.1111111111111111</v>
      </c>
      <c r="Y6" s="207"/>
      <c r="Z6" s="207">
        <f>IFERROR(SUM(((AA13)*$C$4)/3600)," ")</f>
        <v>5.5555555555555552E-2</v>
      </c>
      <c r="AA6" s="207"/>
      <c r="AB6" s="207">
        <f>IFERROR(SUM(((AC13)*$C$4)/3600)," ")</f>
        <v>5.5555555555555552E-2</v>
      </c>
      <c r="AC6" s="207"/>
      <c r="AD6" s="207">
        <f>IFERROR(SUM(((AE13)*$C$4)/3600)," ")</f>
        <v>5.5555555555555552E-2</v>
      </c>
      <c r="AE6" s="207"/>
      <c r="AF6" s="207">
        <f>IFERROR(SUM(((AG13)*$C$4)/3600)," ")</f>
        <v>0.1111111111111111</v>
      </c>
      <c r="AG6" s="207"/>
      <c r="AH6" s="207">
        <f>IFERROR(SUM(((AI13)*$C$4)/3600)," ")</f>
        <v>5.5555555555555552E-2</v>
      </c>
      <c r="AI6" s="207"/>
      <c r="AJ6" s="207">
        <f>IFERROR(SUM(((AK13)*$C$4)/3600)," ")</f>
        <v>0</v>
      </c>
      <c r="AK6" s="207"/>
      <c r="AL6" s="207">
        <f>IFERROR(SUM(((AM13)*$C$4)/3600)," ")</f>
        <v>0</v>
      </c>
      <c r="AM6" s="207"/>
      <c r="AN6" s="207"/>
      <c r="AO6" s="208"/>
      <c r="AP6" s="96">
        <f>AVERAGE(D6:AN6)</f>
        <v>0.10493827160493829</v>
      </c>
      <c r="AQ6" s="96">
        <f>ROUNDUP(AP6,0)</f>
        <v>1</v>
      </c>
    </row>
    <row r="7" spans="1:43" s="90" customFormat="1" ht="12" x14ac:dyDescent="0.2">
      <c r="C7" s="95"/>
    </row>
    <row r="8" spans="1:43" ht="21.75" thickBot="1" x14ac:dyDescent="0.4">
      <c r="C8" s="65"/>
    </row>
    <row r="9" spans="1:43" ht="21" outlineLevel="2" x14ac:dyDescent="0.35">
      <c r="C9" s="65" t="s">
        <v>3494</v>
      </c>
      <c r="D9" s="222" t="s">
        <v>3372</v>
      </c>
      <c r="E9" s="223"/>
      <c r="F9" s="222" t="s">
        <v>3373</v>
      </c>
      <c r="G9" s="223"/>
      <c r="H9" s="201" t="s">
        <v>3374</v>
      </c>
      <c r="I9" s="202"/>
      <c r="J9" s="222" t="s">
        <v>3370</v>
      </c>
      <c r="K9" s="223"/>
      <c r="L9" s="222" t="s">
        <v>3371</v>
      </c>
      <c r="M9" s="223"/>
      <c r="N9" s="222" t="s">
        <v>3375</v>
      </c>
      <c r="O9" s="223"/>
      <c r="P9" s="222" t="s">
        <v>3367</v>
      </c>
      <c r="Q9" s="223"/>
      <c r="R9" s="222" t="s">
        <v>3368</v>
      </c>
      <c r="S9" s="223"/>
      <c r="T9" s="222" t="s">
        <v>3369</v>
      </c>
      <c r="U9" s="223"/>
      <c r="V9" s="201" t="s">
        <v>3358</v>
      </c>
      <c r="W9" s="202"/>
      <c r="X9" s="222" t="s">
        <v>3363</v>
      </c>
      <c r="Y9" s="223"/>
      <c r="Z9" s="222" t="s">
        <v>3361</v>
      </c>
      <c r="AA9" s="223"/>
      <c r="AB9" s="222" t="s">
        <v>3359</v>
      </c>
      <c r="AC9" s="223"/>
      <c r="AD9" s="222" t="s">
        <v>3366</v>
      </c>
      <c r="AE9" s="223"/>
      <c r="AF9" s="201" t="s">
        <v>3364</v>
      </c>
      <c r="AG9" s="202"/>
      <c r="AH9" s="222" t="s">
        <v>3360</v>
      </c>
      <c r="AI9" s="223"/>
      <c r="AJ9" s="222" t="s">
        <v>3362</v>
      </c>
      <c r="AK9" s="223"/>
      <c r="AL9" s="222" t="s">
        <v>3365</v>
      </c>
      <c r="AM9" s="223"/>
      <c r="AN9" s="201" t="s">
        <v>3486</v>
      </c>
      <c r="AO9" s="202"/>
    </row>
    <row r="10" spans="1:43" ht="15.75" outlineLevel="2" thickBot="1" x14ac:dyDescent="0.3">
      <c r="C10" s="59" t="s">
        <v>3393</v>
      </c>
      <c r="D10" s="101" t="s">
        <v>3487</v>
      </c>
      <c r="E10" s="102" t="s">
        <v>3353</v>
      </c>
      <c r="F10" s="101" t="s">
        <v>3487</v>
      </c>
      <c r="G10" s="102" t="s">
        <v>3353</v>
      </c>
      <c r="H10" s="101" t="s">
        <v>3487</v>
      </c>
      <c r="I10" s="102" t="s">
        <v>3353</v>
      </c>
      <c r="J10" s="101" t="s">
        <v>3487</v>
      </c>
      <c r="K10" s="102" t="s">
        <v>3353</v>
      </c>
      <c r="L10" s="101" t="s">
        <v>3487</v>
      </c>
      <c r="M10" s="102" t="s">
        <v>3353</v>
      </c>
      <c r="N10" s="101" t="s">
        <v>3487</v>
      </c>
      <c r="O10" s="102" t="s">
        <v>3353</v>
      </c>
      <c r="P10" s="101" t="s">
        <v>3487</v>
      </c>
      <c r="Q10" s="102" t="s">
        <v>3353</v>
      </c>
      <c r="R10" s="101" t="s">
        <v>3487</v>
      </c>
      <c r="S10" s="102" t="s">
        <v>3353</v>
      </c>
      <c r="T10" s="101" t="s">
        <v>3487</v>
      </c>
      <c r="U10" s="102" t="s">
        <v>3353</v>
      </c>
      <c r="V10" s="101" t="s">
        <v>3487</v>
      </c>
      <c r="W10" s="102" t="s">
        <v>3353</v>
      </c>
      <c r="X10" s="101" t="s">
        <v>3487</v>
      </c>
      <c r="Y10" s="102" t="s">
        <v>3353</v>
      </c>
      <c r="Z10" s="101" t="s">
        <v>3487</v>
      </c>
      <c r="AA10" s="102" t="s">
        <v>3353</v>
      </c>
      <c r="AB10" s="101" t="s">
        <v>3487</v>
      </c>
      <c r="AC10" s="102" t="s">
        <v>3353</v>
      </c>
      <c r="AD10" s="101" t="s">
        <v>3487</v>
      </c>
      <c r="AE10" s="102" t="s">
        <v>3353</v>
      </c>
      <c r="AF10" s="101" t="s">
        <v>3487</v>
      </c>
      <c r="AG10" s="102" t="s">
        <v>3353</v>
      </c>
      <c r="AH10" s="101" t="s">
        <v>3487</v>
      </c>
      <c r="AI10" s="102" t="s">
        <v>3353</v>
      </c>
      <c r="AJ10" s="101" t="s">
        <v>3487</v>
      </c>
      <c r="AK10" s="102" t="s">
        <v>3353</v>
      </c>
      <c r="AL10" s="101" t="s">
        <v>3487</v>
      </c>
      <c r="AM10" s="102" t="s">
        <v>3353</v>
      </c>
      <c r="AN10" s="101" t="s">
        <v>3487</v>
      </c>
      <c r="AO10" s="102" t="s">
        <v>3353</v>
      </c>
    </row>
    <row r="11" spans="1:43" ht="18" hidden="1" outlineLevel="2" thickBot="1" x14ac:dyDescent="0.3">
      <c r="C11" s="120" t="s">
        <v>3394</v>
      </c>
      <c r="D11" s="121">
        <f>SUM(D12:D13)</f>
        <v>28</v>
      </c>
      <c r="E11" s="121"/>
      <c r="F11" s="121">
        <f>SUM(F12:F13)</f>
        <v>17</v>
      </c>
      <c r="G11" s="121"/>
      <c r="H11" s="121">
        <f>SUM(H12:H13)</f>
        <v>9</v>
      </c>
      <c r="I11" s="121"/>
      <c r="J11" s="121">
        <f>SUM(J12:J13)</f>
        <v>12</v>
      </c>
      <c r="K11" s="121"/>
      <c r="L11" s="121">
        <f>SUM(L12:L13)</f>
        <v>5</v>
      </c>
      <c r="M11" s="121"/>
      <c r="N11" s="121">
        <f>SUM(N12:N13)</f>
        <v>1</v>
      </c>
      <c r="O11" s="121"/>
      <c r="P11" s="121">
        <f>SUM(P12:P13)</f>
        <v>10</v>
      </c>
      <c r="Q11" s="121"/>
      <c r="R11" s="121">
        <f>SUM(R12:R13)</f>
        <v>5</v>
      </c>
      <c r="S11" s="121"/>
      <c r="T11" s="121">
        <f>SUM(T12:T13)</f>
        <v>9</v>
      </c>
      <c r="U11" s="121"/>
      <c r="V11" s="121">
        <f>SUM(V12:V13)</f>
        <v>6</v>
      </c>
      <c r="W11" s="121"/>
      <c r="X11" s="121">
        <f>SUM(X12:X13)</f>
        <v>6</v>
      </c>
      <c r="Y11" s="121"/>
      <c r="Z11" s="121">
        <f>SUM(Z12:Z13)</f>
        <v>6</v>
      </c>
      <c r="AA11" s="121"/>
      <c r="AB11" s="121">
        <f>SUM(AB12:AB13)</f>
        <v>8</v>
      </c>
      <c r="AC11" s="121"/>
      <c r="AD11" s="121">
        <f>SUM(AD12:AD13)</f>
        <v>4</v>
      </c>
      <c r="AE11" s="121"/>
      <c r="AF11" s="121">
        <f>SUM(AF12:AF13)</f>
        <v>9</v>
      </c>
      <c r="AG11" s="121"/>
      <c r="AH11" s="121">
        <f>SUM(AH12:AH13)</f>
        <v>9</v>
      </c>
      <c r="AI11" s="121"/>
      <c r="AJ11" s="121">
        <f>SUM(AJ12:AJ13)</f>
        <v>9</v>
      </c>
      <c r="AK11" s="121"/>
      <c r="AL11" s="121">
        <f>SUM(AL12:AL13)</f>
        <v>7</v>
      </c>
      <c r="AM11" s="121"/>
      <c r="AN11" s="121">
        <f>SUM(AN12:AN13)</f>
        <v>0</v>
      </c>
    </row>
    <row r="12" spans="1:43" ht="15.75" outlineLevel="2" thickBot="1" x14ac:dyDescent="0.3">
      <c r="B12" s="62" t="e">
        <f>IF(#REF!="&lt;&gt;",RIGHT(C12,1),#REF!)</f>
        <v>#REF!</v>
      </c>
      <c r="C12" s="122" t="s">
        <v>3488</v>
      </c>
      <c r="D12" s="123">
        <f>D20</f>
        <v>0</v>
      </c>
      <c r="E12" s="124">
        <f t="shared" ref="E12:AO12" si="0">E20</f>
        <v>0</v>
      </c>
      <c r="F12" s="123">
        <f t="shared" si="0"/>
        <v>0</v>
      </c>
      <c r="G12" s="124">
        <f t="shared" si="0"/>
        <v>0</v>
      </c>
      <c r="H12" s="123">
        <f t="shared" si="0"/>
        <v>1</v>
      </c>
      <c r="I12" s="124">
        <f t="shared" si="0"/>
        <v>0</v>
      </c>
      <c r="J12" s="123">
        <f t="shared" si="0"/>
        <v>0</v>
      </c>
      <c r="K12" s="124">
        <f t="shared" si="0"/>
        <v>0</v>
      </c>
      <c r="L12" s="123">
        <f t="shared" si="0"/>
        <v>0</v>
      </c>
      <c r="M12" s="124">
        <f t="shared" si="0"/>
        <v>0</v>
      </c>
      <c r="N12" s="123">
        <f t="shared" si="0"/>
        <v>0</v>
      </c>
      <c r="O12" s="124">
        <f t="shared" si="0"/>
        <v>0</v>
      </c>
      <c r="P12" s="123">
        <f t="shared" si="0"/>
        <v>0</v>
      </c>
      <c r="Q12" s="124">
        <f t="shared" si="0"/>
        <v>0</v>
      </c>
      <c r="R12" s="123">
        <f t="shared" si="0"/>
        <v>0</v>
      </c>
      <c r="S12" s="124">
        <f t="shared" si="0"/>
        <v>0</v>
      </c>
      <c r="T12" s="123">
        <f t="shared" si="0"/>
        <v>0</v>
      </c>
      <c r="U12" s="124">
        <f t="shared" si="0"/>
        <v>0</v>
      </c>
      <c r="V12" s="123">
        <f t="shared" si="0"/>
        <v>0</v>
      </c>
      <c r="W12" s="124">
        <f t="shared" si="0"/>
        <v>0</v>
      </c>
      <c r="X12" s="123">
        <f t="shared" si="0"/>
        <v>0</v>
      </c>
      <c r="Y12" s="124">
        <f t="shared" si="0"/>
        <v>0</v>
      </c>
      <c r="Z12" s="123">
        <f t="shared" si="0"/>
        <v>0</v>
      </c>
      <c r="AA12" s="124">
        <f t="shared" si="0"/>
        <v>0</v>
      </c>
      <c r="AB12" s="123">
        <f t="shared" si="0"/>
        <v>0</v>
      </c>
      <c r="AC12" s="124">
        <f t="shared" si="0"/>
        <v>0</v>
      </c>
      <c r="AD12" s="123">
        <f t="shared" si="0"/>
        <v>0</v>
      </c>
      <c r="AE12" s="124">
        <f t="shared" si="0"/>
        <v>0</v>
      </c>
      <c r="AF12" s="123">
        <f t="shared" si="0"/>
        <v>0</v>
      </c>
      <c r="AG12" s="124">
        <f t="shared" si="0"/>
        <v>0</v>
      </c>
      <c r="AH12" s="123">
        <f t="shared" si="0"/>
        <v>0</v>
      </c>
      <c r="AI12" s="124">
        <f t="shared" si="0"/>
        <v>0</v>
      </c>
      <c r="AJ12" s="123">
        <f t="shared" si="0"/>
        <v>0</v>
      </c>
      <c r="AK12" s="124">
        <f t="shared" si="0"/>
        <v>0</v>
      </c>
      <c r="AL12" s="123">
        <f t="shared" si="0"/>
        <v>0</v>
      </c>
      <c r="AM12" s="124">
        <f t="shared" si="0"/>
        <v>0</v>
      </c>
      <c r="AN12" s="123">
        <f t="shared" si="0"/>
        <v>0</v>
      </c>
      <c r="AO12" s="125">
        <f t="shared" si="0"/>
        <v>0</v>
      </c>
    </row>
    <row r="13" spans="1:43" ht="15.75" outlineLevel="2" thickBot="1" x14ac:dyDescent="0.3">
      <c r="B13" s="62" t="e">
        <f>IF(#REF!="&lt;&gt;",RIGHT(C13,1),#REF!)</f>
        <v>#REF!</v>
      </c>
      <c r="C13" s="122" t="s">
        <v>3489</v>
      </c>
      <c r="D13" s="126">
        <f>D46</f>
        <v>28</v>
      </c>
      <c r="E13" s="127">
        <f t="shared" ref="E13:AO13" si="1">E46</f>
        <v>9</v>
      </c>
      <c r="F13" s="126">
        <f t="shared" si="1"/>
        <v>17</v>
      </c>
      <c r="G13" s="127">
        <f t="shared" si="1"/>
        <v>6</v>
      </c>
      <c r="H13" s="126">
        <f t="shared" si="1"/>
        <v>8</v>
      </c>
      <c r="I13" s="127">
        <f t="shared" si="1"/>
        <v>1</v>
      </c>
      <c r="J13" s="126">
        <f t="shared" si="1"/>
        <v>12</v>
      </c>
      <c r="K13" s="127">
        <f t="shared" si="1"/>
        <v>2</v>
      </c>
      <c r="L13" s="126">
        <f t="shared" si="1"/>
        <v>5</v>
      </c>
      <c r="M13" s="127">
        <f t="shared" si="1"/>
        <v>2</v>
      </c>
      <c r="N13" s="126">
        <f t="shared" si="1"/>
        <v>1</v>
      </c>
      <c r="O13" s="127">
        <f t="shared" si="1"/>
        <v>0</v>
      </c>
      <c r="P13" s="126">
        <f t="shared" si="1"/>
        <v>10</v>
      </c>
      <c r="Q13" s="127">
        <f t="shared" si="1"/>
        <v>1</v>
      </c>
      <c r="R13" s="126">
        <f t="shared" si="1"/>
        <v>5</v>
      </c>
      <c r="S13" s="127">
        <f t="shared" si="1"/>
        <v>1</v>
      </c>
      <c r="T13" s="126">
        <f t="shared" si="1"/>
        <v>9</v>
      </c>
      <c r="U13" s="127">
        <f t="shared" si="1"/>
        <v>4</v>
      </c>
      <c r="V13" s="126">
        <f t="shared" si="1"/>
        <v>6</v>
      </c>
      <c r="W13" s="127">
        <f t="shared" si="1"/>
        <v>0</v>
      </c>
      <c r="X13" s="126">
        <f t="shared" si="1"/>
        <v>6</v>
      </c>
      <c r="Y13" s="127">
        <f t="shared" si="1"/>
        <v>2</v>
      </c>
      <c r="Z13" s="126">
        <f t="shared" si="1"/>
        <v>6</v>
      </c>
      <c r="AA13" s="127">
        <f t="shared" si="1"/>
        <v>1</v>
      </c>
      <c r="AB13" s="126">
        <f t="shared" si="1"/>
        <v>8</v>
      </c>
      <c r="AC13" s="127">
        <f t="shared" si="1"/>
        <v>1</v>
      </c>
      <c r="AD13" s="126">
        <f t="shared" si="1"/>
        <v>4</v>
      </c>
      <c r="AE13" s="127">
        <f t="shared" si="1"/>
        <v>1</v>
      </c>
      <c r="AF13" s="126">
        <f t="shared" si="1"/>
        <v>9</v>
      </c>
      <c r="AG13" s="127">
        <f t="shared" si="1"/>
        <v>2</v>
      </c>
      <c r="AH13" s="126">
        <f t="shared" si="1"/>
        <v>9</v>
      </c>
      <c r="AI13" s="127">
        <f t="shared" si="1"/>
        <v>1</v>
      </c>
      <c r="AJ13" s="126">
        <f t="shared" si="1"/>
        <v>9</v>
      </c>
      <c r="AK13" s="127">
        <f t="shared" si="1"/>
        <v>0</v>
      </c>
      <c r="AL13" s="126">
        <f t="shared" si="1"/>
        <v>7</v>
      </c>
      <c r="AM13" s="127">
        <f t="shared" si="1"/>
        <v>0</v>
      </c>
      <c r="AN13" s="126">
        <f t="shared" si="1"/>
        <v>0</v>
      </c>
      <c r="AO13" s="128">
        <f t="shared" si="1"/>
        <v>0</v>
      </c>
    </row>
    <row r="14" spans="1:43" s="130" customFormat="1" ht="15.75" outlineLevel="2" thickBot="1" x14ac:dyDescent="0.3">
      <c r="C14" s="131" t="s">
        <v>467</v>
      </c>
      <c r="D14" s="132">
        <f t="shared" ref="D14:AO14" si="2">SUM(D12:D13)</f>
        <v>28</v>
      </c>
      <c r="E14" s="133">
        <f t="shared" si="2"/>
        <v>9</v>
      </c>
      <c r="F14" s="132">
        <f t="shared" si="2"/>
        <v>17</v>
      </c>
      <c r="G14" s="133">
        <f t="shared" si="2"/>
        <v>6</v>
      </c>
      <c r="H14" s="132">
        <f t="shared" si="2"/>
        <v>9</v>
      </c>
      <c r="I14" s="133">
        <f t="shared" si="2"/>
        <v>1</v>
      </c>
      <c r="J14" s="132">
        <f t="shared" si="2"/>
        <v>12</v>
      </c>
      <c r="K14" s="133">
        <f t="shared" si="2"/>
        <v>2</v>
      </c>
      <c r="L14" s="132">
        <f t="shared" si="2"/>
        <v>5</v>
      </c>
      <c r="M14" s="133">
        <f t="shared" si="2"/>
        <v>2</v>
      </c>
      <c r="N14" s="132">
        <f t="shared" si="2"/>
        <v>1</v>
      </c>
      <c r="O14" s="133">
        <f t="shared" si="2"/>
        <v>0</v>
      </c>
      <c r="P14" s="132">
        <f t="shared" si="2"/>
        <v>10</v>
      </c>
      <c r="Q14" s="133">
        <f t="shared" si="2"/>
        <v>1</v>
      </c>
      <c r="R14" s="132">
        <f t="shared" si="2"/>
        <v>5</v>
      </c>
      <c r="S14" s="133">
        <f t="shared" si="2"/>
        <v>1</v>
      </c>
      <c r="T14" s="132">
        <f t="shared" si="2"/>
        <v>9</v>
      </c>
      <c r="U14" s="133">
        <f t="shared" si="2"/>
        <v>4</v>
      </c>
      <c r="V14" s="132">
        <f t="shared" si="2"/>
        <v>6</v>
      </c>
      <c r="W14" s="133">
        <f t="shared" si="2"/>
        <v>0</v>
      </c>
      <c r="X14" s="132">
        <f t="shared" si="2"/>
        <v>6</v>
      </c>
      <c r="Y14" s="133">
        <f t="shared" si="2"/>
        <v>2</v>
      </c>
      <c r="Z14" s="132">
        <f t="shared" si="2"/>
        <v>6</v>
      </c>
      <c r="AA14" s="133">
        <f t="shared" si="2"/>
        <v>1</v>
      </c>
      <c r="AB14" s="132">
        <f t="shared" si="2"/>
        <v>8</v>
      </c>
      <c r="AC14" s="133">
        <f t="shared" si="2"/>
        <v>1</v>
      </c>
      <c r="AD14" s="132">
        <f t="shared" si="2"/>
        <v>4</v>
      </c>
      <c r="AE14" s="133">
        <f t="shared" si="2"/>
        <v>1</v>
      </c>
      <c r="AF14" s="132">
        <f t="shared" si="2"/>
        <v>9</v>
      </c>
      <c r="AG14" s="133">
        <f t="shared" si="2"/>
        <v>2</v>
      </c>
      <c r="AH14" s="132">
        <f t="shared" si="2"/>
        <v>9</v>
      </c>
      <c r="AI14" s="133">
        <f t="shared" si="2"/>
        <v>1</v>
      </c>
      <c r="AJ14" s="132">
        <f t="shared" si="2"/>
        <v>9</v>
      </c>
      <c r="AK14" s="133">
        <f t="shared" si="2"/>
        <v>0</v>
      </c>
      <c r="AL14" s="132">
        <f t="shared" si="2"/>
        <v>7</v>
      </c>
      <c r="AM14" s="133">
        <f t="shared" si="2"/>
        <v>0</v>
      </c>
      <c r="AN14" s="132">
        <f t="shared" si="2"/>
        <v>0</v>
      </c>
      <c r="AO14" s="133">
        <f t="shared" si="2"/>
        <v>0</v>
      </c>
    </row>
    <row r="16" spans="1:43" ht="15" customHeight="1" x14ac:dyDescent="0.35">
      <c r="B16" s="70" t="s">
        <v>3395</v>
      </c>
      <c r="C16" s="71" t="s">
        <v>3356</v>
      </c>
    </row>
    <row r="17" spans="2:43" ht="18" customHeight="1" thickBot="1" x14ac:dyDescent="0.4">
      <c r="B17" s="70"/>
      <c r="C17" s="71" t="s">
        <v>3404</v>
      </c>
    </row>
    <row r="18" spans="2:43" ht="21" customHeight="1" x14ac:dyDescent="0.25">
      <c r="B18" s="72" t="s">
        <v>3395</v>
      </c>
      <c r="C18" s="215" t="s">
        <v>3397</v>
      </c>
      <c r="D18" s="222" t="s">
        <v>3372</v>
      </c>
      <c r="E18" s="223"/>
      <c r="F18" s="222" t="s">
        <v>3373</v>
      </c>
      <c r="G18" s="223"/>
      <c r="H18" s="201" t="s">
        <v>3374</v>
      </c>
      <c r="I18" s="202"/>
      <c r="J18" s="222" t="s">
        <v>3370</v>
      </c>
      <c r="K18" s="223"/>
      <c r="L18" s="222" t="s">
        <v>3371</v>
      </c>
      <c r="M18" s="223"/>
      <c r="N18" s="222" t="s">
        <v>3375</v>
      </c>
      <c r="O18" s="223"/>
      <c r="P18" s="222" t="s">
        <v>3367</v>
      </c>
      <c r="Q18" s="223"/>
      <c r="R18" s="222" t="s">
        <v>3368</v>
      </c>
      <c r="S18" s="223"/>
      <c r="T18" s="222" t="s">
        <v>3369</v>
      </c>
      <c r="U18" s="223"/>
      <c r="V18" s="201" t="s">
        <v>3358</v>
      </c>
      <c r="W18" s="202"/>
      <c r="X18" s="222" t="s">
        <v>3363</v>
      </c>
      <c r="Y18" s="223"/>
      <c r="Z18" s="222" t="s">
        <v>3361</v>
      </c>
      <c r="AA18" s="223"/>
      <c r="AB18" s="222" t="s">
        <v>3359</v>
      </c>
      <c r="AC18" s="223"/>
      <c r="AD18" s="222" t="s">
        <v>3366</v>
      </c>
      <c r="AE18" s="223"/>
      <c r="AF18" s="201" t="s">
        <v>3364</v>
      </c>
      <c r="AG18" s="202"/>
      <c r="AH18" s="222" t="s">
        <v>3360</v>
      </c>
      <c r="AI18" s="223"/>
      <c r="AJ18" s="222" t="s">
        <v>3362</v>
      </c>
      <c r="AK18" s="223"/>
      <c r="AL18" s="222" t="s">
        <v>3365</v>
      </c>
      <c r="AM18" s="223"/>
      <c r="AN18" s="201" t="s">
        <v>3486</v>
      </c>
      <c r="AO18" s="202"/>
    </row>
    <row r="19" spans="2:43" ht="21" customHeight="1" thickBot="1" x14ac:dyDescent="0.3">
      <c r="B19" s="72"/>
      <c r="C19" s="216"/>
      <c r="D19" s="107" t="s">
        <v>3487</v>
      </c>
      <c r="E19" s="108" t="s">
        <v>3353</v>
      </c>
      <c r="F19" s="107" t="s">
        <v>3487</v>
      </c>
      <c r="G19" s="108" t="s">
        <v>3353</v>
      </c>
      <c r="H19" s="107" t="s">
        <v>3487</v>
      </c>
      <c r="I19" s="108" t="s">
        <v>3353</v>
      </c>
      <c r="J19" s="107" t="s">
        <v>3487</v>
      </c>
      <c r="K19" s="108" t="s">
        <v>3353</v>
      </c>
      <c r="L19" s="107" t="s">
        <v>3487</v>
      </c>
      <c r="M19" s="108" t="s">
        <v>3353</v>
      </c>
      <c r="N19" s="107" t="s">
        <v>3487</v>
      </c>
      <c r="O19" s="108" t="s">
        <v>3353</v>
      </c>
      <c r="P19" s="107" t="s">
        <v>3487</v>
      </c>
      <c r="Q19" s="108" t="s">
        <v>3353</v>
      </c>
      <c r="R19" s="107" t="s">
        <v>3487</v>
      </c>
      <c r="S19" s="108" t="s">
        <v>3353</v>
      </c>
      <c r="T19" s="107" t="s">
        <v>3487</v>
      </c>
      <c r="U19" s="108" t="s">
        <v>3353</v>
      </c>
      <c r="V19" s="107" t="s">
        <v>3487</v>
      </c>
      <c r="W19" s="108" t="s">
        <v>3353</v>
      </c>
      <c r="X19" s="107" t="s">
        <v>3487</v>
      </c>
      <c r="Y19" s="108" t="s">
        <v>3353</v>
      </c>
      <c r="Z19" s="107" t="s">
        <v>3487</v>
      </c>
      <c r="AA19" s="108" t="s">
        <v>3353</v>
      </c>
      <c r="AB19" s="107" t="s">
        <v>3487</v>
      </c>
      <c r="AC19" s="108" t="s">
        <v>3353</v>
      </c>
      <c r="AD19" s="107" t="s">
        <v>3487</v>
      </c>
      <c r="AE19" s="108" t="s">
        <v>3353</v>
      </c>
      <c r="AF19" s="107" t="s">
        <v>3487</v>
      </c>
      <c r="AG19" s="108" t="s">
        <v>3353</v>
      </c>
      <c r="AH19" s="107" t="s">
        <v>3487</v>
      </c>
      <c r="AI19" s="108" t="s">
        <v>3353</v>
      </c>
      <c r="AJ19" s="107" t="s">
        <v>3487</v>
      </c>
      <c r="AK19" s="108" t="s">
        <v>3353</v>
      </c>
      <c r="AL19" s="107" t="s">
        <v>3487</v>
      </c>
      <c r="AM19" s="108" t="s">
        <v>3353</v>
      </c>
      <c r="AN19" s="107" t="s">
        <v>3487</v>
      </c>
      <c r="AO19" s="108" t="s">
        <v>3353</v>
      </c>
    </row>
    <row r="20" spans="2:43" s="75" customFormat="1" ht="21.75" customHeight="1" thickBot="1" x14ac:dyDescent="0.4">
      <c r="B20" s="98" t="s">
        <v>3395</v>
      </c>
      <c r="C20" s="114" t="s">
        <v>3405</v>
      </c>
      <c r="D20" s="136">
        <f t="shared" ref="D20:AO20" si="3">IFERROR(SUM(D21:D42)," ")</f>
        <v>0</v>
      </c>
      <c r="E20" s="137">
        <f t="shared" si="3"/>
        <v>0</v>
      </c>
      <c r="F20" s="109">
        <f t="shared" si="3"/>
        <v>0</v>
      </c>
      <c r="G20" s="110">
        <f t="shared" si="3"/>
        <v>0</v>
      </c>
      <c r="H20" s="109">
        <f t="shared" si="3"/>
        <v>1</v>
      </c>
      <c r="I20" s="110">
        <f t="shared" si="3"/>
        <v>0</v>
      </c>
      <c r="J20" s="109">
        <f t="shared" si="3"/>
        <v>0</v>
      </c>
      <c r="K20" s="110">
        <f t="shared" si="3"/>
        <v>0</v>
      </c>
      <c r="L20" s="109">
        <f t="shared" si="3"/>
        <v>0</v>
      </c>
      <c r="M20" s="110">
        <f t="shared" si="3"/>
        <v>0</v>
      </c>
      <c r="N20" s="109">
        <f t="shared" si="3"/>
        <v>0</v>
      </c>
      <c r="O20" s="110">
        <f t="shared" si="3"/>
        <v>0</v>
      </c>
      <c r="P20" s="109">
        <f t="shared" si="3"/>
        <v>0</v>
      </c>
      <c r="Q20" s="110">
        <f t="shared" si="3"/>
        <v>0</v>
      </c>
      <c r="R20" s="109">
        <f t="shared" si="3"/>
        <v>0</v>
      </c>
      <c r="S20" s="110">
        <f t="shared" si="3"/>
        <v>0</v>
      </c>
      <c r="T20" s="109">
        <f t="shared" si="3"/>
        <v>0</v>
      </c>
      <c r="U20" s="110">
        <f t="shared" si="3"/>
        <v>0</v>
      </c>
      <c r="V20" s="109">
        <f t="shared" si="3"/>
        <v>0</v>
      </c>
      <c r="W20" s="110">
        <f t="shared" si="3"/>
        <v>0</v>
      </c>
      <c r="X20" s="109">
        <f t="shared" si="3"/>
        <v>0</v>
      </c>
      <c r="Y20" s="110">
        <f t="shared" si="3"/>
        <v>0</v>
      </c>
      <c r="Z20" s="109">
        <f t="shared" si="3"/>
        <v>0</v>
      </c>
      <c r="AA20" s="110">
        <f t="shared" si="3"/>
        <v>0</v>
      </c>
      <c r="AB20" s="109">
        <f t="shared" si="3"/>
        <v>0</v>
      </c>
      <c r="AC20" s="110">
        <f t="shared" si="3"/>
        <v>0</v>
      </c>
      <c r="AD20" s="109">
        <f t="shared" si="3"/>
        <v>0</v>
      </c>
      <c r="AE20" s="110">
        <f t="shared" si="3"/>
        <v>0</v>
      </c>
      <c r="AF20" s="109">
        <f t="shared" si="3"/>
        <v>0</v>
      </c>
      <c r="AG20" s="110">
        <f t="shared" si="3"/>
        <v>0</v>
      </c>
      <c r="AH20" s="109">
        <f t="shared" si="3"/>
        <v>0</v>
      </c>
      <c r="AI20" s="110">
        <f t="shared" si="3"/>
        <v>0</v>
      </c>
      <c r="AJ20" s="109">
        <f t="shared" si="3"/>
        <v>0</v>
      </c>
      <c r="AK20" s="110">
        <f t="shared" si="3"/>
        <v>0</v>
      </c>
      <c r="AL20" s="109">
        <f t="shared" si="3"/>
        <v>0</v>
      </c>
      <c r="AM20" s="110">
        <f t="shared" si="3"/>
        <v>0</v>
      </c>
      <c r="AN20" s="109">
        <f t="shared" si="3"/>
        <v>0</v>
      </c>
      <c r="AO20" s="111">
        <f t="shared" si="3"/>
        <v>0</v>
      </c>
    </row>
    <row r="21" spans="2:43" ht="15" customHeight="1" outlineLevel="1" thickBot="1" x14ac:dyDescent="0.4">
      <c r="B21" s="76"/>
      <c r="C21" s="149" t="s">
        <v>3406</v>
      </c>
      <c r="D21" s="138">
        <f>SUMIFS(Resumo_Trocas!$C:$C,Resumo_Trocas!$A:$A,$C21,Resumo_Trocas!$F:$F,D$18,Resumo_Trocas!$C:$C,"&gt;0")</f>
        <v>0</v>
      </c>
      <c r="E21" s="139">
        <f>SUMIFS(Resumo_Trocas!$E:$E,Resumo_Trocas!$A:$A,$C21,Resumo_Trocas!$F:$F,D$18,Resumo_Trocas!$C:$C,"&gt;0")</f>
        <v>0</v>
      </c>
      <c r="F21" s="138">
        <f>SUMIFS(Resumo_Trocas!$C:$C,Resumo_Trocas!$A:$A,$C21,Resumo_Trocas!$F:$F,F$18,Resumo_Trocas!$C:$C,"&gt;0")</f>
        <v>0</v>
      </c>
      <c r="G21" s="139">
        <f>SUMIFS(Resumo_Trocas!$E:$E,Resumo_Trocas!$A:$A,$C21,Resumo_Trocas!$F:$F,F$18,Resumo_Trocas!$C:$C,"&gt;0")</f>
        <v>0</v>
      </c>
      <c r="H21" s="138">
        <f>SUMIFS(Resumo_Trocas!$C:$C,Resumo_Trocas!$A:$A,$C21,Resumo_Trocas!$F:$F,H$18,Resumo_Trocas!$C:$C,"&gt;0")</f>
        <v>1</v>
      </c>
      <c r="I21" s="139">
        <f>SUMIFS(Resumo_Trocas!$E:$E,Resumo_Trocas!$A:$A,$C21,Resumo_Trocas!$F:$F,H$18,Resumo_Trocas!$C:$C,"&gt;0")</f>
        <v>0</v>
      </c>
      <c r="J21" s="138">
        <f>SUMIFS(Resumo_Trocas!$C:$C,Resumo_Trocas!$A:$A,$C21,Resumo_Trocas!$F:$F,J$18,Resumo_Trocas!$C:$C,"&gt;0")</f>
        <v>0</v>
      </c>
      <c r="K21" s="139">
        <f>SUMIFS(Resumo_Trocas!$E:$E,Resumo_Trocas!$A:$A,$C21,Resumo_Trocas!$F:$F,J$18,Resumo_Trocas!$C:$C,"&gt;0")</f>
        <v>0</v>
      </c>
      <c r="L21" s="138">
        <f>SUMIFS(Resumo_Trocas!$C:$C,Resumo_Trocas!$A:$A,$C21,Resumo_Trocas!$F:$F,L$18,Resumo_Trocas!$C:$C,"&gt;0")</f>
        <v>0</v>
      </c>
      <c r="M21" s="139">
        <f>SUMIFS(Resumo_Trocas!$E:$E,Resumo_Trocas!$A:$A,$C21,Resumo_Trocas!$F:$F,L$18,Resumo_Trocas!$C:$C,"&gt;0")</f>
        <v>0</v>
      </c>
      <c r="N21" s="138">
        <f>SUMIFS(Resumo_Trocas!$C:$C,Resumo_Trocas!$A:$A,$C21,Resumo_Trocas!$F:$F,N$18,Resumo_Trocas!$C:$C,"&gt;0")</f>
        <v>0</v>
      </c>
      <c r="O21" s="139">
        <f>SUMIFS(Resumo_Trocas!$E:$E,Resumo_Trocas!$A:$A,$C21,Resumo_Trocas!$F:$F,N$18,Resumo_Trocas!$C:$C,"&gt;0")</f>
        <v>0</v>
      </c>
      <c r="P21" s="138">
        <f>SUMIFS(Resumo_Trocas!$C:$C,Resumo_Trocas!$A:$A,$C21,Resumo_Trocas!$F:$F,P$18,Resumo_Trocas!$C:$C,"&gt;0")</f>
        <v>0</v>
      </c>
      <c r="Q21" s="139">
        <f>SUMIFS(Resumo_Trocas!$E:$E,Resumo_Trocas!$A:$A,$C21,Resumo_Trocas!$F:$F,P$18,Resumo_Trocas!$C:$C,"&gt;0")</f>
        <v>0</v>
      </c>
      <c r="R21" s="138">
        <f>SUMIFS(Resumo_Trocas!$C:$C,Resumo_Trocas!$A:$A,$C21,Resumo_Trocas!$F:$F,R$18,Resumo_Trocas!$C:$C,"&gt;0")</f>
        <v>0</v>
      </c>
      <c r="S21" s="139">
        <f>SUMIFS(Resumo_Trocas!$E:$E,Resumo_Trocas!$A:$A,$C21,Resumo_Trocas!$F:$F,R$18,Resumo_Trocas!$C:$C,"&gt;0")</f>
        <v>0</v>
      </c>
      <c r="T21" s="138">
        <f>SUMIFS(Resumo_Trocas!$C:$C,Resumo_Trocas!$A:$A,$C21,Resumo_Trocas!$F:$F,T$18,Resumo_Trocas!$C:$C,"&gt;0")</f>
        <v>0</v>
      </c>
      <c r="U21" s="139">
        <f>SUMIFS(Resumo_Trocas!$E:$E,Resumo_Trocas!$A:$A,$C21,Resumo_Trocas!$F:$F,T$18,Resumo_Trocas!$C:$C,"&gt;0")</f>
        <v>0</v>
      </c>
      <c r="V21" s="138">
        <f>SUMIFS(Resumo_Trocas!$C:$C,Resumo_Trocas!$A:$A,$C21,Resumo_Trocas!$F:$F,V$18,Resumo_Trocas!$C:$C,"&gt;0")</f>
        <v>0</v>
      </c>
      <c r="W21" s="139">
        <f>SUMIFS(Resumo_Trocas!$E:$E,Resumo_Trocas!$A:$A,$C21,Resumo_Trocas!$F:$F,V$18,Resumo_Trocas!$C:$C,"&gt;0")</f>
        <v>0</v>
      </c>
      <c r="X21" s="138">
        <f>SUMIFS(Resumo_Trocas!$C:$C,Resumo_Trocas!$A:$A,$C21,Resumo_Trocas!$F:$F,X$18,Resumo_Trocas!$C:$C,"&gt;0")</f>
        <v>0</v>
      </c>
      <c r="Y21" s="139">
        <f>SUMIFS(Resumo_Trocas!$E:$E,Resumo_Trocas!$A:$A,$C21,Resumo_Trocas!$F:$F,X$18,Resumo_Trocas!$C:$C,"&gt;0")</f>
        <v>0</v>
      </c>
      <c r="Z21" s="138">
        <f>SUMIFS(Resumo_Trocas!$C:$C,Resumo_Trocas!$A:$A,$C21,Resumo_Trocas!$F:$F,Z$18,Resumo_Trocas!$C:$C,"&gt;0")</f>
        <v>0</v>
      </c>
      <c r="AA21" s="139">
        <f>SUMIFS(Resumo_Trocas!$E:$E,Resumo_Trocas!$A:$A,$C21,Resumo_Trocas!$F:$F,Z$18,Resumo_Trocas!$C:$C,"&gt;0")</f>
        <v>0</v>
      </c>
      <c r="AB21" s="138">
        <f>SUMIFS(Resumo_Trocas!$C:$C,Resumo_Trocas!$A:$A,$C21,Resumo_Trocas!$F:$F,AB$18,Resumo_Trocas!$C:$C,"&gt;0")</f>
        <v>0</v>
      </c>
      <c r="AC21" s="139">
        <f>SUMIFS(Resumo_Trocas!$E:$E,Resumo_Trocas!$A:$A,$C21,Resumo_Trocas!$F:$F,AB$18,Resumo_Trocas!$C:$C,"&gt;0")</f>
        <v>0</v>
      </c>
      <c r="AD21" s="138">
        <f>SUMIFS(Resumo_Trocas!$C:$C,Resumo_Trocas!$A:$A,$C21,Resumo_Trocas!$F:$F,AD$18,Resumo_Trocas!$C:$C,"&gt;0")</f>
        <v>0</v>
      </c>
      <c r="AE21" s="139">
        <f>SUMIFS(Resumo_Trocas!$E:$E,Resumo_Trocas!$A:$A,$C21,Resumo_Trocas!$F:$F,AD$18,Resumo_Trocas!$C:$C,"&gt;0")</f>
        <v>0</v>
      </c>
      <c r="AF21" s="138">
        <f>SUMIFS(Resumo_Trocas!$C:$C,Resumo_Trocas!$A:$A,$C21,Resumo_Trocas!$F:$F,AF$18,Resumo_Trocas!$C:$C,"&gt;0")</f>
        <v>0</v>
      </c>
      <c r="AG21" s="139">
        <f>SUMIFS(Resumo_Trocas!$E:$E,Resumo_Trocas!$A:$A,$C21,Resumo_Trocas!$F:$F,AF$18,Resumo_Trocas!$C:$C,"&gt;0")</f>
        <v>0</v>
      </c>
      <c r="AH21" s="138">
        <f>SUMIFS(Resumo_Trocas!$C:$C,Resumo_Trocas!$A:$A,$C21,Resumo_Trocas!$F:$F,AH$18,Resumo_Trocas!$C:$C,"&gt;0")</f>
        <v>0</v>
      </c>
      <c r="AI21" s="139">
        <f>SUMIFS(Resumo_Trocas!$E:$E,Resumo_Trocas!$A:$A,$C21,Resumo_Trocas!$F:$F,AH$18,Resumo_Trocas!$C:$C,"&gt;0")</f>
        <v>0</v>
      </c>
      <c r="AJ21" s="138">
        <f>SUMIFS(Resumo_Trocas!$C:$C,Resumo_Trocas!$A:$A,$C21,Resumo_Trocas!$F:$F,AJ$18,Resumo_Trocas!$C:$C,"&gt;0")</f>
        <v>0</v>
      </c>
      <c r="AK21" s="139">
        <f>SUMIFS(Resumo_Trocas!$E:$E,Resumo_Trocas!$A:$A,$C21,Resumo_Trocas!$F:$F,AJ$18,Resumo_Trocas!$C:$C,"&gt;0")</f>
        <v>0</v>
      </c>
      <c r="AL21" s="138">
        <f>SUMIFS(Resumo_Trocas!$C:$C,Resumo_Trocas!$A:$A,$C21,Resumo_Trocas!$F:$F,AL$18,Resumo_Trocas!$C:$C,"&gt;0")</f>
        <v>0</v>
      </c>
      <c r="AM21" s="139">
        <f>SUMIFS(Resumo_Trocas!$E:$E,Resumo_Trocas!$A:$A,$C21,Resumo_Trocas!$F:$F,AL$18,Resumo_Trocas!$C:$C,"&gt;0")</f>
        <v>0</v>
      </c>
      <c r="AN21" s="138">
        <f>SUMIFS(Resumo_Trocas!$C:$C,Resumo_Trocas!$A:$A,$C21,Resumo_Trocas!$F:$F,AN$18,Resumo_Trocas!$C:$C,"&gt;0")</f>
        <v>0</v>
      </c>
      <c r="AO21" s="139">
        <f>SUMIFS(Resumo_Trocas!$E:$E,Resumo_Trocas!$A:$A,$C21,Resumo_Trocas!$F:$F,AN$18,Resumo_Trocas!$C:$C,"&gt;0")</f>
        <v>0</v>
      </c>
      <c r="AP21" s="75"/>
      <c r="AQ21" s="75"/>
    </row>
    <row r="22" spans="2:43" ht="15" customHeight="1" outlineLevel="1" thickBot="1" x14ac:dyDescent="0.4">
      <c r="B22" s="76"/>
      <c r="C22" s="150" t="s">
        <v>3407</v>
      </c>
      <c r="D22" s="140">
        <f>SUMIFS(Resumo_Trocas!$C:$C,Resumo_Trocas!$A:$A,$C22,Resumo_Trocas!$F:$F,D$18,Resumo_Trocas!$C:$C,"&gt;0")</f>
        <v>0</v>
      </c>
      <c r="E22" s="141">
        <f>SUMIFS(Resumo_Trocas!$E:$E,Resumo_Trocas!$A:$A,$C22,Resumo_Trocas!$F:$F,D$18,Resumo_Trocas!$C:$C,"&gt;0")</f>
        <v>0</v>
      </c>
      <c r="F22" s="140">
        <f>SUMIFS(Resumo_Trocas!$C:$C,Resumo_Trocas!$A:$A,$C22,Resumo_Trocas!$F:$F,F$18,Resumo_Trocas!$C:$C,"&gt;0")</f>
        <v>0</v>
      </c>
      <c r="G22" s="141">
        <f>SUMIFS(Resumo_Trocas!$E:$E,Resumo_Trocas!$A:$A,$C22,Resumo_Trocas!$F:$F,F$18,Resumo_Trocas!$C:$C,"&gt;0")</f>
        <v>0</v>
      </c>
      <c r="H22" s="140">
        <f>SUMIFS(Resumo_Trocas!$C:$C,Resumo_Trocas!$A:$A,$C22,Resumo_Trocas!$F:$F,H$18,Resumo_Trocas!$C:$C,"&gt;0")</f>
        <v>0</v>
      </c>
      <c r="I22" s="141">
        <f>SUMIFS(Resumo_Trocas!$E:$E,Resumo_Trocas!$A:$A,$C22,Resumo_Trocas!$F:$F,H$18,Resumo_Trocas!$C:$C,"&gt;0")</f>
        <v>0</v>
      </c>
      <c r="J22" s="140">
        <f>SUMIFS(Resumo_Trocas!$C:$C,Resumo_Trocas!$A:$A,$C22,Resumo_Trocas!$F:$F,J$18,Resumo_Trocas!$C:$C,"&gt;0")</f>
        <v>0</v>
      </c>
      <c r="K22" s="141">
        <f>SUMIFS(Resumo_Trocas!$E:$E,Resumo_Trocas!$A:$A,$C22,Resumo_Trocas!$F:$F,J$18,Resumo_Trocas!$C:$C,"&gt;0")</f>
        <v>0</v>
      </c>
      <c r="L22" s="140">
        <f>SUMIFS(Resumo_Trocas!$C:$C,Resumo_Trocas!$A:$A,$C22,Resumo_Trocas!$F:$F,L$18,Resumo_Trocas!$C:$C,"&gt;0")</f>
        <v>0</v>
      </c>
      <c r="M22" s="141">
        <f>SUMIFS(Resumo_Trocas!$E:$E,Resumo_Trocas!$A:$A,$C22,Resumo_Trocas!$F:$F,L$18,Resumo_Trocas!$C:$C,"&gt;0")</f>
        <v>0</v>
      </c>
      <c r="N22" s="140">
        <f>SUMIFS(Resumo_Trocas!$C:$C,Resumo_Trocas!$A:$A,$C22,Resumo_Trocas!$F:$F,N$18,Resumo_Trocas!$C:$C,"&gt;0")</f>
        <v>0</v>
      </c>
      <c r="O22" s="141">
        <f>SUMIFS(Resumo_Trocas!$E:$E,Resumo_Trocas!$A:$A,$C22,Resumo_Trocas!$F:$F,N$18,Resumo_Trocas!$C:$C,"&gt;0")</f>
        <v>0</v>
      </c>
      <c r="P22" s="140">
        <f>SUMIFS(Resumo_Trocas!$C:$C,Resumo_Trocas!$A:$A,$C22,Resumo_Trocas!$F:$F,P$18,Resumo_Trocas!$C:$C,"&gt;0")</f>
        <v>0</v>
      </c>
      <c r="Q22" s="141">
        <f>SUMIFS(Resumo_Trocas!$E:$E,Resumo_Trocas!$A:$A,$C22,Resumo_Trocas!$F:$F,P$18,Resumo_Trocas!$C:$C,"&gt;0")</f>
        <v>0</v>
      </c>
      <c r="R22" s="140">
        <f>SUMIFS(Resumo_Trocas!$C:$C,Resumo_Trocas!$A:$A,$C22,Resumo_Trocas!$F:$F,R$18,Resumo_Trocas!$C:$C,"&gt;0")</f>
        <v>0</v>
      </c>
      <c r="S22" s="141">
        <f>SUMIFS(Resumo_Trocas!$E:$E,Resumo_Trocas!$A:$A,$C22,Resumo_Trocas!$F:$F,R$18,Resumo_Trocas!$C:$C,"&gt;0")</f>
        <v>0</v>
      </c>
      <c r="T22" s="140">
        <f>SUMIFS(Resumo_Trocas!$C:$C,Resumo_Trocas!$A:$A,$C22,Resumo_Trocas!$F:$F,T$18,Resumo_Trocas!$C:$C,"&gt;0")</f>
        <v>0</v>
      </c>
      <c r="U22" s="141">
        <f>SUMIFS(Resumo_Trocas!$E:$E,Resumo_Trocas!$A:$A,$C22,Resumo_Trocas!$F:$F,T$18,Resumo_Trocas!$C:$C,"&gt;0")</f>
        <v>0</v>
      </c>
      <c r="V22" s="140">
        <f>SUMIFS(Resumo_Trocas!$C:$C,Resumo_Trocas!$A:$A,$C22,Resumo_Trocas!$F:$F,V$18,Resumo_Trocas!$C:$C,"&gt;0")</f>
        <v>0</v>
      </c>
      <c r="W22" s="141">
        <f>SUMIFS(Resumo_Trocas!$E:$E,Resumo_Trocas!$A:$A,$C22,Resumo_Trocas!$F:$F,V$18,Resumo_Trocas!$C:$C,"&gt;0")</f>
        <v>0</v>
      </c>
      <c r="X22" s="140">
        <f>SUMIFS(Resumo_Trocas!$C:$C,Resumo_Trocas!$A:$A,$C22,Resumo_Trocas!$F:$F,X$18,Resumo_Trocas!$C:$C,"&gt;0")</f>
        <v>0</v>
      </c>
      <c r="Y22" s="141">
        <f>SUMIFS(Resumo_Trocas!$E:$E,Resumo_Trocas!$A:$A,$C22,Resumo_Trocas!$F:$F,X$18,Resumo_Trocas!$C:$C,"&gt;0")</f>
        <v>0</v>
      </c>
      <c r="Z22" s="140">
        <f>SUMIFS(Resumo_Trocas!$C:$C,Resumo_Trocas!$A:$A,$C22,Resumo_Trocas!$F:$F,Z$18,Resumo_Trocas!$C:$C,"&gt;0")</f>
        <v>0</v>
      </c>
      <c r="AA22" s="141">
        <f>SUMIFS(Resumo_Trocas!$E:$E,Resumo_Trocas!$A:$A,$C22,Resumo_Trocas!$F:$F,Z$18,Resumo_Trocas!$C:$C,"&gt;0")</f>
        <v>0</v>
      </c>
      <c r="AB22" s="140">
        <f>SUMIFS(Resumo_Trocas!$C:$C,Resumo_Trocas!$A:$A,$C22,Resumo_Trocas!$F:$F,AB$18,Resumo_Trocas!$C:$C,"&gt;0")</f>
        <v>0</v>
      </c>
      <c r="AC22" s="141">
        <f>SUMIFS(Resumo_Trocas!$E:$E,Resumo_Trocas!$A:$A,$C22,Resumo_Trocas!$F:$F,AB$18,Resumo_Trocas!$C:$C,"&gt;0")</f>
        <v>0</v>
      </c>
      <c r="AD22" s="140">
        <f>SUMIFS(Resumo_Trocas!$C:$C,Resumo_Trocas!$A:$A,$C22,Resumo_Trocas!$F:$F,AD$18,Resumo_Trocas!$C:$C,"&gt;0")</f>
        <v>0</v>
      </c>
      <c r="AE22" s="141">
        <f>SUMIFS(Resumo_Trocas!$E:$E,Resumo_Trocas!$A:$A,$C22,Resumo_Trocas!$F:$F,AD$18,Resumo_Trocas!$C:$C,"&gt;0")</f>
        <v>0</v>
      </c>
      <c r="AF22" s="140">
        <f>SUMIFS(Resumo_Trocas!$C:$C,Resumo_Trocas!$A:$A,$C22,Resumo_Trocas!$F:$F,AF$18,Resumo_Trocas!$C:$C,"&gt;0")</f>
        <v>0</v>
      </c>
      <c r="AG22" s="141">
        <f>SUMIFS(Resumo_Trocas!$E:$E,Resumo_Trocas!$A:$A,$C22,Resumo_Trocas!$F:$F,AF$18,Resumo_Trocas!$C:$C,"&gt;0")</f>
        <v>0</v>
      </c>
      <c r="AH22" s="140">
        <f>SUMIFS(Resumo_Trocas!$C:$C,Resumo_Trocas!$A:$A,$C22,Resumo_Trocas!$F:$F,AH$18,Resumo_Trocas!$C:$C,"&gt;0")</f>
        <v>0</v>
      </c>
      <c r="AI22" s="141">
        <f>SUMIFS(Resumo_Trocas!$E:$E,Resumo_Trocas!$A:$A,$C22,Resumo_Trocas!$F:$F,AH$18,Resumo_Trocas!$C:$C,"&gt;0")</f>
        <v>0</v>
      </c>
      <c r="AJ22" s="140">
        <f>SUMIFS(Resumo_Trocas!$C:$C,Resumo_Trocas!$A:$A,$C22,Resumo_Trocas!$F:$F,AJ$18,Resumo_Trocas!$C:$C,"&gt;0")</f>
        <v>0</v>
      </c>
      <c r="AK22" s="141">
        <f>SUMIFS(Resumo_Trocas!$E:$E,Resumo_Trocas!$A:$A,$C22,Resumo_Trocas!$F:$F,AJ$18,Resumo_Trocas!$C:$C,"&gt;0")</f>
        <v>0</v>
      </c>
      <c r="AL22" s="140">
        <f>SUMIFS(Resumo_Trocas!$C:$C,Resumo_Trocas!$A:$A,$C22,Resumo_Trocas!$F:$F,AL$18,Resumo_Trocas!$C:$C,"&gt;0")</f>
        <v>0</v>
      </c>
      <c r="AM22" s="141">
        <f>SUMIFS(Resumo_Trocas!$E:$E,Resumo_Trocas!$A:$A,$C22,Resumo_Trocas!$F:$F,AL$18,Resumo_Trocas!$C:$C,"&gt;0")</f>
        <v>0</v>
      </c>
      <c r="AN22" s="140">
        <f>SUMIFS(Resumo_Trocas!$C:$C,Resumo_Trocas!$A:$A,$C22,Resumo_Trocas!$F:$F,AN$18,Resumo_Trocas!$C:$C,"&gt;0")</f>
        <v>0</v>
      </c>
      <c r="AO22" s="141">
        <f>SUMIFS(Resumo_Trocas!$E:$E,Resumo_Trocas!$A:$A,$C22,Resumo_Trocas!$F:$F,AN$18,Resumo_Trocas!$C:$C,"&gt;0")</f>
        <v>0</v>
      </c>
      <c r="AP22" s="75"/>
      <c r="AQ22" s="75"/>
    </row>
    <row r="23" spans="2:43" ht="15" customHeight="1" outlineLevel="1" thickBot="1" x14ac:dyDescent="0.4">
      <c r="B23" s="76"/>
      <c r="C23" s="150" t="s">
        <v>3408</v>
      </c>
      <c r="D23" s="140">
        <f>SUMIFS(Resumo_Trocas!$C:$C,Resumo_Trocas!$A:$A,$C23,Resumo_Trocas!$F:$F,D$18,Resumo_Trocas!$C:$C,"&gt;0")</f>
        <v>0</v>
      </c>
      <c r="E23" s="141">
        <f>SUMIFS(Resumo_Trocas!$E:$E,Resumo_Trocas!$A:$A,$C23,Resumo_Trocas!$F:$F,D$18,Resumo_Trocas!$C:$C,"&gt;0")</f>
        <v>0</v>
      </c>
      <c r="F23" s="140">
        <f>SUMIFS(Resumo_Trocas!$C:$C,Resumo_Trocas!$A:$A,$C23,Resumo_Trocas!$F:$F,F$18,Resumo_Trocas!$C:$C,"&gt;0")</f>
        <v>0</v>
      </c>
      <c r="G23" s="141">
        <f>SUMIFS(Resumo_Trocas!$E:$E,Resumo_Trocas!$A:$A,$C23,Resumo_Trocas!$F:$F,F$18,Resumo_Trocas!$C:$C,"&gt;0")</f>
        <v>0</v>
      </c>
      <c r="H23" s="140">
        <f>SUMIFS(Resumo_Trocas!$C:$C,Resumo_Trocas!$A:$A,$C23,Resumo_Trocas!$F:$F,H$18,Resumo_Trocas!$C:$C,"&gt;0")</f>
        <v>0</v>
      </c>
      <c r="I23" s="141">
        <f>SUMIFS(Resumo_Trocas!$E:$E,Resumo_Trocas!$A:$A,$C23,Resumo_Trocas!$F:$F,H$18,Resumo_Trocas!$C:$C,"&gt;0")</f>
        <v>0</v>
      </c>
      <c r="J23" s="140">
        <f>SUMIFS(Resumo_Trocas!$C:$C,Resumo_Trocas!$A:$A,$C23,Resumo_Trocas!$F:$F,J$18,Resumo_Trocas!$C:$C,"&gt;0")</f>
        <v>0</v>
      </c>
      <c r="K23" s="141">
        <f>SUMIFS(Resumo_Trocas!$E:$E,Resumo_Trocas!$A:$A,$C23,Resumo_Trocas!$F:$F,J$18,Resumo_Trocas!$C:$C,"&gt;0")</f>
        <v>0</v>
      </c>
      <c r="L23" s="140">
        <f>SUMIFS(Resumo_Trocas!$C:$C,Resumo_Trocas!$A:$A,$C23,Resumo_Trocas!$F:$F,L$18,Resumo_Trocas!$C:$C,"&gt;0")</f>
        <v>0</v>
      </c>
      <c r="M23" s="141">
        <f>SUMIFS(Resumo_Trocas!$E:$E,Resumo_Trocas!$A:$A,$C23,Resumo_Trocas!$F:$F,L$18,Resumo_Trocas!$C:$C,"&gt;0")</f>
        <v>0</v>
      </c>
      <c r="N23" s="140">
        <f>SUMIFS(Resumo_Trocas!$C:$C,Resumo_Trocas!$A:$A,$C23,Resumo_Trocas!$F:$F,N$18,Resumo_Trocas!$C:$C,"&gt;0")</f>
        <v>0</v>
      </c>
      <c r="O23" s="141">
        <f>SUMIFS(Resumo_Trocas!$E:$E,Resumo_Trocas!$A:$A,$C23,Resumo_Trocas!$F:$F,N$18,Resumo_Trocas!$C:$C,"&gt;0")</f>
        <v>0</v>
      </c>
      <c r="P23" s="140">
        <f>SUMIFS(Resumo_Trocas!$C:$C,Resumo_Trocas!$A:$A,$C23,Resumo_Trocas!$F:$F,P$18,Resumo_Trocas!$C:$C,"&gt;0")</f>
        <v>0</v>
      </c>
      <c r="Q23" s="141">
        <f>SUMIFS(Resumo_Trocas!$E:$E,Resumo_Trocas!$A:$A,$C23,Resumo_Trocas!$F:$F,P$18,Resumo_Trocas!$C:$C,"&gt;0")</f>
        <v>0</v>
      </c>
      <c r="R23" s="140">
        <f>SUMIFS(Resumo_Trocas!$C:$C,Resumo_Trocas!$A:$A,$C23,Resumo_Trocas!$F:$F,R$18,Resumo_Trocas!$C:$C,"&gt;0")</f>
        <v>0</v>
      </c>
      <c r="S23" s="141">
        <f>SUMIFS(Resumo_Trocas!$E:$E,Resumo_Trocas!$A:$A,$C23,Resumo_Trocas!$F:$F,R$18,Resumo_Trocas!$C:$C,"&gt;0")</f>
        <v>0</v>
      </c>
      <c r="T23" s="140">
        <f>SUMIFS(Resumo_Trocas!$C:$C,Resumo_Trocas!$A:$A,$C23,Resumo_Trocas!$F:$F,T$18,Resumo_Trocas!$C:$C,"&gt;0")</f>
        <v>0</v>
      </c>
      <c r="U23" s="141">
        <f>SUMIFS(Resumo_Trocas!$E:$E,Resumo_Trocas!$A:$A,$C23,Resumo_Trocas!$F:$F,T$18,Resumo_Trocas!$C:$C,"&gt;0")</f>
        <v>0</v>
      </c>
      <c r="V23" s="140">
        <f>SUMIFS(Resumo_Trocas!$C:$C,Resumo_Trocas!$A:$A,$C23,Resumo_Trocas!$F:$F,V$18,Resumo_Trocas!$C:$C,"&gt;0")</f>
        <v>0</v>
      </c>
      <c r="W23" s="141">
        <f>SUMIFS(Resumo_Trocas!$E:$E,Resumo_Trocas!$A:$A,$C23,Resumo_Trocas!$F:$F,V$18,Resumo_Trocas!$C:$C,"&gt;0")</f>
        <v>0</v>
      </c>
      <c r="X23" s="140">
        <f>SUMIFS(Resumo_Trocas!$C:$C,Resumo_Trocas!$A:$A,$C23,Resumo_Trocas!$F:$F,X$18,Resumo_Trocas!$C:$C,"&gt;0")</f>
        <v>0</v>
      </c>
      <c r="Y23" s="141">
        <f>SUMIFS(Resumo_Trocas!$E:$E,Resumo_Trocas!$A:$A,$C23,Resumo_Trocas!$F:$F,X$18,Resumo_Trocas!$C:$C,"&gt;0")</f>
        <v>0</v>
      </c>
      <c r="Z23" s="140">
        <f>SUMIFS(Resumo_Trocas!$C:$C,Resumo_Trocas!$A:$A,$C23,Resumo_Trocas!$F:$F,Z$18,Resumo_Trocas!$C:$C,"&gt;0")</f>
        <v>0</v>
      </c>
      <c r="AA23" s="141">
        <f>SUMIFS(Resumo_Trocas!$E:$E,Resumo_Trocas!$A:$A,$C23,Resumo_Trocas!$F:$F,Z$18,Resumo_Trocas!$C:$C,"&gt;0")</f>
        <v>0</v>
      </c>
      <c r="AB23" s="140">
        <f>SUMIFS(Resumo_Trocas!$C:$C,Resumo_Trocas!$A:$A,$C23,Resumo_Trocas!$F:$F,AB$18,Resumo_Trocas!$C:$C,"&gt;0")</f>
        <v>0</v>
      </c>
      <c r="AC23" s="141">
        <f>SUMIFS(Resumo_Trocas!$E:$E,Resumo_Trocas!$A:$A,$C23,Resumo_Trocas!$F:$F,AB$18,Resumo_Trocas!$C:$C,"&gt;0")</f>
        <v>0</v>
      </c>
      <c r="AD23" s="140">
        <f>SUMIFS(Resumo_Trocas!$C:$C,Resumo_Trocas!$A:$A,$C23,Resumo_Trocas!$F:$F,AD$18,Resumo_Trocas!$C:$C,"&gt;0")</f>
        <v>0</v>
      </c>
      <c r="AE23" s="141">
        <f>SUMIFS(Resumo_Trocas!$E:$E,Resumo_Trocas!$A:$A,$C23,Resumo_Trocas!$F:$F,AD$18,Resumo_Trocas!$C:$C,"&gt;0")</f>
        <v>0</v>
      </c>
      <c r="AF23" s="140">
        <f>SUMIFS(Resumo_Trocas!$C:$C,Resumo_Trocas!$A:$A,$C23,Resumo_Trocas!$F:$F,AF$18,Resumo_Trocas!$C:$C,"&gt;0")</f>
        <v>0</v>
      </c>
      <c r="AG23" s="141">
        <f>SUMIFS(Resumo_Trocas!$E:$E,Resumo_Trocas!$A:$A,$C23,Resumo_Trocas!$F:$F,AF$18,Resumo_Trocas!$C:$C,"&gt;0")</f>
        <v>0</v>
      </c>
      <c r="AH23" s="140">
        <f>SUMIFS(Resumo_Trocas!$C:$C,Resumo_Trocas!$A:$A,$C23,Resumo_Trocas!$F:$F,AH$18,Resumo_Trocas!$C:$C,"&gt;0")</f>
        <v>0</v>
      </c>
      <c r="AI23" s="141">
        <f>SUMIFS(Resumo_Trocas!$E:$E,Resumo_Trocas!$A:$A,$C23,Resumo_Trocas!$F:$F,AH$18,Resumo_Trocas!$C:$C,"&gt;0")</f>
        <v>0</v>
      </c>
      <c r="AJ23" s="140">
        <f>SUMIFS(Resumo_Trocas!$C:$C,Resumo_Trocas!$A:$A,$C23,Resumo_Trocas!$F:$F,AJ$18,Resumo_Trocas!$C:$C,"&gt;0")</f>
        <v>0</v>
      </c>
      <c r="AK23" s="141">
        <f>SUMIFS(Resumo_Trocas!$E:$E,Resumo_Trocas!$A:$A,$C23,Resumo_Trocas!$F:$F,AJ$18,Resumo_Trocas!$C:$C,"&gt;0")</f>
        <v>0</v>
      </c>
      <c r="AL23" s="140">
        <f>SUMIFS(Resumo_Trocas!$C:$C,Resumo_Trocas!$A:$A,$C23,Resumo_Trocas!$F:$F,AL$18,Resumo_Trocas!$C:$C,"&gt;0")</f>
        <v>0</v>
      </c>
      <c r="AM23" s="141">
        <f>SUMIFS(Resumo_Trocas!$E:$E,Resumo_Trocas!$A:$A,$C23,Resumo_Trocas!$F:$F,AL$18,Resumo_Trocas!$C:$C,"&gt;0")</f>
        <v>0</v>
      </c>
      <c r="AN23" s="140">
        <f>SUMIFS(Resumo_Trocas!$C:$C,Resumo_Trocas!$A:$A,$C23,Resumo_Trocas!$F:$F,AN$18,Resumo_Trocas!$C:$C,"&gt;0")</f>
        <v>0</v>
      </c>
      <c r="AO23" s="141">
        <f>SUMIFS(Resumo_Trocas!$E:$E,Resumo_Trocas!$A:$A,$C23,Resumo_Trocas!$F:$F,AN$18,Resumo_Trocas!$C:$C,"&gt;0")</f>
        <v>0</v>
      </c>
      <c r="AP23" s="75"/>
      <c r="AQ23" s="75"/>
    </row>
    <row r="24" spans="2:43" ht="15" customHeight="1" outlineLevel="1" thickBot="1" x14ac:dyDescent="0.4">
      <c r="B24" s="76"/>
      <c r="C24" s="150" t="s">
        <v>3409</v>
      </c>
      <c r="D24" s="140">
        <f>SUMIFS(Resumo_Trocas!$C:$C,Resumo_Trocas!$A:$A,$C24,Resumo_Trocas!$F:$F,D$18,Resumo_Trocas!$C:$C,"&gt;0")</f>
        <v>0</v>
      </c>
      <c r="E24" s="141">
        <f>SUMIFS(Resumo_Trocas!$E:$E,Resumo_Trocas!$A:$A,$C24,Resumo_Trocas!$F:$F,D$18,Resumo_Trocas!$C:$C,"&gt;0")</f>
        <v>0</v>
      </c>
      <c r="F24" s="140">
        <f>SUMIFS(Resumo_Trocas!$C:$C,Resumo_Trocas!$A:$A,$C24,Resumo_Trocas!$F:$F,F$18,Resumo_Trocas!$C:$C,"&gt;0")</f>
        <v>0</v>
      </c>
      <c r="G24" s="141">
        <f>SUMIFS(Resumo_Trocas!$E:$E,Resumo_Trocas!$A:$A,$C24,Resumo_Trocas!$F:$F,F$18,Resumo_Trocas!$C:$C,"&gt;0")</f>
        <v>0</v>
      </c>
      <c r="H24" s="140">
        <f>SUMIFS(Resumo_Trocas!$C:$C,Resumo_Trocas!$A:$A,$C24,Resumo_Trocas!$F:$F,H$18,Resumo_Trocas!$C:$C,"&gt;0")</f>
        <v>0</v>
      </c>
      <c r="I24" s="141">
        <f>SUMIFS(Resumo_Trocas!$E:$E,Resumo_Trocas!$A:$A,$C24,Resumo_Trocas!$F:$F,H$18,Resumo_Trocas!$C:$C,"&gt;0")</f>
        <v>0</v>
      </c>
      <c r="J24" s="140">
        <f>SUMIFS(Resumo_Trocas!$C:$C,Resumo_Trocas!$A:$A,$C24,Resumo_Trocas!$F:$F,J$18,Resumo_Trocas!$C:$C,"&gt;0")</f>
        <v>0</v>
      </c>
      <c r="K24" s="141">
        <f>SUMIFS(Resumo_Trocas!$E:$E,Resumo_Trocas!$A:$A,$C24,Resumo_Trocas!$F:$F,J$18,Resumo_Trocas!$C:$C,"&gt;0")</f>
        <v>0</v>
      </c>
      <c r="L24" s="140">
        <f>SUMIFS(Resumo_Trocas!$C:$C,Resumo_Trocas!$A:$A,$C24,Resumo_Trocas!$F:$F,L$18,Resumo_Trocas!$C:$C,"&gt;0")</f>
        <v>0</v>
      </c>
      <c r="M24" s="141">
        <f>SUMIFS(Resumo_Trocas!$E:$E,Resumo_Trocas!$A:$A,$C24,Resumo_Trocas!$F:$F,L$18,Resumo_Trocas!$C:$C,"&gt;0")</f>
        <v>0</v>
      </c>
      <c r="N24" s="140">
        <f>SUMIFS(Resumo_Trocas!$C:$C,Resumo_Trocas!$A:$A,$C24,Resumo_Trocas!$F:$F,N$18,Resumo_Trocas!$C:$C,"&gt;0")</f>
        <v>0</v>
      </c>
      <c r="O24" s="141">
        <f>SUMIFS(Resumo_Trocas!$E:$E,Resumo_Trocas!$A:$A,$C24,Resumo_Trocas!$F:$F,N$18,Resumo_Trocas!$C:$C,"&gt;0")</f>
        <v>0</v>
      </c>
      <c r="P24" s="140">
        <f>SUMIFS(Resumo_Trocas!$C:$C,Resumo_Trocas!$A:$A,$C24,Resumo_Trocas!$F:$F,P$18,Resumo_Trocas!$C:$C,"&gt;0")</f>
        <v>0</v>
      </c>
      <c r="Q24" s="141">
        <f>SUMIFS(Resumo_Trocas!$E:$E,Resumo_Trocas!$A:$A,$C24,Resumo_Trocas!$F:$F,P$18,Resumo_Trocas!$C:$C,"&gt;0")</f>
        <v>0</v>
      </c>
      <c r="R24" s="140">
        <f>SUMIFS(Resumo_Trocas!$C:$C,Resumo_Trocas!$A:$A,$C24,Resumo_Trocas!$F:$F,R$18,Resumo_Trocas!$C:$C,"&gt;0")</f>
        <v>0</v>
      </c>
      <c r="S24" s="141">
        <f>SUMIFS(Resumo_Trocas!$E:$E,Resumo_Trocas!$A:$A,$C24,Resumo_Trocas!$F:$F,R$18,Resumo_Trocas!$C:$C,"&gt;0")</f>
        <v>0</v>
      </c>
      <c r="T24" s="140">
        <f>SUMIFS(Resumo_Trocas!$C:$C,Resumo_Trocas!$A:$A,$C24,Resumo_Trocas!$F:$F,T$18,Resumo_Trocas!$C:$C,"&gt;0")</f>
        <v>0</v>
      </c>
      <c r="U24" s="141">
        <f>SUMIFS(Resumo_Trocas!$E:$E,Resumo_Trocas!$A:$A,$C24,Resumo_Trocas!$F:$F,T$18,Resumo_Trocas!$C:$C,"&gt;0")</f>
        <v>0</v>
      </c>
      <c r="V24" s="140">
        <f>SUMIFS(Resumo_Trocas!$C:$C,Resumo_Trocas!$A:$A,$C24,Resumo_Trocas!$F:$F,V$18,Resumo_Trocas!$C:$C,"&gt;0")</f>
        <v>0</v>
      </c>
      <c r="W24" s="141">
        <f>SUMIFS(Resumo_Trocas!$E:$E,Resumo_Trocas!$A:$A,$C24,Resumo_Trocas!$F:$F,V$18,Resumo_Trocas!$C:$C,"&gt;0")</f>
        <v>0</v>
      </c>
      <c r="X24" s="140">
        <f>SUMIFS(Resumo_Trocas!$C:$C,Resumo_Trocas!$A:$A,$C24,Resumo_Trocas!$F:$F,X$18,Resumo_Trocas!$C:$C,"&gt;0")</f>
        <v>0</v>
      </c>
      <c r="Y24" s="141">
        <f>SUMIFS(Resumo_Trocas!$E:$E,Resumo_Trocas!$A:$A,$C24,Resumo_Trocas!$F:$F,X$18,Resumo_Trocas!$C:$C,"&gt;0")</f>
        <v>0</v>
      </c>
      <c r="Z24" s="140">
        <f>SUMIFS(Resumo_Trocas!$C:$C,Resumo_Trocas!$A:$A,$C24,Resumo_Trocas!$F:$F,Z$18,Resumo_Trocas!$C:$C,"&gt;0")</f>
        <v>0</v>
      </c>
      <c r="AA24" s="141">
        <f>SUMIFS(Resumo_Trocas!$E:$E,Resumo_Trocas!$A:$A,$C24,Resumo_Trocas!$F:$F,Z$18,Resumo_Trocas!$C:$C,"&gt;0")</f>
        <v>0</v>
      </c>
      <c r="AB24" s="140">
        <f>SUMIFS(Resumo_Trocas!$C:$C,Resumo_Trocas!$A:$A,$C24,Resumo_Trocas!$F:$F,AB$18,Resumo_Trocas!$C:$C,"&gt;0")</f>
        <v>0</v>
      </c>
      <c r="AC24" s="141">
        <f>SUMIFS(Resumo_Trocas!$E:$E,Resumo_Trocas!$A:$A,$C24,Resumo_Trocas!$F:$F,AB$18,Resumo_Trocas!$C:$C,"&gt;0")</f>
        <v>0</v>
      </c>
      <c r="AD24" s="140">
        <f>SUMIFS(Resumo_Trocas!$C:$C,Resumo_Trocas!$A:$A,$C24,Resumo_Trocas!$F:$F,AD$18,Resumo_Trocas!$C:$C,"&gt;0")</f>
        <v>0</v>
      </c>
      <c r="AE24" s="141">
        <f>SUMIFS(Resumo_Trocas!$E:$E,Resumo_Trocas!$A:$A,$C24,Resumo_Trocas!$F:$F,AD$18,Resumo_Trocas!$C:$C,"&gt;0")</f>
        <v>0</v>
      </c>
      <c r="AF24" s="140">
        <f>SUMIFS(Resumo_Trocas!$C:$C,Resumo_Trocas!$A:$A,$C24,Resumo_Trocas!$F:$F,AF$18,Resumo_Trocas!$C:$C,"&gt;0")</f>
        <v>0</v>
      </c>
      <c r="AG24" s="141">
        <f>SUMIFS(Resumo_Trocas!$E:$E,Resumo_Trocas!$A:$A,$C24,Resumo_Trocas!$F:$F,AF$18,Resumo_Trocas!$C:$C,"&gt;0")</f>
        <v>0</v>
      </c>
      <c r="AH24" s="140">
        <f>SUMIFS(Resumo_Trocas!$C:$C,Resumo_Trocas!$A:$A,$C24,Resumo_Trocas!$F:$F,AH$18,Resumo_Trocas!$C:$C,"&gt;0")</f>
        <v>0</v>
      </c>
      <c r="AI24" s="141">
        <f>SUMIFS(Resumo_Trocas!$E:$E,Resumo_Trocas!$A:$A,$C24,Resumo_Trocas!$F:$F,AH$18,Resumo_Trocas!$C:$C,"&gt;0")</f>
        <v>0</v>
      </c>
      <c r="AJ24" s="140">
        <f>SUMIFS(Resumo_Trocas!$C:$C,Resumo_Trocas!$A:$A,$C24,Resumo_Trocas!$F:$F,AJ$18,Resumo_Trocas!$C:$C,"&gt;0")</f>
        <v>0</v>
      </c>
      <c r="AK24" s="141">
        <f>SUMIFS(Resumo_Trocas!$E:$E,Resumo_Trocas!$A:$A,$C24,Resumo_Trocas!$F:$F,AJ$18,Resumo_Trocas!$C:$C,"&gt;0")</f>
        <v>0</v>
      </c>
      <c r="AL24" s="140">
        <f>SUMIFS(Resumo_Trocas!$C:$C,Resumo_Trocas!$A:$A,$C24,Resumo_Trocas!$F:$F,AL$18,Resumo_Trocas!$C:$C,"&gt;0")</f>
        <v>0</v>
      </c>
      <c r="AM24" s="141">
        <f>SUMIFS(Resumo_Trocas!$E:$E,Resumo_Trocas!$A:$A,$C24,Resumo_Trocas!$F:$F,AL$18,Resumo_Trocas!$C:$C,"&gt;0")</f>
        <v>0</v>
      </c>
      <c r="AN24" s="140">
        <f>SUMIFS(Resumo_Trocas!$C:$C,Resumo_Trocas!$A:$A,$C24,Resumo_Trocas!$F:$F,AN$18,Resumo_Trocas!$C:$C,"&gt;0")</f>
        <v>0</v>
      </c>
      <c r="AO24" s="141">
        <f>SUMIFS(Resumo_Trocas!$E:$E,Resumo_Trocas!$A:$A,$C24,Resumo_Trocas!$F:$F,AN$18,Resumo_Trocas!$C:$C,"&gt;0")</f>
        <v>0</v>
      </c>
      <c r="AP24" s="75"/>
      <c r="AQ24" s="75"/>
    </row>
    <row r="25" spans="2:43" ht="15" customHeight="1" outlineLevel="1" thickBot="1" x14ac:dyDescent="0.4">
      <c r="B25" s="76"/>
      <c r="C25" s="150" t="s">
        <v>3410</v>
      </c>
      <c r="D25" s="140">
        <f>SUMIFS(Resumo_Trocas!$C:$C,Resumo_Trocas!$A:$A,$C25,Resumo_Trocas!$F:$F,D$18,Resumo_Trocas!$C:$C,"&gt;0")</f>
        <v>0</v>
      </c>
      <c r="E25" s="141">
        <f>SUMIFS(Resumo_Trocas!$E:$E,Resumo_Trocas!$A:$A,$C25,Resumo_Trocas!$F:$F,D$18,Resumo_Trocas!$C:$C,"&gt;0")</f>
        <v>0</v>
      </c>
      <c r="F25" s="140">
        <f>SUMIFS(Resumo_Trocas!$C:$C,Resumo_Trocas!$A:$A,$C25,Resumo_Trocas!$F:$F,F$18,Resumo_Trocas!$C:$C,"&gt;0")</f>
        <v>0</v>
      </c>
      <c r="G25" s="141">
        <f>SUMIFS(Resumo_Trocas!$E:$E,Resumo_Trocas!$A:$A,$C25,Resumo_Trocas!$F:$F,F$18,Resumo_Trocas!$C:$C,"&gt;0")</f>
        <v>0</v>
      </c>
      <c r="H25" s="140">
        <f>SUMIFS(Resumo_Trocas!$C:$C,Resumo_Trocas!$A:$A,$C25,Resumo_Trocas!$F:$F,H$18,Resumo_Trocas!$C:$C,"&gt;0")</f>
        <v>0</v>
      </c>
      <c r="I25" s="141">
        <f>SUMIFS(Resumo_Trocas!$E:$E,Resumo_Trocas!$A:$A,$C25,Resumo_Trocas!$F:$F,H$18,Resumo_Trocas!$C:$C,"&gt;0")</f>
        <v>0</v>
      </c>
      <c r="J25" s="140">
        <f>SUMIFS(Resumo_Trocas!$C:$C,Resumo_Trocas!$A:$A,$C25,Resumo_Trocas!$F:$F,J$18,Resumo_Trocas!$C:$C,"&gt;0")</f>
        <v>0</v>
      </c>
      <c r="K25" s="141">
        <f>SUMIFS(Resumo_Trocas!$E:$E,Resumo_Trocas!$A:$A,$C25,Resumo_Trocas!$F:$F,J$18,Resumo_Trocas!$C:$C,"&gt;0")</f>
        <v>0</v>
      </c>
      <c r="L25" s="140">
        <f>SUMIFS(Resumo_Trocas!$C:$C,Resumo_Trocas!$A:$A,$C25,Resumo_Trocas!$F:$F,L$18,Resumo_Trocas!$C:$C,"&gt;0")</f>
        <v>0</v>
      </c>
      <c r="M25" s="141">
        <f>SUMIFS(Resumo_Trocas!$E:$E,Resumo_Trocas!$A:$A,$C25,Resumo_Trocas!$F:$F,L$18,Resumo_Trocas!$C:$C,"&gt;0")</f>
        <v>0</v>
      </c>
      <c r="N25" s="140">
        <f>SUMIFS(Resumo_Trocas!$C:$C,Resumo_Trocas!$A:$A,$C25,Resumo_Trocas!$F:$F,N$18,Resumo_Trocas!$C:$C,"&gt;0")</f>
        <v>0</v>
      </c>
      <c r="O25" s="141">
        <f>SUMIFS(Resumo_Trocas!$E:$E,Resumo_Trocas!$A:$A,$C25,Resumo_Trocas!$F:$F,N$18,Resumo_Trocas!$C:$C,"&gt;0")</f>
        <v>0</v>
      </c>
      <c r="P25" s="140">
        <f>SUMIFS(Resumo_Trocas!$C:$C,Resumo_Trocas!$A:$A,$C25,Resumo_Trocas!$F:$F,P$18,Resumo_Trocas!$C:$C,"&gt;0")</f>
        <v>0</v>
      </c>
      <c r="Q25" s="141">
        <f>SUMIFS(Resumo_Trocas!$E:$E,Resumo_Trocas!$A:$A,$C25,Resumo_Trocas!$F:$F,P$18,Resumo_Trocas!$C:$C,"&gt;0")</f>
        <v>0</v>
      </c>
      <c r="R25" s="140">
        <f>SUMIFS(Resumo_Trocas!$C:$C,Resumo_Trocas!$A:$A,$C25,Resumo_Trocas!$F:$F,R$18,Resumo_Trocas!$C:$C,"&gt;0")</f>
        <v>0</v>
      </c>
      <c r="S25" s="141">
        <f>SUMIFS(Resumo_Trocas!$E:$E,Resumo_Trocas!$A:$A,$C25,Resumo_Trocas!$F:$F,R$18,Resumo_Trocas!$C:$C,"&gt;0")</f>
        <v>0</v>
      </c>
      <c r="T25" s="140">
        <f>SUMIFS(Resumo_Trocas!$C:$C,Resumo_Trocas!$A:$A,$C25,Resumo_Trocas!$F:$F,T$18,Resumo_Trocas!$C:$C,"&gt;0")</f>
        <v>0</v>
      </c>
      <c r="U25" s="141">
        <f>SUMIFS(Resumo_Trocas!$E:$E,Resumo_Trocas!$A:$A,$C25,Resumo_Trocas!$F:$F,T$18,Resumo_Trocas!$C:$C,"&gt;0")</f>
        <v>0</v>
      </c>
      <c r="V25" s="140">
        <f>SUMIFS(Resumo_Trocas!$C:$C,Resumo_Trocas!$A:$A,$C25,Resumo_Trocas!$F:$F,V$18,Resumo_Trocas!$C:$C,"&gt;0")</f>
        <v>0</v>
      </c>
      <c r="W25" s="141">
        <f>SUMIFS(Resumo_Trocas!$E:$E,Resumo_Trocas!$A:$A,$C25,Resumo_Trocas!$F:$F,V$18,Resumo_Trocas!$C:$C,"&gt;0")</f>
        <v>0</v>
      </c>
      <c r="X25" s="140">
        <f>SUMIFS(Resumo_Trocas!$C:$C,Resumo_Trocas!$A:$A,$C25,Resumo_Trocas!$F:$F,X$18,Resumo_Trocas!$C:$C,"&gt;0")</f>
        <v>0</v>
      </c>
      <c r="Y25" s="141">
        <f>SUMIFS(Resumo_Trocas!$E:$E,Resumo_Trocas!$A:$A,$C25,Resumo_Trocas!$F:$F,X$18,Resumo_Trocas!$C:$C,"&gt;0")</f>
        <v>0</v>
      </c>
      <c r="Z25" s="140">
        <f>SUMIFS(Resumo_Trocas!$C:$C,Resumo_Trocas!$A:$A,$C25,Resumo_Trocas!$F:$F,Z$18,Resumo_Trocas!$C:$C,"&gt;0")</f>
        <v>0</v>
      </c>
      <c r="AA25" s="141">
        <f>SUMIFS(Resumo_Trocas!$E:$E,Resumo_Trocas!$A:$A,$C25,Resumo_Trocas!$F:$F,Z$18,Resumo_Trocas!$C:$C,"&gt;0")</f>
        <v>0</v>
      </c>
      <c r="AB25" s="140">
        <f>SUMIFS(Resumo_Trocas!$C:$C,Resumo_Trocas!$A:$A,$C25,Resumo_Trocas!$F:$F,AB$18,Resumo_Trocas!$C:$C,"&gt;0")</f>
        <v>0</v>
      </c>
      <c r="AC25" s="141">
        <f>SUMIFS(Resumo_Trocas!$E:$E,Resumo_Trocas!$A:$A,$C25,Resumo_Trocas!$F:$F,AB$18,Resumo_Trocas!$C:$C,"&gt;0")</f>
        <v>0</v>
      </c>
      <c r="AD25" s="140">
        <f>SUMIFS(Resumo_Trocas!$C:$C,Resumo_Trocas!$A:$A,$C25,Resumo_Trocas!$F:$F,AD$18,Resumo_Trocas!$C:$C,"&gt;0")</f>
        <v>0</v>
      </c>
      <c r="AE25" s="141">
        <f>SUMIFS(Resumo_Trocas!$E:$E,Resumo_Trocas!$A:$A,$C25,Resumo_Trocas!$F:$F,AD$18,Resumo_Trocas!$C:$C,"&gt;0")</f>
        <v>0</v>
      </c>
      <c r="AF25" s="140">
        <f>SUMIFS(Resumo_Trocas!$C:$C,Resumo_Trocas!$A:$A,$C25,Resumo_Trocas!$F:$F,AF$18,Resumo_Trocas!$C:$C,"&gt;0")</f>
        <v>0</v>
      </c>
      <c r="AG25" s="141">
        <f>SUMIFS(Resumo_Trocas!$E:$E,Resumo_Trocas!$A:$A,$C25,Resumo_Trocas!$F:$F,AF$18,Resumo_Trocas!$C:$C,"&gt;0")</f>
        <v>0</v>
      </c>
      <c r="AH25" s="140">
        <f>SUMIFS(Resumo_Trocas!$C:$C,Resumo_Trocas!$A:$A,$C25,Resumo_Trocas!$F:$F,AH$18,Resumo_Trocas!$C:$C,"&gt;0")</f>
        <v>0</v>
      </c>
      <c r="AI25" s="141">
        <f>SUMIFS(Resumo_Trocas!$E:$E,Resumo_Trocas!$A:$A,$C25,Resumo_Trocas!$F:$F,AH$18,Resumo_Trocas!$C:$C,"&gt;0")</f>
        <v>0</v>
      </c>
      <c r="AJ25" s="140">
        <f>SUMIFS(Resumo_Trocas!$C:$C,Resumo_Trocas!$A:$A,$C25,Resumo_Trocas!$F:$F,AJ$18,Resumo_Trocas!$C:$C,"&gt;0")</f>
        <v>0</v>
      </c>
      <c r="AK25" s="141">
        <f>SUMIFS(Resumo_Trocas!$E:$E,Resumo_Trocas!$A:$A,$C25,Resumo_Trocas!$F:$F,AJ$18,Resumo_Trocas!$C:$C,"&gt;0")</f>
        <v>0</v>
      </c>
      <c r="AL25" s="140">
        <f>SUMIFS(Resumo_Trocas!$C:$C,Resumo_Trocas!$A:$A,$C25,Resumo_Trocas!$F:$F,AL$18,Resumo_Trocas!$C:$C,"&gt;0")</f>
        <v>0</v>
      </c>
      <c r="AM25" s="141">
        <f>SUMIFS(Resumo_Trocas!$E:$E,Resumo_Trocas!$A:$A,$C25,Resumo_Trocas!$F:$F,AL$18,Resumo_Trocas!$C:$C,"&gt;0")</f>
        <v>0</v>
      </c>
      <c r="AN25" s="140">
        <f>SUMIFS(Resumo_Trocas!$C:$C,Resumo_Trocas!$A:$A,$C25,Resumo_Trocas!$F:$F,AN$18,Resumo_Trocas!$C:$C,"&gt;0")</f>
        <v>0</v>
      </c>
      <c r="AO25" s="141">
        <f>SUMIFS(Resumo_Trocas!$E:$E,Resumo_Trocas!$A:$A,$C25,Resumo_Trocas!$F:$F,AN$18,Resumo_Trocas!$C:$C,"&gt;0")</f>
        <v>0</v>
      </c>
      <c r="AP25" s="75"/>
      <c r="AQ25" s="75"/>
    </row>
    <row r="26" spans="2:43" ht="15" customHeight="1" outlineLevel="1" thickBot="1" x14ac:dyDescent="0.4">
      <c r="B26" s="76"/>
      <c r="C26" s="150" t="s">
        <v>3411</v>
      </c>
      <c r="D26" s="140">
        <f>SUMIFS(Resumo_Trocas!$C:$C,Resumo_Trocas!$A:$A,$C26,Resumo_Trocas!$F:$F,D$18,Resumo_Trocas!$C:$C,"&gt;0")</f>
        <v>0</v>
      </c>
      <c r="E26" s="141">
        <f>SUMIFS(Resumo_Trocas!$E:$E,Resumo_Trocas!$A:$A,$C26,Resumo_Trocas!$F:$F,D$18,Resumo_Trocas!$C:$C,"&gt;0")</f>
        <v>0</v>
      </c>
      <c r="F26" s="140">
        <f>SUMIFS(Resumo_Trocas!$C:$C,Resumo_Trocas!$A:$A,$C26,Resumo_Trocas!$F:$F,F$18,Resumo_Trocas!$C:$C,"&gt;0")</f>
        <v>0</v>
      </c>
      <c r="G26" s="141">
        <f>SUMIFS(Resumo_Trocas!$E:$E,Resumo_Trocas!$A:$A,$C26,Resumo_Trocas!$F:$F,F$18,Resumo_Trocas!$C:$C,"&gt;0")</f>
        <v>0</v>
      </c>
      <c r="H26" s="140">
        <f>SUMIFS(Resumo_Trocas!$C:$C,Resumo_Trocas!$A:$A,$C26,Resumo_Trocas!$F:$F,H$18,Resumo_Trocas!$C:$C,"&gt;0")</f>
        <v>0</v>
      </c>
      <c r="I26" s="141">
        <f>SUMIFS(Resumo_Trocas!$E:$E,Resumo_Trocas!$A:$A,$C26,Resumo_Trocas!$F:$F,H$18,Resumo_Trocas!$C:$C,"&gt;0")</f>
        <v>0</v>
      </c>
      <c r="J26" s="140">
        <f>SUMIFS(Resumo_Trocas!$C:$C,Resumo_Trocas!$A:$A,$C26,Resumo_Trocas!$F:$F,J$18,Resumo_Trocas!$C:$C,"&gt;0")</f>
        <v>0</v>
      </c>
      <c r="K26" s="141">
        <f>SUMIFS(Resumo_Trocas!$E:$E,Resumo_Trocas!$A:$A,$C26,Resumo_Trocas!$F:$F,J$18,Resumo_Trocas!$C:$C,"&gt;0")</f>
        <v>0</v>
      </c>
      <c r="L26" s="140">
        <f>SUMIFS(Resumo_Trocas!$C:$C,Resumo_Trocas!$A:$A,$C26,Resumo_Trocas!$F:$F,L$18,Resumo_Trocas!$C:$C,"&gt;0")</f>
        <v>0</v>
      </c>
      <c r="M26" s="141">
        <f>SUMIFS(Resumo_Trocas!$E:$E,Resumo_Trocas!$A:$A,$C26,Resumo_Trocas!$F:$F,L$18,Resumo_Trocas!$C:$C,"&gt;0")</f>
        <v>0</v>
      </c>
      <c r="N26" s="140">
        <f>SUMIFS(Resumo_Trocas!$C:$C,Resumo_Trocas!$A:$A,$C26,Resumo_Trocas!$F:$F,N$18,Resumo_Trocas!$C:$C,"&gt;0")</f>
        <v>0</v>
      </c>
      <c r="O26" s="141">
        <f>SUMIFS(Resumo_Trocas!$E:$E,Resumo_Trocas!$A:$A,$C26,Resumo_Trocas!$F:$F,N$18,Resumo_Trocas!$C:$C,"&gt;0")</f>
        <v>0</v>
      </c>
      <c r="P26" s="140">
        <f>SUMIFS(Resumo_Trocas!$C:$C,Resumo_Trocas!$A:$A,$C26,Resumo_Trocas!$F:$F,P$18,Resumo_Trocas!$C:$C,"&gt;0")</f>
        <v>0</v>
      </c>
      <c r="Q26" s="141">
        <f>SUMIFS(Resumo_Trocas!$E:$E,Resumo_Trocas!$A:$A,$C26,Resumo_Trocas!$F:$F,P$18,Resumo_Trocas!$C:$C,"&gt;0")</f>
        <v>0</v>
      </c>
      <c r="R26" s="140">
        <f>SUMIFS(Resumo_Trocas!$C:$C,Resumo_Trocas!$A:$A,$C26,Resumo_Trocas!$F:$F,R$18,Resumo_Trocas!$C:$C,"&gt;0")</f>
        <v>0</v>
      </c>
      <c r="S26" s="141">
        <f>SUMIFS(Resumo_Trocas!$E:$E,Resumo_Trocas!$A:$A,$C26,Resumo_Trocas!$F:$F,R$18,Resumo_Trocas!$C:$C,"&gt;0")</f>
        <v>0</v>
      </c>
      <c r="T26" s="140">
        <f>SUMIFS(Resumo_Trocas!$C:$C,Resumo_Trocas!$A:$A,$C26,Resumo_Trocas!$F:$F,T$18,Resumo_Trocas!$C:$C,"&gt;0")</f>
        <v>0</v>
      </c>
      <c r="U26" s="141">
        <f>SUMIFS(Resumo_Trocas!$E:$E,Resumo_Trocas!$A:$A,$C26,Resumo_Trocas!$F:$F,T$18,Resumo_Trocas!$C:$C,"&gt;0")</f>
        <v>0</v>
      </c>
      <c r="V26" s="140">
        <f>SUMIFS(Resumo_Trocas!$C:$C,Resumo_Trocas!$A:$A,$C26,Resumo_Trocas!$F:$F,V$18,Resumo_Trocas!$C:$C,"&gt;0")</f>
        <v>0</v>
      </c>
      <c r="W26" s="141">
        <f>SUMIFS(Resumo_Trocas!$E:$E,Resumo_Trocas!$A:$A,$C26,Resumo_Trocas!$F:$F,V$18,Resumo_Trocas!$C:$C,"&gt;0")</f>
        <v>0</v>
      </c>
      <c r="X26" s="140">
        <f>SUMIFS(Resumo_Trocas!$C:$C,Resumo_Trocas!$A:$A,$C26,Resumo_Trocas!$F:$F,X$18,Resumo_Trocas!$C:$C,"&gt;0")</f>
        <v>0</v>
      </c>
      <c r="Y26" s="141">
        <f>SUMIFS(Resumo_Trocas!$E:$E,Resumo_Trocas!$A:$A,$C26,Resumo_Trocas!$F:$F,X$18,Resumo_Trocas!$C:$C,"&gt;0")</f>
        <v>0</v>
      </c>
      <c r="Z26" s="140">
        <f>SUMIFS(Resumo_Trocas!$C:$C,Resumo_Trocas!$A:$A,$C26,Resumo_Trocas!$F:$F,Z$18,Resumo_Trocas!$C:$C,"&gt;0")</f>
        <v>0</v>
      </c>
      <c r="AA26" s="141">
        <f>SUMIFS(Resumo_Trocas!$E:$E,Resumo_Trocas!$A:$A,$C26,Resumo_Trocas!$F:$F,Z$18,Resumo_Trocas!$C:$C,"&gt;0")</f>
        <v>0</v>
      </c>
      <c r="AB26" s="140">
        <f>SUMIFS(Resumo_Trocas!$C:$C,Resumo_Trocas!$A:$A,$C26,Resumo_Trocas!$F:$F,AB$18,Resumo_Trocas!$C:$C,"&gt;0")</f>
        <v>0</v>
      </c>
      <c r="AC26" s="141">
        <f>SUMIFS(Resumo_Trocas!$E:$E,Resumo_Trocas!$A:$A,$C26,Resumo_Trocas!$F:$F,AB$18,Resumo_Trocas!$C:$C,"&gt;0")</f>
        <v>0</v>
      </c>
      <c r="AD26" s="140">
        <f>SUMIFS(Resumo_Trocas!$C:$C,Resumo_Trocas!$A:$A,$C26,Resumo_Trocas!$F:$F,AD$18,Resumo_Trocas!$C:$C,"&gt;0")</f>
        <v>0</v>
      </c>
      <c r="AE26" s="141">
        <f>SUMIFS(Resumo_Trocas!$E:$E,Resumo_Trocas!$A:$A,$C26,Resumo_Trocas!$F:$F,AD$18,Resumo_Trocas!$C:$C,"&gt;0")</f>
        <v>0</v>
      </c>
      <c r="AF26" s="140">
        <f>SUMIFS(Resumo_Trocas!$C:$C,Resumo_Trocas!$A:$A,$C26,Resumo_Trocas!$F:$F,AF$18,Resumo_Trocas!$C:$C,"&gt;0")</f>
        <v>0</v>
      </c>
      <c r="AG26" s="141">
        <f>SUMIFS(Resumo_Trocas!$E:$E,Resumo_Trocas!$A:$A,$C26,Resumo_Trocas!$F:$F,AF$18,Resumo_Trocas!$C:$C,"&gt;0")</f>
        <v>0</v>
      </c>
      <c r="AH26" s="140">
        <f>SUMIFS(Resumo_Trocas!$C:$C,Resumo_Trocas!$A:$A,$C26,Resumo_Trocas!$F:$F,AH$18,Resumo_Trocas!$C:$C,"&gt;0")</f>
        <v>0</v>
      </c>
      <c r="AI26" s="141">
        <f>SUMIFS(Resumo_Trocas!$E:$E,Resumo_Trocas!$A:$A,$C26,Resumo_Trocas!$F:$F,AH$18,Resumo_Trocas!$C:$C,"&gt;0")</f>
        <v>0</v>
      </c>
      <c r="AJ26" s="140">
        <f>SUMIFS(Resumo_Trocas!$C:$C,Resumo_Trocas!$A:$A,$C26,Resumo_Trocas!$F:$F,AJ$18,Resumo_Trocas!$C:$C,"&gt;0")</f>
        <v>0</v>
      </c>
      <c r="AK26" s="141">
        <f>SUMIFS(Resumo_Trocas!$E:$E,Resumo_Trocas!$A:$A,$C26,Resumo_Trocas!$F:$F,AJ$18,Resumo_Trocas!$C:$C,"&gt;0")</f>
        <v>0</v>
      </c>
      <c r="AL26" s="140">
        <f>SUMIFS(Resumo_Trocas!$C:$C,Resumo_Trocas!$A:$A,$C26,Resumo_Trocas!$F:$F,AL$18,Resumo_Trocas!$C:$C,"&gt;0")</f>
        <v>0</v>
      </c>
      <c r="AM26" s="141">
        <f>SUMIFS(Resumo_Trocas!$E:$E,Resumo_Trocas!$A:$A,$C26,Resumo_Trocas!$F:$F,AL$18,Resumo_Trocas!$C:$C,"&gt;0")</f>
        <v>0</v>
      </c>
      <c r="AN26" s="140">
        <f>SUMIFS(Resumo_Trocas!$C:$C,Resumo_Trocas!$A:$A,$C26,Resumo_Trocas!$F:$F,AN$18,Resumo_Trocas!$C:$C,"&gt;0")</f>
        <v>0</v>
      </c>
      <c r="AO26" s="141">
        <f>SUMIFS(Resumo_Trocas!$E:$E,Resumo_Trocas!$A:$A,$C26,Resumo_Trocas!$F:$F,AN$18,Resumo_Trocas!$C:$C,"&gt;0")</f>
        <v>0</v>
      </c>
      <c r="AP26" s="75"/>
      <c r="AQ26" s="75"/>
    </row>
    <row r="27" spans="2:43" ht="15" customHeight="1" outlineLevel="1" thickBot="1" x14ac:dyDescent="0.4">
      <c r="B27" s="76"/>
      <c r="C27" s="150" t="s">
        <v>3412</v>
      </c>
      <c r="D27" s="140">
        <f>SUMIFS(Resumo_Trocas!$C:$C,Resumo_Trocas!$A:$A,$C27,Resumo_Trocas!$F:$F,D$18,Resumo_Trocas!$C:$C,"&gt;0")</f>
        <v>0</v>
      </c>
      <c r="E27" s="141">
        <f>SUMIFS(Resumo_Trocas!$E:$E,Resumo_Trocas!$A:$A,$C27,Resumo_Trocas!$F:$F,D$18,Resumo_Trocas!$C:$C,"&gt;0")</f>
        <v>0</v>
      </c>
      <c r="F27" s="140">
        <f>SUMIFS(Resumo_Trocas!$C:$C,Resumo_Trocas!$A:$A,$C27,Resumo_Trocas!$F:$F,F$18,Resumo_Trocas!$C:$C,"&gt;0")</f>
        <v>0</v>
      </c>
      <c r="G27" s="141">
        <f>SUMIFS(Resumo_Trocas!$E:$E,Resumo_Trocas!$A:$A,$C27,Resumo_Trocas!$F:$F,F$18,Resumo_Trocas!$C:$C,"&gt;0")</f>
        <v>0</v>
      </c>
      <c r="H27" s="140">
        <f>SUMIFS(Resumo_Trocas!$C:$C,Resumo_Trocas!$A:$A,$C27,Resumo_Trocas!$F:$F,H$18,Resumo_Trocas!$C:$C,"&gt;0")</f>
        <v>0</v>
      </c>
      <c r="I27" s="141">
        <f>SUMIFS(Resumo_Trocas!$E:$E,Resumo_Trocas!$A:$A,$C27,Resumo_Trocas!$F:$F,H$18,Resumo_Trocas!$C:$C,"&gt;0")</f>
        <v>0</v>
      </c>
      <c r="J27" s="140">
        <f>SUMIFS(Resumo_Trocas!$C:$C,Resumo_Trocas!$A:$A,$C27,Resumo_Trocas!$F:$F,J$18,Resumo_Trocas!$C:$C,"&gt;0")</f>
        <v>0</v>
      </c>
      <c r="K27" s="141">
        <f>SUMIFS(Resumo_Trocas!$E:$E,Resumo_Trocas!$A:$A,$C27,Resumo_Trocas!$F:$F,J$18,Resumo_Trocas!$C:$C,"&gt;0")</f>
        <v>0</v>
      </c>
      <c r="L27" s="140">
        <f>SUMIFS(Resumo_Trocas!$C:$C,Resumo_Trocas!$A:$A,$C27,Resumo_Trocas!$F:$F,L$18,Resumo_Trocas!$C:$C,"&gt;0")</f>
        <v>0</v>
      </c>
      <c r="M27" s="141">
        <f>SUMIFS(Resumo_Trocas!$E:$E,Resumo_Trocas!$A:$A,$C27,Resumo_Trocas!$F:$F,L$18,Resumo_Trocas!$C:$C,"&gt;0")</f>
        <v>0</v>
      </c>
      <c r="N27" s="140">
        <f>SUMIFS(Resumo_Trocas!$C:$C,Resumo_Trocas!$A:$A,$C27,Resumo_Trocas!$F:$F,N$18,Resumo_Trocas!$C:$C,"&gt;0")</f>
        <v>0</v>
      </c>
      <c r="O27" s="141">
        <f>SUMIFS(Resumo_Trocas!$E:$E,Resumo_Trocas!$A:$A,$C27,Resumo_Trocas!$F:$F,N$18,Resumo_Trocas!$C:$C,"&gt;0")</f>
        <v>0</v>
      </c>
      <c r="P27" s="140">
        <f>SUMIFS(Resumo_Trocas!$C:$C,Resumo_Trocas!$A:$A,$C27,Resumo_Trocas!$F:$F,P$18,Resumo_Trocas!$C:$C,"&gt;0")</f>
        <v>0</v>
      </c>
      <c r="Q27" s="141">
        <f>SUMIFS(Resumo_Trocas!$E:$E,Resumo_Trocas!$A:$A,$C27,Resumo_Trocas!$F:$F,P$18,Resumo_Trocas!$C:$C,"&gt;0")</f>
        <v>0</v>
      </c>
      <c r="R27" s="140">
        <f>SUMIFS(Resumo_Trocas!$C:$C,Resumo_Trocas!$A:$A,$C27,Resumo_Trocas!$F:$F,R$18,Resumo_Trocas!$C:$C,"&gt;0")</f>
        <v>0</v>
      </c>
      <c r="S27" s="141">
        <f>SUMIFS(Resumo_Trocas!$E:$E,Resumo_Trocas!$A:$A,$C27,Resumo_Trocas!$F:$F,R$18,Resumo_Trocas!$C:$C,"&gt;0")</f>
        <v>0</v>
      </c>
      <c r="T27" s="140">
        <f>SUMIFS(Resumo_Trocas!$C:$C,Resumo_Trocas!$A:$A,$C27,Resumo_Trocas!$F:$F,T$18,Resumo_Trocas!$C:$C,"&gt;0")</f>
        <v>0</v>
      </c>
      <c r="U27" s="141">
        <f>SUMIFS(Resumo_Trocas!$E:$E,Resumo_Trocas!$A:$A,$C27,Resumo_Trocas!$F:$F,T$18,Resumo_Trocas!$C:$C,"&gt;0")</f>
        <v>0</v>
      </c>
      <c r="V27" s="140">
        <f>SUMIFS(Resumo_Trocas!$C:$C,Resumo_Trocas!$A:$A,$C27,Resumo_Trocas!$F:$F,V$18,Resumo_Trocas!$C:$C,"&gt;0")</f>
        <v>0</v>
      </c>
      <c r="W27" s="141">
        <f>SUMIFS(Resumo_Trocas!$E:$E,Resumo_Trocas!$A:$A,$C27,Resumo_Trocas!$F:$F,V$18,Resumo_Trocas!$C:$C,"&gt;0")</f>
        <v>0</v>
      </c>
      <c r="X27" s="140">
        <f>SUMIFS(Resumo_Trocas!$C:$C,Resumo_Trocas!$A:$A,$C27,Resumo_Trocas!$F:$F,X$18,Resumo_Trocas!$C:$C,"&gt;0")</f>
        <v>0</v>
      </c>
      <c r="Y27" s="141">
        <f>SUMIFS(Resumo_Trocas!$E:$E,Resumo_Trocas!$A:$A,$C27,Resumo_Trocas!$F:$F,X$18,Resumo_Trocas!$C:$C,"&gt;0")</f>
        <v>0</v>
      </c>
      <c r="Z27" s="140">
        <f>SUMIFS(Resumo_Trocas!$C:$C,Resumo_Trocas!$A:$A,$C27,Resumo_Trocas!$F:$F,Z$18,Resumo_Trocas!$C:$C,"&gt;0")</f>
        <v>0</v>
      </c>
      <c r="AA27" s="141">
        <f>SUMIFS(Resumo_Trocas!$E:$E,Resumo_Trocas!$A:$A,$C27,Resumo_Trocas!$F:$F,Z$18,Resumo_Trocas!$C:$C,"&gt;0")</f>
        <v>0</v>
      </c>
      <c r="AB27" s="140">
        <f>SUMIFS(Resumo_Trocas!$C:$C,Resumo_Trocas!$A:$A,$C27,Resumo_Trocas!$F:$F,AB$18,Resumo_Trocas!$C:$C,"&gt;0")</f>
        <v>0</v>
      </c>
      <c r="AC27" s="141">
        <f>SUMIFS(Resumo_Trocas!$E:$E,Resumo_Trocas!$A:$A,$C27,Resumo_Trocas!$F:$F,AB$18,Resumo_Trocas!$C:$C,"&gt;0")</f>
        <v>0</v>
      </c>
      <c r="AD27" s="140">
        <f>SUMIFS(Resumo_Trocas!$C:$C,Resumo_Trocas!$A:$A,$C27,Resumo_Trocas!$F:$F,AD$18,Resumo_Trocas!$C:$C,"&gt;0")</f>
        <v>0</v>
      </c>
      <c r="AE27" s="141">
        <f>SUMIFS(Resumo_Trocas!$E:$E,Resumo_Trocas!$A:$A,$C27,Resumo_Trocas!$F:$F,AD$18,Resumo_Trocas!$C:$C,"&gt;0")</f>
        <v>0</v>
      </c>
      <c r="AF27" s="140">
        <f>SUMIFS(Resumo_Trocas!$C:$C,Resumo_Trocas!$A:$A,$C27,Resumo_Trocas!$F:$F,AF$18,Resumo_Trocas!$C:$C,"&gt;0")</f>
        <v>0</v>
      </c>
      <c r="AG27" s="141">
        <f>SUMIFS(Resumo_Trocas!$E:$E,Resumo_Trocas!$A:$A,$C27,Resumo_Trocas!$F:$F,AF$18,Resumo_Trocas!$C:$C,"&gt;0")</f>
        <v>0</v>
      </c>
      <c r="AH27" s="140">
        <f>SUMIFS(Resumo_Trocas!$C:$C,Resumo_Trocas!$A:$A,$C27,Resumo_Trocas!$F:$F,AH$18,Resumo_Trocas!$C:$C,"&gt;0")</f>
        <v>0</v>
      </c>
      <c r="AI27" s="141">
        <f>SUMIFS(Resumo_Trocas!$E:$E,Resumo_Trocas!$A:$A,$C27,Resumo_Trocas!$F:$F,AH$18,Resumo_Trocas!$C:$C,"&gt;0")</f>
        <v>0</v>
      </c>
      <c r="AJ27" s="140">
        <f>SUMIFS(Resumo_Trocas!$C:$C,Resumo_Trocas!$A:$A,$C27,Resumo_Trocas!$F:$F,AJ$18,Resumo_Trocas!$C:$C,"&gt;0")</f>
        <v>0</v>
      </c>
      <c r="AK27" s="141">
        <f>SUMIFS(Resumo_Trocas!$E:$E,Resumo_Trocas!$A:$A,$C27,Resumo_Trocas!$F:$F,AJ$18,Resumo_Trocas!$C:$C,"&gt;0")</f>
        <v>0</v>
      </c>
      <c r="AL27" s="140">
        <f>SUMIFS(Resumo_Trocas!$C:$C,Resumo_Trocas!$A:$A,$C27,Resumo_Trocas!$F:$F,AL$18,Resumo_Trocas!$C:$C,"&gt;0")</f>
        <v>0</v>
      </c>
      <c r="AM27" s="141">
        <f>SUMIFS(Resumo_Trocas!$E:$E,Resumo_Trocas!$A:$A,$C27,Resumo_Trocas!$F:$F,AL$18,Resumo_Trocas!$C:$C,"&gt;0")</f>
        <v>0</v>
      </c>
      <c r="AN27" s="140">
        <f>SUMIFS(Resumo_Trocas!$C:$C,Resumo_Trocas!$A:$A,$C27,Resumo_Trocas!$F:$F,AN$18,Resumo_Trocas!$C:$C,"&gt;0")</f>
        <v>0</v>
      </c>
      <c r="AO27" s="141">
        <f>SUMIFS(Resumo_Trocas!$E:$E,Resumo_Trocas!$A:$A,$C27,Resumo_Trocas!$F:$F,AN$18,Resumo_Trocas!$C:$C,"&gt;0")</f>
        <v>0</v>
      </c>
      <c r="AP27" s="75"/>
      <c r="AQ27" s="75"/>
    </row>
    <row r="28" spans="2:43" ht="15" customHeight="1" outlineLevel="1" thickBot="1" x14ac:dyDescent="0.4">
      <c r="B28" s="76"/>
      <c r="C28" s="150" t="s">
        <v>3413</v>
      </c>
      <c r="D28" s="140">
        <f>SUMIFS(Resumo_Trocas!$C:$C,Resumo_Trocas!$A:$A,$C28,Resumo_Trocas!$F:$F,D$18,Resumo_Trocas!$C:$C,"&gt;0")</f>
        <v>0</v>
      </c>
      <c r="E28" s="141">
        <f>SUMIFS(Resumo_Trocas!$E:$E,Resumo_Trocas!$A:$A,$C28,Resumo_Trocas!$F:$F,D$18,Resumo_Trocas!$C:$C,"&gt;0")</f>
        <v>0</v>
      </c>
      <c r="F28" s="140">
        <f>SUMIFS(Resumo_Trocas!$C:$C,Resumo_Trocas!$A:$A,$C28,Resumo_Trocas!$F:$F,F$18,Resumo_Trocas!$C:$C,"&gt;0")</f>
        <v>0</v>
      </c>
      <c r="G28" s="141">
        <f>SUMIFS(Resumo_Trocas!$E:$E,Resumo_Trocas!$A:$A,$C28,Resumo_Trocas!$F:$F,F$18,Resumo_Trocas!$C:$C,"&gt;0")</f>
        <v>0</v>
      </c>
      <c r="H28" s="140">
        <f>SUMIFS(Resumo_Trocas!$C:$C,Resumo_Trocas!$A:$A,$C28,Resumo_Trocas!$F:$F,H$18,Resumo_Trocas!$C:$C,"&gt;0")</f>
        <v>0</v>
      </c>
      <c r="I28" s="141">
        <f>SUMIFS(Resumo_Trocas!$E:$E,Resumo_Trocas!$A:$A,$C28,Resumo_Trocas!$F:$F,H$18,Resumo_Trocas!$C:$C,"&gt;0")</f>
        <v>0</v>
      </c>
      <c r="J28" s="140">
        <f>SUMIFS(Resumo_Trocas!$C:$C,Resumo_Trocas!$A:$A,$C28,Resumo_Trocas!$F:$F,J$18,Resumo_Trocas!$C:$C,"&gt;0")</f>
        <v>0</v>
      </c>
      <c r="K28" s="141">
        <f>SUMIFS(Resumo_Trocas!$E:$E,Resumo_Trocas!$A:$A,$C28,Resumo_Trocas!$F:$F,J$18,Resumo_Trocas!$C:$C,"&gt;0")</f>
        <v>0</v>
      </c>
      <c r="L28" s="140">
        <f>SUMIFS(Resumo_Trocas!$C:$C,Resumo_Trocas!$A:$A,$C28,Resumo_Trocas!$F:$F,L$18,Resumo_Trocas!$C:$C,"&gt;0")</f>
        <v>0</v>
      </c>
      <c r="M28" s="141">
        <f>SUMIFS(Resumo_Trocas!$E:$E,Resumo_Trocas!$A:$A,$C28,Resumo_Trocas!$F:$F,L$18,Resumo_Trocas!$C:$C,"&gt;0")</f>
        <v>0</v>
      </c>
      <c r="N28" s="140">
        <f>SUMIFS(Resumo_Trocas!$C:$C,Resumo_Trocas!$A:$A,$C28,Resumo_Trocas!$F:$F,N$18,Resumo_Trocas!$C:$C,"&gt;0")</f>
        <v>0</v>
      </c>
      <c r="O28" s="141">
        <f>SUMIFS(Resumo_Trocas!$E:$E,Resumo_Trocas!$A:$A,$C28,Resumo_Trocas!$F:$F,N$18,Resumo_Trocas!$C:$C,"&gt;0")</f>
        <v>0</v>
      </c>
      <c r="P28" s="140">
        <f>SUMIFS(Resumo_Trocas!$C:$C,Resumo_Trocas!$A:$A,$C28,Resumo_Trocas!$F:$F,P$18,Resumo_Trocas!$C:$C,"&gt;0")</f>
        <v>0</v>
      </c>
      <c r="Q28" s="141">
        <f>SUMIFS(Resumo_Trocas!$E:$E,Resumo_Trocas!$A:$A,$C28,Resumo_Trocas!$F:$F,P$18,Resumo_Trocas!$C:$C,"&gt;0")</f>
        <v>0</v>
      </c>
      <c r="R28" s="140">
        <f>SUMIFS(Resumo_Trocas!$C:$C,Resumo_Trocas!$A:$A,$C28,Resumo_Trocas!$F:$F,R$18,Resumo_Trocas!$C:$C,"&gt;0")</f>
        <v>0</v>
      </c>
      <c r="S28" s="141">
        <f>SUMIFS(Resumo_Trocas!$E:$E,Resumo_Trocas!$A:$A,$C28,Resumo_Trocas!$F:$F,R$18,Resumo_Trocas!$C:$C,"&gt;0")</f>
        <v>0</v>
      </c>
      <c r="T28" s="140">
        <f>SUMIFS(Resumo_Trocas!$C:$C,Resumo_Trocas!$A:$A,$C28,Resumo_Trocas!$F:$F,T$18,Resumo_Trocas!$C:$C,"&gt;0")</f>
        <v>0</v>
      </c>
      <c r="U28" s="141">
        <f>SUMIFS(Resumo_Trocas!$E:$E,Resumo_Trocas!$A:$A,$C28,Resumo_Trocas!$F:$F,T$18,Resumo_Trocas!$C:$C,"&gt;0")</f>
        <v>0</v>
      </c>
      <c r="V28" s="140">
        <f>SUMIFS(Resumo_Trocas!$C:$C,Resumo_Trocas!$A:$A,$C28,Resumo_Trocas!$F:$F,V$18,Resumo_Trocas!$C:$C,"&gt;0")</f>
        <v>0</v>
      </c>
      <c r="W28" s="141">
        <f>SUMIFS(Resumo_Trocas!$E:$E,Resumo_Trocas!$A:$A,$C28,Resumo_Trocas!$F:$F,V$18,Resumo_Trocas!$C:$C,"&gt;0")</f>
        <v>0</v>
      </c>
      <c r="X28" s="140">
        <f>SUMIFS(Resumo_Trocas!$C:$C,Resumo_Trocas!$A:$A,$C28,Resumo_Trocas!$F:$F,X$18,Resumo_Trocas!$C:$C,"&gt;0")</f>
        <v>0</v>
      </c>
      <c r="Y28" s="141">
        <f>SUMIFS(Resumo_Trocas!$E:$E,Resumo_Trocas!$A:$A,$C28,Resumo_Trocas!$F:$F,X$18,Resumo_Trocas!$C:$C,"&gt;0")</f>
        <v>0</v>
      </c>
      <c r="Z28" s="140">
        <f>SUMIFS(Resumo_Trocas!$C:$C,Resumo_Trocas!$A:$A,$C28,Resumo_Trocas!$F:$F,Z$18,Resumo_Trocas!$C:$C,"&gt;0")</f>
        <v>0</v>
      </c>
      <c r="AA28" s="141">
        <f>SUMIFS(Resumo_Trocas!$E:$E,Resumo_Trocas!$A:$A,$C28,Resumo_Trocas!$F:$F,Z$18,Resumo_Trocas!$C:$C,"&gt;0")</f>
        <v>0</v>
      </c>
      <c r="AB28" s="140">
        <f>SUMIFS(Resumo_Trocas!$C:$C,Resumo_Trocas!$A:$A,$C28,Resumo_Trocas!$F:$F,AB$18,Resumo_Trocas!$C:$C,"&gt;0")</f>
        <v>0</v>
      </c>
      <c r="AC28" s="141">
        <f>SUMIFS(Resumo_Trocas!$E:$E,Resumo_Trocas!$A:$A,$C28,Resumo_Trocas!$F:$F,AB$18,Resumo_Trocas!$C:$C,"&gt;0")</f>
        <v>0</v>
      </c>
      <c r="AD28" s="140">
        <f>SUMIFS(Resumo_Trocas!$C:$C,Resumo_Trocas!$A:$A,$C28,Resumo_Trocas!$F:$F,AD$18,Resumo_Trocas!$C:$C,"&gt;0")</f>
        <v>0</v>
      </c>
      <c r="AE28" s="141">
        <f>SUMIFS(Resumo_Trocas!$E:$E,Resumo_Trocas!$A:$A,$C28,Resumo_Trocas!$F:$F,AD$18,Resumo_Trocas!$C:$C,"&gt;0")</f>
        <v>0</v>
      </c>
      <c r="AF28" s="140">
        <f>SUMIFS(Resumo_Trocas!$C:$C,Resumo_Trocas!$A:$A,$C28,Resumo_Trocas!$F:$F,AF$18,Resumo_Trocas!$C:$C,"&gt;0")</f>
        <v>0</v>
      </c>
      <c r="AG28" s="141">
        <f>SUMIFS(Resumo_Trocas!$E:$E,Resumo_Trocas!$A:$A,$C28,Resumo_Trocas!$F:$F,AF$18,Resumo_Trocas!$C:$C,"&gt;0")</f>
        <v>0</v>
      </c>
      <c r="AH28" s="140">
        <f>SUMIFS(Resumo_Trocas!$C:$C,Resumo_Trocas!$A:$A,$C28,Resumo_Trocas!$F:$F,AH$18,Resumo_Trocas!$C:$C,"&gt;0")</f>
        <v>0</v>
      </c>
      <c r="AI28" s="141">
        <f>SUMIFS(Resumo_Trocas!$E:$E,Resumo_Trocas!$A:$A,$C28,Resumo_Trocas!$F:$F,AH$18,Resumo_Trocas!$C:$C,"&gt;0")</f>
        <v>0</v>
      </c>
      <c r="AJ28" s="140">
        <f>SUMIFS(Resumo_Trocas!$C:$C,Resumo_Trocas!$A:$A,$C28,Resumo_Trocas!$F:$F,AJ$18,Resumo_Trocas!$C:$C,"&gt;0")</f>
        <v>0</v>
      </c>
      <c r="AK28" s="141">
        <f>SUMIFS(Resumo_Trocas!$E:$E,Resumo_Trocas!$A:$A,$C28,Resumo_Trocas!$F:$F,AJ$18,Resumo_Trocas!$C:$C,"&gt;0")</f>
        <v>0</v>
      </c>
      <c r="AL28" s="140">
        <f>SUMIFS(Resumo_Trocas!$C:$C,Resumo_Trocas!$A:$A,$C28,Resumo_Trocas!$F:$F,AL$18,Resumo_Trocas!$C:$C,"&gt;0")</f>
        <v>0</v>
      </c>
      <c r="AM28" s="141">
        <f>SUMIFS(Resumo_Trocas!$E:$E,Resumo_Trocas!$A:$A,$C28,Resumo_Trocas!$F:$F,AL$18,Resumo_Trocas!$C:$C,"&gt;0")</f>
        <v>0</v>
      </c>
      <c r="AN28" s="140">
        <f>SUMIFS(Resumo_Trocas!$C:$C,Resumo_Trocas!$A:$A,$C28,Resumo_Trocas!$F:$F,AN$18,Resumo_Trocas!$C:$C,"&gt;0")</f>
        <v>0</v>
      </c>
      <c r="AO28" s="141">
        <f>SUMIFS(Resumo_Trocas!$E:$E,Resumo_Trocas!$A:$A,$C28,Resumo_Trocas!$F:$F,AN$18,Resumo_Trocas!$C:$C,"&gt;0")</f>
        <v>0</v>
      </c>
      <c r="AP28" s="75"/>
      <c r="AQ28" s="75"/>
    </row>
    <row r="29" spans="2:43" ht="15" customHeight="1" outlineLevel="1" thickBot="1" x14ac:dyDescent="0.4">
      <c r="B29" s="76"/>
      <c r="C29" s="150" t="s">
        <v>3414</v>
      </c>
      <c r="D29" s="140">
        <f>SUMIFS(Resumo_Trocas!$C:$C,Resumo_Trocas!$A:$A,$C29,Resumo_Trocas!$F:$F,D$18,Resumo_Trocas!$C:$C,"&gt;0")</f>
        <v>0</v>
      </c>
      <c r="E29" s="141">
        <f>SUMIFS(Resumo_Trocas!$E:$E,Resumo_Trocas!$A:$A,$C29,Resumo_Trocas!$F:$F,D$18,Resumo_Trocas!$C:$C,"&gt;0")</f>
        <v>0</v>
      </c>
      <c r="F29" s="140">
        <f>SUMIFS(Resumo_Trocas!$C:$C,Resumo_Trocas!$A:$A,$C29,Resumo_Trocas!$F:$F,F$18,Resumo_Trocas!$C:$C,"&gt;0")</f>
        <v>0</v>
      </c>
      <c r="G29" s="141">
        <f>SUMIFS(Resumo_Trocas!$E:$E,Resumo_Trocas!$A:$A,$C29,Resumo_Trocas!$F:$F,F$18,Resumo_Trocas!$C:$C,"&gt;0")</f>
        <v>0</v>
      </c>
      <c r="H29" s="140">
        <f>SUMIFS(Resumo_Trocas!$C:$C,Resumo_Trocas!$A:$A,$C29,Resumo_Trocas!$F:$F,H$18,Resumo_Trocas!$C:$C,"&gt;0")</f>
        <v>0</v>
      </c>
      <c r="I29" s="141">
        <f>SUMIFS(Resumo_Trocas!$E:$E,Resumo_Trocas!$A:$A,$C29,Resumo_Trocas!$F:$F,H$18,Resumo_Trocas!$C:$C,"&gt;0")</f>
        <v>0</v>
      </c>
      <c r="J29" s="140">
        <f>SUMIFS(Resumo_Trocas!$C:$C,Resumo_Trocas!$A:$A,$C29,Resumo_Trocas!$F:$F,J$18,Resumo_Trocas!$C:$C,"&gt;0")</f>
        <v>0</v>
      </c>
      <c r="K29" s="141">
        <f>SUMIFS(Resumo_Trocas!$E:$E,Resumo_Trocas!$A:$A,$C29,Resumo_Trocas!$F:$F,J$18,Resumo_Trocas!$C:$C,"&gt;0")</f>
        <v>0</v>
      </c>
      <c r="L29" s="140">
        <f>SUMIFS(Resumo_Trocas!$C:$C,Resumo_Trocas!$A:$A,$C29,Resumo_Trocas!$F:$F,L$18,Resumo_Trocas!$C:$C,"&gt;0")</f>
        <v>0</v>
      </c>
      <c r="M29" s="141">
        <f>SUMIFS(Resumo_Trocas!$E:$E,Resumo_Trocas!$A:$A,$C29,Resumo_Trocas!$F:$F,L$18,Resumo_Trocas!$C:$C,"&gt;0")</f>
        <v>0</v>
      </c>
      <c r="N29" s="140">
        <f>SUMIFS(Resumo_Trocas!$C:$C,Resumo_Trocas!$A:$A,$C29,Resumo_Trocas!$F:$F,N$18,Resumo_Trocas!$C:$C,"&gt;0")</f>
        <v>0</v>
      </c>
      <c r="O29" s="141">
        <f>SUMIFS(Resumo_Trocas!$E:$E,Resumo_Trocas!$A:$A,$C29,Resumo_Trocas!$F:$F,N$18,Resumo_Trocas!$C:$C,"&gt;0")</f>
        <v>0</v>
      </c>
      <c r="P29" s="140">
        <f>SUMIFS(Resumo_Trocas!$C:$C,Resumo_Trocas!$A:$A,$C29,Resumo_Trocas!$F:$F,P$18,Resumo_Trocas!$C:$C,"&gt;0")</f>
        <v>0</v>
      </c>
      <c r="Q29" s="141">
        <f>SUMIFS(Resumo_Trocas!$E:$E,Resumo_Trocas!$A:$A,$C29,Resumo_Trocas!$F:$F,P$18,Resumo_Trocas!$C:$C,"&gt;0")</f>
        <v>0</v>
      </c>
      <c r="R29" s="140">
        <f>SUMIFS(Resumo_Trocas!$C:$C,Resumo_Trocas!$A:$A,$C29,Resumo_Trocas!$F:$F,R$18,Resumo_Trocas!$C:$C,"&gt;0")</f>
        <v>0</v>
      </c>
      <c r="S29" s="141">
        <f>SUMIFS(Resumo_Trocas!$E:$E,Resumo_Trocas!$A:$A,$C29,Resumo_Trocas!$F:$F,R$18,Resumo_Trocas!$C:$C,"&gt;0")</f>
        <v>0</v>
      </c>
      <c r="T29" s="140">
        <f>SUMIFS(Resumo_Trocas!$C:$C,Resumo_Trocas!$A:$A,$C29,Resumo_Trocas!$F:$F,T$18,Resumo_Trocas!$C:$C,"&gt;0")</f>
        <v>0</v>
      </c>
      <c r="U29" s="141">
        <f>SUMIFS(Resumo_Trocas!$E:$E,Resumo_Trocas!$A:$A,$C29,Resumo_Trocas!$F:$F,T$18,Resumo_Trocas!$C:$C,"&gt;0")</f>
        <v>0</v>
      </c>
      <c r="V29" s="140">
        <f>SUMIFS(Resumo_Trocas!$C:$C,Resumo_Trocas!$A:$A,$C29,Resumo_Trocas!$F:$F,V$18,Resumo_Trocas!$C:$C,"&gt;0")</f>
        <v>0</v>
      </c>
      <c r="W29" s="141">
        <f>SUMIFS(Resumo_Trocas!$E:$E,Resumo_Trocas!$A:$A,$C29,Resumo_Trocas!$F:$F,V$18,Resumo_Trocas!$C:$C,"&gt;0")</f>
        <v>0</v>
      </c>
      <c r="X29" s="140">
        <f>SUMIFS(Resumo_Trocas!$C:$C,Resumo_Trocas!$A:$A,$C29,Resumo_Trocas!$F:$F,X$18,Resumo_Trocas!$C:$C,"&gt;0")</f>
        <v>0</v>
      </c>
      <c r="Y29" s="141">
        <f>SUMIFS(Resumo_Trocas!$E:$E,Resumo_Trocas!$A:$A,$C29,Resumo_Trocas!$F:$F,X$18,Resumo_Trocas!$C:$C,"&gt;0")</f>
        <v>0</v>
      </c>
      <c r="Z29" s="140">
        <f>SUMIFS(Resumo_Trocas!$C:$C,Resumo_Trocas!$A:$A,$C29,Resumo_Trocas!$F:$F,Z$18,Resumo_Trocas!$C:$C,"&gt;0")</f>
        <v>0</v>
      </c>
      <c r="AA29" s="141">
        <f>SUMIFS(Resumo_Trocas!$E:$E,Resumo_Trocas!$A:$A,$C29,Resumo_Trocas!$F:$F,Z$18,Resumo_Trocas!$C:$C,"&gt;0")</f>
        <v>0</v>
      </c>
      <c r="AB29" s="140">
        <f>SUMIFS(Resumo_Trocas!$C:$C,Resumo_Trocas!$A:$A,$C29,Resumo_Trocas!$F:$F,AB$18,Resumo_Trocas!$C:$C,"&gt;0")</f>
        <v>0</v>
      </c>
      <c r="AC29" s="141">
        <f>SUMIFS(Resumo_Trocas!$E:$E,Resumo_Trocas!$A:$A,$C29,Resumo_Trocas!$F:$F,AB$18,Resumo_Trocas!$C:$C,"&gt;0")</f>
        <v>0</v>
      </c>
      <c r="AD29" s="140">
        <f>SUMIFS(Resumo_Trocas!$C:$C,Resumo_Trocas!$A:$A,$C29,Resumo_Trocas!$F:$F,AD$18,Resumo_Trocas!$C:$C,"&gt;0")</f>
        <v>0</v>
      </c>
      <c r="AE29" s="141">
        <f>SUMIFS(Resumo_Trocas!$E:$E,Resumo_Trocas!$A:$A,$C29,Resumo_Trocas!$F:$F,AD$18,Resumo_Trocas!$C:$C,"&gt;0")</f>
        <v>0</v>
      </c>
      <c r="AF29" s="140">
        <f>SUMIFS(Resumo_Trocas!$C:$C,Resumo_Trocas!$A:$A,$C29,Resumo_Trocas!$F:$F,AF$18,Resumo_Trocas!$C:$C,"&gt;0")</f>
        <v>0</v>
      </c>
      <c r="AG29" s="141">
        <f>SUMIFS(Resumo_Trocas!$E:$E,Resumo_Trocas!$A:$A,$C29,Resumo_Trocas!$F:$F,AF$18,Resumo_Trocas!$C:$C,"&gt;0")</f>
        <v>0</v>
      </c>
      <c r="AH29" s="140">
        <f>SUMIFS(Resumo_Trocas!$C:$C,Resumo_Trocas!$A:$A,$C29,Resumo_Trocas!$F:$F,AH$18,Resumo_Trocas!$C:$C,"&gt;0")</f>
        <v>0</v>
      </c>
      <c r="AI29" s="141">
        <f>SUMIFS(Resumo_Trocas!$E:$E,Resumo_Trocas!$A:$A,$C29,Resumo_Trocas!$F:$F,AH$18,Resumo_Trocas!$C:$C,"&gt;0")</f>
        <v>0</v>
      </c>
      <c r="AJ29" s="140">
        <f>SUMIFS(Resumo_Trocas!$C:$C,Resumo_Trocas!$A:$A,$C29,Resumo_Trocas!$F:$F,AJ$18,Resumo_Trocas!$C:$C,"&gt;0")</f>
        <v>0</v>
      </c>
      <c r="AK29" s="141">
        <f>SUMIFS(Resumo_Trocas!$E:$E,Resumo_Trocas!$A:$A,$C29,Resumo_Trocas!$F:$F,AJ$18,Resumo_Trocas!$C:$C,"&gt;0")</f>
        <v>0</v>
      </c>
      <c r="AL29" s="140">
        <f>SUMIFS(Resumo_Trocas!$C:$C,Resumo_Trocas!$A:$A,$C29,Resumo_Trocas!$F:$F,AL$18,Resumo_Trocas!$C:$C,"&gt;0")</f>
        <v>0</v>
      </c>
      <c r="AM29" s="141">
        <f>SUMIFS(Resumo_Trocas!$E:$E,Resumo_Trocas!$A:$A,$C29,Resumo_Trocas!$F:$F,AL$18,Resumo_Trocas!$C:$C,"&gt;0")</f>
        <v>0</v>
      </c>
      <c r="AN29" s="140">
        <f>SUMIFS(Resumo_Trocas!$C:$C,Resumo_Trocas!$A:$A,$C29,Resumo_Trocas!$F:$F,AN$18,Resumo_Trocas!$C:$C,"&gt;0")</f>
        <v>0</v>
      </c>
      <c r="AO29" s="141">
        <f>SUMIFS(Resumo_Trocas!$E:$E,Resumo_Trocas!$A:$A,$C29,Resumo_Trocas!$F:$F,AN$18,Resumo_Trocas!$C:$C,"&gt;0")</f>
        <v>0</v>
      </c>
      <c r="AP29" s="75"/>
      <c r="AQ29" s="75"/>
    </row>
    <row r="30" spans="2:43" ht="15" customHeight="1" outlineLevel="1" thickBot="1" x14ac:dyDescent="0.4">
      <c r="B30" s="76"/>
      <c r="C30" s="150" t="s">
        <v>3415</v>
      </c>
      <c r="D30" s="140">
        <f>SUMIFS(Resumo_Trocas!$C:$C,Resumo_Trocas!$A:$A,$C30,Resumo_Trocas!$F:$F,D$18,Resumo_Trocas!$C:$C,"&gt;0")</f>
        <v>0</v>
      </c>
      <c r="E30" s="141">
        <f>SUMIFS(Resumo_Trocas!$E:$E,Resumo_Trocas!$A:$A,$C30,Resumo_Trocas!$F:$F,D$18,Resumo_Trocas!$C:$C,"&gt;0")</f>
        <v>0</v>
      </c>
      <c r="F30" s="140">
        <f>SUMIFS(Resumo_Trocas!$C:$C,Resumo_Trocas!$A:$A,$C30,Resumo_Trocas!$F:$F,F$18,Resumo_Trocas!$C:$C,"&gt;0")</f>
        <v>0</v>
      </c>
      <c r="G30" s="141">
        <f>SUMIFS(Resumo_Trocas!$E:$E,Resumo_Trocas!$A:$A,$C30,Resumo_Trocas!$F:$F,F$18,Resumo_Trocas!$C:$C,"&gt;0")</f>
        <v>0</v>
      </c>
      <c r="H30" s="140">
        <f>SUMIFS(Resumo_Trocas!$C:$C,Resumo_Trocas!$A:$A,$C30,Resumo_Trocas!$F:$F,H$18,Resumo_Trocas!$C:$C,"&gt;0")</f>
        <v>0</v>
      </c>
      <c r="I30" s="141">
        <f>SUMIFS(Resumo_Trocas!$E:$E,Resumo_Trocas!$A:$A,$C30,Resumo_Trocas!$F:$F,H$18,Resumo_Trocas!$C:$C,"&gt;0")</f>
        <v>0</v>
      </c>
      <c r="J30" s="140">
        <f>SUMIFS(Resumo_Trocas!$C:$C,Resumo_Trocas!$A:$A,$C30,Resumo_Trocas!$F:$F,J$18,Resumo_Trocas!$C:$C,"&gt;0")</f>
        <v>0</v>
      </c>
      <c r="K30" s="141">
        <f>SUMIFS(Resumo_Trocas!$E:$E,Resumo_Trocas!$A:$A,$C30,Resumo_Trocas!$F:$F,J$18,Resumo_Trocas!$C:$C,"&gt;0")</f>
        <v>0</v>
      </c>
      <c r="L30" s="140">
        <f>SUMIFS(Resumo_Trocas!$C:$C,Resumo_Trocas!$A:$A,$C30,Resumo_Trocas!$F:$F,L$18,Resumo_Trocas!$C:$C,"&gt;0")</f>
        <v>0</v>
      </c>
      <c r="M30" s="141">
        <f>SUMIFS(Resumo_Trocas!$E:$E,Resumo_Trocas!$A:$A,$C30,Resumo_Trocas!$F:$F,L$18,Resumo_Trocas!$C:$C,"&gt;0")</f>
        <v>0</v>
      </c>
      <c r="N30" s="140">
        <f>SUMIFS(Resumo_Trocas!$C:$C,Resumo_Trocas!$A:$A,$C30,Resumo_Trocas!$F:$F,N$18,Resumo_Trocas!$C:$C,"&gt;0")</f>
        <v>0</v>
      </c>
      <c r="O30" s="141">
        <f>SUMIFS(Resumo_Trocas!$E:$E,Resumo_Trocas!$A:$A,$C30,Resumo_Trocas!$F:$F,N$18,Resumo_Trocas!$C:$C,"&gt;0")</f>
        <v>0</v>
      </c>
      <c r="P30" s="140">
        <f>SUMIFS(Resumo_Trocas!$C:$C,Resumo_Trocas!$A:$A,$C30,Resumo_Trocas!$F:$F,P$18,Resumo_Trocas!$C:$C,"&gt;0")</f>
        <v>0</v>
      </c>
      <c r="Q30" s="141">
        <f>SUMIFS(Resumo_Trocas!$E:$E,Resumo_Trocas!$A:$A,$C30,Resumo_Trocas!$F:$F,P$18,Resumo_Trocas!$C:$C,"&gt;0")</f>
        <v>0</v>
      </c>
      <c r="R30" s="140">
        <f>SUMIFS(Resumo_Trocas!$C:$C,Resumo_Trocas!$A:$A,$C30,Resumo_Trocas!$F:$F,R$18,Resumo_Trocas!$C:$C,"&gt;0")</f>
        <v>0</v>
      </c>
      <c r="S30" s="141">
        <f>SUMIFS(Resumo_Trocas!$E:$E,Resumo_Trocas!$A:$A,$C30,Resumo_Trocas!$F:$F,R$18,Resumo_Trocas!$C:$C,"&gt;0")</f>
        <v>0</v>
      </c>
      <c r="T30" s="140">
        <f>SUMIFS(Resumo_Trocas!$C:$C,Resumo_Trocas!$A:$A,$C30,Resumo_Trocas!$F:$F,T$18,Resumo_Trocas!$C:$C,"&gt;0")</f>
        <v>0</v>
      </c>
      <c r="U30" s="141">
        <f>SUMIFS(Resumo_Trocas!$E:$E,Resumo_Trocas!$A:$A,$C30,Resumo_Trocas!$F:$F,T$18,Resumo_Trocas!$C:$C,"&gt;0")</f>
        <v>0</v>
      </c>
      <c r="V30" s="140">
        <f>SUMIFS(Resumo_Trocas!$C:$C,Resumo_Trocas!$A:$A,$C30,Resumo_Trocas!$F:$F,V$18,Resumo_Trocas!$C:$C,"&gt;0")</f>
        <v>0</v>
      </c>
      <c r="W30" s="141">
        <f>SUMIFS(Resumo_Trocas!$E:$E,Resumo_Trocas!$A:$A,$C30,Resumo_Trocas!$F:$F,V$18,Resumo_Trocas!$C:$C,"&gt;0")</f>
        <v>0</v>
      </c>
      <c r="X30" s="140">
        <f>SUMIFS(Resumo_Trocas!$C:$C,Resumo_Trocas!$A:$A,$C30,Resumo_Trocas!$F:$F,X$18,Resumo_Trocas!$C:$C,"&gt;0")</f>
        <v>0</v>
      </c>
      <c r="Y30" s="141">
        <f>SUMIFS(Resumo_Trocas!$E:$E,Resumo_Trocas!$A:$A,$C30,Resumo_Trocas!$F:$F,X$18,Resumo_Trocas!$C:$C,"&gt;0")</f>
        <v>0</v>
      </c>
      <c r="Z30" s="140">
        <f>SUMIFS(Resumo_Trocas!$C:$C,Resumo_Trocas!$A:$A,$C30,Resumo_Trocas!$F:$F,Z$18,Resumo_Trocas!$C:$C,"&gt;0")</f>
        <v>0</v>
      </c>
      <c r="AA30" s="141">
        <f>SUMIFS(Resumo_Trocas!$E:$E,Resumo_Trocas!$A:$A,$C30,Resumo_Trocas!$F:$F,Z$18,Resumo_Trocas!$C:$C,"&gt;0")</f>
        <v>0</v>
      </c>
      <c r="AB30" s="140">
        <f>SUMIFS(Resumo_Trocas!$C:$C,Resumo_Trocas!$A:$A,$C30,Resumo_Trocas!$F:$F,AB$18,Resumo_Trocas!$C:$C,"&gt;0")</f>
        <v>0</v>
      </c>
      <c r="AC30" s="141">
        <f>SUMIFS(Resumo_Trocas!$E:$E,Resumo_Trocas!$A:$A,$C30,Resumo_Trocas!$F:$F,AB$18,Resumo_Trocas!$C:$C,"&gt;0")</f>
        <v>0</v>
      </c>
      <c r="AD30" s="140">
        <f>SUMIFS(Resumo_Trocas!$C:$C,Resumo_Trocas!$A:$A,$C30,Resumo_Trocas!$F:$F,AD$18,Resumo_Trocas!$C:$C,"&gt;0")</f>
        <v>0</v>
      </c>
      <c r="AE30" s="141">
        <f>SUMIFS(Resumo_Trocas!$E:$E,Resumo_Trocas!$A:$A,$C30,Resumo_Trocas!$F:$F,AD$18,Resumo_Trocas!$C:$C,"&gt;0")</f>
        <v>0</v>
      </c>
      <c r="AF30" s="140">
        <f>SUMIFS(Resumo_Trocas!$C:$C,Resumo_Trocas!$A:$A,$C30,Resumo_Trocas!$F:$F,AF$18,Resumo_Trocas!$C:$C,"&gt;0")</f>
        <v>0</v>
      </c>
      <c r="AG30" s="141">
        <f>SUMIFS(Resumo_Trocas!$E:$E,Resumo_Trocas!$A:$A,$C30,Resumo_Trocas!$F:$F,AF$18,Resumo_Trocas!$C:$C,"&gt;0")</f>
        <v>0</v>
      </c>
      <c r="AH30" s="140">
        <f>SUMIFS(Resumo_Trocas!$C:$C,Resumo_Trocas!$A:$A,$C30,Resumo_Trocas!$F:$F,AH$18,Resumo_Trocas!$C:$C,"&gt;0")</f>
        <v>0</v>
      </c>
      <c r="AI30" s="141">
        <f>SUMIFS(Resumo_Trocas!$E:$E,Resumo_Trocas!$A:$A,$C30,Resumo_Trocas!$F:$F,AH$18,Resumo_Trocas!$C:$C,"&gt;0")</f>
        <v>0</v>
      </c>
      <c r="AJ30" s="140">
        <f>SUMIFS(Resumo_Trocas!$C:$C,Resumo_Trocas!$A:$A,$C30,Resumo_Trocas!$F:$F,AJ$18,Resumo_Trocas!$C:$C,"&gt;0")</f>
        <v>0</v>
      </c>
      <c r="AK30" s="141">
        <f>SUMIFS(Resumo_Trocas!$E:$E,Resumo_Trocas!$A:$A,$C30,Resumo_Trocas!$F:$F,AJ$18,Resumo_Trocas!$C:$C,"&gt;0")</f>
        <v>0</v>
      </c>
      <c r="AL30" s="140">
        <f>SUMIFS(Resumo_Trocas!$C:$C,Resumo_Trocas!$A:$A,$C30,Resumo_Trocas!$F:$F,AL$18,Resumo_Trocas!$C:$C,"&gt;0")</f>
        <v>0</v>
      </c>
      <c r="AM30" s="141">
        <f>SUMIFS(Resumo_Trocas!$E:$E,Resumo_Trocas!$A:$A,$C30,Resumo_Trocas!$F:$F,AL$18,Resumo_Trocas!$C:$C,"&gt;0")</f>
        <v>0</v>
      </c>
      <c r="AN30" s="140">
        <f>SUMIFS(Resumo_Trocas!$C:$C,Resumo_Trocas!$A:$A,$C30,Resumo_Trocas!$F:$F,AN$18,Resumo_Trocas!$C:$C,"&gt;0")</f>
        <v>0</v>
      </c>
      <c r="AO30" s="141">
        <f>SUMIFS(Resumo_Trocas!$E:$E,Resumo_Trocas!$A:$A,$C30,Resumo_Trocas!$F:$F,AN$18,Resumo_Trocas!$C:$C,"&gt;0")</f>
        <v>0</v>
      </c>
      <c r="AP30" s="75"/>
      <c r="AQ30" s="75"/>
    </row>
    <row r="31" spans="2:43" ht="15" customHeight="1" outlineLevel="1" thickBot="1" x14ac:dyDescent="0.4">
      <c r="B31" s="76"/>
      <c r="C31" s="150" t="s">
        <v>3416</v>
      </c>
      <c r="D31" s="140">
        <f>SUMIFS(Resumo_Trocas!$C:$C,Resumo_Trocas!$A:$A,$C31,Resumo_Trocas!$F:$F,D$18,Resumo_Trocas!$C:$C,"&gt;0")</f>
        <v>0</v>
      </c>
      <c r="E31" s="141">
        <f>SUMIFS(Resumo_Trocas!$E:$E,Resumo_Trocas!$A:$A,$C31,Resumo_Trocas!$F:$F,D$18,Resumo_Trocas!$C:$C,"&gt;0")</f>
        <v>0</v>
      </c>
      <c r="F31" s="140">
        <f>SUMIFS(Resumo_Trocas!$C:$C,Resumo_Trocas!$A:$A,$C31,Resumo_Trocas!$F:$F,F$18,Resumo_Trocas!$C:$C,"&gt;0")</f>
        <v>0</v>
      </c>
      <c r="G31" s="141">
        <f>SUMIFS(Resumo_Trocas!$E:$E,Resumo_Trocas!$A:$A,$C31,Resumo_Trocas!$F:$F,F$18,Resumo_Trocas!$C:$C,"&gt;0")</f>
        <v>0</v>
      </c>
      <c r="H31" s="140">
        <f>SUMIFS(Resumo_Trocas!$C:$C,Resumo_Trocas!$A:$A,$C31,Resumo_Trocas!$F:$F,H$18,Resumo_Trocas!$C:$C,"&gt;0")</f>
        <v>0</v>
      </c>
      <c r="I31" s="141">
        <f>SUMIFS(Resumo_Trocas!$E:$E,Resumo_Trocas!$A:$A,$C31,Resumo_Trocas!$F:$F,H$18,Resumo_Trocas!$C:$C,"&gt;0")</f>
        <v>0</v>
      </c>
      <c r="J31" s="140">
        <f>SUMIFS(Resumo_Trocas!$C:$C,Resumo_Trocas!$A:$A,$C31,Resumo_Trocas!$F:$F,J$18,Resumo_Trocas!$C:$C,"&gt;0")</f>
        <v>0</v>
      </c>
      <c r="K31" s="141">
        <f>SUMIFS(Resumo_Trocas!$E:$E,Resumo_Trocas!$A:$A,$C31,Resumo_Trocas!$F:$F,J$18,Resumo_Trocas!$C:$C,"&gt;0")</f>
        <v>0</v>
      </c>
      <c r="L31" s="140">
        <f>SUMIFS(Resumo_Trocas!$C:$C,Resumo_Trocas!$A:$A,$C31,Resumo_Trocas!$F:$F,L$18,Resumo_Trocas!$C:$C,"&gt;0")</f>
        <v>0</v>
      </c>
      <c r="M31" s="141">
        <f>SUMIFS(Resumo_Trocas!$E:$E,Resumo_Trocas!$A:$A,$C31,Resumo_Trocas!$F:$F,L$18,Resumo_Trocas!$C:$C,"&gt;0")</f>
        <v>0</v>
      </c>
      <c r="N31" s="140">
        <f>SUMIFS(Resumo_Trocas!$C:$C,Resumo_Trocas!$A:$A,$C31,Resumo_Trocas!$F:$F,N$18,Resumo_Trocas!$C:$C,"&gt;0")</f>
        <v>0</v>
      </c>
      <c r="O31" s="141">
        <f>SUMIFS(Resumo_Trocas!$E:$E,Resumo_Trocas!$A:$A,$C31,Resumo_Trocas!$F:$F,N$18,Resumo_Trocas!$C:$C,"&gt;0")</f>
        <v>0</v>
      </c>
      <c r="P31" s="140">
        <f>SUMIFS(Resumo_Trocas!$C:$C,Resumo_Trocas!$A:$A,$C31,Resumo_Trocas!$F:$F,P$18,Resumo_Trocas!$C:$C,"&gt;0")</f>
        <v>0</v>
      </c>
      <c r="Q31" s="141">
        <f>SUMIFS(Resumo_Trocas!$E:$E,Resumo_Trocas!$A:$A,$C31,Resumo_Trocas!$F:$F,P$18,Resumo_Trocas!$C:$C,"&gt;0")</f>
        <v>0</v>
      </c>
      <c r="R31" s="140">
        <f>SUMIFS(Resumo_Trocas!$C:$C,Resumo_Trocas!$A:$A,$C31,Resumo_Trocas!$F:$F,R$18,Resumo_Trocas!$C:$C,"&gt;0")</f>
        <v>0</v>
      </c>
      <c r="S31" s="141">
        <f>SUMIFS(Resumo_Trocas!$E:$E,Resumo_Trocas!$A:$A,$C31,Resumo_Trocas!$F:$F,R$18,Resumo_Trocas!$C:$C,"&gt;0")</f>
        <v>0</v>
      </c>
      <c r="T31" s="140">
        <f>SUMIFS(Resumo_Trocas!$C:$C,Resumo_Trocas!$A:$A,$C31,Resumo_Trocas!$F:$F,T$18,Resumo_Trocas!$C:$C,"&gt;0")</f>
        <v>0</v>
      </c>
      <c r="U31" s="141">
        <f>SUMIFS(Resumo_Trocas!$E:$E,Resumo_Trocas!$A:$A,$C31,Resumo_Trocas!$F:$F,T$18,Resumo_Trocas!$C:$C,"&gt;0")</f>
        <v>0</v>
      </c>
      <c r="V31" s="140">
        <f>SUMIFS(Resumo_Trocas!$C:$C,Resumo_Trocas!$A:$A,$C31,Resumo_Trocas!$F:$F,V$18,Resumo_Trocas!$C:$C,"&gt;0")</f>
        <v>0</v>
      </c>
      <c r="W31" s="141">
        <f>SUMIFS(Resumo_Trocas!$E:$E,Resumo_Trocas!$A:$A,$C31,Resumo_Trocas!$F:$F,V$18,Resumo_Trocas!$C:$C,"&gt;0")</f>
        <v>0</v>
      </c>
      <c r="X31" s="140">
        <f>SUMIFS(Resumo_Trocas!$C:$C,Resumo_Trocas!$A:$A,$C31,Resumo_Trocas!$F:$F,X$18,Resumo_Trocas!$C:$C,"&gt;0")</f>
        <v>0</v>
      </c>
      <c r="Y31" s="141">
        <f>SUMIFS(Resumo_Trocas!$E:$E,Resumo_Trocas!$A:$A,$C31,Resumo_Trocas!$F:$F,X$18,Resumo_Trocas!$C:$C,"&gt;0")</f>
        <v>0</v>
      </c>
      <c r="Z31" s="140">
        <f>SUMIFS(Resumo_Trocas!$C:$C,Resumo_Trocas!$A:$A,$C31,Resumo_Trocas!$F:$F,Z$18,Resumo_Trocas!$C:$C,"&gt;0")</f>
        <v>0</v>
      </c>
      <c r="AA31" s="141">
        <f>SUMIFS(Resumo_Trocas!$E:$E,Resumo_Trocas!$A:$A,$C31,Resumo_Trocas!$F:$F,Z$18,Resumo_Trocas!$C:$C,"&gt;0")</f>
        <v>0</v>
      </c>
      <c r="AB31" s="140">
        <f>SUMIFS(Resumo_Trocas!$C:$C,Resumo_Trocas!$A:$A,$C31,Resumo_Trocas!$F:$F,AB$18,Resumo_Trocas!$C:$C,"&gt;0")</f>
        <v>0</v>
      </c>
      <c r="AC31" s="141">
        <f>SUMIFS(Resumo_Trocas!$E:$E,Resumo_Trocas!$A:$A,$C31,Resumo_Trocas!$F:$F,AB$18,Resumo_Trocas!$C:$C,"&gt;0")</f>
        <v>0</v>
      </c>
      <c r="AD31" s="140">
        <f>SUMIFS(Resumo_Trocas!$C:$C,Resumo_Trocas!$A:$A,$C31,Resumo_Trocas!$F:$F,AD$18,Resumo_Trocas!$C:$C,"&gt;0")</f>
        <v>0</v>
      </c>
      <c r="AE31" s="141">
        <f>SUMIFS(Resumo_Trocas!$E:$E,Resumo_Trocas!$A:$A,$C31,Resumo_Trocas!$F:$F,AD$18,Resumo_Trocas!$C:$C,"&gt;0")</f>
        <v>0</v>
      </c>
      <c r="AF31" s="140">
        <f>SUMIFS(Resumo_Trocas!$C:$C,Resumo_Trocas!$A:$A,$C31,Resumo_Trocas!$F:$F,AF$18,Resumo_Trocas!$C:$C,"&gt;0")</f>
        <v>0</v>
      </c>
      <c r="AG31" s="141">
        <f>SUMIFS(Resumo_Trocas!$E:$E,Resumo_Trocas!$A:$A,$C31,Resumo_Trocas!$F:$F,AF$18,Resumo_Trocas!$C:$C,"&gt;0")</f>
        <v>0</v>
      </c>
      <c r="AH31" s="140">
        <f>SUMIFS(Resumo_Trocas!$C:$C,Resumo_Trocas!$A:$A,$C31,Resumo_Trocas!$F:$F,AH$18,Resumo_Trocas!$C:$C,"&gt;0")</f>
        <v>0</v>
      </c>
      <c r="AI31" s="141">
        <f>SUMIFS(Resumo_Trocas!$E:$E,Resumo_Trocas!$A:$A,$C31,Resumo_Trocas!$F:$F,AH$18,Resumo_Trocas!$C:$C,"&gt;0")</f>
        <v>0</v>
      </c>
      <c r="AJ31" s="140">
        <f>SUMIFS(Resumo_Trocas!$C:$C,Resumo_Trocas!$A:$A,$C31,Resumo_Trocas!$F:$F,AJ$18,Resumo_Trocas!$C:$C,"&gt;0")</f>
        <v>0</v>
      </c>
      <c r="AK31" s="141">
        <f>SUMIFS(Resumo_Trocas!$E:$E,Resumo_Trocas!$A:$A,$C31,Resumo_Trocas!$F:$F,AJ$18,Resumo_Trocas!$C:$C,"&gt;0")</f>
        <v>0</v>
      </c>
      <c r="AL31" s="140">
        <f>SUMIFS(Resumo_Trocas!$C:$C,Resumo_Trocas!$A:$A,$C31,Resumo_Trocas!$F:$F,AL$18,Resumo_Trocas!$C:$C,"&gt;0")</f>
        <v>0</v>
      </c>
      <c r="AM31" s="141">
        <f>SUMIFS(Resumo_Trocas!$E:$E,Resumo_Trocas!$A:$A,$C31,Resumo_Trocas!$F:$F,AL$18,Resumo_Trocas!$C:$C,"&gt;0")</f>
        <v>0</v>
      </c>
      <c r="AN31" s="140">
        <f>SUMIFS(Resumo_Trocas!$C:$C,Resumo_Trocas!$A:$A,$C31,Resumo_Trocas!$F:$F,AN$18,Resumo_Trocas!$C:$C,"&gt;0")</f>
        <v>0</v>
      </c>
      <c r="AO31" s="141">
        <f>SUMIFS(Resumo_Trocas!$E:$E,Resumo_Trocas!$A:$A,$C31,Resumo_Trocas!$F:$F,AN$18,Resumo_Trocas!$C:$C,"&gt;0")</f>
        <v>0</v>
      </c>
      <c r="AP31" s="75"/>
      <c r="AQ31" s="75"/>
    </row>
    <row r="32" spans="2:43" ht="15" customHeight="1" outlineLevel="1" thickBot="1" x14ac:dyDescent="0.4">
      <c r="B32" s="76"/>
      <c r="C32" s="150" t="s">
        <v>3417</v>
      </c>
      <c r="D32" s="140">
        <f>SUMIFS(Resumo_Trocas!$C:$C,Resumo_Trocas!$A:$A,$C32,Resumo_Trocas!$F:$F,D$18,Resumo_Trocas!$C:$C,"&gt;0")</f>
        <v>0</v>
      </c>
      <c r="E32" s="141">
        <f>SUMIFS(Resumo_Trocas!$E:$E,Resumo_Trocas!$A:$A,$C32,Resumo_Trocas!$F:$F,D$18,Resumo_Trocas!$C:$C,"&gt;0")</f>
        <v>0</v>
      </c>
      <c r="F32" s="140">
        <f>SUMIFS(Resumo_Trocas!$C:$C,Resumo_Trocas!$A:$A,$C32,Resumo_Trocas!$F:$F,F$18,Resumo_Trocas!$C:$C,"&gt;0")</f>
        <v>0</v>
      </c>
      <c r="G32" s="141">
        <f>SUMIFS(Resumo_Trocas!$E:$E,Resumo_Trocas!$A:$A,$C32,Resumo_Trocas!$F:$F,F$18,Resumo_Trocas!$C:$C,"&gt;0")</f>
        <v>0</v>
      </c>
      <c r="H32" s="140">
        <f>SUMIFS(Resumo_Trocas!$C:$C,Resumo_Trocas!$A:$A,$C32,Resumo_Trocas!$F:$F,H$18,Resumo_Trocas!$C:$C,"&gt;0")</f>
        <v>0</v>
      </c>
      <c r="I32" s="141">
        <f>SUMIFS(Resumo_Trocas!$E:$E,Resumo_Trocas!$A:$A,$C32,Resumo_Trocas!$F:$F,H$18,Resumo_Trocas!$C:$C,"&gt;0")</f>
        <v>0</v>
      </c>
      <c r="J32" s="140">
        <f>SUMIFS(Resumo_Trocas!$C:$C,Resumo_Trocas!$A:$A,$C32,Resumo_Trocas!$F:$F,J$18,Resumo_Trocas!$C:$C,"&gt;0")</f>
        <v>0</v>
      </c>
      <c r="K32" s="141">
        <f>SUMIFS(Resumo_Trocas!$E:$E,Resumo_Trocas!$A:$A,$C32,Resumo_Trocas!$F:$F,J$18,Resumo_Trocas!$C:$C,"&gt;0")</f>
        <v>0</v>
      </c>
      <c r="L32" s="140">
        <f>SUMIFS(Resumo_Trocas!$C:$C,Resumo_Trocas!$A:$A,$C32,Resumo_Trocas!$F:$F,L$18,Resumo_Trocas!$C:$C,"&gt;0")</f>
        <v>0</v>
      </c>
      <c r="M32" s="141">
        <f>SUMIFS(Resumo_Trocas!$E:$E,Resumo_Trocas!$A:$A,$C32,Resumo_Trocas!$F:$F,L$18,Resumo_Trocas!$C:$C,"&gt;0")</f>
        <v>0</v>
      </c>
      <c r="N32" s="140">
        <f>SUMIFS(Resumo_Trocas!$C:$C,Resumo_Trocas!$A:$A,$C32,Resumo_Trocas!$F:$F,N$18,Resumo_Trocas!$C:$C,"&gt;0")</f>
        <v>0</v>
      </c>
      <c r="O32" s="141">
        <f>SUMIFS(Resumo_Trocas!$E:$E,Resumo_Trocas!$A:$A,$C32,Resumo_Trocas!$F:$F,N$18,Resumo_Trocas!$C:$C,"&gt;0")</f>
        <v>0</v>
      </c>
      <c r="P32" s="140">
        <f>SUMIFS(Resumo_Trocas!$C:$C,Resumo_Trocas!$A:$A,$C32,Resumo_Trocas!$F:$F,P$18,Resumo_Trocas!$C:$C,"&gt;0")</f>
        <v>0</v>
      </c>
      <c r="Q32" s="141">
        <f>SUMIFS(Resumo_Trocas!$E:$E,Resumo_Trocas!$A:$A,$C32,Resumo_Trocas!$F:$F,P$18,Resumo_Trocas!$C:$C,"&gt;0")</f>
        <v>0</v>
      </c>
      <c r="R32" s="140">
        <f>SUMIFS(Resumo_Trocas!$C:$C,Resumo_Trocas!$A:$A,$C32,Resumo_Trocas!$F:$F,R$18,Resumo_Trocas!$C:$C,"&gt;0")</f>
        <v>0</v>
      </c>
      <c r="S32" s="141">
        <f>SUMIFS(Resumo_Trocas!$E:$E,Resumo_Trocas!$A:$A,$C32,Resumo_Trocas!$F:$F,R$18,Resumo_Trocas!$C:$C,"&gt;0")</f>
        <v>0</v>
      </c>
      <c r="T32" s="140">
        <f>SUMIFS(Resumo_Trocas!$C:$C,Resumo_Trocas!$A:$A,$C32,Resumo_Trocas!$F:$F,T$18,Resumo_Trocas!$C:$C,"&gt;0")</f>
        <v>0</v>
      </c>
      <c r="U32" s="141">
        <f>SUMIFS(Resumo_Trocas!$E:$E,Resumo_Trocas!$A:$A,$C32,Resumo_Trocas!$F:$F,T$18,Resumo_Trocas!$C:$C,"&gt;0")</f>
        <v>0</v>
      </c>
      <c r="V32" s="140">
        <f>SUMIFS(Resumo_Trocas!$C:$C,Resumo_Trocas!$A:$A,$C32,Resumo_Trocas!$F:$F,V$18,Resumo_Trocas!$C:$C,"&gt;0")</f>
        <v>0</v>
      </c>
      <c r="W32" s="141">
        <f>SUMIFS(Resumo_Trocas!$E:$E,Resumo_Trocas!$A:$A,$C32,Resumo_Trocas!$F:$F,V$18,Resumo_Trocas!$C:$C,"&gt;0")</f>
        <v>0</v>
      </c>
      <c r="X32" s="140">
        <f>SUMIFS(Resumo_Trocas!$C:$C,Resumo_Trocas!$A:$A,$C32,Resumo_Trocas!$F:$F,X$18,Resumo_Trocas!$C:$C,"&gt;0")</f>
        <v>0</v>
      </c>
      <c r="Y32" s="141">
        <f>SUMIFS(Resumo_Trocas!$E:$E,Resumo_Trocas!$A:$A,$C32,Resumo_Trocas!$F:$F,X$18,Resumo_Trocas!$C:$C,"&gt;0")</f>
        <v>0</v>
      </c>
      <c r="Z32" s="140">
        <f>SUMIFS(Resumo_Trocas!$C:$C,Resumo_Trocas!$A:$A,$C32,Resumo_Trocas!$F:$F,Z$18,Resumo_Trocas!$C:$C,"&gt;0")</f>
        <v>0</v>
      </c>
      <c r="AA32" s="141">
        <f>SUMIFS(Resumo_Trocas!$E:$E,Resumo_Trocas!$A:$A,$C32,Resumo_Trocas!$F:$F,Z$18,Resumo_Trocas!$C:$C,"&gt;0")</f>
        <v>0</v>
      </c>
      <c r="AB32" s="140">
        <f>SUMIFS(Resumo_Trocas!$C:$C,Resumo_Trocas!$A:$A,$C32,Resumo_Trocas!$F:$F,AB$18,Resumo_Trocas!$C:$C,"&gt;0")</f>
        <v>0</v>
      </c>
      <c r="AC32" s="141">
        <f>SUMIFS(Resumo_Trocas!$E:$E,Resumo_Trocas!$A:$A,$C32,Resumo_Trocas!$F:$F,AB$18,Resumo_Trocas!$C:$C,"&gt;0")</f>
        <v>0</v>
      </c>
      <c r="AD32" s="140">
        <f>SUMIFS(Resumo_Trocas!$C:$C,Resumo_Trocas!$A:$A,$C32,Resumo_Trocas!$F:$F,AD$18,Resumo_Trocas!$C:$C,"&gt;0")</f>
        <v>0</v>
      </c>
      <c r="AE32" s="141">
        <f>SUMIFS(Resumo_Trocas!$E:$E,Resumo_Trocas!$A:$A,$C32,Resumo_Trocas!$F:$F,AD$18,Resumo_Trocas!$C:$C,"&gt;0")</f>
        <v>0</v>
      </c>
      <c r="AF32" s="140">
        <f>SUMIFS(Resumo_Trocas!$C:$C,Resumo_Trocas!$A:$A,$C32,Resumo_Trocas!$F:$F,AF$18,Resumo_Trocas!$C:$C,"&gt;0")</f>
        <v>0</v>
      </c>
      <c r="AG32" s="141">
        <f>SUMIFS(Resumo_Trocas!$E:$E,Resumo_Trocas!$A:$A,$C32,Resumo_Trocas!$F:$F,AF$18,Resumo_Trocas!$C:$C,"&gt;0")</f>
        <v>0</v>
      </c>
      <c r="AH32" s="140">
        <f>SUMIFS(Resumo_Trocas!$C:$C,Resumo_Trocas!$A:$A,$C32,Resumo_Trocas!$F:$F,AH$18,Resumo_Trocas!$C:$C,"&gt;0")</f>
        <v>0</v>
      </c>
      <c r="AI32" s="141">
        <f>SUMIFS(Resumo_Trocas!$E:$E,Resumo_Trocas!$A:$A,$C32,Resumo_Trocas!$F:$F,AH$18,Resumo_Trocas!$C:$C,"&gt;0")</f>
        <v>0</v>
      </c>
      <c r="AJ32" s="140">
        <f>SUMIFS(Resumo_Trocas!$C:$C,Resumo_Trocas!$A:$A,$C32,Resumo_Trocas!$F:$F,AJ$18,Resumo_Trocas!$C:$C,"&gt;0")</f>
        <v>0</v>
      </c>
      <c r="AK32" s="141">
        <f>SUMIFS(Resumo_Trocas!$E:$E,Resumo_Trocas!$A:$A,$C32,Resumo_Trocas!$F:$F,AJ$18,Resumo_Trocas!$C:$C,"&gt;0")</f>
        <v>0</v>
      </c>
      <c r="AL32" s="140">
        <f>SUMIFS(Resumo_Trocas!$C:$C,Resumo_Trocas!$A:$A,$C32,Resumo_Trocas!$F:$F,AL$18,Resumo_Trocas!$C:$C,"&gt;0")</f>
        <v>0</v>
      </c>
      <c r="AM32" s="141">
        <f>SUMIFS(Resumo_Trocas!$E:$E,Resumo_Trocas!$A:$A,$C32,Resumo_Trocas!$F:$F,AL$18,Resumo_Trocas!$C:$C,"&gt;0")</f>
        <v>0</v>
      </c>
      <c r="AN32" s="140">
        <f>SUMIFS(Resumo_Trocas!$C:$C,Resumo_Trocas!$A:$A,$C32,Resumo_Trocas!$F:$F,AN$18,Resumo_Trocas!$C:$C,"&gt;0")</f>
        <v>0</v>
      </c>
      <c r="AO32" s="141">
        <f>SUMIFS(Resumo_Trocas!$E:$E,Resumo_Trocas!$A:$A,$C32,Resumo_Trocas!$F:$F,AN$18,Resumo_Trocas!$C:$C,"&gt;0")</f>
        <v>0</v>
      </c>
      <c r="AP32" s="75"/>
      <c r="AQ32" s="75"/>
    </row>
    <row r="33" spans="2:43" ht="15" customHeight="1" outlineLevel="1" thickBot="1" x14ac:dyDescent="0.4">
      <c r="B33" s="76"/>
      <c r="C33" s="150" t="s">
        <v>3418</v>
      </c>
      <c r="D33" s="140">
        <f>SUMIFS(Resumo_Trocas!$C:$C,Resumo_Trocas!$A:$A,$C33,Resumo_Trocas!$F:$F,D$18,Resumo_Trocas!$C:$C,"&gt;0")</f>
        <v>0</v>
      </c>
      <c r="E33" s="141">
        <f>SUMIFS(Resumo_Trocas!$E:$E,Resumo_Trocas!$A:$A,$C33,Resumo_Trocas!$F:$F,D$18,Resumo_Trocas!$C:$C,"&gt;0")</f>
        <v>0</v>
      </c>
      <c r="F33" s="140">
        <f>SUMIFS(Resumo_Trocas!$C:$C,Resumo_Trocas!$A:$A,$C33,Resumo_Trocas!$F:$F,F$18,Resumo_Trocas!$C:$C,"&gt;0")</f>
        <v>0</v>
      </c>
      <c r="G33" s="141">
        <f>SUMIFS(Resumo_Trocas!$E:$E,Resumo_Trocas!$A:$A,$C33,Resumo_Trocas!$F:$F,F$18,Resumo_Trocas!$C:$C,"&gt;0")</f>
        <v>0</v>
      </c>
      <c r="H33" s="140">
        <f>SUMIFS(Resumo_Trocas!$C:$C,Resumo_Trocas!$A:$A,$C33,Resumo_Trocas!$F:$F,H$18,Resumo_Trocas!$C:$C,"&gt;0")</f>
        <v>0</v>
      </c>
      <c r="I33" s="141">
        <f>SUMIFS(Resumo_Trocas!$E:$E,Resumo_Trocas!$A:$A,$C33,Resumo_Trocas!$F:$F,H$18,Resumo_Trocas!$C:$C,"&gt;0")</f>
        <v>0</v>
      </c>
      <c r="J33" s="140">
        <f>SUMIFS(Resumo_Trocas!$C:$C,Resumo_Trocas!$A:$A,$C33,Resumo_Trocas!$F:$F,J$18,Resumo_Trocas!$C:$C,"&gt;0")</f>
        <v>0</v>
      </c>
      <c r="K33" s="141">
        <f>SUMIFS(Resumo_Trocas!$E:$E,Resumo_Trocas!$A:$A,$C33,Resumo_Trocas!$F:$F,J$18,Resumo_Trocas!$C:$C,"&gt;0")</f>
        <v>0</v>
      </c>
      <c r="L33" s="140">
        <f>SUMIFS(Resumo_Trocas!$C:$C,Resumo_Trocas!$A:$A,$C33,Resumo_Trocas!$F:$F,L$18,Resumo_Trocas!$C:$C,"&gt;0")</f>
        <v>0</v>
      </c>
      <c r="M33" s="141">
        <f>SUMIFS(Resumo_Trocas!$E:$E,Resumo_Trocas!$A:$A,$C33,Resumo_Trocas!$F:$F,L$18,Resumo_Trocas!$C:$C,"&gt;0")</f>
        <v>0</v>
      </c>
      <c r="N33" s="140">
        <f>SUMIFS(Resumo_Trocas!$C:$C,Resumo_Trocas!$A:$A,$C33,Resumo_Trocas!$F:$F,N$18,Resumo_Trocas!$C:$C,"&gt;0")</f>
        <v>0</v>
      </c>
      <c r="O33" s="141">
        <f>SUMIFS(Resumo_Trocas!$E:$E,Resumo_Trocas!$A:$A,$C33,Resumo_Trocas!$F:$F,N$18,Resumo_Trocas!$C:$C,"&gt;0")</f>
        <v>0</v>
      </c>
      <c r="P33" s="140">
        <f>SUMIFS(Resumo_Trocas!$C:$C,Resumo_Trocas!$A:$A,$C33,Resumo_Trocas!$F:$F,P$18,Resumo_Trocas!$C:$C,"&gt;0")</f>
        <v>0</v>
      </c>
      <c r="Q33" s="141">
        <f>SUMIFS(Resumo_Trocas!$E:$E,Resumo_Trocas!$A:$A,$C33,Resumo_Trocas!$F:$F,P$18,Resumo_Trocas!$C:$C,"&gt;0")</f>
        <v>0</v>
      </c>
      <c r="R33" s="140">
        <f>SUMIFS(Resumo_Trocas!$C:$C,Resumo_Trocas!$A:$A,$C33,Resumo_Trocas!$F:$F,R$18,Resumo_Trocas!$C:$C,"&gt;0")</f>
        <v>0</v>
      </c>
      <c r="S33" s="141">
        <f>SUMIFS(Resumo_Trocas!$E:$E,Resumo_Trocas!$A:$A,$C33,Resumo_Trocas!$F:$F,R$18,Resumo_Trocas!$C:$C,"&gt;0")</f>
        <v>0</v>
      </c>
      <c r="T33" s="140">
        <f>SUMIFS(Resumo_Trocas!$C:$C,Resumo_Trocas!$A:$A,$C33,Resumo_Trocas!$F:$F,T$18,Resumo_Trocas!$C:$C,"&gt;0")</f>
        <v>0</v>
      </c>
      <c r="U33" s="141">
        <f>SUMIFS(Resumo_Trocas!$E:$E,Resumo_Trocas!$A:$A,$C33,Resumo_Trocas!$F:$F,T$18,Resumo_Trocas!$C:$C,"&gt;0")</f>
        <v>0</v>
      </c>
      <c r="V33" s="140">
        <f>SUMIFS(Resumo_Trocas!$C:$C,Resumo_Trocas!$A:$A,$C33,Resumo_Trocas!$F:$F,V$18,Resumo_Trocas!$C:$C,"&gt;0")</f>
        <v>0</v>
      </c>
      <c r="W33" s="141">
        <f>SUMIFS(Resumo_Trocas!$E:$E,Resumo_Trocas!$A:$A,$C33,Resumo_Trocas!$F:$F,V$18,Resumo_Trocas!$C:$C,"&gt;0")</f>
        <v>0</v>
      </c>
      <c r="X33" s="140">
        <f>SUMIFS(Resumo_Trocas!$C:$C,Resumo_Trocas!$A:$A,$C33,Resumo_Trocas!$F:$F,X$18,Resumo_Trocas!$C:$C,"&gt;0")</f>
        <v>0</v>
      </c>
      <c r="Y33" s="141">
        <f>SUMIFS(Resumo_Trocas!$E:$E,Resumo_Trocas!$A:$A,$C33,Resumo_Trocas!$F:$F,X$18,Resumo_Trocas!$C:$C,"&gt;0")</f>
        <v>0</v>
      </c>
      <c r="Z33" s="140">
        <f>SUMIFS(Resumo_Trocas!$C:$C,Resumo_Trocas!$A:$A,$C33,Resumo_Trocas!$F:$F,Z$18,Resumo_Trocas!$C:$C,"&gt;0")</f>
        <v>0</v>
      </c>
      <c r="AA33" s="141">
        <f>SUMIFS(Resumo_Trocas!$E:$E,Resumo_Trocas!$A:$A,$C33,Resumo_Trocas!$F:$F,Z$18,Resumo_Trocas!$C:$C,"&gt;0")</f>
        <v>0</v>
      </c>
      <c r="AB33" s="140">
        <f>SUMIFS(Resumo_Trocas!$C:$C,Resumo_Trocas!$A:$A,$C33,Resumo_Trocas!$F:$F,AB$18,Resumo_Trocas!$C:$C,"&gt;0")</f>
        <v>0</v>
      </c>
      <c r="AC33" s="141">
        <f>SUMIFS(Resumo_Trocas!$E:$E,Resumo_Trocas!$A:$A,$C33,Resumo_Trocas!$F:$F,AB$18,Resumo_Trocas!$C:$C,"&gt;0")</f>
        <v>0</v>
      </c>
      <c r="AD33" s="140">
        <f>SUMIFS(Resumo_Trocas!$C:$C,Resumo_Trocas!$A:$A,$C33,Resumo_Trocas!$F:$F,AD$18,Resumo_Trocas!$C:$C,"&gt;0")</f>
        <v>0</v>
      </c>
      <c r="AE33" s="141">
        <f>SUMIFS(Resumo_Trocas!$E:$E,Resumo_Trocas!$A:$A,$C33,Resumo_Trocas!$F:$F,AD$18,Resumo_Trocas!$C:$C,"&gt;0")</f>
        <v>0</v>
      </c>
      <c r="AF33" s="140">
        <f>SUMIFS(Resumo_Trocas!$C:$C,Resumo_Trocas!$A:$A,$C33,Resumo_Trocas!$F:$F,AF$18,Resumo_Trocas!$C:$C,"&gt;0")</f>
        <v>0</v>
      </c>
      <c r="AG33" s="141">
        <f>SUMIFS(Resumo_Trocas!$E:$E,Resumo_Trocas!$A:$A,$C33,Resumo_Trocas!$F:$F,AF$18,Resumo_Trocas!$C:$C,"&gt;0")</f>
        <v>0</v>
      </c>
      <c r="AH33" s="140">
        <f>SUMIFS(Resumo_Trocas!$C:$C,Resumo_Trocas!$A:$A,$C33,Resumo_Trocas!$F:$F,AH$18,Resumo_Trocas!$C:$C,"&gt;0")</f>
        <v>0</v>
      </c>
      <c r="AI33" s="141">
        <f>SUMIFS(Resumo_Trocas!$E:$E,Resumo_Trocas!$A:$A,$C33,Resumo_Trocas!$F:$F,AH$18,Resumo_Trocas!$C:$C,"&gt;0")</f>
        <v>0</v>
      </c>
      <c r="AJ33" s="140">
        <f>SUMIFS(Resumo_Trocas!$C:$C,Resumo_Trocas!$A:$A,$C33,Resumo_Trocas!$F:$F,AJ$18,Resumo_Trocas!$C:$C,"&gt;0")</f>
        <v>0</v>
      </c>
      <c r="AK33" s="141">
        <f>SUMIFS(Resumo_Trocas!$E:$E,Resumo_Trocas!$A:$A,$C33,Resumo_Trocas!$F:$F,AJ$18,Resumo_Trocas!$C:$C,"&gt;0")</f>
        <v>0</v>
      </c>
      <c r="AL33" s="140">
        <f>SUMIFS(Resumo_Trocas!$C:$C,Resumo_Trocas!$A:$A,$C33,Resumo_Trocas!$F:$F,AL$18,Resumo_Trocas!$C:$C,"&gt;0")</f>
        <v>0</v>
      </c>
      <c r="AM33" s="141">
        <f>SUMIFS(Resumo_Trocas!$E:$E,Resumo_Trocas!$A:$A,$C33,Resumo_Trocas!$F:$F,AL$18,Resumo_Trocas!$C:$C,"&gt;0")</f>
        <v>0</v>
      </c>
      <c r="AN33" s="140">
        <f>SUMIFS(Resumo_Trocas!$C:$C,Resumo_Trocas!$A:$A,$C33,Resumo_Trocas!$F:$F,AN$18,Resumo_Trocas!$C:$C,"&gt;0")</f>
        <v>0</v>
      </c>
      <c r="AO33" s="141">
        <f>SUMIFS(Resumo_Trocas!$E:$E,Resumo_Trocas!$A:$A,$C33,Resumo_Trocas!$F:$F,AN$18,Resumo_Trocas!$C:$C,"&gt;0")</f>
        <v>0</v>
      </c>
      <c r="AP33" s="75"/>
      <c r="AQ33" s="75"/>
    </row>
    <row r="34" spans="2:43" ht="15" customHeight="1" outlineLevel="1" thickBot="1" x14ac:dyDescent="0.4">
      <c r="B34" s="76"/>
      <c r="C34" s="150" t="s">
        <v>3419</v>
      </c>
      <c r="D34" s="140">
        <f>SUMIFS(Resumo_Trocas!$C:$C,Resumo_Trocas!$A:$A,$C34,Resumo_Trocas!$F:$F,D$18,Resumo_Trocas!$C:$C,"&gt;0")</f>
        <v>0</v>
      </c>
      <c r="E34" s="141">
        <f>SUMIFS(Resumo_Trocas!$E:$E,Resumo_Trocas!$A:$A,$C34,Resumo_Trocas!$F:$F,D$18,Resumo_Trocas!$C:$C,"&gt;0")</f>
        <v>0</v>
      </c>
      <c r="F34" s="140">
        <f>SUMIFS(Resumo_Trocas!$C:$C,Resumo_Trocas!$A:$A,$C34,Resumo_Trocas!$F:$F,F$18,Resumo_Trocas!$C:$C,"&gt;0")</f>
        <v>0</v>
      </c>
      <c r="G34" s="141">
        <f>SUMIFS(Resumo_Trocas!$E:$E,Resumo_Trocas!$A:$A,$C34,Resumo_Trocas!$F:$F,F$18,Resumo_Trocas!$C:$C,"&gt;0")</f>
        <v>0</v>
      </c>
      <c r="H34" s="140">
        <f>SUMIFS(Resumo_Trocas!$C:$C,Resumo_Trocas!$A:$A,$C34,Resumo_Trocas!$F:$F,H$18,Resumo_Trocas!$C:$C,"&gt;0")</f>
        <v>0</v>
      </c>
      <c r="I34" s="141">
        <f>SUMIFS(Resumo_Trocas!$E:$E,Resumo_Trocas!$A:$A,$C34,Resumo_Trocas!$F:$F,H$18,Resumo_Trocas!$C:$C,"&gt;0")</f>
        <v>0</v>
      </c>
      <c r="J34" s="140">
        <f>SUMIFS(Resumo_Trocas!$C:$C,Resumo_Trocas!$A:$A,$C34,Resumo_Trocas!$F:$F,J$18,Resumo_Trocas!$C:$C,"&gt;0")</f>
        <v>0</v>
      </c>
      <c r="K34" s="141">
        <f>SUMIFS(Resumo_Trocas!$E:$E,Resumo_Trocas!$A:$A,$C34,Resumo_Trocas!$F:$F,J$18,Resumo_Trocas!$C:$C,"&gt;0")</f>
        <v>0</v>
      </c>
      <c r="L34" s="140">
        <f>SUMIFS(Resumo_Trocas!$C:$C,Resumo_Trocas!$A:$A,$C34,Resumo_Trocas!$F:$F,L$18,Resumo_Trocas!$C:$C,"&gt;0")</f>
        <v>0</v>
      </c>
      <c r="M34" s="141">
        <f>SUMIFS(Resumo_Trocas!$E:$E,Resumo_Trocas!$A:$A,$C34,Resumo_Trocas!$F:$F,L$18,Resumo_Trocas!$C:$C,"&gt;0")</f>
        <v>0</v>
      </c>
      <c r="N34" s="140">
        <f>SUMIFS(Resumo_Trocas!$C:$C,Resumo_Trocas!$A:$A,$C34,Resumo_Trocas!$F:$F,N$18,Resumo_Trocas!$C:$C,"&gt;0")</f>
        <v>0</v>
      </c>
      <c r="O34" s="141">
        <f>SUMIFS(Resumo_Trocas!$E:$E,Resumo_Trocas!$A:$A,$C34,Resumo_Trocas!$F:$F,N$18,Resumo_Trocas!$C:$C,"&gt;0")</f>
        <v>0</v>
      </c>
      <c r="P34" s="140">
        <f>SUMIFS(Resumo_Trocas!$C:$C,Resumo_Trocas!$A:$A,$C34,Resumo_Trocas!$F:$F,P$18,Resumo_Trocas!$C:$C,"&gt;0")</f>
        <v>0</v>
      </c>
      <c r="Q34" s="141">
        <f>SUMIFS(Resumo_Trocas!$E:$E,Resumo_Trocas!$A:$A,$C34,Resumo_Trocas!$F:$F,P$18,Resumo_Trocas!$C:$C,"&gt;0")</f>
        <v>0</v>
      </c>
      <c r="R34" s="140">
        <f>SUMIFS(Resumo_Trocas!$C:$C,Resumo_Trocas!$A:$A,$C34,Resumo_Trocas!$F:$F,R$18,Resumo_Trocas!$C:$C,"&gt;0")</f>
        <v>0</v>
      </c>
      <c r="S34" s="141">
        <f>SUMIFS(Resumo_Trocas!$E:$E,Resumo_Trocas!$A:$A,$C34,Resumo_Trocas!$F:$F,R$18,Resumo_Trocas!$C:$C,"&gt;0")</f>
        <v>0</v>
      </c>
      <c r="T34" s="140">
        <f>SUMIFS(Resumo_Trocas!$C:$C,Resumo_Trocas!$A:$A,$C34,Resumo_Trocas!$F:$F,T$18,Resumo_Trocas!$C:$C,"&gt;0")</f>
        <v>0</v>
      </c>
      <c r="U34" s="141">
        <f>SUMIFS(Resumo_Trocas!$E:$E,Resumo_Trocas!$A:$A,$C34,Resumo_Trocas!$F:$F,T$18,Resumo_Trocas!$C:$C,"&gt;0")</f>
        <v>0</v>
      </c>
      <c r="V34" s="140">
        <f>SUMIFS(Resumo_Trocas!$C:$C,Resumo_Trocas!$A:$A,$C34,Resumo_Trocas!$F:$F,V$18,Resumo_Trocas!$C:$C,"&gt;0")</f>
        <v>0</v>
      </c>
      <c r="W34" s="141">
        <f>SUMIFS(Resumo_Trocas!$E:$E,Resumo_Trocas!$A:$A,$C34,Resumo_Trocas!$F:$F,V$18,Resumo_Trocas!$C:$C,"&gt;0")</f>
        <v>0</v>
      </c>
      <c r="X34" s="140">
        <f>SUMIFS(Resumo_Trocas!$C:$C,Resumo_Trocas!$A:$A,$C34,Resumo_Trocas!$F:$F,X$18,Resumo_Trocas!$C:$C,"&gt;0")</f>
        <v>0</v>
      </c>
      <c r="Y34" s="141">
        <f>SUMIFS(Resumo_Trocas!$E:$E,Resumo_Trocas!$A:$A,$C34,Resumo_Trocas!$F:$F,X$18,Resumo_Trocas!$C:$C,"&gt;0")</f>
        <v>0</v>
      </c>
      <c r="Z34" s="140">
        <f>SUMIFS(Resumo_Trocas!$C:$C,Resumo_Trocas!$A:$A,$C34,Resumo_Trocas!$F:$F,Z$18,Resumo_Trocas!$C:$C,"&gt;0")</f>
        <v>0</v>
      </c>
      <c r="AA34" s="141">
        <f>SUMIFS(Resumo_Trocas!$E:$E,Resumo_Trocas!$A:$A,$C34,Resumo_Trocas!$F:$F,Z$18,Resumo_Trocas!$C:$C,"&gt;0")</f>
        <v>0</v>
      </c>
      <c r="AB34" s="140">
        <f>SUMIFS(Resumo_Trocas!$C:$C,Resumo_Trocas!$A:$A,$C34,Resumo_Trocas!$F:$F,AB$18,Resumo_Trocas!$C:$C,"&gt;0")</f>
        <v>0</v>
      </c>
      <c r="AC34" s="141">
        <f>SUMIFS(Resumo_Trocas!$E:$E,Resumo_Trocas!$A:$A,$C34,Resumo_Trocas!$F:$F,AB$18,Resumo_Trocas!$C:$C,"&gt;0")</f>
        <v>0</v>
      </c>
      <c r="AD34" s="140">
        <f>SUMIFS(Resumo_Trocas!$C:$C,Resumo_Trocas!$A:$A,$C34,Resumo_Trocas!$F:$F,AD$18,Resumo_Trocas!$C:$C,"&gt;0")</f>
        <v>0</v>
      </c>
      <c r="AE34" s="141">
        <f>SUMIFS(Resumo_Trocas!$E:$E,Resumo_Trocas!$A:$A,$C34,Resumo_Trocas!$F:$F,AD$18,Resumo_Trocas!$C:$C,"&gt;0")</f>
        <v>0</v>
      </c>
      <c r="AF34" s="140">
        <f>SUMIFS(Resumo_Trocas!$C:$C,Resumo_Trocas!$A:$A,$C34,Resumo_Trocas!$F:$F,AF$18,Resumo_Trocas!$C:$C,"&gt;0")</f>
        <v>0</v>
      </c>
      <c r="AG34" s="141">
        <f>SUMIFS(Resumo_Trocas!$E:$E,Resumo_Trocas!$A:$A,$C34,Resumo_Trocas!$F:$F,AF$18,Resumo_Trocas!$C:$C,"&gt;0")</f>
        <v>0</v>
      </c>
      <c r="AH34" s="140">
        <f>SUMIFS(Resumo_Trocas!$C:$C,Resumo_Trocas!$A:$A,$C34,Resumo_Trocas!$F:$F,AH$18,Resumo_Trocas!$C:$C,"&gt;0")</f>
        <v>0</v>
      </c>
      <c r="AI34" s="141">
        <f>SUMIFS(Resumo_Trocas!$E:$E,Resumo_Trocas!$A:$A,$C34,Resumo_Trocas!$F:$F,AH$18,Resumo_Trocas!$C:$C,"&gt;0")</f>
        <v>0</v>
      </c>
      <c r="AJ34" s="140">
        <f>SUMIFS(Resumo_Trocas!$C:$C,Resumo_Trocas!$A:$A,$C34,Resumo_Trocas!$F:$F,AJ$18,Resumo_Trocas!$C:$C,"&gt;0")</f>
        <v>0</v>
      </c>
      <c r="AK34" s="141">
        <f>SUMIFS(Resumo_Trocas!$E:$E,Resumo_Trocas!$A:$A,$C34,Resumo_Trocas!$F:$F,AJ$18,Resumo_Trocas!$C:$C,"&gt;0")</f>
        <v>0</v>
      </c>
      <c r="AL34" s="140">
        <f>SUMIFS(Resumo_Trocas!$C:$C,Resumo_Trocas!$A:$A,$C34,Resumo_Trocas!$F:$F,AL$18,Resumo_Trocas!$C:$C,"&gt;0")</f>
        <v>0</v>
      </c>
      <c r="AM34" s="141">
        <f>SUMIFS(Resumo_Trocas!$E:$E,Resumo_Trocas!$A:$A,$C34,Resumo_Trocas!$F:$F,AL$18,Resumo_Trocas!$C:$C,"&gt;0")</f>
        <v>0</v>
      </c>
      <c r="AN34" s="140">
        <f>SUMIFS(Resumo_Trocas!$C:$C,Resumo_Trocas!$A:$A,$C34,Resumo_Trocas!$F:$F,AN$18,Resumo_Trocas!$C:$C,"&gt;0")</f>
        <v>0</v>
      </c>
      <c r="AO34" s="141">
        <f>SUMIFS(Resumo_Trocas!$E:$E,Resumo_Trocas!$A:$A,$C34,Resumo_Trocas!$F:$F,AN$18,Resumo_Trocas!$C:$C,"&gt;0")</f>
        <v>0</v>
      </c>
      <c r="AP34" s="75"/>
      <c r="AQ34" s="75"/>
    </row>
    <row r="35" spans="2:43" ht="15" customHeight="1" outlineLevel="1" thickBot="1" x14ac:dyDescent="0.4">
      <c r="B35" s="76"/>
      <c r="C35" s="150" t="s">
        <v>3420</v>
      </c>
      <c r="D35" s="140">
        <f>SUMIFS(Resumo_Trocas!$C:$C,Resumo_Trocas!$A:$A,$C35,Resumo_Trocas!$F:$F,D$18,Resumo_Trocas!$C:$C,"&gt;0")</f>
        <v>0</v>
      </c>
      <c r="E35" s="141">
        <f>SUMIFS(Resumo_Trocas!$E:$E,Resumo_Trocas!$A:$A,$C35,Resumo_Trocas!$F:$F,D$18,Resumo_Trocas!$C:$C,"&gt;0")</f>
        <v>0</v>
      </c>
      <c r="F35" s="140">
        <f>SUMIFS(Resumo_Trocas!$C:$C,Resumo_Trocas!$A:$A,$C35,Resumo_Trocas!$F:$F,F$18,Resumo_Trocas!$C:$C,"&gt;0")</f>
        <v>0</v>
      </c>
      <c r="G35" s="141">
        <f>SUMIFS(Resumo_Trocas!$E:$E,Resumo_Trocas!$A:$A,$C35,Resumo_Trocas!$F:$F,F$18,Resumo_Trocas!$C:$C,"&gt;0")</f>
        <v>0</v>
      </c>
      <c r="H35" s="140">
        <f>SUMIFS(Resumo_Trocas!$C:$C,Resumo_Trocas!$A:$A,$C35,Resumo_Trocas!$F:$F,H$18,Resumo_Trocas!$C:$C,"&gt;0")</f>
        <v>0</v>
      </c>
      <c r="I35" s="141">
        <f>SUMIFS(Resumo_Trocas!$E:$E,Resumo_Trocas!$A:$A,$C35,Resumo_Trocas!$F:$F,H$18,Resumo_Trocas!$C:$C,"&gt;0")</f>
        <v>0</v>
      </c>
      <c r="J35" s="140">
        <f>SUMIFS(Resumo_Trocas!$C:$C,Resumo_Trocas!$A:$A,$C35,Resumo_Trocas!$F:$F,J$18,Resumo_Trocas!$C:$C,"&gt;0")</f>
        <v>0</v>
      </c>
      <c r="K35" s="141">
        <f>SUMIFS(Resumo_Trocas!$E:$E,Resumo_Trocas!$A:$A,$C35,Resumo_Trocas!$F:$F,J$18,Resumo_Trocas!$C:$C,"&gt;0")</f>
        <v>0</v>
      </c>
      <c r="L35" s="140">
        <f>SUMIFS(Resumo_Trocas!$C:$C,Resumo_Trocas!$A:$A,$C35,Resumo_Trocas!$F:$F,L$18,Resumo_Trocas!$C:$C,"&gt;0")</f>
        <v>0</v>
      </c>
      <c r="M35" s="141">
        <f>SUMIFS(Resumo_Trocas!$E:$E,Resumo_Trocas!$A:$A,$C35,Resumo_Trocas!$F:$F,L$18,Resumo_Trocas!$C:$C,"&gt;0")</f>
        <v>0</v>
      </c>
      <c r="N35" s="140">
        <f>SUMIFS(Resumo_Trocas!$C:$C,Resumo_Trocas!$A:$A,$C35,Resumo_Trocas!$F:$F,N$18,Resumo_Trocas!$C:$C,"&gt;0")</f>
        <v>0</v>
      </c>
      <c r="O35" s="141">
        <f>SUMIFS(Resumo_Trocas!$E:$E,Resumo_Trocas!$A:$A,$C35,Resumo_Trocas!$F:$F,N$18,Resumo_Trocas!$C:$C,"&gt;0")</f>
        <v>0</v>
      </c>
      <c r="P35" s="140">
        <f>SUMIFS(Resumo_Trocas!$C:$C,Resumo_Trocas!$A:$A,$C35,Resumo_Trocas!$F:$F,P$18,Resumo_Trocas!$C:$C,"&gt;0")</f>
        <v>0</v>
      </c>
      <c r="Q35" s="141">
        <f>SUMIFS(Resumo_Trocas!$E:$E,Resumo_Trocas!$A:$A,$C35,Resumo_Trocas!$F:$F,P$18,Resumo_Trocas!$C:$C,"&gt;0")</f>
        <v>0</v>
      </c>
      <c r="R35" s="140">
        <f>SUMIFS(Resumo_Trocas!$C:$C,Resumo_Trocas!$A:$A,$C35,Resumo_Trocas!$F:$F,R$18,Resumo_Trocas!$C:$C,"&gt;0")</f>
        <v>0</v>
      </c>
      <c r="S35" s="141">
        <f>SUMIFS(Resumo_Trocas!$E:$E,Resumo_Trocas!$A:$A,$C35,Resumo_Trocas!$F:$F,R$18,Resumo_Trocas!$C:$C,"&gt;0")</f>
        <v>0</v>
      </c>
      <c r="T35" s="140">
        <f>SUMIFS(Resumo_Trocas!$C:$C,Resumo_Trocas!$A:$A,$C35,Resumo_Trocas!$F:$F,T$18,Resumo_Trocas!$C:$C,"&gt;0")</f>
        <v>0</v>
      </c>
      <c r="U35" s="141">
        <f>SUMIFS(Resumo_Trocas!$E:$E,Resumo_Trocas!$A:$A,$C35,Resumo_Trocas!$F:$F,T$18,Resumo_Trocas!$C:$C,"&gt;0")</f>
        <v>0</v>
      </c>
      <c r="V35" s="140">
        <f>SUMIFS(Resumo_Trocas!$C:$C,Resumo_Trocas!$A:$A,$C35,Resumo_Trocas!$F:$F,V$18,Resumo_Trocas!$C:$C,"&gt;0")</f>
        <v>0</v>
      </c>
      <c r="W35" s="141">
        <f>SUMIFS(Resumo_Trocas!$E:$E,Resumo_Trocas!$A:$A,$C35,Resumo_Trocas!$F:$F,V$18,Resumo_Trocas!$C:$C,"&gt;0")</f>
        <v>0</v>
      </c>
      <c r="X35" s="140">
        <f>SUMIFS(Resumo_Trocas!$C:$C,Resumo_Trocas!$A:$A,$C35,Resumo_Trocas!$F:$F,X$18,Resumo_Trocas!$C:$C,"&gt;0")</f>
        <v>0</v>
      </c>
      <c r="Y35" s="141">
        <f>SUMIFS(Resumo_Trocas!$E:$E,Resumo_Trocas!$A:$A,$C35,Resumo_Trocas!$F:$F,X$18,Resumo_Trocas!$C:$C,"&gt;0")</f>
        <v>0</v>
      </c>
      <c r="Z35" s="140">
        <f>SUMIFS(Resumo_Trocas!$C:$C,Resumo_Trocas!$A:$A,$C35,Resumo_Trocas!$F:$F,Z$18,Resumo_Trocas!$C:$C,"&gt;0")</f>
        <v>0</v>
      </c>
      <c r="AA35" s="141">
        <f>SUMIFS(Resumo_Trocas!$E:$E,Resumo_Trocas!$A:$A,$C35,Resumo_Trocas!$F:$F,Z$18,Resumo_Trocas!$C:$C,"&gt;0")</f>
        <v>0</v>
      </c>
      <c r="AB35" s="140">
        <f>SUMIFS(Resumo_Trocas!$C:$C,Resumo_Trocas!$A:$A,$C35,Resumo_Trocas!$F:$F,AB$18,Resumo_Trocas!$C:$C,"&gt;0")</f>
        <v>0</v>
      </c>
      <c r="AC35" s="141">
        <f>SUMIFS(Resumo_Trocas!$E:$E,Resumo_Trocas!$A:$A,$C35,Resumo_Trocas!$F:$F,AB$18,Resumo_Trocas!$C:$C,"&gt;0")</f>
        <v>0</v>
      </c>
      <c r="AD35" s="140">
        <f>SUMIFS(Resumo_Trocas!$C:$C,Resumo_Trocas!$A:$A,$C35,Resumo_Trocas!$F:$F,AD$18,Resumo_Trocas!$C:$C,"&gt;0")</f>
        <v>0</v>
      </c>
      <c r="AE35" s="141">
        <f>SUMIFS(Resumo_Trocas!$E:$E,Resumo_Trocas!$A:$A,$C35,Resumo_Trocas!$F:$F,AD$18,Resumo_Trocas!$C:$C,"&gt;0")</f>
        <v>0</v>
      </c>
      <c r="AF35" s="140">
        <f>SUMIFS(Resumo_Trocas!$C:$C,Resumo_Trocas!$A:$A,$C35,Resumo_Trocas!$F:$F,AF$18,Resumo_Trocas!$C:$C,"&gt;0")</f>
        <v>0</v>
      </c>
      <c r="AG35" s="141">
        <f>SUMIFS(Resumo_Trocas!$E:$E,Resumo_Trocas!$A:$A,$C35,Resumo_Trocas!$F:$F,AF$18,Resumo_Trocas!$C:$C,"&gt;0")</f>
        <v>0</v>
      </c>
      <c r="AH35" s="140">
        <f>SUMIFS(Resumo_Trocas!$C:$C,Resumo_Trocas!$A:$A,$C35,Resumo_Trocas!$F:$F,AH$18,Resumo_Trocas!$C:$C,"&gt;0")</f>
        <v>0</v>
      </c>
      <c r="AI35" s="141">
        <f>SUMIFS(Resumo_Trocas!$E:$E,Resumo_Trocas!$A:$A,$C35,Resumo_Trocas!$F:$F,AH$18,Resumo_Trocas!$C:$C,"&gt;0")</f>
        <v>0</v>
      </c>
      <c r="AJ35" s="140">
        <f>SUMIFS(Resumo_Trocas!$C:$C,Resumo_Trocas!$A:$A,$C35,Resumo_Trocas!$F:$F,AJ$18,Resumo_Trocas!$C:$C,"&gt;0")</f>
        <v>0</v>
      </c>
      <c r="AK35" s="141">
        <f>SUMIFS(Resumo_Trocas!$E:$E,Resumo_Trocas!$A:$A,$C35,Resumo_Trocas!$F:$F,AJ$18,Resumo_Trocas!$C:$C,"&gt;0")</f>
        <v>0</v>
      </c>
      <c r="AL35" s="140">
        <f>SUMIFS(Resumo_Trocas!$C:$C,Resumo_Trocas!$A:$A,$C35,Resumo_Trocas!$F:$F,AL$18,Resumo_Trocas!$C:$C,"&gt;0")</f>
        <v>0</v>
      </c>
      <c r="AM35" s="141">
        <f>SUMIFS(Resumo_Trocas!$E:$E,Resumo_Trocas!$A:$A,$C35,Resumo_Trocas!$F:$F,AL$18,Resumo_Trocas!$C:$C,"&gt;0")</f>
        <v>0</v>
      </c>
      <c r="AN35" s="140">
        <f>SUMIFS(Resumo_Trocas!$C:$C,Resumo_Trocas!$A:$A,$C35,Resumo_Trocas!$F:$F,AN$18,Resumo_Trocas!$C:$C,"&gt;0")</f>
        <v>0</v>
      </c>
      <c r="AO35" s="141">
        <f>SUMIFS(Resumo_Trocas!$E:$E,Resumo_Trocas!$A:$A,$C35,Resumo_Trocas!$F:$F,AN$18,Resumo_Trocas!$C:$C,"&gt;0")</f>
        <v>0</v>
      </c>
      <c r="AP35" s="75"/>
      <c r="AQ35" s="75"/>
    </row>
    <row r="36" spans="2:43" ht="15" customHeight="1" outlineLevel="1" thickBot="1" x14ac:dyDescent="0.4">
      <c r="B36" s="76"/>
      <c r="C36" s="150" t="s">
        <v>3421</v>
      </c>
      <c r="D36" s="140">
        <f>SUMIFS(Resumo_Trocas!$C:$C,Resumo_Trocas!$A:$A,$C36,Resumo_Trocas!$F:$F,D$18,Resumo_Trocas!$C:$C,"&gt;0")</f>
        <v>0</v>
      </c>
      <c r="E36" s="141">
        <f>SUMIFS(Resumo_Trocas!$E:$E,Resumo_Trocas!$A:$A,$C36,Resumo_Trocas!$F:$F,D$18,Resumo_Trocas!$C:$C,"&gt;0")</f>
        <v>0</v>
      </c>
      <c r="F36" s="140">
        <f>SUMIFS(Resumo_Trocas!$C:$C,Resumo_Trocas!$A:$A,$C36,Resumo_Trocas!$F:$F,F$18,Resumo_Trocas!$C:$C,"&gt;0")</f>
        <v>0</v>
      </c>
      <c r="G36" s="141">
        <f>SUMIFS(Resumo_Trocas!$E:$E,Resumo_Trocas!$A:$A,$C36,Resumo_Trocas!$F:$F,F$18,Resumo_Trocas!$C:$C,"&gt;0")</f>
        <v>0</v>
      </c>
      <c r="H36" s="140">
        <f>SUMIFS(Resumo_Trocas!$C:$C,Resumo_Trocas!$A:$A,$C36,Resumo_Trocas!$F:$F,H$18,Resumo_Trocas!$C:$C,"&gt;0")</f>
        <v>0</v>
      </c>
      <c r="I36" s="141">
        <f>SUMIFS(Resumo_Trocas!$E:$E,Resumo_Trocas!$A:$A,$C36,Resumo_Trocas!$F:$F,H$18,Resumo_Trocas!$C:$C,"&gt;0")</f>
        <v>0</v>
      </c>
      <c r="J36" s="140">
        <f>SUMIFS(Resumo_Trocas!$C:$C,Resumo_Trocas!$A:$A,$C36,Resumo_Trocas!$F:$F,J$18,Resumo_Trocas!$C:$C,"&gt;0")</f>
        <v>0</v>
      </c>
      <c r="K36" s="141">
        <f>SUMIFS(Resumo_Trocas!$E:$E,Resumo_Trocas!$A:$A,$C36,Resumo_Trocas!$F:$F,J$18,Resumo_Trocas!$C:$C,"&gt;0")</f>
        <v>0</v>
      </c>
      <c r="L36" s="140">
        <f>SUMIFS(Resumo_Trocas!$C:$C,Resumo_Trocas!$A:$A,$C36,Resumo_Trocas!$F:$F,L$18,Resumo_Trocas!$C:$C,"&gt;0")</f>
        <v>0</v>
      </c>
      <c r="M36" s="141">
        <f>SUMIFS(Resumo_Trocas!$E:$E,Resumo_Trocas!$A:$A,$C36,Resumo_Trocas!$F:$F,L$18,Resumo_Trocas!$C:$C,"&gt;0")</f>
        <v>0</v>
      </c>
      <c r="N36" s="140">
        <f>SUMIFS(Resumo_Trocas!$C:$C,Resumo_Trocas!$A:$A,$C36,Resumo_Trocas!$F:$F,N$18,Resumo_Trocas!$C:$C,"&gt;0")</f>
        <v>0</v>
      </c>
      <c r="O36" s="141">
        <f>SUMIFS(Resumo_Trocas!$E:$E,Resumo_Trocas!$A:$A,$C36,Resumo_Trocas!$F:$F,N$18,Resumo_Trocas!$C:$C,"&gt;0")</f>
        <v>0</v>
      </c>
      <c r="P36" s="140">
        <f>SUMIFS(Resumo_Trocas!$C:$C,Resumo_Trocas!$A:$A,$C36,Resumo_Trocas!$F:$F,P$18,Resumo_Trocas!$C:$C,"&gt;0")</f>
        <v>0</v>
      </c>
      <c r="Q36" s="141">
        <f>SUMIFS(Resumo_Trocas!$E:$E,Resumo_Trocas!$A:$A,$C36,Resumo_Trocas!$F:$F,P$18,Resumo_Trocas!$C:$C,"&gt;0")</f>
        <v>0</v>
      </c>
      <c r="R36" s="140">
        <f>SUMIFS(Resumo_Trocas!$C:$C,Resumo_Trocas!$A:$A,$C36,Resumo_Trocas!$F:$F,R$18,Resumo_Trocas!$C:$C,"&gt;0")</f>
        <v>0</v>
      </c>
      <c r="S36" s="141">
        <f>SUMIFS(Resumo_Trocas!$E:$E,Resumo_Trocas!$A:$A,$C36,Resumo_Trocas!$F:$F,R$18,Resumo_Trocas!$C:$C,"&gt;0")</f>
        <v>0</v>
      </c>
      <c r="T36" s="140">
        <f>SUMIFS(Resumo_Trocas!$C:$C,Resumo_Trocas!$A:$A,$C36,Resumo_Trocas!$F:$F,T$18,Resumo_Trocas!$C:$C,"&gt;0")</f>
        <v>0</v>
      </c>
      <c r="U36" s="141">
        <f>SUMIFS(Resumo_Trocas!$E:$E,Resumo_Trocas!$A:$A,$C36,Resumo_Trocas!$F:$F,T$18,Resumo_Trocas!$C:$C,"&gt;0")</f>
        <v>0</v>
      </c>
      <c r="V36" s="140">
        <f>SUMIFS(Resumo_Trocas!$C:$C,Resumo_Trocas!$A:$A,$C36,Resumo_Trocas!$F:$F,V$18,Resumo_Trocas!$C:$C,"&gt;0")</f>
        <v>0</v>
      </c>
      <c r="W36" s="141">
        <f>SUMIFS(Resumo_Trocas!$E:$E,Resumo_Trocas!$A:$A,$C36,Resumo_Trocas!$F:$F,V$18,Resumo_Trocas!$C:$C,"&gt;0")</f>
        <v>0</v>
      </c>
      <c r="X36" s="140">
        <f>SUMIFS(Resumo_Trocas!$C:$C,Resumo_Trocas!$A:$A,$C36,Resumo_Trocas!$F:$F,X$18,Resumo_Trocas!$C:$C,"&gt;0")</f>
        <v>0</v>
      </c>
      <c r="Y36" s="141">
        <f>SUMIFS(Resumo_Trocas!$E:$E,Resumo_Trocas!$A:$A,$C36,Resumo_Trocas!$F:$F,X$18,Resumo_Trocas!$C:$C,"&gt;0")</f>
        <v>0</v>
      </c>
      <c r="Z36" s="140">
        <f>SUMIFS(Resumo_Trocas!$C:$C,Resumo_Trocas!$A:$A,$C36,Resumo_Trocas!$F:$F,Z$18,Resumo_Trocas!$C:$C,"&gt;0")</f>
        <v>0</v>
      </c>
      <c r="AA36" s="141">
        <f>SUMIFS(Resumo_Trocas!$E:$E,Resumo_Trocas!$A:$A,$C36,Resumo_Trocas!$F:$F,Z$18,Resumo_Trocas!$C:$C,"&gt;0")</f>
        <v>0</v>
      </c>
      <c r="AB36" s="140">
        <f>SUMIFS(Resumo_Trocas!$C:$C,Resumo_Trocas!$A:$A,$C36,Resumo_Trocas!$F:$F,AB$18,Resumo_Trocas!$C:$C,"&gt;0")</f>
        <v>0</v>
      </c>
      <c r="AC36" s="141">
        <f>SUMIFS(Resumo_Trocas!$E:$E,Resumo_Trocas!$A:$A,$C36,Resumo_Trocas!$F:$F,AB$18,Resumo_Trocas!$C:$C,"&gt;0")</f>
        <v>0</v>
      </c>
      <c r="AD36" s="140">
        <f>SUMIFS(Resumo_Trocas!$C:$C,Resumo_Trocas!$A:$A,$C36,Resumo_Trocas!$F:$F,AD$18,Resumo_Trocas!$C:$C,"&gt;0")</f>
        <v>0</v>
      </c>
      <c r="AE36" s="141">
        <f>SUMIFS(Resumo_Trocas!$E:$E,Resumo_Trocas!$A:$A,$C36,Resumo_Trocas!$F:$F,AD$18,Resumo_Trocas!$C:$C,"&gt;0")</f>
        <v>0</v>
      </c>
      <c r="AF36" s="140">
        <f>SUMIFS(Resumo_Trocas!$C:$C,Resumo_Trocas!$A:$A,$C36,Resumo_Trocas!$F:$F,AF$18,Resumo_Trocas!$C:$C,"&gt;0")</f>
        <v>0</v>
      </c>
      <c r="AG36" s="141">
        <f>SUMIFS(Resumo_Trocas!$E:$E,Resumo_Trocas!$A:$A,$C36,Resumo_Trocas!$F:$F,AF$18,Resumo_Trocas!$C:$C,"&gt;0")</f>
        <v>0</v>
      </c>
      <c r="AH36" s="140">
        <f>SUMIFS(Resumo_Trocas!$C:$C,Resumo_Trocas!$A:$A,$C36,Resumo_Trocas!$F:$F,AH$18,Resumo_Trocas!$C:$C,"&gt;0")</f>
        <v>0</v>
      </c>
      <c r="AI36" s="141">
        <f>SUMIFS(Resumo_Trocas!$E:$E,Resumo_Trocas!$A:$A,$C36,Resumo_Trocas!$F:$F,AH$18,Resumo_Trocas!$C:$C,"&gt;0")</f>
        <v>0</v>
      </c>
      <c r="AJ36" s="140">
        <f>SUMIFS(Resumo_Trocas!$C:$C,Resumo_Trocas!$A:$A,$C36,Resumo_Trocas!$F:$F,AJ$18,Resumo_Trocas!$C:$C,"&gt;0")</f>
        <v>0</v>
      </c>
      <c r="AK36" s="141">
        <f>SUMIFS(Resumo_Trocas!$E:$E,Resumo_Trocas!$A:$A,$C36,Resumo_Trocas!$F:$F,AJ$18,Resumo_Trocas!$C:$C,"&gt;0")</f>
        <v>0</v>
      </c>
      <c r="AL36" s="140">
        <f>SUMIFS(Resumo_Trocas!$C:$C,Resumo_Trocas!$A:$A,$C36,Resumo_Trocas!$F:$F,AL$18,Resumo_Trocas!$C:$C,"&gt;0")</f>
        <v>0</v>
      </c>
      <c r="AM36" s="141">
        <f>SUMIFS(Resumo_Trocas!$E:$E,Resumo_Trocas!$A:$A,$C36,Resumo_Trocas!$F:$F,AL$18,Resumo_Trocas!$C:$C,"&gt;0")</f>
        <v>0</v>
      </c>
      <c r="AN36" s="140">
        <f>SUMIFS(Resumo_Trocas!$C:$C,Resumo_Trocas!$A:$A,$C36,Resumo_Trocas!$F:$F,AN$18,Resumo_Trocas!$C:$C,"&gt;0")</f>
        <v>0</v>
      </c>
      <c r="AO36" s="141">
        <f>SUMIFS(Resumo_Trocas!$E:$E,Resumo_Trocas!$A:$A,$C36,Resumo_Trocas!$F:$F,AN$18,Resumo_Trocas!$C:$C,"&gt;0")</f>
        <v>0</v>
      </c>
      <c r="AP36" s="75"/>
      <c r="AQ36" s="75"/>
    </row>
    <row r="37" spans="2:43" ht="15" customHeight="1" outlineLevel="1" thickBot="1" x14ac:dyDescent="0.4">
      <c r="B37" s="76"/>
      <c r="C37" s="150" t="s">
        <v>3422</v>
      </c>
      <c r="D37" s="140">
        <f>SUMIFS(Resumo_Trocas!$C:$C,Resumo_Trocas!$A:$A,$C37,Resumo_Trocas!$F:$F,D$18,Resumo_Trocas!$C:$C,"&gt;0")</f>
        <v>0</v>
      </c>
      <c r="E37" s="141">
        <f>SUMIFS(Resumo_Trocas!$E:$E,Resumo_Trocas!$A:$A,$C37,Resumo_Trocas!$F:$F,D$18,Resumo_Trocas!$C:$C,"&gt;0")</f>
        <v>0</v>
      </c>
      <c r="F37" s="140">
        <f>SUMIFS(Resumo_Trocas!$C:$C,Resumo_Trocas!$A:$A,$C37,Resumo_Trocas!$F:$F,F$18,Resumo_Trocas!$C:$C,"&gt;0")</f>
        <v>0</v>
      </c>
      <c r="G37" s="141">
        <f>SUMIFS(Resumo_Trocas!$E:$E,Resumo_Trocas!$A:$A,$C37,Resumo_Trocas!$F:$F,F$18,Resumo_Trocas!$C:$C,"&gt;0")</f>
        <v>0</v>
      </c>
      <c r="H37" s="140">
        <f>SUMIFS(Resumo_Trocas!$C:$C,Resumo_Trocas!$A:$A,$C37,Resumo_Trocas!$F:$F,H$18,Resumo_Trocas!$C:$C,"&gt;0")</f>
        <v>0</v>
      </c>
      <c r="I37" s="141">
        <f>SUMIFS(Resumo_Trocas!$E:$E,Resumo_Trocas!$A:$A,$C37,Resumo_Trocas!$F:$F,H$18,Resumo_Trocas!$C:$C,"&gt;0")</f>
        <v>0</v>
      </c>
      <c r="J37" s="140">
        <f>SUMIFS(Resumo_Trocas!$C:$C,Resumo_Trocas!$A:$A,$C37,Resumo_Trocas!$F:$F,J$18,Resumo_Trocas!$C:$C,"&gt;0")</f>
        <v>0</v>
      </c>
      <c r="K37" s="141">
        <f>SUMIFS(Resumo_Trocas!$E:$E,Resumo_Trocas!$A:$A,$C37,Resumo_Trocas!$F:$F,J$18,Resumo_Trocas!$C:$C,"&gt;0")</f>
        <v>0</v>
      </c>
      <c r="L37" s="140">
        <f>SUMIFS(Resumo_Trocas!$C:$C,Resumo_Trocas!$A:$A,$C37,Resumo_Trocas!$F:$F,L$18,Resumo_Trocas!$C:$C,"&gt;0")</f>
        <v>0</v>
      </c>
      <c r="M37" s="141">
        <f>SUMIFS(Resumo_Trocas!$E:$E,Resumo_Trocas!$A:$A,$C37,Resumo_Trocas!$F:$F,L$18,Resumo_Trocas!$C:$C,"&gt;0")</f>
        <v>0</v>
      </c>
      <c r="N37" s="140">
        <f>SUMIFS(Resumo_Trocas!$C:$C,Resumo_Trocas!$A:$A,$C37,Resumo_Trocas!$F:$F,N$18,Resumo_Trocas!$C:$C,"&gt;0")</f>
        <v>0</v>
      </c>
      <c r="O37" s="141">
        <f>SUMIFS(Resumo_Trocas!$E:$E,Resumo_Trocas!$A:$A,$C37,Resumo_Trocas!$F:$F,N$18,Resumo_Trocas!$C:$C,"&gt;0")</f>
        <v>0</v>
      </c>
      <c r="P37" s="140">
        <f>SUMIFS(Resumo_Trocas!$C:$C,Resumo_Trocas!$A:$A,$C37,Resumo_Trocas!$F:$F,P$18,Resumo_Trocas!$C:$C,"&gt;0")</f>
        <v>0</v>
      </c>
      <c r="Q37" s="141">
        <f>SUMIFS(Resumo_Trocas!$E:$E,Resumo_Trocas!$A:$A,$C37,Resumo_Trocas!$F:$F,P$18,Resumo_Trocas!$C:$C,"&gt;0")</f>
        <v>0</v>
      </c>
      <c r="R37" s="140">
        <f>SUMIFS(Resumo_Trocas!$C:$C,Resumo_Trocas!$A:$A,$C37,Resumo_Trocas!$F:$F,R$18,Resumo_Trocas!$C:$C,"&gt;0")</f>
        <v>0</v>
      </c>
      <c r="S37" s="141">
        <f>SUMIFS(Resumo_Trocas!$E:$E,Resumo_Trocas!$A:$A,$C37,Resumo_Trocas!$F:$F,R$18,Resumo_Trocas!$C:$C,"&gt;0")</f>
        <v>0</v>
      </c>
      <c r="T37" s="140">
        <f>SUMIFS(Resumo_Trocas!$C:$C,Resumo_Trocas!$A:$A,$C37,Resumo_Trocas!$F:$F,T$18,Resumo_Trocas!$C:$C,"&gt;0")</f>
        <v>0</v>
      </c>
      <c r="U37" s="141">
        <f>SUMIFS(Resumo_Trocas!$E:$E,Resumo_Trocas!$A:$A,$C37,Resumo_Trocas!$F:$F,T$18,Resumo_Trocas!$C:$C,"&gt;0")</f>
        <v>0</v>
      </c>
      <c r="V37" s="140">
        <f>SUMIFS(Resumo_Trocas!$C:$C,Resumo_Trocas!$A:$A,$C37,Resumo_Trocas!$F:$F,V$18,Resumo_Trocas!$C:$C,"&gt;0")</f>
        <v>0</v>
      </c>
      <c r="W37" s="141">
        <f>SUMIFS(Resumo_Trocas!$E:$E,Resumo_Trocas!$A:$A,$C37,Resumo_Trocas!$F:$F,V$18,Resumo_Trocas!$C:$C,"&gt;0")</f>
        <v>0</v>
      </c>
      <c r="X37" s="140">
        <f>SUMIFS(Resumo_Trocas!$C:$C,Resumo_Trocas!$A:$A,$C37,Resumo_Trocas!$F:$F,X$18,Resumo_Trocas!$C:$C,"&gt;0")</f>
        <v>0</v>
      </c>
      <c r="Y37" s="141">
        <f>SUMIFS(Resumo_Trocas!$E:$E,Resumo_Trocas!$A:$A,$C37,Resumo_Trocas!$F:$F,X$18,Resumo_Trocas!$C:$C,"&gt;0")</f>
        <v>0</v>
      </c>
      <c r="Z37" s="140">
        <f>SUMIFS(Resumo_Trocas!$C:$C,Resumo_Trocas!$A:$A,$C37,Resumo_Trocas!$F:$F,Z$18,Resumo_Trocas!$C:$C,"&gt;0")</f>
        <v>0</v>
      </c>
      <c r="AA37" s="141">
        <f>SUMIFS(Resumo_Trocas!$E:$E,Resumo_Trocas!$A:$A,$C37,Resumo_Trocas!$F:$F,Z$18,Resumo_Trocas!$C:$C,"&gt;0")</f>
        <v>0</v>
      </c>
      <c r="AB37" s="140">
        <f>SUMIFS(Resumo_Trocas!$C:$C,Resumo_Trocas!$A:$A,$C37,Resumo_Trocas!$F:$F,AB$18,Resumo_Trocas!$C:$C,"&gt;0")</f>
        <v>0</v>
      </c>
      <c r="AC37" s="141">
        <f>SUMIFS(Resumo_Trocas!$E:$E,Resumo_Trocas!$A:$A,$C37,Resumo_Trocas!$F:$F,AB$18,Resumo_Trocas!$C:$C,"&gt;0")</f>
        <v>0</v>
      </c>
      <c r="AD37" s="140">
        <f>SUMIFS(Resumo_Trocas!$C:$C,Resumo_Trocas!$A:$A,$C37,Resumo_Trocas!$F:$F,AD$18,Resumo_Trocas!$C:$C,"&gt;0")</f>
        <v>0</v>
      </c>
      <c r="AE37" s="141">
        <f>SUMIFS(Resumo_Trocas!$E:$E,Resumo_Trocas!$A:$A,$C37,Resumo_Trocas!$F:$F,AD$18,Resumo_Trocas!$C:$C,"&gt;0")</f>
        <v>0</v>
      </c>
      <c r="AF37" s="140">
        <f>SUMIFS(Resumo_Trocas!$C:$C,Resumo_Trocas!$A:$A,$C37,Resumo_Trocas!$F:$F,AF$18,Resumo_Trocas!$C:$C,"&gt;0")</f>
        <v>0</v>
      </c>
      <c r="AG37" s="141">
        <f>SUMIFS(Resumo_Trocas!$E:$E,Resumo_Trocas!$A:$A,$C37,Resumo_Trocas!$F:$F,AF$18,Resumo_Trocas!$C:$C,"&gt;0")</f>
        <v>0</v>
      </c>
      <c r="AH37" s="140">
        <f>SUMIFS(Resumo_Trocas!$C:$C,Resumo_Trocas!$A:$A,$C37,Resumo_Trocas!$F:$F,AH$18,Resumo_Trocas!$C:$C,"&gt;0")</f>
        <v>0</v>
      </c>
      <c r="AI37" s="141">
        <f>SUMIFS(Resumo_Trocas!$E:$E,Resumo_Trocas!$A:$A,$C37,Resumo_Trocas!$F:$F,AH$18,Resumo_Trocas!$C:$C,"&gt;0")</f>
        <v>0</v>
      </c>
      <c r="AJ37" s="140">
        <f>SUMIFS(Resumo_Trocas!$C:$C,Resumo_Trocas!$A:$A,$C37,Resumo_Trocas!$F:$F,AJ$18,Resumo_Trocas!$C:$C,"&gt;0")</f>
        <v>0</v>
      </c>
      <c r="AK37" s="141">
        <f>SUMIFS(Resumo_Trocas!$E:$E,Resumo_Trocas!$A:$A,$C37,Resumo_Trocas!$F:$F,AJ$18,Resumo_Trocas!$C:$C,"&gt;0")</f>
        <v>0</v>
      </c>
      <c r="AL37" s="140">
        <f>SUMIFS(Resumo_Trocas!$C:$C,Resumo_Trocas!$A:$A,$C37,Resumo_Trocas!$F:$F,AL$18,Resumo_Trocas!$C:$C,"&gt;0")</f>
        <v>0</v>
      </c>
      <c r="AM37" s="141">
        <f>SUMIFS(Resumo_Trocas!$E:$E,Resumo_Trocas!$A:$A,$C37,Resumo_Trocas!$F:$F,AL$18,Resumo_Trocas!$C:$C,"&gt;0")</f>
        <v>0</v>
      </c>
      <c r="AN37" s="140">
        <f>SUMIFS(Resumo_Trocas!$C:$C,Resumo_Trocas!$A:$A,$C37,Resumo_Trocas!$F:$F,AN$18,Resumo_Trocas!$C:$C,"&gt;0")</f>
        <v>0</v>
      </c>
      <c r="AO37" s="141">
        <f>SUMIFS(Resumo_Trocas!$E:$E,Resumo_Trocas!$A:$A,$C37,Resumo_Trocas!$F:$F,AN$18,Resumo_Trocas!$C:$C,"&gt;0")</f>
        <v>0</v>
      </c>
      <c r="AP37" s="75"/>
      <c r="AQ37" s="75"/>
    </row>
    <row r="38" spans="2:43" ht="15" customHeight="1" outlineLevel="1" thickBot="1" x14ac:dyDescent="0.4">
      <c r="B38" s="76"/>
      <c r="C38" s="150" t="s">
        <v>3423</v>
      </c>
      <c r="D38" s="140">
        <f>SUMIFS(Resumo_Trocas!$C:$C,Resumo_Trocas!$A:$A,$C38,Resumo_Trocas!$F:$F,D$18,Resumo_Trocas!$C:$C,"&gt;0")</f>
        <v>0</v>
      </c>
      <c r="E38" s="141">
        <f>SUMIFS(Resumo_Trocas!$E:$E,Resumo_Trocas!$A:$A,$C38,Resumo_Trocas!$F:$F,D$18,Resumo_Trocas!$C:$C,"&gt;0")</f>
        <v>0</v>
      </c>
      <c r="F38" s="140">
        <f>SUMIFS(Resumo_Trocas!$C:$C,Resumo_Trocas!$A:$A,$C38,Resumo_Trocas!$F:$F,F$18,Resumo_Trocas!$C:$C,"&gt;0")</f>
        <v>0</v>
      </c>
      <c r="G38" s="141">
        <f>SUMIFS(Resumo_Trocas!$E:$E,Resumo_Trocas!$A:$A,$C38,Resumo_Trocas!$F:$F,F$18,Resumo_Trocas!$C:$C,"&gt;0")</f>
        <v>0</v>
      </c>
      <c r="H38" s="140">
        <f>SUMIFS(Resumo_Trocas!$C:$C,Resumo_Trocas!$A:$A,$C38,Resumo_Trocas!$F:$F,H$18,Resumo_Trocas!$C:$C,"&gt;0")</f>
        <v>0</v>
      </c>
      <c r="I38" s="141">
        <f>SUMIFS(Resumo_Trocas!$E:$E,Resumo_Trocas!$A:$A,$C38,Resumo_Trocas!$F:$F,H$18,Resumo_Trocas!$C:$C,"&gt;0")</f>
        <v>0</v>
      </c>
      <c r="J38" s="140">
        <f>SUMIFS(Resumo_Trocas!$C:$C,Resumo_Trocas!$A:$A,$C38,Resumo_Trocas!$F:$F,J$18,Resumo_Trocas!$C:$C,"&gt;0")</f>
        <v>0</v>
      </c>
      <c r="K38" s="141">
        <f>SUMIFS(Resumo_Trocas!$E:$E,Resumo_Trocas!$A:$A,$C38,Resumo_Trocas!$F:$F,J$18,Resumo_Trocas!$C:$C,"&gt;0")</f>
        <v>0</v>
      </c>
      <c r="L38" s="140">
        <f>SUMIFS(Resumo_Trocas!$C:$C,Resumo_Trocas!$A:$A,$C38,Resumo_Trocas!$F:$F,L$18,Resumo_Trocas!$C:$C,"&gt;0")</f>
        <v>0</v>
      </c>
      <c r="M38" s="141">
        <f>SUMIFS(Resumo_Trocas!$E:$E,Resumo_Trocas!$A:$A,$C38,Resumo_Trocas!$F:$F,L$18,Resumo_Trocas!$C:$C,"&gt;0")</f>
        <v>0</v>
      </c>
      <c r="N38" s="140">
        <f>SUMIFS(Resumo_Trocas!$C:$C,Resumo_Trocas!$A:$A,$C38,Resumo_Trocas!$F:$F,N$18,Resumo_Trocas!$C:$C,"&gt;0")</f>
        <v>0</v>
      </c>
      <c r="O38" s="141">
        <f>SUMIFS(Resumo_Trocas!$E:$E,Resumo_Trocas!$A:$A,$C38,Resumo_Trocas!$F:$F,N$18,Resumo_Trocas!$C:$C,"&gt;0")</f>
        <v>0</v>
      </c>
      <c r="P38" s="140">
        <f>SUMIFS(Resumo_Trocas!$C:$C,Resumo_Trocas!$A:$A,$C38,Resumo_Trocas!$F:$F,P$18,Resumo_Trocas!$C:$C,"&gt;0")</f>
        <v>0</v>
      </c>
      <c r="Q38" s="141">
        <f>SUMIFS(Resumo_Trocas!$E:$E,Resumo_Trocas!$A:$A,$C38,Resumo_Trocas!$F:$F,P$18,Resumo_Trocas!$C:$C,"&gt;0")</f>
        <v>0</v>
      </c>
      <c r="R38" s="140">
        <f>SUMIFS(Resumo_Trocas!$C:$C,Resumo_Trocas!$A:$A,$C38,Resumo_Trocas!$F:$F,R$18,Resumo_Trocas!$C:$C,"&gt;0")</f>
        <v>0</v>
      </c>
      <c r="S38" s="141">
        <f>SUMIFS(Resumo_Trocas!$E:$E,Resumo_Trocas!$A:$A,$C38,Resumo_Trocas!$F:$F,R$18,Resumo_Trocas!$C:$C,"&gt;0")</f>
        <v>0</v>
      </c>
      <c r="T38" s="140">
        <f>SUMIFS(Resumo_Trocas!$C:$C,Resumo_Trocas!$A:$A,$C38,Resumo_Trocas!$F:$F,T$18,Resumo_Trocas!$C:$C,"&gt;0")</f>
        <v>0</v>
      </c>
      <c r="U38" s="141">
        <f>SUMIFS(Resumo_Trocas!$E:$E,Resumo_Trocas!$A:$A,$C38,Resumo_Trocas!$F:$F,T$18,Resumo_Trocas!$C:$C,"&gt;0")</f>
        <v>0</v>
      </c>
      <c r="V38" s="140">
        <f>SUMIFS(Resumo_Trocas!$C:$C,Resumo_Trocas!$A:$A,$C38,Resumo_Trocas!$F:$F,V$18,Resumo_Trocas!$C:$C,"&gt;0")</f>
        <v>0</v>
      </c>
      <c r="W38" s="141">
        <f>SUMIFS(Resumo_Trocas!$E:$E,Resumo_Trocas!$A:$A,$C38,Resumo_Trocas!$F:$F,V$18,Resumo_Trocas!$C:$C,"&gt;0")</f>
        <v>0</v>
      </c>
      <c r="X38" s="140">
        <f>SUMIFS(Resumo_Trocas!$C:$C,Resumo_Trocas!$A:$A,$C38,Resumo_Trocas!$F:$F,X$18,Resumo_Trocas!$C:$C,"&gt;0")</f>
        <v>0</v>
      </c>
      <c r="Y38" s="141">
        <f>SUMIFS(Resumo_Trocas!$E:$E,Resumo_Trocas!$A:$A,$C38,Resumo_Trocas!$F:$F,X$18,Resumo_Trocas!$C:$C,"&gt;0")</f>
        <v>0</v>
      </c>
      <c r="Z38" s="140">
        <f>SUMIFS(Resumo_Trocas!$C:$C,Resumo_Trocas!$A:$A,$C38,Resumo_Trocas!$F:$F,Z$18,Resumo_Trocas!$C:$C,"&gt;0")</f>
        <v>0</v>
      </c>
      <c r="AA38" s="141">
        <f>SUMIFS(Resumo_Trocas!$E:$E,Resumo_Trocas!$A:$A,$C38,Resumo_Trocas!$F:$F,Z$18,Resumo_Trocas!$C:$C,"&gt;0")</f>
        <v>0</v>
      </c>
      <c r="AB38" s="140">
        <f>SUMIFS(Resumo_Trocas!$C:$C,Resumo_Trocas!$A:$A,$C38,Resumo_Trocas!$F:$F,AB$18,Resumo_Trocas!$C:$C,"&gt;0")</f>
        <v>0</v>
      </c>
      <c r="AC38" s="141">
        <f>SUMIFS(Resumo_Trocas!$E:$E,Resumo_Trocas!$A:$A,$C38,Resumo_Trocas!$F:$F,AB$18,Resumo_Trocas!$C:$C,"&gt;0")</f>
        <v>0</v>
      </c>
      <c r="AD38" s="140">
        <f>SUMIFS(Resumo_Trocas!$C:$C,Resumo_Trocas!$A:$A,$C38,Resumo_Trocas!$F:$F,AD$18,Resumo_Trocas!$C:$C,"&gt;0")</f>
        <v>0</v>
      </c>
      <c r="AE38" s="141">
        <f>SUMIFS(Resumo_Trocas!$E:$E,Resumo_Trocas!$A:$A,$C38,Resumo_Trocas!$F:$F,AD$18,Resumo_Trocas!$C:$C,"&gt;0")</f>
        <v>0</v>
      </c>
      <c r="AF38" s="140">
        <f>SUMIFS(Resumo_Trocas!$C:$C,Resumo_Trocas!$A:$A,$C38,Resumo_Trocas!$F:$F,AF$18,Resumo_Trocas!$C:$C,"&gt;0")</f>
        <v>0</v>
      </c>
      <c r="AG38" s="141">
        <f>SUMIFS(Resumo_Trocas!$E:$E,Resumo_Trocas!$A:$A,$C38,Resumo_Trocas!$F:$F,AF$18,Resumo_Trocas!$C:$C,"&gt;0")</f>
        <v>0</v>
      </c>
      <c r="AH38" s="140">
        <f>SUMIFS(Resumo_Trocas!$C:$C,Resumo_Trocas!$A:$A,$C38,Resumo_Trocas!$F:$F,AH$18,Resumo_Trocas!$C:$C,"&gt;0")</f>
        <v>0</v>
      </c>
      <c r="AI38" s="141">
        <f>SUMIFS(Resumo_Trocas!$E:$E,Resumo_Trocas!$A:$A,$C38,Resumo_Trocas!$F:$F,AH$18,Resumo_Trocas!$C:$C,"&gt;0")</f>
        <v>0</v>
      </c>
      <c r="AJ38" s="140">
        <f>SUMIFS(Resumo_Trocas!$C:$C,Resumo_Trocas!$A:$A,$C38,Resumo_Trocas!$F:$F,AJ$18,Resumo_Trocas!$C:$C,"&gt;0")</f>
        <v>0</v>
      </c>
      <c r="AK38" s="141">
        <f>SUMIFS(Resumo_Trocas!$E:$E,Resumo_Trocas!$A:$A,$C38,Resumo_Trocas!$F:$F,AJ$18,Resumo_Trocas!$C:$C,"&gt;0")</f>
        <v>0</v>
      </c>
      <c r="AL38" s="140">
        <f>SUMIFS(Resumo_Trocas!$C:$C,Resumo_Trocas!$A:$A,$C38,Resumo_Trocas!$F:$F,AL$18,Resumo_Trocas!$C:$C,"&gt;0")</f>
        <v>0</v>
      </c>
      <c r="AM38" s="141">
        <f>SUMIFS(Resumo_Trocas!$E:$E,Resumo_Trocas!$A:$A,$C38,Resumo_Trocas!$F:$F,AL$18,Resumo_Trocas!$C:$C,"&gt;0")</f>
        <v>0</v>
      </c>
      <c r="AN38" s="140">
        <f>SUMIFS(Resumo_Trocas!$C:$C,Resumo_Trocas!$A:$A,$C38,Resumo_Trocas!$F:$F,AN$18,Resumo_Trocas!$C:$C,"&gt;0")</f>
        <v>0</v>
      </c>
      <c r="AO38" s="141">
        <f>SUMIFS(Resumo_Trocas!$E:$E,Resumo_Trocas!$A:$A,$C38,Resumo_Trocas!$F:$F,AN$18,Resumo_Trocas!$C:$C,"&gt;0")</f>
        <v>0</v>
      </c>
      <c r="AP38" s="75"/>
      <c r="AQ38" s="75"/>
    </row>
    <row r="39" spans="2:43" ht="15" customHeight="1" outlineLevel="1" thickBot="1" x14ac:dyDescent="0.4">
      <c r="B39" s="76"/>
      <c r="C39" s="150" t="s">
        <v>3424</v>
      </c>
      <c r="D39" s="140">
        <f>SUMIFS(Resumo_Trocas!$C:$C,Resumo_Trocas!$A:$A,$C39,Resumo_Trocas!$F:$F,D$18,Resumo_Trocas!$C:$C,"&gt;0")</f>
        <v>0</v>
      </c>
      <c r="E39" s="141">
        <f>SUMIFS(Resumo_Trocas!$E:$E,Resumo_Trocas!$A:$A,$C39,Resumo_Trocas!$F:$F,D$18,Resumo_Trocas!$C:$C,"&gt;0")</f>
        <v>0</v>
      </c>
      <c r="F39" s="140">
        <f>SUMIFS(Resumo_Trocas!$C:$C,Resumo_Trocas!$A:$A,$C39,Resumo_Trocas!$F:$F,F$18,Resumo_Trocas!$C:$C,"&gt;0")</f>
        <v>0</v>
      </c>
      <c r="G39" s="141">
        <f>SUMIFS(Resumo_Trocas!$E:$E,Resumo_Trocas!$A:$A,$C39,Resumo_Trocas!$F:$F,F$18,Resumo_Trocas!$C:$C,"&gt;0")</f>
        <v>0</v>
      </c>
      <c r="H39" s="140">
        <f>SUMIFS(Resumo_Trocas!$C:$C,Resumo_Trocas!$A:$A,$C39,Resumo_Trocas!$F:$F,H$18,Resumo_Trocas!$C:$C,"&gt;0")</f>
        <v>0</v>
      </c>
      <c r="I39" s="141">
        <f>SUMIFS(Resumo_Trocas!$E:$E,Resumo_Trocas!$A:$A,$C39,Resumo_Trocas!$F:$F,H$18,Resumo_Trocas!$C:$C,"&gt;0")</f>
        <v>0</v>
      </c>
      <c r="J39" s="140">
        <f>SUMIFS(Resumo_Trocas!$C:$C,Resumo_Trocas!$A:$A,$C39,Resumo_Trocas!$F:$F,J$18,Resumo_Trocas!$C:$C,"&gt;0")</f>
        <v>0</v>
      </c>
      <c r="K39" s="141">
        <f>SUMIFS(Resumo_Trocas!$E:$E,Resumo_Trocas!$A:$A,$C39,Resumo_Trocas!$F:$F,J$18,Resumo_Trocas!$C:$C,"&gt;0")</f>
        <v>0</v>
      </c>
      <c r="L39" s="140">
        <f>SUMIFS(Resumo_Trocas!$C:$C,Resumo_Trocas!$A:$A,$C39,Resumo_Trocas!$F:$F,L$18,Resumo_Trocas!$C:$C,"&gt;0")</f>
        <v>0</v>
      </c>
      <c r="M39" s="141">
        <f>SUMIFS(Resumo_Trocas!$E:$E,Resumo_Trocas!$A:$A,$C39,Resumo_Trocas!$F:$F,L$18,Resumo_Trocas!$C:$C,"&gt;0")</f>
        <v>0</v>
      </c>
      <c r="N39" s="140">
        <f>SUMIFS(Resumo_Trocas!$C:$C,Resumo_Trocas!$A:$A,$C39,Resumo_Trocas!$F:$F,N$18,Resumo_Trocas!$C:$C,"&gt;0")</f>
        <v>0</v>
      </c>
      <c r="O39" s="141">
        <f>SUMIFS(Resumo_Trocas!$E:$E,Resumo_Trocas!$A:$A,$C39,Resumo_Trocas!$F:$F,N$18,Resumo_Trocas!$C:$C,"&gt;0")</f>
        <v>0</v>
      </c>
      <c r="P39" s="140">
        <f>SUMIFS(Resumo_Trocas!$C:$C,Resumo_Trocas!$A:$A,$C39,Resumo_Trocas!$F:$F,P$18,Resumo_Trocas!$C:$C,"&gt;0")</f>
        <v>0</v>
      </c>
      <c r="Q39" s="141">
        <f>SUMIFS(Resumo_Trocas!$E:$E,Resumo_Trocas!$A:$A,$C39,Resumo_Trocas!$F:$F,P$18,Resumo_Trocas!$C:$C,"&gt;0")</f>
        <v>0</v>
      </c>
      <c r="R39" s="140">
        <f>SUMIFS(Resumo_Trocas!$C:$C,Resumo_Trocas!$A:$A,$C39,Resumo_Trocas!$F:$F,R$18,Resumo_Trocas!$C:$C,"&gt;0")</f>
        <v>0</v>
      </c>
      <c r="S39" s="141">
        <f>SUMIFS(Resumo_Trocas!$E:$E,Resumo_Trocas!$A:$A,$C39,Resumo_Trocas!$F:$F,R$18,Resumo_Trocas!$C:$C,"&gt;0")</f>
        <v>0</v>
      </c>
      <c r="T39" s="140">
        <f>SUMIFS(Resumo_Trocas!$C:$C,Resumo_Trocas!$A:$A,$C39,Resumo_Trocas!$F:$F,T$18,Resumo_Trocas!$C:$C,"&gt;0")</f>
        <v>0</v>
      </c>
      <c r="U39" s="141">
        <f>SUMIFS(Resumo_Trocas!$E:$E,Resumo_Trocas!$A:$A,$C39,Resumo_Trocas!$F:$F,T$18,Resumo_Trocas!$C:$C,"&gt;0")</f>
        <v>0</v>
      </c>
      <c r="V39" s="140">
        <f>SUMIFS(Resumo_Trocas!$C:$C,Resumo_Trocas!$A:$A,$C39,Resumo_Trocas!$F:$F,V$18,Resumo_Trocas!$C:$C,"&gt;0")</f>
        <v>0</v>
      </c>
      <c r="W39" s="141">
        <f>SUMIFS(Resumo_Trocas!$E:$E,Resumo_Trocas!$A:$A,$C39,Resumo_Trocas!$F:$F,V$18,Resumo_Trocas!$C:$C,"&gt;0")</f>
        <v>0</v>
      </c>
      <c r="X39" s="140">
        <f>SUMIFS(Resumo_Trocas!$C:$C,Resumo_Trocas!$A:$A,$C39,Resumo_Trocas!$F:$F,X$18,Resumo_Trocas!$C:$C,"&gt;0")</f>
        <v>0</v>
      </c>
      <c r="Y39" s="141">
        <f>SUMIFS(Resumo_Trocas!$E:$E,Resumo_Trocas!$A:$A,$C39,Resumo_Trocas!$F:$F,X$18,Resumo_Trocas!$C:$C,"&gt;0")</f>
        <v>0</v>
      </c>
      <c r="Z39" s="140">
        <f>SUMIFS(Resumo_Trocas!$C:$C,Resumo_Trocas!$A:$A,$C39,Resumo_Trocas!$F:$F,Z$18,Resumo_Trocas!$C:$C,"&gt;0")</f>
        <v>0</v>
      </c>
      <c r="AA39" s="141">
        <f>SUMIFS(Resumo_Trocas!$E:$E,Resumo_Trocas!$A:$A,$C39,Resumo_Trocas!$F:$F,Z$18,Resumo_Trocas!$C:$C,"&gt;0")</f>
        <v>0</v>
      </c>
      <c r="AB39" s="140">
        <f>SUMIFS(Resumo_Trocas!$C:$C,Resumo_Trocas!$A:$A,$C39,Resumo_Trocas!$F:$F,AB$18,Resumo_Trocas!$C:$C,"&gt;0")</f>
        <v>0</v>
      </c>
      <c r="AC39" s="141">
        <f>SUMIFS(Resumo_Trocas!$E:$E,Resumo_Trocas!$A:$A,$C39,Resumo_Trocas!$F:$F,AB$18,Resumo_Trocas!$C:$C,"&gt;0")</f>
        <v>0</v>
      </c>
      <c r="AD39" s="140">
        <f>SUMIFS(Resumo_Trocas!$C:$C,Resumo_Trocas!$A:$A,$C39,Resumo_Trocas!$F:$F,AD$18,Resumo_Trocas!$C:$C,"&gt;0")</f>
        <v>0</v>
      </c>
      <c r="AE39" s="141">
        <f>SUMIFS(Resumo_Trocas!$E:$E,Resumo_Trocas!$A:$A,$C39,Resumo_Trocas!$F:$F,AD$18,Resumo_Trocas!$C:$C,"&gt;0")</f>
        <v>0</v>
      </c>
      <c r="AF39" s="140">
        <f>SUMIFS(Resumo_Trocas!$C:$C,Resumo_Trocas!$A:$A,$C39,Resumo_Trocas!$F:$F,AF$18,Resumo_Trocas!$C:$C,"&gt;0")</f>
        <v>0</v>
      </c>
      <c r="AG39" s="141">
        <f>SUMIFS(Resumo_Trocas!$E:$E,Resumo_Trocas!$A:$A,$C39,Resumo_Trocas!$F:$F,AF$18,Resumo_Trocas!$C:$C,"&gt;0")</f>
        <v>0</v>
      </c>
      <c r="AH39" s="140">
        <f>SUMIFS(Resumo_Trocas!$C:$C,Resumo_Trocas!$A:$A,$C39,Resumo_Trocas!$F:$F,AH$18,Resumo_Trocas!$C:$C,"&gt;0")</f>
        <v>0</v>
      </c>
      <c r="AI39" s="141">
        <f>SUMIFS(Resumo_Trocas!$E:$E,Resumo_Trocas!$A:$A,$C39,Resumo_Trocas!$F:$F,AH$18,Resumo_Trocas!$C:$C,"&gt;0")</f>
        <v>0</v>
      </c>
      <c r="AJ39" s="140">
        <f>SUMIFS(Resumo_Trocas!$C:$C,Resumo_Trocas!$A:$A,$C39,Resumo_Trocas!$F:$F,AJ$18,Resumo_Trocas!$C:$C,"&gt;0")</f>
        <v>0</v>
      </c>
      <c r="AK39" s="141">
        <f>SUMIFS(Resumo_Trocas!$E:$E,Resumo_Trocas!$A:$A,$C39,Resumo_Trocas!$F:$F,AJ$18,Resumo_Trocas!$C:$C,"&gt;0")</f>
        <v>0</v>
      </c>
      <c r="AL39" s="140">
        <f>SUMIFS(Resumo_Trocas!$C:$C,Resumo_Trocas!$A:$A,$C39,Resumo_Trocas!$F:$F,AL$18,Resumo_Trocas!$C:$C,"&gt;0")</f>
        <v>0</v>
      </c>
      <c r="AM39" s="141">
        <f>SUMIFS(Resumo_Trocas!$E:$E,Resumo_Trocas!$A:$A,$C39,Resumo_Trocas!$F:$F,AL$18,Resumo_Trocas!$C:$C,"&gt;0")</f>
        <v>0</v>
      </c>
      <c r="AN39" s="140">
        <f>SUMIFS(Resumo_Trocas!$C:$C,Resumo_Trocas!$A:$A,$C39,Resumo_Trocas!$F:$F,AN$18,Resumo_Trocas!$C:$C,"&gt;0")</f>
        <v>0</v>
      </c>
      <c r="AO39" s="141">
        <f>SUMIFS(Resumo_Trocas!$E:$E,Resumo_Trocas!$A:$A,$C39,Resumo_Trocas!$F:$F,AN$18,Resumo_Trocas!$C:$C,"&gt;0")</f>
        <v>0</v>
      </c>
      <c r="AP39" s="75"/>
      <c r="AQ39" s="75"/>
    </row>
    <row r="40" spans="2:43" ht="15" customHeight="1" outlineLevel="1" thickBot="1" x14ac:dyDescent="0.4">
      <c r="B40" s="76"/>
      <c r="C40" s="150" t="s">
        <v>3425</v>
      </c>
      <c r="D40" s="140">
        <f>SUMIFS(Resumo_Trocas!$C:$C,Resumo_Trocas!$A:$A,$C40,Resumo_Trocas!$F:$F,D$18,Resumo_Trocas!$C:$C,"&gt;0")</f>
        <v>0</v>
      </c>
      <c r="E40" s="141">
        <f>SUMIFS(Resumo_Trocas!$E:$E,Resumo_Trocas!$A:$A,$C40,Resumo_Trocas!$F:$F,D$18,Resumo_Trocas!$C:$C,"&gt;0")</f>
        <v>0</v>
      </c>
      <c r="F40" s="140">
        <f>SUMIFS(Resumo_Trocas!$C:$C,Resumo_Trocas!$A:$A,$C40,Resumo_Trocas!$F:$F,F$18,Resumo_Trocas!$C:$C,"&gt;0")</f>
        <v>0</v>
      </c>
      <c r="G40" s="141">
        <f>SUMIFS(Resumo_Trocas!$E:$E,Resumo_Trocas!$A:$A,$C40,Resumo_Trocas!$F:$F,F$18,Resumo_Trocas!$C:$C,"&gt;0")</f>
        <v>0</v>
      </c>
      <c r="H40" s="140">
        <f>SUMIFS(Resumo_Trocas!$C:$C,Resumo_Trocas!$A:$A,$C40,Resumo_Trocas!$F:$F,H$18,Resumo_Trocas!$C:$C,"&gt;0")</f>
        <v>0</v>
      </c>
      <c r="I40" s="141">
        <f>SUMIFS(Resumo_Trocas!$E:$E,Resumo_Trocas!$A:$A,$C40,Resumo_Trocas!$F:$F,H$18,Resumo_Trocas!$C:$C,"&gt;0")</f>
        <v>0</v>
      </c>
      <c r="J40" s="140">
        <f>SUMIFS(Resumo_Trocas!$C:$C,Resumo_Trocas!$A:$A,$C40,Resumo_Trocas!$F:$F,J$18,Resumo_Trocas!$C:$C,"&gt;0")</f>
        <v>0</v>
      </c>
      <c r="K40" s="141">
        <f>SUMIFS(Resumo_Trocas!$E:$E,Resumo_Trocas!$A:$A,$C40,Resumo_Trocas!$F:$F,J$18,Resumo_Trocas!$C:$C,"&gt;0")</f>
        <v>0</v>
      </c>
      <c r="L40" s="140">
        <f>SUMIFS(Resumo_Trocas!$C:$C,Resumo_Trocas!$A:$A,$C40,Resumo_Trocas!$F:$F,L$18,Resumo_Trocas!$C:$C,"&gt;0")</f>
        <v>0</v>
      </c>
      <c r="M40" s="141">
        <f>SUMIFS(Resumo_Trocas!$E:$E,Resumo_Trocas!$A:$A,$C40,Resumo_Trocas!$F:$F,L$18,Resumo_Trocas!$C:$C,"&gt;0")</f>
        <v>0</v>
      </c>
      <c r="N40" s="140">
        <f>SUMIFS(Resumo_Trocas!$C:$C,Resumo_Trocas!$A:$A,$C40,Resumo_Trocas!$F:$F,N$18,Resumo_Trocas!$C:$C,"&gt;0")</f>
        <v>0</v>
      </c>
      <c r="O40" s="141">
        <f>SUMIFS(Resumo_Trocas!$E:$E,Resumo_Trocas!$A:$A,$C40,Resumo_Trocas!$F:$F,N$18,Resumo_Trocas!$C:$C,"&gt;0")</f>
        <v>0</v>
      </c>
      <c r="P40" s="140">
        <f>SUMIFS(Resumo_Trocas!$C:$C,Resumo_Trocas!$A:$A,$C40,Resumo_Trocas!$F:$F,P$18,Resumo_Trocas!$C:$C,"&gt;0")</f>
        <v>0</v>
      </c>
      <c r="Q40" s="141">
        <f>SUMIFS(Resumo_Trocas!$E:$E,Resumo_Trocas!$A:$A,$C40,Resumo_Trocas!$F:$F,P$18,Resumo_Trocas!$C:$C,"&gt;0")</f>
        <v>0</v>
      </c>
      <c r="R40" s="140">
        <f>SUMIFS(Resumo_Trocas!$C:$C,Resumo_Trocas!$A:$A,$C40,Resumo_Trocas!$F:$F,R$18,Resumo_Trocas!$C:$C,"&gt;0")</f>
        <v>0</v>
      </c>
      <c r="S40" s="141">
        <f>SUMIFS(Resumo_Trocas!$E:$E,Resumo_Trocas!$A:$A,$C40,Resumo_Trocas!$F:$F,R$18,Resumo_Trocas!$C:$C,"&gt;0")</f>
        <v>0</v>
      </c>
      <c r="T40" s="140">
        <f>SUMIFS(Resumo_Trocas!$C:$C,Resumo_Trocas!$A:$A,$C40,Resumo_Trocas!$F:$F,T$18,Resumo_Trocas!$C:$C,"&gt;0")</f>
        <v>0</v>
      </c>
      <c r="U40" s="141">
        <f>SUMIFS(Resumo_Trocas!$E:$E,Resumo_Trocas!$A:$A,$C40,Resumo_Trocas!$F:$F,T$18,Resumo_Trocas!$C:$C,"&gt;0")</f>
        <v>0</v>
      </c>
      <c r="V40" s="140">
        <f>SUMIFS(Resumo_Trocas!$C:$C,Resumo_Trocas!$A:$A,$C40,Resumo_Trocas!$F:$F,V$18,Resumo_Trocas!$C:$C,"&gt;0")</f>
        <v>0</v>
      </c>
      <c r="W40" s="141">
        <f>SUMIFS(Resumo_Trocas!$E:$E,Resumo_Trocas!$A:$A,$C40,Resumo_Trocas!$F:$F,V$18,Resumo_Trocas!$C:$C,"&gt;0")</f>
        <v>0</v>
      </c>
      <c r="X40" s="140">
        <f>SUMIFS(Resumo_Trocas!$C:$C,Resumo_Trocas!$A:$A,$C40,Resumo_Trocas!$F:$F,X$18,Resumo_Trocas!$C:$C,"&gt;0")</f>
        <v>0</v>
      </c>
      <c r="Y40" s="141">
        <f>SUMIFS(Resumo_Trocas!$E:$E,Resumo_Trocas!$A:$A,$C40,Resumo_Trocas!$F:$F,X$18,Resumo_Trocas!$C:$C,"&gt;0")</f>
        <v>0</v>
      </c>
      <c r="Z40" s="140">
        <f>SUMIFS(Resumo_Trocas!$C:$C,Resumo_Trocas!$A:$A,$C40,Resumo_Trocas!$F:$F,Z$18,Resumo_Trocas!$C:$C,"&gt;0")</f>
        <v>0</v>
      </c>
      <c r="AA40" s="141">
        <f>SUMIFS(Resumo_Trocas!$E:$E,Resumo_Trocas!$A:$A,$C40,Resumo_Trocas!$F:$F,Z$18,Resumo_Trocas!$C:$C,"&gt;0")</f>
        <v>0</v>
      </c>
      <c r="AB40" s="140">
        <f>SUMIFS(Resumo_Trocas!$C:$C,Resumo_Trocas!$A:$A,$C40,Resumo_Trocas!$F:$F,AB$18,Resumo_Trocas!$C:$C,"&gt;0")</f>
        <v>0</v>
      </c>
      <c r="AC40" s="141">
        <f>SUMIFS(Resumo_Trocas!$E:$E,Resumo_Trocas!$A:$A,$C40,Resumo_Trocas!$F:$F,AB$18,Resumo_Trocas!$C:$C,"&gt;0")</f>
        <v>0</v>
      </c>
      <c r="AD40" s="140">
        <f>SUMIFS(Resumo_Trocas!$C:$C,Resumo_Trocas!$A:$A,$C40,Resumo_Trocas!$F:$F,AD$18,Resumo_Trocas!$C:$C,"&gt;0")</f>
        <v>0</v>
      </c>
      <c r="AE40" s="141">
        <f>SUMIFS(Resumo_Trocas!$E:$E,Resumo_Trocas!$A:$A,$C40,Resumo_Trocas!$F:$F,AD$18,Resumo_Trocas!$C:$C,"&gt;0")</f>
        <v>0</v>
      </c>
      <c r="AF40" s="140">
        <f>SUMIFS(Resumo_Trocas!$C:$C,Resumo_Trocas!$A:$A,$C40,Resumo_Trocas!$F:$F,AF$18,Resumo_Trocas!$C:$C,"&gt;0")</f>
        <v>0</v>
      </c>
      <c r="AG40" s="141">
        <f>SUMIFS(Resumo_Trocas!$E:$E,Resumo_Trocas!$A:$A,$C40,Resumo_Trocas!$F:$F,AF$18,Resumo_Trocas!$C:$C,"&gt;0")</f>
        <v>0</v>
      </c>
      <c r="AH40" s="140">
        <f>SUMIFS(Resumo_Trocas!$C:$C,Resumo_Trocas!$A:$A,$C40,Resumo_Trocas!$F:$F,AH$18,Resumo_Trocas!$C:$C,"&gt;0")</f>
        <v>0</v>
      </c>
      <c r="AI40" s="141">
        <f>SUMIFS(Resumo_Trocas!$E:$E,Resumo_Trocas!$A:$A,$C40,Resumo_Trocas!$F:$F,AH$18,Resumo_Trocas!$C:$C,"&gt;0")</f>
        <v>0</v>
      </c>
      <c r="AJ40" s="140">
        <f>SUMIFS(Resumo_Trocas!$C:$C,Resumo_Trocas!$A:$A,$C40,Resumo_Trocas!$F:$F,AJ$18,Resumo_Trocas!$C:$C,"&gt;0")</f>
        <v>0</v>
      </c>
      <c r="AK40" s="141">
        <f>SUMIFS(Resumo_Trocas!$E:$E,Resumo_Trocas!$A:$A,$C40,Resumo_Trocas!$F:$F,AJ$18,Resumo_Trocas!$C:$C,"&gt;0")</f>
        <v>0</v>
      </c>
      <c r="AL40" s="140">
        <f>SUMIFS(Resumo_Trocas!$C:$C,Resumo_Trocas!$A:$A,$C40,Resumo_Trocas!$F:$F,AL$18,Resumo_Trocas!$C:$C,"&gt;0")</f>
        <v>0</v>
      </c>
      <c r="AM40" s="141">
        <f>SUMIFS(Resumo_Trocas!$E:$E,Resumo_Trocas!$A:$A,$C40,Resumo_Trocas!$F:$F,AL$18,Resumo_Trocas!$C:$C,"&gt;0")</f>
        <v>0</v>
      </c>
      <c r="AN40" s="140">
        <f>SUMIFS(Resumo_Trocas!$C:$C,Resumo_Trocas!$A:$A,$C40,Resumo_Trocas!$F:$F,AN$18,Resumo_Trocas!$C:$C,"&gt;0")</f>
        <v>0</v>
      </c>
      <c r="AO40" s="141">
        <f>SUMIFS(Resumo_Trocas!$E:$E,Resumo_Trocas!$A:$A,$C40,Resumo_Trocas!$F:$F,AN$18,Resumo_Trocas!$C:$C,"&gt;0")</f>
        <v>0</v>
      </c>
      <c r="AP40" s="75"/>
      <c r="AQ40" s="75"/>
    </row>
    <row r="41" spans="2:43" ht="15" customHeight="1" outlineLevel="1" thickBot="1" x14ac:dyDescent="0.4">
      <c r="B41" s="76"/>
      <c r="C41" s="150" t="s">
        <v>3426</v>
      </c>
      <c r="D41" s="140">
        <f>SUMIFS(Resumo_Trocas!$C:$C,Resumo_Trocas!$A:$A,$C41,Resumo_Trocas!$F:$F,D$18,Resumo_Trocas!$C:$C,"&gt;0")</f>
        <v>0</v>
      </c>
      <c r="E41" s="141">
        <f>SUMIFS(Resumo_Trocas!$E:$E,Resumo_Trocas!$A:$A,$C41,Resumo_Trocas!$F:$F,D$18,Resumo_Trocas!$C:$C,"&gt;0")</f>
        <v>0</v>
      </c>
      <c r="F41" s="140">
        <f>SUMIFS(Resumo_Trocas!$C:$C,Resumo_Trocas!$A:$A,$C41,Resumo_Trocas!$F:$F,F$18,Resumo_Trocas!$C:$C,"&gt;0")</f>
        <v>0</v>
      </c>
      <c r="G41" s="141">
        <f>SUMIFS(Resumo_Trocas!$E:$E,Resumo_Trocas!$A:$A,$C41,Resumo_Trocas!$F:$F,F$18,Resumo_Trocas!$C:$C,"&gt;0")</f>
        <v>0</v>
      </c>
      <c r="H41" s="140">
        <f>SUMIFS(Resumo_Trocas!$C:$C,Resumo_Trocas!$A:$A,$C41,Resumo_Trocas!$F:$F,H$18,Resumo_Trocas!$C:$C,"&gt;0")</f>
        <v>0</v>
      </c>
      <c r="I41" s="141">
        <f>SUMIFS(Resumo_Trocas!$E:$E,Resumo_Trocas!$A:$A,$C41,Resumo_Trocas!$F:$F,H$18,Resumo_Trocas!$C:$C,"&gt;0")</f>
        <v>0</v>
      </c>
      <c r="J41" s="140">
        <f>SUMIFS(Resumo_Trocas!$C:$C,Resumo_Trocas!$A:$A,$C41,Resumo_Trocas!$F:$F,J$18,Resumo_Trocas!$C:$C,"&gt;0")</f>
        <v>0</v>
      </c>
      <c r="K41" s="141">
        <f>SUMIFS(Resumo_Trocas!$E:$E,Resumo_Trocas!$A:$A,$C41,Resumo_Trocas!$F:$F,J$18,Resumo_Trocas!$C:$C,"&gt;0")</f>
        <v>0</v>
      </c>
      <c r="L41" s="140">
        <f>SUMIFS(Resumo_Trocas!$C:$C,Resumo_Trocas!$A:$A,$C41,Resumo_Trocas!$F:$F,L$18,Resumo_Trocas!$C:$C,"&gt;0")</f>
        <v>0</v>
      </c>
      <c r="M41" s="141">
        <f>SUMIFS(Resumo_Trocas!$E:$E,Resumo_Trocas!$A:$A,$C41,Resumo_Trocas!$F:$F,L$18,Resumo_Trocas!$C:$C,"&gt;0")</f>
        <v>0</v>
      </c>
      <c r="N41" s="140">
        <f>SUMIFS(Resumo_Trocas!$C:$C,Resumo_Trocas!$A:$A,$C41,Resumo_Trocas!$F:$F,N$18,Resumo_Trocas!$C:$C,"&gt;0")</f>
        <v>0</v>
      </c>
      <c r="O41" s="141">
        <f>SUMIFS(Resumo_Trocas!$E:$E,Resumo_Trocas!$A:$A,$C41,Resumo_Trocas!$F:$F,N$18,Resumo_Trocas!$C:$C,"&gt;0")</f>
        <v>0</v>
      </c>
      <c r="P41" s="140">
        <f>SUMIFS(Resumo_Trocas!$C:$C,Resumo_Trocas!$A:$A,$C41,Resumo_Trocas!$F:$F,P$18,Resumo_Trocas!$C:$C,"&gt;0")</f>
        <v>0</v>
      </c>
      <c r="Q41" s="141">
        <f>SUMIFS(Resumo_Trocas!$E:$E,Resumo_Trocas!$A:$A,$C41,Resumo_Trocas!$F:$F,P$18,Resumo_Trocas!$C:$C,"&gt;0")</f>
        <v>0</v>
      </c>
      <c r="R41" s="140">
        <f>SUMIFS(Resumo_Trocas!$C:$C,Resumo_Trocas!$A:$A,$C41,Resumo_Trocas!$F:$F,R$18,Resumo_Trocas!$C:$C,"&gt;0")</f>
        <v>0</v>
      </c>
      <c r="S41" s="141">
        <f>SUMIFS(Resumo_Trocas!$E:$E,Resumo_Trocas!$A:$A,$C41,Resumo_Trocas!$F:$F,R$18,Resumo_Trocas!$C:$C,"&gt;0")</f>
        <v>0</v>
      </c>
      <c r="T41" s="140">
        <f>SUMIFS(Resumo_Trocas!$C:$C,Resumo_Trocas!$A:$A,$C41,Resumo_Trocas!$F:$F,T$18,Resumo_Trocas!$C:$C,"&gt;0")</f>
        <v>0</v>
      </c>
      <c r="U41" s="141">
        <f>SUMIFS(Resumo_Trocas!$E:$E,Resumo_Trocas!$A:$A,$C41,Resumo_Trocas!$F:$F,T$18,Resumo_Trocas!$C:$C,"&gt;0")</f>
        <v>0</v>
      </c>
      <c r="V41" s="140">
        <f>SUMIFS(Resumo_Trocas!$C:$C,Resumo_Trocas!$A:$A,$C41,Resumo_Trocas!$F:$F,V$18,Resumo_Trocas!$C:$C,"&gt;0")</f>
        <v>0</v>
      </c>
      <c r="W41" s="141">
        <f>SUMIFS(Resumo_Trocas!$E:$E,Resumo_Trocas!$A:$A,$C41,Resumo_Trocas!$F:$F,V$18,Resumo_Trocas!$C:$C,"&gt;0")</f>
        <v>0</v>
      </c>
      <c r="X41" s="140">
        <f>SUMIFS(Resumo_Trocas!$C:$C,Resumo_Trocas!$A:$A,$C41,Resumo_Trocas!$F:$F,X$18,Resumo_Trocas!$C:$C,"&gt;0")</f>
        <v>0</v>
      </c>
      <c r="Y41" s="141">
        <f>SUMIFS(Resumo_Trocas!$E:$E,Resumo_Trocas!$A:$A,$C41,Resumo_Trocas!$F:$F,X$18,Resumo_Trocas!$C:$C,"&gt;0")</f>
        <v>0</v>
      </c>
      <c r="Z41" s="140">
        <f>SUMIFS(Resumo_Trocas!$C:$C,Resumo_Trocas!$A:$A,$C41,Resumo_Trocas!$F:$F,Z$18,Resumo_Trocas!$C:$C,"&gt;0")</f>
        <v>0</v>
      </c>
      <c r="AA41" s="141">
        <f>SUMIFS(Resumo_Trocas!$E:$E,Resumo_Trocas!$A:$A,$C41,Resumo_Trocas!$F:$F,Z$18,Resumo_Trocas!$C:$C,"&gt;0")</f>
        <v>0</v>
      </c>
      <c r="AB41" s="140">
        <f>SUMIFS(Resumo_Trocas!$C:$C,Resumo_Trocas!$A:$A,$C41,Resumo_Trocas!$F:$F,AB$18,Resumo_Trocas!$C:$C,"&gt;0")</f>
        <v>0</v>
      </c>
      <c r="AC41" s="141">
        <f>SUMIFS(Resumo_Trocas!$E:$E,Resumo_Trocas!$A:$A,$C41,Resumo_Trocas!$F:$F,AB$18,Resumo_Trocas!$C:$C,"&gt;0")</f>
        <v>0</v>
      </c>
      <c r="AD41" s="140">
        <f>SUMIFS(Resumo_Trocas!$C:$C,Resumo_Trocas!$A:$A,$C41,Resumo_Trocas!$F:$F,AD$18,Resumo_Trocas!$C:$C,"&gt;0")</f>
        <v>0</v>
      </c>
      <c r="AE41" s="141">
        <f>SUMIFS(Resumo_Trocas!$E:$E,Resumo_Trocas!$A:$A,$C41,Resumo_Trocas!$F:$F,AD$18,Resumo_Trocas!$C:$C,"&gt;0")</f>
        <v>0</v>
      </c>
      <c r="AF41" s="140">
        <f>SUMIFS(Resumo_Trocas!$C:$C,Resumo_Trocas!$A:$A,$C41,Resumo_Trocas!$F:$F,AF$18,Resumo_Trocas!$C:$C,"&gt;0")</f>
        <v>0</v>
      </c>
      <c r="AG41" s="141">
        <f>SUMIFS(Resumo_Trocas!$E:$E,Resumo_Trocas!$A:$A,$C41,Resumo_Trocas!$F:$F,AF$18,Resumo_Trocas!$C:$C,"&gt;0")</f>
        <v>0</v>
      </c>
      <c r="AH41" s="140">
        <f>SUMIFS(Resumo_Trocas!$C:$C,Resumo_Trocas!$A:$A,$C41,Resumo_Trocas!$F:$F,AH$18,Resumo_Trocas!$C:$C,"&gt;0")</f>
        <v>0</v>
      </c>
      <c r="AI41" s="141">
        <f>SUMIFS(Resumo_Trocas!$E:$E,Resumo_Trocas!$A:$A,$C41,Resumo_Trocas!$F:$F,AH$18,Resumo_Trocas!$C:$C,"&gt;0")</f>
        <v>0</v>
      </c>
      <c r="AJ41" s="140">
        <f>SUMIFS(Resumo_Trocas!$C:$C,Resumo_Trocas!$A:$A,$C41,Resumo_Trocas!$F:$F,AJ$18,Resumo_Trocas!$C:$C,"&gt;0")</f>
        <v>0</v>
      </c>
      <c r="AK41" s="141">
        <f>SUMIFS(Resumo_Trocas!$E:$E,Resumo_Trocas!$A:$A,$C41,Resumo_Trocas!$F:$F,AJ$18,Resumo_Trocas!$C:$C,"&gt;0")</f>
        <v>0</v>
      </c>
      <c r="AL41" s="140">
        <f>SUMIFS(Resumo_Trocas!$C:$C,Resumo_Trocas!$A:$A,$C41,Resumo_Trocas!$F:$F,AL$18,Resumo_Trocas!$C:$C,"&gt;0")</f>
        <v>0</v>
      </c>
      <c r="AM41" s="141">
        <f>SUMIFS(Resumo_Trocas!$E:$E,Resumo_Trocas!$A:$A,$C41,Resumo_Trocas!$F:$F,AL$18,Resumo_Trocas!$C:$C,"&gt;0")</f>
        <v>0</v>
      </c>
      <c r="AN41" s="140">
        <f>SUMIFS(Resumo_Trocas!$C:$C,Resumo_Trocas!$A:$A,$C41,Resumo_Trocas!$F:$F,AN$18,Resumo_Trocas!$C:$C,"&gt;0")</f>
        <v>0</v>
      </c>
      <c r="AO41" s="141">
        <f>SUMIFS(Resumo_Trocas!$E:$E,Resumo_Trocas!$A:$A,$C41,Resumo_Trocas!$F:$F,AN$18,Resumo_Trocas!$C:$C,"&gt;0")</f>
        <v>0</v>
      </c>
      <c r="AP41" s="75"/>
      <c r="AQ41" s="75"/>
    </row>
    <row r="42" spans="2:43" ht="18" customHeight="1" outlineLevel="1" thickBot="1" x14ac:dyDescent="0.4">
      <c r="B42" s="76"/>
      <c r="C42" s="113" t="s">
        <v>3427</v>
      </c>
      <c r="D42" s="142">
        <f>SUMIFS(Resumo_Trocas!$C:$C,Resumo_Trocas!$A:$A,$C42,Resumo_Trocas!$F:$F,D$18,Resumo_Trocas!$C:$C,"&gt;0")</f>
        <v>0</v>
      </c>
      <c r="E42" s="143">
        <f>SUMIFS(Resumo_Trocas!$E:$E,Resumo_Trocas!$A:$A,$C42,Resumo_Trocas!$F:$F,D$18,Resumo_Trocas!$C:$C,"&gt;0")</f>
        <v>0</v>
      </c>
      <c r="F42" s="142">
        <f>SUMIFS(Resumo_Trocas!$C:$C,Resumo_Trocas!$A:$A,$C42,Resumo_Trocas!$F:$F,F$18,Resumo_Trocas!$C:$C,"&gt;0")</f>
        <v>0</v>
      </c>
      <c r="G42" s="143">
        <f>SUMIFS(Resumo_Trocas!$E:$E,Resumo_Trocas!$A:$A,$C42,Resumo_Trocas!$F:$F,F$18,Resumo_Trocas!$C:$C,"&gt;0")</f>
        <v>0</v>
      </c>
      <c r="H42" s="142">
        <f>SUMIFS(Resumo_Trocas!$C:$C,Resumo_Trocas!$A:$A,$C42,Resumo_Trocas!$F:$F,H$18,Resumo_Trocas!$C:$C,"&gt;0")</f>
        <v>0</v>
      </c>
      <c r="I42" s="143">
        <f>SUMIFS(Resumo_Trocas!$E:$E,Resumo_Trocas!$A:$A,$C42,Resumo_Trocas!$F:$F,H$18,Resumo_Trocas!$C:$C,"&gt;0")</f>
        <v>0</v>
      </c>
      <c r="J42" s="142">
        <f>SUMIFS(Resumo_Trocas!$C:$C,Resumo_Trocas!$A:$A,$C42,Resumo_Trocas!$F:$F,J$18,Resumo_Trocas!$C:$C,"&gt;0")</f>
        <v>0</v>
      </c>
      <c r="K42" s="143">
        <f>SUMIFS(Resumo_Trocas!$E:$E,Resumo_Trocas!$A:$A,$C42,Resumo_Trocas!$F:$F,J$18,Resumo_Trocas!$C:$C,"&gt;0")</f>
        <v>0</v>
      </c>
      <c r="L42" s="142">
        <f>SUMIFS(Resumo_Trocas!$C:$C,Resumo_Trocas!$A:$A,$C42,Resumo_Trocas!$F:$F,L$18,Resumo_Trocas!$C:$C,"&gt;0")</f>
        <v>0</v>
      </c>
      <c r="M42" s="143">
        <f>SUMIFS(Resumo_Trocas!$E:$E,Resumo_Trocas!$A:$A,$C42,Resumo_Trocas!$F:$F,L$18,Resumo_Trocas!$C:$C,"&gt;0")</f>
        <v>0</v>
      </c>
      <c r="N42" s="142">
        <f>SUMIFS(Resumo_Trocas!$C:$C,Resumo_Trocas!$A:$A,$C42,Resumo_Trocas!$F:$F,N$18,Resumo_Trocas!$C:$C,"&gt;0")</f>
        <v>0</v>
      </c>
      <c r="O42" s="143">
        <f>SUMIFS(Resumo_Trocas!$E:$E,Resumo_Trocas!$A:$A,$C42,Resumo_Trocas!$F:$F,N$18,Resumo_Trocas!$C:$C,"&gt;0")</f>
        <v>0</v>
      </c>
      <c r="P42" s="142">
        <f>SUMIFS(Resumo_Trocas!$C:$C,Resumo_Trocas!$A:$A,$C42,Resumo_Trocas!$F:$F,P$18,Resumo_Trocas!$C:$C,"&gt;0")</f>
        <v>0</v>
      </c>
      <c r="Q42" s="143">
        <f>SUMIFS(Resumo_Trocas!$E:$E,Resumo_Trocas!$A:$A,$C42,Resumo_Trocas!$F:$F,P$18,Resumo_Trocas!$C:$C,"&gt;0")</f>
        <v>0</v>
      </c>
      <c r="R42" s="142">
        <f>SUMIFS(Resumo_Trocas!$C:$C,Resumo_Trocas!$A:$A,$C42,Resumo_Trocas!$F:$F,R$18,Resumo_Trocas!$C:$C,"&gt;0")</f>
        <v>0</v>
      </c>
      <c r="S42" s="143">
        <f>SUMIFS(Resumo_Trocas!$E:$E,Resumo_Trocas!$A:$A,$C42,Resumo_Trocas!$F:$F,R$18,Resumo_Trocas!$C:$C,"&gt;0")</f>
        <v>0</v>
      </c>
      <c r="T42" s="142">
        <f>SUMIFS(Resumo_Trocas!$C:$C,Resumo_Trocas!$A:$A,$C42,Resumo_Trocas!$F:$F,T$18,Resumo_Trocas!$C:$C,"&gt;0")</f>
        <v>0</v>
      </c>
      <c r="U42" s="143">
        <f>SUMIFS(Resumo_Trocas!$E:$E,Resumo_Trocas!$A:$A,$C42,Resumo_Trocas!$F:$F,T$18,Resumo_Trocas!$C:$C,"&gt;0")</f>
        <v>0</v>
      </c>
      <c r="V42" s="142">
        <f>SUMIFS(Resumo_Trocas!$C:$C,Resumo_Trocas!$A:$A,$C42,Resumo_Trocas!$F:$F,V$18,Resumo_Trocas!$C:$C,"&gt;0")</f>
        <v>0</v>
      </c>
      <c r="W42" s="143">
        <f>SUMIFS(Resumo_Trocas!$E:$E,Resumo_Trocas!$A:$A,$C42,Resumo_Trocas!$F:$F,V$18,Resumo_Trocas!$C:$C,"&gt;0")</f>
        <v>0</v>
      </c>
      <c r="X42" s="142">
        <f>SUMIFS(Resumo_Trocas!$C:$C,Resumo_Trocas!$A:$A,$C42,Resumo_Trocas!$F:$F,X$18,Resumo_Trocas!$C:$C,"&gt;0")</f>
        <v>0</v>
      </c>
      <c r="Y42" s="143">
        <f>SUMIFS(Resumo_Trocas!$E:$E,Resumo_Trocas!$A:$A,$C42,Resumo_Trocas!$F:$F,X$18,Resumo_Trocas!$C:$C,"&gt;0")</f>
        <v>0</v>
      </c>
      <c r="Z42" s="142">
        <f>SUMIFS(Resumo_Trocas!$C:$C,Resumo_Trocas!$A:$A,$C42,Resumo_Trocas!$F:$F,Z$18,Resumo_Trocas!$C:$C,"&gt;0")</f>
        <v>0</v>
      </c>
      <c r="AA42" s="143">
        <f>SUMIFS(Resumo_Trocas!$E:$E,Resumo_Trocas!$A:$A,$C42,Resumo_Trocas!$F:$F,Z$18,Resumo_Trocas!$C:$C,"&gt;0")</f>
        <v>0</v>
      </c>
      <c r="AB42" s="142">
        <f>SUMIFS(Resumo_Trocas!$C:$C,Resumo_Trocas!$A:$A,$C42,Resumo_Trocas!$F:$F,AB$18,Resumo_Trocas!$C:$C,"&gt;0")</f>
        <v>0</v>
      </c>
      <c r="AC42" s="143">
        <f>SUMIFS(Resumo_Trocas!$E:$E,Resumo_Trocas!$A:$A,$C42,Resumo_Trocas!$F:$F,AB$18,Resumo_Trocas!$C:$C,"&gt;0")</f>
        <v>0</v>
      </c>
      <c r="AD42" s="142">
        <f>SUMIFS(Resumo_Trocas!$C:$C,Resumo_Trocas!$A:$A,$C42,Resumo_Trocas!$F:$F,AD$18,Resumo_Trocas!$C:$C,"&gt;0")</f>
        <v>0</v>
      </c>
      <c r="AE42" s="143">
        <f>SUMIFS(Resumo_Trocas!$E:$E,Resumo_Trocas!$A:$A,$C42,Resumo_Trocas!$F:$F,AD$18,Resumo_Trocas!$C:$C,"&gt;0")</f>
        <v>0</v>
      </c>
      <c r="AF42" s="142">
        <f>SUMIFS(Resumo_Trocas!$C:$C,Resumo_Trocas!$A:$A,$C42,Resumo_Trocas!$F:$F,AF$18,Resumo_Trocas!$C:$C,"&gt;0")</f>
        <v>0</v>
      </c>
      <c r="AG42" s="143">
        <f>SUMIFS(Resumo_Trocas!$E:$E,Resumo_Trocas!$A:$A,$C42,Resumo_Trocas!$F:$F,AF$18,Resumo_Trocas!$C:$C,"&gt;0")</f>
        <v>0</v>
      </c>
      <c r="AH42" s="142">
        <f>SUMIFS(Resumo_Trocas!$C:$C,Resumo_Trocas!$A:$A,$C42,Resumo_Trocas!$F:$F,AH$18,Resumo_Trocas!$C:$C,"&gt;0")</f>
        <v>0</v>
      </c>
      <c r="AI42" s="143">
        <f>SUMIFS(Resumo_Trocas!$E:$E,Resumo_Trocas!$A:$A,$C42,Resumo_Trocas!$F:$F,AH$18,Resumo_Trocas!$C:$C,"&gt;0")</f>
        <v>0</v>
      </c>
      <c r="AJ42" s="142">
        <f>SUMIFS(Resumo_Trocas!$C:$C,Resumo_Trocas!$A:$A,$C42,Resumo_Trocas!$F:$F,AJ$18,Resumo_Trocas!$C:$C,"&gt;0")</f>
        <v>0</v>
      </c>
      <c r="AK42" s="143">
        <f>SUMIFS(Resumo_Trocas!$E:$E,Resumo_Trocas!$A:$A,$C42,Resumo_Trocas!$F:$F,AJ$18,Resumo_Trocas!$C:$C,"&gt;0")</f>
        <v>0</v>
      </c>
      <c r="AL42" s="142">
        <f>SUMIFS(Resumo_Trocas!$C:$C,Resumo_Trocas!$A:$A,$C42,Resumo_Trocas!$F:$F,AL$18,Resumo_Trocas!$C:$C,"&gt;0")</f>
        <v>0</v>
      </c>
      <c r="AM42" s="143">
        <f>SUMIFS(Resumo_Trocas!$E:$E,Resumo_Trocas!$A:$A,$C42,Resumo_Trocas!$F:$F,AL$18,Resumo_Trocas!$C:$C,"&gt;0")</f>
        <v>0</v>
      </c>
      <c r="AN42" s="142">
        <f>SUMIFS(Resumo_Trocas!$C:$C,Resumo_Trocas!$A:$A,$C42,Resumo_Trocas!$F:$F,AN$18,Resumo_Trocas!$C:$C,"&gt;0")</f>
        <v>0</v>
      </c>
      <c r="AO42" s="143">
        <f>SUMIFS(Resumo_Trocas!$E:$E,Resumo_Trocas!$A:$A,$C42,Resumo_Trocas!$F:$F,AN$18,Resumo_Trocas!$C:$C,"&gt;0")</f>
        <v>0</v>
      </c>
      <c r="AP42" s="75"/>
      <c r="AQ42" s="75"/>
    </row>
    <row r="43" spans="2:43" ht="15.75" outlineLevel="1" thickBot="1" x14ac:dyDescent="0.3">
      <c r="B43" s="76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2:43" ht="21" customHeight="1" thickBot="1" x14ac:dyDescent="0.3">
      <c r="B44" s="72" t="s">
        <v>3395</v>
      </c>
      <c r="C44" s="215" t="s">
        <v>3397</v>
      </c>
      <c r="D44" s="211" t="s">
        <v>3372</v>
      </c>
      <c r="E44" s="212"/>
      <c r="F44" s="211" t="s">
        <v>3373</v>
      </c>
      <c r="G44" s="212"/>
      <c r="H44" s="213" t="s">
        <v>3374</v>
      </c>
      <c r="I44" s="214"/>
      <c r="J44" s="211" t="s">
        <v>3370</v>
      </c>
      <c r="K44" s="212"/>
      <c r="L44" s="211" t="s">
        <v>3371</v>
      </c>
      <c r="M44" s="212"/>
      <c r="N44" s="211" t="s">
        <v>3375</v>
      </c>
      <c r="O44" s="212"/>
      <c r="P44" s="211" t="s">
        <v>3367</v>
      </c>
      <c r="Q44" s="212"/>
      <c r="R44" s="211" t="s">
        <v>3368</v>
      </c>
      <c r="S44" s="212"/>
      <c r="T44" s="211" t="s">
        <v>3369</v>
      </c>
      <c r="U44" s="212"/>
      <c r="V44" s="213" t="s">
        <v>3358</v>
      </c>
      <c r="W44" s="214"/>
      <c r="X44" s="211" t="s">
        <v>3363</v>
      </c>
      <c r="Y44" s="212"/>
      <c r="Z44" s="211" t="s">
        <v>3361</v>
      </c>
      <c r="AA44" s="212"/>
      <c r="AB44" s="211" t="s">
        <v>3359</v>
      </c>
      <c r="AC44" s="212"/>
      <c r="AD44" s="211" t="s">
        <v>3366</v>
      </c>
      <c r="AE44" s="212"/>
      <c r="AF44" s="213" t="s">
        <v>3364</v>
      </c>
      <c r="AG44" s="214"/>
      <c r="AH44" s="211" t="s">
        <v>3360</v>
      </c>
      <c r="AI44" s="212"/>
      <c r="AJ44" s="211" t="s">
        <v>3362</v>
      </c>
      <c r="AK44" s="212"/>
      <c r="AL44" s="211" t="s">
        <v>3365</v>
      </c>
      <c r="AM44" s="212"/>
      <c r="AN44" s="201" t="s">
        <v>3486</v>
      </c>
      <c r="AO44" s="202"/>
    </row>
    <row r="45" spans="2:43" s="75" customFormat="1" ht="21" customHeight="1" thickBot="1" x14ac:dyDescent="0.4">
      <c r="B45" s="98" t="s">
        <v>3395</v>
      </c>
      <c r="C45" s="216"/>
      <c r="D45" s="103" t="s">
        <v>3487</v>
      </c>
      <c r="E45" s="104" t="s">
        <v>3353</v>
      </c>
      <c r="F45" s="105" t="s">
        <v>3487</v>
      </c>
      <c r="G45" s="104" t="s">
        <v>3353</v>
      </c>
      <c r="H45" s="105" t="s">
        <v>3487</v>
      </c>
      <c r="I45" s="104" t="s">
        <v>3353</v>
      </c>
      <c r="J45" s="105" t="s">
        <v>3487</v>
      </c>
      <c r="K45" s="104" t="s">
        <v>3353</v>
      </c>
      <c r="L45" s="105" t="s">
        <v>3487</v>
      </c>
      <c r="M45" s="104" t="s">
        <v>3353</v>
      </c>
      <c r="N45" s="105" t="s">
        <v>3487</v>
      </c>
      <c r="O45" s="104" t="s">
        <v>3353</v>
      </c>
      <c r="P45" s="105" t="s">
        <v>3487</v>
      </c>
      <c r="Q45" s="104" t="s">
        <v>3353</v>
      </c>
      <c r="R45" s="105" t="s">
        <v>3487</v>
      </c>
      <c r="S45" s="104" t="s">
        <v>3353</v>
      </c>
      <c r="T45" s="105" t="s">
        <v>3487</v>
      </c>
      <c r="U45" s="104" t="s">
        <v>3353</v>
      </c>
      <c r="V45" s="105" t="s">
        <v>3487</v>
      </c>
      <c r="W45" s="104" t="s">
        <v>3353</v>
      </c>
      <c r="X45" s="105" t="s">
        <v>3487</v>
      </c>
      <c r="Y45" s="104" t="s">
        <v>3353</v>
      </c>
      <c r="Z45" s="105" t="s">
        <v>3487</v>
      </c>
      <c r="AA45" s="104" t="s">
        <v>3353</v>
      </c>
      <c r="AB45" s="105" t="s">
        <v>3487</v>
      </c>
      <c r="AC45" s="104" t="s">
        <v>3353</v>
      </c>
      <c r="AD45" s="105" t="s">
        <v>3487</v>
      </c>
      <c r="AE45" s="104" t="s">
        <v>3353</v>
      </c>
      <c r="AF45" s="105" t="s">
        <v>3487</v>
      </c>
      <c r="AG45" s="104" t="s">
        <v>3353</v>
      </c>
      <c r="AH45" s="105" t="s">
        <v>3487</v>
      </c>
      <c r="AI45" s="104" t="s">
        <v>3353</v>
      </c>
      <c r="AJ45" s="105" t="s">
        <v>3487</v>
      </c>
      <c r="AK45" s="104" t="s">
        <v>3353</v>
      </c>
      <c r="AL45" s="105" t="s">
        <v>3487</v>
      </c>
      <c r="AM45" s="104" t="s">
        <v>3353</v>
      </c>
      <c r="AN45" s="105" t="s">
        <v>3487</v>
      </c>
      <c r="AO45" s="106" t="s">
        <v>3353</v>
      </c>
    </row>
    <row r="46" spans="2:43" ht="21.75" customHeight="1" outlineLevel="1" thickBot="1" x14ac:dyDescent="0.3">
      <c r="B46" s="76"/>
      <c r="C46" s="114" t="s">
        <v>3428</v>
      </c>
      <c r="D46" s="144">
        <f t="shared" ref="D46:U46" si="4">IFERROR(SUM(D47:D65)," ")</f>
        <v>28</v>
      </c>
      <c r="E46" s="145">
        <f t="shared" si="4"/>
        <v>9</v>
      </c>
      <c r="F46" s="99">
        <f t="shared" si="4"/>
        <v>17</v>
      </c>
      <c r="G46" s="100">
        <f t="shared" si="4"/>
        <v>6</v>
      </c>
      <c r="H46" s="99">
        <f t="shared" si="4"/>
        <v>8</v>
      </c>
      <c r="I46" s="100">
        <f t="shared" si="4"/>
        <v>1</v>
      </c>
      <c r="J46" s="99">
        <f t="shared" si="4"/>
        <v>12</v>
      </c>
      <c r="K46" s="100">
        <f t="shared" si="4"/>
        <v>2</v>
      </c>
      <c r="L46" s="99">
        <f t="shared" si="4"/>
        <v>5</v>
      </c>
      <c r="M46" s="100">
        <f t="shared" si="4"/>
        <v>2</v>
      </c>
      <c r="N46" s="99">
        <f t="shared" si="4"/>
        <v>1</v>
      </c>
      <c r="O46" s="100">
        <f t="shared" si="4"/>
        <v>0</v>
      </c>
      <c r="P46" s="99">
        <f t="shared" si="4"/>
        <v>10</v>
      </c>
      <c r="Q46" s="100">
        <f t="shared" si="4"/>
        <v>1</v>
      </c>
      <c r="R46" s="99">
        <f t="shared" si="4"/>
        <v>5</v>
      </c>
      <c r="S46" s="100">
        <f t="shared" si="4"/>
        <v>1</v>
      </c>
      <c r="T46" s="99">
        <f t="shared" si="4"/>
        <v>9</v>
      </c>
      <c r="U46" s="100">
        <f t="shared" si="4"/>
        <v>4</v>
      </c>
      <c r="V46" s="99">
        <f t="shared" ref="V46:AO46" si="5">IFERROR(SUM(V47:V66)," ")</f>
        <v>6</v>
      </c>
      <c r="W46" s="100">
        <f t="shared" si="5"/>
        <v>0</v>
      </c>
      <c r="X46" s="99">
        <f t="shared" si="5"/>
        <v>6</v>
      </c>
      <c r="Y46" s="100">
        <f t="shared" si="5"/>
        <v>2</v>
      </c>
      <c r="Z46" s="99">
        <f t="shared" si="5"/>
        <v>6</v>
      </c>
      <c r="AA46" s="100">
        <f t="shared" si="5"/>
        <v>1</v>
      </c>
      <c r="AB46" s="99">
        <f t="shared" si="5"/>
        <v>8</v>
      </c>
      <c r="AC46" s="100">
        <f t="shared" si="5"/>
        <v>1</v>
      </c>
      <c r="AD46" s="99">
        <f t="shared" si="5"/>
        <v>4</v>
      </c>
      <c r="AE46" s="100">
        <f t="shared" si="5"/>
        <v>1</v>
      </c>
      <c r="AF46" s="99">
        <f t="shared" si="5"/>
        <v>9</v>
      </c>
      <c r="AG46" s="100">
        <f t="shared" si="5"/>
        <v>2</v>
      </c>
      <c r="AH46" s="99">
        <f t="shared" si="5"/>
        <v>9</v>
      </c>
      <c r="AI46" s="100">
        <f t="shared" si="5"/>
        <v>1</v>
      </c>
      <c r="AJ46" s="99">
        <f t="shared" si="5"/>
        <v>9</v>
      </c>
      <c r="AK46" s="100">
        <f t="shared" si="5"/>
        <v>0</v>
      </c>
      <c r="AL46" s="99">
        <f t="shared" si="5"/>
        <v>7</v>
      </c>
      <c r="AM46" s="100">
        <f t="shared" si="5"/>
        <v>0</v>
      </c>
      <c r="AN46" s="99">
        <f t="shared" si="5"/>
        <v>0</v>
      </c>
      <c r="AO46" s="100">
        <f t="shared" si="5"/>
        <v>0</v>
      </c>
    </row>
    <row r="47" spans="2:43" ht="15" customHeight="1" outlineLevel="1" thickBot="1" x14ac:dyDescent="0.3">
      <c r="B47" s="76"/>
      <c r="C47" s="148" t="s">
        <v>278</v>
      </c>
      <c r="D47" s="138">
        <f>SUMIFS(Resumo_Trocas!$C:$C,Resumo_Trocas!$A:$A,$C47,Resumo_Trocas!$F:$F,D$18,Resumo_Trocas!$C:$C,"&gt;0")</f>
        <v>3</v>
      </c>
      <c r="E47" s="139">
        <f>SUMIFS(Resumo_Trocas!$E:$E,Resumo_Trocas!$A:$A,$C47,Resumo_Trocas!$F:$F,D$18,Resumo_Trocas!$C:$C,"&gt;0")</f>
        <v>2</v>
      </c>
      <c r="F47" s="138">
        <f>SUMIFS(Resumo_Trocas!$C:$C,Resumo_Trocas!$A:$A,$C47,Resumo_Trocas!$F:$F,F$18,Resumo_Trocas!$C:$C,"&gt;0")</f>
        <v>1</v>
      </c>
      <c r="G47" s="139">
        <f>SUMIFS(Resumo_Trocas!$E:$E,Resumo_Trocas!$A:$A,$C47,Resumo_Trocas!$F:$F,F$18,Resumo_Trocas!$C:$C,"&gt;0")</f>
        <v>0</v>
      </c>
      <c r="H47" s="138">
        <f>SUMIFS(Resumo_Trocas!$C:$C,Resumo_Trocas!$A:$A,$C47,Resumo_Trocas!$F:$F,H$18,Resumo_Trocas!$C:$C,"&gt;0")</f>
        <v>1</v>
      </c>
      <c r="I47" s="139">
        <f>SUMIFS(Resumo_Trocas!$E:$E,Resumo_Trocas!$A:$A,$C47,Resumo_Trocas!$F:$F,H$18,Resumo_Trocas!$C:$C,"&gt;0")</f>
        <v>0</v>
      </c>
      <c r="J47" s="138">
        <f>SUMIFS(Resumo_Trocas!$C:$C,Resumo_Trocas!$A:$A,$C47,Resumo_Trocas!$F:$F,J$18,Resumo_Trocas!$C:$C,"&gt;0")</f>
        <v>1</v>
      </c>
      <c r="K47" s="139">
        <f>SUMIFS(Resumo_Trocas!$E:$E,Resumo_Trocas!$A:$A,$C47,Resumo_Trocas!$F:$F,J$18,Resumo_Trocas!$C:$C,"&gt;0")</f>
        <v>0</v>
      </c>
      <c r="L47" s="138">
        <f>SUMIFS(Resumo_Trocas!$C:$C,Resumo_Trocas!$A:$A,$C47,Resumo_Trocas!$F:$F,L$18,Resumo_Trocas!$C:$C,"&gt;0")</f>
        <v>0</v>
      </c>
      <c r="M47" s="139">
        <f>SUMIFS(Resumo_Trocas!$E:$E,Resumo_Trocas!$A:$A,$C47,Resumo_Trocas!$F:$F,L$18,Resumo_Trocas!$C:$C,"&gt;0")</f>
        <v>0</v>
      </c>
      <c r="N47" s="138">
        <f>SUMIFS(Resumo_Trocas!$C:$C,Resumo_Trocas!$A:$A,$C47,Resumo_Trocas!$F:$F,N$18,Resumo_Trocas!$C:$C,"&gt;0")</f>
        <v>0</v>
      </c>
      <c r="O47" s="139">
        <f>SUMIFS(Resumo_Trocas!$E:$E,Resumo_Trocas!$A:$A,$C47,Resumo_Trocas!$F:$F,N$18,Resumo_Trocas!$C:$C,"&gt;0")</f>
        <v>0</v>
      </c>
      <c r="P47" s="138">
        <f>SUMIFS(Resumo_Trocas!$C:$C,Resumo_Trocas!$A:$A,$C47,Resumo_Trocas!$F:$F,P$18,Resumo_Trocas!$C:$C,"&gt;0")</f>
        <v>3</v>
      </c>
      <c r="Q47" s="139">
        <f>SUMIFS(Resumo_Trocas!$E:$E,Resumo_Trocas!$A:$A,$C47,Resumo_Trocas!$F:$F,P$18,Resumo_Trocas!$C:$C,"&gt;0")</f>
        <v>0</v>
      </c>
      <c r="R47" s="138">
        <f>SUMIFS(Resumo_Trocas!$C:$C,Resumo_Trocas!$A:$A,$C47,Resumo_Trocas!$F:$F,R$18,Resumo_Trocas!$C:$C,"&gt;0")</f>
        <v>0</v>
      </c>
      <c r="S47" s="139">
        <f>SUMIFS(Resumo_Trocas!$E:$E,Resumo_Trocas!$A:$A,$C47,Resumo_Trocas!$F:$F,R$18,Resumo_Trocas!$C:$C,"&gt;0")</f>
        <v>0</v>
      </c>
      <c r="T47" s="138">
        <f>SUMIFS(Resumo_Trocas!$C:$C,Resumo_Trocas!$A:$A,$C47,Resumo_Trocas!$F:$F,T$18,Resumo_Trocas!$C:$C,"&gt;0")</f>
        <v>1</v>
      </c>
      <c r="U47" s="139">
        <f>SUMIFS(Resumo_Trocas!$E:$E,Resumo_Trocas!$A:$A,$C47,Resumo_Trocas!$F:$F,T$18,Resumo_Trocas!$C:$C,"&gt;0")</f>
        <v>1</v>
      </c>
      <c r="V47" s="138">
        <f>SUMIFS(Resumo_Trocas!$C:$C,Resumo_Trocas!$A:$A,$C47,Resumo_Trocas!$F:$F,V$18,Resumo_Trocas!$C:$C,"&gt;0")</f>
        <v>0</v>
      </c>
      <c r="W47" s="139">
        <f>SUMIFS(Resumo_Trocas!$E:$E,Resumo_Trocas!$A:$A,$C47,Resumo_Trocas!$F:$F,V$18,Resumo_Trocas!$C:$C,"&gt;0")</f>
        <v>0</v>
      </c>
      <c r="X47" s="138">
        <f>SUMIFS(Resumo_Trocas!$C:$C,Resumo_Trocas!$A:$A,$C47,Resumo_Trocas!$F:$F,X$18,Resumo_Trocas!$C:$C,"&gt;0")</f>
        <v>0</v>
      </c>
      <c r="Y47" s="139">
        <f>SUMIFS(Resumo_Trocas!$E:$E,Resumo_Trocas!$A:$A,$C47,Resumo_Trocas!$F:$F,X$18,Resumo_Trocas!$C:$C,"&gt;0")</f>
        <v>0</v>
      </c>
      <c r="Z47" s="138">
        <f>SUMIFS(Resumo_Trocas!$C:$C,Resumo_Trocas!$A:$A,$C47,Resumo_Trocas!$F:$F,Z$18,Resumo_Trocas!$C:$C,"&gt;0")</f>
        <v>4</v>
      </c>
      <c r="AA47" s="139">
        <f>SUMIFS(Resumo_Trocas!$E:$E,Resumo_Trocas!$A:$A,$C47,Resumo_Trocas!$F:$F,Z$18,Resumo_Trocas!$C:$C,"&gt;0")</f>
        <v>1</v>
      </c>
      <c r="AB47" s="138">
        <f>SUMIFS(Resumo_Trocas!$C:$C,Resumo_Trocas!$A:$A,$C47,Resumo_Trocas!$F:$F,AB$18,Resumo_Trocas!$C:$C,"&gt;0")</f>
        <v>3</v>
      </c>
      <c r="AC47" s="139">
        <f>SUMIFS(Resumo_Trocas!$E:$E,Resumo_Trocas!$A:$A,$C47,Resumo_Trocas!$F:$F,AB$18,Resumo_Trocas!$C:$C,"&gt;0")</f>
        <v>0</v>
      </c>
      <c r="AD47" s="138">
        <f>SUMIFS(Resumo_Trocas!$C:$C,Resumo_Trocas!$A:$A,$C47,Resumo_Trocas!$F:$F,AD$18,Resumo_Trocas!$C:$C,"&gt;0")</f>
        <v>1</v>
      </c>
      <c r="AE47" s="139">
        <f>SUMIFS(Resumo_Trocas!$E:$E,Resumo_Trocas!$A:$A,$C47,Resumo_Trocas!$F:$F,AD$18,Resumo_Trocas!$C:$C,"&gt;0")</f>
        <v>0</v>
      </c>
      <c r="AF47" s="138">
        <f>SUMIFS(Resumo_Trocas!$C:$C,Resumo_Trocas!$A:$A,$C47,Resumo_Trocas!$F:$F,AF$18,Resumo_Trocas!$C:$C,"&gt;0")</f>
        <v>2</v>
      </c>
      <c r="AG47" s="139">
        <f>SUMIFS(Resumo_Trocas!$E:$E,Resumo_Trocas!$A:$A,$C47,Resumo_Trocas!$F:$F,AF$18,Resumo_Trocas!$C:$C,"&gt;0")</f>
        <v>0</v>
      </c>
      <c r="AH47" s="138">
        <f>SUMIFS(Resumo_Trocas!$C:$C,Resumo_Trocas!$A:$A,$C47,Resumo_Trocas!$F:$F,AH$18,Resumo_Trocas!$C:$C,"&gt;0")</f>
        <v>2</v>
      </c>
      <c r="AI47" s="139">
        <f>SUMIFS(Resumo_Trocas!$E:$E,Resumo_Trocas!$A:$A,$C47,Resumo_Trocas!$F:$F,AH$18,Resumo_Trocas!$C:$C,"&gt;0")</f>
        <v>0</v>
      </c>
      <c r="AJ47" s="138">
        <f>SUMIFS(Resumo_Trocas!$C:$C,Resumo_Trocas!$A:$A,$C47,Resumo_Trocas!$F:$F,AJ$18,Resumo_Trocas!$C:$C,"&gt;0")</f>
        <v>4</v>
      </c>
      <c r="AK47" s="139">
        <f>SUMIFS(Resumo_Trocas!$E:$E,Resumo_Trocas!$A:$A,$C47,Resumo_Trocas!$F:$F,AJ$18,Resumo_Trocas!$C:$C,"&gt;0")</f>
        <v>0</v>
      </c>
      <c r="AL47" s="138">
        <f>SUMIFS(Resumo_Trocas!$C:$C,Resumo_Trocas!$A:$A,$C47,Resumo_Trocas!$F:$F,AL$18,Resumo_Trocas!$C:$C,"&gt;0")</f>
        <v>4</v>
      </c>
      <c r="AM47" s="139">
        <f>SUMIFS(Resumo_Trocas!$E:$E,Resumo_Trocas!$A:$A,$C47,Resumo_Trocas!$F:$F,AL$18,Resumo_Trocas!$C:$C,"&gt;0")</f>
        <v>0</v>
      </c>
      <c r="AN47" s="138">
        <f>SUMIFS(Resumo_Trocas!$C:$C,Resumo_Trocas!$A:$A,$C47,Resumo_Trocas!$F:$F,AN$18,Resumo_Trocas!$C:$C,"&gt;0")</f>
        <v>0</v>
      </c>
      <c r="AO47" s="139">
        <f>SUMIFS(Resumo_Trocas!$E:$E,Resumo_Trocas!$A:$A,$C47,Resumo_Trocas!$F:$F,AN$18,Resumo_Trocas!$C:$C,"&gt;0")</f>
        <v>0</v>
      </c>
    </row>
    <row r="48" spans="2:43" ht="15" customHeight="1" outlineLevel="1" thickBot="1" x14ac:dyDescent="0.3">
      <c r="B48" s="76"/>
      <c r="C48" s="112" t="s">
        <v>282</v>
      </c>
      <c r="D48" s="140">
        <f>SUMIFS(Resumo_Trocas!$C:$C,Resumo_Trocas!$A:$A,$C48,Resumo_Trocas!$F:$F,D$44,Resumo_Trocas!$C:$C,"&gt;0")</f>
        <v>2</v>
      </c>
      <c r="E48" s="141">
        <f>SUMIFS(Resumo_Trocas!$E:$E,Resumo_Trocas!$A:$A,$C48,Resumo_Trocas!$F:$F,D$18,Resumo_Trocas!$C:$C,"&gt;0")</f>
        <v>1</v>
      </c>
      <c r="F48" s="140">
        <f>SUMIFS(Resumo_Trocas!$C:$C,Resumo_Trocas!$A:$A,$C48,Resumo_Trocas!$F:$F,F$44,Resumo_Trocas!$C:$C,"&gt;0")</f>
        <v>0</v>
      </c>
      <c r="G48" s="141">
        <f>SUMIFS(Resumo_Trocas!$E:$E,Resumo_Trocas!$A:$A,$C48,Resumo_Trocas!$F:$F,F$18,Resumo_Trocas!$C:$C,"&gt;0")</f>
        <v>0</v>
      </c>
      <c r="H48" s="140">
        <f>SUMIFS(Resumo_Trocas!$C:$C,Resumo_Trocas!$A:$A,$C48,Resumo_Trocas!$F:$F,H$44,Resumo_Trocas!$C:$C,"&gt;0")</f>
        <v>0</v>
      </c>
      <c r="I48" s="141">
        <f>SUMIFS(Resumo_Trocas!$E:$E,Resumo_Trocas!$A:$A,$C48,Resumo_Trocas!$F:$F,H$18,Resumo_Trocas!$C:$C,"&gt;0")</f>
        <v>0</v>
      </c>
      <c r="J48" s="140">
        <f>SUMIFS(Resumo_Trocas!$C:$C,Resumo_Trocas!$A:$A,$C48,Resumo_Trocas!$F:$F,J$44,Resumo_Trocas!$C:$C,"&gt;0")</f>
        <v>0</v>
      </c>
      <c r="K48" s="141">
        <f>SUMIFS(Resumo_Trocas!$E:$E,Resumo_Trocas!$A:$A,$C48,Resumo_Trocas!$F:$F,J$18,Resumo_Trocas!$C:$C,"&gt;0")</f>
        <v>0</v>
      </c>
      <c r="L48" s="140">
        <f>SUMIFS(Resumo_Trocas!$C:$C,Resumo_Trocas!$A:$A,$C48,Resumo_Trocas!$F:$F,L$44,Resumo_Trocas!$C:$C,"&gt;0")</f>
        <v>0</v>
      </c>
      <c r="M48" s="141">
        <f>SUMIFS(Resumo_Trocas!$E:$E,Resumo_Trocas!$A:$A,$C48,Resumo_Trocas!$F:$F,L$18,Resumo_Trocas!$C:$C,"&gt;0")</f>
        <v>0</v>
      </c>
      <c r="N48" s="140">
        <f>SUMIFS(Resumo_Trocas!$C:$C,Resumo_Trocas!$A:$A,$C48,Resumo_Trocas!$F:$F,N$44,Resumo_Trocas!$C:$C,"&gt;0")</f>
        <v>0</v>
      </c>
      <c r="O48" s="141">
        <f>SUMIFS(Resumo_Trocas!$E:$E,Resumo_Trocas!$A:$A,$C48,Resumo_Trocas!$F:$F,N$18,Resumo_Trocas!$C:$C,"&gt;0")</f>
        <v>0</v>
      </c>
      <c r="P48" s="140">
        <f>SUMIFS(Resumo_Trocas!$C:$C,Resumo_Trocas!$A:$A,$C48,Resumo_Trocas!$F:$F,P$44,Resumo_Trocas!$C:$C,"&gt;0")</f>
        <v>0</v>
      </c>
      <c r="Q48" s="141">
        <f>SUMIFS(Resumo_Trocas!$E:$E,Resumo_Trocas!$A:$A,$C48,Resumo_Trocas!$F:$F,P$18,Resumo_Trocas!$C:$C,"&gt;0")</f>
        <v>0</v>
      </c>
      <c r="R48" s="140">
        <f>SUMIFS(Resumo_Trocas!$C:$C,Resumo_Trocas!$A:$A,$C48,Resumo_Trocas!$F:$F,R$44,Resumo_Trocas!$C:$C,"&gt;0")</f>
        <v>0</v>
      </c>
      <c r="S48" s="141">
        <f>SUMIFS(Resumo_Trocas!$E:$E,Resumo_Trocas!$A:$A,$C48,Resumo_Trocas!$F:$F,R$18,Resumo_Trocas!$C:$C,"&gt;0")</f>
        <v>0</v>
      </c>
      <c r="T48" s="140">
        <f>SUMIFS(Resumo_Trocas!$C:$C,Resumo_Trocas!$A:$A,$C48,Resumo_Trocas!$F:$F,T$44,Resumo_Trocas!$C:$C,"&gt;0")</f>
        <v>0</v>
      </c>
      <c r="U48" s="141">
        <f>SUMIFS(Resumo_Trocas!$E:$E,Resumo_Trocas!$A:$A,$C48,Resumo_Trocas!$F:$F,T$18,Resumo_Trocas!$C:$C,"&gt;0")</f>
        <v>0</v>
      </c>
      <c r="V48" s="140">
        <f>SUMIFS(Resumo_Trocas!$C:$C,Resumo_Trocas!$A:$A,$C48,Resumo_Trocas!$F:$F,V$44,Resumo_Trocas!$C:$C,"&gt;0")</f>
        <v>0</v>
      </c>
      <c r="W48" s="141">
        <f>SUMIFS(Resumo_Trocas!$E:$E,Resumo_Trocas!$A:$A,$C48,Resumo_Trocas!$F:$F,V$18,Resumo_Trocas!$C:$C,"&gt;0")</f>
        <v>0</v>
      </c>
      <c r="X48" s="140">
        <f>SUMIFS(Resumo_Trocas!$C:$C,Resumo_Trocas!$A:$A,$C48,Resumo_Trocas!$F:$F,X$44,Resumo_Trocas!$C:$C,"&gt;0")</f>
        <v>0</v>
      </c>
      <c r="Y48" s="141">
        <f>SUMIFS(Resumo_Trocas!$E:$E,Resumo_Trocas!$A:$A,$C48,Resumo_Trocas!$F:$F,X$18,Resumo_Trocas!$C:$C,"&gt;0")</f>
        <v>0</v>
      </c>
      <c r="Z48" s="140">
        <f>SUMIFS(Resumo_Trocas!$C:$C,Resumo_Trocas!$A:$A,$C48,Resumo_Trocas!$F:$F,Z$44,Resumo_Trocas!$C:$C,"&gt;0")</f>
        <v>0</v>
      </c>
      <c r="AA48" s="141">
        <f>SUMIFS(Resumo_Trocas!$E:$E,Resumo_Trocas!$A:$A,$C48,Resumo_Trocas!$F:$F,Z$18,Resumo_Trocas!$C:$C,"&gt;0")</f>
        <v>0</v>
      </c>
      <c r="AB48" s="140">
        <f>SUMIFS(Resumo_Trocas!$C:$C,Resumo_Trocas!$A:$A,$C48,Resumo_Trocas!$F:$F,AB$44,Resumo_Trocas!$C:$C,"&gt;0")</f>
        <v>0</v>
      </c>
      <c r="AC48" s="141">
        <f>SUMIFS(Resumo_Trocas!$E:$E,Resumo_Trocas!$A:$A,$C48,Resumo_Trocas!$F:$F,AB$18,Resumo_Trocas!$C:$C,"&gt;0")</f>
        <v>0</v>
      </c>
      <c r="AD48" s="140">
        <f>SUMIFS(Resumo_Trocas!$C:$C,Resumo_Trocas!$A:$A,$C48,Resumo_Trocas!$F:$F,AD$44,Resumo_Trocas!$C:$C,"&gt;0")</f>
        <v>1</v>
      </c>
      <c r="AE48" s="141">
        <f>SUMIFS(Resumo_Trocas!$E:$E,Resumo_Trocas!$A:$A,$C48,Resumo_Trocas!$F:$F,AD$18,Resumo_Trocas!$C:$C,"&gt;0")</f>
        <v>1</v>
      </c>
      <c r="AF48" s="140">
        <f>SUMIFS(Resumo_Trocas!$C:$C,Resumo_Trocas!$A:$A,$C48,Resumo_Trocas!$F:$F,AF$44,Resumo_Trocas!$C:$C,"&gt;0")</f>
        <v>0</v>
      </c>
      <c r="AG48" s="141">
        <f>SUMIFS(Resumo_Trocas!$E:$E,Resumo_Trocas!$A:$A,$C48,Resumo_Trocas!$F:$F,AF$18,Resumo_Trocas!$C:$C,"&gt;0")</f>
        <v>0</v>
      </c>
      <c r="AH48" s="140">
        <f>SUMIFS(Resumo_Trocas!$C:$C,Resumo_Trocas!$A:$A,$C48,Resumo_Trocas!$F:$F,AH$44,Resumo_Trocas!$C:$C,"&gt;0")</f>
        <v>0</v>
      </c>
      <c r="AI48" s="141">
        <f>SUMIFS(Resumo_Trocas!$E:$E,Resumo_Trocas!$A:$A,$C48,Resumo_Trocas!$F:$F,AH$18,Resumo_Trocas!$C:$C,"&gt;0")</f>
        <v>0</v>
      </c>
      <c r="AJ48" s="140">
        <f>SUMIFS(Resumo_Trocas!$C:$C,Resumo_Trocas!$A:$A,$C48,Resumo_Trocas!$F:$F,AJ$44,Resumo_Trocas!$C:$C,"&gt;0")</f>
        <v>0</v>
      </c>
      <c r="AK48" s="141">
        <f>SUMIFS(Resumo_Trocas!$E:$E,Resumo_Trocas!$A:$A,$C48,Resumo_Trocas!$F:$F,AJ$18,Resumo_Trocas!$C:$C,"&gt;0")</f>
        <v>0</v>
      </c>
      <c r="AL48" s="140">
        <f>SUMIFS(Resumo_Trocas!$C:$C,Resumo_Trocas!$A:$A,$C48,Resumo_Trocas!$F:$F,AL$44,Resumo_Trocas!$C:$C,"&gt;0")</f>
        <v>0</v>
      </c>
      <c r="AM48" s="141">
        <f>SUMIFS(Resumo_Trocas!$E:$E,Resumo_Trocas!$A:$A,$C48,Resumo_Trocas!$F:$F,AL$18,Resumo_Trocas!$C:$C,"&gt;0")</f>
        <v>0</v>
      </c>
      <c r="AN48" s="140">
        <f>SUMIFS(Resumo_Trocas!$C:$C,Resumo_Trocas!$A:$A,$C48,Resumo_Trocas!$F:$F,AN$44,Resumo_Trocas!$C:$C,"&gt;0")</f>
        <v>0</v>
      </c>
      <c r="AO48" s="141">
        <f>SUMIFS(Resumo_Trocas!$E:$E,Resumo_Trocas!$A:$A,$C48,Resumo_Trocas!$F:$F,AN$18,Resumo_Trocas!$C:$C,"&gt;0")</f>
        <v>0</v>
      </c>
    </row>
    <row r="49" spans="2:41" ht="15" customHeight="1" outlineLevel="1" thickBot="1" x14ac:dyDescent="0.3">
      <c r="B49" s="76"/>
      <c r="C49" s="112" t="s">
        <v>283</v>
      </c>
      <c r="D49" s="140">
        <f>SUMIFS(Resumo_Trocas!$C:$C,Resumo_Trocas!$A:$A,$C49,Resumo_Trocas!$F:$F,D$44,Resumo_Trocas!$C:$C,"&gt;0")</f>
        <v>1</v>
      </c>
      <c r="E49" s="141">
        <f>SUMIFS(Resumo_Trocas!$E:$E,Resumo_Trocas!$A:$A,$C49,Resumo_Trocas!$F:$F,D$18,Resumo_Trocas!$C:$C,"&gt;0")</f>
        <v>0</v>
      </c>
      <c r="F49" s="140">
        <f>SUMIFS(Resumo_Trocas!$C:$C,Resumo_Trocas!$A:$A,$C49,Resumo_Trocas!$F:$F,F$44,Resumo_Trocas!$C:$C,"&gt;0")</f>
        <v>0</v>
      </c>
      <c r="G49" s="141">
        <f>SUMIFS(Resumo_Trocas!$E:$E,Resumo_Trocas!$A:$A,$C49,Resumo_Trocas!$F:$F,F$18,Resumo_Trocas!$C:$C,"&gt;0")</f>
        <v>0</v>
      </c>
      <c r="H49" s="140">
        <f>SUMIFS(Resumo_Trocas!$C:$C,Resumo_Trocas!$A:$A,$C49,Resumo_Trocas!$F:$F,H$44,Resumo_Trocas!$C:$C,"&gt;0")</f>
        <v>0</v>
      </c>
      <c r="I49" s="141">
        <f>SUMIFS(Resumo_Trocas!$E:$E,Resumo_Trocas!$A:$A,$C49,Resumo_Trocas!$F:$F,H$18,Resumo_Trocas!$C:$C,"&gt;0")</f>
        <v>0</v>
      </c>
      <c r="J49" s="140">
        <f>SUMIFS(Resumo_Trocas!$C:$C,Resumo_Trocas!$A:$A,$C49,Resumo_Trocas!$F:$F,J$44,Resumo_Trocas!$C:$C,"&gt;0")</f>
        <v>0</v>
      </c>
      <c r="K49" s="141">
        <f>SUMIFS(Resumo_Trocas!$E:$E,Resumo_Trocas!$A:$A,$C49,Resumo_Trocas!$F:$F,J$18,Resumo_Trocas!$C:$C,"&gt;0")</f>
        <v>0</v>
      </c>
      <c r="L49" s="140">
        <f>SUMIFS(Resumo_Trocas!$C:$C,Resumo_Trocas!$A:$A,$C49,Resumo_Trocas!$F:$F,L$44,Resumo_Trocas!$C:$C,"&gt;0")</f>
        <v>0</v>
      </c>
      <c r="M49" s="141">
        <f>SUMIFS(Resumo_Trocas!$E:$E,Resumo_Trocas!$A:$A,$C49,Resumo_Trocas!$F:$F,L$18,Resumo_Trocas!$C:$C,"&gt;0")</f>
        <v>0</v>
      </c>
      <c r="N49" s="140">
        <f>SUMIFS(Resumo_Trocas!$C:$C,Resumo_Trocas!$A:$A,$C49,Resumo_Trocas!$F:$F,N$44,Resumo_Trocas!$C:$C,"&gt;0")</f>
        <v>0</v>
      </c>
      <c r="O49" s="141">
        <f>SUMIFS(Resumo_Trocas!$E:$E,Resumo_Trocas!$A:$A,$C49,Resumo_Trocas!$F:$F,N$18,Resumo_Trocas!$C:$C,"&gt;0")</f>
        <v>0</v>
      </c>
      <c r="P49" s="140">
        <f>SUMIFS(Resumo_Trocas!$C:$C,Resumo_Trocas!$A:$A,$C49,Resumo_Trocas!$F:$F,P$44,Resumo_Trocas!$C:$C,"&gt;0")</f>
        <v>0</v>
      </c>
      <c r="Q49" s="141">
        <f>SUMIFS(Resumo_Trocas!$E:$E,Resumo_Trocas!$A:$A,$C49,Resumo_Trocas!$F:$F,P$18,Resumo_Trocas!$C:$C,"&gt;0")</f>
        <v>0</v>
      </c>
      <c r="R49" s="140">
        <f>SUMIFS(Resumo_Trocas!$C:$C,Resumo_Trocas!$A:$A,$C49,Resumo_Trocas!$F:$F,R$44,Resumo_Trocas!$C:$C,"&gt;0")</f>
        <v>0</v>
      </c>
      <c r="S49" s="141">
        <f>SUMIFS(Resumo_Trocas!$E:$E,Resumo_Trocas!$A:$A,$C49,Resumo_Trocas!$F:$F,R$18,Resumo_Trocas!$C:$C,"&gt;0")</f>
        <v>0</v>
      </c>
      <c r="T49" s="140">
        <f>SUMIFS(Resumo_Trocas!$C:$C,Resumo_Trocas!$A:$A,$C49,Resumo_Trocas!$F:$F,T$44,Resumo_Trocas!$C:$C,"&gt;0")</f>
        <v>0</v>
      </c>
      <c r="U49" s="141">
        <f>SUMIFS(Resumo_Trocas!$E:$E,Resumo_Trocas!$A:$A,$C49,Resumo_Trocas!$F:$F,T$18,Resumo_Trocas!$C:$C,"&gt;0")</f>
        <v>0</v>
      </c>
      <c r="V49" s="140">
        <f>SUMIFS(Resumo_Trocas!$C:$C,Resumo_Trocas!$A:$A,$C49,Resumo_Trocas!$F:$F,V$44,Resumo_Trocas!$C:$C,"&gt;0")</f>
        <v>0</v>
      </c>
      <c r="W49" s="141">
        <f>SUMIFS(Resumo_Trocas!$E:$E,Resumo_Trocas!$A:$A,$C49,Resumo_Trocas!$F:$F,V$18,Resumo_Trocas!$C:$C,"&gt;0")</f>
        <v>0</v>
      </c>
      <c r="X49" s="140">
        <f>SUMIFS(Resumo_Trocas!$C:$C,Resumo_Trocas!$A:$A,$C49,Resumo_Trocas!$F:$F,X$44,Resumo_Trocas!$C:$C,"&gt;0")</f>
        <v>0</v>
      </c>
      <c r="Y49" s="141">
        <f>SUMIFS(Resumo_Trocas!$E:$E,Resumo_Trocas!$A:$A,$C49,Resumo_Trocas!$F:$F,X$18,Resumo_Trocas!$C:$C,"&gt;0")</f>
        <v>0</v>
      </c>
      <c r="Z49" s="140">
        <f>SUMIFS(Resumo_Trocas!$C:$C,Resumo_Trocas!$A:$A,$C49,Resumo_Trocas!$F:$F,Z$44,Resumo_Trocas!$C:$C,"&gt;0")</f>
        <v>0</v>
      </c>
      <c r="AA49" s="141">
        <f>SUMIFS(Resumo_Trocas!$E:$E,Resumo_Trocas!$A:$A,$C49,Resumo_Trocas!$F:$F,Z$18,Resumo_Trocas!$C:$C,"&gt;0")</f>
        <v>0</v>
      </c>
      <c r="AB49" s="140">
        <f>SUMIFS(Resumo_Trocas!$C:$C,Resumo_Trocas!$A:$A,$C49,Resumo_Trocas!$F:$F,AB$44,Resumo_Trocas!$C:$C,"&gt;0")</f>
        <v>0</v>
      </c>
      <c r="AC49" s="141">
        <f>SUMIFS(Resumo_Trocas!$E:$E,Resumo_Trocas!$A:$A,$C49,Resumo_Trocas!$F:$F,AB$18,Resumo_Trocas!$C:$C,"&gt;0")</f>
        <v>0</v>
      </c>
      <c r="AD49" s="140">
        <f>SUMIFS(Resumo_Trocas!$C:$C,Resumo_Trocas!$A:$A,$C49,Resumo_Trocas!$F:$F,AD$44,Resumo_Trocas!$C:$C,"&gt;0")</f>
        <v>0</v>
      </c>
      <c r="AE49" s="141">
        <f>SUMIFS(Resumo_Trocas!$E:$E,Resumo_Trocas!$A:$A,$C49,Resumo_Trocas!$F:$F,AD$18,Resumo_Trocas!$C:$C,"&gt;0")</f>
        <v>0</v>
      </c>
      <c r="AF49" s="140">
        <f>SUMIFS(Resumo_Trocas!$C:$C,Resumo_Trocas!$A:$A,$C49,Resumo_Trocas!$F:$F,AF$44,Resumo_Trocas!$C:$C,"&gt;0")</f>
        <v>1</v>
      </c>
      <c r="AG49" s="141">
        <f>SUMIFS(Resumo_Trocas!$E:$E,Resumo_Trocas!$A:$A,$C49,Resumo_Trocas!$F:$F,AF$18,Resumo_Trocas!$C:$C,"&gt;0")</f>
        <v>0</v>
      </c>
      <c r="AH49" s="140">
        <f>SUMIFS(Resumo_Trocas!$C:$C,Resumo_Trocas!$A:$A,$C49,Resumo_Trocas!$F:$F,AH$44,Resumo_Trocas!$C:$C,"&gt;0")</f>
        <v>0</v>
      </c>
      <c r="AI49" s="141">
        <f>SUMIFS(Resumo_Trocas!$E:$E,Resumo_Trocas!$A:$A,$C49,Resumo_Trocas!$F:$F,AH$18,Resumo_Trocas!$C:$C,"&gt;0")</f>
        <v>0</v>
      </c>
      <c r="AJ49" s="140">
        <f>SUMIFS(Resumo_Trocas!$C:$C,Resumo_Trocas!$A:$A,$C49,Resumo_Trocas!$F:$F,AJ$44,Resumo_Trocas!$C:$C,"&gt;0")</f>
        <v>1</v>
      </c>
      <c r="AK49" s="141">
        <f>SUMIFS(Resumo_Trocas!$E:$E,Resumo_Trocas!$A:$A,$C49,Resumo_Trocas!$F:$F,AJ$18,Resumo_Trocas!$C:$C,"&gt;0")</f>
        <v>0</v>
      </c>
      <c r="AL49" s="140">
        <f>SUMIFS(Resumo_Trocas!$C:$C,Resumo_Trocas!$A:$A,$C49,Resumo_Trocas!$F:$F,AL$44,Resumo_Trocas!$C:$C,"&gt;0")</f>
        <v>0</v>
      </c>
      <c r="AM49" s="141">
        <f>SUMIFS(Resumo_Trocas!$E:$E,Resumo_Trocas!$A:$A,$C49,Resumo_Trocas!$F:$F,AL$18,Resumo_Trocas!$C:$C,"&gt;0")</f>
        <v>0</v>
      </c>
      <c r="AN49" s="140">
        <f>SUMIFS(Resumo_Trocas!$C:$C,Resumo_Trocas!$A:$A,$C49,Resumo_Trocas!$F:$F,AN$44,Resumo_Trocas!$C:$C,"&gt;0")</f>
        <v>0</v>
      </c>
      <c r="AO49" s="141">
        <f>SUMIFS(Resumo_Trocas!$E:$E,Resumo_Trocas!$A:$A,$C49,Resumo_Trocas!$F:$F,AN$18,Resumo_Trocas!$C:$C,"&gt;0")</f>
        <v>0</v>
      </c>
    </row>
    <row r="50" spans="2:41" ht="15" customHeight="1" outlineLevel="1" thickBot="1" x14ac:dyDescent="0.3">
      <c r="B50" s="76"/>
      <c r="C50" s="112" t="s">
        <v>287</v>
      </c>
      <c r="D50" s="140">
        <f>SUMIFS(Resumo_Trocas!$C:$C,Resumo_Trocas!$A:$A,$C50,Resumo_Trocas!$F:$F,D$44,Resumo_Trocas!$C:$C,"&gt;0")</f>
        <v>0</v>
      </c>
      <c r="E50" s="141">
        <f>SUMIFS(Resumo_Trocas!$E:$E,Resumo_Trocas!$A:$A,$C50,Resumo_Trocas!$F:$F,D$18,Resumo_Trocas!$C:$C,"&gt;0")</f>
        <v>0</v>
      </c>
      <c r="F50" s="140">
        <f>SUMIFS(Resumo_Trocas!$C:$C,Resumo_Trocas!$A:$A,$C50,Resumo_Trocas!$F:$F,F$44,Resumo_Trocas!$C:$C,"&gt;0")</f>
        <v>0</v>
      </c>
      <c r="G50" s="141">
        <f>SUMIFS(Resumo_Trocas!$E:$E,Resumo_Trocas!$A:$A,$C50,Resumo_Trocas!$F:$F,F$18,Resumo_Trocas!$C:$C,"&gt;0")</f>
        <v>0</v>
      </c>
      <c r="H50" s="140">
        <f>SUMIFS(Resumo_Trocas!$C:$C,Resumo_Trocas!$A:$A,$C50,Resumo_Trocas!$F:$F,H$44,Resumo_Trocas!$C:$C,"&gt;0")</f>
        <v>1</v>
      </c>
      <c r="I50" s="141">
        <f>SUMIFS(Resumo_Trocas!$E:$E,Resumo_Trocas!$A:$A,$C50,Resumo_Trocas!$F:$F,H$18,Resumo_Trocas!$C:$C,"&gt;0")</f>
        <v>0</v>
      </c>
      <c r="J50" s="140">
        <f>SUMIFS(Resumo_Trocas!$C:$C,Resumo_Trocas!$A:$A,$C50,Resumo_Trocas!$F:$F,J$44,Resumo_Trocas!$C:$C,"&gt;0")</f>
        <v>0</v>
      </c>
      <c r="K50" s="141">
        <f>SUMIFS(Resumo_Trocas!$E:$E,Resumo_Trocas!$A:$A,$C50,Resumo_Trocas!$F:$F,J$18,Resumo_Trocas!$C:$C,"&gt;0")</f>
        <v>0</v>
      </c>
      <c r="L50" s="140">
        <f>SUMIFS(Resumo_Trocas!$C:$C,Resumo_Trocas!$A:$A,$C50,Resumo_Trocas!$F:$F,L$44,Resumo_Trocas!$C:$C,"&gt;0")</f>
        <v>0</v>
      </c>
      <c r="M50" s="141">
        <f>SUMIFS(Resumo_Trocas!$E:$E,Resumo_Trocas!$A:$A,$C50,Resumo_Trocas!$F:$F,L$18,Resumo_Trocas!$C:$C,"&gt;0")</f>
        <v>0</v>
      </c>
      <c r="N50" s="140">
        <f>SUMIFS(Resumo_Trocas!$C:$C,Resumo_Trocas!$A:$A,$C50,Resumo_Trocas!$F:$F,N$44,Resumo_Trocas!$C:$C,"&gt;0")</f>
        <v>0</v>
      </c>
      <c r="O50" s="141">
        <f>SUMIFS(Resumo_Trocas!$E:$E,Resumo_Trocas!$A:$A,$C50,Resumo_Trocas!$F:$F,N$18,Resumo_Trocas!$C:$C,"&gt;0")</f>
        <v>0</v>
      </c>
      <c r="P50" s="140">
        <f>SUMIFS(Resumo_Trocas!$C:$C,Resumo_Trocas!$A:$A,$C50,Resumo_Trocas!$F:$F,P$44,Resumo_Trocas!$C:$C,"&gt;0")</f>
        <v>0</v>
      </c>
      <c r="Q50" s="141">
        <f>SUMIFS(Resumo_Trocas!$E:$E,Resumo_Trocas!$A:$A,$C50,Resumo_Trocas!$F:$F,P$18,Resumo_Trocas!$C:$C,"&gt;0")</f>
        <v>0</v>
      </c>
      <c r="R50" s="140">
        <f>SUMIFS(Resumo_Trocas!$C:$C,Resumo_Trocas!$A:$A,$C50,Resumo_Trocas!$F:$F,R$44,Resumo_Trocas!$C:$C,"&gt;0")</f>
        <v>0</v>
      </c>
      <c r="S50" s="141">
        <f>SUMIFS(Resumo_Trocas!$E:$E,Resumo_Trocas!$A:$A,$C50,Resumo_Trocas!$F:$F,R$18,Resumo_Trocas!$C:$C,"&gt;0")</f>
        <v>0</v>
      </c>
      <c r="T50" s="140">
        <f>SUMIFS(Resumo_Trocas!$C:$C,Resumo_Trocas!$A:$A,$C50,Resumo_Trocas!$F:$F,T$44,Resumo_Trocas!$C:$C,"&gt;0")</f>
        <v>0</v>
      </c>
      <c r="U50" s="141">
        <f>SUMIFS(Resumo_Trocas!$E:$E,Resumo_Trocas!$A:$A,$C50,Resumo_Trocas!$F:$F,T$18,Resumo_Trocas!$C:$C,"&gt;0")</f>
        <v>0</v>
      </c>
      <c r="V50" s="140">
        <f>SUMIFS(Resumo_Trocas!$C:$C,Resumo_Trocas!$A:$A,$C50,Resumo_Trocas!$F:$F,V$44,Resumo_Trocas!$C:$C,"&gt;0")</f>
        <v>0</v>
      </c>
      <c r="W50" s="141">
        <f>SUMIFS(Resumo_Trocas!$E:$E,Resumo_Trocas!$A:$A,$C50,Resumo_Trocas!$F:$F,V$18,Resumo_Trocas!$C:$C,"&gt;0")</f>
        <v>0</v>
      </c>
      <c r="X50" s="140">
        <f>SUMIFS(Resumo_Trocas!$C:$C,Resumo_Trocas!$A:$A,$C50,Resumo_Trocas!$F:$F,X$44,Resumo_Trocas!$C:$C,"&gt;0")</f>
        <v>0</v>
      </c>
      <c r="Y50" s="141">
        <f>SUMIFS(Resumo_Trocas!$E:$E,Resumo_Trocas!$A:$A,$C50,Resumo_Trocas!$F:$F,X$18,Resumo_Trocas!$C:$C,"&gt;0")</f>
        <v>0</v>
      </c>
      <c r="Z50" s="140">
        <f>SUMIFS(Resumo_Trocas!$C:$C,Resumo_Trocas!$A:$A,$C50,Resumo_Trocas!$F:$F,Z$44,Resumo_Trocas!$C:$C,"&gt;0")</f>
        <v>0</v>
      </c>
      <c r="AA50" s="141">
        <f>SUMIFS(Resumo_Trocas!$E:$E,Resumo_Trocas!$A:$A,$C50,Resumo_Trocas!$F:$F,Z$18,Resumo_Trocas!$C:$C,"&gt;0")</f>
        <v>0</v>
      </c>
      <c r="AB50" s="140">
        <f>SUMIFS(Resumo_Trocas!$C:$C,Resumo_Trocas!$A:$A,$C50,Resumo_Trocas!$F:$F,AB$44,Resumo_Trocas!$C:$C,"&gt;0")</f>
        <v>0</v>
      </c>
      <c r="AC50" s="141">
        <f>SUMIFS(Resumo_Trocas!$E:$E,Resumo_Trocas!$A:$A,$C50,Resumo_Trocas!$F:$F,AB$18,Resumo_Trocas!$C:$C,"&gt;0")</f>
        <v>0</v>
      </c>
      <c r="AD50" s="140">
        <f>SUMIFS(Resumo_Trocas!$C:$C,Resumo_Trocas!$A:$A,$C50,Resumo_Trocas!$F:$F,AD$44,Resumo_Trocas!$C:$C,"&gt;0")</f>
        <v>0</v>
      </c>
      <c r="AE50" s="141">
        <f>SUMIFS(Resumo_Trocas!$E:$E,Resumo_Trocas!$A:$A,$C50,Resumo_Trocas!$F:$F,AD$18,Resumo_Trocas!$C:$C,"&gt;0")</f>
        <v>0</v>
      </c>
      <c r="AF50" s="140">
        <f>SUMIFS(Resumo_Trocas!$C:$C,Resumo_Trocas!$A:$A,$C50,Resumo_Trocas!$F:$F,AF$44,Resumo_Trocas!$C:$C,"&gt;0")</f>
        <v>1</v>
      </c>
      <c r="AG50" s="141">
        <f>SUMIFS(Resumo_Trocas!$E:$E,Resumo_Trocas!$A:$A,$C50,Resumo_Trocas!$F:$F,AF$18,Resumo_Trocas!$C:$C,"&gt;0")</f>
        <v>1</v>
      </c>
      <c r="AH50" s="140">
        <f>SUMIFS(Resumo_Trocas!$C:$C,Resumo_Trocas!$A:$A,$C50,Resumo_Trocas!$F:$F,AH$44,Resumo_Trocas!$C:$C,"&gt;0")</f>
        <v>0</v>
      </c>
      <c r="AI50" s="141">
        <f>SUMIFS(Resumo_Trocas!$E:$E,Resumo_Trocas!$A:$A,$C50,Resumo_Trocas!$F:$F,AH$18,Resumo_Trocas!$C:$C,"&gt;0")</f>
        <v>0</v>
      </c>
      <c r="AJ50" s="140">
        <f>SUMIFS(Resumo_Trocas!$C:$C,Resumo_Trocas!$A:$A,$C50,Resumo_Trocas!$F:$F,AJ$44,Resumo_Trocas!$C:$C,"&gt;0")</f>
        <v>0</v>
      </c>
      <c r="AK50" s="141">
        <f>SUMIFS(Resumo_Trocas!$E:$E,Resumo_Trocas!$A:$A,$C50,Resumo_Trocas!$F:$F,AJ$18,Resumo_Trocas!$C:$C,"&gt;0")</f>
        <v>0</v>
      </c>
      <c r="AL50" s="140">
        <f>SUMIFS(Resumo_Trocas!$C:$C,Resumo_Trocas!$A:$A,$C50,Resumo_Trocas!$F:$F,AL$44,Resumo_Trocas!$C:$C,"&gt;0")</f>
        <v>1</v>
      </c>
      <c r="AM50" s="141">
        <f>SUMIFS(Resumo_Trocas!$E:$E,Resumo_Trocas!$A:$A,$C50,Resumo_Trocas!$F:$F,AL$18,Resumo_Trocas!$C:$C,"&gt;0")</f>
        <v>0</v>
      </c>
      <c r="AN50" s="140">
        <f>SUMIFS(Resumo_Trocas!$C:$C,Resumo_Trocas!$A:$A,$C50,Resumo_Trocas!$F:$F,AN$44,Resumo_Trocas!$C:$C,"&gt;0")</f>
        <v>0</v>
      </c>
      <c r="AO50" s="141">
        <f>SUMIFS(Resumo_Trocas!$E:$E,Resumo_Trocas!$A:$A,$C50,Resumo_Trocas!$F:$F,AN$18,Resumo_Trocas!$C:$C,"&gt;0")</f>
        <v>0</v>
      </c>
    </row>
    <row r="51" spans="2:41" ht="15" customHeight="1" outlineLevel="1" thickBot="1" x14ac:dyDescent="0.3">
      <c r="B51" s="76"/>
      <c r="C51" s="112" t="s">
        <v>288</v>
      </c>
      <c r="D51" s="140">
        <f>SUMIFS(Resumo_Trocas!$C:$C,Resumo_Trocas!$A:$A,$C51,Resumo_Trocas!$F:$F,D$44,Resumo_Trocas!$C:$C,"&gt;0")</f>
        <v>1</v>
      </c>
      <c r="E51" s="141">
        <f>SUMIFS(Resumo_Trocas!$E:$E,Resumo_Trocas!$A:$A,$C51,Resumo_Trocas!$F:$F,D$18,Resumo_Trocas!$C:$C,"&gt;0")</f>
        <v>0</v>
      </c>
      <c r="F51" s="140">
        <f>SUMIFS(Resumo_Trocas!$C:$C,Resumo_Trocas!$A:$A,$C51,Resumo_Trocas!$F:$F,F$44,Resumo_Trocas!$C:$C,"&gt;0")</f>
        <v>0</v>
      </c>
      <c r="G51" s="141">
        <f>SUMIFS(Resumo_Trocas!$E:$E,Resumo_Trocas!$A:$A,$C51,Resumo_Trocas!$F:$F,F$18,Resumo_Trocas!$C:$C,"&gt;0")</f>
        <v>0</v>
      </c>
      <c r="H51" s="140">
        <f>SUMIFS(Resumo_Trocas!$C:$C,Resumo_Trocas!$A:$A,$C51,Resumo_Trocas!$F:$F,H$44,Resumo_Trocas!$C:$C,"&gt;0")</f>
        <v>0</v>
      </c>
      <c r="I51" s="141">
        <f>SUMIFS(Resumo_Trocas!$E:$E,Resumo_Trocas!$A:$A,$C51,Resumo_Trocas!$F:$F,H$18,Resumo_Trocas!$C:$C,"&gt;0")</f>
        <v>0</v>
      </c>
      <c r="J51" s="140">
        <f>SUMIFS(Resumo_Trocas!$C:$C,Resumo_Trocas!$A:$A,$C51,Resumo_Trocas!$F:$F,J$44,Resumo_Trocas!$C:$C,"&gt;0")</f>
        <v>0</v>
      </c>
      <c r="K51" s="141">
        <f>SUMIFS(Resumo_Trocas!$E:$E,Resumo_Trocas!$A:$A,$C51,Resumo_Trocas!$F:$F,J$18,Resumo_Trocas!$C:$C,"&gt;0")</f>
        <v>0</v>
      </c>
      <c r="L51" s="140">
        <f>SUMIFS(Resumo_Trocas!$C:$C,Resumo_Trocas!$A:$A,$C51,Resumo_Trocas!$F:$F,L$44,Resumo_Trocas!$C:$C,"&gt;0")</f>
        <v>0</v>
      </c>
      <c r="M51" s="141">
        <f>SUMIFS(Resumo_Trocas!$E:$E,Resumo_Trocas!$A:$A,$C51,Resumo_Trocas!$F:$F,L$18,Resumo_Trocas!$C:$C,"&gt;0")</f>
        <v>0</v>
      </c>
      <c r="N51" s="140">
        <f>SUMIFS(Resumo_Trocas!$C:$C,Resumo_Trocas!$A:$A,$C51,Resumo_Trocas!$F:$F,N$44,Resumo_Trocas!$C:$C,"&gt;0")</f>
        <v>0</v>
      </c>
      <c r="O51" s="141">
        <f>SUMIFS(Resumo_Trocas!$E:$E,Resumo_Trocas!$A:$A,$C51,Resumo_Trocas!$F:$F,N$18,Resumo_Trocas!$C:$C,"&gt;0")</f>
        <v>0</v>
      </c>
      <c r="P51" s="140">
        <f>SUMIFS(Resumo_Trocas!$C:$C,Resumo_Trocas!$A:$A,$C51,Resumo_Trocas!$F:$F,P$44,Resumo_Trocas!$C:$C,"&gt;0")</f>
        <v>0</v>
      </c>
      <c r="Q51" s="141">
        <f>SUMIFS(Resumo_Trocas!$E:$E,Resumo_Trocas!$A:$A,$C51,Resumo_Trocas!$F:$F,P$18,Resumo_Trocas!$C:$C,"&gt;0")</f>
        <v>0</v>
      </c>
      <c r="R51" s="140">
        <f>SUMIFS(Resumo_Trocas!$C:$C,Resumo_Trocas!$A:$A,$C51,Resumo_Trocas!$F:$F,R$44,Resumo_Trocas!$C:$C,"&gt;0")</f>
        <v>0</v>
      </c>
      <c r="S51" s="141">
        <f>SUMIFS(Resumo_Trocas!$E:$E,Resumo_Trocas!$A:$A,$C51,Resumo_Trocas!$F:$F,R$18,Resumo_Trocas!$C:$C,"&gt;0")</f>
        <v>0</v>
      </c>
      <c r="T51" s="140">
        <f>SUMIFS(Resumo_Trocas!$C:$C,Resumo_Trocas!$A:$A,$C51,Resumo_Trocas!$F:$F,T$44,Resumo_Trocas!$C:$C,"&gt;0")</f>
        <v>0</v>
      </c>
      <c r="U51" s="141">
        <f>SUMIFS(Resumo_Trocas!$E:$E,Resumo_Trocas!$A:$A,$C51,Resumo_Trocas!$F:$F,T$18,Resumo_Trocas!$C:$C,"&gt;0")</f>
        <v>0</v>
      </c>
      <c r="V51" s="140">
        <f>SUMIFS(Resumo_Trocas!$C:$C,Resumo_Trocas!$A:$A,$C51,Resumo_Trocas!$F:$F,V$44,Resumo_Trocas!$C:$C,"&gt;0")</f>
        <v>0</v>
      </c>
      <c r="W51" s="141">
        <f>SUMIFS(Resumo_Trocas!$E:$E,Resumo_Trocas!$A:$A,$C51,Resumo_Trocas!$F:$F,V$18,Resumo_Trocas!$C:$C,"&gt;0")</f>
        <v>0</v>
      </c>
      <c r="X51" s="140">
        <f>SUMIFS(Resumo_Trocas!$C:$C,Resumo_Trocas!$A:$A,$C51,Resumo_Trocas!$F:$F,X$44,Resumo_Trocas!$C:$C,"&gt;0")</f>
        <v>0</v>
      </c>
      <c r="Y51" s="141">
        <f>SUMIFS(Resumo_Trocas!$E:$E,Resumo_Trocas!$A:$A,$C51,Resumo_Trocas!$F:$F,X$18,Resumo_Trocas!$C:$C,"&gt;0")</f>
        <v>0</v>
      </c>
      <c r="Z51" s="140">
        <f>SUMIFS(Resumo_Trocas!$C:$C,Resumo_Trocas!$A:$A,$C51,Resumo_Trocas!$F:$F,Z$44,Resumo_Trocas!$C:$C,"&gt;0")</f>
        <v>0</v>
      </c>
      <c r="AA51" s="141">
        <f>SUMIFS(Resumo_Trocas!$E:$E,Resumo_Trocas!$A:$A,$C51,Resumo_Trocas!$F:$F,Z$18,Resumo_Trocas!$C:$C,"&gt;0")</f>
        <v>0</v>
      </c>
      <c r="AB51" s="140">
        <f>SUMIFS(Resumo_Trocas!$C:$C,Resumo_Trocas!$A:$A,$C51,Resumo_Trocas!$F:$F,AB$44,Resumo_Trocas!$C:$C,"&gt;0")</f>
        <v>0</v>
      </c>
      <c r="AC51" s="141">
        <f>SUMIFS(Resumo_Trocas!$E:$E,Resumo_Trocas!$A:$A,$C51,Resumo_Trocas!$F:$F,AB$18,Resumo_Trocas!$C:$C,"&gt;0")</f>
        <v>0</v>
      </c>
      <c r="AD51" s="140">
        <f>SUMIFS(Resumo_Trocas!$C:$C,Resumo_Trocas!$A:$A,$C51,Resumo_Trocas!$F:$F,AD$44,Resumo_Trocas!$C:$C,"&gt;0")</f>
        <v>0</v>
      </c>
      <c r="AE51" s="141">
        <f>SUMIFS(Resumo_Trocas!$E:$E,Resumo_Trocas!$A:$A,$C51,Resumo_Trocas!$F:$F,AD$18,Resumo_Trocas!$C:$C,"&gt;0")</f>
        <v>0</v>
      </c>
      <c r="AF51" s="140">
        <f>SUMIFS(Resumo_Trocas!$C:$C,Resumo_Trocas!$A:$A,$C51,Resumo_Trocas!$F:$F,AF$44,Resumo_Trocas!$C:$C,"&gt;0")</f>
        <v>0</v>
      </c>
      <c r="AG51" s="141">
        <f>SUMIFS(Resumo_Trocas!$E:$E,Resumo_Trocas!$A:$A,$C51,Resumo_Trocas!$F:$F,AF$18,Resumo_Trocas!$C:$C,"&gt;0")</f>
        <v>0</v>
      </c>
      <c r="AH51" s="140">
        <f>SUMIFS(Resumo_Trocas!$C:$C,Resumo_Trocas!$A:$A,$C51,Resumo_Trocas!$F:$F,AH$44,Resumo_Trocas!$C:$C,"&gt;0")</f>
        <v>0</v>
      </c>
      <c r="AI51" s="141">
        <f>SUMIFS(Resumo_Trocas!$E:$E,Resumo_Trocas!$A:$A,$C51,Resumo_Trocas!$F:$F,AH$18,Resumo_Trocas!$C:$C,"&gt;0")</f>
        <v>0</v>
      </c>
      <c r="AJ51" s="140">
        <f>SUMIFS(Resumo_Trocas!$C:$C,Resumo_Trocas!$A:$A,$C51,Resumo_Trocas!$F:$F,AJ$44,Resumo_Trocas!$C:$C,"&gt;0")</f>
        <v>0</v>
      </c>
      <c r="AK51" s="141">
        <f>SUMIFS(Resumo_Trocas!$E:$E,Resumo_Trocas!$A:$A,$C51,Resumo_Trocas!$F:$F,AJ$18,Resumo_Trocas!$C:$C,"&gt;0")</f>
        <v>0</v>
      </c>
      <c r="AL51" s="140">
        <f>SUMIFS(Resumo_Trocas!$C:$C,Resumo_Trocas!$A:$A,$C51,Resumo_Trocas!$F:$F,AL$44,Resumo_Trocas!$C:$C,"&gt;0")</f>
        <v>0</v>
      </c>
      <c r="AM51" s="141">
        <f>SUMIFS(Resumo_Trocas!$E:$E,Resumo_Trocas!$A:$A,$C51,Resumo_Trocas!$F:$F,AL$18,Resumo_Trocas!$C:$C,"&gt;0")</f>
        <v>0</v>
      </c>
      <c r="AN51" s="140">
        <f>SUMIFS(Resumo_Trocas!$C:$C,Resumo_Trocas!$A:$A,$C51,Resumo_Trocas!$F:$F,AN$44,Resumo_Trocas!$C:$C,"&gt;0")</f>
        <v>0</v>
      </c>
      <c r="AO51" s="141">
        <f>SUMIFS(Resumo_Trocas!$E:$E,Resumo_Trocas!$A:$A,$C51,Resumo_Trocas!$F:$F,AN$18,Resumo_Trocas!$C:$C,"&gt;0")</f>
        <v>0</v>
      </c>
    </row>
    <row r="52" spans="2:41" ht="15" customHeight="1" outlineLevel="1" thickBot="1" x14ac:dyDescent="0.3">
      <c r="B52" s="76"/>
      <c r="C52" s="112" t="s">
        <v>291</v>
      </c>
      <c r="D52" s="140">
        <f>SUMIFS(Resumo_Trocas!$C:$C,Resumo_Trocas!$A:$A,$C52,Resumo_Trocas!$F:$F,D$44,Resumo_Trocas!$C:$C,"&gt;0")</f>
        <v>1</v>
      </c>
      <c r="E52" s="141">
        <f>SUMIFS(Resumo_Trocas!$E:$E,Resumo_Trocas!$A:$A,$C52,Resumo_Trocas!$F:$F,D$18,Resumo_Trocas!$C:$C,"&gt;0")</f>
        <v>0</v>
      </c>
      <c r="F52" s="140">
        <f>SUMIFS(Resumo_Trocas!$C:$C,Resumo_Trocas!$A:$A,$C52,Resumo_Trocas!$F:$F,F$44,Resumo_Trocas!$C:$C,"&gt;0")</f>
        <v>0</v>
      </c>
      <c r="G52" s="141">
        <f>SUMIFS(Resumo_Trocas!$E:$E,Resumo_Trocas!$A:$A,$C52,Resumo_Trocas!$F:$F,F$18,Resumo_Trocas!$C:$C,"&gt;0")</f>
        <v>0</v>
      </c>
      <c r="H52" s="140">
        <f>SUMIFS(Resumo_Trocas!$C:$C,Resumo_Trocas!$A:$A,$C52,Resumo_Trocas!$F:$F,H$44,Resumo_Trocas!$C:$C,"&gt;0")</f>
        <v>1</v>
      </c>
      <c r="I52" s="141">
        <f>SUMIFS(Resumo_Trocas!$E:$E,Resumo_Trocas!$A:$A,$C52,Resumo_Trocas!$F:$F,H$18,Resumo_Trocas!$C:$C,"&gt;0")</f>
        <v>0</v>
      </c>
      <c r="J52" s="140">
        <f>SUMIFS(Resumo_Trocas!$C:$C,Resumo_Trocas!$A:$A,$C52,Resumo_Trocas!$F:$F,J$44,Resumo_Trocas!$C:$C,"&gt;0")</f>
        <v>0</v>
      </c>
      <c r="K52" s="141">
        <f>SUMIFS(Resumo_Trocas!$E:$E,Resumo_Trocas!$A:$A,$C52,Resumo_Trocas!$F:$F,J$18,Resumo_Trocas!$C:$C,"&gt;0")</f>
        <v>0</v>
      </c>
      <c r="L52" s="140">
        <f>SUMIFS(Resumo_Trocas!$C:$C,Resumo_Trocas!$A:$A,$C52,Resumo_Trocas!$F:$F,L$44,Resumo_Trocas!$C:$C,"&gt;0")</f>
        <v>1</v>
      </c>
      <c r="M52" s="141">
        <f>SUMIFS(Resumo_Trocas!$E:$E,Resumo_Trocas!$A:$A,$C52,Resumo_Trocas!$F:$F,L$18,Resumo_Trocas!$C:$C,"&gt;0")</f>
        <v>0</v>
      </c>
      <c r="N52" s="140">
        <f>SUMIFS(Resumo_Trocas!$C:$C,Resumo_Trocas!$A:$A,$C52,Resumo_Trocas!$F:$F,N$44,Resumo_Trocas!$C:$C,"&gt;0")</f>
        <v>0</v>
      </c>
      <c r="O52" s="141">
        <f>SUMIFS(Resumo_Trocas!$E:$E,Resumo_Trocas!$A:$A,$C52,Resumo_Trocas!$F:$F,N$18,Resumo_Trocas!$C:$C,"&gt;0")</f>
        <v>0</v>
      </c>
      <c r="P52" s="140">
        <f>SUMIFS(Resumo_Trocas!$C:$C,Resumo_Trocas!$A:$A,$C52,Resumo_Trocas!$F:$F,P$44,Resumo_Trocas!$C:$C,"&gt;0")</f>
        <v>0</v>
      </c>
      <c r="Q52" s="141">
        <f>SUMIFS(Resumo_Trocas!$E:$E,Resumo_Trocas!$A:$A,$C52,Resumo_Trocas!$F:$F,P$18,Resumo_Trocas!$C:$C,"&gt;0")</f>
        <v>0</v>
      </c>
      <c r="R52" s="140">
        <f>SUMIFS(Resumo_Trocas!$C:$C,Resumo_Trocas!$A:$A,$C52,Resumo_Trocas!$F:$F,R$44,Resumo_Trocas!$C:$C,"&gt;0")</f>
        <v>0</v>
      </c>
      <c r="S52" s="141">
        <f>SUMIFS(Resumo_Trocas!$E:$E,Resumo_Trocas!$A:$A,$C52,Resumo_Trocas!$F:$F,R$18,Resumo_Trocas!$C:$C,"&gt;0")</f>
        <v>0</v>
      </c>
      <c r="T52" s="140">
        <f>SUMIFS(Resumo_Trocas!$C:$C,Resumo_Trocas!$A:$A,$C52,Resumo_Trocas!$F:$F,T$44,Resumo_Trocas!$C:$C,"&gt;0")</f>
        <v>0</v>
      </c>
      <c r="U52" s="141">
        <f>SUMIFS(Resumo_Trocas!$E:$E,Resumo_Trocas!$A:$A,$C52,Resumo_Trocas!$F:$F,T$18,Resumo_Trocas!$C:$C,"&gt;0")</f>
        <v>0</v>
      </c>
      <c r="V52" s="140">
        <f>SUMIFS(Resumo_Trocas!$C:$C,Resumo_Trocas!$A:$A,$C52,Resumo_Trocas!$F:$F,V$44,Resumo_Trocas!$C:$C,"&gt;0")</f>
        <v>0</v>
      </c>
      <c r="W52" s="141">
        <f>SUMIFS(Resumo_Trocas!$E:$E,Resumo_Trocas!$A:$A,$C52,Resumo_Trocas!$F:$F,V$18,Resumo_Trocas!$C:$C,"&gt;0")</f>
        <v>0</v>
      </c>
      <c r="X52" s="140">
        <f>SUMIFS(Resumo_Trocas!$C:$C,Resumo_Trocas!$A:$A,$C52,Resumo_Trocas!$F:$F,X$44,Resumo_Trocas!$C:$C,"&gt;0")</f>
        <v>0</v>
      </c>
      <c r="Y52" s="141">
        <f>SUMIFS(Resumo_Trocas!$E:$E,Resumo_Trocas!$A:$A,$C52,Resumo_Trocas!$F:$F,X$18,Resumo_Trocas!$C:$C,"&gt;0")</f>
        <v>0</v>
      </c>
      <c r="Z52" s="140">
        <f>SUMIFS(Resumo_Trocas!$C:$C,Resumo_Trocas!$A:$A,$C52,Resumo_Trocas!$F:$F,Z$44,Resumo_Trocas!$C:$C,"&gt;0")</f>
        <v>0</v>
      </c>
      <c r="AA52" s="141">
        <f>SUMIFS(Resumo_Trocas!$E:$E,Resumo_Trocas!$A:$A,$C52,Resumo_Trocas!$F:$F,Z$18,Resumo_Trocas!$C:$C,"&gt;0")</f>
        <v>0</v>
      </c>
      <c r="AB52" s="140">
        <f>SUMIFS(Resumo_Trocas!$C:$C,Resumo_Trocas!$A:$A,$C52,Resumo_Trocas!$F:$F,AB$44,Resumo_Trocas!$C:$C,"&gt;0")</f>
        <v>0</v>
      </c>
      <c r="AC52" s="141">
        <f>SUMIFS(Resumo_Trocas!$E:$E,Resumo_Trocas!$A:$A,$C52,Resumo_Trocas!$F:$F,AB$18,Resumo_Trocas!$C:$C,"&gt;0")</f>
        <v>0</v>
      </c>
      <c r="AD52" s="140">
        <f>SUMIFS(Resumo_Trocas!$C:$C,Resumo_Trocas!$A:$A,$C52,Resumo_Trocas!$F:$F,AD$44,Resumo_Trocas!$C:$C,"&gt;0")</f>
        <v>0</v>
      </c>
      <c r="AE52" s="141">
        <f>SUMIFS(Resumo_Trocas!$E:$E,Resumo_Trocas!$A:$A,$C52,Resumo_Trocas!$F:$F,AD$18,Resumo_Trocas!$C:$C,"&gt;0")</f>
        <v>0</v>
      </c>
      <c r="AF52" s="140">
        <f>SUMIFS(Resumo_Trocas!$C:$C,Resumo_Trocas!$A:$A,$C52,Resumo_Trocas!$F:$F,AF$44,Resumo_Trocas!$C:$C,"&gt;0")</f>
        <v>0</v>
      </c>
      <c r="AG52" s="141">
        <f>SUMIFS(Resumo_Trocas!$E:$E,Resumo_Trocas!$A:$A,$C52,Resumo_Trocas!$F:$F,AF$18,Resumo_Trocas!$C:$C,"&gt;0")</f>
        <v>0</v>
      </c>
      <c r="AH52" s="140">
        <f>SUMIFS(Resumo_Trocas!$C:$C,Resumo_Trocas!$A:$A,$C52,Resumo_Trocas!$F:$F,AH$44,Resumo_Trocas!$C:$C,"&gt;0")</f>
        <v>0</v>
      </c>
      <c r="AI52" s="141">
        <f>SUMIFS(Resumo_Trocas!$E:$E,Resumo_Trocas!$A:$A,$C52,Resumo_Trocas!$F:$F,AH$18,Resumo_Trocas!$C:$C,"&gt;0")</f>
        <v>0</v>
      </c>
      <c r="AJ52" s="140">
        <f>SUMIFS(Resumo_Trocas!$C:$C,Resumo_Trocas!$A:$A,$C52,Resumo_Trocas!$F:$F,AJ$44,Resumo_Trocas!$C:$C,"&gt;0")</f>
        <v>0</v>
      </c>
      <c r="AK52" s="141">
        <f>SUMIFS(Resumo_Trocas!$E:$E,Resumo_Trocas!$A:$A,$C52,Resumo_Trocas!$F:$F,AJ$18,Resumo_Trocas!$C:$C,"&gt;0")</f>
        <v>0</v>
      </c>
      <c r="AL52" s="140">
        <f>SUMIFS(Resumo_Trocas!$C:$C,Resumo_Trocas!$A:$A,$C52,Resumo_Trocas!$F:$F,AL$44,Resumo_Trocas!$C:$C,"&gt;0")</f>
        <v>0</v>
      </c>
      <c r="AM52" s="141">
        <f>SUMIFS(Resumo_Trocas!$E:$E,Resumo_Trocas!$A:$A,$C52,Resumo_Trocas!$F:$F,AL$18,Resumo_Trocas!$C:$C,"&gt;0")</f>
        <v>0</v>
      </c>
      <c r="AN52" s="140">
        <f>SUMIFS(Resumo_Trocas!$C:$C,Resumo_Trocas!$A:$A,$C52,Resumo_Trocas!$F:$F,AN$44,Resumo_Trocas!$C:$C,"&gt;0")</f>
        <v>0</v>
      </c>
      <c r="AO52" s="141">
        <f>SUMIFS(Resumo_Trocas!$E:$E,Resumo_Trocas!$A:$A,$C52,Resumo_Trocas!$F:$F,AN$18,Resumo_Trocas!$C:$C,"&gt;0")</f>
        <v>0</v>
      </c>
    </row>
    <row r="53" spans="2:41" ht="15" customHeight="1" outlineLevel="1" thickBot="1" x14ac:dyDescent="0.3">
      <c r="B53" s="76"/>
      <c r="C53" s="112" t="s">
        <v>296</v>
      </c>
      <c r="D53" s="140">
        <f>SUMIFS(Resumo_Trocas!$C:$C,Resumo_Trocas!$A:$A,$C53,Resumo_Trocas!$F:$F,D$44,Resumo_Trocas!$C:$C,"&gt;0")</f>
        <v>1</v>
      </c>
      <c r="E53" s="141">
        <f>SUMIFS(Resumo_Trocas!$E:$E,Resumo_Trocas!$A:$A,$C53,Resumo_Trocas!$F:$F,D$18,Resumo_Trocas!$C:$C,"&gt;0")</f>
        <v>0</v>
      </c>
      <c r="F53" s="140">
        <f>SUMIFS(Resumo_Trocas!$C:$C,Resumo_Trocas!$A:$A,$C53,Resumo_Trocas!$F:$F,F$44,Resumo_Trocas!$C:$C,"&gt;0")</f>
        <v>1</v>
      </c>
      <c r="G53" s="141">
        <f>SUMIFS(Resumo_Trocas!$E:$E,Resumo_Trocas!$A:$A,$C53,Resumo_Trocas!$F:$F,F$18,Resumo_Trocas!$C:$C,"&gt;0")</f>
        <v>0</v>
      </c>
      <c r="H53" s="140">
        <f>SUMIFS(Resumo_Trocas!$C:$C,Resumo_Trocas!$A:$A,$C53,Resumo_Trocas!$F:$F,H$44,Resumo_Trocas!$C:$C,"&gt;0")</f>
        <v>0</v>
      </c>
      <c r="I53" s="141">
        <f>SUMIFS(Resumo_Trocas!$E:$E,Resumo_Trocas!$A:$A,$C53,Resumo_Trocas!$F:$F,H$18,Resumo_Trocas!$C:$C,"&gt;0")</f>
        <v>0</v>
      </c>
      <c r="J53" s="140">
        <f>SUMIFS(Resumo_Trocas!$C:$C,Resumo_Trocas!$A:$A,$C53,Resumo_Trocas!$F:$F,J$44,Resumo_Trocas!$C:$C,"&gt;0")</f>
        <v>2</v>
      </c>
      <c r="K53" s="141">
        <f>SUMIFS(Resumo_Trocas!$E:$E,Resumo_Trocas!$A:$A,$C53,Resumo_Trocas!$F:$F,J$18,Resumo_Trocas!$C:$C,"&gt;0")</f>
        <v>1</v>
      </c>
      <c r="L53" s="140">
        <f>SUMIFS(Resumo_Trocas!$C:$C,Resumo_Trocas!$A:$A,$C53,Resumo_Trocas!$F:$F,L$44,Resumo_Trocas!$C:$C,"&gt;0")</f>
        <v>0</v>
      </c>
      <c r="M53" s="141">
        <f>SUMIFS(Resumo_Trocas!$E:$E,Resumo_Trocas!$A:$A,$C53,Resumo_Trocas!$F:$F,L$18,Resumo_Trocas!$C:$C,"&gt;0")</f>
        <v>0</v>
      </c>
      <c r="N53" s="140">
        <f>SUMIFS(Resumo_Trocas!$C:$C,Resumo_Trocas!$A:$A,$C53,Resumo_Trocas!$F:$F,N$44,Resumo_Trocas!$C:$C,"&gt;0")</f>
        <v>0</v>
      </c>
      <c r="O53" s="141">
        <f>SUMIFS(Resumo_Trocas!$E:$E,Resumo_Trocas!$A:$A,$C53,Resumo_Trocas!$F:$F,N$18,Resumo_Trocas!$C:$C,"&gt;0")</f>
        <v>0</v>
      </c>
      <c r="P53" s="140">
        <f>SUMIFS(Resumo_Trocas!$C:$C,Resumo_Trocas!$A:$A,$C53,Resumo_Trocas!$F:$F,P$44,Resumo_Trocas!$C:$C,"&gt;0")</f>
        <v>0</v>
      </c>
      <c r="Q53" s="141">
        <f>SUMIFS(Resumo_Trocas!$E:$E,Resumo_Trocas!$A:$A,$C53,Resumo_Trocas!$F:$F,P$18,Resumo_Trocas!$C:$C,"&gt;0")</f>
        <v>0</v>
      </c>
      <c r="R53" s="140">
        <f>SUMIFS(Resumo_Trocas!$C:$C,Resumo_Trocas!$A:$A,$C53,Resumo_Trocas!$F:$F,R$44,Resumo_Trocas!$C:$C,"&gt;0")</f>
        <v>1</v>
      </c>
      <c r="S53" s="141">
        <f>SUMIFS(Resumo_Trocas!$E:$E,Resumo_Trocas!$A:$A,$C53,Resumo_Trocas!$F:$F,R$18,Resumo_Trocas!$C:$C,"&gt;0")</f>
        <v>0</v>
      </c>
      <c r="T53" s="140">
        <f>SUMIFS(Resumo_Trocas!$C:$C,Resumo_Trocas!$A:$A,$C53,Resumo_Trocas!$F:$F,T$44,Resumo_Trocas!$C:$C,"&gt;0")</f>
        <v>0</v>
      </c>
      <c r="U53" s="141">
        <f>SUMIFS(Resumo_Trocas!$E:$E,Resumo_Trocas!$A:$A,$C53,Resumo_Trocas!$F:$F,T$18,Resumo_Trocas!$C:$C,"&gt;0")</f>
        <v>0</v>
      </c>
      <c r="V53" s="140">
        <f>SUMIFS(Resumo_Trocas!$C:$C,Resumo_Trocas!$A:$A,$C53,Resumo_Trocas!$F:$F,V$44,Resumo_Trocas!$C:$C,"&gt;0")</f>
        <v>0</v>
      </c>
      <c r="W53" s="141">
        <f>SUMIFS(Resumo_Trocas!$E:$E,Resumo_Trocas!$A:$A,$C53,Resumo_Trocas!$F:$F,V$18,Resumo_Trocas!$C:$C,"&gt;0")</f>
        <v>0</v>
      </c>
      <c r="X53" s="140">
        <f>SUMIFS(Resumo_Trocas!$C:$C,Resumo_Trocas!$A:$A,$C53,Resumo_Trocas!$F:$F,X$44,Resumo_Trocas!$C:$C,"&gt;0")</f>
        <v>0</v>
      </c>
      <c r="Y53" s="141">
        <f>SUMIFS(Resumo_Trocas!$E:$E,Resumo_Trocas!$A:$A,$C53,Resumo_Trocas!$F:$F,X$18,Resumo_Trocas!$C:$C,"&gt;0")</f>
        <v>0</v>
      </c>
      <c r="Z53" s="140">
        <f>SUMIFS(Resumo_Trocas!$C:$C,Resumo_Trocas!$A:$A,$C53,Resumo_Trocas!$F:$F,Z$44,Resumo_Trocas!$C:$C,"&gt;0")</f>
        <v>0</v>
      </c>
      <c r="AA53" s="141">
        <f>SUMIFS(Resumo_Trocas!$E:$E,Resumo_Trocas!$A:$A,$C53,Resumo_Trocas!$F:$F,Z$18,Resumo_Trocas!$C:$C,"&gt;0")</f>
        <v>0</v>
      </c>
      <c r="AB53" s="140">
        <f>SUMIFS(Resumo_Trocas!$C:$C,Resumo_Trocas!$A:$A,$C53,Resumo_Trocas!$F:$F,AB$44,Resumo_Trocas!$C:$C,"&gt;0")</f>
        <v>0</v>
      </c>
      <c r="AC53" s="141">
        <f>SUMIFS(Resumo_Trocas!$E:$E,Resumo_Trocas!$A:$A,$C53,Resumo_Trocas!$F:$F,AB$18,Resumo_Trocas!$C:$C,"&gt;0")</f>
        <v>0</v>
      </c>
      <c r="AD53" s="140">
        <f>SUMIFS(Resumo_Trocas!$C:$C,Resumo_Trocas!$A:$A,$C53,Resumo_Trocas!$F:$F,AD$44,Resumo_Trocas!$C:$C,"&gt;0")</f>
        <v>0</v>
      </c>
      <c r="AE53" s="141">
        <f>SUMIFS(Resumo_Trocas!$E:$E,Resumo_Trocas!$A:$A,$C53,Resumo_Trocas!$F:$F,AD$18,Resumo_Trocas!$C:$C,"&gt;0")</f>
        <v>0</v>
      </c>
      <c r="AF53" s="140">
        <f>SUMIFS(Resumo_Trocas!$C:$C,Resumo_Trocas!$A:$A,$C53,Resumo_Trocas!$F:$F,AF$44,Resumo_Trocas!$C:$C,"&gt;0")</f>
        <v>0</v>
      </c>
      <c r="AG53" s="141">
        <f>SUMIFS(Resumo_Trocas!$E:$E,Resumo_Trocas!$A:$A,$C53,Resumo_Trocas!$F:$F,AF$18,Resumo_Trocas!$C:$C,"&gt;0")</f>
        <v>0</v>
      </c>
      <c r="AH53" s="140">
        <f>SUMIFS(Resumo_Trocas!$C:$C,Resumo_Trocas!$A:$A,$C53,Resumo_Trocas!$F:$F,AH$44,Resumo_Trocas!$C:$C,"&gt;0")</f>
        <v>0</v>
      </c>
      <c r="AI53" s="141">
        <f>SUMIFS(Resumo_Trocas!$E:$E,Resumo_Trocas!$A:$A,$C53,Resumo_Trocas!$F:$F,AH$18,Resumo_Trocas!$C:$C,"&gt;0")</f>
        <v>0</v>
      </c>
      <c r="AJ53" s="140">
        <f>SUMIFS(Resumo_Trocas!$C:$C,Resumo_Trocas!$A:$A,$C53,Resumo_Trocas!$F:$F,AJ$44,Resumo_Trocas!$C:$C,"&gt;0")</f>
        <v>0</v>
      </c>
      <c r="AK53" s="141">
        <f>SUMIFS(Resumo_Trocas!$E:$E,Resumo_Trocas!$A:$A,$C53,Resumo_Trocas!$F:$F,AJ$18,Resumo_Trocas!$C:$C,"&gt;0")</f>
        <v>0</v>
      </c>
      <c r="AL53" s="140">
        <f>SUMIFS(Resumo_Trocas!$C:$C,Resumo_Trocas!$A:$A,$C53,Resumo_Trocas!$F:$F,AL$44,Resumo_Trocas!$C:$C,"&gt;0")</f>
        <v>0</v>
      </c>
      <c r="AM53" s="141">
        <f>SUMIFS(Resumo_Trocas!$E:$E,Resumo_Trocas!$A:$A,$C53,Resumo_Trocas!$F:$F,AL$18,Resumo_Trocas!$C:$C,"&gt;0")</f>
        <v>0</v>
      </c>
      <c r="AN53" s="140">
        <f>SUMIFS(Resumo_Trocas!$C:$C,Resumo_Trocas!$A:$A,$C53,Resumo_Trocas!$F:$F,AN$44,Resumo_Trocas!$C:$C,"&gt;0")</f>
        <v>0</v>
      </c>
      <c r="AO53" s="141">
        <f>SUMIFS(Resumo_Trocas!$E:$E,Resumo_Trocas!$A:$A,$C53,Resumo_Trocas!$F:$F,AN$18,Resumo_Trocas!$C:$C,"&gt;0")</f>
        <v>0</v>
      </c>
    </row>
    <row r="54" spans="2:41" ht="15" customHeight="1" outlineLevel="1" thickBot="1" x14ac:dyDescent="0.3">
      <c r="B54" s="76"/>
      <c r="C54" s="112" t="s">
        <v>299</v>
      </c>
      <c r="D54" s="140">
        <f>SUMIFS(Resumo_Trocas!$C:$C,Resumo_Trocas!$A:$A,$C54,Resumo_Trocas!$F:$F,D$44,Resumo_Trocas!$C:$C,"&gt;0")</f>
        <v>1</v>
      </c>
      <c r="E54" s="141">
        <f>SUMIFS(Resumo_Trocas!$E:$E,Resumo_Trocas!$A:$A,$C54,Resumo_Trocas!$F:$F,D$18,Resumo_Trocas!$C:$C,"&gt;0")</f>
        <v>0</v>
      </c>
      <c r="F54" s="140">
        <f>SUMIFS(Resumo_Trocas!$C:$C,Resumo_Trocas!$A:$A,$C54,Resumo_Trocas!$F:$F,F$44,Resumo_Trocas!$C:$C,"&gt;0")</f>
        <v>1</v>
      </c>
      <c r="G54" s="141">
        <f>SUMIFS(Resumo_Trocas!$E:$E,Resumo_Trocas!$A:$A,$C54,Resumo_Trocas!$F:$F,F$18,Resumo_Trocas!$C:$C,"&gt;0")</f>
        <v>1</v>
      </c>
      <c r="H54" s="140">
        <f>SUMIFS(Resumo_Trocas!$C:$C,Resumo_Trocas!$A:$A,$C54,Resumo_Trocas!$F:$F,H$44,Resumo_Trocas!$C:$C,"&gt;0")</f>
        <v>0</v>
      </c>
      <c r="I54" s="141">
        <f>SUMIFS(Resumo_Trocas!$E:$E,Resumo_Trocas!$A:$A,$C54,Resumo_Trocas!$F:$F,H$18,Resumo_Trocas!$C:$C,"&gt;0")</f>
        <v>0</v>
      </c>
      <c r="J54" s="140">
        <f>SUMIFS(Resumo_Trocas!$C:$C,Resumo_Trocas!$A:$A,$C54,Resumo_Trocas!$F:$F,J$44,Resumo_Trocas!$C:$C,"&gt;0")</f>
        <v>0</v>
      </c>
      <c r="K54" s="141">
        <f>SUMIFS(Resumo_Trocas!$E:$E,Resumo_Trocas!$A:$A,$C54,Resumo_Trocas!$F:$F,J$18,Resumo_Trocas!$C:$C,"&gt;0")</f>
        <v>0</v>
      </c>
      <c r="L54" s="140">
        <f>SUMIFS(Resumo_Trocas!$C:$C,Resumo_Trocas!$A:$A,$C54,Resumo_Trocas!$F:$F,L$44,Resumo_Trocas!$C:$C,"&gt;0")</f>
        <v>0</v>
      </c>
      <c r="M54" s="141">
        <f>SUMIFS(Resumo_Trocas!$E:$E,Resumo_Trocas!$A:$A,$C54,Resumo_Trocas!$F:$F,L$18,Resumo_Trocas!$C:$C,"&gt;0")</f>
        <v>0</v>
      </c>
      <c r="N54" s="140">
        <f>SUMIFS(Resumo_Trocas!$C:$C,Resumo_Trocas!$A:$A,$C54,Resumo_Trocas!$F:$F,N$44,Resumo_Trocas!$C:$C,"&gt;0")</f>
        <v>0</v>
      </c>
      <c r="O54" s="141">
        <f>SUMIFS(Resumo_Trocas!$E:$E,Resumo_Trocas!$A:$A,$C54,Resumo_Trocas!$F:$F,N$18,Resumo_Trocas!$C:$C,"&gt;0")</f>
        <v>0</v>
      </c>
      <c r="P54" s="140">
        <f>SUMIFS(Resumo_Trocas!$C:$C,Resumo_Trocas!$A:$A,$C54,Resumo_Trocas!$F:$F,P$44,Resumo_Trocas!$C:$C,"&gt;0")</f>
        <v>0</v>
      </c>
      <c r="Q54" s="141">
        <f>SUMIFS(Resumo_Trocas!$E:$E,Resumo_Trocas!$A:$A,$C54,Resumo_Trocas!$F:$F,P$18,Resumo_Trocas!$C:$C,"&gt;0")</f>
        <v>0</v>
      </c>
      <c r="R54" s="140">
        <f>SUMIFS(Resumo_Trocas!$C:$C,Resumo_Trocas!$A:$A,$C54,Resumo_Trocas!$F:$F,R$44,Resumo_Trocas!$C:$C,"&gt;0")</f>
        <v>0</v>
      </c>
      <c r="S54" s="141">
        <f>SUMIFS(Resumo_Trocas!$E:$E,Resumo_Trocas!$A:$A,$C54,Resumo_Trocas!$F:$F,R$18,Resumo_Trocas!$C:$C,"&gt;0")</f>
        <v>0</v>
      </c>
      <c r="T54" s="140">
        <f>SUMIFS(Resumo_Trocas!$C:$C,Resumo_Trocas!$A:$A,$C54,Resumo_Trocas!$F:$F,T$44,Resumo_Trocas!$C:$C,"&gt;0")</f>
        <v>0</v>
      </c>
      <c r="U54" s="141">
        <f>SUMIFS(Resumo_Trocas!$E:$E,Resumo_Trocas!$A:$A,$C54,Resumo_Trocas!$F:$F,T$18,Resumo_Trocas!$C:$C,"&gt;0")</f>
        <v>0</v>
      </c>
      <c r="V54" s="140">
        <f>SUMIFS(Resumo_Trocas!$C:$C,Resumo_Trocas!$A:$A,$C54,Resumo_Trocas!$F:$F,V$44,Resumo_Trocas!$C:$C,"&gt;0")</f>
        <v>1</v>
      </c>
      <c r="W54" s="141">
        <f>SUMIFS(Resumo_Trocas!$E:$E,Resumo_Trocas!$A:$A,$C54,Resumo_Trocas!$F:$F,V$18,Resumo_Trocas!$C:$C,"&gt;0")</f>
        <v>0</v>
      </c>
      <c r="X54" s="140">
        <f>SUMIFS(Resumo_Trocas!$C:$C,Resumo_Trocas!$A:$A,$C54,Resumo_Trocas!$F:$F,X$44,Resumo_Trocas!$C:$C,"&gt;0")</f>
        <v>0</v>
      </c>
      <c r="Y54" s="141">
        <f>SUMIFS(Resumo_Trocas!$E:$E,Resumo_Trocas!$A:$A,$C54,Resumo_Trocas!$F:$F,X$18,Resumo_Trocas!$C:$C,"&gt;0")</f>
        <v>0</v>
      </c>
      <c r="Z54" s="140">
        <f>SUMIFS(Resumo_Trocas!$C:$C,Resumo_Trocas!$A:$A,$C54,Resumo_Trocas!$F:$F,Z$44,Resumo_Trocas!$C:$C,"&gt;0")</f>
        <v>0</v>
      </c>
      <c r="AA54" s="141">
        <f>SUMIFS(Resumo_Trocas!$E:$E,Resumo_Trocas!$A:$A,$C54,Resumo_Trocas!$F:$F,Z$18,Resumo_Trocas!$C:$C,"&gt;0")</f>
        <v>0</v>
      </c>
      <c r="AB54" s="140">
        <f>SUMIFS(Resumo_Trocas!$C:$C,Resumo_Trocas!$A:$A,$C54,Resumo_Trocas!$F:$F,AB$44,Resumo_Trocas!$C:$C,"&gt;0")</f>
        <v>0</v>
      </c>
      <c r="AC54" s="141">
        <f>SUMIFS(Resumo_Trocas!$E:$E,Resumo_Trocas!$A:$A,$C54,Resumo_Trocas!$F:$F,AB$18,Resumo_Trocas!$C:$C,"&gt;0")</f>
        <v>0</v>
      </c>
      <c r="AD54" s="140">
        <f>SUMIFS(Resumo_Trocas!$C:$C,Resumo_Trocas!$A:$A,$C54,Resumo_Trocas!$F:$F,AD$44,Resumo_Trocas!$C:$C,"&gt;0")</f>
        <v>0</v>
      </c>
      <c r="AE54" s="141">
        <f>SUMIFS(Resumo_Trocas!$E:$E,Resumo_Trocas!$A:$A,$C54,Resumo_Trocas!$F:$F,AD$18,Resumo_Trocas!$C:$C,"&gt;0")</f>
        <v>0</v>
      </c>
      <c r="AF54" s="140">
        <f>SUMIFS(Resumo_Trocas!$C:$C,Resumo_Trocas!$A:$A,$C54,Resumo_Trocas!$F:$F,AF$44,Resumo_Trocas!$C:$C,"&gt;0")</f>
        <v>0</v>
      </c>
      <c r="AG54" s="141">
        <f>SUMIFS(Resumo_Trocas!$E:$E,Resumo_Trocas!$A:$A,$C54,Resumo_Trocas!$F:$F,AF$18,Resumo_Trocas!$C:$C,"&gt;0")</f>
        <v>0</v>
      </c>
      <c r="AH54" s="140">
        <f>SUMIFS(Resumo_Trocas!$C:$C,Resumo_Trocas!$A:$A,$C54,Resumo_Trocas!$F:$F,AH$44,Resumo_Trocas!$C:$C,"&gt;0")</f>
        <v>0</v>
      </c>
      <c r="AI54" s="141">
        <f>SUMIFS(Resumo_Trocas!$E:$E,Resumo_Trocas!$A:$A,$C54,Resumo_Trocas!$F:$F,AH$18,Resumo_Trocas!$C:$C,"&gt;0")</f>
        <v>0</v>
      </c>
      <c r="AJ54" s="140">
        <f>SUMIFS(Resumo_Trocas!$C:$C,Resumo_Trocas!$A:$A,$C54,Resumo_Trocas!$F:$F,AJ$44,Resumo_Trocas!$C:$C,"&gt;0")</f>
        <v>0</v>
      </c>
      <c r="AK54" s="141">
        <f>SUMIFS(Resumo_Trocas!$E:$E,Resumo_Trocas!$A:$A,$C54,Resumo_Trocas!$F:$F,AJ$18,Resumo_Trocas!$C:$C,"&gt;0")</f>
        <v>0</v>
      </c>
      <c r="AL54" s="140">
        <f>SUMIFS(Resumo_Trocas!$C:$C,Resumo_Trocas!$A:$A,$C54,Resumo_Trocas!$F:$F,AL$44,Resumo_Trocas!$C:$C,"&gt;0")</f>
        <v>0</v>
      </c>
      <c r="AM54" s="141">
        <f>SUMIFS(Resumo_Trocas!$E:$E,Resumo_Trocas!$A:$A,$C54,Resumo_Trocas!$F:$F,AL$18,Resumo_Trocas!$C:$C,"&gt;0")</f>
        <v>0</v>
      </c>
      <c r="AN54" s="140">
        <f>SUMIFS(Resumo_Trocas!$C:$C,Resumo_Trocas!$A:$A,$C54,Resumo_Trocas!$F:$F,AN$44,Resumo_Trocas!$C:$C,"&gt;0")</f>
        <v>0</v>
      </c>
      <c r="AO54" s="141">
        <f>SUMIFS(Resumo_Trocas!$E:$E,Resumo_Trocas!$A:$A,$C54,Resumo_Trocas!$F:$F,AN$18,Resumo_Trocas!$C:$C,"&gt;0")</f>
        <v>0</v>
      </c>
    </row>
    <row r="55" spans="2:41" ht="15" customHeight="1" outlineLevel="1" thickBot="1" x14ac:dyDescent="0.3">
      <c r="B55" s="76"/>
      <c r="C55" s="112" t="s">
        <v>301</v>
      </c>
      <c r="D55" s="140">
        <f>SUMIFS(Resumo_Trocas!$C:$C,Resumo_Trocas!$A:$A,$C55,Resumo_Trocas!$F:$F,D$44,Resumo_Trocas!$C:$C,"&gt;0")</f>
        <v>1</v>
      </c>
      <c r="E55" s="141">
        <f>SUMIFS(Resumo_Trocas!$E:$E,Resumo_Trocas!$A:$A,$C55,Resumo_Trocas!$F:$F,D$18,Resumo_Trocas!$C:$C,"&gt;0")</f>
        <v>0</v>
      </c>
      <c r="F55" s="140">
        <f>SUMIFS(Resumo_Trocas!$C:$C,Resumo_Trocas!$A:$A,$C55,Resumo_Trocas!$F:$F,F$44,Resumo_Trocas!$C:$C,"&gt;0")</f>
        <v>0</v>
      </c>
      <c r="G55" s="141">
        <f>SUMIFS(Resumo_Trocas!$E:$E,Resumo_Trocas!$A:$A,$C55,Resumo_Trocas!$F:$F,F$18,Resumo_Trocas!$C:$C,"&gt;0")</f>
        <v>0</v>
      </c>
      <c r="H55" s="140">
        <f>SUMIFS(Resumo_Trocas!$C:$C,Resumo_Trocas!$A:$A,$C55,Resumo_Trocas!$F:$F,H$44,Resumo_Trocas!$C:$C,"&gt;0")</f>
        <v>0</v>
      </c>
      <c r="I55" s="141">
        <f>SUMIFS(Resumo_Trocas!$E:$E,Resumo_Trocas!$A:$A,$C55,Resumo_Trocas!$F:$F,H$18,Resumo_Trocas!$C:$C,"&gt;0")</f>
        <v>0</v>
      </c>
      <c r="J55" s="140">
        <f>SUMIFS(Resumo_Trocas!$C:$C,Resumo_Trocas!$A:$A,$C55,Resumo_Trocas!$F:$F,J$44,Resumo_Trocas!$C:$C,"&gt;0")</f>
        <v>0</v>
      </c>
      <c r="K55" s="141">
        <f>SUMIFS(Resumo_Trocas!$E:$E,Resumo_Trocas!$A:$A,$C55,Resumo_Trocas!$F:$F,J$18,Resumo_Trocas!$C:$C,"&gt;0")</f>
        <v>0</v>
      </c>
      <c r="L55" s="140">
        <f>SUMIFS(Resumo_Trocas!$C:$C,Resumo_Trocas!$A:$A,$C55,Resumo_Trocas!$F:$F,L$44,Resumo_Trocas!$C:$C,"&gt;0")</f>
        <v>0</v>
      </c>
      <c r="M55" s="141">
        <f>SUMIFS(Resumo_Trocas!$E:$E,Resumo_Trocas!$A:$A,$C55,Resumo_Trocas!$F:$F,L$18,Resumo_Trocas!$C:$C,"&gt;0")</f>
        <v>0</v>
      </c>
      <c r="N55" s="140">
        <f>SUMIFS(Resumo_Trocas!$C:$C,Resumo_Trocas!$A:$A,$C55,Resumo_Trocas!$F:$F,N$44,Resumo_Trocas!$C:$C,"&gt;0")</f>
        <v>0</v>
      </c>
      <c r="O55" s="141">
        <f>SUMIFS(Resumo_Trocas!$E:$E,Resumo_Trocas!$A:$A,$C55,Resumo_Trocas!$F:$F,N$18,Resumo_Trocas!$C:$C,"&gt;0")</f>
        <v>0</v>
      </c>
      <c r="P55" s="140">
        <f>SUMIFS(Resumo_Trocas!$C:$C,Resumo_Trocas!$A:$A,$C55,Resumo_Trocas!$F:$F,P$44,Resumo_Trocas!$C:$C,"&gt;0")</f>
        <v>0</v>
      </c>
      <c r="Q55" s="141">
        <f>SUMIFS(Resumo_Trocas!$E:$E,Resumo_Trocas!$A:$A,$C55,Resumo_Trocas!$F:$F,P$18,Resumo_Trocas!$C:$C,"&gt;0")</f>
        <v>0</v>
      </c>
      <c r="R55" s="140">
        <f>SUMIFS(Resumo_Trocas!$C:$C,Resumo_Trocas!$A:$A,$C55,Resumo_Trocas!$F:$F,R$44,Resumo_Trocas!$C:$C,"&gt;0")</f>
        <v>0</v>
      </c>
      <c r="S55" s="141">
        <f>SUMIFS(Resumo_Trocas!$E:$E,Resumo_Trocas!$A:$A,$C55,Resumo_Trocas!$F:$F,R$18,Resumo_Trocas!$C:$C,"&gt;0")</f>
        <v>0</v>
      </c>
      <c r="T55" s="140">
        <f>SUMIFS(Resumo_Trocas!$C:$C,Resumo_Trocas!$A:$A,$C55,Resumo_Trocas!$F:$F,T$44,Resumo_Trocas!$C:$C,"&gt;0")</f>
        <v>0</v>
      </c>
      <c r="U55" s="141">
        <f>SUMIFS(Resumo_Trocas!$E:$E,Resumo_Trocas!$A:$A,$C55,Resumo_Trocas!$F:$F,T$18,Resumo_Trocas!$C:$C,"&gt;0")</f>
        <v>0</v>
      </c>
      <c r="V55" s="140">
        <f>SUMIFS(Resumo_Trocas!$C:$C,Resumo_Trocas!$A:$A,$C55,Resumo_Trocas!$F:$F,V$44,Resumo_Trocas!$C:$C,"&gt;0")</f>
        <v>0</v>
      </c>
      <c r="W55" s="141">
        <f>SUMIFS(Resumo_Trocas!$E:$E,Resumo_Trocas!$A:$A,$C55,Resumo_Trocas!$F:$F,V$18,Resumo_Trocas!$C:$C,"&gt;0")</f>
        <v>0</v>
      </c>
      <c r="X55" s="140">
        <f>SUMIFS(Resumo_Trocas!$C:$C,Resumo_Trocas!$A:$A,$C55,Resumo_Trocas!$F:$F,X$44,Resumo_Trocas!$C:$C,"&gt;0")</f>
        <v>0</v>
      </c>
      <c r="Y55" s="141">
        <f>SUMIFS(Resumo_Trocas!$E:$E,Resumo_Trocas!$A:$A,$C55,Resumo_Trocas!$F:$F,X$18,Resumo_Trocas!$C:$C,"&gt;0")</f>
        <v>0</v>
      </c>
      <c r="Z55" s="140">
        <f>SUMIFS(Resumo_Trocas!$C:$C,Resumo_Trocas!$A:$A,$C55,Resumo_Trocas!$F:$F,Z$44,Resumo_Trocas!$C:$C,"&gt;0")</f>
        <v>0</v>
      </c>
      <c r="AA55" s="141">
        <f>SUMIFS(Resumo_Trocas!$E:$E,Resumo_Trocas!$A:$A,$C55,Resumo_Trocas!$F:$F,Z$18,Resumo_Trocas!$C:$C,"&gt;0")</f>
        <v>0</v>
      </c>
      <c r="AB55" s="140">
        <f>SUMIFS(Resumo_Trocas!$C:$C,Resumo_Trocas!$A:$A,$C55,Resumo_Trocas!$F:$F,AB$44,Resumo_Trocas!$C:$C,"&gt;0")</f>
        <v>0</v>
      </c>
      <c r="AC55" s="141">
        <f>SUMIFS(Resumo_Trocas!$E:$E,Resumo_Trocas!$A:$A,$C55,Resumo_Trocas!$F:$F,AB$18,Resumo_Trocas!$C:$C,"&gt;0")</f>
        <v>0</v>
      </c>
      <c r="AD55" s="140">
        <f>SUMIFS(Resumo_Trocas!$C:$C,Resumo_Trocas!$A:$A,$C55,Resumo_Trocas!$F:$F,AD$44,Resumo_Trocas!$C:$C,"&gt;0")</f>
        <v>0</v>
      </c>
      <c r="AE55" s="141">
        <f>SUMIFS(Resumo_Trocas!$E:$E,Resumo_Trocas!$A:$A,$C55,Resumo_Trocas!$F:$F,AD$18,Resumo_Trocas!$C:$C,"&gt;0")</f>
        <v>0</v>
      </c>
      <c r="AF55" s="140">
        <f>SUMIFS(Resumo_Trocas!$C:$C,Resumo_Trocas!$A:$A,$C55,Resumo_Trocas!$F:$F,AF$44,Resumo_Trocas!$C:$C,"&gt;0")</f>
        <v>0</v>
      </c>
      <c r="AG55" s="141">
        <f>SUMIFS(Resumo_Trocas!$E:$E,Resumo_Trocas!$A:$A,$C55,Resumo_Trocas!$F:$F,AF$18,Resumo_Trocas!$C:$C,"&gt;0")</f>
        <v>0</v>
      </c>
      <c r="AH55" s="140">
        <f>SUMIFS(Resumo_Trocas!$C:$C,Resumo_Trocas!$A:$A,$C55,Resumo_Trocas!$F:$F,AH$44,Resumo_Trocas!$C:$C,"&gt;0")</f>
        <v>0</v>
      </c>
      <c r="AI55" s="141">
        <f>SUMIFS(Resumo_Trocas!$E:$E,Resumo_Trocas!$A:$A,$C55,Resumo_Trocas!$F:$F,AH$18,Resumo_Trocas!$C:$C,"&gt;0")</f>
        <v>0</v>
      </c>
      <c r="AJ55" s="140">
        <f>SUMIFS(Resumo_Trocas!$C:$C,Resumo_Trocas!$A:$A,$C55,Resumo_Trocas!$F:$F,AJ$44,Resumo_Trocas!$C:$C,"&gt;0")</f>
        <v>0</v>
      </c>
      <c r="AK55" s="141">
        <f>SUMIFS(Resumo_Trocas!$E:$E,Resumo_Trocas!$A:$A,$C55,Resumo_Trocas!$F:$F,AJ$18,Resumo_Trocas!$C:$C,"&gt;0")</f>
        <v>0</v>
      </c>
      <c r="AL55" s="140">
        <f>SUMIFS(Resumo_Trocas!$C:$C,Resumo_Trocas!$A:$A,$C55,Resumo_Trocas!$F:$F,AL$44,Resumo_Trocas!$C:$C,"&gt;0")</f>
        <v>0</v>
      </c>
      <c r="AM55" s="141">
        <f>SUMIFS(Resumo_Trocas!$E:$E,Resumo_Trocas!$A:$A,$C55,Resumo_Trocas!$F:$F,AL$18,Resumo_Trocas!$C:$C,"&gt;0")</f>
        <v>0</v>
      </c>
      <c r="AN55" s="140">
        <f>SUMIFS(Resumo_Trocas!$C:$C,Resumo_Trocas!$A:$A,$C55,Resumo_Trocas!$F:$F,AN$44,Resumo_Trocas!$C:$C,"&gt;0")</f>
        <v>0</v>
      </c>
      <c r="AO55" s="141">
        <f>SUMIFS(Resumo_Trocas!$E:$E,Resumo_Trocas!$A:$A,$C55,Resumo_Trocas!$F:$F,AN$18,Resumo_Trocas!$C:$C,"&gt;0")</f>
        <v>0</v>
      </c>
    </row>
    <row r="56" spans="2:41" ht="15" customHeight="1" outlineLevel="1" thickBot="1" x14ac:dyDescent="0.3">
      <c r="B56" s="76"/>
      <c r="C56" s="112" t="s">
        <v>302</v>
      </c>
      <c r="D56" s="140">
        <f>SUMIFS(Resumo_Trocas!$C:$C,Resumo_Trocas!$A:$A,$C56,Resumo_Trocas!$F:$F,D$44,Resumo_Trocas!$C:$C,"&gt;0")</f>
        <v>5</v>
      </c>
      <c r="E56" s="141">
        <f>SUMIFS(Resumo_Trocas!$E:$E,Resumo_Trocas!$A:$A,$C56,Resumo_Trocas!$F:$F,D$18,Resumo_Trocas!$C:$C,"&gt;0")</f>
        <v>2</v>
      </c>
      <c r="F56" s="140">
        <f>SUMIFS(Resumo_Trocas!$C:$C,Resumo_Trocas!$A:$A,$C56,Resumo_Trocas!$F:$F,F$44,Resumo_Trocas!$C:$C,"&gt;0")</f>
        <v>3</v>
      </c>
      <c r="G56" s="141">
        <f>SUMIFS(Resumo_Trocas!$E:$E,Resumo_Trocas!$A:$A,$C56,Resumo_Trocas!$F:$F,F$18,Resumo_Trocas!$C:$C,"&gt;0")</f>
        <v>0</v>
      </c>
      <c r="H56" s="140">
        <f>SUMIFS(Resumo_Trocas!$C:$C,Resumo_Trocas!$A:$A,$C56,Resumo_Trocas!$F:$F,H$44,Resumo_Trocas!$C:$C,"&gt;0")</f>
        <v>0</v>
      </c>
      <c r="I56" s="141">
        <f>SUMIFS(Resumo_Trocas!$E:$E,Resumo_Trocas!$A:$A,$C56,Resumo_Trocas!$F:$F,H$18,Resumo_Trocas!$C:$C,"&gt;0")</f>
        <v>0</v>
      </c>
      <c r="J56" s="140">
        <f>SUMIFS(Resumo_Trocas!$C:$C,Resumo_Trocas!$A:$A,$C56,Resumo_Trocas!$F:$F,J$44,Resumo_Trocas!$C:$C,"&gt;0")</f>
        <v>2</v>
      </c>
      <c r="K56" s="141">
        <f>SUMIFS(Resumo_Trocas!$E:$E,Resumo_Trocas!$A:$A,$C56,Resumo_Trocas!$F:$F,J$18,Resumo_Trocas!$C:$C,"&gt;0")</f>
        <v>0</v>
      </c>
      <c r="L56" s="140">
        <f>SUMIFS(Resumo_Trocas!$C:$C,Resumo_Trocas!$A:$A,$C56,Resumo_Trocas!$F:$F,L$44,Resumo_Trocas!$C:$C,"&gt;0")</f>
        <v>1</v>
      </c>
      <c r="M56" s="141">
        <f>SUMIFS(Resumo_Trocas!$E:$E,Resumo_Trocas!$A:$A,$C56,Resumo_Trocas!$F:$F,L$18,Resumo_Trocas!$C:$C,"&gt;0")</f>
        <v>0</v>
      </c>
      <c r="N56" s="140">
        <f>SUMIFS(Resumo_Trocas!$C:$C,Resumo_Trocas!$A:$A,$C56,Resumo_Trocas!$F:$F,N$44,Resumo_Trocas!$C:$C,"&gt;0")</f>
        <v>0</v>
      </c>
      <c r="O56" s="141">
        <f>SUMIFS(Resumo_Trocas!$E:$E,Resumo_Trocas!$A:$A,$C56,Resumo_Trocas!$F:$F,N$18,Resumo_Trocas!$C:$C,"&gt;0")</f>
        <v>0</v>
      </c>
      <c r="P56" s="140">
        <f>SUMIFS(Resumo_Trocas!$C:$C,Resumo_Trocas!$A:$A,$C56,Resumo_Trocas!$F:$F,P$44,Resumo_Trocas!$C:$C,"&gt;0")</f>
        <v>1</v>
      </c>
      <c r="Q56" s="141">
        <f>SUMIFS(Resumo_Trocas!$E:$E,Resumo_Trocas!$A:$A,$C56,Resumo_Trocas!$F:$F,P$18,Resumo_Trocas!$C:$C,"&gt;0")</f>
        <v>0</v>
      </c>
      <c r="R56" s="140">
        <f>SUMIFS(Resumo_Trocas!$C:$C,Resumo_Trocas!$A:$A,$C56,Resumo_Trocas!$F:$F,R$44,Resumo_Trocas!$C:$C,"&gt;0")</f>
        <v>2</v>
      </c>
      <c r="S56" s="141">
        <f>SUMIFS(Resumo_Trocas!$E:$E,Resumo_Trocas!$A:$A,$C56,Resumo_Trocas!$F:$F,R$18,Resumo_Trocas!$C:$C,"&gt;0")</f>
        <v>1</v>
      </c>
      <c r="T56" s="140">
        <f>SUMIFS(Resumo_Trocas!$C:$C,Resumo_Trocas!$A:$A,$C56,Resumo_Trocas!$F:$F,T$44,Resumo_Trocas!$C:$C,"&gt;0")</f>
        <v>4</v>
      </c>
      <c r="U56" s="141">
        <f>SUMIFS(Resumo_Trocas!$E:$E,Resumo_Trocas!$A:$A,$C56,Resumo_Trocas!$F:$F,T$18,Resumo_Trocas!$C:$C,"&gt;0")</f>
        <v>1</v>
      </c>
      <c r="V56" s="140">
        <f>SUMIFS(Resumo_Trocas!$C:$C,Resumo_Trocas!$A:$A,$C56,Resumo_Trocas!$F:$F,V$44,Resumo_Trocas!$C:$C,"&gt;0")</f>
        <v>3</v>
      </c>
      <c r="W56" s="141">
        <f>SUMIFS(Resumo_Trocas!$E:$E,Resumo_Trocas!$A:$A,$C56,Resumo_Trocas!$F:$F,V$18,Resumo_Trocas!$C:$C,"&gt;0")</f>
        <v>0</v>
      </c>
      <c r="X56" s="140">
        <f>SUMIFS(Resumo_Trocas!$C:$C,Resumo_Trocas!$A:$A,$C56,Resumo_Trocas!$F:$F,X$44,Resumo_Trocas!$C:$C,"&gt;0")</f>
        <v>1</v>
      </c>
      <c r="Y56" s="141">
        <f>SUMIFS(Resumo_Trocas!$E:$E,Resumo_Trocas!$A:$A,$C56,Resumo_Trocas!$F:$F,X$18,Resumo_Trocas!$C:$C,"&gt;0")</f>
        <v>1</v>
      </c>
      <c r="Z56" s="140">
        <f>SUMIFS(Resumo_Trocas!$C:$C,Resumo_Trocas!$A:$A,$C56,Resumo_Trocas!$F:$F,Z$44,Resumo_Trocas!$C:$C,"&gt;0")</f>
        <v>1</v>
      </c>
      <c r="AA56" s="141">
        <f>SUMIFS(Resumo_Trocas!$E:$E,Resumo_Trocas!$A:$A,$C56,Resumo_Trocas!$F:$F,Z$18,Resumo_Trocas!$C:$C,"&gt;0")</f>
        <v>0</v>
      </c>
      <c r="AB56" s="140">
        <f>SUMIFS(Resumo_Trocas!$C:$C,Resumo_Trocas!$A:$A,$C56,Resumo_Trocas!$F:$F,AB$44,Resumo_Trocas!$C:$C,"&gt;0")</f>
        <v>1</v>
      </c>
      <c r="AC56" s="141">
        <f>SUMIFS(Resumo_Trocas!$E:$E,Resumo_Trocas!$A:$A,$C56,Resumo_Trocas!$F:$F,AB$18,Resumo_Trocas!$C:$C,"&gt;0")</f>
        <v>0</v>
      </c>
      <c r="AD56" s="140">
        <f>SUMIFS(Resumo_Trocas!$C:$C,Resumo_Trocas!$A:$A,$C56,Resumo_Trocas!$F:$F,AD$44,Resumo_Trocas!$C:$C,"&gt;0")</f>
        <v>0</v>
      </c>
      <c r="AE56" s="141">
        <f>SUMIFS(Resumo_Trocas!$E:$E,Resumo_Trocas!$A:$A,$C56,Resumo_Trocas!$F:$F,AD$18,Resumo_Trocas!$C:$C,"&gt;0")</f>
        <v>0</v>
      </c>
      <c r="AF56" s="140">
        <f>SUMIFS(Resumo_Trocas!$C:$C,Resumo_Trocas!$A:$A,$C56,Resumo_Trocas!$F:$F,AF$44,Resumo_Trocas!$C:$C,"&gt;0")</f>
        <v>2</v>
      </c>
      <c r="AG56" s="141">
        <f>SUMIFS(Resumo_Trocas!$E:$E,Resumo_Trocas!$A:$A,$C56,Resumo_Trocas!$F:$F,AF$18,Resumo_Trocas!$C:$C,"&gt;0")</f>
        <v>0</v>
      </c>
      <c r="AH56" s="140">
        <f>SUMIFS(Resumo_Trocas!$C:$C,Resumo_Trocas!$A:$A,$C56,Resumo_Trocas!$F:$F,AH$44,Resumo_Trocas!$C:$C,"&gt;0")</f>
        <v>3</v>
      </c>
      <c r="AI56" s="141">
        <f>SUMIFS(Resumo_Trocas!$E:$E,Resumo_Trocas!$A:$A,$C56,Resumo_Trocas!$F:$F,AH$18,Resumo_Trocas!$C:$C,"&gt;0")</f>
        <v>1</v>
      </c>
      <c r="AJ56" s="140">
        <f>SUMIFS(Resumo_Trocas!$C:$C,Resumo_Trocas!$A:$A,$C56,Resumo_Trocas!$F:$F,AJ$44,Resumo_Trocas!$C:$C,"&gt;0")</f>
        <v>1</v>
      </c>
      <c r="AK56" s="141">
        <f>SUMIFS(Resumo_Trocas!$E:$E,Resumo_Trocas!$A:$A,$C56,Resumo_Trocas!$F:$F,AJ$18,Resumo_Trocas!$C:$C,"&gt;0")</f>
        <v>0</v>
      </c>
      <c r="AL56" s="140">
        <f>SUMIFS(Resumo_Trocas!$C:$C,Resumo_Trocas!$A:$A,$C56,Resumo_Trocas!$F:$F,AL$44,Resumo_Trocas!$C:$C,"&gt;0")</f>
        <v>0</v>
      </c>
      <c r="AM56" s="141">
        <f>SUMIFS(Resumo_Trocas!$E:$E,Resumo_Trocas!$A:$A,$C56,Resumo_Trocas!$F:$F,AL$18,Resumo_Trocas!$C:$C,"&gt;0")</f>
        <v>0</v>
      </c>
      <c r="AN56" s="140">
        <f>SUMIFS(Resumo_Trocas!$C:$C,Resumo_Trocas!$A:$A,$C56,Resumo_Trocas!$F:$F,AN$44,Resumo_Trocas!$C:$C,"&gt;0")</f>
        <v>0</v>
      </c>
      <c r="AO56" s="141">
        <f>SUMIFS(Resumo_Trocas!$E:$E,Resumo_Trocas!$A:$A,$C56,Resumo_Trocas!$F:$F,AN$18,Resumo_Trocas!$C:$C,"&gt;0")</f>
        <v>0</v>
      </c>
    </row>
    <row r="57" spans="2:41" ht="15" customHeight="1" outlineLevel="1" thickBot="1" x14ac:dyDescent="0.3">
      <c r="B57" s="76"/>
      <c r="C57" s="112" t="s">
        <v>307</v>
      </c>
      <c r="D57" s="140">
        <f>SUMIFS(Resumo_Trocas!$C:$C,Resumo_Trocas!$A:$A,$C57,Resumo_Trocas!$F:$F,D$44,Resumo_Trocas!$C:$C,"&gt;0")</f>
        <v>1</v>
      </c>
      <c r="E57" s="141">
        <f>SUMIFS(Resumo_Trocas!$E:$E,Resumo_Trocas!$A:$A,$C57,Resumo_Trocas!$F:$F,D$18,Resumo_Trocas!$C:$C,"&gt;0")</f>
        <v>0</v>
      </c>
      <c r="F57" s="140">
        <f>SUMIFS(Resumo_Trocas!$C:$C,Resumo_Trocas!$A:$A,$C57,Resumo_Trocas!$F:$F,F$44,Resumo_Trocas!$C:$C,"&gt;0")</f>
        <v>1</v>
      </c>
      <c r="G57" s="141">
        <f>SUMIFS(Resumo_Trocas!$E:$E,Resumo_Trocas!$A:$A,$C57,Resumo_Trocas!$F:$F,F$18,Resumo_Trocas!$C:$C,"&gt;0")</f>
        <v>0</v>
      </c>
      <c r="H57" s="140">
        <f>SUMIFS(Resumo_Trocas!$C:$C,Resumo_Trocas!$A:$A,$C57,Resumo_Trocas!$F:$F,H$44,Resumo_Trocas!$C:$C,"&gt;0")</f>
        <v>3</v>
      </c>
      <c r="I57" s="141">
        <f>SUMIFS(Resumo_Trocas!$E:$E,Resumo_Trocas!$A:$A,$C57,Resumo_Trocas!$F:$F,H$18,Resumo_Trocas!$C:$C,"&gt;0")</f>
        <v>1</v>
      </c>
      <c r="J57" s="140">
        <f>SUMIFS(Resumo_Trocas!$C:$C,Resumo_Trocas!$A:$A,$C57,Resumo_Trocas!$F:$F,J$44,Resumo_Trocas!$C:$C,"&gt;0")</f>
        <v>3</v>
      </c>
      <c r="K57" s="141">
        <f>SUMIFS(Resumo_Trocas!$E:$E,Resumo_Trocas!$A:$A,$C57,Resumo_Trocas!$F:$F,J$18,Resumo_Trocas!$C:$C,"&gt;0")</f>
        <v>0</v>
      </c>
      <c r="L57" s="140">
        <f>SUMIFS(Resumo_Trocas!$C:$C,Resumo_Trocas!$A:$A,$C57,Resumo_Trocas!$F:$F,L$44,Resumo_Trocas!$C:$C,"&gt;0")</f>
        <v>1</v>
      </c>
      <c r="M57" s="141">
        <f>SUMIFS(Resumo_Trocas!$E:$E,Resumo_Trocas!$A:$A,$C57,Resumo_Trocas!$F:$F,L$18,Resumo_Trocas!$C:$C,"&gt;0")</f>
        <v>0</v>
      </c>
      <c r="N57" s="140">
        <f>SUMIFS(Resumo_Trocas!$C:$C,Resumo_Trocas!$A:$A,$C57,Resumo_Trocas!$F:$F,N$44,Resumo_Trocas!$C:$C,"&gt;0")</f>
        <v>1</v>
      </c>
      <c r="O57" s="141">
        <f>SUMIFS(Resumo_Trocas!$E:$E,Resumo_Trocas!$A:$A,$C57,Resumo_Trocas!$F:$F,N$18,Resumo_Trocas!$C:$C,"&gt;0")</f>
        <v>0</v>
      </c>
      <c r="P57" s="140">
        <f>SUMIFS(Resumo_Trocas!$C:$C,Resumo_Trocas!$A:$A,$C57,Resumo_Trocas!$F:$F,P$44,Resumo_Trocas!$C:$C,"&gt;0")</f>
        <v>3</v>
      </c>
      <c r="Q57" s="141">
        <f>SUMIFS(Resumo_Trocas!$E:$E,Resumo_Trocas!$A:$A,$C57,Resumo_Trocas!$F:$F,P$18,Resumo_Trocas!$C:$C,"&gt;0")</f>
        <v>1</v>
      </c>
      <c r="R57" s="140">
        <f>SUMIFS(Resumo_Trocas!$C:$C,Resumo_Trocas!$A:$A,$C57,Resumo_Trocas!$F:$F,R$44,Resumo_Trocas!$C:$C,"&gt;0")</f>
        <v>0</v>
      </c>
      <c r="S57" s="141">
        <f>SUMIFS(Resumo_Trocas!$E:$E,Resumo_Trocas!$A:$A,$C57,Resumo_Trocas!$F:$F,R$18,Resumo_Trocas!$C:$C,"&gt;0")</f>
        <v>0</v>
      </c>
      <c r="T57" s="140">
        <f>SUMIFS(Resumo_Trocas!$C:$C,Resumo_Trocas!$A:$A,$C57,Resumo_Trocas!$F:$F,T$44,Resumo_Trocas!$C:$C,"&gt;0")</f>
        <v>0</v>
      </c>
      <c r="U57" s="141">
        <f>SUMIFS(Resumo_Trocas!$E:$E,Resumo_Trocas!$A:$A,$C57,Resumo_Trocas!$F:$F,T$18,Resumo_Trocas!$C:$C,"&gt;0")</f>
        <v>0</v>
      </c>
      <c r="V57" s="140">
        <f>SUMIFS(Resumo_Trocas!$C:$C,Resumo_Trocas!$A:$A,$C57,Resumo_Trocas!$F:$F,V$44,Resumo_Trocas!$C:$C,"&gt;0")</f>
        <v>0</v>
      </c>
      <c r="W57" s="141">
        <f>SUMIFS(Resumo_Trocas!$E:$E,Resumo_Trocas!$A:$A,$C57,Resumo_Trocas!$F:$F,V$18,Resumo_Trocas!$C:$C,"&gt;0")</f>
        <v>0</v>
      </c>
      <c r="X57" s="140">
        <f>SUMIFS(Resumo_Trocas!$C:$C,Resumo_Trocas!$A:$A,$C57,Resumo_Trocas!$F:$F,X$44,Resumo_Trocas!$C:$C,"&gt;0")</f>
        <v>0</v>
      </c>
      <c r="Y57" s="141">
        <f>SUMIFS(Resumo_Trocas!$E:$E,Resumo_Trocas!$A:$A,$C57,Resumo_Trocas!$F:$F,X$18,Resumo_Trocas!$C:$C,"&gt;0")</f>
        <v>0</v>
      </c>
      <c r="Z57" s="140">
        <f>SUMIFS(Resumo_Trocas!$C:$C,Resumo_Trocas!$A:$A,$C57,Resumo_Trocas!$F:$F,Z$44,Resumo_Trocas!$C:$C,"&gt;0")</f>
        <v>0</v>
      </c>
      <c r="AA57" s="141">
        <f>SUMIFS(Resumo_Trocas!$E:$E,Resumo_Trocas!$A:$A,$C57,Resumo_Trocas!$F:$F,Z$18,Resumo_Trocas!$C:$C,"&gt;0")</f>
        <v>0</v>
      </c>
      <c r="AB57" s="140">
        <f>SUMIFS(Resumo_Trocas!$C:$C,Resumo_Trocas!$A:$A,$C57,Resumo_Trocas!$F:$F,AB$44,Resumo_Trocas!$C:$C,"&gt;0")</f>
        <v>0</v>
      </c>
      <c r="AC57" s="141">
        <f>SUMIFS(Resumo_Trocas!$E:$E,Resumo_Trocas!$A:$A,$C57,Resumo_Trocas!$F:$F,AB$18,Resumo_Trocas!$C:$C,"&gt;0")</f>
        <v>0</v>
      </c>
      <c r="AD57" s="140">
        <f>SUMIFS(Resumo_Trocas!$C:$C,Resumo_Trocas!$A:$A,$C57,Resumo_Trocas!$F:$F,AD$44,Resumo_Trocas!$C:$C,"&gt;0")</f>
        <v>0</v>
      </c>
      <c r="AE57" s="141">
        <f>SUMIFS(Resumo_Trocas!$E:$E,Resumo_Trocas!$A:$A,$C57,Resumo_Trocas!$F:$F,AD$18,Resumo_Trocas!$C:$C,"&gt;0")</f>
        <v>0</v>
      </c>
      <c r="AF57" s="140">
        <f>SUMIFS(Resumo_Trocas!$C:$C,Resumo_Trocas!$A:$A,$C57,Resumo_Trocas!$F:$F,AF$44,Resumo_Trocas!$C:$C,"&gt;0")</f>
        <v>0</v>
      </c>
      <c r="AG57" s="141">
        <f>SUMIFS(Resumo_Trocas!$E:$E,Resumo_Trocas!$A:$A,$C57,Resumo_Trocas!$F:$F,AF$18,Resumo_Trocas!$C:$C,"&gt;0")</f>
        <v>0</v>
      </c>
      <c r="AH57" s="140">
        <f>SUMIFS(Resumo_Trocas!$C:$C,Resumo_Trocas!$A:$A,$C57,Resumo_Trocas!$F:$F,AH$44,Resumo_Trocas!$C:$C,"&gt;0")</f>
        <v>0</v>
      </c>
      <c r="AI57" s="141">
        <f>SUMIFS(Resumo_Trocas!$E:$E,Resumo_Trocas!$A:$A,$C57,Resumo_Trocas!$F:$F,AH$18,Resumo_Trocas!$C:$C,"&gt;0")</f>
        <v>0</v>
      </c>
      <c r="AJ57" s="140">
        <f>SUMIFS(Resumo_Trocas!$C:$C,Resumo_Trocas!$A:$A,$C57,Resumo_Trocas!$F:$F,AJ$44,Resumo_Trocas!$C:$C,"&gt;0")</f>
        <v>0</v>
      </c>
      <c r="AK57" s="141">
        <f>SUMIFS(Resumo_Trocas!$E:$E,Resumo_Trocas!$A:$A,$C57,Resumo_Trocas!$F:$F,AJ$18,Resumo_Trocas!$C:$C,"&gt;0")</f>
        <v>0</v>
      </c>
      <c r="AL57" s="140">
        <f>SUMIFS(Resumo_Trocas!$C:$C,Resumo_Trocas!$A:$A,$C57,Resumo_Trocas!$F:$F,AL$44,Resumo_Trocas!$C:$C,"&gt;0")</f>
        <v>0</v>
      </c>
      <c r="AM57" s="141">
        <f>SUMIFS(Resumo_Trocas!$E:$E,Resumo_Trocas!$A:$A,$C57,Resumo_Trocas!$F:$F,AL$18,Resumo_Trocas!$C:$C,"&gt;0")</f>
        <v>0</v>
      </c>
      <c r="AN57" s="140">
        <f>SUMIFS(Resumo_Trocas!$C:$C,Resumo_Trocas!$A:$A,$C57,Resumo_Trocas!$F:$F,AN$44,Resumo_Trocas!$C:$C,"&gt;0")</f>
        <v>0</v>
      </c>
      <c r="AO57" s="141">
        <f>SUMIFS(Resumo_Trocas!$E:$E,Resumo_Trocas!$A:$A,$C57,Resumo_Trocas!$F:$F,AN$18,Resumo_Trocas!$C:$C,"&gt;0")</f>
        <v>0</v>
      </c>
    </row>
    <row r="58" spans="2:41" ht="15" customHeight="1" outlineLevel="1" thickBot="1" x14ac:dyDescent="0.3">
      <c r="B58" s="76"/>
      <c r="C58" s="112" t="s">
        <v>315</v>
      </c>
      <c r="D58" s="140">
        <f>SUMIFS(Resumo_Trocas!$C:$C,Resumo_Trocas!$A:$A,$C58,Resumo_Trocas!$F:$F,D$44,Resumo_Trocas!$C:$C,"&gt;0")</f>
        <v>3</v>
      </c>
      <c r="E58" s="141">
        <f>SUMIFS(Resumo_Trocas!$E:$E,Resumo_Trocas!$A:$A,$C58,Resumo_Trocas!$F:$F,D$18,Resumo_Trocas!$C:$C,"&gt;0")</f>
        <v>2</v>
      </c>
      <c r="F58" s="140">
        <f>SUMIFS(Resumo_Trocas!$C:$C,Resumo_Trocas!$A:$A,$C58,Resumo_Trocas!$F:$F,F$44,Resumo_Trocas!$C:$C,"&gt;0")</f>
        <v>0</v>
      </c>
      <c r="G58" s="141">
        <f>SUMIFS(Resumo_Trocas!$E:$E,Resumo_Trocas!$A:$A,$C58,Resumo_Trocas!$F:$F,F$18,Resumo_Trocas!$C:$C,"&gt;0")</f>
        <v>0</v>
      </c>
      <c r="H58" s="140">
        <f>SUMIFS(Resumo_Trocas!$C:$C,Resumo_Trocas!$A:$A,$C58,Resumo_Trocas!$F:$F,H$44,Resumo_Trocas!$C:$C,"&gt;0")</f>
        <v>0</v>
      </c>
      <c r="I58" s="141">
        <f>SUMIFS(Resumo_Trocas!$E:$E,Resumo_Trocas!$A:$A,$C58,Resumo_Trocas!$F:$F,H$18,Resumo_Trocas!$C:$C,"&gt;0")</f>
        <v>0</v>
      </c>
      <c r="J58" s="140">
        <f>SUMIFS(Resumo_Trocas!$C:$C,Resumo_Trocas!$A:$A,$C58,Resumo_Trocas!$F:$F,J$44,Resumo_Trocas!$C:$C,"&gt;0")</f>
        <v>1</v>
      </c>
      <c r="K58" s="141">
        <f>SUMIFS(Resumo_Trocas!$E:$E,Resumo_Trocas!$A:$A,$C58,Resumo_Trocas!$F:$F,J$18,Resumo_Trocas!$C:$C,"&gt;0")</f>
        <v>0</v>
      </c>
      <c r="L58" s="140">
        <f>SUMIFS(Resumo_Trocas!$C:$C,Resumo_Trocas!$A:$A,$C58,Resumo_Trocas!$F:$F,L$44,Resumo_Trocas!$C:$C,"&gt;0")</f>
        <v>0</v>
      </c>
      <c r="M58" s="141">
        <f>SUMIFS(Resumo_Trocas!$E:$E,Resumo_Trocas!$A:$A,$C58,Resumo_Trocas!$F:$F,L$18,Resumo_Trocas!$C:$C,"&gt;0")</f>
        <v>0</v>
      </c>
      <c r="N58" s="140">
        <f>SUMIFS(Resumo_Trocas!$C:$C,Resumo_Trocas!$A:$A,$C58,Resumo_Trocas!$F:$F,N$44,Resumo_Trocas!$C:$C,"&gt;0")</f>
        <v>0</v>
      </c>
      <c r="O58" s="141">
        <f>SUMIFS(Resumo_Trocas!$E:$E,Resumo_Trocas!$A:$A,$C58,Resumo_Trocas!$F:$F,N$18,Resumo_Trocas!$C:$C,"&gt;0")</f>
        <v>0</v>
      </c>
      <c r="P58" s="140">
        <f>SUMIFS(Resumo_Trocas!$C:$C,Resumo_Trocas!$A:$A,$C58,Resumo_Trocas!$F:$F,P$44,Resumo_Trocas!$C:$C,"&gt;0")</f>
        <v>0</v>
      </c>
      <c r="Q58" s="141">
        <f>SUMIFS(Resumo_Trocas!$E:$E,Resumo_Trocas!$A:$A,$C58,Resumo_Trocas!$F:$F,P$18,Resumo_Trocas!$C:$C,"&gt;0")</f>
        <v>0</v>
      </c>
      <c r="R58" s="140">
        <f>SUMIFS(Resumo_Trocas!$C:$C,Resumo_Trocas!$A:$A,$C58,Resumo_Trocas!$F:$F,R$44,Resumo_Trocas!$C:$C,"&gt;0")</f>
        <v>1</v>
      </c>
      <c r="S58" s="141">
        <f>SUMIFS(Resumo_Trocas!$E:$E,Resumo_Trocas!$A:$A,$C58,Resumo_Trocas!$F:$F,R$18,Resumo_Trocas!$C:$C,"&gt;0")</f>
        <v>0</v>
      </c>
      <c r="T58" s="140">
        <f>SUMIFS(Resumo_Trocas!$C:$C,Resumo_Trocas!$A:$A,$C58,Resumo_Trocas!$F:$F,T$44,Resumo_Trocas!$C:$C,"&gt;0")</f>
        <v>0</v>
      </c>
      <c r="U58" s="141">
        <f>SUMIFS(Resumo_Trocas!$E:$E,Resumo_Trocas!$A:$A,$C58,Resumo_Trocas!$F:$F,T$18,Resumo_Trocas!$C:$C,"&gt;0")</f>
        <v>0</v>
      </c>
      <c r="V58" s="140">
        <f>SUMIFS(Resumo_Trocas!$C:$C,Resumo_Trocas!$A:$A,$C58,Resumo_Trocas!$F:$F,V$44,Resumo_Trocas!$C:$C,"&gt;0")</f>
        <v>0</v>
      </c>
      <c r="W58" s="141">
        <f>SUMIFS(Resumo_Trocas!$E:$E,Resumo_Trocas!$A:$A,$C58,Resumo_Trocas!$F:$F,V$18,Resumo_Trocas!$C:$C,"&gt;0")</f>
        <v>0</v>
      </c>
      <c r="X58" s="140">
        <f>SUMIFS(Resumo_Trocas!$C:$C,Resumo_Trocas!$A:$A,$C58,Resumo_Trocas!$F:$F,X$44,Resumo_Trocas!$C:$C,"&gt;0")</f>
        <v>1</v>
      </c>
      <c r="Y58" s="141">
        <f>SUMIFS(Resumo_Trocas!$E:$E,Resumo_Trocas!$A:$A,$C58,Resumo_Trocas!$F:$F,X$18,Resumo_Trocas!$C:$C,"&gt;0")</f>
        <v>0</v>
      </c>
      <c r="Z58" s="140">
        <f>SUMIFS(Resumo_Trocas!$C:$C,Resumo_Trocas!$A:$A,$C58,Resumo_Trocas!$F:$F,Z$44,Resumo_Trocas!$C:$C,"&gt;0")</f>
        <v>0</v>
      </c>
      <c r="AA58" s="141">
        <f>SUMIFS(Resumo_Trocas!$E:$E,Resumo_Trocas!$A:$A,$C58,Resumo_Trocas!$F:$F,Z$18,Resumo_Trocas!$C:$C,"&gt;0")</f>
        <v>0</v>
      </c>
      <c r="AB58" s="140">
        <f>SUMIFS(Resumo_Trocas!$C:$C,Resumo_Trocas!$A:$A,$C58,Resumo_Trocas!$F:$F,AB$44,Resumo_Trocas!$C:$C,"&gt;0")</f>
        <v>2</v>
      </c>
      <c r="AC58" s="141">
        <f>SUMIFS(Resumo_Trocas!$E:$E,Resumo_Trocas!$A:$A,$C58,Resumo_Trocas!$F:$F,AB$18,Resumo_Trocas!$C:$C,"&gt;0")</f>
        <v>0</v>
      </c>
      <c r="AD58" s="140">
        <f>SUMIFS(Resumo_Trocas!$C:$C,Resumo_Trocas!$A:$A,$C58,Resumo_Trocas!$F:$F,AD$44,Resumo_Trocas!$C:$C,"&gt;0")</f>
        <v>1</v>
      </c>
      <c r="AE58" s="141">
        <f>SUMIFS(Resumo_Trocas!$E:$E,Resumo_Trocas!$A:$A,$C58,Resumo_Trocas!$F:$F,AD$18,Resumo_Trocas!$C:$C,"&gt;0")</f>
        <v>0</v>
      </c>
      <c r="AF58" s="140">
        <f>SUMIFS(Resumo_Trocas!$C:$C,Resumo_Trocas!$A:$A,$C58,Resumo_Trocas!$F:$F,AF$44,Resumo_Trocas!$C:$C,"&gt;0")</f>
        <v>3</v>
      </c>
      <c r="AG58" s="141">
        <f>SUMIFS(Resumo_Trocas!$E:$E,Resumo_Trocas!$A:$A,$C58,Resumo_Trocas!$F:$F,AF$18,Resumo_Trocas!$C:$C,"&gt;0")</f>
        <v>1</v>
      </c>
      <c r="AH58" s="140">
        <f>SUMIFS(Resumo_Trocas!$C:$C,Resumo_Trocas!$A:$A,$C58,Resumo_Trocas!$F:$F,AH$44,Resumo_Trocas!$C:$C,"&gt;0")</f>
        <v>1</v>
      </c>
      <c r="AI58" s="141">
        <f>SUMIFS(Resumo_Trocas!$E:$E,Resumo_Trocas!$A:$A,$C58,Resumo_Trocas!$F:$F,AH$18,Resumo_Trocas!$C:$C,"&gt;0")</f>
        <v>0</v>
      </c>
      <c r="AJ58" s="140">
        <f>SUMIFS(Resumo_Trocas!$C:$C,Resumo_Trocas!$A:$A,$C58,Resumo_Trocas!$F:$F,AJ$44,Resumo_Trocas!$C:$C,"&gt;0")</f>
        <v>1</v>
      </c>
      <c r="AK58" s="141">
        <f>SUMIFS(Resumo_Trocas!$E:$E,Resumo_Trocas!$A:$A,$C58,Resumo_Trocas!$F:$F,AJ$18,Resumo_Trocas!$C:$C,"&gt;0")</f>
        <v>0</v>
      </c>
      <c r="AL58" s="140">
        <f>SUMIFS(Resumo_Trocas!$C:$C,Resumo_Trocas!$A:$A,$C58,Resumo_Trocas!$F:$F,AL$44,Resumo_Trocas!$C:$C,"&gt;0")</f>
        <v>1</v>
      </c>
      <c r="AM58" s="141">
        <f>SUMIFS(Resumo_Trocas!$E:$E,Resumo_Trocas!$A:$A,$C58,Resumo_Trocas!$F:$F,AL$18,Resumo_Trocas!$C:$C,"&gt;0")</f>
        <v>0</v>
      </c>
      <c r="AN58" s="140">
        <f>SUMIFS(Resumo_Trocas!$C:$C,Resumo_Trocas!$A:$A,$C58,Resumo_Trocas!$F:$F,AN$44,Resumo_Trocas!$C:$C,"&gt;0")</f>
        <v>0</v>
      </c>
      <c r="AO58" s="141">
        <f>SUMIFS(Resumo_Trocas!$E:$E,Resumo_Trocas!$A:$A,$C58,Resumo_Trocas!$F:$F,AN$18,Resumo_Trocas!$C:$C,"&gt;0")</f>
        <v>0</v>
      </c>
    </row>
    <row r="59" spans="2:41" ht="15" customHeight="1" outlineLevel="1" thickBot="1" x14ac:dyDescent="0.3">
      <c r="B59" s="76"/>
      <c r="C59" s="112" t="s">
        <v>319</v>
      </c>
      <c r="D59" s="140">
        <f>SUMIFS(Resumo_Trocas!$C:$C,Resumo_Trocas!$A:$A,$C59,Resumo_Trocas!$F:$F,D$44,Resumo_Trocas!$C:$C,"&gt;0")</f>
        <v>1</v>
      </c>
      <c r="E59" s="141">
        <f>SUMIFS(Resumo_Trocas!$E:$E,Resumo_Trocas!$A:$A,$C59,Resumo_Trocas!$F:$F,D$18,Resumo_Trocas!$C:$C,"&gt;0")</f>
        <v>0</v>
      </c>
      <c r="F59" s="140">
        <f>SUMIFS(Resumo_Trocas!$C:$C,Resumo_Trocas!$A:$A,$C59,Resumo_Trocas!$F:$F,F$44,Resumo_Trocas!$C:$C,"&gt;0")</f>
        <v>3</v>
      </c>
      <c r="G59" s="141">
        <f>SUMIFS(Resumo_Trocas!$E:$E,Resumo_Trocas!$A:$A,$C59,Resumo_Trocas!$F:$F,F$18,Resumo_Trocas!$C:$C,"&gt;0")</f>
        <v>2</v>
      </c>
      <c r="H59" s="140">
        <f>SUMIFS(Resumo_Trocas!$C:$C,Resumo_Trocas!$A:$A,$C59,Resumo_Trocas!$F:$F,H$44,Resumo_Trocas!$C:$C,"&gt;0")</f>
        <v>0</v>
      </c>
      <c r="I59" s="141">
        <f>SUMIFS(Resumo_Trocas!$E:$E,Resumo_Trocas!$A:$A,$C59,Resumo_Trocas!$F:$F,H$18,Resumo_Trocas!$C:$C,"&gt;0")</f>
        <v>0</v>
      </c>
      <c r="J59" s="140">
        <f>SUMIFS(Resumo_Trocas!$C:$C,Resumo_Trocas!$A:$A,$C59,Resumo_Trocas!$F:$F,J$44,Resumo_Trocas!$C:$C,"&gt;0")</f>
        <v>0</v>
      </c>
      <c r="K59" s="141">
        <f>SUMIFS(Resumo_Trocas!$E:$E,Resumo_Trocas!$A:$A,$C59,Resumo_Trocas!$F:$F,J$18,Resumo_Trocas!$C:$C,"&gt;0")</f>
        <v>0</v>
      </c>
      <c r="L59" s="140">
        <f>SUMIFS(Resumo_Trocas!$C:$C,Resumo_Trocas!$A:$A,$C59,Resumo_Trocas!$F:$F,L$44,Resumo_Trocas!$C:$C,"&gt;0")</f>
        <v>1</v>
      </c>
      <c r="M59" s="141">
        <f>SUMIFS(Resumo_Trocas!$E:$E,Resumo_Trocas!$A:$A,$C59,Resumo_Trocas!$F:$F,L$18,Resumo_Trocas!$C:$C,"&gt;0")</f>
        <v>1</v>
      </c>
      <c r="N59" s="140">
        <f>SUMIFS(Resumo_Trocas!$C:$C,Resumo_Trocas!$A:$A,$C59,Resumo_Trocas!$F:$F,N$44,Resumo_Trocas!$C:$C,"&gt;0")</f>
        <v>0</v>
      </c>
      <c r="O59" s="141">
        <f>SUMIFS(Resumo_Trocas!$E:$E,Resumo_Trocas!$A:$A,$C59,Resumo_Trocas!$F:$F,N$18,Resumo_Trocas!$C:$C,"&gt;0")</f>
        <v>0</v>
      </c>
      <c r="P59" s="140">
        <f>SUMIFS(Resumo_Trocas!$C:$C,Resumo_Trocas!$A:$A,$C59,Resumo_Trocas!$F:$F,P$44,Resumo_Trocas!$C:$C,"&gt;0")</f>
        <v>1</v>
      </c>
      <c r="Q59" s="141">
        <f>SUMIFS(Resumo_Trocas!$E:$E,Resumo_Trocas!$A:$A,$C59,Resumo_Trocas!$F:$F,P$18,Resumo_Trocas!$C:$C,"&gt;0")</f>
        <v>0</v>
      </c>
      <c r="R59" s="140">
        <f>SUMIFS(Resumo_Trocas!$C:$C,Resumo_Trocas!$A:$A,$C59,Resumo_Trocas!$F:$F,R$44,Resumo_Trocas!$C:$C,"&gt;0")</f>
        <v>0</v>
      </c>
      <c r="S59" s="141">
        <f>SUMIFS(Resumo_Trocas!$E:$E,Resumo_Trocas!$A:$A,$C59,Resumo_Trocas!$F:$F,R$18,Resumo_Trocas!$C:$C,"&gt;0")</f>
        <v>0</v>
      </c>
      <c r="T59" s="140">
        <f>SUMIFS(Resumo_Trocas!$C:$C,Resumo_Trocas!$A:$A,$C59,Resumo_Trocas!$F:$F,T$44,Resumo_Trocas!$C:$C,"&gt;0")</f>
        <v>2</v>
      </c>
      <c r="U59" s="141">
        <f>SUMIFS(Resumo_Trocas!$E:$E,Resumo_Trocas!$A:$A,$C59,Resumo_Trocas!$F:$F,T$18,Resumo_Trocas!$C:$C,"&gt;0")</f>
        <v>1</v>
      </c>
      <c r="V59" s="140">
        <f>SUMIFS(Resumo_Trocas!$C:$C,Resumo_Trocas!$A:$A,$C59,Resumo_Trocas!$F:$F,V$44,Resumo_Trocas!$C:$C,"&gt;0")</f>
        <v>0</v>
      </c>
      <c r="W59" s="141">
        <f>SUMIFS(Resumo_Trocas!$E:$E,Resumo_Trocas!$A:$A,$C59,Resumo_Trocas!$F:$F,V$18,Resumo_Trocas!$C:$C,"&gt;0")</f>
        <v>0</v>
      </c>
      <c r="X59" s="140">
        <f>SUMIFS(Resumo_Trocas!$C:$C,Resumo_Trocas!$A:$A,$C59,Resumo_Trocas!$F:$F,X$44,Resumo_Trocas!$C:$C,"&gt;0")</f>
        <v>1</v>
      </c>
      <c r="Y59" s="141">
        <f>SUMIFS(Resumo_Trocas!$E:$E,Resumo_Trocas!$A:$A,$C59,Resumo_Trocas!$F:$F,X$18,Resumo_Trocas!$C:$C,"&gt;0")</f>
        <v>1</v>
      </c>
      <c r="Z59" s="140">
        <f>SUMIFS(Resumo_Trocas!$C:$C,Resumo_Trocas!$A:$A,$C59,Resumo_Trocas!$F:$F,Z$44,Resumo_Trocas!$C:$C,"&gt;0")</f>
        <v>0</v>
      </c>
      <c r="AA59" s="141">
        <f>SUMIFS(Resumo_Trocas!$E:$E,Resumo_Trocas!$A:$A,$C59,Resumo_Trocas!$F:$F,Z$18,Resumo_Trocas!$C:$C,"&gt;0")</f>
        <v>0</v>
      </c>
      <c r="AB59" s="140">
        <f>SUMIFS(Resumo_Trocas!$C:$C,Resumo_Trocas!$A:$A,$C59,Resumo_Trocas!$F:$F,AB$44,Resumo_Trocas!$C:$C,"&gt;0")</f>
        <v>0</v>
      </c>
      <c r="AC59" s="141">
        <f>SUMIFS(Resumo_Trocas!$E:$E,Resumo_Trocas!$A:$A,$C59,Resumo_Trocas!$F:$F,AB$18,Resumo_Trocas!$C:$C,"&gt;0")</f>
        <v>0</v>
      </c>
      <c r="AD59" s="140">
        <f>SUMIFS(Resumo_Trocas!$C:$C,Resumo_Trocas!$A:$A,$C59,Resumo_Trocas!$F:$F,AD$44,Resumo_Trocas!$C:$C,"&gt;0")</f>
        <v>0</v>
      </c>
      <c r="AE59" s="141">
        <f>SUMIFS(Resumo_Trocas!$E:$E,Resumo_Trocas!$A:$A,$C59,Resumo_Trocas!$F:$F,AD$18,Resumo_Trocas!$C:$C,"&gt;0")</f>
        <v>0</v>
      </c>
      <c r="AF59" s="140">
        <f>SUMIFS(Resumo_Trocas!$C:$C,Resumo_Trocas!$A:$A,$C59,Resumo_Trocas!$F:$F,AF$44,Resumo_Trocas!$C:$C,"&gt;0")</f>
        <v>0</v>
      </c>
      <c r="AG59" s="141">
        <f>SUMIFS(Resumo_Trocas!$E:$E,Resumo_Trocas!$A:$A,$C59,Resumo_Trocas!$F:$F,AF$18,Resumo_Trocas!$C:$C,"&gt;0")</f>
        <v>0</v>
      </c>
      <c r="AH59" s="140">
        <f>SUMIFS(Resumo_Trocas!$C:$C,Resumo_Trocas!$A:$A,$C59,Resumo_Trocas!$F:$F,AH$44,Resumo_Trocas!$C:$C,"&gt;0")</f>
        <v>0</v>
      </c>
      <c r="AI59" s="141">
        <f>SUMIFS(Resumo_Trocas!$E:$E,Resumo_Trocas!$A:$A,$C59,Resumo_Trocas!$F:$F,AH$18,Resumo_Trocas!$C:$C,"&gt;0")</f>
        <v>0</v>
      </c>
      <c r="AJ59" s="140">
        <f>SUMIFS(Resumo_Trocas!$C:$C,Resumo_Trocas!$A:$A,$C59,Resumo_Trocas!$F:$F,AJ$44,Resumo_Trocas!$C:$C,"&gt;0")</f>
        <v>0</v>
      </c>
      <c r="AK59" s="141">
        <f>SUMIFS(Resumo_Trocas!$E:$E,Resumo_Trocas!$A:$A,$C59,Resumo_Trocas!$F:$F,AJ$18,Resumo_Trocas!$C:$C,"&gt;0")</f>
        <v>0</v>
      </c>
      <c r="AL59" s="140">
        <f>SUMIFS(Resumo_Trocas!$C:$C,Resumo_Trocas!$A:$A,$C59,Resumo_Trocas!$F:$F,AL$44,Resumo_Trocas!$C:$C,"&gt;0")</f>
        <v>0</v>
      </c>
      <c r="AM59" s="141">
        <f>SUMIFS(Resumo_Trocas!$E:$E,Resumo_Trocas!$A:$A,$C59,Resumo_Trocas!$F:$F,AL$18,Resumo_Trocas!$C:$C,"&gt;0")</f>
        <v>0</v>
      </c>
      <c r="AN59" s="140">
        <f>SUMIFS(Resumo_Trocas!$C:$C,Resumo_Trocas!$A:$A,$C59,Resumo_Trocas!$F:$F,AN$44,Resumo_Trocas!$C:$C,"&gt;0")</f>
        <v>0</v>
      </c>
      <c r="AO59" s="141">
        <f>SUMIFS(Resumo_Trocas!$E:$E,Resumo_Trocas!$A:$A,$C59,Resumo_Trocas!$F:$F,AN$18,Resumo_Trocas!$C:$C,"&gt;0")</f>
        <v>0</v>
      </c>
    </row>
    <row r="60" spans="2:41" ht="15" customHeight="1" outlineLevel="1" thickBot="1" x14ac:dyDescent="0.3">
      <c r="B60" s="76"/>
      <c r="C60" s="112" t="s">
        <v>322</v>
      </c>
      <c r="D60" s="140">
        <f>SUMIFS(Resumo_Trocas!$C:$C,Resumo_Trocas!$A:$A,$C60,Resumo_Trocas!$F:$F,D$44,Resumo_Trocas!$C:$C,"&gt;0")</f>
        <v>1</v>
      </c>
      <c r="E60" s="141">
        <f>SUMIFS(Resumo_Trocas!$E:$E,Resumo_Trocas!$A:$A,$C60,Resumo_Trocas!$F:$F,D$18,Resumo_Trocas!$C:$C,"&gt;0")</f>
        <v>0</v>
      </c>
      <c r="F60" s="140">
        <f>SUMIFS(Resumo_Trocas!$C:$C,Resumo_Trocas!$A:$A,$C60,Resumo_Trocas!$F:$F,F$44,Resumo_Trocas!$C:$C,"&gt;0")</f>
        <v>0</v>
      </c>
      <c r="G60" s="141">
        <f>SUMIFS(Resumo_Trocas!$E:$E,Resumo_Trocas!$A:$A,$C60,Resumo_Trocas!$F:$F,F$18,Resumo_Trocas!$C:$C,"&gt;0")</f>
        <v>0</v>
      </c>
      <c r="H60" s="140">
        <f>SUMIFS(Resumo_Trocas!$C:$C,Resumo_Trocas!$A:$A,$C60,Resumo_Trocas!$F:$F,H$44,Resumo_Trocas!$C:$C,"&gt;0")</f>
        <v>1</v>
      </c>
      <c r="I60" s="141">
        <f>SUMIFS(Resumo_Trocas!$E:$E,Resumo_Trocas!$A:$A,$C60,Resumo_Trocas!$F:$F,H$18,Resumo_Trocas!$C:$C,"&gt;0")</f>
        <v>0</v>
      </c>
      <c r="J60" s="140">
        <f>SUMIFS(Resumo_Trocas!$C:$C,Resumo_Trocas!$A:$A,$C60,Resumo_Trocas!$F:$F,J$44,Resumo_Trocas!$C:$C,"&gt;0")</f>
        <v>1</v>
      </c>
      <c r="K60" s="141">
        <f>SUMIFS(Resumo_Trocas!$E:$E,Resumo_Trocas!$A:$A,$C60,Resumo_Trocas!$F:$F,J$18,Resumo_Trocas!$C:$C,"&gt;0")</f>
        <v>0</v>
      </c>
      <c r="L60" s="140">
        <f>SUMIFS(Resumo_Trocas!$C:$C,Resumo_Trocas!$A:$A,$C60,Resumo_Trocas!$F:$F,L$44,Resumo_Trocas!$C:$C,"&gt;0")</f>
        <v>1</v>
      </c>
      <c r="M60" s="141">
        <f>SUMIFS(Resumo_Trocas!$E:$E,Resumo_Trocas!$A:$A,$C60,Resumo_Trocas!$F:$F,L$18,Resumo_Trocas!$C:$C,"&gt;0")</f>
        <v>1</v>
      </c>
      <c r="N60" s="140">
        <f>SUMIFS(Resumo_Trocas!$C:$C,Resumo_Trocas!$A:$A,$C60,Resumo_Trocas!$F:$F,N$44,Resumo_Trocas!$C:$C,"&gt;0")</f>
        <v>0</v>
      </c>
      <c r="O60" s="141">
        <f>SUMIFS(Resumo_Trocas!$E:$E,Resumo_Trocas!$A:$A,$C60,Resumo_Trocas!$F:$F,N$18,Resumo_Trocas!$C:$C,"&gt;0")</f>
        <v>0</v>
      </c>
      <c r="P60" s="140">
        <f>SUMIFS(Resumo_Trocas!$C:$C,Resumo_Trocas!$A:$A,$C60,Resumo_Trocas!$F:$F,P$44,Resumo_Trocas!$C:$C,"&gt;0")</f>
        <v>2</v>
      </c>
      <c r="Q60" s="141">
        <f>SUMIFS(Resumo_Trocas!$E:$E,Resumo_Trocas!$A:$A,$C60,Resumo_Trocas!$F:$F,P$18,Resumo_Trocas!$C:$C,"&gt;0")</f>
        <v>0</v>
      </c>
      <c r="R60" s="140">
        <f>SUMIFS(Resumo_Trocas!$C:$C,Resumo_Trocas!$A:$A,$C60,Resumo_Trocas!$F:$F,R$44,Resumo_Trocas!$C:$C,"&gt;0")</f>
        <v>0</v>
      </c>
      <c r="S60" s="141">
        <f>SUMIFS(Resumo_Trocas!$E:$E,Resumo_Trocas!$A:$A,$C60,Resumo_Trocas!$F:$F,R$18,Resumo_Trocas!$C:$C,"&gt;0")</f>
        <v>0</v>
      </c>
      <c r="T60" s="140">
        <f>SUMIFS(Resumo_Trocas!$C:$C,Resumo_Trocas!$A:$A,$C60,Resumo_Trocas!$F:$F,T$44,Resumo_Trocas!$C:$C,"&gt;0")</f>
        <v>1</v>
      </c>
      <c r="U60" s="141">
        <f>SUMIFS(Resumo_Trocas!$E:$E,Resumo_Trocas!$A:$A,$C60,Resumo_Trocas!$F:$F,T$18,Resumo_Trocas!$C:$C,"&gt;0")</f>
        <v>0</v>
      </c>
      <c r="V60" s="140">
        <f>SUMIFS(Resumo_Trocas!$C:$C,Resumo_Trocas!$A:$A,$C60,Resumo_Trocas!$F:$F,V$44,Resumo_Trocas!$C:$C,"&gt;0")</f>
        <v>1</v>
      </c>
      <c r="W60" s="141">
        <f>SUMIFS(Resumo_Trocas!$E:$E,Resumo_Trocas!$A:$A,$C60,Resumo_Trocas!$F:$F,V$18,Resumo_Trocas!$C:$C,"&gt;0")</f>
        <v>0</v>
      </c>
      <c r="X60" s="140">
        <f>SUMIFS(Resumo_Trocas!$C:$C,Resumo_Trocas!$A:$A,$C60,Resumo_Trocas!$F:$F,X$44,Resumo_Trocas!$C:$C,"&gt;0")</f>
        <v>1</v>
      </c>
      <c r="Y60" s="141">
        <f>SUMIFS(Resumo_Trocas!$E:$E,Resumo_Trocas!$A:$A,$C60,Resumo_Trocas!$F:$F,X$18,Resumo_Trocas!$C:$C,"&gt;0")</f>
        <v>0</v>
      </c>
      <c r="Z60" s="140">
        <f>SUMIFS(Resumo_Trocas!$C:$C,Resumo_Trocas!$A:$A,$C60,Resumo_Trocas!$F:$F,Z$44,Resumo_Trocas!$C:$C,"&gt;0")</f>
        <v>0</v>
      </c>
      <c r="AA60" s="141">
        <f>SUMIFS(Resumo_Trocas!$E:$E,Resumo_Trocas!$A:$A,$C60,Resumo_Trocas!$F:$F,Z$18,Resumo_Trocas!$C:$C,"&gt;0")</f>
        <v>0</v>
      </c>
      <c r="AB60" s="140">
        <f>SUMIFS(Resumo_Trocas!$C:$C,Resumo_Trocas!$A:$A,$C60,Resumo_Trocas!$F:$F,AB$44,Resumo_Trocas!$C:$C,"&gt;0")</f>
        <v>2</v>
      </c>
      <c r="AC60" s="141">
        <f>SUMIFS(Resumo_Trocas!$E:$E,Resumo_Trocas!$A:$A,$C60,Resumo_Trocas!$F:$F,AB$18,Resumo_Trocas!$C:$C,"&gt;0")</f>
        <v>1</v>
      </c>
      <c r="AD60" s="140">
        <f>SUMIFS(Resumo_Trocas!$C:$C,Resumo_Trocas!$A:$A,$C60,Resumo_Trocas!$F:$F,AD$44,Resumo_Trocas!$C:$C,"&gt;0")</f>
        <v>1</v>
      </c>
      <c r="AE60" s="141">
        <f>SUMIFS(Resumo_Trocas!$E:$E,Resumo_Trocas!$A:$A,$C60,Resumo_Trocas!$F:$F,AD$18,Resumo_Trocas!$C:$C,"&gt;0")</f>
        <v>0</v>
      </c>
      <c r="AF60" s="140">
        <f>SUMIFS(Resumo_Trocas!$C:$C,Resumo_Trocas!$A:$A,$C60,Resumo_Trocas!$F:$F,AF$44,Resumo_Trocas!$C:$C,"&gt;0")</f>
        <v>0</v>
      </c>
      <c r="AG60" s="141">
        <f>SUMIFS(Resumo_Trocas!$E:$E,Resumo_Trocas!$A:$A,$C60,Resumo_Trocas!$F:$F,AF$18,Resumo_Trocas!$C:$C,"&gt;0")</f>
        <v>0</v>
      </c>
      <c r="AH60" s="140">
        <f>SUMIFS(Resumo_Trocas!$C:$C,Resumo_Trocas!$A:$A,$C60,Resumo_Trocas!$F:$F,AH$44,Resumo_Trocas!$C:$C,"&gt;0")</f>
        <v>2</v>
      </c>
      <c r="AI60" s="141">
        <f>SUMIFS(Resumo_Trocas!$E:$E,Resumo_Trocas!$A:$A,$C60,Resumo_Trocas!$F:$F,AH$18,Resumo_Trocas!$C:$C,"&gt;0")</f>
        <v>0</v>
      </c>
      <c r="AJ60" s="140">
        <f>SUMIFS(Resumo_Trocas!$C:$C,Resumo_Trocas!$A:$A,$C60,Resumo_Trocas!$F:$F,AJ$44,Resumo_Trocas!$C:$C,"&gt;0")</f>
        <v>0</v>
      </c>
      <c r="AK60" s="141">
        <f>SUMIFS(Resumo_Trocas!$E:$E,Resumo_Trocas!$A:$A,$C60,Resumo_Trocas!$F:$F,AJ$18,Resumo_Trocas!$C:$C,"&gt;0")</f>
        <v>0</v>
      </c>
      <c r="AL60" s="140">
        <f>SUMIFS(Resumo_Trocas!$C:$C,Resumo_Trocas!$A:$A,$C60,Resumo_Trocas!$F:$F,AL$44,Resumo_Trocas!$C:$C,"&gt;0")</f>
        <v>1</v>
      </c>
      <c r="AM60" s="141">
        <f>SUMIFS(Resumo_Trocas!$E:$E,Resumo_Trocas!$A:$A,$C60,Resumo_Trocas!$F:$F,AL$18,Resumo_Trocas!$C:$C,"&gt;0")</f>
        <v>0</v>
      </c>
      <c r="AN60" s="140">
        <f>SUMIFS(Resumo_Trocas!$C:$C,Resumo_Trocas!$A:$A,$C60,Resumo_Trocas!$F:$F,AN$44,Resumo_Trocas!$C:$C,"&gt;0")</f>
        <v>0</v>
      </c>
      <c r="AO60" s="141">
        <f>SUMIFS(Resumo_Trocas!$E:$E,Resumo_Trocas!$A:$A,$C60,Resumo_Trocas!$F:$F,AN$18,Resumo_Trocas!$C:$C,"&gt;0")</f>
        <v>0</v>
      </c>
    </row>
    <row r="61" spans="2:41" ht="15" customHeight="1" outlineLevel="1" thickBot="1" x14ac:dyDescent="0.3">
      <c r="B61" s="76"/>
      <c r="C61" s="112" t="s">
        <v>323</v>
      </c>
      <c r="D61" s="140">
        <f>SUMIFS(Resumo_Trocas!$C:$C,Resumo_Trocas!$A:$A,$C61,Resumo_Trocas!$F:$F,D$44,Resumo_Trocas!$C:$C,"&gt;0")</f>
        <v>0</v>
      </c>
      <c r="E61" s="141">
        <f>SUMIFS(Resumo_Trocas!$E:$E,Resumo_Trocas!$A:$A,$C61,Resumo_Trocas!$F:$F,D$18,Resumo_Trocas!$C:$C,"&gt;0")</f>
        <v>0</v>
      </c>
      <c r="F61" s="140">
        <f>SUMIFS(Resumo_Trocas!$C:$C,Resumo_Trocas!$A:$A,$C61,Resumo_Trocas!$F:$F,F$44,Resumo_Trocas!$C:$C,"&gt;0")</f>
        <v>1</v>
      </c>
      <c r="G61" s="141">
        <f>SUMIFS(Resumo_Trocas!$E:$E,Resumo_Trocas!$A:$A,$C61,Resumo_Trocas!$F:$F,F$18,Resumo_Trocas!$C:$C,"&gt;0")</f>
        <v>0</v>
      </c>
      <c r="H61" s="140">
        <f>SUMIFS(Resumo_Trocas!$C:$C,Resumo_Trocas!$A:$A,$C61,Resumo_Trocas!$F:$F,H$44,Resumo_Trocas!$C:$C,"&gt;0")</f>
        <v>0</v>
      </c>
      <c r="I61" s="141">
        <f>SUMIFS(Resumo_Trocas!$E:$E,Resumo_Trocas!$A:$A,$C61,Resumo_Trocas!$F:$F,H$18,Resumo_Trocas!$C:$C,"&gt;0")</f>
        <v>0</v>
      </c>
      <c r="J61" s="140">
        <f>SUMIFS(Resumo_Trocas!$C:$C,Resumo_Trocas!$A:$A,$C61,Resumo_Trocas!$F:$F,J$44,Resumo_Trocas!$C:$C,"&gt;0")</f>
        <v>1</v>
      </c>
      <c r="K61" s="141">
        <f>SUMIFS(Resumo_Trocas!$E:$E,Resumo_Trocas!$A:$A,$C61,Resumo_Trocas!$F:$F,J$18,Resumo_Trocas!$C:$C,"&gt;0")</f>
        <v>0</v>
      </c>
      <c r="L61" s="140">
        <f>SUMIFS(Resumo_Trocas!$C:$C,Resumo_Trocas!$A:$A,$C61,Resumo_Trocas!$F:$F,L$44,Resumo_Trocas!$C:$C,"&gt;0")</f>
        <v>0</v>
      </c>
      <c r="M61" s="141">
        <f>SUMIFS(Resumo_Trocas!$E:$E,Resumo_Trocas!$A:$A,$C61,Resumo_Trocas!$F:$F,L$18,Resumo_Trocas!$C:$C,"&gt;0")</f>
        <v>0</v>
      </c>
      <c r="N61" s="140">
        <f>SUMIFS(Resumo_Trocas!$C:$C,Resumo_Trocas!$A:$A,$C61,Resumo_Trocas!$F:$F,N$44,Resumo_Trocas!$C:$C,"&gt;0")</f>
        <v>0</v>
      </c>
      <c r="O61" s="141">
        <f>SUMIFS(Resumo_Trocas!$E:$E,Resumo_Trocas!$A:$A,$C61,Resumo_Trocas!$F:$F,N$18,Resumo_Trocas!$C:$C,"&gt;0")</f>
        <v>0</v>
      </c>
      <c r="P61" s="140">
        <f>SUMIFS(Resumo_Trocas!$C:$C,Resumo_Trocas!$A:$A,$C61,Resumo_Trocas!$F:$F,P$44,Resumo_Trocas!$C:$C,"&gt;0")</f>
        <v>0</v>
      </c>
      <c r="Q61" s="141">
        <f>SUMIFS(Resumo_Trocas!$E:$E,Resumo_Trocas!$A:$A,$C61,Resumo_Trocas!$F:$F,P$18,Resumo_Trocas!$C:$C,"&gt;0")</f>
        <v>0</v>
      </c>
      <c r="R61" s="140">
        <f>SUMIFS(Resumo_Trocas!$C:$C,Resumo_Trocas!$A:$A,$C61,Resumo_Trocas!$F:$F,R$44,Resumo_Trocas!$C:$C,"&gt;0")</f>
        <v>0</v>
      </c>
      <c r="S61" s="141">
        <f>SUMIFS(Resumo_Trocas!$E:$E,Resumo_Trocas!$A:$A,$C61,Resumo_Trocas!$F:$F,R$18,Resumo_Trocas!$C:$C,"&gt;0")</f>
        <v>0</v>
      </c>
      <c r="T61" s="140">
        <f>SUMIFS(Resumo_Trocas!$C:$C,Resumo_Trocas!$A:$A,$C61,Resumo_Trocas!$F:$F,T$44,Resumo_Trocas!$C:$C,"&gt;0")</f>
        <v>1</v>
      </c>
      <c r="U61" s="141">
        <f>SUMIFS(Resumo_Trocas!$E:$E,Resumo_Trocas!$A:$A,$C61,Resumo_Trocas!$F:$F,T$18,Resumo_Trocas!$C:$C,"&gt;0")</f>
        <v>1</v>
      </c>
      <c r="V61" s="140">
        <f>SUMIFS(Resumo_Trocas!$C:$C,Resumo_Trocas!$A:$A,$C61,Resumo_Trocas!$F:$F,V$44,Resumo_Trocas!$C:$C,"&gt;0")</f>
        <v>1</v>
      </c>
      <c r="W61" s="141">
        <f>SUMIFS(Resumo_Trocas!$E:$E,Resumo_Trocas!$A:$A,$C61,Resumo_Trocas!$F:$F,V$18,Resumo_Trocas!$C:$C,"&gt;0")</f>
        <v>0</v>
      </c>
      <c r="X61" s="140">
        <f>SUMIFS(Resumo_Trocas!$C:$C,Resumo_Trocas!$A:$A,$C61,Resumo_Trocas!$F:$F,X$44,Resumo_Trocas!$C:$C,"&gt;0")</f>
        <v>0</v>
      </c>
      <c r="Y61" s="141">
        <f>SUMIFS(Resumo_Trocas!$E:$E,Resumo_Trocas!$A:$A,$C61,Resumo_Trocas!$F:$F,X$18,Resumo_Trocas!$C:$C,"&gt;0")</f>
        <v>0</v>
      </c>
      <c r="Z61" s="140">
        <f>SUMIFS(Resumo_Trocas!$C:$C,Resumo_Trocas!$A:$A,$C61,Resumo_Trocas!$F:$F,Z$44,Resumo_Trocas!$C:$C,"&gt;0")</f>
        <v>0</v>
      </c>
      <c r="AA61" s="141">
        <f>SUMIFS(Resumo_Trocas!$E:$E,Resumo_Trocas!$A:$A,$C61,Resumo_Trocas!$F:$F,Z$18,Resumo_Trocas!$C:$C,"&gt;0")</f>
        <v>0</v>
      </c>
      <c r="AB61" s="140">
        <f>SUMIFS(Resumo_Trocas!$C:$C,Resumo_Trocas!$A:$A,$C61,Resumo_Trocas!$F:$F,AB$44,Resumo_Trocas!$C:$C,"&gt;0")</f>
        <v>0</v>
      </c>
      <c r="AC61" s="141">
        <f>SUMIFS(Resumo_Trocas!$E:$E,Resumo_Trocas!$A:$A,$C61,Resumo_Trocas!$F:$F,AB$18,Resumo_Trocas!$C:$C,"&gt;0")</f>
        <v>0</v>
      </c>
      <c r="AD61" s="140">
        <f>SUMIFS(Resumo_Trocas!$C:$C,Resumo_Trocas!$A:$A,$C61,Resumo_Trocas!$F:$F,AD$44,Resumo_Trocas!$C:$C,"&gt;0")</f>
        <v>0</v>
      </c>
      <c r="AE61" s="141">
        <f>SUMIFS(Resumo_Trocas!$E:$E,Resumo_Trocas!$A:$A,$C61,Resumo_Trocas!$F:$F,AD$18,Resumo_Trocas!$C:$C,"&gt;0")</f>
        <v>0</v>
      </c>
      <c r="AF61" s="140">
        <f>SUMIFS(Resumo_Trocas!$C:$C,Resumo_Trocas!$A:$A,$C61,Resumo_Trocas!$F:$F,AF$44,Resumo_Trocas!$C:$C,"&gt;0")</f>
        <v>0</v>
      </c>
      <c r="AG61" s="141">
        <f>SUMIFS(Resumo_Trocas!$E:$E,Resumo_Trocas!$A:$A,$C61,Resumo_Trocas!$F:$F,AF$18,Resumo_Trocas!$C:$C,"&gt;0")</f>
        <v>0</v>
      </c>
      <c r="AH61" s="140">
        <f>SUMIFS(Resumo_Trocas!$C:$C,Resumo_Trocas!$A:$A,$C61,Resumo_Trocas!$F:$F,AH$44,Resumo_Trocas!$C:$C,"&gt;0")</f>
        <v>1</v>
      </c>
      <c r="AI61" s="141">
        <f>SUMIFS(Resumo_Trocas!$E:$E,Resumo_Trocas!$A:$A,$C61,Resumo_Trocas!$F:$F,AH$18,Resumo_Trocas!$C:$C,"&gt;0")</f>
        <v>0</v>
      </c>
      <c r="AJ61" s="140">
        <f>SUMIFS(Resumo_Trocas!$C:$C,Resumo_Trocas!$A:$A,$C61,Resumo_Trocas!$F:$F,AJ$44,Resumo_Trocas!$C:$C,"&gt;0")</f>
        <v>0</v>
      </c>
      <c r="AK61" s="141">
        <f>SUMIFS(Resumo_Trocas!$E:$E,Resumo_Trocas!$A:$A,$C61,Resumo_Trocas!$F:$F,AJ$18,Resumo_Trocas!$C:$C,"&gt;0")</f>
        <v>0</v>
      </c>
      <c r="AL61" s="140">
        <f>SUMIFS(Resumo_Trocas!$C:$C,Resumo_Trocas!$A:$A,$C61,Resumo_Trocas!$F:$F,AL$44,Resumo_Trocas!$C:$C,"&gt;0")</f>
        <v>0</v>
      </c>
      <c r="AM61" s="141">
        <f>SUMIFS(Resumo_Trocas!$E:$E,Resumo_Trocas!$A:$A,$C61,Resumo_Trocas!$F:$F,AL$18,Resumo_Trocas!$C:$C,"&gt;0")</f>
        <v>0</v>
      </c>
      <c r="AN61" s="140">
        <f>SUMIFS(Resumo_Trocas!$C:$C,Resumo_Trocas!$A:$A,$C61,Resumo_Trocas!$F:$F,AN$44,Resumo_Trocas!$C:$C,"&gt;0")</f>
        <v>0</v>
      </c>
      <c r="AO61" s="141">
        <f>SUMIFS(Resumo_Trocas!$E:$E,Resumo_Trocas!$A:$A,$C61,Resumo_Trocas!$F:$F,AN$18,Resumo_Trocas!$C:$C,"&gt;0")</f>
        <v>0</v>
      </c>
    </row>
    <row r="62" spans="2:41" ht="15" customHeight="1" outlineLevel="1" thickBot="1" x14ac:dyDescent="0.3">
      <c r="B62" s="76"/>
      <c r="C62" s="112" t="s">
        <v>328</v>
      </c>
      <c r="D62" s="140">
        <f>SUMIFS(Resumo_Trocas!$C:$C,Resumo_Trocas!$A:$A,$C62,Resumo_Trocas!$F:$F,D$44,Resumo_Trocas!$C:$C,"&gt;0")</f>
        <v>4</v>
      </c>
      <c r="E62" s="141">
        <f>SUMIFS(Resumo_Trocas!$E:$E,Resumo_Trocas!$A:$A,$C62,Resumo_Trocas!$F:$F,D$18,Resumo_Trocas!$C:$C,"&gt;0")</f>
        <v>2</v>
      </c>
      <c r="F62" s="140">
        <f>SUMIFS(Resumo_Trocas!$C:$C,Resumo_Trocas!$A:$A,$C62,Resumo_Trocas!$F:$F,F$44,Resumo_Trocas!$C:$C,"&gt;0")</f>
        <v>3</v>
      </c>
      <c r="G62" s="141">
        <f>SUMIFS(Resumo_Trocas!$E:$E,Resumo_Trocas!$A:$A,$C62,Resumo_Trocas!$F:$F,F$18,Resumo_Trocas!$C:$C,"&gt;0")</f>
        <v>1</v>
      </c>
      <c r="H62" s="140">
        <f>SUMIFS(Resumo_Trocas!$C:$C,Resumo_Trocas!$A:$A,$C62,Resumo_Trocas!$F:$F,H$44,Resumo_Trocas!$C:$C,"&gt;0")</f>
        <v>1</v>
      </c>
      <c r="I62" s="141">
        <f>SUMIFS(Resumo_Trocas!$E:$E,Resumo_Trocas!$A:$A,$C62,Resumo_Trocas!$F:$F,H$18,Resumo_Trocas!$C:$C,"&gt;0")</f>
        <v>0</v>
      </c>
      <c r="J62" s="140">
        <f>SUMIFS(Resumo_Trocas!$C:$C,Resumo_Trocas!$A:$A,$C62,Resumo_Trocas!$F:$F,J$44,Resumo_Trocas!$C:$C,"&gt;0")</f>
        <v>0</v>
      </c>
      <c r="K62" s="141">
        <f>SUMIFS(Resumo_Trocas!$E:$E,Resumo_Trocas!$A:$A,$C62,Resumo_Trocas!$F:$F,J$18,Resumo_Trocas!$C:$C,"&gt;0")</f>
        <v>0</v>
      </c>
      <c r="L62" s="140">
        <f>SUMIFS(Resumo_Trocas!$C:$C,Resumo_Trocas!$A:$A,$C62,Resumo_Trocas!$F:$F,L$44,Resumo_Trocas!$C:$C,"&gt;0")</f>
        <v>0</v>
      </c>
      <c r="M62" s="141">
        <f>SUMIFS(Resumo_Trocas!$E:$E,Resumo_Trocas!$A:$A,$C62,Resumo_Trocas!$F:$F,L$18,Resumo_Trocas!$C:$C,"&gt;0")</f>
        <v>0</v>
      </c>
      <c r="N62" s="140">
        <f>SUMIFS(Resumo_Trocas!$C:$C,Resumo_Trocas!$A:$A,$C62,Resumo_Trocas!$F:$F,N$44,Resumo_Trocas!$C:$C,"&gt;0")</f>
        <v>0</v>
      </c>
      <c r="O62" s="141">
        <f>SUMIFS(Resumo_Trocas!$E:$E,Resumo_Trocas!$A:$A,$C62,Resumo_Trocas!$F:$F,N$18,Resumo_Trocas!$C:$C,"&gt;0")</f>
        <v>0</v>
      </c>
      <c r="P62" s="140">
        <f>SUMIFS(Resumo_Trocas!$C:$C,Resumo_Trocas!$A:$A,$C62,Resumo_Trocas!$F:$F,P$44,Resumo_Trocas!$C:$C,"&gt;0")</f>
        <v>0</v>
      </c>
      <c r="Q62" s="141">
        <f>SUMIFS(Resumo_Trocas!$E:$E,Resumo_Trocas!$A:$A,$C62,Resumo_Trocas!$F:$F,P$18,Resumo_Trocas!$C:$C,"&gt;0")</f>
        <v>0</v>
      </c>
      <c r="R62" s="140">
        <f>SUMIFS(Resumo_Trocas!$C:$C,Resumo_Trocas!$A:$A,$C62,Resumo_Trocas!$F:$F,R$44,Resumo_Trocas!$C:$C,"&gt;0")</f>
        <v>0</v>
      </c>
      <c r="S62" s="141">
        <f>SUMIFS(Resumo_Trocas!$E:$E,Resumo_Trocas!$A:$A,$C62,Resumo_Trocas!$F:$F,R$18,Resumo_Trocas!$C:$C,"&gt;0")</f>
        <v>0</v>
      </c>
      <c r="T62" s="140">
        <f>SUMIFS(Resumo_Trocas!$C:$C,Resumo_Trocas!$A:$A,$C62,Resumo_Trocas!$F:$F,T$44,Resumo_Trocas!$C:$C,"&gt;0")</f>
        <v>0</v>
      </c>
      <c r="U62" s="141">
        <f>SUMIFS(Resumo_Trocas!$E:$E,Resumo_Trocas!$A:$A,$C62,Resumo_Trocas!$F:$F,T$18,Resumo_Trocas!$C:$C,"&gt;0")</f>
        <v>0</v>
      </c>
      <c r="V62" s="140">
        <f>SUMIFS(Resumo_Trocas!$C:$C,Resumo_Trocas!$A:$A,$C62,Resumo_Trocas!$F:$F,V$44,Resumo_Trocas!$C:$C,"&gt;0")</f>
        <v>0</v>
      </c>
      <c r="W62" s="141">
        <f>SUMIFS(Resumo_Trocas!$E:$E,Resumo_Trocas!$A:$A,$C62,Resumo_Trocas!$F:$F,V$18,Resumo_Trocas!$C:$C,"&gt;0")</f>
        <v>0</v>
      </c>
      <c r="X62" s="140">
        <f>SUMIFS(Resumo_Trocas!$C:$C,Resumo_Trocas!$A:$A,$C62,Resumo_Trocas!$F:$F,X$44,Resumo_Trocas!$C:$C,"&gt;0")</f>
        <v>1</v>
      </c>
      <c r="Y62" s="141">
        <f>SUMIFS(Resumo_Trocas!$E:$E,Resumo_Trocas!$A:$A,$C62,Resumo_Trocas!$F:$F,X$18,Resumo_Trocas!$C:$C,"&gt;0")</f>
        <v>0</v>
      </c>
      <c r="Z62" s="140">
        <f>SUMIFS(Resumo_Trocas!$C:$C,Resumo_Trocas!$A:$A,$C62,Resumo_Trocas!$F:$F,Z$44,Resumo_Trocas!$C:$C,"&gt;0")</f>
        <v>0</v>
      </c>
      <c r="AA62" s="141">
        <f>SUMIFS(Resumo_Trocas!$E:$E,Resumo_Trocas!$A:$A,$C62,Resumo_Trocas!$F:$F,Z$18,Resumo_Trocas!$C:$C,"&gt;0")</f>
        <v>0</v>
      </c>
      <c r="AB62" s="140">
        <f>SUMIFS(Resumo_Trocas!$C:$C,Resumo_Trocas!$A:$A,$C62,Resumo_Trocas!$F:$F,AB$44,Resumo_Trocas!$C:$C,"&gt;0")</f>
        <v>0</v>
      </c>
      <c r="AC62" s="141">
        <f>SUMIFS(Resumo_Trocas!$E:$E,Resumo_Trocas!$A:$A,$C62,Resumo_Trocas!$F:$F,AB$18,Resumo_Trocas!$C:$C,"&gt;0")</f>
        <v>0</v>
      </c>
      <c r="AD62" s="140">
        <f>SUMIFS(Resumo_Trocas!$C:$C,Resumo_Trocas!$A:$A,$C62,Resumo_Trocas!$F:$F,AD$44,Resumo_Trocas!$C:$C,"&gt;0")</f>
        <v>0</v>
      </c>
      <c r="AE62" s="141">
        <f>SUMIFS(Resumo_Trocas!$E:$E,Resumo_Trocas!$A:$A,$C62,Resumo_Trocas!$F:$F,AD$18,Resumo_Trocas!$C:$C,"&gt;0")</f>
        <v>0</v>
      </c>
      <c r="AF62" s="140">
        <f>SUMIFS(Resumo_Trocas!$C:$C,Resumo_Trocas!$A:$A,$C62,Resumo_Trocas!$F:$F,AF$44,Resumo_Trocas!$C:$C,"&gt;0")</f>
        <v>0</v>
      </c>
      <c r="AG62" s="141">
        <f>SUMIFS(Resumo_Trocas!$E:$E,Resumo_Trocas!$A:$A,$C62,Resumo_Trocas!$F:$F,AF$18,Resumo_Trocas!$C:$C,"&gt;0")</f>
        <v>0</v>
      </c>
      <c r="AH62" s="140">
        <f>SUMIFS(Resumo_Trocas!$C:$C,Resumo_Trocas!$A:$A,$C62,Resumo_Trocas!$F:$F,AH$44,Resumo_Trocas!$C:$C,"&gt;0")</f>
        <v>0</v>
      </c>
      <c r="AI62" s="141">
        <f>SUMIFS(Resumo_Trocas!$E:$E,Resumo_Trocas!$A:$A,$C62,Resumo_Trocas!$F:$F,AH$18,Resumo_Trocas!$C:$C,"&gt;0")</f>
        <v>0</v>
      </c>
      <c r="AJ62" s="140">
        <f>SUMIFS(Resumo_Trocas!$C:$C,Resumo_Trocas!$A:$A,$C62,Resumo_Trocas!$F:$F,AJ$44,Resumo_Trocas!$C:$C,"&gt;0")</f>
        <v>2</v>
      </c>
      <c r="AK62" s="141">
        <f>SUMIFS(Resumo_Trocas!$E:$E,Resumo_Trocas!$A:$A,$C62,Resumo_Trocas!$F:$F,AJ$18,Resumo_Trocas!$C:$C,"&gt;0")</f>
        <v>0</v>
      </c>
      <c r="AL62" s="140">
        <f>SUMIFS(Resumo_Trocas!$C:$C,Resumo_Trocas!$A:$A,$C62,Resumo_Trocas!$F:$F,AL$44,Resumo_Trocas!$C:$C,"&gt;0")</f>
        <v>0</v>
      </c>
      <c r="AM62" s="141">
        <f>SUMIFS(Resumo_Trocas!$E:$E,Resumo_Trocas!$A:$A,$C62,Resumo_Trocas!$F:$F,AL$18,Resumo_Trocas!$C:$C,"&gt;0")</f>
        <v>0</v>
      </c>
      <c r="AN62" s="140">
        <f>SUMIFS(Resumo_Trocas!$C:$C,Resumo_Trocas!$A:$A,$C62,Resumo_Trocas!$F:$F,AN$44,Resumo_Trocas!$C:$C,"&gt;0")</f>
        <v>0</v>
      </c>
      <c r="AO62" s="141">
        <f>SUMIFS(Resumo_Trocas!$E:$E,Resumo_Trocas!$A:$A,$C62,Resumo_Trocas!$F:$F,AN$18,Resumo_Trocas!$C:$C,"&gt;0")</f>
        <v>0</v>
      </c>
    </row>
    <row r="63" spans="2:41" ht="15" customHeight="1" outlineLevel="1" thickBot="1" x14ac:dyDescent="0.3">
      <c r="B63" s="76"/>
      <c r="C63" s="112" t="s">
        <v>331</v>
      </c>
      <c r="D63" s="140">
        <f>SUMIFS(Resumo_Trocas!$C:$C,Resumo_Trocas!$A:$A,$C63,Resumo_Trocas!$F:$F,D$44,Resumo_Trocas!$C:$C,"&gt;0")</f>
        <v>1</v>
      </c>
      <c r="E63" s="141">
        <f>SUMIFS(Resumo_Trocas!$E:$E,Resumo_Trocas!$A:$A,$C63,Resumo_Trocas!$F:$F,D$18,Resumo_Trocas!$C:$C,"&gt;0")</f>
        <v>0</v>
      </c>
      <c r="F63" s="140">
        <f>SUMIFS(Resumo_Trocas!$C:$C,Resumo_Trocas!$A:$A,$C63,Resumo_Trocas!$F:$F,F$44,Resumo_Trocas!$C:$C,"&gt;0")</f>
        <v>1</v>
      </c>
      <c r="G63" s="141">
        <f>SUMIFS(Resumo_Trocas!$E:$E,Resumo_Trocas!$A:$A,$C63,Resumo_Trocas!$F:$F,F$18,Resumo_Trocas!$C:$C,"&gt;0")</f>
        <v>0</v>
      </c>
      <c r="H63" s="140">
        <f>SUMIFS(Resumo_Trocas!$C:$C,Resumo_Trocas!$A:$A,$C63,Resumo_Trocas!$F:$F,H$44,Resumo_Trocas!$C:$C,"&gt;0")</f>
        <v>0</v>
      </c>
      <c r="I63" s="141">
        <f>SUMIFS(Resumo_Trocas!$E:$E,Resumo_Trocas!$A:$A,$C63,Resumo_Trocas!$F:$F,H$18,Resumo_Trocas!$C:$C,"&gt;0")</f>
        <v>0</v>
      </c>
      <c r="J63" s="140">
        <f>SUMIFS(Resumo_Trocas!$C:$C,Resumo_Trocas!$A:$A,$C63,Resumo_Trocas!$F:$F,J$44,Resumo_Trocas!$C:$C,"&gt;0")</f>
        <v>0</v>
      </c>
      <c r="K63" s="141">
        <f>SUMIFS(Resumo_Trocas!$E:$E,Resumo_Trocas!$A:$A,$C63,Resumo_Trocas!$F:$F,J$18,Resumo_Trocas!$C:$C,"&gt;0")</f>
        <v>0</v>
      </c>
      <c r="L63" s="140">
        <f>SUMIFS(Resumo_Trocas!$C:$C,Resumo_Trocas!$A:$A,$C63,Resumo_Trocas!$F:$F,L$44,Resumo_Trocas!$C:$C,"&gt;0")</f>
        <v>0</v>
      </c>
      <c r="M63" s="141">
        <f>SUMIFS(Resumo_Trocas!$E:$E,Resumo_Trocas!$A:$A,$C63,Resumo_Trocas!$F:$F,L$18,Resumo_Trocas!$C:$C,"&gt;0")</f>
        <v>0</v>
      </c>
      <c r="N63" s="140">
        <f>SUMIFS(Resumo_Trocas!$C:$C,Resumo_Trocas!$A:$A,$C63,Resumo_Trocas!$F:$F,N$44,Resumo_Trocas!$C:$C,"&gt;0")</f>
        <v>0</v>
      </c>
      <c r="O63" s="141">
        <f>SUMIFS(Resumo_Trocas!$E:$E,Resumo_Trocas!$A:$A,$C63,Resumo_Trocas!$F:$F,N$18,Resumo_Trocas!$C:$C,"&gt;0")</f>
        <v>0</v>
      </c>
      <c r="P63" s="140">
        <f>SUMIFS(Resumo_Trocas!$C:$C,Resumo_Trocas!$A:$A,$C63,Resumo_Trocas!$F:$F,P$44,Resumo_Trocas!$C:$C,"&gt;0")</f>
        <v>0</v>
      </c>
      <c r="Q63" s="141">
        <f>SUMIFS(Resumo_Trocas!$E:$E,Resumo_Trocas!$A:$A,$C63,Resumo_Trocas!$F:$F,P$18,Resumo_Trocas!$C:$C,"&gt;0")</f>
        <v>0</v>
      </c>
      <c r="R63" s="140">
        <f>SUMIFS(Resumo_Trocas!$C:$C,Resumo_Trocas!$A:$A,$C63,Resumo_Trocas!$F:$F,R$44,Resumo_Trocas!$C:$C,"&gt;0")</f>
        <v>0</v>
      </c>
      <c r="S63" s="141">
        <f>SUMIFS(Resumo_Trocas!$E:$E,Resumo_Trocas!$A:$A,$C63,Resumo_Trocas!$F:$F,R$18,Resumo_Trocas!$C:$C,"&gt;0")</f>
        <v>0</v>
      </c>
      <c r="T63" s="140">
        <f>SUMIFS(Resumo_Trocas!$C:$C,Resumo_Trocas!$A:$A,$C63,Resumo_Trocas!$F:$F,T$44,Resumo_Trocas!$C:$C,"&gt;0")</f>
        <v>0</v>
      </c>
      <c r="U63" s="141">
        <f>SUMIFS(Resumo_Trocas!$E:$E,Resumo_Trocas!$A:$A,$C63,Resumo_Trocas!$F:$F,T$18,Resumo_Trocas!$C:$C,"&gt;0")</f>
        <v>0</v>
      </c>
      <c r="V63" s="140">
        <f>SUMIFS(Resumo_Trocas!$C:$C,Resumo_Trocas!$A:$A,$C63,Resumo_Trocas!$F:$F,V$44,Resumo_Trocas!$C:$C,"&gt;0")</f>
        <v>0</v>
      </c>
      <c r="W63" s="141">
        <f>SUMIFS(Resumo_Trocas!$E:$E,Resumo_Trocas!$A:$A,$C63,Resumo_Trocas!$F:$F,V$18,Resumo_Trocas!$C:$C,"&gt;0")</f>
        <v>0</v>
      </c>
      <c r="X63" s="140">
        <f>SUMIFS(Resumo_Trocas!$C:$C,Resumo_Trocas!$A:$A,$C63,Resumo_Trocas!$F:$F,X$44,Resumo_Trocas!$C:$C,"&gt;0")</f>
        <v>0</v>
      </c>
      <c r="Y63" s="141">
        <f>SUMIFS(Resumo_Trocas!$E:$E,Resumo_Trocas!$A:$A,$C63,Resumo_Trocas!$F:$F,X$18,Resumo_Trocas!$C:$C,"&gt;0")</f>
        <v>0</v>
      </c>
      <c r="Z63" s="140">
        <f>SUMIFS(Resumo_Trocas!$C:$C,Resumo_Trocas!$A:$A,$C63,Resumo_Trocas!$F:$F,Z$44,Resumo_Trocas!$C:$C,"&gt;0")</f>
        <v>0</v>
      </c>
      <c r="AA63" s="141">
        <f>SUMIFS(Resumo_Trocas!$E:$E,Resumo_Trocas!$A:$A,$C63,Resumo_Trocas!$F:$F,Z$18,Resumo_Trocas!$C:$C,"&gt;0")</f>
        <v>0</v>
      </c>
      <c r="AB63" s="140">
        <f>SUMIFS(Resumo_Trocas!$C:$C,Resumo_Trocas!$A:$A,$C63,Resumo_Trocas!$F:$F,AB$44,Resumo_Trocas!$C:$C,"&gt;0")</f>
        <v>0</v>
      </c>
      <c r="AC63" s="141">
        <f>SUMIFS(Resumo_Trocas!$E:$E,Resumo_Trocas!$A:$A,$C63,Resumo_Trocas!$F:$F,AB$18,Resumo_Trocas!$C:$C,"&gt;0")</f>
        <v>0</v>
      </c>
      <c r="AD63" s="140">
        <f>SUMIFS(Resumo_Trocas!$C:$C,Resumo_Trocas!$A:$A,$C63,Resumo_Trocas!$F:$F,AD$44,Resumo_Trocas!$C:$C,"&gt;0")</f>
        <v>0</v>
      </c>
      <c r="AE63" s="141">
        <f>SUMIFS(Resumo_Trocas!$E:$E,Resumo_Trocas!$A:$A,$C63,Resumo_Trocas!$F:$F,AD$18,Resumo_Trocas!$C:$C,"&gt;0")</f>
        <v>0</v>
      </c>
      <c r="AF63" s="140">
        <f>SUMIFS(Resumo_Trocas!$C:$C,Resumo_Trocas!$A:$A,$C63,Resumo_Trocas!$F:$F,AF$44,Resumo_Trocas!$C:$C,"&gt;0")</f>
        <v>0</v>
      </c>
      <c r="AG63" s="141">
        <f>SUMIFS(Resumo_Trocas!$E:$E,Resumo_Trocas!$A:$A,$C63,Resumo_Trocas!$F:$F,AF$18,Resumo_Trocas!$C:$C,"&gt;0")</f>
        <v>0</v>
      </c>
      <c r="AH63" s="140">
        <f>SUMIFS(Resumo_Trocas!$C:$C,Resumo_Trocas!$A:$A,$C63,Resumo_Trocas!$F:$F,AH$44,Resumo_Trocas!$C:$C,"&gt;0")</f>
        <v>0</v>
      </c>
      <c r="AI63" s="141">
        <f>SUMIFS(Resumo_Trocas!$E:$E,Resumo_Trocas!$A:$A,$C63,Resumo_Trocas!$F:$F,AH$18,Resumo_Trocas!$C:$C,"&gt;0")</f>
        <v>0</v>
      </c>
      <c r="AJ63" s="140">
        <f>SUMIFS(Resumo_Trocas!$C:$C,Resumo_Trocas!$A:$A,$C63,Resumo_Trocas!$F:$F,AJ$44,Resumo_Trocas!$C:$C,"&gt;0")</f>
        <v>0</v>
      </c>
      <c r="AK63" s="141">
        <f>SUMIFS(Resumo_Trocas!$E:$E,Resumo_Trocas!$A:$A,$C63,Resumo_Trocas!$F:$F,AJ$18,Resumo_Trocas!$C:$C,"&gt;0")</f>
        <v>0</v>
      </c>
      <c r="AL63" s="140">
        <f>SUMIFS(Resumo_Trocas!$C:$C,Resumo_Trocas!$A:$A,$C63,Resumo_Trocas!$F:$F,AL$44,Resumo_Trocas!$C:$C,"&gt;0")</f>
        <v>0</v>
      </c>
      <c r="AM63" s="141">
        <f>SUMIFS(Resumo_Trocas!$E:$E,Resumo_Trocas!$A:$A,$C63,Resumo_Trocas!$F:$F,AL$18,Resumo_Trocas!$C:$C,"&gt;0")</f>
        <v>0</v>
      </c>
      <c r="AN63" s="140">
        <f>SUMIFS(Resumo_Trocas!$C:$C,Resumo_Trocas!$A:$A,$C63,Resumo_Trocas!$F:$F,AN$44,Resumo_Trocas!$C:$C,"&gt;0")</f>
        <v>0</v>
      </c>
      <c r="AO63" s="141">
        <f>SUMIFS(Resumo_Trocas!$E:$E,Resumo_Trocas!$A:$A,$C63,Resumo_Trocas!$F:$F,AN$18,Resumo_Trocas!$C:$C,"&gt;0")</f>
        <v>0</v>
      </c>
    </row>
    <row r="64" spans="2:41" ht="15" customHeight="1" outlineLevel="1" thickBot="1" x14ac:dyDescent="0.3">
      <c r="B64" s="76"/>
      <c r="C64" s="112" t="s">
        <v>332</v>
      </c>
      <c r="D64" s="140">
        <f>SUMIFS(Resumo_Trocas!$C:$C,Resumo_Trocas!$A:$A,$C64,Resumo_Trocas!$F:$F,D$44,Resumo_Trocas!$C:$C,"&gt;0")</f>
        <v>0</v>
      </c>
      <c r="E64" s="141">
        <f>SUMIFS(Resumo_Trocas!$E:$E,Resumo_Trocas!$A:$A,$C64,Resumo_Trocas!$F:$F,D$18,Resumo_Trocas!$C:$C,"&gt;0")</f>
        <v>0</v>
      </c>
      <c r="F64" s="140">
        <f>SUMIFS(Resumo_Trocas!$C:$C,Resumo_Trocas!$A:$A,$C64,Resumo_Trocas!$F:$F,F$44,Resumo_Trocas!$C:$C,"&gt;0")</f>
        <v>0</v>
      </c>
      <c r="G64" s="141">
        <f>SUMIFS(Resumo_Trocas!$E:$E,Resumo_Trocas!$A:$A,$C64,Resumo_Trocas!$F:$F,F$18,Resumo_Trocas!$C:$C,"&gt;0")</f>
        <v>0</v>
      </c>
      <c r="H64" s="140">
        <f>SUMIFS(Resumo_Trocas!$C:$C,Resumo_Trocas!$A:$A,$C64,Resumo_Trocas!$F:$F,H$44,Resumo_Trocas!$C:$C,"&gt;0")</f>
        <v>0</v>
      </c>
      <c r="I64" s="141">
        <f>SUMIFS(Resumo_Trocas!$E:$E,Resumo_Trocas!$A:$A,$C64,Resumo_Trocas!$F:$F,H$18,Resumo_Trocas!$C:$C,"&gt;0")</f>
        <v>0</v>
      </c>
      <c r="J64" s="140">
        <f>SUMIFS(Resumo_Trocas!$C:$C,Resumo_Trocas!$A:$A,$C64,Resumo_Trocas!$F:$F,J$44,Resumo_Trocas!$C:$C,"&gt;0")</f>
        <v>0</v>
      </c>
      <c r="K64" s="141">
        <f>SUMIFS(Resumo_Trocas!$E:$E,Resumo_Trocas!$A:$A,$C64,Resumo_Trocas!$F:$F,J$18,Resumo_Trocas!$C:$C,"&gt;0")</f>
        <v>0</v>
      </c>
      <c r="L64" s="140">
        <f>SUMIFS(Resumo_Trocas!$C:$C,Resumo_Trocas!$A:$A,$C64,Resumo_Trocas!$F:$F,L$44,Resumo_Trocas!$C:$C,"&gt;0")</f>
        <v>0</v>
      </c>
      <c r="M64" s="141">
        <f>SUMIFS(Resumo_Trocas!$E:$E,Resumo_Trocas!$A:$A,$C64,Resumo_Trocas!$F:$F,L$18,Resumo_Trocas!$C:$C,"&gt;0")</f>
        <v>0</v>
      </c>
      <c r="N64" s="140">
        <f>SUMIFS(Resumo_Trocas!$C:$C,Resumo_Trocas!$A:$A,$C64,Resumo_Trocas!$F:$F,N$44,Resumo_Trocas!$C:$C,"&gt;0")</f>
        <v>0</v>
      </c>
      <c r="O64" s="141">
        <f>SUMIFS(Resumo_Trocas!$E:$E,Resumo_Trocas!$A:$A,$C64,Resumo_Trocas!$F:$F,N$18,Resumo_Trocas!$C:$C,"&gt;0")</f>
        <v>0</v>
      </c>
      <c r="P64" s="140">
        <f>SUMIFS(Resumo_Trocas!$C:$C,Resumo_Trocas!$A:$A,$C64,Resumo_Trocas!$F:$F,P$44,Resumo_Trocas!$C:$C,"&gt;0")</f>
        <v>0</v>
      </c>
      <c r="Q64" s="141">
        <f>SUMIFS(Resumo_Trocas!$E:$E,Resumo_Trocas!$A:$A,$C64,Resumo_Trocas!$F:$F,P$18,Resumo_Trocas!$C:$C,"&gt;0")</f>
        <v>0</v>
      </c>
      <c r="R64" s="140">
        <f>SUMIFS(Resumo_Trocas!$C:$C,Resumo_Trocas!$A:$A,$C64,Resumo_Trocas!$F:$F,R$44,Resumo_Trocas!$C:$C,"&gt;0")</f>
        <v>0</v>
      </c>
      <c r="S64" s="141">
        <f>SUMIFS(Resumo_Trocas!$E:$E,Resumo_Trocas!$A:$A,$C64,Resumo_Trocas!$F:$F,R$18,Resumo_Trocas!$C:$C,"&gt;0")</f>
        <v>0</v>
      </c>
      <c r="T64" s="140">
        <f>SUMIFS(Resumo_Trocas!$C:$C,Resumo_Trocas!$A:$A,$C64,Resumo_Trocas!$F:$F,T$44,Resumo_Trocas!$C:$C,"&gt;0")</f>
        <v>0</v>
      </c>
      <c r="U64" s="141">
        <f>SUMIFS(Resumo_Trocas!$E:$E,Resumo_Trocas!$A:$A,$C64,Resumo_Trocas!$F:$F,T$18,Resumo_Trocas!$C:$C,"&gt;0")</f>
        <v>0</v>
      </c>
      <c r="V64" s="140">
        <f>SUMIFS(Resumo_Trocas!$C:$C,Resumo_Trocas!$A:$A,$C64,Resumo_Trocas!$F:$F,V$44,Resumo_Trocas!$C:$C,"&gt;0")</f>
        <v>0</v>
      </c>
      <c r="W64" s="141">
        <f>SUMIFS(Resumo_Trocas!$E:$E,Resumo_Trocas!$A:$A,$C64,Resumo_Trocas!$F:$F,V$18,Resumo_Trocas!$C:$C,"&gt;0")</f>
        <v>0</v>
      </c>
      <c r="X64" s="140">
        <f>SUMIFS(Resumo_Trocas!$C:$C,Resumo_Trocas!$A:$A,$C64,Resumo_Trocas!$F:$F,X$44,Resumo_Trocas!$C:$C,"&gt;0")</f>
        <v>0</v>
      </c>
      <c r="Y64" s="141">
        <f>SUMIFS(Resumo_Trocas!$E:$E,Resumo_Trocas!$A:$A,$C64,Resumo_Trocas!$F:$F,X$18,Resumo_Trocas!$C:$C,"&gt;0")</f>
        <v>0</v>
      </c>
      <c r="Z64" s="140">
        <f>SUMIFS(Resumo_Trocas!$C:$C,Resumo_Trocas!$A:$A,$C64,Resumo_Trocas!$F:$F,Z$44,Resumo_Trocas!$C:$C,"&gt;0")</f>
        <v>0</v>
      </c>
      <c r="AA64" s="141">
        <f>SUMIFS(Resumo_Trocas!$E:$E,Resumo_Trocas!$A:$A,$C64,Resumo_Trocas!$F:$F,Z$18,Resumo_Trocas!$C:$C,"&gt;0")</f>
        <v>0</v>
      </c>
      <c r="AB64" s="140">
        <f>SUMIFS(Resumo_Trocas!$C:$C,Resumo_Trocas!$A:$A,$C64,Resumo_Trocas!$F:$F,AB$44,Resumo_Trocas!$C:$C,"&gt;0")</f>
        <v>0</v>
      </c>
      <c r="AC64" s="141">
        <f>SUMIFS(Resumo_Trocas!$E:$E,Resumo_Trocas!$A:$A,$C64,Resumo_Trocas!$F:$F,AB$18,Resumo_Trocas!$C:$C,"&gt;0")</f>
        <v>0</v>
      </c>
      <c r="AD64" s="140">
        <f>SUMIFS(Resumo_Trocas!$C:$C,Resumo_Trocas!$A:$A,$C64,Resumo_Trocas!$F:$F,AD$44,Resumo_Trocas!$C:$C,"&gt;0")</f>
        <v>0</v>
      </c>
      <c r="AE64" s="141">
        <f>SUMIFS(Resumo_Trocas!$E:$E,Resumo_Trocas!$A:$A,$C64,Resumo_Trocas!$F:$F,AD$18,Resumo_Trocas!$C:$C,"&gt;0")</f>
        <v>0</v>
      </c>
      <c r="AF64" s="140">
        <f>SUMIFS(Resumo_Trocas!$C:$C,Resumo_Trocas!$A:$A,$C64,Resumo_Trocas!$F:$F,AF$44,Resumo_Trocas!$C:$C,"&gt;0")</f>
        <v>0</v>
      </c>
      <c r="AG64" s="141">
        <f>SUMIFS(Resumo_Trocas!$E:$E,Resumo_Trocas!$A:$A,$C64,Resumo_Trocas!$F:$F,AF$18,Resumo_Trocas!$C:$C,"&gt;0")</f>
        <v>0</v>
      </c>
      <c r="AH64" s="140">
        <f>SUMIFS(Resumo_Trocas!$C:$C,Resumo_Trocas!$A:$A,$C64,Resumo_Trocas!$F:$F,AH$44,Resumo_Trocas!$C:$C,"&gt;0")</f>
        <v>0</v>
      </c>
      <c r="AI64" s="141">
        <f>SUMIFS(Resumo_Trocas!$E:$E,Resumo_Trocas!$A:$A,$C64,Resumo_Trocas!$F:$F,AH$18,Resumo_Trocas!$C:$C,"&gt;0")</f>
        <v>0</v>
      </c>
      <c r="AJ64" s="140">
        <f>SUMIFS(Resumo_Trocas!$C:$C,Resumo_Trocas!$A:$A,$C64,Resumo_Trocas!$F:$F,AJ$44,Resumo_Trocas!$C:$C,"&gt;0")</f>
        <v>0</v>
      </c>
      <c r="AK64" s="141">
        <f>SUMIFS(Resumo_Trocas!$E:$E,Resumo_Trocas!$A:$A,$C64,Resumo_Trocas!$F:$F,AJ$18,Resumo_Trocas!$C:$C,"&gt;0")</f>
        <v>0</v>
      </c>
      <c r="AL64" s="140">
        <f>SUMIFS(Resumo_Trocas!$C:$C,Resumo_Trocas!$A:$A,$C64,Resumo_Trocas!$F:$F,AL$44,Resumo_Trocas!$C:$C,"&gt;0")</f>
        <v>0</v>
      </c>
      <c r="AM64" s="141">
        <f>SUMIFS(Resumo_Trocas!$E:$E,Resumo_Trocas!$A:$A,$C64,Resumo_Trocas!$F:$F,AL$18,Resumo_Trocas!$C:$C,"&gt;0")</f>
        <v>0</v>
      </c>
      <c r="AN64" s="140">
        <f>SUMIFS(Resumo_Trocas!$C:$C,Resumo_Trocas!$A:$A,$C64,Resumo_Trocas!$F:$F,AN$44,Resumo_Trocas!$C:$C,"&gt;0")</f>
        <v>0</v>
      </c>
      <c r="AO64" s="141">
        <f>SUMIFS(Resumo_Trocas!$E:$E,Resumo_Trocas!$A:$A,$C64,Resumo_Trocas!$F:$F,AN$18,Resumo_Trocas!$C:$C,"&gt;0")</f>
        <v>0</v>
      </c>
    </row>
    <row r="65" spans="2:41" ht="15" customHeight="1" outlineLevel="1" thickBot="1" x14ac:dyDescent="0.3">
      <c r="B65" s="76"/>
      <c r="C65" s="112" t="s">
        <v>333</v>
      </c>
      <c r="D65" s="140">
        <f>SUMIFS(Resumo_Trocas!$C:$C,Resumo_Trocas!$A:$A,$C65,Resumo_Trocas!$F:$F,D$44,Resumo_Trocas!$C:$C,"&gt;0")</f>
        <v>1</v>
      </c>
      <c r="E65" s="141">
        <f>SUMIFS(Resumo_Trocas!$E:$E,Resumo_Trocas!$A:$A,$C65,Resumo_Trocas!$F:$F,D$18,Resumo_Trocas!$C:$C,"&gt;0")</f>
        <v>0</v>
      </c>
      <c r="F65" s="140">
        <f>SUMIFS(Resumo_Trocas!$C:$C,Resumo_Trocas!$A:$A,$C65,Resumo_Trocas!$F:$F,F$44,Resumo_Trocas!$C:$C,"&gt;0")</f>
        <v>2</v>
      </c>
      <c r="G65" s="141">
        <f>SUMIFS(Resumo_Trocas!$E:$E,Resumo_Trocas!$A:$A,$C65,Resumo_Trocas!$F:$F,F$18,Resumo_Trocas!$C:$C,"&gt;0")</f>
        <v>2</v>
      </c>
      <c r="H65" s="140">
        <f>SUMIFS(Resumo_Trocas!$C:$C,Resumo_Trocas!$A:$A,$C65,Resumo_Trocas!$F:$F,H$44,Resumo_Trocas!$C:$C,"&gt;0")</f>
        <v>0</v>
      </c>
      <c r="I65" s="141">
        <f>SUMIFS(Resumo_Trocas!$E:$E,Resumo_Trocas!$A:$A,$C65,Resumo_Trocas!$F:$F,H$18,Resumo_Trocas!$C:$C,"&gt;0")</f>
        <v>0</v>
      </c>
      <c r="J65" s="140">
        <f>SUMIFS(Resumo_Trocas!$C:$C,Resumo_Trocas!$A:$A,$C65,Resumo_Trocas!$F:$F,J$44,Resumo_Trocas!$C:$C,"&gt;0")</f>
        <v>1</v>
      </c>
      <c r="K65" s="141">
        <f>SUMIFS(Resumo_Trocas!$E:$E,Resumo_Trocas!$A:$A,$C65,Resumo_Trocas!$F:$F,J$18,Resumo_Trocas!$C:$C,"&gt;0")</f>
        <v>1</v>
      </c>
      <c r="L65" s="140">
        <f>SUMIFS(Resumo_Trocas!$C:$C,Resumo_Trocas!$A:$A,$C65,Resumo_Trocas!$F:$F,L$44,Resumo_Trocas!$C:$C,"&gt;0")</f>
        <v>0</v>
      </c>
      <c r="M65" s="141">
        <f>SUMIFS(Resumo_Trocas!$E:$E,Resumo_Trocas!$A:$A,$C65,Resumo_Trocas!$F:$F,L$18,Resumo_Trocas!$C:$C,"&gt;0")</f>
        <v>0</v>
      </c>
      <c r="N65" s="140">
        <f>SUMIFS(Resumo_Trocas!$C:$C,Resumo_Trocas!$A:$A,$C65,Resumo_Trocas!$F:$F,N$44,Resumo_Trocas!$C:$C,"&gt;0")</f>
        <v>0</v>
      </c>
      <c r="O65" s="141">
        <f>SUMIFS(Resumo_Trocas!$E:$E,Resumo_Trocas!$A:$A,$C65,Resumo_Trocas!$F:$F,N$18,Resumo_Trocas!$C:$C,"&gt;0")</f>
        <v>0</v>
      </c>
      <c r="P65" s="140">
        <f>SUMIFS(Resumo_Trocas!$C:$C,Resumo_Trocas!$A:$A,$C65,Resumo_Trocas!$F:$F,P$44,Resumo_Trocas!$C:$C,"&gt;0")</f>
        <v>0</v>
      </c>
      <c r="Q65" s="141">
        <f>SUMIFS(Resumo_Trocas!$E:$E,Resumo_Trocas!$A:$A,$C65,Resumo_Trocas!$F:$F,P$18,Resumo_Trocas!$C:$C,"&gt;0")</f>
        <v>0</v>
      </c>
      <c r="R65" s="140">
        <f>SUMIFS(Resumo_Trocas!$C:$C,Resumo_Trocas!$A:$A,$C65,Resumo_Trocas!$F:$F,R$44,Resumo_Trocas!$C:$C,"&gt;0")</f>
        <v>1</v>
      </c>
      <c r="S65" s="141">
        <f>SUMIFS(Resumo_Trocas!$E:$E,Resumo_Trocas!$A:$A,$C65,Resumo_Trocas!$F:$F,R$18,Resumo_Trocas!$C:$C,"&gt;0")</f>
        <v>0</v>
      </c>
      <c r="T65" s="140">
        <f>SUMIFS(Resumo_Trocas!$C:$C,Resumo_Trocas!$A:$A,$C65,Resumo_Trocas!$F:$F,T$44,Resumo_Trocas!$C:$C,"&gt;0")</f>
        <v>0</v>
      </c>
      <c r="U65" s="141">
        <f>SUMIFS(Resumo_Trocas!$E:$E,Resumo_Trocas!$A:$A,$C65,Resumo_Trocas!$F:$F,T$18,Resumo_Trocas!$C:$C,"&gt;0")</f>
        <v>0</v>
      </c>
      <c r="V65" s="140">
        <f>SUMIFS(Resumo_Trocas!$C:$C,Resumo_Trocas!$A:$A,$C65,Resumo_Trocas!$F:$F,V$44,Resumo_Trocas!$C:$C,"&gt;0")</f>
        <v>0</v>
      </c>
      <c r="W65" s="141">
        <f>SUMIFS(Resumo_Trocas!$E:$E,Resumo_Trocas!$A:$A,$C65,Resumo_Trocas!$F:$F,V$18,Resumo_Trocas!$C:$C,"&gt;0")</f>
        <v>0</v>
      </c>
      <c r="X65" s="140">
        <f>SUMIFS(Resumo_Trocas!$C:$C,Resumo_Trocas!$A:$A,$C65,Resumo_Trocas!$F:$F,X$44,Resumo_Trocas!$C:$C,"&gt;0")</f>
        <v>1</v>
      </c>
      <c r="Y65" s="141">
        <f>SUMIFS(Resumo_Trocas!$E:$E,Resumo_Trocas!$A:$A,$C65,Resumo_Trocas!$F:$F,X$18,Resumo_Trocas!$C:$C,"&gt;0")</f>
        <v>0</v>
      </c>
      <c r="Z65" s="140">
        <f>SUMIFS(Resumo_Trocas!$C:$C,Resumo_Trocas!$A:$A,$C65,Resumo_Trocas!$F:$F,Z$44,Resumo_Trocas!$C:$C,"&gt;0")</f>
        <v>1</v>
      </c>
      <c r="AA65" s="141">
        <f>SUMIFS(Resumo_Trocas!$E:$E,Resumo_Trocas!$A:$A,$C65,Resumo_Trocas!$F:$F,Z$18,Resumo_Trocas!$C:$C,"&gt;0")</f>
        <v>0</v>
      </c>
      <c r="AB65" s="140">
        <f>SUMIFS(Resumo_Trocas!$C:$C,Resumo_Trocas!$A:$A,$C65,Resumo_Trocas!$F:$F,AB$44,Resumo_Trocas!$C:$C,"&gt;0")</f>
        <v>0</v>
      </c>
      <c r="AC65" s="141">
        <f>SUMIFS(Resumo_Trocas!$E:$E,Resumo_Trocas!$A:$A,$C65,Resumo_Trocas!$F:$F,AB$18,Resumo_Trocas!$C:$C,"&gt;0")</f>
        <v>0</v>
      </c>
      <c r="AD65" s="140">
        <f>SUMIFS(Resumo_Trocas!$C:$C,Resumo_Trocas!$A:$A,$C65,Resumo_Trocas!$F:$F,AD$44,Resumo_Trocas!$C:$C,"&gt;0")</f>
        <v>0</v>
      </c>
      <c r="AE65" s="141">
        <f>SUMIFS(Resumo_Trocas!$E:$E,Resumo_Trocas!$A:$A,$C65,Resumo_Trocas!$F:$F,AD$18,Resumo_Trocas!$C:$C,"&gt;0")</f>
        <v>0</v>
      </c>
      <c r="AF65" s="140">
        <f>SUMIFS(Resumo_Trocas!$C:$C,Resumo_Trocas!$A:$A,$C65,Resumo_Trocas!$F:$F,AF$44,Resumo_Trocas!$C:$C,"&gt;0")</f>
        <v>0</v>
      </c>
      <c r="AG65" s="141">
        <f>SUMIFS(Resumo_Trocas!$E:$E,Resumo_Trocas!$A:$A,$C65,Resumo_Trocas!$F:$F,AF$18,Resumo_Trocas!$C:$C,"&gt;0")</f>
        <v>0</v>
      </c>
      <c r="AH65" s="140">
        <f>SUMIFS(Resumo_Trocas!$C:$C,Resumo_Trocas!$A:$A,$C65,Resumo_Trocas!$F:$F,AH$44,Resumo_Trocas!$C:$C,"&gt;0")</f>
        <v>0</v>
      </c>
      <c r="AI65" s="141">
        <f>SUMIFS(Resumo_Trocas!$E:$E,Resumo_Trocas!$A:$A,$C65,Resumo_Trocas!$F:$F,AH$18,Resumo_Trocas!$C:$C,"&gt;0")</f>
        <v>0</v>
      </c>
      <c r="AJ65" s="140">
        <f>SUMIFS(Resumo_Trocas!$C:$C,Resumo_Trocas!$A:$A,$C65,Resumo_Trocas!$F:$F,AJ$44,Resumo_Trocas!$C:$C,"&gt;0")</f>
        <v>0</v>
      </c>
      <c r="AK65" s="141">
        <f>SUMIFS(Resumo_Trocas!$E:$E,Resumo_Trocas!$A:$A,$C65,Resumo_Trocas!$F:$F,AJ$18,Resumo_Trocas!$C:$C,"&gt;0")</f>
        <v>0</v>
      </c>
      <c r="AL65" s="140">
        <f>SUMIFS(Resumo_Trocas!$C:$C,Resumo_Trocas!$A:$A,$C65,Resumo_Trocas!$F:$F,AL$44,Resumo_Trocas!$C:$C,"&gt;0")</f>
        <v>0</v>
      </c>
      <c r="AM65" s="141">
        <f>SUMIFS(Resumo_Trocas!$E:$E,Resumo_Trocas!$A:$A,$C65,Resumo_Trocas!$F:$F,AL$18,Resumo_Trocas!$C:$C,"&gt;0")</f>
        <v>0</v>
      </c>
      <c r="AN65" s="140">
        <f>SUMIFS(Resumo_Trocas!$C:$C,Resumo_Trocas!$A:$A,$C65,Resumo_Trocas!$F:$F,AN$44,Resumo_Trocas!$C:$C,"&gt;0")</f>
        <v>0</v>
      </c>
      <c r="AO65" s="141">
        <f>SUMIFS(Resumo_Trocas!$E:$E,Resumo_Trocas!$A:$A,$C65,Resumo_Trocas!$F:$F,AN$18,Resumo_Trocas!$C:$C,"&gt;0")</f>
        <v>0</v>
      </c>
    </row>
    <row r="66" spans="2:41" ht="15.75" outlineLevel="1" thickBot="1" x14ac:dyDescent="0.3">
      <c r="C66" s="113" t="s">
        <v>334</v>
      </c>
      <c r="D66" s="142">
        <f>SUMIFS(Resumo_Trocas!$C:$C,Resumo_Trocas!$A:$A,$C66,Resumo_Trocas!$F:$F,D$44,Resumo_Trocas!$C:$C,"&gt;0")</f>
        <v>0</v>
      </c>
      <c r="E66" s="143">
        <f>SUMIFS(Resumo_Trocas!$E:$E,Resumo_Trocas!$A:$A,$C66,Resumo_Trocas!$F:$F,D$18,Resumo_Trocas!$C:$C,"&gt;0")</f>
        <v>0</v>
      </c>
      <c r="F66" s="142">
        <f>SUMIFS(Resumo_Trocas!$C:$C,Resumo_Trocas!$A:$A,$C66,Resumo_Trocas!$F:$F,F$44,Resumo_Trocas!$C:$C,"&gt;0")</f>
        <v>0</v>
      </c>
      <c r="G66" s="143">
        <f>SUMIFS(Resumo_Trocas!$E:$E,Resumo_Trocas!$A:$A,$C66,Resumo_Trocas!$F:$F,F$18,Resumo_Trocas!$C:$C,"&gt;0")</f>
        <v>0</v>
      </c>
      <c r="H66" s="142">
        <f>SUMIFS(Resumo_Trocas!$C:$C,Resumo_Trocas!$A:$A,$C66,Resumo_Trocas!$F:$F,H$44,Resumo_Trocas!$C:$C,"&gt;0")</f>
        <v>0</v>
      </c>
      <c r="I66" s="143">
        <f>SUMIFS(Resumo_Trocas!$E:$E,Resumo_Trocas!$A:$A,$C66,Resumo_Trocas!$F:$F,H$18,Resumo_Trocas!$C:$C,"&gt;0")</f>
        <v>0</v>
      </c>
      <c r="J66" s="142">
        <f>SUMIFS(Resumo_Trocas!$C:$C,Resumo_Trocas!$A:$A,$C66,Resumo_Trocas!$F:$F,J$44,Resumo_Trocas!$C:$C,"&gt;0")</f>
        <v>0</v>
      </c>
      <c r="K66" s="143">
        <f>SUMIFS(Resumo_Trocas!$E:$E,Resumo_Trocas!$A:$A,$C66,Resumo_Trocas!$F:$F,J$18,Resumo_Trocas!$C:$C,"&gt;0")</f>
        <v>0</v>
      </c>
      <c r="L66" s="142">
        <f>SUMIFS(Resumo_Trocas!$C:$C,Resumo_Trocas!$A:$A,$C66,Resumo_Trocas!$F:$F,L$44,Resumo_Trocas!$C:$C,"&gt;0")</f>
        <v>0</v>
      </c>
      <c r="M66" s="143">
        <f>SUMIFS(Resumo_Trocas!$E:$E,Resumo_Trocas!$A:$A,$C66,Resumo_Trocas!$F:$F,L$18,Resumo_Trocas!$C:$C,"&gt;0")</f>
        <v>0</v>
      </c>
      <c r="N66" s="142">
        <f>SUMIFS(Resumo_Trocas!$C:$C,Resumo_Trocas!$A:$A,$C66,Resumo_Trocas!$F:$F,N$44,Resumo_Trocas!$C:$C,"&gt;0")</f>
        <v>0</v>
      </c>
      <c r="O66" s="143">
        <f>SUMIFS(Resumo_Trocas!$E:$E,Resumo_Trocas!$A:$A,$C66,Resumo_Trocas!$F:$F,N$18,Resumo_Trocas!$C:$C,"&gt;0")</f>
        <v>0</v>
      </c>
      <c r="P66" s="142">
        <f>SUMIFS(Resumo_Trocas!$C:$C,Resumo_Trocas!$A:$A,$C66,Resumo_Trocas!$F:$F,P$44,Resumo_Trocas!$C:$C,"&gt;0")</f>
        <v>0</v>
      </c>
      <c r="Q66" s="143">
        <f>SUMIFS(Resumo_Trocas!$E:$E,Resumo_Trocas!$A:$A,$C66,Resumo_Trocas!$F:$F,P$18,Resumo_Trocas!$C:$C,"&gt;0")</f>
        <v>0</v>
      </c>
      <c r="R66" s="142">
        <f>SUMIFS(Resumo_Trocas!$C:$C,Resumo_Trocas!$A:$A,$C66,Resumo_Trocas!$F:$F,R$44,Resumo_Trocas!$C:$C,"&gt;0")</f>
        <v>0</v>
      </c>
      <c r="S66" s="143">
        <f>SUMIFS(Resumo_Trocas!$E:$E,Resumo_Trocas!$A:$A,$C66,Resumo_Trocas!$F:$F,R$18,Resumo_Trocas!$C:$C,"&gt;0")</f>
        <v>0</v>
      </c>
      <c r="T66" s="142">
        <f>SUMIFS(Resumo_Trocas!$C:$C,Resumo_Trocas!$A:$A,$C66,Resumo_Trocas!$F:$F,T$44,Resumo_Trocas!$C:$C,"&gt;0")</f>
        <v>0</v>
      </c>
      <c r="U66" s="143">
        <f>SUMIFS(Resumo_Trocas!$E:$E,Resumo_Trocas!$A:$A,$C66,Resumo_Trocas!$F:$F,T$18,Resumo_Trocas!$C:$C,"&gt;0")</f>
        <v>0</v>
      </c>
      <c r="V66" s="142">
        <f>SUMIFS(Resumo_Trocas!$C:$C,Resumo_Trocas!$A:$A,$C66,Resumo_Trocas!$F:$F,V$44,Resumo_Trocas!$C:$C,"&gt;0")</f>
        <v>0</v>
      </c>
      <c r="W66" s="143">
        <f>SUMIFS(Resumo_Trocas!$E:$E,Resumo_Trocas!$A:$A,$C66,Resumo_Trocas!$F:$F,V$18,Resumo_Trocas!$C:$C,"&gt;0")</f>
        <v>0</v>
      </c>
      <c r="X66" s="142">
        <f>SUMIFS(Resumo_Trocas!$C:$C,Resumo_Trocas!$A:$A,$C66,Resumo_Trocas!$F:$F,X$44,Resumo_Trocas!$C:$C,"&gt;0")</f>
        <v>0</v>
      </c>
      <c r="Y66" s="143">
        <f>SUMIFS(Resumo_Trocas!$E:$E,Resumo_Trocas!$A:$A,$C66,Resumo_Trocas!$F:$F,X$18,Resumo_Trocas!$C:$C,"&gt;0")</f>
        <v>0</v>
      </c>
      <c r="Z66" s="142">
        <f>SUMIFS(Resumo_Trocas!$C:$C,Resumo_Trocas!$A:$A,$C66,Resumo_Trocas!$F:$F,Z$44,Resumo_Trocas!$C:$C,"&gt;0")</f>
        <v>0</v>
      </c>
      <c r="AA66" s="143">
        <f>SUMIFS(Resumo_Trocas!$E:$E,Resumo_Trocas!$A:$A,$C66,Resumo_Trocas!$F:$F,Z$18,Resumo_Trocas!$C:$C,"&gt;0")</f>
        <v>0</v>
      </c>
      <c r="AB66" s="142">
        <f>SUMIFS(Resumo_Trocas!$C:$C,Resumo_Trocas!$A:$A,$C66,Resumo_Trocas!$F:$F,AB$44,Resumo_Trocas!$C:$C,"&gt;0")</f>
        <v>0</v>
      </c>
      <c r="AC66" s="143">
        <f>SUMIFS(Resumo_Trocas!$E:$E,Resumo_Trocas!$A:$A,$C66,Resumo_Trocas!$F:$F,AB$18,Resumo_Trocas!$C:$C,"&gt;0")</f>
        <v>0</v>
      </c>
      <c r="AD66" s="142">
        <f>SUMIFS(Resumo_Trocas!$C:$C,Resumo_Trocas!$A:$A,$C66,Resumo_Trocas!$F:$F,AD$44,Resumo_Trocas!$C:$C,"&gt;0")</f>
        <v>0</v>
      </c>
      <c r="AE66" s="143">
        <f>SUMIFS(Resumo_Trocas!$E:$E,Resumo_Trocas!$A:$A,$C66,Resumo_Trocas!$F:$F,AD$18,Resumo_Trocas!$C:$C,"&gt;0")</f>
        <v>0</v>
      </c>
      <c r="AF66" s="142">
        <f>SUMIFS(Resumo_Trocas!$C:$C,Resumo_Trocas!$A:$A,$C66,Resumo_Trocas!$F:$F,AF$44,Resumo_Trocas!$C:$C,"&gt;0")</f>
        <v>0</v>
      </c>
      <c r="AG66" s="143">
        <f>SUMIFS(Resumo_Trocas!$E:$E,Resumo_Trocas!$A:$A,$C66,Resumo_Trocas!$F:$F,AF$18,Resumo_Trocas!$C:$C,"&gt;0")</f>
        <v>0</v>
      </c>
      <c r="AH66" s="142">
        <f>SUMIFS(Resumo_Trocas!$C:$C,Resumo_Trocas!$A:$A,$C66,Resumo_Trocas!$F:$F,AH$44,Resumo_Trocas!$C:$C,"&gt;0")</f>
        <v>0</v>
      </c>
      <c r="AI66" s="143">
        <f>SUMIFS(Resumo_Trocas!$E:$E,Resumo_Trocas!$A:$A,$C66,Resumo_Trocas!$F:$F,AH$18,Resumo_Trocas!$C:$C,"&gt;0")</f>
        <v>0</v>
      </c>
      <c r="AJ66" s="142">
        <f>SUMIFS(Resumo_Trocas!$C:$C,Resumo_Trocas!$A:$A,$C66,Resumo_Trocas!$F:$F,AJ$44,Resumo_Trocas!$C:$C,"&gt;0")</f>
        <v>0</v>
      </c>
      <c r="AK66" s="143">
        <f>SUMIFS(Resumo_Trocas!$E:$E,Resumo_Trocas!$A:$A,$C66,Resumo_Trocas!$F:$F,AJ$18,Resumo_Trocas!$C:$C,"&gt;0")</f>
        <v>0</v>
      </c>
      <c r="AL66" s="142">
        <f>SUMIFS(Resumo_Trocas!$C:$C,Resumo_Trocas!$A:$A,$C66,Resumo_Trocas!$F:$F,AL$44,Resumo_Trocas!$C:$C,"&gt;0")</f>
        <v>0</v>
      </c>
      <c r="AM66" s="143">
        <f>SUMIFS(Resumo_Trocas!$E:$E,Resumo_Trocas!$A:$A,$C66,Resumo_Trocas!$F:$F,AL$18,Resumo_Trocas!$C:$C,"&gt;0")</f>
        <v>0</v>
      </c>
      <c r="AN66" s="142">
        <f>SUMIFS(Resumo_Trocas!$C:$C,Resumo_Trocas!$A:$A,$C66,Resumo_Trocas!$F:$F,AN$44,Resumo_Trocas!$C:$C,"&gt;0")</f>
        <v>0</v>
      </c>
      <c r="AO66" s="143">
        <f>SUMIFS(Resumo_Trocas!$E:$E,Resumo_Trocas!$A:$A,$C66,Resumo_Trocas!$F:$F,AN$18,Resumo_Trocas!$C:$C,"&gt;0")</f>
        <v>0</v>
      </c>
    </row>
  </sheetData>
  <mergeCells count="136">
    <mergeCell ref="D2:AO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B3:AC3"/>
    <mergeCell ref="AD3:AE3"/>
    <mergeCell ref="AF3:AG3"/>
    <mergeCell ref="D4:E4"/>
    <mergeCell ref="F4:G4"/>
    <mergeCell ref="H4:I4"/>
    <mergeCell ref="J4:K4"/>
    <mergeCell ref="L4:M4"/>
    <mergeCell ref="N4:O4"/>
    <mergeCell ref="V3:W3"/>
    <mergeCell ref="X3:Y3"/>
    <mergeCell ref="Z3:AA3"/>
    <mergeCell ref="AN4:AO4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H5:AI5"/>
    <mergeCell ref="AJ5:AK5"/>
    <mergeCell ref="AL5:AM5"/>
    <mergeCell ref="AN5:AO5"/>
    <mergeCell ref="D6:E6"/>
    <mergeCell ref="F6:G6"/>
    <mergeCell ref="H6:I6"/>
    <mergeCell ref="J6:K6"/>
    <mergeCell ref="L6:M6"/>
    <mergeCell ref="N6:O6"/>
    <mergeCell ref="V5:W5"/>
    <mergeCell ref="X5:Y5"/>
    <mergeCell ref="Z5:AA5"/>
    <mergeCell ref="AB5:AC5"/>
    <mergeCell ref="AD5:AE5"/>
    <mergeCell ref="AF5:AG5"/>
    <mergeCell ref="AN6:AO6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V6:W6"/>
    <mergeCell ref="X6:Y6"/>
    <mergeCell ref="Z6:AA6"/>
    <mergeCell ref="AH9:AI9"/>
    <mergeCell ref="AJ9:AK9"/>
    <mergeCell ref="AL9:AM9"/>
    <mergeCell ref="AN9:AO9"/>
    <mergeCell ref="C18:C19"/>
    <mergeCell ref="D18:E18"/>
    <mergeCell ref="F18:G18"/>
    <mergeCell ref="H18:I18"/>
    <mergeCell ref="J18:K18"/>
    <mergeCell ref="L18:M18"/>
    <mergeCell ref="V9:W9"/>
    <mergeCell ref="X9:Y9"/>
    <mergeCell ref="Z9:AA9"/>
    <mergeCell ref="AB9:AC9"/>
    <mergeCell ref="AD9:AE9"/>
    <mergeCell ref="AF9:AG9"/>
    <mergeCell ref="AL18:AM18"/>
    <mergeCell ref="AN18:AO18"/>
    <mergeCell ref="AB18:AC18"/>
    <mergeCell ref="AD18:AE18"/>
    <mergeCell ref="AF18:AG18"/>
    <mergeCell ref="C44:C45"/>
    <mergeCell ref="D44:E44"/>
    <mergeCell ref="F44:G44"/>
    <mergeCell ref="H44:I44"/>
    <mergeCell ref="J44:K44"/>
    <mergeCell ref="L44:M44"/>
    <mergeCell ref="N44:O44"/>
    <mergeCell ref="P44:Q44"/>
    <mergeCell ref="Z18:AA18"/>
    <mergeCell ref="N18:O18"/>
    <mergeCell ref="P18:Q18"/>
    <mergeCell ref="R18:S18"/>
    <mergeCell ref="T18:U18"/>
    <mergeCell ref="V18:W18"/>
    <mergeCell ref="X18:Y18"/>
    <mergeCell ref="AH18:AI18"/>
    <mergeCell ref="AJ18:AK18"/>
    <mergeCell ref="AJ44:AK44"/>
    <mergeCell ref="AD44:AE44"/>
    <mergeCell ref="AF44:AG44"/>
    <mergeCell ref="AH44:AI44"/>
    <mergeCell ref="AL44:AM44"/>
    <mergeCell ref="AN44:AO44"/>
    <mergeCell ref="R44:S44"/>
    <mergeCell ref="T44:U44"/>
    <mergeCell ref="V44:W44"/>
    <mergeCell ref="X44:Y44"/>
    <mergeCell ref="Z44:AA44"/>
    <mergeCell ref="AB44:AC4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&amp;L_x000D_&amp;1#&amp;"Calibri"&amp;10&amp;K000000 Classificação Privada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651B-57A0-4DCD-897F-9D782C990285}">
  <sheetPr codeName="Planilha9"/>
  <dimension ref="A2:AO42"/>
  <sheetViews>
    <sheetView showGridLines="0" zoomScale="130" zoomScaleNormal="130" workbookViewId="0">
      <selection activeCell="T8" sqref="T8:U8"/>
    </sheetView>
  </sheetViews>
  <sheetFormatPr defaultRowHeight="15" outlineLevelRow="2" outlineLevelCol="1" x14ac:dyDescent="0.25"/>
  <cols>
    <col min="1" max="1" width="24.42578125" bestFit="1" customWidth="1"/>
    <col min="2" max="19" width="9.140625" customWidth="1" outlineLevel="1"/>
    <col min="21" max="39" width="9.140625" customWidth="1" outlineLevel="1"/>
  </cols>
  <sheetData>
    <row r="2" spans="1:41" s="62" customFormat="1" ht="30" customHeight="1" thickBot="1" x14ac:dyDescent="0.4">
      <c r="A2" s="65" t="s">
        <v>3490</v>
      </c>
    </row>
    <row r="3" spans="1:41" s="90" customFormat="1" ht="15" customHeight="1" thickBot="1" x14ac:dyDescent="0.3">
      <c r="A3" s="118" t="s">
        <v>3381</v>
      </c>
      <c r="B3" s="222" t="s">
        <v>3372</v>
      </c>
      <c r="C3" s="223"/>
      <c r="D3" s="222" t="s">
        <v>3373</v>
      </c>
      <c r="E3" s="223"/>
      <c r="F3" s="201" t="s">
        <v>3374</v>
      </c>
      <c r="G3" s="202"/>
      <c r="H3" s="222" t="s">
        <v>3370</v>
      </c>
      <c r="I3" s="223"/>
      <c r="J3" s="222" t="s">
        <v>3371</v>
      </c>
      <c r="K3" s="223"/>
      <c r="L3" s="222" t="s">
        <v>3375</v>
      </c>
      <c r="M3" s="223"/>
      <c r="N3" s="222" t="s">
        <v>3367</v>
      </c>
      <c r="O3" s="223"/>
      <c r="P3" s="222" t="s">
        <v>3368</v>
      </c>
      <c r="Q3" s="223"/>
      <c r="R3" s="222" t="s">
        <v>3369</v>
      </c>
      <c r="S3" s="223"/>
      <c r="T3" s="201" t="s">
        <v>3358</v>
      </c>
      <c r="U3" s="202"/>
      <c r="V3" s="222" t="s">
        <v>3363</v>
      </c>
      <c r="W3" s="223"/>
      <c r="X3" s="222" t="s">
        <v>3361</v>
      </c>
      <c r="Y3" s="223"/>
      <c r="Z3" s="222" t="s">
        <v>3359</v>
      </c>
      <c r="AA3" s="223"/>
      <c r="AB3" s="222" t="s">
        <v>3366</v>
      </c>
      <c r="AC3" s="223"/>
      <c r="AD3" s="201" t="s">
        <v>3364</v>
      </c>
      <c r="AE3" s="202"/>
      <c r="AF3" s="222" t="s">
        <v>3360</v>
      </c>
      <c r="AG3" s="223"/>
      <c r="AH3" s="222" t="s">
        <v>3362</v>
      </c>
      <c r="AI3" s="223"/>
      <c r="AJ3" s="222" t="s">
        <v>3365</v>
      </c>
      <c r="AK3" s="223"/>
      <c r="AL3" s="201" t="s">
        <v>3491</v>
      </c>
      <c r="AM3" s="202"/>
      <c r="AN3" s="97" t="s">
        <v>3383</v>
      </c>
      <c r="AO3" s="97" t="s">
        <v>3384</v>
      </c>
    </row>
    <row r="4" spans="1:41" s="156" customFormat="1" ht="32.25" customHeight="1" thickBot="1" x14ac:dyDescent="0.35">
      <c r="A4" s="152">
        <v>200</v>
      </c>
      <c r="B4" s="235">
        <f>ROUNDUP(SUM(B8,B14,B20),0)</f>
        <v>5</v>
      </c>
      <c r="C4" s="235"/>
      <c r="D4" s="235">
        <f t="shared" ref="D4" si="0">ROUNDUP(SUM(D8,D14,D20),0)</f>
        <v>6</v>
      </c>
      <c r="E4" s="235"/>
      <c r="F4" s="235">
        <f t="shared" ref="F4" si="1">ROUNDUP(SUM(F8,F14,F20),0)</f>
        <v>3</v>
      </c>
      <c r="G4" s="235"/>
      <c r="H4" s="235">
        <f t="shared" ref="H4" si="2">ROUNDUP(SUM(H8,H14,H20),0)</f>
        <v>4</v>
      </c>
      <c r="I4" s="235"/>
      <c r="J4" s="235">
        <f t="shared" ref="J4" si="3">ROUNDUP(SUM(J8,J14,J20),0)</f>
        <v>3</v>
      </c>
      <c r="K4" s="235"/>
      <c r="L4" s="235">
        <f t="shared" ref="L4" si="4">ROUNDUP(SUM(L8,L14,L20),0)</f>
        <v>1</v>
      </c>
      <c r="M4" s="235"/>
      <c r="N4" s="235">
        <f t="shared" ref="N4" si="5">ROUNDUP(SUM(N8,N14,N20),0)</f>
        <v>3</v>
      </c>
      <c r="O4" s="235"/>
      <c r="P4" s="235">
        <f t="shared" ref="P4" si="6">ROUNDUP(SUM(P8,P14,P20),0)</f>
        <v>2</v>
      </c>
      <c r="Q4" s="235"/>
      <c r="R4" s="235">
        <f t="shared" ref="R4" si="7">ROUNDUP(SUM(R8,R14,R20),0)</f>
        <v>3</v>
      </c>
      <c r="S4" s="235"/>
      <c r="T4" s="235">
        <f t="shared" ref="T4" si="8">ROUNDUP(SUM(T8,T14,T20),0)</f>
        <v>4</v>
      </c>
      <c r="U4" s="235"/>
      <c r="V4" s="235">
        <f t="shared" ref="V4" si="9">ROUNDUP(SUM(V8,V14,V20),0)</f>
        <v>4</v>
      </c>
      <c r="W4" s="235"/>
      <c r="X4" s="235">
        <f t="shared" ref="X4" si="10">ROUNDUP(SUM(X8,X14,X20),0)</f>
        <v>3</v>
      </c>
      <c r="Y4" s="235"/>
      <c r="Z4" s="235">
        <f t="shared" ref="Z4" si="11">ROUNDUP(SUM(Z8,Z14,Z20),0)</f>
        <v>3</v>
      </c>
      <c r="AA4" s="235"/>
      <c r="AB4" s="235">
        <f t="shared" ref="AB4" si="12">ROUNDUP(SUM(AB8,AB14,AB20),0)</f>
        <v>2</v>
      </c>
      <c r="AC4" s="235"/>
      <c r="AD4" s="235">
        <f t="shared" ref="AD4" si="13">ROUNDUP(SUM(AD8,AD14,AD20),0)</f>
        <v>3</v>
      </c>
      <c r="AE4" s="235"/>
      <c r="AF4" s="235">
        <f t="shared" ref="AF4" si="14">ROUNDUP(SUM(AF8,AF14,AF20),0)</f>
        <v>3</v>
      </c>
      <c r="AG4" s="235"/>
      <c r="AH4" s="235">
        <f t="shared" ref="AH4" si="15">ROUNDUP(SUM(AH8,AH14,AH20),0)</f>
        <v>3</v>
      </c>
      <c r="AI4" s="235"/>
      <c r="AJ4" s="235">
        <f t="shared" ref="AJ4" si="16">ROUNDUP(SUM(AJ8,AJ14,AJ20),0)</f>
        <v>2</v>
      </c>
      <c r="AK4" s="235"/>
      <c r="AL4" s="235">
        <f t="shared" ref="AL4" si="17">ROUNDUP(SUM(AL8,AL14,AL20),0)</f>
        <v>0</v>
      </c>
      <c r="AM4" s="240"/>
      <c r="AN4" s="155">
        <f>AVERAGE(B4:AL4)</f>
        <v>3</v>
      </c>
      <c r="AO4" s="155">
        <f>ROUNDUP(AN4,0)</f>
        <v>3</v>
      </c>
    </row>
    <row r="5" spans="1:41" s="62" customFormat="1" ht="15.75" customHeight="1" x14ac:dyDescent="0.35">
      <c r="A5" s="65"/>
    </row>
    <row r="6" spans="1:41" s="62" customFormat="1" ht="21.75" thickBot="1" x14ac:dyDescent="0.4">
      <c r="A6" s="71" t="s">
        <v>3429</v>
      </c>
      <c r="B6" s="224" t="s">
        <v>3492</v>
      </c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</row>
    <row r="7" spans="1:41" s="90" customFormat="1" ht="15" customHeight="1" thickBot="1" x14ac:dyDescent="0.3">
      <c r="A7" s="118" t="s">
        <v>3381</v>
      </c>
      <c r="B7" s="222" t="s">
        <v>3372</v>
      </c>
      <c r="C7" s="223"/>
      <c r="D7" s="222" t="s">
        <v>3373</v>
      </c>
      <c r="E7" s="223"/>
      <c r="F7" s="201" t="s">
        <v>3374</v>
      </c>
      <c r="G7" s="202"/>
      <c r="H7" s="222" t="s">
        <v>3370</v>
      </c>
      <c r="I7" s="223"/>
      <c r="J7" s="222" t="s">
        <v>3371</v>
      </c>
      <c r="K7" s="223"/>
      <c r="L7" s="222" t="s">
        <v>3375</v>
      </c>
      <c r="M7" s="223"/>
      <c r="N7" s="222" t="s">
        <v>3367</v>
      </c>
      <c r="O7" s="223"/>
      <c r="P7" s="222" t="s">
        <v>3368</v>
      </c>
      <c r="Q7" s="223"/>
      <c r="R7" s="222" t="s">
        <v>3369</v>
      </c>
      <c r="S7" s="223"/>
      <c r="T7" s="201" t="s">
        <v>3358</v>
      </c>
      <c r="U7" s="202"/>
      <c r="V7" s="222" t="s">
        <v>3363</v>
      </c>
      <c r="W7" s="223"/>
      <c r="X7" s="222" t="s">
        <v>3361</v>
      </c>
      <c r="Y7" s="223"/>
      <c r="Z7" s="222" t="s">
        <v>3359</v>
      </c>
      <c r="AA7" s="223"/>
      <c r="AB7" s="222" t="s">
        <v>3366</v>
      </c>
      <c r="AC7" s="223"/>
      <c r="AD7" s="201" t="s">
        <v>3364</v>
      </c>
      <c r="AE7" s="202"/>
      <c r="AF7" s="222" t="s">
        <v>3360</v>
      </c>
      <c r="AG7" s="223"/>
      <c r="AH7" s="222" t="s">
        <v>3362</v>
      </c>
      <c r="AI7" s="223"/>
      <c r="AJ7" s="222" t="s">
        <v>3365</v>
      </c>
      <c r="AK7" s="223"/>
      <c r="AL7" s="201" t="s">
        <v>3491</v>
      </c>
      <c r="AM7" s="202"/>
      <c r="AN7" s="97" t="s">
        <v>3383</v>
      </c>
      <c r="AO7" s="97" t="s">
        <v>3384</v>
      </c>
    </row>
    <row r="8" spans="1:41" s="154" customFormat="1" ht="22.5" customHeight="1" thickBot="1" x14ac:dyDescent="0.35">
      <c r="A8" s="152">
        <v>200</v>
      </c>
      <c r="B8" s="226">
        <f>SUM(B9:C10)</f>
        <v>1.8333333333333333</v>
      </c>
      <c r="C8" s="226"/>
      <c r="D8" s="226">
        <f>SUM(D9:E10)</f>
        <v>2.1666666666666665</v>
      </c>
      <c r="E8" s="226"/>
      <c r="F8" s="226">
        <f>SUM(F9:G10)</f>
        <v>0.94444444444444442</v>
      </c>
      <c r="G8" s="226"/>
      <c r="H8" s="226">
        <f>SUM(H9:I10)</f>
        <v>1.2222222222222223</v>
      </c>
      <c r="I8" s="226"/>
      <c r="J8" s="226">
        <f>SUM(J9:K10)</f>
        <v>1.2777777777777779</v>
      </c>
      <c r="K8" s="226"/>
      <c r="L8" s="226">
        <f>SUM(L9:M10)</f>
        <v>0</v>
      </c>
      <c r="M8" s="226"/>
      <c r="N8" s="226">
        <f>SUM(N9:O10)</f>
        <v>1.0555555555555556</v>
      </c>
      <c r="O8" s="226"/>
      <c r="P8" s="226">
        <f>SUM(P9:Q10)</f>
        <v>0.83333333333333326</v>
      </c>
      <c r="Q8" s="226"/>
      <c r="R8" s="226">
        <f>SUM(R9:S10)</f>
        <v>0.83333333333333326</v>
      </c>
      <c r="S8" s="226"/>
      <c r="T8" s="226">
        <f>SUM(T9:U10)</f>
        <v>1.5</v>
      </c>
      <c r="U8" s="226"/>
      <c r="V8" s="226">
        <f>SUM(V9:W10)</f>
        <v>1.6111111111111112</v>
      </c>
      <c r="W8" s="226"/>
      <c r="X8" s="226">
        <f>SUM(X9:Y10)</f>
        <v>1.1111111111111112</v>
      </c>
      <c r="Y8" s="226"/>
      <c r="Z8" s="226">
        <f>SUM(Z9:AA10)</f>
        <v>0.66666666666666674</v>
      </c>
      <c r="AA8" s="226"/>
      <c r="AB8" s="226">
        <f>SUM(AB9:AC10)</f>
        <v>0.72222222222222221</v>
      </c>
      <c r="AC8" s="226"/>
      <c r="AD8" s="226">
        <f>SUM(AD9:AE10)</f>
        <v>0.27777777777777779</v>
      </c>
      <c r="AE8" s="226"/>
      <c r="AF8" s="226">
        <f>SUM(AF9:AG10)</f>
        <v>0.61111111111111116</v>
      </c>
      <c r="AG8" s="226"/>
      <c r="AH8" s="226">
        <f>SUM(AH9:AI10)</f>
        <v>0.77777777777777779</v>
      </c>
      <c r="AI8" s="226"/>
      <c r="AJ8" s="226">
        <f>SUM(AJ9:AK10)</f>
        <v>0.33333333333333331</v>
      </c>
      <c r="AK8" s="226"/>
      <c r="AL8" s="226"/>
      <c r="AM8" s="227"/>
      <c r="AN8" s="153">
        <f>AVERAGE(B8:AL8)</f>
        <v>0.98765432098765416</v>
      </c>
      <c r="AO8" s="153">
        <f>ROUNDUP(AN8,0)</f>
        <v>1</v>
      </c>
    </row>
    <row r="9" spans="1:41" s="90" customFormat="1" x14ac:dyDescent="0.25">
      <c r="A9" s="122" t="s">
        <v>3389</v>
      </c>
      <c r="B9" s="205">
        <f>IFERROR(SUM(((C28)*$A$8)/3600)," ")</f>
        <v>0.44444444444444442</v>
      </c>
      <c r="C9" s="205"/>
      <c r="D9" s="205">
        <f>IFERROR(SUM(((E28)*$A$8)/3600)," ")</f>
        <v>0.27777777777777779</v>
      </c>
      <c r="E9" s="205"/>
      <c r="F9" s="205">
        <f>IFERROR(SUM(((G28)*$A$8)/3600)," ")</f>
        <v>0.22222222222222221</v>
      </c>
      <c r="G9" s="205"/>
      <c r="H9" s="205">
        <f>IFERROR(SUM(((I28)*$A$8)/3600)," ")</f>
        <v>0.16666666666666666</v>
      </c>
      <c r="I9" s="205"/>
      <c r="J9" s="205">
        <f>IFERROR(SUM(((K28)*$A$8)/3600)," ")</f>
        <v>0.16666666666666666</v>
      </c>
      <c r="K9" s="205"/>
      <c r="L9" s="205">
        <f>IFERROR(SUM(((M28)*$A$8)/3600)," ")</f>
        <v>0</v>
      </c>
      <c r="M9" s="205"/>
      <c r="N9" s="205">
        <f>IFERROR(SUM(((O28)*$A$8)/3600)," ")</f>
        <v>0.33333333333333331</v>
      </c>
      <c r="O9" s="205"/>
      <c r="P9" s="205">
        <f>IFERROR(SUM(((Q28)*$A$8)/3600)," ")</f>
        <v>0.16666666666666666</v>
      </c>
      <c r="Q9" s="205"/>
      <c r="R9" s="205">
        <f>IFERROR(SUM(((S28)*$A$8)/3600)," ")</f>
        <v>0.16666666666666666</v>
      </c>
      <c r="S9" s="205"/>
      <c r="T9" s="205">
        <f>IFERROR(SUM(((U28)*$A$8)/3600)," ")</f>
        <v>0.1111111111111111</v>
      </c>
      <c r="U9" s="205"/>
      <c r="V9" s="205">
        <f>IFERROR(SUM(((W28)*$A$8)/3600)," ")</f>
        <v>0.22222222222222221</v>
      </c>
      <c r="W9" s="205"/>
      <c r="X9" s="205">
        <f>IFERROR(SUM(((Y28)*$A$8)/3600)," ")</f>
        <v>0.1111111111111111</v>
      </c>
      <c r="Y9" s="205"/>
      <c r="Z9" s="205">
        <f>IFERROR(SUM(((AA28)*$A$8)/3600)," ")</f>
        <v>0.1111111111111111</v>
      </c>
      <c r="AA9" s="205"/>
      <c r="AB9" s="205">
        <f>IFERROR(SUM(((AC28)*$A$8)/3600)," ")</f>
        <v>5.5555555555555552E-2</v>
      </c>
      <c r="AC9" s="205"/>
      <c r="AD9" s="205">
        <f>IFERROR(SUM(((AE28)*$A$8)/3600)," ")</f>
        <v>0</v>
      </c>
      <c r="AE9" s="205"/>
      <c r="AF9" s="205">
        <f>IFERROR(SUM(((AG28)*$A$8)/3600)," ")</f>
        <v>0.33333333333333331</v>
      </c>
      <c r="AG9" s="205"/>
      <c r="AH9" s="205">
        <f>IFERROR(SUM(((AI28)*$A$8)/3600)," ")</f>
        <v>0.27777777777777779</v>
      </c>
      <c r="AI9" s="205"/>
      <c r="AJ9" s="205">
        <f>IFERROR(SUM(((AK28)*$A$8)/3600)," ")</f>
        <v>0</v>
      </c>
      <c r="AK9" s="205"/>
      <c r="AL9" s="205">
        <f>IFERROR(SUM(((AM28)*$A$8)/3600)," ")</f>
        <v>0</v>
      </c>
      <c r="AM9" s="206"/>
      <c r="AN9" s="96">
        <f>AVERAGE(B9:AL9)</f>
        <v>0.16666666666666669</v>
      </c>
      <c r="AO9" s="96">
        <f>ROUNDUP(AN9,0)</f>
        <v>1</v>
      </c>
    </row>
    <row r="10" spans="1:41" s="90" customFormat="1" ht="15.75" thickBot="1" x14ac:dyDescent="0.3">
      <c r="A10" s="119" t="s">
        <v>3390</v>
      </c>
      <c r="B10" s="207">
        <f>IFERROR(SUM(((C29)*$A$8)/3600)," ")</f>
        <v>1.3888888888888888</v>
      </c>
      <c r="C10" s="207"/>
      <c r="D10" s="207">
        <f>IFERROR(SUM(((E29)*$A$8)/3600)," ")</f>
        <v>1.8888888888888888</v>
      </c>
      <c r="E10" s="207"/>
      <c r="F10" s="207">
        <f>IFERROR(SUM(((G29)*$A$8)/3600)," ")</f>
        <v>0.72222222222222221</v>
      </c>
      <c r="G10" s="207"/>
      <c r="H10" s="207">
        <f>IFERROR(SUM(((I29)*$A$8)/3600)," ")</f>
        <v>1.0555555555555556</v>
      </c>
      <c r="I10" s="207"/>
      <c r="J10" s="207">
        <f>IFERROR(SUM(((K29)*$A$8)/3600)," ")</f>
        <v>1.1111111111111112</v>
      </c>
      <c r="K10" s="207"/>
      <c r="L10" s="207">
        <f>IFERROR(SUM(((M29)*$A$8)/3600)," ")</f>
        <v>0</v>
      </c>
      <c r="M10" s="207"/>
      <c r="N10" s="207">
        <f>IFERROR(SUM(((O29)*$A$8)/3600)," ")</f>
        <v>0.72222222222222221</v>
      </c>
      <c r="O10" s="207"/>
      <c r="P10" s="207">
        <f>IFERROR(SUM(((Q29)*$A$8)/3600)," ")</f>
        <v>0.66666666666666663</v>
      </c>
      <c r="Q10" s="207"/>
      <c r="R10" s="207">
        <f>IFERROR(SUM(((S29)*$A$8)/3600)," ")</f>
        <v>0.66666666666666663</v>
      </c>
      <c r="S10" s="207"/>
      <c r="T10" s="207">
        <f>IFERROR(SUM(((U29)*$A$8)/3600)," ")</f>
        <v>1.3888888888888888</v>
      </c>
      <c r="U10" s="207"/>
      <c r="V10" s="207">
        <f>IFERROR(SUM(((W29)*$A$8)/3600)," ")</f>
        <v>1.3888888888888888</v>
      </c>
      <c r="W10" s="207"/>
      <c r="X10" s="207">
        <f>IFERROR(SUM(((Y29)*$A$8)/3600)," ")</f>
        <v>1</v>
      </c>
      <c r="Y10" s="207"/>
      <c r="Z10" s="207">
        <f>IFERROR(SUM(((AA29)*$A$8)/3600)," ")</f>
        <v>0.55555555555555558</v>
      </c>
      <c r="AA10" s="207"/>
      <c r="AB10" s="207">
        <f>IFERROR(SUM(((AC29)*$A$8)/3600)," ")</f>
        <v>0.66666666666666663</v>
      </c>
      <c r="AC10" s="207"/>
      <c r="AD10" s="207">
        <f>IFERROR(SUM(((AE29)*$A$8)/3600)," ")</f>
        <v>0.27777777777777779</v>
      </c>
      <c r="AE10" s="207"/>
      <c r="AF10" s="207">
        <f>IFERROR(SUM(((AG29)*$A$8)/3600)," ")</f>
        <v>0.27777777777777779</v>
      </c>
      <c r="AG10" s="207"/>
      <c r="AH10" s="207">
        <f>IFERROR(SUM(((AI29)*$A$8)/3600)," ")</f>
        <v>0.5</v>
      </c>
      <c r="AI10" s="207"/>
      <c r="AJ10" s="207">
        <f>IFERROR(SUM(((AK29)*$A$8)/3600)," ")</f>
        <v>0.33333333333333331</v>
      </c>
      <c r="AK10" s="207"/>
      <c r="AL10" s="207"/>
      <c r="AM10" s="208"/>
      <c r="AN10" s="96">
        <f>AVERAGE(B10:AL10)</f>
        <v>0.81172839506172845</v>
      </c>
      <c r="AO10" s="96">
        <f>ROUNDUP(AN10,0)</f>
        <v>1</v>
      </c>
    </row>
    <row r="11" spans="1:41" s="90" customFormat="1" ht="12" x14ac:dyDescent="0.2">
      <c r="A11" s="95"/>
    </row>
    <row r="12" spans="1:41" s="62" customFormat="1" ht="21.75" thickBot="1" x14ac:dyDescent="0.4">
      <c r="A12" s="71" t="s">
        <v>3396</v>
      </c>
      <c r="B12" s="224" t="s">
        <v>3492</v>
      </c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</row>
    <row r="13" spans="1:41" s="90" customFormat="1" ht="15" customHeight="1" thickBot="1" x14ac:dyDescent="0.3">
      <c r="A13" s="118" t="s">
        <v>3381</v>
      </c>
      <c r="B13" s="222" t="s">
        <v>3372</v>
      </c>
      <c r="C13" s="223"/>
      <c r="D13" s="222" t="s">
        <v>3373</v>
      </c>
      <c r="E13" s="223"/>
      <c r="F13" s="201" t="s">
        <v>3374</v>
      </c>
      <c r="G13" s="202"/>
      <c r="H13" s="222" t="s">
        <v>3370</v>
      </c>
      <c r="I13" s="223"/>
      <c r="J13" s="222" t="s">
        <v>3371</v>
      </c>
      <c r="K13" s="223"/>
      <c r="L13" s="222" t="s">
        <v>3375</v>
      </c>
      <c r="M13" s="223"/>
      <c r="N13" s="222" t="s">
        <v>3367</v>
      </c>
      <c r="O13" s="223"/>
      <c r="P13" s="222" t="s">
        <v>3368</v>
      </c>
      <c r="Q13" s="223"/>
      <c r="R13" s="222" t="s">
        <v>3369</v>
      </c>
      <c r="S13" s="223"/>
      <c r="T13" s="201" t="s">
        <v>3358</v>
      </c>
      <c r="U13" s="202"/>
      <c r="V13" s="222" t="s">
        <v>3363</v>
      </c>
      <c r="W13" s="223"/>
      <c r="X13" s="222" t="s">
        <v>3361</v>
      </c>
      <c r="Y13" s="223"/>
      <c r="Z13" s="222" t="s">
        <v>3359</v>
      </c>
      <c r="AA13" s="223"/>
      <c r="AB13" s="222" t="s">
        <v>3366</v>
      </c>
      <c r="AC13" s="223"/>
      <c r="AD13" s="201" t="s">
        <v>3364</v>
      </c>
      <c r="AE13" s="202"/>
      <c r="AF13" s="222" t="s">
        <v>3360</v>
      </c>
      <c r="AG13" s="223"/>
      <c r="AH13" s="222" t="s">
        <v>3362</v>
      </c>
      <c r="AI13" s="223"/>
      <c r="AJ13" s="222" t="s">
        <v>3365</v>
      </c>
      <c r="AK13" s="223"/>
      <c r="AL13" s="201" t="s">
        <v>3491</v>
      </c>
      <c r="AM13" s="202"/>
      <c r="AN13" s="97" t="s">
        <v>3383</v>
      </c>
      <c r="AO13" s="97" t="s">
        <v>3384</v>
      </c>
    </row>
    <row r="14" spans="1:41" s="154" customFormat="1" ht="22.5" customHeight="1" thickBot="1" x14ac:dyDescent="0.35">
      <c r="A14" s="152">
        <v>200</v>
      </c>
      <c r="B14" s="226">
        <f>SUM(B15:C16)</f>
        <v>1.5</v>
      </c>
      <c r="C14" s="226"/>
      <c r="D14" s="226">
        <f>SUM(D15:E16)</f>
        <v>2.5555555555555554</v>
      </c>
      <c r="E14" s="226"/>
      <c r="F14" s="226">
        <f>SUM(F15:G16)</f>
        <v>0.88888888888888884</v>
      </c>
      <c r="G14" s="226"/>
      <c r="H14" s="226">
        <f>SUM(H15:I16)</f>
        <v>1.1666666666666665</v>
      </c>
      <c r="I14" s="226"/>
      <c r="J14" s="226">
        <f>SUM(J15:K16)</f>
        <v>0.88888888888888884</v>
      </c>
      <c r="K14" s="226"/>
      <c r="L14" s="226">
        <f>SUM(L15:M16)</f>
        <v>0</v>
      </c>
      <c r="M14" s="226"/>
      <c r="N14" s="226">
        <f>SUM(N15:O16)</f>
        <v>0.61111111111111116</v>
      </c>
      <c r="O14" s="226"/>
      <c r="P14" s="226">
        <f>SUM(P15:Q16)</f>
        <v>0.44444444444444442</v>
      </c>
      <c r="Q14" s="226"/>
      <c r="R14" s="226">
        <f>SUM(R15:S16)</f>
        <v>0.88888888888888884</v>
      </c>
      <c r="S14" s="226"/>
      <c r="T14" s="226">
        <f>SUM(T15:U16)</f>
        <v>1.3333333333333333</v>
      </c>
      <c r="U14" s="226"/>
      <c r="V14" s="226">
        <f>SUM(V15:W16)</f>
        <v>1.4444444444444444</v>
      </c>
      <c r="W14" s="226"/>
      <c r="X14" s="226">
        <f>SUM(X15:Y16)</f>
        <v>1.6111111111111112</v>
      </c>
      <c r="Y14" s="226"/>
      <c r="Z14" s="226">
        <f>SUM(Z15:AA16)</f>
        <v>0.77777777777777779</v>
      </c>
      <c r="AA14" s="226"/>
      <c r="AB14" s="226">
        <f>SUM(AB15:AC16)</f>
        <v>0.61111111111111105</v>
      </c>
      <c r="AC14" s="226"/>
      <c r="AD14" s="226">
        <f>SUM(AD15:AE16)</f>
        <v>1</v>
      </c>
      <c r="AE14" s="226"/>
      <c r="AF14" s="226">
        <f>SUM(AF15:AG16)</f>
        <v>1.1111111111111112</v>
      </c>
      <c r="AG14" s="226"/>
      <c r="AH14" s="226">
        <f>SUM(AH15:AI16)</f>
        <v>1.7222222222222223</v>
      </c>
      <c r="AI14" s="226"/>
      <c r="AJ14" s="226">
        <f>SUM(AJ15:AK16)</f>
        <v>0.88888888888888884</v>
      </c>
      <c r="AK14" s="226"/>
      <c r="AL14" s="226"/>
      <c r="AM14" s="227"/>
      <c r="AN14" s="153">
        <f>AVERAGE(B14:AL14)</f>
        <v>1.080246913580247</v>
      </c>
      <c r="AO14" s="153">
        <f>ROUNDUP(AN14,0)</f>
        <v>2</v>
      </c>
    </row>
    <row r="15" spans="1:41" s="90" customFormat="1" ht="15.75" thickBot="1" x14ac:dyDescent="0.3">
      <c r="A15" s="151" t="s">
        <v>3385</v>
      </c>
      <c r="B15" s="205">
        <f>IFERROR(SUM(((C34)*$A$8)/3600)," ")</f>
        <v>0.72222222222222221</v>
      </c>
      <c r="C15" s="205"/>
      <c r="D15" s="205">
        <f>IFERROR(SUM(((E34)*$A$8)/3600)," ")</f>
        <v>1.1666666666666667</v>
      </c>
      <c r="E15" s="205"/>
      <c r="F15" s="205">
        <f>IFERROR(SUM(((G34)*$A$8)/3600)," ")</f>
        <v>0.44444444444444442</v>
      </c>
      <c r="G15" s="205"/>
      <c r="H15" s="205">
        <f>IFERROR(SUM(((I34)*$A$8)/3600)," ")</f>
        <v>0.5</v>
      </c>
      <c r="I15" s="205"/>
      <c r="J15" s="205">
        <f>IFERROR(SUM(((K34)*$A$8)/3600)," ")</f>
        <v>0.22222222222222221</v>
      </c>
      <c r="K15" s="205"/>
      <c r="L15" s="205">
        <f>IFERROR(SUM(((M34)*$A$8)/3600)," ")</f>
        <v>0</v>
      </c>
      <c r="M15" s="205"/>
      <c r="N15" s="205">
        <f>IFERROR(SUM(((O34)*$A$8)/3600)," ")</f>
        <v>0.22222222222222221</v>
      </c>
      <c r="O15" s="205"/>
      <c r="P15" s="205">
        <f>IFERROR(SUM(((Q34)*$A$8)/3600)," ")</f>
        <v>0.16666666666666666</v>
      </c>
      <c r="Q15" s="205"/>
      <c r="R15" s="205">
        <f>IFERROR(SUM(((S34)*$A$8)/3600)," ")</f>
        <v>0.22222222222222221</v>
      </c>
      <c r="S15" s="205"/>
      <c r="T15" s="205">
        <f>IFERROR(SUM(((U34)*$A$8)/3600)," ")</f>
        <v>0.66666666666666663</v>
      </c>
      <c r="U15" s="205"/>
      <c r="V15" s="205">
        <f>IFERROR(SUM(((W34)*$A$8)/3600)," ")</f>
        <v>0.72222222222222221</v>
      </c>
      <c r="W15" s="205"/>
      <c r="X15" s="205">
        <f>IFERROR(SUM(((Y34)*$A$8)/3600)," ")</f>
        <v>0.77777777777777779</v>
      </c>
      <c r="Y15" s="205"/>
      <c r="Z15" s="205">
        <f>IFERROR(SUM(((AA34)*$A$8)/3600)," ")</f>
        <v>0.27777777777777779</v>
      </c>
      <c r="AA15" s="205"/>
      <c r="AB15" s="205">
        <f>IFERROR(SUM(((AC34)*$A$8)/3600)," ")</f>
        <v>0.16666666666666666</v>
      </c>
      <c r="AC15" s="205"/>
      <c r="AD15" s="205">
        <f>IFERROR(SUM(((AE34)*$A$8)/3600)," ")</f>
        <v>0.33333333333333331</v>
      </c>
      <c r="AE15" s="205"/>
      <c r="AF15" s="205">
        <f>IFERROR(SUM(((AG34)*$A$8)/3600)," ")</f>
        <v>0.83333333333333337</v>
      </c>
      <c r="AG15" s="205"/>
      <c r="AH15" s="205">
        <f>IFERROR(SUM(((AI34)*$A$8)/3600)," ")</f>
        <v>1.1666666666666667</v>
      </c>
      <c r="AI15" s="205"/>
      <c r="AJ15" s="205">
        <f>IFERROR(SUM(((AK34)*$A$8)/3600)," ")</f>
        <v>0.66666666666666663</v>
      </c>
      <c r="AK15" s="205"/>
      <c r="AL15" s="205">
        <f>IFERROR(SUM(((AM34)*$A$8)/3600)," ")</f>
        <v>0</v>
      </c>
      <c r="AM15" s="205"/>
      <c r="AN15" s="96">
        <f>AVERAGE(B15:AL15)</f>
        <v>0.48830409356725141</v>
      </c>
      <c r="AO15" s="96">
        <f>ROUNDUP(AN15,0)</f>
        <v>1</v>
      </c>
    </row>
    <row r="16" spans="1:41" s="90" customFormat="1" x14ac:dyDescent="0.25">
      <c r="A16" s="151" t="s">
        <v>3386</v>
      </c>
      <c r="B16" s="205">
        <f>IFERROR(SUM(((C35)*$A$8)/3600)," ")</f>
        <v>0.77777777777777779</v>
      </c>
      <c r="C16" s="205"/>
      <c r="D16" s="205">
        <f>IFERROR(SUM(((E35)*$A$8)/3600)," ")</f>
        <v>1.3888888888888888</v>
      </c>
      <c r="E16" s="205"/>
      <c r="F16" s="205">
        <f>IFERROR(SUM(((G35)*$A$8)/3600)," ")</f>
        <v>0.44444444444444442</v>
      </c>
      <c r="G16" s="205"/>
      <c r="H16" s="205">
        <f>IFERROR(SUM(((I35)*$A$8)/3600)," ")</f>
        <v>0.66666666666666663</v>
      </c>
      <c r="I16" s="205"/>
      <c r="J16" s="205">
        <f>IFERROR(SUM(((K35)*$A$8)/3600)," ")</f>
        <v>0.66666666666666663</v>
      </c>
      <c r="K16" s="205"/>
      <c r="L16" s="205">
        <f>IFERROR(SUM(((M35)*$A$8)/3600)," ")</f>
        <v>0</v>
      </c>
      <c r="M16" s="205"/>
      <c r="N16" s="205">
        <f>IFERROR(SUM(((O35)*$A$8)/3600)," ")</f>
        <v>0.3888888888888889</v>
      </c>
      <c r="O16" s="205"/>
      <c r="P16" s="205">
        <f>IFERROR(SUM(((Q35)*$A$8)/3600)," ")</f>
        <v>0.27777777777777779</v>
      </c>
      <c r="Q16" s="205"/>
      <c r="R16" s="205">
        <f>IFERROR(SUM(((S35)*$A$8)/3600)," ")</f>
        <v>0.66666666666666663</v>
      </c>
      <c r="S16" s="205"/>
      <c r="T16" s="205">
        <f>IFERROR(SUM(((U35)*$A$8)/3600)," ")</f>
        <v>0.66666666666666663</v>
      </c>
      <c r="U16" s="205"/>
      <c r="V16" s="205">
        <f>IFERROR(SUM(((W35)*$A$8)/3600)," ")</f>
        <v>0.72222222222222221</v>
      </c>
      <c r="W16" s="205"/>
      <c r="X16" s="205">
        <f>IFERROR(SUM(((Y35)*$A$8)/3600)," ")</f>
        <v>0.83333333333333337</v>
      </c>
      <c r="Y16" s="205"/>
      <c r="Z16" s="205">
        <f>IFERROR(SUM(((AA35)*$A$8)/3600)," ")</f>
        <v>0.5</v>
      </c>
      <c r="AA16" s="205"/>
      <c r="AB16" s="205">
        <f>IFERROR(SUM(((AC35)*$A$8)/3600)," ")</f>
        <v>0.44444444444444442</v>
      </c>
      <c r="AC16" s="205"/>
      <c r="AD16" s="205">
        <f>IFERROR(SUM(((AE35)*$A$8)/3600)," ")</f>
        <v>0.66666666666666663</v>
      </c>
      <c r="AE16" s="205"/>
      <c r="AF16" s="205">
        <f>IFERROR(SUM(((AG35)*$A$8)/3600)," ")</f>
        <v>0.27777777777777779</v>
      </c>
      <c r="AG16" s="205"/>
      <c r="AH16" s="205">
        <f>IFERROR(SUM(((AI35)*$A$8)/3600)," ")</f>
        <v>0.55555555555555558</v>
      </c>
      <c r="AI16" s="205"/>
      <c r="AJ16" s="205">
        <f>IFERROR(SUM(((AK35)*$A$8)/3600)," ")</f>
        <v>0.22222222222222221</v>
      </c>
      <c r="AK16" s="205"/>
      <c r="AL16" s="205">
        <f>IFERROR(SUM(((AM35)*$A$8)/3600)," ")</f>
        <v>0</v>
      </c>
      <c r="AM16" s="205"/>
      <c r="AN16" s="96">
        <f>AVERAGE(B16:AL16)</f>
        <v>0.53508771929824561</v>
      </c>
      <c r="AO16" s="96">
        <f>ROUNDUP(AN16,0)</f>
        <v>1</v>
      </c>
    </row>
    <row r="17" spans="1:41" s="90" customFormat="1" ht="12" x14ac:dyDescent="0.2">
      <c r="A17" s="95"/>
    </row>
    <row r="18" spans="1:41" s="62" customFormat="1" ht="21.75" thickBot="1" x14ac:dyDescent="0.4">
      <c r="A18" s="71" t="s">
        <v>3404</v>
      </c>
      <c r="B18" s="224" t="s">
        <v>3492</v>
      </c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</row>
    <row r="19" spans="1:41" s="90" customFormat="1" ht="15" customHeight="1" thickBot="1" x14ac:dyDescent="0.3">
      <c r="A19" s="118" t="s">
        <v>3381</v>
      </c>
      <c r="B19" s="222" t="s">
        <v>3372</v>
      </c>
      <c r="C19" s="223"/>
      <c r="D19" s="222" t="s">
        <v>3373</v>
      </c>
      <c r="E19" s="223"/>
      <c r="F19" s="201" t="s">
        <v>3374</v>
      </c>
      <c r="G19" s="202"/>
      <c r="H19" s="222" t="s">
        <v>3370</v>
      </c>
      <c r="I19" s="223"/>
      <c r="J19" s="222" t="s">
        <v>3371</v>
      </c>
      <c r="K19" s="223"/>
      <c r="L19" s="222" t="s">
        <v>3375</v>
      </c>
      <c r="M19" s="223"/>
      <c r="N19" s="222" t="s">
        <v>3367</v>
      </c>
      <c r="O19" s="223"/>
      <c r="P19" s="222" t="s">
        <v>3368</v>
      </c>
      <c r="Q19" s="223"/>
      <c r="R19" s="222" t="s">
        <v>3369</v>
      </c>
      <c r="S19" s="223"/>
      <c r="T19" s="201" t="s">
        <v>3358</v>
      </c>
      <c r="U19" s="202"/>
      <c r="V19" s="222" t="s">
        <v>3363</v>
      </c>
      <c r="W19" s="223"/>
      <c r="X19" s="222" t="s">
        <v>3361</v>
      </c>
      <c r="Y19" s="223"/>
      <c r="Z19" s="222" t="s">
        <v>3359</v>
      </c>
      <c r="AA19" s="223"/>
      <c r="AB19" s="222" t="s">
        <v>3366</v>
      </c>
      <c r="AC19" s="223"/>
      <c r="AD19" s="201" t="s">
        <v>3364</v>
      </c>
      <c r="AE19" s="202"/>
      <c r="AF19" s="222" t="s">
        <v>3360</v>
      </c>
      <c r="AG19" s="223"/>
      <c r="AH19" s="222" t="s">
        <v>3362</v>
      </c>
      <c r="AI19" s="223"/>
      <c r="AJ19" s="222" t="s">
        <v>3365</v>
      </c>
      <c r="AK19" s="223"/>
      <c r="AL19" s="201" t="s">
        <v>3491</v>
      </c>
      <c r="AM19" s="202"/>
      <c r="AN19" s="97" t="s">
        <v>3383</v>
      </c>
      <c r="AO19" s="97" t="s">
        <v>3384</v>
      </c>
    </row>
    <row r="20" spans="1:41" s="154" customFormat="1" ht="22.5" customHeight="1" thickBot="1" x14ac:dyDescent="0.35">
      <c r="A20" s="152">
        <v>200</v>
      </c>
      <c r="B20" s="226">
        <f>SUM(B21:C22)</f>
        <v>1.2222222222222223</v>
      </c>
      <c r="C20" s="226"/>
      <c r="D20" s="226">
        <f>SUM(D21:E22)</f>
        <v>1</v>
      </c>
      <c r="E20" s="226"/>
      <c r="F20" s="226">
        <f>SUM(F21:G22)</f>
        <v>0.61111111111111116</v>
      </c>
      <c r="G20" s="226"/>
      <c r="H20" s="226">
        <f>SUM(H21:I22)</f>
        <v>0.83333333333333337</v>
      </c>
      <c r="I20" s="226"/>
      <c r="J20" s="226">
        <f>SUM(J21:K22)</f>
        <v>0.5</v>
      </c>
      <c r="K20" s="226"/>
      <c r="L20" s="226">
        <f>SUM(L21:M22)</f>
        <v>0.16666666666666666</v>
      </c>
      <c r="M20" s="226"/>
      <c r="N20" s="226">
        <f>SUM(N21:O22)</f>
        <v>1.1666666666666667</v>
      </c>
      <c r="O20" s="226"/>
      <c r="P20" s="226">
        <f>SUM(P21:Q22)</f>
        <v>0.27777777777777779</v>
      </c>
      <c r="Q20" s="226"/>
      <c r="R20" s="226">
        <f>SUM(R21:S22)</f>
        <v>0.77777777777777779</v>
      </c>
      <c r="S20" s="226"/>
      <c r="T20" s="226">
        <f>SUM(T21:U22)</f>
        <v>0.55555555555555558</v>
      </c>
      <c r="U20" s="226"/>
      <c r="V20" s="226">
        <f>SUM(V21:W22)</f>
        <v>0.61111111111111116</v>
      </c>
      <c r="W20" s="226"/>
      <c r="X20" s="226">
        <f>SUM(X21:Y22)</f>
        <v>0.22222222222222221</v>
      </c>
      <c r="Y20" s="226"/>
      <c r="Z20" s="226">
        <f>SUM(Z21:AA22)</f>
        <v>0.83333333333333337</v>
      </c>
      <c r="AA20" s="226"/>
      <c r="AB20" s="226">
        <f>SUM(AB21:AC22)</f>
        <v>0.3888888888888889</v>
      </c>
      <c r="AC20" s="226"/>
      <c r="AD20" s="226">
        <f>SUM(AD21:AE22)</f>
        <v>0.83333333333333337</v>
      </c>
      <c r="AE20" s="226"/>
      <c r="AF20" s="226">
        <f>SUM(AF21:AG22)</f>
        <v>1</v>
      </c>
      <c r="AG20" s="226"/>
      <c r="AH20" s="226">
        <f>SUM(AH21:AI22)</f>
        <v>0.33333333333333331</v>
      </c>
      <c r="AI20" s="226"/>
      <c r="AJ20" s="226">
        <f>SUM(AJ21:AK22)</f>
        <v>0.33333333333333331</v>
      </c>
      <c r="AK20" s="226"/>
      <c r="AL20" s="226"/>
      <c r="AM20" s="227"/>
      <c r="AN20" s="153">
        <f>AVERAGE(B20:AL20)</f>
        <v>0.64814814814814836</v>
      </c>
      <c r="AO20" s="153">
        <f>ROUNDUP(AN20,0)</f>
        <v>1</v>
      </c>
    </row>
    <row r="21" spans="1:41" s="90" customFormat="1" ht="15.75" thickBot="1" x14ac:dyDescent="0.3">
      <c r="A21" s="151" t="s">
        <v>3488</v>
      </c>
      <c r="B21" s="205">
        <f>IFERROR(SUM(((C40)*$A$8)/3600)," ")</f>
        <v>0</v>
      </c>
      <c r="C21" s="205"/>
      <c r="D21" s="205">
        <f t="shared" ref="D21:D22" si="18">IFERROR(SUM(((E40)*$A$8)/3600)," ")</f>
        <v>0</v>
      </c>
      <c r="E21" s="205"/>
      <c r="F21" s="205">
        <f t="shared" ref="F21:F22" si="19">IFERROR(SUM(((G40)*$A$8)/3600)," ")</f>
        <v>0</v>
      </c>
      <c r="G21" s="205"/>
      <c r="H21" s="205">
        <f t="shared" ref="H21:H22" si="20">IFERROR(SUM(((I40)*$A$8)/3600)," ")</f>
        <v>0</v>
      </c>
      <c r="I21" s="205"/>
      <c r="J21" s="205">
        <f t="shared" ref="J21:J22" si="21">IFERROR(SUM(((K40)*$A$8)/3600)," ")</f>
        <v>0</v>
      </c>
      <c r="K21" s="205"/>
      <c r="L21" s="205">
        <f t="shared" ref="L21:L22" si="22">IFERROR(SUM(((M40)*$A$8)/3600)," ")</f>
        <v>0</v>
      </c>
      <c r="M21" s="205"/>
      <c r="N21" s="205">
        <f t="shared" ref="N21:N22" si="23">IFERROR(SUM(((O40)*$A$8)/3600)," ")</f>
        <v>0</v>
      </c>
      <c r="O21" s="205"/>
      <c r="P21" s="205">
        <f t="shared" ref="P21:P22" si="24">IFERROR(SUM(((Q40)*$A$8)/3600)," ")</f>
        <v>0</v>
      </c>
      <c r="Q21" s="205"/>
      <c r="R21" s="205">
        <f t="shared" ref="R21:R22" si="25">IFERROR(SUM(((S40)*$A$8)/3600)," ")</f>
        <v>0</v>
      </c>
      <c r="S21" s="205"/>
      <c r="T21" s="205">
        <f t="shared" ref="T21:T22" si="26">IFERROR(SUM(((U40)*$A$8)/3600)," ")</f>
        <v>0</v>
      </c>
      <c r="U21" s="205"/>
      <c r="V21" s="205">
        <f t="shared" ref="V21:V22" si="27">IFERROR(SUM(((W40)*$A$8)/3600)," ")</f>
        <v>0</v>
      </c>
      <c r="W21" s="205"/>
      <c r="X21" s="205">
        <f t="shared" ref="X21:X22" si="28">IFERROR(SUM(((Y40)*$A$8)/3600)," ")</f>
        <v>0</v>
      </c>
      <c r="Y21" s="205"/>
      <c r="Z21" s="205">
        <f t="shared" ref="Z21:Z22" si="29">IFERROR(SUM(((AA40)*$A$8)/3600)," ")</f>
        <v>0</v>
      </c>
      <c r="AA21" s="205"/>
      <c r="AB21" s="205">
        <f t="shared" ref="AB21:AB22" si="30">IFERROR(SUM(((AC40)*$A$8)/3600)," ")</f>
        <v>0</v>
      </c>
      <c r="AC21" s="205"/>
      <c r="AD21" s="205">
        <f t="shared" ref="AD21:AD22" si="31">IFERROR(SUM(((AE40)*$A$8)/3600)," ")</f>
        <v>0</v>
      </c>
      <c r="AE21" s="205"/>
      <c r="AF21" s="205">
        <f t="shared" ref="AF21:AF22" si="32">IFERROR(SUM(((AG40)*$A$8)/3600)," ")</f>
        <v>0</v>
      </c>
      <c r="AG21" s="205"/>
      <c r="AH21" s="205">
        <f t="shared" ref="AH21:AH22" si="33">IFERROR(SUM(((AI40)*$A$8)/3600)," ")</f>
        <v>0</v>
      </c>
      <c r="AI21" s="205"/>
      <c r="AJ21" s="205">
        <f t="shared" ref="AJ21:AJ22" si="34">IFERROR(SUM(((AK40)*$A$8)/3600)," ")</f>
        <v>0</v>
      </c>
      <c r="AK21" s="205"/>
      <c r="AL21" s="205">
        <f t="shared" ref="AL21:AL22" si="35">IFERROR(SUM(((AM40)*$A$8)/3600)," ")</f>
        <v>0</v>
      </c>
      <c r="AM21" s="205"/>
      <c r="AN21" s="96">
        <f>AVERAGE(B21:AL21)</f>
        <v>0</v>
      </c>
      <c r="AO21" s="96">
        <f>ROUNDUP(AN21,0)</f>
        <v>0</v>
      </c>
    </row>
    <row r="22" spans="1:41" s="90" customFormat="1" x14ac:dyDescent="0.25">
      <c r="A22" s="151" t="s">
        <v>3489</v>
      </c>
      <c r="B22" s="205">
        <f>IFERROR(SUM(((C41)*$A$8)/3600)," ")</f>
        <v>1.2222222222222223</v>
      </c>
      <c r="C22" s="205"/>
      <c r="D22" s="205">
        <f t="shared" si="18"/>
        <v>1</v>
      </c>
      <c r="E22" s="205"/>
      <c r="F22" s="205">
        <f t="shared" si="19"/>
        <v>0.61111111111111116</v>
      </c>
      <c r="G22" s="205"/>
      <c r="H22" s="205">
        <f t="shared" si="20"/>
        <v>0.83333333333333337</v>
      </c>
      <c r="I22" s="205"/>
      <c r="J22" s="205">
        <f t="shared" si="21"/>
        <v>0.5</v>
      </c>
      <c r="K22" s="205"/>
      <c r="L22" s="205">
        <f t="shared" si="22"/>
        <v>0.16666666666666666</v>
      </c>
      <c r="M22" s="205"/>
      <c r="N22" s="205">
        <f t="shared" si="23"/>
        <v>1.1666666666666667</v>
      </c>
      <c r="O22" s="205"/>
      <c r="P22" s="205">
        <f t="shared" si="24"/>
        <v>0.27777777777777779</v>
      </c>
      <c r="Q22" s="205"/>
      <c r="R22" s="205">
        <f t="shared" si="25"/>
        <v>0.77777777777777779</v>
      </c>
      <c r="S22" s="205"/>
      <c r="T22" s="205">
        <f t="shared" si="26"/>
        <v>0.55555555555555558</v>
      </c>
      <c r="U22" s="205"/>
      <c r="V22" s="205">
        <f t="shared" si="27"/>
        <v>0.61111111111111116</v>
      </c>
      <c r="W22" s="205"/>
      <c r="X22" s="205">
        <f t="shared" si="28"/>
        <v>0.22222222222222221</v>
      </c>
      <c r="Y22" s="205"/>
      <c r="Z22" s="205">
        <f t="shared" si="29"/>
        <v>0.83333333333333337</v>
      </c>
      <c r="AA22" s="205"/>
      <c r="AB22" s="205">
        <f t="shared" si="30"/>
        <v>0.3888888888888889</v>
      </c>
      <c r="AC22" s="205"/>
      <c r="AD22" s="205">
        <f t="shared" si="31"/>
        <v>0.83333333333333337</v>
      </c>
      <c r="AE22" s="205"/>
      <c r="AF22" s="205">
        <f t="shared" si="32"/>
        <v>1</v>
      </c>
      <c r="AG22" s="205"/>
      <c r="AH22" s="205">
        <f t="shared" si="33"/>
        <v>0.33333333333333331</v>
      </c>
      <c r="AI22" s="205"/>
      <c r="AJ22" s="205">
        <f t="shared" si="34"/>
        <v>0.33333333333333331</v>
      </c>
      <c r="AK22" s="205"/>
      <c r="AL22" s="205">
        <f t="shared" si="35"/>
        <v>0</v>
      </c>
      <c r="AM22" s="205"/>
      <c r="AN22" s="96">
        <f>AVERAGE(B22:AL22)</f>
        <v>0.61403508771929838</v>
      </c>
      <c r="AO22" s="96">
        <f>ROUNDUP(AN22,0)</f>
        <v>1</v>
      </c>
    </row>
    <row r="23" spans="1:41" s="90" customFormat="1" ht="12" x14ac:dyDescent="0.2">
      <c r="A23" s="95"/>
    </row>
    <row r="24" spans="1:41" s="90" customFormat="1" ht="12" x14ac:dyDescent="0.2">
      <c r="A24" s="95"/>
    </row>
    <row r="25" spans="1:41" s="62" customFormat="1" ht="36" x14ac:dyDescent="0.55000000000000004">
      <c r="A25" s="95"/>
      <c r="B25" s="228" t="s">
        <v>3493</v>
      </c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30"/>
    </row>
    <row r="26" spans="1:41" s="62" customFormat="1" ht="21" outlineLevel="2" x14ac:dyDescent="0.35">
      <c r="A26" s="71" t="s">
        <v>3429</v>
      </c>
      <c r="B26" s="233" t="s">
        <v>3372</v>
      </c>
      <c r="C26" s="234"/>
      <c r="D26" s="233" t="s">
        <v>3373</v>
      </c>
      <c r="E26" s="234"/>
      <c r="F26" s="231" t="s">
        <v>3374</v>
      </c>
      <c r="G26" s="232"/>
      <c r="H26" s="233" t="s">
        <v>3370</v>
      </c>
      <c r="I26" s="234"/>
      <c r="J26" s="233" t="s">
        <v>3371</v>
      </c>
      <c r="K26" s="234"/>
      <c r="L26" s="233" t="s">
        <v>3375</v>
      </c>
      <c r="M26" s="234"/>
      <c r="N26" s="233" t="s">
        <v>3367</v>
      </c>
      <c r="O26" s="234"/>
      <c r="P26" s="233" t="s">
        <v>3368</v>
      </c>
      <c r="Q26" s="234"/>
      <c r="R26" s="233" t="s">
        <v>3369</v>
      </c>
      <c r="S26" s="234"/>
      <c r="T26" s="231" t="s">
        <v>3358</v>
      </c>
      <c r="U26" s="232"/>
      <c r="V26" s="233" t="s">
        <v>3363</v>
      </c>
      <c r="W26" s="234"/>
      <c r="X26" s="233" t="s">
        <v>3361</v>
      </c>
      <c r="Y26" s="234"/>
      <c r="Z26" s="233" t="s">
        <v>3359</v>
      </c>
      <c r="AA26" s="234"/>
      <c r="AB26" s="233" t="s">
        <v>3366</v>
      </c>
      <c r="AC26" s="234"/>
      <c r="AD26" s="231" t="s">
        <v>3364</v>
      </c>
      <c r="AE26" s="232"/>
      <c r="AF26" s="233" t="s">
        <v>3360</v>
      </c>
      <c r="AG26" s="234"/>
      <c r="AH26" s="233" t="s">
        <v>3362</v>
      </c>
      <c r="AI26" s="234"/>
      <c r="AJ26" s="233" t="s">
        <v>3365</v>
      </c>
      <c r="AK26" s="234"/>
      <c r="AL26" s="231" t="s">
        <v>3491</v>
      </c>
      <c r="AM26" s="232"/>
    </row>
    <row r="27" spans="1:41" s="62" customFormat="1" ht="15.75" outlineLevel="2" thickBot="1" x14ac:dyDescent="0.3">
      <c r="A27" s="59" t="s">
        <v>3393</v>
      </c>
      <c r="B27" s="101" t="s">
        <v>3487</v>
      </c>
      <c r="C27" s="102" t="s">
        <v>3353</v>
      </c>
      <c r="D27" s="101" t="s">
        <v>3487</v>
      </c>
      <c r="E27" s="102" t="s">
        <v>3353</v>
      </c>
      <c r="F27" s="101" t="s">
        <v>3487</v>
      </c>
      <c r="G27" s="102" t="s">
        <v>3353</v>
      </c>
      <c r="H27" s="101" t="s">
        <v>3487</v>
      </c>
      <c r="I27" s="102" t="s">
        <v>3353</v>
      </c>
      <c r="J27" s="101" t="s">
        <v>3487</v>
      </c>
      <c r="K27" s="102" t="s">
        <v>3353</v>
      </c>
      <c r="L27" s="101" t="s">
        <v>3487</v>
      </c>
      <c r="M27" s="102" t="s">
        <v>3353</v>
      </c>
      <c r="N27" s="101" t="s">
        <v>3487</v>
      </c>
      <c r="O27" s="102" t="s">
        <v>3353</v>
      </c>
      <c r="P27" s="101" t="s">
        <v>3487</v>
      </c>
      <c r="Q27" s="102" t="s">
        <v>3353</v>
      </c>
      <c r="R27" s="101" t="s">
        <v>3487</v>
      </c>
      <c r="S27" s="102" t="s">
        <v>3353</v>
      </c>
      <c r="T27" s="101" t="s">
        <v>3487</v>
      </c>
      <c r="U27" s="102" t="s">
        <v>3353</v>
      </c>
      <c r="V27" s="101" t="s">
        <v>3487</v>
      </c>
      <c r="W27" s="102" t="s">
        <v>3353</v>
      </c>
      <c r="X27" s="101" t="s">
        <v>3487</v>
      </c>
      <c r="Y27" s="102" t="s">
        <v>3353</v>
      </c>
      <c r="Z27" s="101" t="s">
        <v>3487</v>
      </c>
      <c r="AA27" s="102" t="s">
        <v>3353</v>
      </c>
      <c r="AB27" s="101" t="s">
        <v>3487</v>
      </c>
      <c r="AC27" s="102" t="s">
        <v>3353</v>
      </c>
      <c r="AD27" s="101" t="s">
        <v>3487</v>
      </c>
      <c r="AE27" s="102" t="s">
        <v>3353</v>
      </c>
      <c r="AF27" s="101" t="s">
        <v>3487</v>
      </c>
      <c r="AG27" s="102" t="s">
        <v>3353</v>
      </c>
      <c r="AH27" s="101" t="s">
        <v>3487</v>
      </c>
      <c r="AI27" s="102" t="s">
        <v>3353</v>
      </c>
      <c r="AJ27" s="101" t="s">
        <v>3487</v>
      </c>
      <c r="AK27" s="102" t="s">
        <v>3353</v>
      </c>
      <c r="AL27" s="101" t="s">
        <v>3487</v>
      </c>
      <c r="AM27" s="102" t="s">
        <v>3353</v>
      </c>
    </row>
    <row r="28" spans="1:41" s="62" customFormat="1" ht="15.75" outlineLevel="2" thickBot="1" x14ac:dyDescent="0.3">
      <c r="A28" s="122" t="s">
        <v>3389</v>
      </c>
      <c r="B28" s="123">
        <f>'Serigrafia - Reguladores'!D12</f>
        <v>12</v>
      </c>
      <c r="C28" s="124">
        <f>'Serigrafia - Reguladores'!E12</f>
        <v>8</v>
      </c>
      <c r="D28" s="123">
        <f>'Serigrafia - Reguladores'!F12</f>
        <v>13</v>
      </c>
      <c r="E28" s="124">
        <f>'Serigrafia - Reguladores'!G12</f>
        <v>5</v>
      </c>
      <c r="F28" s="123">
        <f>'Serigrafia - Reguladores'!H12</f>
        <v>9</v>
      </c>
      <c r="G28" s="124">
        <f>'Serigrafia - Reguladores'!I12</f>
        <v>4</v>
      </c>
      <c r="H28" s="123">
        <f>'Serigrafia - Reguladores'!J12</f>
        <v>6</v>
      </c>
      <c r="I28" s="124">
        <f>'Serigrafia - Reguladores'!K12</f>
        <v>3</v>
      </c>
      <c r="J28" s="123">
        <f>'Serigrafia - Reguladores'!L12</f>
        <v>4</v>
      </c>
      <c r="K28" s="124">
        <f>'Serigrafia - Reguladores'!M12</f>
        <v>3</v>
      </c>
      <c r="L28" s="123">
        <f>'Serigrafia - Reguladores'!N12</f>
        <v>1</v>
      </c>
      <c r="M28" s="124">
        <f>'Serigrafia - Reguladores'!O12</f>
        <v>0</v>
      </c>
      <c r="N28" s="123">
        <f>'Serigrafia - Reguladores'!P12</f>
        <v>9</v>
      </c>
      <c r="O28" s="124">
        <f>'Serigrafia - Reguladores'!Q12</f>
        <v>6</v>
      </c>
      <c r="P28" s="123">
        <f>'Serigrafia - Reguladores'!R12</f>
        <v>4</v>
      </c>
      <c r="Q28" s="124">
        <f>'Serigrafia - Reguladores'!S12</f>
        <v>3</v>
      </c>
      <c r="R28" s="123">
        <f>'Serigrafia - Reguladores'!T12</f>
        <v>5</v>
      </c>
      <c r="S28" s="124">
        <f>'Serigrafia - Reguladores'!U12</f>
        <v>3</v>
      </c>
      <c r="T28" s="123">
        <f>'Serigrafia - Reguladores'!V12</f>
        <v>2</v>
      </c>
      <c r="U28" s="124">
        <f>'Serigrafia - Reguladores'!W12</f>
        <v>2</v>
      </c>
      <c r="V28" s="123">
        <f>'Serigrafia - Reguladores'!X12</f>
        <v>8</v>
      </c>
      <c r="W28" s="124">
        <f>'Serigrafia - Reguladores'!Y12</f>
        <v>4</v>
      </c>
      <c r="X28" s="123">
        <f>'Serigrafia - Reguladores'!Z12</f>
        <v>3</v>
      </c>
      <c r="Y28" s="124">
        <f>'Serigrafia - Reguladores'!AA12</f>
        <v>2</v>
      </c>
      <c r="Z28" s="123">
        <f>'Serigrafia - Reguladores'!AB12</f>
        <v>4</v>
      </c>
      <c r="AA28" s="124">
        <f>'Serigrafia - Reguladores'!AC12</f>
        <v>2</v>
      </c>
      <c r="AB28" s="123">
        <f>'Serigrafia - Reguladores'!AD12</f>
        <v>1</v>
      </c>
      <c r="AC28" s="124">
        <f>'Serigrafia - Reguladores'!AE12</f>
        <v>1</v>
      </c>
      <c r="AD28" s="123">
        <f>'Serigrafia - Reguladores'!AF12</f>
        <v>2</v>
      </c>
      <c r="AE28" s="124">
        <f>'Serigrafia - Reguladores'!AG12</f>
        <v>0</v>
      </c>
      <c r="AF28" s="123">
        <f>'Serigrafia - Reguladores'!AH12</f>
        <v>5</v>
      </c>
      <c r="AG28" s="124">
        <f>'Serigrafia - Reguladores'!AI12</f>
        <v>6</v>
      </c>
      <c r="AH28" s="123">
        <f>'Serigrafia - Reguladores'!AJ12</f>
        <v>8</v>
      </c>
      <c r="AI28" s="124">
        <f>'Serigrafia - Reguladores'!AK12</f>
        <v>5</v>
      </c>
      <c r="AJ28" s="123">
        <f>'Serigrafia - Reguladores'!AL12</f>
        <v>0</v>
      </c>
      <c r="AK28" s="124">
        <f>'Serigrafia - Reguladores'!AM12</f>
        <v>0</v>
      </c>
      <c r="AL28" s="123">
        <f>'Serigrafia - Reguladores'!AN12</f>
        <v>0</v>
      </c>
      <c r="AM28" s="124">
        <f>'Serigrafia - Reguladores'!AO12</f>
        <v>0</v>
      </c>
    </row>
    <row r="29" spans="1:41" s="62" customFormat="1" ht="15.75" outlineLevel="2" thickBot="1" x14ac:dyDescent="0.3">
      <c r="A29" s="119" t="s">
        <v>3390</v>
      </c>
      <c r="B29" s="123">
        <f>'Serigrafia - Reguladores'!D13</f>
        <v>15</v>
      </c>
      <c r="C29" s="124">
        <f>'Serigrafia - Reguladores'!E13</f>
        <v>25</v>
      </c>
      <c r="D29" s="123">
        <f>'Serigrafia - Reguladores'!F13</f>
        <v>20</v>
      </c>
      <c r="E29" s="124">
        <f>'Serigrafia - Reguladores'!G13</f>
        <v>34</v>
      </c>
      <c r="F29" s="123">
        <f>'Serigrafia - Reguladores'!H13</f>
        <v>13</v>
      </c>
      <c r="G29" s="124">
        <f>'Serigrafia - Reguladores'!I13</f>
        <v>13</v>
      </c>
      <c r="H29" s="123">
        <f>'Serigrafia - Reguladores'!J13</f>
        <v>12</v>
      </c>
      <c r="I29" s="124">
        <f>'Serigrafia - Reguladores'!K13</f>
        <v>19</v>
      </c>
      <c r="J29" s="123">
        <f>'Serigrafia - Reguladores'!L13</f>
        <v>9</v>
      </c>
      <c r="K29" s="124">
        <f>'Serigrafia - Reguladores'!M13</f>
        <v>20</v>
      </c>
      <c r="L29" s="123">
        <f>'Serigrafia - Reguladores'!N13</f>
        <v>0</v>
      </c>
      <c r="M29" s="124">
        <f>'Serigrafia - Reguladores'!O13</f>
        <v>0</v>
      </c>
      <c r="N29" s="123">
        <f>'Serigrafia - Reguladores'!P13</f>
        <v>7</v>
      </c>
      <c r="O29" s="124">
        <f>'Serigrafia - Reguladores'!Q13</f>
        <v>13</v>
      </c>
      <c r="P29" s="123">
        <f>'Serigrafia - Reguladores'!R13</f>
        <v>6</v>
      </c>
      <c r="Q29" s="124">
        <f>'Serigrafia - Reguladores'!S13</f>
        <v>12</v>
      </c>
      <c r="R29" s="123">
        <f>'Serigrafia - Reguladores'!T13</f>
        <v>6</v>
      </c>
      <c r="S29" s="124">
        <f>'Serigrafia - Reguladores'!U13</f>
        <v>12</v>
      </c>
      <c r="T29" s="123">
        <f>'Serigrafia - Reguladores'!V13</f>
        <v>10</v>
      </c>
      <c r="U29" s="124">
        <f>'Serigrafia - Reguladores'!W13</f>
        <v>25</v>
      </c>
      <c r="V29" s="123">
        <f>'Serigrafia - Reguladores'!X13</f>
        <v>13</v>
      </c>
      <c r="W29" s="124">
        <f>'Serigrafia - Reguladores'!Y13</f>
        <v>25</v>
      </c>
      <c r="X29" s="123">
        <f>'Serigrafia - Reguladores'!Z13</f>
        <v>12</v>
      </c>
      <c r="Y29" s="124">
        <f>'Serigrafia - Reguladores'!AA13</f>
        <v>18</v>
      </c>
      <c r="Z29" s="123">
        <f>'Serigrafia - Reguladores'!AB13</f>
        <v>8</v>
      </c>
      <c r="AA29" s="124">
        <f>'Serigrafia - Reguladores'!AC13</f>
        <v>10</v>
      </c>
      <c r="AB29" s="123">
        <f>'Serigrafia - Reguladores'!AD13</f>
        <v>7</v>
      </c>
      <c r="AC29" s="124">
        <f>'Serigrafia - Reguladores'!AE13</f>
        <v>12</v>
      </c>
      <c r="AD29" s="123">
        <f>'Serigrafia - Reguladores'!AF13</f>
        <v>4</v>
      </c>
      <c r="AE29" s="124">
        <f>'Serigrafia - Reguladores'!AG13</f>
        <v>5</v>
      </c>
      <c r="AF29" s="123">
        <f>'Serigrafia - Reguladores'!AH13</f>
        <v>8</v>
      </c>
      <c r="AG29" s="124">
        <f>'Serigrafia - Reguladores'!AI13</f>
        <v>5</v>
      </c>
      <c r="AH29" s="123">
        <f>'Serigrafia - Reguladores'!AJ13</f>
        <v>10</v>
      </c>
      <c r="AI29" s="124">
        <f>'Serigrafia - Reguladores'!AK13</f>
        <v>9</v>
      </c>
      <c r="AJ29" s="123">
        <f>'Serigrafia - Reguladores'!AL13</f>
        <v>9</v>
      </c>
      <c r="AK29" s="124">
        <f>'Serigrafia - Reguladores'!AM13</f>
        <v>6</v>
      </c>
      <c r="AL29" s="123">
        <f>'Serigrafia - Reguladores'!AN13</f>
        <v>0</v>
      </c>
      <c r="AM29" s="124">
        <f>'Serigrafia - Reguladores'!AO13</f>
        <v>0</v>
      </c>
    </row>
    <row r="30" spans="1:41" s="130" customFormat="1" ht="15.75" outlineLevel="2" thickBot="1" x14ac:dyDescent="0.3">
      <c r="A30" s="131" t="s">
        <v>467</v>
      </c>
      <c r="B30" s="132">
        <f t="shared" ref="B30:AM30" si="36">SUM(B28:B29)</f>
        <v>27</v>
      </c>
      <c r="C30" s="133">
        <f t="shared" si="36"/>
        <v>33</v>
      </c>
      <c r="D30" s="132">
        <f t="shared" si="36"/>
        <v>33</v>
      </c>
      <c r="E30" s="133">
        <f t="shared" si="36"/>
        <v>39</v>
      </c>
      <c r="F30" s="132">
        <f t="shared" si="36"/>
        <v>22</v>
      </c>
      <c r="G30" s="133">
        <f t="shared" si="36"/>
        <v>17</v>
      </c>
      <c r="H30" s="132">
        <f t="shared" si="36"/>
        <v>18</v>
      </c>
      <c r="I30" s="133">
        <f t="shared" si="36"/>
        <v>22</v>
      </c>
      <c r="J30" s="132">
        <f t="shared" si="36"/>
        <v>13</v>
      </c>
      <c r="K30" s="133">
        <f t="shared" si="36"/>
        <v>23</v>
      </c>
      <c r="L30" s="132">
        <f t="shared" si="36"/>
        <v>1</v>
      </c>
      <c r="M30" s="133">
        <f t="shared" si="36"/>
        <v>0</v>
      </c>
      <c r="N30" s="132">
        <f t="shared" si="36"/>
        <v>16</v>
      </c>
      <c r="O30" s="133">
        <f t="shared" si="36"/>
        <v>19</v>
      </c>
      <c r="P30" s="132">
        <f t="shared" si="36"/>
        <v>10</v>
      </c>
      <c r="Q30" s="133">
        <f t="shared" si="36"/>
        <v>15</v>
      </c>
      <c r="R30" s="132">
        <f t="shared" si="36"/>
        <v>11</v>
      </c>
      <c r="S30" s="133">
        <f t="shared" si="36"/>
        <v>15</v>
      </c>
      <c r="T30" s="132">
        <f t="shared" si="36"/>
        <v>12</v>
      </c>
      <c r="U30" s="133">
        <f t="shared" si="36"/>
        <v>27</v>
      </c>
      <c r="V30" s="132">
        <f t="shared" si="36"/>
        <v>21</v>
      </c>
      <c r="W30" s="133">
        <f t="shared" si="36"/>
        <v>29</v>
      </c>
      <c r="X30" s="132">
        <f t="shared" si="36"/>
        <v>15</v>
      </c>
      <c r="Y30" s="133">
        <f t="shared" si="36"/>
        <v>20</v>
      </c>
      <c r="Z30" s="132">
        <f t="shared" si="36"/>
        <v>12</v>
      </c>
      <c r="AA30" s="133">
        <f t="shared" si="36"/>
        <v>12</v>
      </c>
      <c r="AB30" s="132">
        <f t="shared" si="36"/>
        <v>8</v>
      </c>
      <c r="AC30" s="133">
        <f t="shared" si="36"/>
        <v>13</v>
      </c>
      <c r="AD30" s="132">
        <f t="shared" si="36"/>
        <v>6</v>
      </c>
      <c r="AE30" s="133">
        <f t="shared" si="36"/>
        <v>5</v>
      </c>
      <c r="AF30" s="132">
        <f t="shared" si="36"/>
        <v>13</v>
      </c>
      <c r="AG30" s="133">
        <f t="shared" si="36"/>
        <v>11</v>
      </c>
      <c r="AH30" s="132">
        <f t="shared" si="36"/>
        <v>18</v>
      </c>
      <c r="AI30" s="133">
        <f t="shared" si="36"/>
        <v>14</v>
      </c>
      <c r="AJ30" s="132">
        <f t="shared" si="36"/>
        <v>9</v>
      </c>
      <c r="AK30" s="133">
        <f t="shared" si="36"/>
        <v>6</v>
      </c>
      <c r="AL30" s="132">
        <f t="shared" si="36"/>
        <v>0</v>
      </c>
      <c r="AM30" s="133">
        <f t="shared" si="36"/>
        <v>0</v>
      </c>
    </row>
    <row r="32" spans="1:41" s="62" customFormat="1" ht="21" outlineLevel="2" x14ac:dyDescent="0.35">
      <c r="A32" s="71" t="s">
        <v>3396</v>
      </c>
      <c r="B32" s="222" t="s">
        <v>3372</v>
      </c>
      <c r="C32" s="223"/>
      <c r="D32" s="222" t="s">
        <v>3373</v>
      </c>
      <c r="E32" s="223"/>
      <c r="F32" s="201" t="s">
        <v>3374</v>
      </c>
      <c r="G32" s="202"/>
      <c r="H32" s="222" t="s">
        <v>3370</v>
      </c>
      <c r="I32" s="223"/>
      <c r="J32" s="222" t="s">
        <v>3371</v>
      </c>
      <c r="K32" s="223"/>
      <c r="L32" s="222" t="s">
        <v>3375</v>
      </c>
      <c r="M32" s="223"/>
      <c r="N32" s="222" t="s">
        <v>3367</v>
      </c>
      <c r="O32" s="223"/>
      <c r="P32" s="222" t="s">
        <v>3368</v>
      </c>
      <c r="Q32" s="223"/>
      <c r="R32" s="222" t="s">
        <v>3369</v>
      </c>
      <c r="S32" s="223"/>
      <c r="T32" s="201" t="s">
        <v>3358</v>
      </c>
      <c r="U32" s="202"/>
      <c r="V32" s="222" t="s">
        <v>3363</v>
      </c>
      <c r="W32" s="223"/>
      <c r="X32" s="222" t="s">
        <v>3361</v>
      </c>
      <c r="Y32" s="223"/>
      <c r="Z32" s="222" t="s">
        <v>3359</v>
      </c>
      <c r="AA32" s="223"/>
      <c r="AB32" s="222" t="s">
        <v>3366</v>
      </c>
      <c r="AC32" s="223"/>
      <c r="AD32" s="201" t="s">
        <v>3364</v>
      </c>
      <c r="AE32" s="202"/>
      <c r="AF32" s="222" t="s">
        <v>3360</v>
      </c>
      <c r="AG32" s="223"/>
      <c r="AH32" s="222" t="s">
        <v>3362</v>
      </c>
      <c r="AI32" s="223"/>
      <c r="AJ32" s="222" t="s">
        <v>3365</v>
      </c>
      <c r="AK32" s="223"/>
      <c r="AL32" s="201" t="s">
        <v>3491</v>
      </c>
      <c r="AM32" s="202"/>
    </row>
    <row r="33" spans="1:39" s="62" customFormat="1" ht="15.75" outlineLevel="2" thickBot="1" x14ac:dyDescent="0.3">
      <c r="A33" s="59" t="s">
        <v>3393</v>
      </c>
      <c r="B33" s="101" t="s">
        <v>3487</v>
      </c>
      <c r="C33" s="102" t="s">
        <v>3353</v>
      </c>
      <c r="D33" s="101" t="s">
        <v>3487</v>
      </c>
      <c r="E33" s="102" t="s">
        <v>3353</v>
      </c>
      <c r="F33" s="101" t="s">
        <v>3487</v>
      </c>
      <c r="G33" s="102" t="s">
        <v>3353</v>
      </c>
      <c r="H33" s="101" t="s">
        <v>3487</v>
      </c>
      <c r="I33" s="102" t="s">
        <v>3353</v>
      </c>
      <c r="J33" s="101" t="s">
        <v>3487</v>
      </c>
      <c r="K33" s="102" t="s">
        <v>3353</v>
      </c>
      <c r="L33" s="101" t="s">
        <v>3487</v>
      </c>
      <c r="M33" s="102" t="s">
        <v>3353</v>
      </c>
      <c r="N33" s="101" t="s">
        <v>3487</v>
      </c>
      <c r="O33" s="102" t="s">
        <v>3353</v>
      </c>
      <c r="P33" s="101" t="s">
        <v>3487</v>
      </c>
      <c r="Q33" s="102" t="s">
        <v>3353</v>
      </c>
      <c r="R33" s="101" t="s">
        <v>3487</v>
      </c>
      <c r="S33" s="102" t="s">
        <v>3353</v>
      </c>
      <c r="T33" s="101" t="s">
        <v>3487</v>
      </c>
      <c r="U33" s="102" t="s">
        <v>3353</v>
      </c>
      <c r="V33" s="101" t="s">
        <v>3487</v>
      </c>
      <c r="W33" s="102" t="s">
        <v>3353</v>
      </c>
      <c r="X33" s="101" t="s">
        <v>3487</v>
      </c>
      <c r="Y33" s="102" t="s">
        <v>3353</v>
      </c>
      <c r="Z33" s="101" t="s">
        <v>3487</v>
      </c>
      <c r="AA33" s="102" t="s">
        <v>3353</v>
      </c>
      <c r="AB33" s="101" t="s">
        <v>3487</v>
      </c>
      <c r="AC33" s="102" t="s">
        <v>3353</v>
      </c>
      <c r="AD33" s="101" t="s">
        <v>3487</v>
      </c>
      <c r="AE33" s="102" t="s">
        <v>3353</v>
      </c>
      <c r="AF33" s="101" t="s">
        <v>3487</v>
      </c>
      <c r="AG33" s="102" t="s">
        <v>3353</v>
      </c>
      <c r="AH33" s="101" t="s">
        <v>3487</v>
      </c>
      <c r="AI33" s="102" t="s">
        <v>3353</v>
      </c>
      <c r="AJ33" s="101" t="s">
        <v>3487</v>
      </c>
      <c r="AK33" s="102" t="s">
        <v>3353</v>
      </c>
      <c r="AL33" s="101" t="s">
        <v>3487</v>
      </c>
      <c r="AM33" s="102" t="s">
        <v>3353</v>
      </c>
    </row>
    <row r="34" spans="1:39" s="62" customFormat="1" ht="15.75" outlineLevel="2" thickBot="1" x14ac:dyDescent="0.3">
      <c r="A34" s="151" t="s">
        <v>3385</v>
      </c>
      <c r="B34" s="123">
        <f>'Montagem - Reguladores'!D12</f>
        <v>25</v>
      </c>
      <c r="C34" s="124">
        <f>'Montagem - Reguladores'!E12</f>
        <v>13</v>
      </c>
      <c r="D34" s="123">
        <f>'Montagem - Reguladores'!F12</f>
        <v>14</v>
      </c>
      <c r="E34" s="124">
        <f>'Montagem - Reguladores'!G12</f>
        <v>21</v>
      </c>
      <c r="F34" s="123">
        <f>'Montagem - Reguladores'!H12</f>
        <v>5</v>
      </c>
      <c r="G34" s="124">
        <f>'Montagem - Reguladores'!I12</f>
        <v>8</v>
      </c>
      <c r="H34" s="123">
        <f>'Montagem - Reguladores'!J12</f>
        <v>8</v>
      </c>
      <c r="I34" s="124">
        <f>'Montagem - Reguladores'!K12</f>
        <v>9</v>
      </c>
      <c r="J34" s="123">
        <f>'Montagem - Reguladores'!L12</f>
        <v>5</v>
      </c>
      <c r="K34" s="124">
        <f>'Montagem - Reguladores'!M12</f>
        <v>4</v>
      </c>
      <c r="L34" s="123">
        <f>'Montagem - Reguladores'!N12</f>
        <v>0</v>
      </c>
      <c r="M34" s="124">
        <f>'Montagem - Reguladores'!O12</f>
        <v>0</v>
      </c>
      <c r="N34" s="123">
        <f>'Montagem - Reguladores'!P12</f>
        <v>10</v>
      </c>
      <c r="O34" s="124">
        <f>'Montagem - Reguladores'!Q12</f>
        <v>4</v>
      </c>
      <c r="P34" s="123">
        <f>'Montagem - Reguladores'!R12</f>
        <v>5</v>
      </c>
      <c r="Q34" s="124">
        <f>'Montagem - Reguladores'!S12</f>
        <v>3</v>
      </c>
      <c r="R34" s="123">
        <f>'Montagem - Reguladores'!T12</f>
        <v>7</v>
      </c>
      <c r="S34" s="124">
        <f>'Montagem - Reguladores'!U12</f>
        <v>4</v>
      </c>
      <c r="T34" s="123">
        <f>'Montagem - Reguladores'!V12</f>
        <v>7</v>
      </c>
      <c r="U34" s="124">
        <f>'Montagem - Reguladores'!W12</f>
        <v>12</v>
      </c>
      <c r="V34" s="123">
        <f>'Montagem - Reguladores'!X12</f>
        <v>8</v>
      </c>
      <c r="W34" s="124">
        <f>'Montagem - Reguladores'!Y12</f>
        <v>13</v>
      </c>
      <c r="X34" s="123">
        <f>'Montagem - Reguladores'!Z12</f>
        <v>12</v>
      </c>
      <c r="Y34" s="124">
        <f>'Montagem - Reguladores'!AA12</f>
        <v>14</v>
      </c>
      <c r="Z34" s="123">
        <f>'Montagem - Reguladores'!AB12</f>
        <v>5</v>
      </c>
      <c r="AA34" s="124">
        <f>'Montagem - Reguladores'!AC12</f>
        <v>5</v>
      </c>
      <c r="AB34" s="123">
        <f>'Montagem - Reguladores'!AD12</f>
        <v>2</v>
      </c>
      <c r="AC34" s="124">
        <f>'Montagem - Reguladores'!AE12</f>
        <v>3</v>
      </c>
      <c r="AD34" s="123">
        <f>'Montagem - Reguladores'!AF12</f>
        <v>8</v>
      </c>
      <c r="AE34" s="124">
        <f>'Montagem - Reguladores'!AG12</f>
        <v>6</v>
      </c>
      <c r="AF34" s="123">
        <f>'Montagem - Reguladores'!AH12</f>
        <v>8</v>
      </c>
      <c r="AG34" s="124">
        <f>'Montagem - Reguladores'!AI12</f>
        <v>15</v>
      </c>
      <c r="AH34" s="123">
        <f>'Montagem - Reguladores'!AJ12</f>
        <v>17</v>
      </c>
      <c r="AI34" s="124">
        <f>'Montagem - Reguladores'!AK12</f>
        <v>21</v>
      </c>
      <c r="AJ34" s="123">
        <f>'Montagem - Reguladores'!AL12</f>
        <v>6</v>
      </c>
      <c r="AK34" s="124">
        <f>'Montagem - Reguladores'!AM12</f>
        <v>12</v>
      </c>
      <c r="AL34" s="123">
        <f>'Montagem - Reguladores'!AN12</f>
        <v>0</v>
      </c>
      <c r="AM34" s="124">
        <f>'Montagem - Reguladores'!AO12</f>
        <v>0</v>
      </c>
    </row>
    <row r="35" spans="1:39" s="62" customFormat="1" ht="15.75" outlineLevel="2" thickBot="1" x14ac:dyDescent="0.3">
      <c r="A35" s="151" t="s">
        <v>3386</v>
      </c>
      <c r="B35" s="123">
        <f>'Montagem - Reguladores'!D13</f>
        <v>11</v>
      </c>
      <c r="C35" s="124">
        <f>'Montagem - Reguladores'!E13</f>
        <v>14</v>
      </c>
      <c r="D35" s="123">
        <f>'Montagem - Reguladores'!F13</f>
        <v>13</v>
      </c>
      <c r="E35" s="124">
        <f>'Montagem - Reguladores'!G13</f>
        <v>25</v>
      </c>
      <c r="F35" s="123">
        <f>'Montagem - Reguladores'!H13</f>
        <v>6</v>
      </c>
      <c r="G35" s="124">
        <f>'Montagem - Reguladores'!I13</f>
        <v>8</v>
      </c>
      <c r="H35" s="123">
        <f>'Montagem - Reguladores'!J13</f>
        <v>6</v>
      </c>
      <c r="I35" s="124">
        <f>'Montagem - Reguladores'!K13</f>
        <v>12</v>
      </c>
      <c r="J35" s="123">
        <f>'Montagem - Reguladores'!L13</f>
        <v>8</v>
      </c>
      <c r="K35" s="124">
        <f>'Montagem - Reguladores'!M13</f>
        <v>12</v>
      </c>
      <c r="L35" s="123">
        <f>'Montagem - Reguladores'!N13</f>
        <v>0</v>
      </c>
      <c r="M35" s="124">
        <f>'Montagem - Reguladores'!O13</f>
        <v>0</v>
      </c>
      <c r="N35" s="123">
        <f>'Montagem - Reguladores'!P13</f>
        <v>3</v>
      </c>
      <c r="O35" s="124">
        <f>'Montagem - Reguladores'!Q13</f>
        <v>7</v>
      </c>
      <c r="P35" s="123">
        <f>'Montagem - Reguladores'!R13</f>
        <v>3</v>
      </c>
      <c r="Q35" s="124">
        <f>'Montagem - Reguladores'!S13</f>
        <v>5</v>
      </c>
      <c r="R35" s="123">
        <f>'Montagem - Reguladores'!T13</f>
        <v>7</v>
      </c>
      <c r="S35" s="124">
        <f>'Montagem - Reguladores'!U13</f>
        <v>12</v>
      </c>
      <c r="T35" s="123">
        <f>'Montagem - Reguladores'!V13</f>
        <v>10</v>
      </c>
      <c r="U35" s="124">
        <f>'Montagem - Reguladores'!W13</f>
        <v>12</v>
      </c>
      <c r="V35" s="123">
        <f>'Montagem - Reguladores'!X13</f>
        <v>6</v>
      </c>
      <c r="W35" s="124">
        <f>'Montagem - Reguladores'!Y13</f>
        <v>13</v>
      </c>
      <c r="X35" s="123">
        <f>'Montagem - Reguladores'!Z13</f>
        <v>8</v>
      </c>
      <c r="Y35" s="124">
        <f>'Montagem - Reguladores'!AA13</f>
        <v>15</v>
      </c>
      <c r="Z35" s="123">
        <f>'Montagem - Reguladores'!AB13</f>
        <v>4</v>
      </c>
      <c r="AA35" s="124">
        <f>'Montagem - Reguladores'!AC13</f>
        <v>9</v>
      </c>
      <c r="AB35" s="123">
        <f>'Montagem - Reguladores'!AD13</f>
        <v>5</v>
      </c>
      <c r="AC35" s="124">
        <f>'Montagem - Reguladores'!AE13</f>
        <v>8</v>
      </c>
      <c r="AD35" s="123">
        <f>'Montagem - Reguladores'!AF13</f>
        <v>4</v>
      </c>
      <c r="AE35" s="124">
        <f>'Montagem - Reguladores'!AG13</f>
        <v>12</v>
      </c>
      <c r="AF35" s="123">
        <f>'Montagem - Reguladores'!AH13</f>
        <v>3</v>
      </c>
      <c r="AG35" s="124">
        <f>'Montagem - Reguladores'!AI13</f>
        <v>5</v>
      </c>
      <c r="AH35" s="123">
        <f>'Montagem - Reguladores'!AJ13</f>
        <v>3</v>
      </c>
      <c r="AI35" s="124">
        <f>'Montagem - Reguladores'!AK13</f>
        <v>10</v>
      </c>
      <c r="AJ35" s="123">
        <f>'Montagem - Reguladores'!AL13</f>
        <v>5</v>
      </c>
      <c r="AK35" s="124">
        <f>'Montagem - Reguladores'!AM13</f>
        <v>4</v>
      </c>
      <c r="AL35" s="123">
        <f>'Montagem - Reguladores'!AN13</f>
        <v>0</v>
      </c>
      <c r="AM35" s="124">
        <f>'Montagem - Reguladores'!AO13</f>
        <v>0</v>
      </c>
    </row>
    <row r="36" spans="1:39" s="130" customFormat="1" ht="15.75" outlineLevel="2" thickBot="1" x14ac:dyDescent="0.3">
      <c r="A36" s="131" t="s">
        <v>467</v>
      </c>
      <c r="B36" s="132">
        <f t="shared" ref="B36:AM36" si="37">SUM(B34:B35)</f>
        <v>36</v>
      </c>
      <c r="C36" s="133">
        <f t="shared" si="37"/>
        <v>27</v>
      </c>
      <c r="D36" s="132">
        <f t="shared" si="37"/>
        <v>27</v>
      </c>
      <c r="E36" s="133">
        <f t="shared" si="37"/>
        <v>46</v>
      </c>
      <c r="F36" s="132">
        <f t="shared" si="37"/>
        <v>11</v>
      </c>
      <c r="G36" s="133">
        <f t="shared" si="37"/>
        <v>16</v>
      </c>
      <c r="H36" s="132">
        <f t="shared" si="37"/>
        <v>14</v>
      </c>
      <c r="I36" s="133">
        <f t="shared" si="37"/>
        <v>21</v>
      </c>
      <c r="J36" s="132">
        <f t="shared" si="37"/>
        <v>13</v>
      </c>
      <c r="K36" s="133">
        <f t="shared" si="37"/>
        <v>16</v>
      </c>
      <c r="L36" s="132">
        <f t="shared" si="37"/>
        <v>0</v>
      </c>
      <c r="M36" s="133">
        <f t="shared" si="37"/>
        <v>0</v>
      </c>
      <c r="N36" s="132">
        <f t="shared" si="37"/>
        <v>13</v>
      </c>
      <c r="O36" s="133">
        <f t="shared" si="37"/>
        <v>11</v>
      </c>
      <c r="P36" s="132">
        <f t="shared" si="37"/>
        <v>8</v>
      </c>
      <c r="Q36" s="133">
        <f t="shared" si="37"/>
        <v>8</v>
      </c>
      <c r="R36" s="132">
        <f t="shared" si="37"/>
        <v>14</v>
      </c>
      <c r="S36" s="133">
        <f t="shared" si="37"/>
        <v>16</v>
      </c>
      <c r="T36" s="132">
        <f t="shared" si="37"/>
        <v>17</v>
      </c>
      <c r="U36" s="133">
        <f t="shared" si="37"/>
        <v>24</v>
      </c>
      <c r="V36" s="132">
        <f t="shared" si="37"/>
        <v>14</v>
      </c>
      <c r="W36" s="133">
        <f t="shared" si="37"/>
        <v>26</v>
      </c>
      <c r="X36" s="132">
        <f t="shared" si="37"/>
        <v>20</v>
      </c>
      <c r="Y36" s="133">
        <f t="shared" si="37"/>
        <v>29</v>
      </c>
      <c r="Z36" s="132">
        <f t="shared" si="37"/>
        <v>9</v>
      </c>
      <c r="AA36" s="133">
        <f t="shared" si="37"/>
        <v>14</v>
      </c>
      <c r="AB36" s="132">
        <f t="shared" si="37"/>
        <v>7</v>
      </c>
      <c r="AC36" s="133">
        <f t="shared" si="37"/>
        <v>11</v>
      </c>
      <c r="AD36" s="132">
        <f t="shared" si="37"/>
        <v>12</v>
      </c>
      <c r="AE36" s="133">
        <f t="shared" si="37"/>
        <v>18</v>
      </c>
      <c r="AF36" s="132">
        <f t="shared" si="37"/>
        <v>11</v>
      </c>
      <c r="AG36" s="133">
        <f t="shared" si="37"/>
        <v>20</v>
      </c>
      <c r="AH36" s="132">
        <f t="shared" si="37"/>
        <v>20</v>
      </c>
      <c r="AI36" s="133">
        <f t="shared" si="37"/>
        <v>31</v>
      </c>
      <c r="AJ36" s="132">
        <f t="shared" si="37"/>
        <v>11</v>
      </c>
      <c r="AK36" s="133">
        <f t="shared" si="37"/>
        <v>16</v>
      </c>
      <c r="AL36" s="132">
        <f t="shared" si="37"/>
        <v>0</v>
      </c>
      <c r="AM36" s="133">
        <f t="shared" si="37"/>
        <v>0</v>
      </c>
    </row>
    <row r="37" spans="1:39" ht="15.75" thickBot="1" x14ac:dyDescent="0.3"/>
    <row r="38" spans="1:39" s="62" customFormat="1" ht="21" outlineLevel="2" x14ac:dyDescent="0.35">
      <c r="A38" s="71" t="s">
        <v>3404</v>
      </c>
      <c r="B38" s="222" t="s">
        <v>3372</v>
      </c>
      <c r="C38" s="223"/>
      <c r="D38" s="222" t="s">
        <v>3373</v>
      </c>
      <c r="E38" s="223"/>
      <c r="F38" s="201" t="s">
        <v>3374</v>
      </c>
      <c r="G38" s="202"/>
      <c r="H38" s="222" t="s">
        <v>3370</v>
      </c>
      <c r="I38" s="223"/>
      <c r="J38" s="222" t="s">
        <v>3371</v>
      </c>
      <c r="K38" s="223"/>
      <c r="L38" s="222" t="s">
        <v>3375</v>
      </c>
      <c r="M38" s="223"/>
      <c r="N38" s="222" t="s">
        <v>3367</v>
      </c>
      <c r="O38" s="223"/>
      <c r="P38" s="222" t="s">
        <v>3368</v>
      </c>
      <c r="Q38" s="223"/>
      <c r="R38" s="222" t="s">
        <v>3369</v>
      </c>
      <c r="S38" s="223"/>
      <c r="T38" s="201" t="s">
        <v>3358</v>
      </c>
      <c r="U38" s="202"/>
      <c r="V38" s="222" t="s">
        <v>3363</v>
      </c>
      <c r="W38" s="223"/>
      <c r="X38" s="222" t="s">
        <v>3361</v>
      </c>
      <c r="Y38" s="223"/>
      <c r="Z38" s="222" t="s">
        <v>3359</v>
      </c>
      <c r="AA38" s="223"/>
      <c r="AB38" s="222" t="s">
        <v>3366</v>
      </c>
      <c r="AC38" s="223"/>
      <c r="AD38" s="201" t="s">
        <v>3364</v>
      </c>
      <c r="AE38" s="202"/>
      <c r="AF38" s="222" t="s">
        <v>3360</v>
      </c>
      <c r="AG38" s="223"/>
      <c r="AH38" s="222" t="s">
        <v>3362</v>
      </c>
      <c r="AI38" s="223"/>
      <c r="AJ38" s="222" t="s">
        <v>3365</v>
      </c>
      <c r="AK38" s="223"/>
      <c r="AL38" s="201" t="s">
        <v>3491</v>
      </c>
      <c r="AM38" s="202"/>
    </row>
    <row r="39" spans="1:39" s="62" customFormat="1" ht="15.75" outlineLevel="2" thickBot="1" x14ac:dyDescent="0.3">
      <c r="A39" s="59" t="s">
        <v>3393</v>
      </c>
      <c r="B39" s="101" t="s">
        <v>3487</v>
      </c>
      <c r="C39" s="102" t="s">
        <v>3353</v>
      </c>
      <c r="D39" s="101" t="s">
        <v>3487</v>
      </c>
      <c r="E39" s="102" t="s">
        <v>3353</v>
      </c>
      <c r="F39" s="101" t="s">
        <v>3487</v>
      </c>
      <c r="G39" s="102" t="s">
        <v>3353</v>
      </c>
      <c r="H39" s="101" t="s">
        <v>3487</v>
      </c>
      <c r="I39" s="102" t="s">
        <v>3353</v>
      </c>
      <c r="J39" s="101" t="s">
        <v>3487</v>
      </c>
      <c r="K39" s="102" t="s">
        <v>3353</v>
      </c>
      <c r="L39" s="101" t="s">
        <v>3487</v>
      </c>
      <c r="M39" s="102" t="s">
        <v>3353</v>
      </c>
      <c r="N39" s="101" t="s">
        <v>3487</v>
      </c>
      <c r="O39" s="102" t="s">
        <v>3353</v>
      </c>
      <c r="P39" s="101" t="s">
        <v>3487</v>
      </c>
      <c r="Q39" s="102" t="s">
        <v>3353</v>
      </c>
      <c r="R39" s="101" t="s">
        <v>3487</v>
      </c>
      <c r="S39" s="102" t="s">
        <v>3353</v>
      </c>
      <c r="T39" s="101" t="s">
        <v>3487</v>
      </c>
      <c r="U39" s="102" t="s">
        <v>3353</v>
      </c>
      <c r="V39" s="101" t="s">
        <v>3487</v>
      </c>
      <c r="W39" s="102" t="s">
        <v>3353</v>
      </c>
      <c r="X39" s="101" t="s">
        <v>3487</v>
      </c>
      <c r="Y39" s="102" t="s">
        <v>3353</v>
      </c>
      <c r="Z39" s="101" t="s">
        <v>3487</v>
      </c>
      <c r="AA39" s="102" t="s">
        <v>3353</v>
      </c>
      <c r="AB39" s="101" t="s">
        <v>3487</v>
      </c>
      <c r="AC39" s="102" t="s">
        <v>3353</v>
      </c>
      <c r="AD39" s="101" t="s">
        <v>3487</v>
      </c>
      <c r="AE39" s="102" t="s">
        <v>3353</v>
      </c>
      <c r="AF39" s="101" t="s">
        <v>3487</v>
      </c>
      <c r="AG39" s="102" t="s">
        <v>3353</v>
      </c>
      <c r="AH39" s="101" t="s">
        <v>3487</v>
      </c>
      <c r="AI39" s="102" t="s">
        <v>3353</v>
      </c>
      <c r="AJ39" s="101" t="s">
        <v>3487</v>
      </c>
      <c r="AK39" s="102" t="s">
        <v>3353</v>
      </c>
      <c r="AL39" s="101" t="s">
        <v>3487</v>
      </c>
      <c r="AM39" s="102" t="s">
        <v>3353</v>
      </c>
    </row>
    <row r="40" spans="1:39" s="62" customFormat="1" ht="15.75" outlineLevel="2" thickBot="1" x14ac:dyDescent="0.3">
      <c r="A40" s="122" t="s">
        <v>3488</v>
      </c>
      <c r="B40" s="123">
        <f>'Pintura - Reguladores'!D12</f>
        <v>0</v>
      </c>
      <c r="C40" s="124">
        <f>'Pintura - Reguladores'!E12</f>
        <v>0</v>
      </c>
      <c r="D40" s="123">
        <f>'Pintura - Reguladores'!F12</f>
        <v>0</v>
      </c>
      <c r="E40" s="124">
        <f>'Pintura - Reguladores'!G12</f>
        <v>0</v>
      </c>
      <c r="F40" s="123">
        <f>'Pintura - Reguladores'!H12</f>
        <v>1</v>
      </c>
      <c r="G40" s="124">
        <f>'Pintura - Reguladores'!I12</f>
        <v>0</v>
      </c>
      <c r="H40" s="123">
        <f>'Pintura - Reguladores'!J12</f>
        <v>0</v>
      </c>
      <c r="I40" s="124">
        <f>'Pintura - Reguladores'!K12</f>
        <v>0</v>
      </c>
      <c r="J40" s="123">
        <f>'Pintura - Reguladores'!L12</f>
        <v>0</v>
      </c>
      <c r="K40" s="124">
        <f>'Pintura - Reguladores'!M12</f>
        <v>0</v>
      </c>
      <c r="L40" s="123">
        <f>'Pintura - Reguladores'!N12</f>
        <v>0</v>
      </c>
      <c r="M40" s="124">
        <f>'Pintura - Reguladores'!O12</f>
        <v>0</v>
      </c>
      <c r="N40" s="123">
        <f>'Pintura - Reguladores'!P12</f>
        <v>0</v>
      </c>
      <c r="O40" s="124">
        <f>'Pintura - Reguladores'!Q12</f>
        <v>0</v>
      </c>
      <c r="P40" s="123">
        <f>'Pintura - Reguladores'!R12</f>
        <v>0</v>
      </c>
      <c r="Q40" s="124">
        <f>'Pintura - Reguladores'!S12</f>
        <v>0</v>
      </c>
      <c r="R40" s="123">
        <f>'Pintura - Reguladores'!T12</f>
        <v>0</v>
      </c>
      <c r="S40" s="124">
        <f>'Pintura - Reguladores'!U12</f>
        <v>0</v>
      </c>
      <c r="T40" s="123">
        <f>'Pintura - Reguladores'!V12</f>
        <v>0</v>
      </c>
      <c r="U40" s="124">
        <f>'Pintura - Reguladores'!W12</f>
        <v>0</v>
      </c>
      <c r="V40" s="123">
        <f>'Pintura - Reguladores'!X12</f>
        <v>0</v>
      </c>
      <c r="W40" s="124">
        <f>'Pintura - Reguladores'!Y12</f>
        <v>0</v>
      </c>
      <c r="X40" s="123">
        <f>'Pintura - Reguladores'!Z12</f>
        <v>0</v>
      </c>
      <c r="Y40" s="124">
        <f>'Pintura - Reguladores'!AA12</f>
        <v>0</v>
      </c>
      <c r="Z40" s="123">
        <f>'Pintura - Reguladores'!AB12</f>
        <v>0</v>
      </c>
      <c r="AA40" s="124">
        <f>'Pintura - Reguladores'!AC12</f>
        <v>0</v>
      </c>
      <c r="AB40" s="123">
        <f>'Pintura - Reguladores'!AD12</f>
        <v>0</v>
      </c>
      <c r="AC40" s="124">
        <f>'Pintura - Reguladores'!AE12</f>
        <v>0</v>
      </c>
      <c r="AD40" s="123">
        <f>'Pintura - Reguladores'!AF12</f>
        <v>0</v>
      </c>
      <c r="AE40" s="124">
        <f>'Pintura - Reguladores'!AG12</f>
        <v>0</v>
      </c>
      <c r="AF40" s="123">
        <f>'Pintura - Reguladores'!AH12</f>
        <v>0</v>
      </c>
      <c r="AG40" s="124">
        <f>'Pintura - Reguladores'!AI12</f>
        <v>0</v>
      </c>
      <c r="AH40" s="123">
        <f>'Pintura - Reguladores'!AJ12</f>
        <v>0</v>
      </c>
      <c r="AI40" s="124">
        <f>'Pintura - Reguladores'!AK12</f>
        <v>0</v>
      </c>
      <c r="AJ40" s="123">
        <f>'Pintura - Reguladores'!AL12</f>
        <v>0</v>
      </c>
      <c r="AK40" s="124">
        <f>'Pintura - Reguladores'!AM12</f>
        <v>0</v>
      </c>
      <c r="AL40" s="123">
        <f>'Pintura - Reguladores'!AN12</f>
        <v>0</v>
      </c>
      <c r="AM40" s="124">
        <f>'Pintura - Reguladores'!AO12</f>
        <v>0</v>
      </c>
    </row>
    <row r="41" spans="1:39" s="62" customFormat="1" ht="15.75" outlineLevel="2" thickBot="1" x14ac:dyDescent="0.3">
      <c r="A41" s="122" t="s">
        <v>3489</v>
      </c>
      <c r="B41" s="123">
        <f>'Pintura - Reguladores'!D13</f>
        <v>28</v>
      </c>
      <c r="C41" s="124">
        <f>'Pintura - Reguladores'!E13</f>
        <v>22</v>
      </c>
      <c r="D41" s="123">
        <f>'Pintura - Reguladores'!F13</f>
        <v>17</v>
      </c>
      <c r="E41" s="124">
        <f>'Pintura - Reguladores'!G13</f>
        <v>18</v>
      </c>
      <c r="F41" s="123">
        <f>'Pintura - Reguladores'!H13</f>
        <v>8</v>
      </c>
      <c r="G41" s="124">
        <f>'Pintura - Reguladores'!I13</f>
        <v>11</v>
      </c>
      <c r="H41" s="123">
        <f>'Pintura - Reguladores'!J13</f>
        <v>12</v>
      </c>
      <c r="I41" s="124">
        <f>'Pintura - Reguladores'!K13</f>
        <v>15</v>
      </c>
      <c r="J41" s="123">
        <f>'Pintura - Reguladores'!L13</f>
        <v>5</v>
      </c>
      <c r="K41" s="124">
        <f>'Pintura - Reguladores'!M13</f>
        <v>9</v>
      </c>
      <c r="L41" s="123">
        <f>'Pintura - Reguladores'!N13</f>
        <v>1</v>
      </c>
      <c r="M41" s="124">
        <f>'Pintura - Reguladores'!O13</f>
        <v>3</v>
      </c>
      <c r="N41" s="123">
        <f>'Pintura - Reguladores'!P13</f>
        <v>10</v>
      </c>
      <c r="O41" s="124">
        <f>'Pintura - Reguladores'!Q13</f>
        <v>21</v>
      </c>
      <c r="P41" s="123">
        <f>'Pintura - Reguladores'!R13</f>
        <v>5</v>
      </c>
      <c r="Q41" s="124">
        <f>'Pintura - Reguladores'!S13</f>
        <v>5</v>
      </c>
      <c r="R41" s="123">
        <f>'Pintura - Reguladores'!T13</f>
        <v>9</v>
      </c>
      <c r="S41" s="124">
        <f>'Pintura - Reguladores'!U13</f>
        <v>14</v>
      </c>
      <c r="T41" s="123">
        <f>'Pintura - Reguladores'!V13</f>
        <v>6</v>
      </c>
      <c r="U41" s="124">
        <f>'Pintura - Reguladores'!W13</f>
        <v>10</v>
      </c>
      <c r="V41" s="123">
        <f>'Pintura - Reguladores'!X13</f>
        <v>6</v>
      </c>
      <c r="W41" s="124">
        <f>'Pintura - Reguladores'!Y13</f>
        <v>11</v>
      </c>
      <c r="X41" s="123">
        <f>'Pintura - Reguladores'!Z13</f>
        <v>6</v>
      </c>
      <c r="Y41" s="124">
        <f>'Pintura - Reguladores'!AA13</f>
        <v>4</v>
      </c>
      <c r="Z41" s="123">
        <f>'Pintura - Reguladores'!AB13</f>
        <v>8</v>
      </c>
      <c r="AA41" s="124">
        <f>'Pintura - Reguladores'!AC13</f>
        <v>15</v>
      </c>
      <c r="AB41" s="123">
        <f>'Pintura - Reguladores'!AD13</f>
        <v>4</v>
      </c>
      <c r="AC41" s="124">
        <f>'Pintura - Reguladores'!AE13</f>
        <v>7</v>
      </c>
      <c r="AD41" s="123">
        <f>'Pintura - Reguladores'!AF13</f>
        <v>9</v>
      </c>
      <c r="AE41" s="124">
        <f>'Pintura - Reguladores'!AG13</f>
        <v>15</v>
      </c>
      <c r="AF41" s="123">
        <f>'Pintura - Reguladores'!AH13</f>
        <v>9</v>
      </c>
      <c r="AG41" s="124">
        <f>'Pintura - Reguladores'!AI13</f>
        <v>18</v>
      </c>
      <c r="AH41" s="123">
        <f>'Pintura - Reguladores'!AJ13</f>
        <v>9</v>
      </c>
      <c r="AI41" s="124">
        <f>'Pintura - Reguladores'!AK13</f>
        <v>6</v>
      </c>
      <c r="AJ41" s="123">
        <f>'Pintura - Reguladores'!AL13</f>
        <v>7</v>
      </c>
      <c r="AK41" s="124">
        <f>'Pintura - Reguladores'!AM13</f>
        <v>6</v>
      </c>
      <c r="AL41" s="123">
        <f>'Pintura - Reguladores'!AN13</f>
        <v>0</v>
      </c>
      <c r="AM41" s="124">
        <f>'Pintura - Reguladores'!AO13</f>
        <v>0</v>
      </c>
    </row>
    <row r="42" spans="1:39" s="130" customFormat="1" ht="15.75" outlineLevel="2" thickBot="1" x14ac:dyDescent="0.3">
      <c r="A42" s="131" t="s">
        <v>467</v>
      </c>
      <c r="B42" s="132">
        <f t="shared" ref="B42:AM42" si="38">SUM(B40:B41)</f>
        <v>28</v>
      </c>
      <c r="C42" s="133">
        <f t="shared" si="38"/>
        <v>22</v>
      </c>
      <c r="D42" s="132">
        <f t="shared" si="38"/>
        <v>17</v>
      </c>
      <c r="E42" s="133">
        <f t="shared" si="38"/>
        <v>18</v>
      </c>
      <c r="F42" s="132">
        <f t="shared" si="38"/>
        <v>9</v>
      </c>
      <c r="G42" s="133">
        <f t="shared" si="38"/>
        <v>11</v>
      </c>
      <c r="H42" s="132">
        <f t="shared" si="38"/>
        <v>12</v>
      </c>
      <c r="I42" s="133">
        <f t="shared" si="38"/>
        <v>15</v>
      </c>
      <c r="J42" s="132">
        <f t="shared" si="38"/>
        <v>5</v>
      </c>
      <c r="K42" s="133">
        <f t="shared" si="38"/>
        <v>9</v>
      </c>
      <c r="L42" s="132">
        <f t="shared" si="38"/>
        <v>1</v>
      </c>
      <c r="M42" s="133">
        <f t="shared" si="38"/>
        <v>3</v>
      </c>
      <c r="N42" s="132">
        <f t="shared" si="38"/>
        <v>10</v>
      </c>
      <c r="O42" s="133">
        <f t="shared" si="38"/>
        <v>21</v>
      </c>
      <c r="P42" s="132">
        <f t="shared" si="38"/>
        <v>5</v>
      </c>
      <c r="Q42" s="133">
        <f t="shared" si="38"/>
        <v>5</v>
      </c>
      <c r="R42" s="132">
        <f t="shared" si="38"/>
        <v>9</v>
      </c>
      <c r="S42" s="133">
        <f t="shared" si="38"/>
        <v>14</v>
      </c>
      <c r="T42" s="132">
        <f t="shared" si="38"/>
        <v>6</v>
      </c>
      <c r="U42" s="133">
        <f t="shared" si="38"/>
        <v>10</v>
      </c>
      <c r="V42" s="132">
        <f t="shared" si="38"/>
        <v>6</v>
      </c>
      <c r="W42" s="133">
        <f t="shared" si="38"/>
        <v>11</v>
      </c>
      <c r="X42" s="132">
        <f t="shared" si="38"/>
        <v>6</v>
      </c>
      <c r="Y42" s="133">
        <f t="shared" si="38"/>
        <v>4</v>
      </c>
      <c r="Z42" s="132">
        <f t="shared" si="38"/>
        <v>8</v>
      </c>
      <c r="AA42" s="133">
        <f t="shared" si="38"/>
        <v>15</v>
      </c>
      <c r="AB42" s="132">
        <f t="shared" si="38"/>
        <v>4</v>
      </c>
      <c r="AC42" s="133">
        <f t="shared" si="38"/>
        <v>7</v>
      </c>
      <c r="AD42" s="132">
        <f t="shared" si="38"/>
        <v>9</v>
      </c>
      <c r="AE42" s="133">
        <f t="shared" si="38"/>
        <v>15</v>
      </c>
      <c r="AF42" s="132">
        <f t="shared" si="38"/>
        <v>9</v>
      </c>
      <c r="AG42" s="133">
        <f t="shared" si="38"/>
        <v>18</v>
      </c>
      <c r="AH42" s="132">
        <f t="shared" si="38"/>
        <v>9</v>
      </c>
      <c r="AI42" s="133">
        <f t="shared" si="38"/>
        <v>6</v>
      </c>
      <c r="AJ42" s="132">
        <f t="shared" si="38"/>
        <v>7</v>
      </c>
      <c r="AK42" s="133">
        <f t="shared" si="38"/>
        <v>6</v>
      </c>
      <c r="AL42" s="132">
        <f t="shared" si="38"/>
        <v>0</v>
      </c>
      <c r="AM42" s="133">
        <f t="shared" si="38"/>
        <v>0</v>
      </c>
    </row>
  </sheetData>
  <mergeCells count="327">
    <mergeCell ref="AD3:AE3"/>
    <mergeCell ref="AF3:AG3"/>
    <mergeCell ref="AH3:AI3"/>
    <mergeCell ref="AJ3:AK3"/>
    <mergeCell ref="N3:O3"/>
    <mergeCell ref="P3:Q3"/>
    <mergeCell ref="R3:S3"/>
    <mergeCell ref="T3:U3"/>
    <mergeCell ref="V3:W3"/>
    <mergeCell ref="X3:Y3"/>
    <mergeCell ref="B3:C3"/>
    <mergeCell ref="D3:E3"/>
    <mergeCell ref="AF4:AG4"/>
    <mergeCell ref="AH4:AI4"/>
    <mergeCell ref="AJ4:AK4"/>
    <mergeCell ref="AL4:AM4"/>
    <mergeCell ref="B6:AM6"/>
    <mergeCell ref="AB4:AC4"/>
    <mergeCell ref="AD4:AE4"/>
    <mergeCell ref="F3:G3"/>
    <mergeCell ref="H3:I3"/>
    <mergeCell ref="J3:K3"/>
    <mergeCell ref="L3:M3"/>
    <mergeCell ref="AL3:AM3"/>
    <mergeCell ref="B4:C4"/>
    <mergeCell ref="D4:E4"/>
    <mergeCell ref="F4:G4"/>
    <mergeCell ref="H4:I4"/>
    <mergeCell ref="J4:K4"/>
    <mergeCell ref="L4:M4"/>
    <mergeCell ref="N4:O4"/>
    <mergeCell ref="P4:Q4"/>
    <mergeCell ref="Z3:AA3"/>
    <mergeCell ref="AB3:AC3"/>
    <mergeCell ref="B7:C7"/>
    <mergeCell ref="D7:E7"/>
    <mergeCell ref="F7:G7"/>
    <mergeCell ref="H7:I7"/>
    <mergeCell ref="J7:K7"/>
    <mergeCell ref="T4:U4"/>
    <mergeCell ref="V4:W4"/>
    <mergeCell ref="X4:Y4"/>
    <mergeCell ref="Z4:AA4"/>
    <mergeCell ref="R4:S4"/>
    <mergeCell ref="AJ7:AK7"/>
    <mergeCell ref="AL7:AM7"/>
    <mergeCell ref="L8:M8"/>
    <mergeCell ref="N8:O8"/>
    <mergeCell ref="P8:Q8"/>
    <mergeCell ref="X7:Y7"/>
    <mergeCell ref="Z7:AA7"/>
    <mergeCell ref="AB7:AC7"/>
    <mergeCell ref="AD7:AE7"/>
    <mergeCell ref="AF7:AG7"/>
    <mergeCell ref="AH7:AI7"/>
    <mergeCell ref="L7:M7"/>
    <mergeCell ref="N7:O7"/>
    <mergeCell ref="P7:Q7"/>
    <mergeCell ref="R7:S7"/>
    <mergeCell ref="T7:U7"/>
    <mergeCell ref="V7:W7"/>
    <mergeCell ref="AD8:AE8"/>
    <mergeCell ref="AF8:AG8"/>
    <mergeCell ref="AH8:AI8"/>
    <mergeCell ref="AJ8:AK8"/>
    <mergeCell ref="AL8:AM8"/>
    <mergeCell ref="Z8:AA8"/>
    <mergeCell ref="AB8:AC8"/>
    <mergeCell ref="B9:C9"/>
    <mergeCell ref="D9:E9"/>
    <mergeCell ref="F9:G9"/>
    <mergeCell ref="H9:I9"/>
    <mergeCell ref="J9:K9"/>
    <mergeCell ref="R8:S8"/>
    <mergeCell ref="T8:U8"/>
    <mergeCell ref="V8:W8"/>
    <mergeCell ref="X8:Y8"/>
    <mergeCell ref="B8:C8"/>
    <mergeCell ref="D8:E8"/>
    <mergeCell ref="F8:G8"/>
    <mergeCell ref="H8:I8"/>
    <mergeCell ref="J8:K8"/>
    <mergeCell ref="T9:U9"/>
    <mergeCell ref="V9:W9"/>
    <mergeCell ref="X9:Y9"/>
    <mergeCell ref="L9:M9"/>
    <mergeCell ref="N9:O9"/>
    <mergeCell ref="P9:Q9"/>
    <mergeCell ref="R9:S9"/>
    <mergeCell ref="AL13:AM13"/>
    <mergeCell ref="Z13:AA13"/>
    <mergeCell ref="AB13:AC13"/>
    <mergeCell ref="AD13:AE13"/>
    <mergeCell ref="AF13:AG13"/>
    <mergeCell ref="AH13:AI13"/>
    <mergeCell ref="AJ13:AK13"/>
    <mergeCell ref="AD10:AE10"/>
    <mergeCell ref="AF10:AG10"/>
    <mergeCell ref="AH10:AI10"/>
    <mergeCell ref="AJ10:AK10"/>
    <mergeCell ref="AL10:AM10"/>
    <mergeCell ref="AJ9:AK9"/>
    <mergeCell ref="AL9:AM9"/>
    <mergeCell ref="Z9:AA9"/>
    <mergeCell ref="AB9:AC9"/>
    <mergeCell ref="AD9:AE9"/>
    <mergeCell ref="AF9:AG9"/>
    <mergeCell ref="AH9:AI9"/>
    <mergeCell ref="N13:O13"/>
    <mergeCell ref="B10:C10"/>
    <mergeCell ref="D10:E10"/>
    <mergeCell ref="F10:G10"/>
    <mergeCell ref="H10:I10"/>
    <mergeCell ref="J10:K10"/>
    <mergeCell ref="L10:M10"/>
    <mergeCell ref="N10:O10"/>
    <mergeCell ref="P10:Q10"/>
    <mergeCell ref="B12:AM12"/>
    <mergeCell ref="R10:S10"/>
    <mergeCell ref="T10:U10"/>
    <mergeCell ref="V10:W10"/>
    <mergeCell ref="X10:Y10"/>
    <mergeCell ref="Z10:AA10"/>
    <mergeCell ref="AB10:AC10"/>
    <mergeCell ref="P13:Q13"/>
    <mergeCell ref="R13:S13"/>
    <mergeCell ref="T13:U13"/>
    <mergeCell ref="V13:W13"/>
    <mergeCell ref="X13:Y13"/>
    <mergeCell ref="B13:C13"/>
    <mergeCell ref="D13:E13"/>
    <mergeCell ref="F13:G13"/>
    <mergeCell ref="AF14:AG14"/>
    <mergeCell ref="AH14:AI14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H13:I13"/>
    <mergeCell ref="J13:K13"/>
    <mergeCell ref="L13:M13"/>
    <mergeCell ref="AJ14:AK14"/>
    <mergeCell ref="AL14:AM14"/>
    <mergeCell ref="B15:C15"/>
    <mergeCell ref="D15:E15"/>
    <mergeCell ref="F15:G15"/>
    <mergeCell ref="H15:I15"/>
    <mergeCell ref="J15:K15"/>
    <mergeCell ref="L15:M15"/>
    <mergeCell ref="T14:U14"/>
    <mergeCell ref="V14:W14"/>
    <mergeCell ref="X14:Y14"/>
    <mergeCell ref="Z14:AA14"/>
    <mergeCell ref="AB14:AC14"/>
    <mergeCell ref="AD14:AE14"/>
    <mergeCell ref="AL15:AM15"/>
    <mergeCell ref="Z15:AA15"/>
    <mergeCell ref="AB15:AC15"/>
    <mergeCell ref="AD15:AE15"/>
    <mergeCell ref="AF15:AG15"/>
    <mergeCell ref="AH15:AI15"/>
    <mergeCell ref="AJ15:AK15"/>
    <mergeCell ref="N15:O15"/>
    <mergeCell ref="P15:Q15"/>
    <mergeCell ref="R15:S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T15:U15"/>
    <mergeCell ref="V15:W15"/>
    <mergeCell ref="X15:Y15"/>
    <mergeCell ref="AF16:AG16"/>
    <mergeCell ref="AH16:AI16"/>
    <mergeCell ref="AJ16:AK16"/>
    <mergeCell ref="AL16:AM16"/>
    <mergeCell ref="B18:AM18"/>
    <mergeCell ref="B19:C19"/>
    <mergeCell ref="D19:E19"/>
    <mergeCell ref="F19:G19"/>
    <mergeCell ref="H19:I19"/>
    <mergeCell ref="J19:K19"/>
    <mergeCell ref="T16:U16"/>
    <mergeCell ref="V16:W16"/>
    <mergeCell ref="X16:Y16"/>
    <mergeCell ref="Z16:AA16"/>
    <mergeCell ref="AB16:AC16"/>
    <mergeCell ref="AD16:AE16"/>
    <mergeCell ref="AJ19:AK19"/>
    <mergeCell ref="AL19:AM19"/>
    <mergeCell ref="Z19:AA19"/>
    <mergeCell ref="AB19:AC19"/>
    <mergeCell ref="AD19:AE19"/>
    <mergeCell ref="AF19:AG19"/>
    <mergeCell ref="AH19:AI19"/>
    <mergeCell ref="L19:M19"/>
    <mergeCell ref="N19:O19"/>
    <mergeCell ref="P19:Q19"/>
    <mergeCell ref="R19:S19"/>
    <mergeCell ref="T19:U19"/>
    <mergeCell ref="V19:W19"/>
    <mergeCell ref="AD20:AE20"/>
    <mergeCell ref="AF20:AG20"/>
    <mergeCell ref="AH20:AI20"/>
    <mergeCell ref="L20:M20"/>
    <mergeCell ref="N20:O20"/>
    <mergeCell ref="P20:Q20"/>
    <mergeCell ref="X19:Y19"/>
    <mergeCell ref="B21:C21"/>
    <mergeCell ref="D21:E21"/>
    <mergeCell ref="F21:G21"/>
    <mergeCell ref="H21:I21"/>
    <mergeCell ref="J21:K21"/>
    <mergeCell ref="R20:S20"/>
    <mergeCell ref="T20:U20"/>
    <mergeCell ref="V20:W20"/>
    <mergeCell ref="X20:Y20"/>
    <mergeCell ref="B20:C20"/>
    <mergeCell ref="D20:E20"/>
    <mergeCell ref="F20:G20"/>
    <mergeCell ref="H20:I20"/>
    <mergeCell ref="J20:K20"/>
    <mergeCell ref="X21:Y21"/>
    <mergeCell ref="L21:M21"/>
    <mergeCell ref="N21:O21"/>
    <mergeCell ref="P21:Q21"/>
    <mergeCell ref="R21:S21"/>
    <mergeCell ref="T21:U21"/>
    <mergeCell ref="V21:W21"/>
    <mergeCell ref="AJ20:AK20"/>
    <mergeCell ref="AL20:AM20"/>
    <mergeCell ref="Z20:AA20"/>
    <mergeCell ref="AB20:AC20"/>
    <mergeCell ref="AJ21:AK21"/>
    <mergeCell ref="AL21:AM21"/>
    <mergeCell ref="Z21:AA21"/>
    <mergeCell ref="AB21:AC21"/>
    <mergeCell ref="AD21:AE21"/>
    <mergeCell ref="AF21:AG21"/>
    <mergeCell ref="AH21:AI21"/>
    <mergeCell ref="AL26:AM26"/>
    <mergeCell ref="Z26:AA26"/>
    <mergeCell ref="AB26:AC26"/>
    <mergeCell ref="AD26:AE26"/>
    <mergeCell ref="AF26:AG26"/>
    <mergeCell ref="AH26:AI26"/>
    <mergeCell ref="AJ26:AK26"/>
    <mergeCell ref="N26:O26"/>
    <mergeCell ref="B22:C22"/>
    <mergeCell ref="D22:E22"/>
    <mergeCell ref="F22:G22"/>
    <mergeCell ref="H22:I22"/>
    <mergeCell ref="J22:K22"/>
    <mergeCell ref="L22:M22"/>
    <mergeCell ref="N22:O22"/>
    <mergeCell ref="P22:Q22"/>
    <mergeCell ref="AD22:AE22"/>
    <mergeCell ref="AF22:AG22"/>
    <mergeCell ref="AH22:AI22"/>
    <mergeCell ref="AJ22:AK22"/>
    <mergeCell ref="AL22:AM22"/>
    <mergeCell ref="B25:AM25"/>
    <mergeCell ref="R22:S22"/>
    <mergeCell ref="T22:U22"/>
    <mergeCell ref="B32:C32"/>
    <mergeCell ref="D32:E32"/>
    <mergeCell ref="F32:G32"/>
    <mergeCell ref="H32:I32"/>
    <mergeCell ref="J32:K32"/>
    <mergeCell ref="L32:M32"/>
    <mergeCell ref="N32:O32"/>
    <mergeCell ref="P32:Q32"/>
    <mergeCell ref="R32:S32"/>
    <mergeCell ref="T38:U38"/>
    <mergeCell ref="V38:W38"/>
    <mergeCell ref="X38:Y38"/>
    <mergeCell ref="V22:W22"/>
    <mergeCell ref="X22:Y22"/>
    <mergeCell ref="Z22:AA22"/>
    <mergeCell ref="AB22:AC22"/>
    <mergeCell ref="AF32:AG32"/>
    <mergeCell ref="AH32:AI32"/>
    <mergeCell ref="P26:Q26"/>
    <mergeCell ref="R26:S26"/>
    <mergeCell ref="T26:U26"/>
    <mergeCell ref="V26:W26"/>
    <mergeCell ref="X26:Y26"/>
    <mergeCell ref="B26:C26"/>
    <mergeCell ref="D26:E26"/>
    <mergeCell ref="F26:G26"/>
    <mergeCell ref="H26:I26"/>
    <mergeCell ref="J26:K26"/>
    <mergeCell ref="L26:M26"/>
    <mergeCell ref="AJ32:AK32"/>
    <mergeCell ref="AL32:AM32"/>
    <mergeCell ref="B38:C38"/>
    <mergeCell ref="D38:E38"/>
    <mergeCell ref="F38:G38"/>
    <mergeCell ref="H38:I38"/>
    <mergeCell ref="J38:K38"/>
    <mergeCell ref="L38:M38"/>
    <mergeCell ref="T32:U32"/>
    <mergeCell ref="V32:W32"/>
    <mergeCell ref="X32:Y32"/>
    <mergeCell ref="Z32:AA32"/>
    <mergeCell ref="AB32:AC32"/>
    <mergeCell ref="AD32:AE32"/>
    <mergeCell ref="AL38:AM38"/>
    <mergeCell ref="Z38:AA38"/>
    <mergeCell ref="AB38:AC38"/>
    <mergeCell ref="AD38:AE38"/>
    <mergeCell ref="AF38:AG38"/>
    <mergeCell ref="AH38:AI38"/>
    <mergeCell ref="AJ38:AK38"/>
    <mergeCell ref="N38:O38"/>
    <mergeCell ref="P38:Q38"/>
    <mergeCell ref="R38:S3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35E35-E62D-4D67-8255-3A7CDDEF81FB}">
  <sheetPr codeName="Planilha15"/>
  <dimension ref="A2:G11"/>
  <sheetViews>
    <sheetView showGridLines="0" workbookViewId="0">
      <selection activeCell="E22" sqref="E22"/>
    </sheetView>
  </sheetViews>
  <sheetFormatPr defaultRowHeight="15" x14ac:dyDescent="0.25"/>
  <cols>
    <col min="1" max="1" width="11.28515625" style="170" bestFit="1" customWidth="1"/>
    <col min="2" max="2" width="66.5703125" style="170" customWidth="1"/>
    <col min="3" max="3" width="67.7109375" style="170" bestFit="1" customWidth="1"/>
    <col min="4" max="4" width="51.85546875" style="170" bestFit="1" customWidth="1"/>
    <col min="5" max="5" width="21.140625" style="170" customWidth="1"/>
    <col min="6" max="6" width="21.140625" style="187" customWidth="1"/>
    <col min="7" max="7" width="20.140625" style="170" customWidth="1"/>
    <col min="8" max="16384" width="9.140625" style="170"/>
  </cols>
  <sheetData>
    <row r="2" spans="1:7" ht="15.75" thickBot="1" x14ac:dyDescent="0.3"/>
    <row r="3" spans="1:7" ht="16.5" x14ac:dyDescent="0.25">
      <c r="A3" s="176" t="s">
        <v>4740</v>
      </c>
      <c r="B3" s="177" t="s">
        <v>4759</v>
      </c>
      <c r="C3" s="177" t="s">
        <v>4760</v>
      </c>
      <c r="D3" s="177" t="s">
        <v>4761</v>
      </c>
      <c r="E3" s="177" t="s">
        <v>4717</v>
      </c>
      <c r="F3" s="188" t="s">
        <v>5090</v>
      </c>
      <c r="G3" s="178" t="s">
        <v>4732</v>
      </c>
    </row>
    <row r="4" spans="1:7" ht="16.5" x14ac:dyDescent="0.25">
      <c r="A4" s="183">
        <v>1</v>
      </c>
      <c r="B4" s="179" t="s">
        <v>4741</v>
      </c>
      <c r="C4" s="185" t="s">
        <v>4738</v>
      </c>
      <c r="D4" s="185" t="s">
        <v>4718</v>
      </c>
      <c r="E4" s="179" t="s">
        <v>4735</v>
      </c>
      <c r="F4" s="189">
        <v>46101</v>
      </c>
      <c r="G4" s="181" t="s">
        <v>4739</v>
      </c>
    </row>
    <row r="5" spans="1:7" ht="31.5" customHeight="1" x14ac:dyDescent="0.25">
      <c r="A5" s="183">
        <v>2</v>
      </c>
      <c r="B5" s="179" t="s">
        <v>4749</v>
      </c>
      <c r="C5" s="185" t="s">
        <v>4750</v>
      </c>
      <c r="D5" s="185" t="s">
        <v>4751</v>
      </c>
      <c r="E5" s="179" t="s">
        <v>4748</v>
      </c>
      <c r="F5" s="189">
        <v>46162</v>
      </c>
      <c r="G5" s="181" t="s">
        <v>4734</v>
      </c>
    </row>
    <row r="6" spans="1:7" ht="16.5" x14ac:dyDescent="0.25">
      <c r="A6" s="183">
        <v>3</v>
      </c>
      <c r="B6" s="179" t="s">
        <v>4742</v>
      </c>
      <c r="C6" s="185" t="s">
        <v>4719</v>
      </c>
      <c r="D6" s="185" t="s">
        <v>4720</v>
      </c>
      <c r="E6" s="179" t="s">
        <v>4735</v>
      </c>
      <c r="F6" s="189">
        <v>46118</v>
      </c>
      <c r="G6" s="181" t="s">
        <v>4739</v>
      </c>
    </row>
    <row r="7" spans="1:7" ht="16.5" x14ac:dyDescent="0.25">
      <c r="A7" s="183">
        <v>4</v>
      </c>
      <c r="B7" s="179" t="s">
        <v>4743</v>
      </c>
      <c r="C7" s="185" t="s">
        <v>4721</v>
      </c>
      <c r="D7" s="185" t="s">
        <v>4722</v>
      </c>
      <c r="E7" s="179" t="s">
        <v>4736</v>
      </c>
      <c r="F7" s="189"/>
      <c r="G7" s="181" t="s">
        <v>4733</v>
      </c>
    </row>
    <row r="8" spans="1:7" ht="16.5" x14ac:dyDescent="0.25">
      <c r="A8" s="183">
        <v>5</v>
      </c>
      <c r="B8" s="179" t="s">
        <v>4744</v>
      </c>
      <c r="C8" s="185" t="s">
        <v>4723</v>
      </c>
      <c r="D8" s="185" t="s">
        <v>4724</v>
      </c>
      <c r="E8" s="179" t="s">
        <v>4737</v>
      </c>
      <c r="F8" s="189">
        <v>46188</v>
      </c>
      <c r="G8" s="181" t="s">
        <v>4734</v>
      </c>
    </row>
    <row r="9" spans="1:7" ht="16.5" x14ac:dyDescent="0.25">
      <c r="A9" s="183">
        <v>6</v>
      </c>
      <c r="B9" s="179" t="s">
        <v>4745</v>
      </c>
      <c r="C9" s="185" t="s">
        <v>4725</v>
      </c>
      <c r="D9" s="185" t="s">
        <v>4726</v>
      </c>
      <c r="E9" s="179" t="s">
        <v>4737</v>
      </c>
      <c r="F9" s="189">
        <v>46188</v>
      </c>
      <c r="G9" s="181" t="s">
        <v>4734</v>
      </c>
    </row>
    <row r="10" spans="1:7" ht="16.5" x14ac:dyDescent="0.25">
      <c r="A10" s="183">
        <v>7</v>
      </c>
      <c r="B10" s="179" t="s">
        <v>4746</v>
      </c>
      <c r="C10" s="185" t="s">
        <v>4727</v>
      </c>
      <c r="D10" s="185" t="s">
        <v>4728</v>
      </c>
      <c r="E10" s="179" t="s">
        <v>4729</v>
      </c>
      <c r="F10" s="189"/>
      <c r="G10" s="181" t="s">
        <v>4733</v>
      </c>
    </row>
    <row r="11" spans="1:7" ht="17.25" thickBot="1" x14ac:dyDescent="0.3">
      <c r="A11" s="184">
        <v>8</v>
      </c>
      <c r="B11" s="180" t="s">
        <v>4747</v>
      </c>
      <c r="C11" s="186" t="s">
        <v>4730</v>
      </c>
      <c r="D11" s="186" t="s">
        <v>4731</v>
      </c>
      <c r="E11" s="180" t="s">
        <v>4736</v>
      </c>
      <c r="F11" s="190"/>
      <c r="G11" s="182" t="s">
        <v>4733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EBB0-66CD-4C8A-816C-3C52197C47F3}">
  <sheetPr codeName="Planilha4"/>
  <dimension ref="A1"/>
  <sheetViews>
    <sheetView workbookViewId="0">
      <selection activeCell="E23" sqref="E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UI/_rels/customUI.xml.rels><?xml version="1.0" encoding="UTF-8" standalone="yes"?>
<Relationships xmlns="http://schemas.openxmlformats.org/package/2006/relationships"><Relationship Id="validado" Type="http://schemas.openxmlformats.org/officeDocument/2006/relationships/image" Target="images/validado.png"/></Relationships>
</file>

<file path=customUI/customUI.xml><?xml version="1.0" encoding="utf-8"?>
<customUI xmlns="http://schemas.microsoft.com/office/2006/01/customui">
  <ribbon>
    <tabs>
      <tab id="Tab1" label="Auditoria de cargas" insertBeforeMso="TabHome">
        <group id="Grupo1" label="AUDITAR" visible="true">
          <button id="Button1" label="CARGA REGISTRADA" image="validado" onAction="Button1_onAction" size="large"/>
          <separator id="sep1"/>
          <button id="Button2" label="CARGA PENDENTE" image="validado" onAction="Button2_onAction" size="large"/>
        </group>
        <group id="Grupo2">
          <labelControl id="label1" getLabel="label1_get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dd1bc37-ef09-4710-bf9f-41af28f028dc" xsi:nil="true"/>
    <lcf76f155ced4ddcb4097134ff3c332f xmlns="de57f1a1-f844-4830-b770-31d7e691efec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762DECE6EEFA4E9450FB1468058561" ma:contentTypeVersion="17" ma:contentTypeDescription="Crie um novo documento." ma:contentTypeScope="" ma:versionID="e40d358a128e89977d2d514988b3843b">
  <xsd:schema xmlns:xsd="http://www.w3.org/2001/XMLSchema" xmlns:xs="http://www.w3.org/2001/XMLSchema" xmlns:p="http://schemas.microsoft.com/office/2006/metadata/properties" xmlns:ns2="de57f1a1-f844-4830-b770-31d7e691efec" xmlns:ns3="1dd1bc37-ef09-4710-bf9f-41af28f028dc" targetNamespace="http://schemas.microsoft.com/office/2006/metadata/properties" ma:root="true" ma:fieldsID="fb7d896f30613ef17024105031d12acc" ns2:_="" ns3:_="">
    <xsd:import namespace="de57f1a1-f844-4830-b770-31d7e691efec"/>
    <xsd:import namespace="1dd1bc37-ef09-4710-bf9f-41af28f028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57f1a1-f844-4830-b770-31d7e691ef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a28403d3-12cf-424f-9eab-ebe671a36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bc37-ef09-4710-bf9f-41af28f028dc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ee6a4a7c-e19f-40e2-a07d-ca32be3e6864}" ma:internalName="TaxCatchAll" ma:showField="CatchAllData" ma:web="1dd1bc37-ef09-4710-bf9f-41af28f028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187673-6838-47FA-87AB-BA2781E7FC5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D96EF3E-0B3F-486D-9744-2F973CF2809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530393-CB61-47CD-90A2-66794571B9F6}">
  <ds:schemaRefs>
    <ds:schemaRef ds:uri="http://schemas.microsoft.com/office/2006/metadata/properties"/>
    <ds:schemaRef ds:uri="http://schemas.microsoft.com/office/infopath/2007/PartnerControls"/>
    <ds:schemaRef ds:uri="1dd1bc37-ef09-4710-bf9f-41af28f028dc"/>
    <ds:schemaRef ds:uri="de57f1a1-f844-4830-b770-31d7e691efec"/>
  </ds:schemaRefs>
</ds:datastoreItem>
</file>

<file path=customXml/itemProps4.xml><?xml version="1.0" encoding="utf-8"?>
<ds:datastoreItem xmlns:ds="http://schemas.openxmlformats.org/officeDocument/2006/customXml" ds:itemID="{622A8D5B-1347-437E-933B-CC3F5DAA59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57f1a1-f844-4830-b770-31d7e691efec"/>
    <ds:schemaRef ds:uri="1dd1bc37-ef09-4710-bf9f-41af28f028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Registrada</vt:lpstr>
      <vt:lpstr>Pesquisa</vt:lpstr>
      <vt:lpstr>Pendente</vt:lpstr>
      <vt:lpstr>Base_Custos_Mesa_Ser</vt:lpstr>
      <vt:lpstr>Resumo_Trocas</vt:lpstr>
      <vt:lpstr>Qnt. Setup de Telas</vt:lpstr>
      <vt:lpstr>Dados</vt:lpstr>
      <vt:lpstr>Grafico</vt:lpstr>
      <vt:lpstr>Serigrafia - Reguladores</vt:lpstr>
      <vt:lpstr>Montagem - Reguladores</vt:lpstr>
      <vt:lpstr>Pintura - Reguladores</vt:lpstr>
      <vt:lpstr>Geral - Reguladores</vt:lpstr>
      <vt:lpstr>Serigrafia -  Trocad. de Tintas</vt:lpstr>
      <vt:lpstr>Montagem -  Trocad. de Tintas</vt:lpstr>
      <vt:lpstr>Pintura  -  Trocad. de Tintas</vt:lpstr>
      <vt:lpstr>Geral -  Trocadores de Tintas</vt:lpstr>
      <vt:lpstr>Plano de Ação</vt:lpstr>
      <vt:lpstr>Planilha2</vt:lpstr>
      <vt:lpstr>Grafico!Area_de_impressao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Nalbert de Matos Vieira</dc:creator>
  <cp:keywords/>
  <dc:description/>
  <cp:lastModifiedBy>William Kennedy Rodrigues Lopes</cp:lastModifiedBy>
  <cp:revision/>
  <cp:lastPrinted>2026-06-16T18:31:27Z</cp:lastPrinted>
  <dcterms:created xsi:type="dcterms:W3CDTF">2024-09-02T14:56:56Z</dcterms:created>
  <dcterms:modified xsi:type="dcterms:W3CDTF">2026-07-27T14:33:36Z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7a366f-f489-4410-a47a-bbff90ac6d69_Enabled">
    <vt:lpwstr>true</vt:lpwstr>
  </property>
  <property fmtid="{D5CDD505-2E9C-101B-9397-08002B2CF9AE}" pid="3" name="MSIP_Label_237a366f-f489-4410-a47a-bbff90ac6d69_SetDate">
    <vt:lpwstr>2026-02-18T17:38:37Z</vt:lpwstr>
  </property>
  <property fmtid="{D5CDD505-2E9C-101B-9397-08002B2CF9AE}" pid="4" name="MSIP_Label_237a366f-f489-4410-a47a-bbff90ac6d69_Method">
    <vt:lpwstr>Standard</vt:lpwstr>
  </property>
  <property fmtid="{D5CDD505-2E9C-101B-9397-08002B2CF9AE}" pid="5" name="MSIP_Label_237a366f-f489-4410-a47a-bbff90ac6d69_Name">
    <vt:lpwstr>Privado</vt:lpwstr>
  </property>
  <property fmtid="{D5CDD505-2E9C-101B-9397-08002B2CF9AE}" pid="6" name="MSIP_Label_237a366f-f489-4410-a47a-bbff90ac6d69_SiteId">
    <vt:lpwstr>b7ed67af-ba40-4040-a386-ab53a0ad3e96</vt:lpwstr>
  </property>
  <property fmtid="{D5CDD505-2E9C-101B-9397-08002B2CF9AE}" pid="7" name="MSIP_Label_237a366f-f489-4410-a47a-bbff90ac6d69_ActionId">
    <vt:lpwstr>030476a7-4c86-475b-9e94-611f937e5ef0</vt:lpwstr>
  </property>
  <property fmtid="{D5CDD505-2E9C-101B-9397-08002B2CF9AE}" pid="8" name="MSIP_Label_237a366f-f489-4410-a47a-bbff90ac6d69_ContentBits">
    <vt:lpwstr>2</vt:lpwstr>
  </property>
  <property fmtid="{D5CDD505-2E9C-101B-9397-08002B2CF9AE}" pid="9" name="MSIP_Label_237a366f-f489-4410-a47a-bbff90ac6d69_Tag">
    <vt:lpwstr>10, 3, 0, 1</vt:lpwstr>
  </property>
  <property fmtid="{D5CDD505-2E9C-101B-9397-08002B2CF9AE}" pid="10" name="ContentTypeId">
    <vt:lpwstr>0x01010017762DECE6EEFA4E9450FB1468058561</vt:lpwstr>
  </property>
  <property fmtid="{D5CDD505-2E9C-101B-9397-08002B2CF9AE}" pid="11" name="MediaServiceImageTags">
    <vt:lpwstr/>
  </property>
</Properties>
</file>